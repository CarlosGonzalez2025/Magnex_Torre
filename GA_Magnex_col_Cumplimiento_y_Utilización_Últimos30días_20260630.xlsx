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Reporte" sheetId="2" r:id="rId5"/>
    <sheet name="parámetros" sheetId="3" state="hidden" r:id="rId6"/>
    <sheet name="Grupo 1" sheetId="4" r:id="rId7"/>
    <sheet name="Grupo 2" sheetId="5" r:id="rId8"/>
    <sheet name="Grupo 3" sheetId="6" r:id="rId9"/>
    <sheet name="Grupo 4" sheetId="7" r:id="rId10"/>
    <sheet name="Grupo 5" sheetId="8" r:id="rId11"/>
    <sheet name="data" sheetId="9" r:id="rId12"/>
    <sheet name="Preinstalado" sheetId="10" r:id="rId13"/>
  </sheets>
  <definedNames>
    <definedName name="_xlnm.Print_Area" localSheetId="0">'Resumen'!$A$2:$S$117</definedName>
    <definedName name="_xlnm._FilterDatabase" localSheetId="1" hidden="1">'Reporte'!$B$15:$AH$200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<sst xmlns="http://schemas.openxmlformats.org/spreadsheetml/2006/main" uniqueCount="932">
  <si>
    <t>UTILIZACION DE LA FLOTA</t>
  </si>
  <si>
    <t>Vehículos</t>
  </si>
  <si>
    <t>%</t>
  </si>
  <si>
    <t>DIAS</t>
  </si>
  <si>
    <t>Q1</t>
  </si>
  <si>
    <t>De</t>
  </si>
  <si>
    <t>a</t>
  </si>
  <si>
    <t>Q2</t>
  </si>
  <si>
    <t>Q3</t>
  </si>
  <si>
    <t>Q4</t>
  </si>
  <si>
    <t>Q5</t>
  </si>
  <si>
    <t>Más de</t>
  </si>
  <si>
    <t>Uso promedio</t>
  </si>
  <si>
    <t>Días</t>
  </si>
  <si>
    <t>HORAS</t>
  </si>
  <si>
    <t>Menos de 2</t>
  </si>
  <si>
    <t>Menos de 25</t>
  </si>
  <si>
    <t>2 a 4</t>
  </si>
  <si>
    <t>25 a 50</t>
  </si>
  <si>
    <t>4 a 6</t>
  </si>
  <si>
    <t>50 a 100</t>
  </si>
  <si>
    <t>6 a 8</t>
  </si>
  <si>
    <t>100 a 150</t>
  </si>
  <si>
    <t>Más de 8</t>
  </si>
  <si>
    <t>Más de 150</t>
  </si>
  <si>
    <t>Horas/día</t>
  </si>
  <si>
    <t>TIEMPO PROM. DE CONDUCCION VS. TIEMPO EN RALENTI</t>
  </si>
  <si>
    <t>Categorías</t>
  </si>
  <si>
    <t>Horas</t>
  </si>
  <si>
    <t>Tiempo de Conducción</t>
  </si>
  <si>
    <t>Tiempo en Ralentí</t>
  </si>
  <si>
    <t>Representa el número de días conducidos por su flota dentro del período de tiempo especificado.</t>
  </si>
  <si>
    <t>Basado en una jornada laboral promedio de 8 horas, indica el número promedio de horas por día que los vehículos fueron utilizados</t>
  </si>
  <si>
    <t>Representa el tiempo promedio en que los vehículos fueron utilizados en comparación con el tiempo que estuvieron en ralentí.</t>
  </si>
  <si>
    <t>(*)</t>
  </si>
  <si>
    <t>Ingrese manualmente el valor deseado para su región en las celdas marcadas en amarillo</t>
  </si>
  <si>
    <r>
      <rPr>
        <rFont val="Aptos Narrow"/>
        <b val="true"/>
        <i val="false"/>
        <strike val="false"/>
        <color rgb="FF000000"/>
        <sz val="11"/>
        <u val="none"/>
      </rPr>
      <t xml:space="preserve">JORNADA LABORAL
</t>
    </r>
    <r>
      <rPr>
        <rFont val="Aptos Narrow"/>
        <b val="true"/>
        <i val="false"/>
        <strike val="false"/>
        <color rgb="FF000000"/>
        <sz val="14"/>
        <u val="none"/>
      </rPr>
      <t xml:space="preserve">(*)</t>
    </r>
  </si>
  <si>
    <r>
      <rPr>
        <rFont val="Aptos Narrow"/>
        <b val="true"/>
        <i val="false"/>
        <strike val="false"/>
        <color rgb="FF000000"/>
        <sz val="11"/>
        <u val="none"/>
      </rPr>
      <t xml:space="preserve">Costo promedio del combustible $ </t>
    </r>
    <r>
      <rPr>
        <rFont val="Aptos Narrow"/>
        <b val="true"/>
        <i val="false"/>
        <strike val="false"/>
        <color rgb="FF000000"/>
        <sz val="14"/>
        <u val="none"/>
      </rPr>
      <t xml:space="preserve">(*)</t>
    </r>
  </si>
  <si>
    <t>Consumo promedio de combustible en ralentí por hora</t>
  </si>
  <si>
    <t>Unidad de Distancia</t>
  </si>
  <si>
    <t>Odómetro Promedio</t>
  </si>
  <si>
    <t>PROM. DE DISTANCIA RECORRIDA</t>
  </si>
  <si>
    <t>PROM. DE DIAS CONDUCIDOS</t>
  </si>
  <si>
    <t>TIEMPO PROMEDIO DE CONDUCCION</t>
  </si>
  <si>
    <t>TIEMPO PROMEDIO EN RALENTI</t>
  </si>
  <si>
    <t>Prom. total de tiempo conducido + Ralentí (días)</t>
  </si>
  <si>
    <t>UTILIZACION</t>
  </si>
  <si>
    <t>Tabla de referencia rápida</t>
  </si>
  <si>
    <t>Nota: Tenga en cuenta que sus vehículos solo se mostrarán en el reporte si están asignados a un solo grupo en Geotab.</t>
  </si>
  <si>
    <t>Minutos</t>
  </si>
  <si>
    <t>Segundos</t>
  </si>
  <si>
    <t>PROM. TOTAL DE TIEMPO CONDUCIDO (Días)</t>
  </si>
  <si>
    <t>PROM. TOTAL DE TIEMPO EN RALENTI (Días)</t>
  </si>
  <si>
    <t>PROM. DE HORAS DE USO POR DIA</t>
  </si>
  <si>
    <t>PROM. USO DE JORNADA LABORAL(%)</t>
  </si>
  <si>
    <t>PROM. DE DIAS CONDUCIDOS (%)</t>
  </si>
  <si>
    <t>COSTO TOTAL DE COMBUSTIBLE EN RALENTI</t>
  </si>
  <si>
    <t>1 Milla</t>
  </si>
  <si>
    <t>=</t>
  </si>
  <si>
    <t>1.6 Kilómetros</t>
  </si>
  <si>
    <t>1 Galón</t>
  </si>
  <si>
    <t>3.78541 Litros</t>
  </si>
  <si>
    <t>1 USD</t>
  </si>
  <si>
    <t>1.42 CAD</t>
  </si>
  <si>
    <t>Grupo1</t>
  </si>
  <si>
    <t>Grupo2</t>
  </si>
  <si>
    <t>Grupo3</t>
  </si>
  <si>
    <t>Grupo4</t>
  </si>
  <si>
    <t>Grupo5</t>
  </si>
  <si>
    <t>Grupo6</t>
  </si>
  <si>
    <t>Grupo7</t>
  </si>
  <si>
    <t>Grupo8</t>
  </si>
  <si>
    <t>Vehículo</t>
  </si>
  <si>
    <t>Conductor</t>
  </si>
  <si>
    <t>GPS</t>
  </si>
  <si>
    <t>Cámara</t>
  </si>
  <si>
    <t>Odómetro</t>
  </si>
  <si>
    <t>(1)
 DISTANCIA RECORRIDA</t>
  </si>
  <si>
    <t>(2)
 DIAS CONDUCIDOS</t>
  </si>
  <si>
    <t>TIEMPO CONDUCIDO</t>
  </si>
  <si>
    <t>TIEMPO EN RALENTI</t>
  </si>
  <si>
    <t>Tiempo total conducido + Ralentí (horas)</t>
  </si>
  <si>
    <t>0.95 EUR</t>
  </si>
  <si>
    <t>TIEMPO NETO CONDUCIDO (Horas)</t>
  </si>
  <si>
    <t>% CONDUCIDO</t>
  </si>
  <si>
    <t>TIEMPO NETO EN RALENTI (Horas)</t>
  </si>
  <si>
    <t>% EN RALENTI</t>
  </si>
  <si>
    <t>(3) 
HORAS DE USO POR DIA</t>
  </si>
  <si>
    <t>USO DE JORNADA LABORAL (%)</t>
  </si>
  <si>
    <t>DIAS CONDUCIDOS (%)</t>
  </si>
  <si>
    <t>COSTO DE COMBUSTIBLE EN RALENTI</t>
  </si>
  <si>
    <t>Magnex</t>
  </si>
  <si>
    <t>Zona Generación</t>
  </si>
  <si>
    <t>ECP 1107 Rubiales Serv. Integrales</t>
  </si>
  <si>
    <t>QLO286</t>
  </si>
  <si>
    <t>✔️</t>
  </si>
  <si>
    <t>Zona Centro</t>
  </si>
  <si>
    <t>GMA CENTRO</t>
  </si>
  <si>
    <t>NPY686</t>
  </si>
  <si>
    <t>Zona Energy</t>
  </si>
  <si>
    <t>Zona Occidente</t>
  </si>
  <si>
    <t>Zona Cerrejón</t>
  </si>
  <si>
    <t>Zona Drummond</t>
  </si>
  <si>
    <t>ENEL 6053 Zona III OPEX SOT SOC-GA</t>
  </si>
  <si>
    <t>ENEL 6054 Zona V OPEX SOT SOC-GA</t>
  </si>
  <si>
    <t>GENERACION TELLO</t>
  </si>
  <si>
    <t>CEN 8596 Estac ANDINA - PREVEN-CORREC</t>
  </si>
  <si>
    <t>CEN 8596 Estac LLANOS - PREVEN-CORREC</t>
  </si>
  <si>
    <t>CERREJON 2022 Cabinas-GA</t>
  </si>
  <si>
    <t>CERREJON 3534 Soldadura-GA</t>
  </si>
  <si>
    <t>DRUMMOND 2414 Mtto Equipo Movil-GA</t>
  </si>
  <si>
    <t>DRUMMOND 1547 Liviano-GA</t>
  </si>
  <si>
    <t>DRUMMOND 2314 Soldadura-GA</t>
  </si>
  <si>
    <t>CERREJON 0174 Bombas-GA</t>
  </si>
  <si>
    <t>DRUMMOND 1859T-1885T Mtto - Limpieza-GA</t>
  </si>
  <si>
    <t>TERPEL 7148 Estaciones CER-GA</t>
  </si>
  <si>
    <t>ENEL 6234 Zona X OPEX SOT SOC-GA</t>
  </si>
  <si>
    <t>Frontera Energy Col 2679</t>
  </si>
  <si>
    <t>PMV840</t>
  </si>
  <si>
    <t>NPY798</t>
  </si>
  <si>
    <t>GSO698</t>
  </si>
  <si>
    <t>NPY979</t>
  </si>
  <si>
    <t>NPY794</t>
  </si>
  <si>
    <t>NPY609</t>
  </si>
  <si>
    <t>NPY995</t>
  </si>
  <si>
    <t>JSL414</t>
  </si>
  <si>
    <t>GSN681</t>
  </si>
  <si>
    <t>NPY976</t>
  </si>
  <si>
    <t>NPY986</t>
  </si>
  <si>
    <t>NPY990</t>
  </si>
  <si>
    <t>LJQ948</t>
  </si>
  <si>
    <t>NFX476</t>
  </si>
  <si>
    <t>NPY987</t>
  </si>
  <si>
    <t>NPY628</t>
  </si>
  <si>
    <t>NPY978</t>
  </si>
  <si>
    <t>JSL356</t>
  </si>
  <si>
    <t>NPZ118</t>
  </si>
  <si>
    <t>GEU353</t>
  </si>
  <si>
    <t>NPY988</t>
  </si>
  <si>
    <t>PMV835</t>
  </si>
  <si>
    <t>NPY973</t>
  </si>
  <si>
    <t>NPY797</t>
  </si>
  <si>
    <t>WNN254</t>
  </si>
  <si>
    <t>PMV839</t>
  </si>
  <si>
    <t>NPY966</t>
  </si>
  <si>
    <t>PMV833</t>
  </si>
  <si>
    <t>LMM822</t>
  </si>
  <si>
    <t>PMW018</t>
  </si>
  <si>
    <t>NPY991</t>
  </si>
  <si>
    <t>LWL497</t>
  </si>
  <si>
    <t>NPY799</t>
  </si>
  <si>
    <t>NPY796</t>
  </si>
  <si>
    <t>NPY981</t>
  </si>
  <si>
    <t>NPY786</t>
  </si>
  <si>
    <t>NPY972</t>
  </si>
  <si>
    <t>NPY791</t>
  </si>
  <si>
    <t>NPY789</t>
  </si>
  <si>
    <t>NPY793</t>
  </si>
  <si>
    <t>NPY790</t>
  </si>
  <si>
    <t>NPY950</t>
  </si>
  <si>
    <t>NPY787</t>
  </si>
  <si>
    <t>LHW539</t>
  </si>
  <si>
    <t>NPY985</t>
  </si>
  <si>
    <t>IDZ623</t>
  </si>
  <si>
    <t>NPY996</t>
  </si>
  <si>
    <t>NPY605</t>
  </si>
  <si>
    <t>NZT850</t>
  </si>
  <si>
    <t>NZT856</t>
  </si>
  <si>
    <t>LHW559</t>
  </si>
  <si>
    <t>PMV837</t>
  </si>
  <si>
    <t>PMV838</t>
  </si>
  <si>
    <t>PMV834</t>
  </si>
  <si>
    <t>PMV832</t>
  </si>
  <si>
    <t>WOP059</t>
  </si>
  <si>
    <t>WOO967</t>
  </si>
  <si>
    <t>PPK445</t>
  </si>
  <si>
    <t>WLS449</t>
  </si>
  <si>
    <t>WOP108</t>
  </si>
  <si>
    <t>WOP279</t>
  </si>
  <si>
    <t>PMV831</t>
  </si>
  <si>
    <t>PMV836</t>
  </si>
  <si>
    <t>WOP088</t>
  </si>
  <si>
    <t>GKV610</t>
  </si>
  <si>
    <t>LHW470</t>
  </si>
  <si>
    <t>NPY982</t>
  </si>
  <si>
    <t>NPY632</t>
  </si>
  <si>
    <t>NPY975</t>
  </si>
  <si>
    <t>NPY992</t>
  </si>
  <si>
    <t>NPY788</t>
  </si>
  <si>
    <t>NPY670</t>
  </si>
  <si>
    <t>NPY690</t>
  </si>
  <si>
    <t>NPY993</t>
  </si>
  <si>
    <t>NPY967</t>
  </si>
  <si>
    <t>NPY780</t>
  </si>
  <si>
    <t>NPY631</t>
  </si>
  <si>
    <t>NPY970</t>
  </si>
  <si>
    <t>NPZ067</t>
  </si>
  <si>
    <t>NPY963</t>
  </si>
  <si>
    <t>NPY795</t>
  </si>
  <si>
    <t>NZT989</t>
  </si>
  <si>
    <t>NPY469</t>
  </si>
  <si>
    <t>NPY474</t>
  </si>
  <si>
    <t>NPY475</t>
  </si>
  <si>
    <t>GSN630</t>
  </si>
  <si>
    <t>KYZ091</t>
  </si>
  <si>
    <t>LHW490</t>
  </si>
  <si>
    <t>LHW599</t>
  </si>
  <si>
    <t>LHT879</t>
  </si>
  <si>
    <t>LHT869</t>
  </si>
  <si>
    <t>NPY964</t>
  </si>
  <si>
    <t>NPY610</t>
  </si>
  <si>
    <t>NPY464</t>
  </si>
  <si>
    <t>PXP799</t>
  </si>
  <si>
    <t>PXP416</t>
  </si>
  <si>
    <t>PXP761</t>
  </si>
  <si>
    <t>NPY626</t>
  </si>
  <si>
    <t>NFX464</t>
  </si>
  <si>
    <t>PXP833</t>
  </si>
  <si>
    <t>PRP822</t>
  </si>
  <si>
    <t>NPY629</t>
  </si>
  <si>
    <t>NPY449</t>
  </si>
  <si>
    <t>PXP740</t>
  </si>
  <si>
    <t>NPY604</t>
  </si>
  <si>
    <t>NGK624</t>
  </si>
  <si>
    <t>NPY630</t>
  </si>
  <si>
    <t>NPY606</t>
  </si>
  <si>
    <t>NGK550</t>
  </si>
  <si>
    <t>NPY602</t>
  </si>
  <si>
    <t>NPY485</t>
  </si>
  <si>
    <t>WOY428</t>
  </si>
  <si>
    <t>NPY471</t>
  </si>
  <si>
    <t>NPY494</t>
  </si>
  <si>
    <t>NPY498</t>
  </si>
  <si>
    <t>NPY493</t>
  </si>
  <si>
    <t>NPY453</t>
  </si>
  <si>
    <t>NPY457</t>
  </si>
  <si>
    <t>NPY463</t>
  </si>
  <si>
    <t>NPY608</t>
  </si>
  <si>
    <t>NZO648</t>
  </si>
  <si>
    <t>NPY479</t>
  </si>
  <si>
    <t>NPY499</t>
  </si>
  <si>
    <t>NPY614</t>
  </si>
  <si>
    <t>NUZ349</t>
  </si>
  <si>
    <t>NPY491</t>
  </si>
  <si>
    <t>WOY427</t>
  </si>
  <si>
    <t>PXP834</t>
  </si>
  <si>
    <t>NPY600</t>
  </si>
  <si>
    <t>NPY492</t>
  </si>
  <si>
    <t>PXP812</t>
  </si>
  <si>
    <t>NGK922</t>
  </si>
  <si>
    <t>NPY496</t>
  </si>
  <si>
    <t>NPY481</t>
  </si>
  <si>
    <t>NPY467</t>
  </si>
  <si>
    <t>NPY477</t>
  </si>
  <si>
    <t>NPY607</t>
  </si>
  <si>
    <t>NFV715</t>
  </si>
  <si>
    <t>NPY603</t>
  </si>
  <si>
    <t>WNL992</t>
  </si>
  <si>
    <t>PMV600</t>
  </si>
  <si>
    <t>NUX522</t>
  </si>
  <si>
    <t>NFV535</t>
  </si>
  <si>
    <t>GSO603</t>
  </si>
  <si>
    <t>NPY971</t>
  </si>
  <si>
    <t>NUZ345</t>
  </si>
  <si>
    <t>KSP715</t>
  </si>
  <si>
    <t>NUZ348</t>
  </si>
  <si>
    <t>NFX492</t>
  </si>
  <si>
    <t>LUY746</t>
  </si>
  <si>
    <t>NPY495</t>
  </si>
  <si>
    <t>NUZ344</t>
  </si>
  <si>
    <t>NPY618</t>
  </si>
  <si>
    <t>NPY490</t>
  </si>
  <si>
    <t>NUZ346</t>
  </si>
  <si>
    <t>NPY482</t>
  </si>
  <si>
    <t>NUZ347</t>
  </si>
  <si>
    <t>NUZ343</t>
  </si>
  <si>
    <t>NPY487</t>
  </si>
  <si>
    <t>QNN496</t>
  </si>
  <si>
    <t>KSR316</t>
  </si>
  <si>
    <t>NPY459</t>
  </si>
  <si>
    <t>LUX622</t>
  </si>
  <si>
    <t>KSR314</t>
  </si>
  <si>
    <t>KSP722</t>
  </si>
  <si>
    <t>NPY489</t>
  </si>
  <si>
    <t>QNN499</t>
  </si>
  <si>
    <t>NPY616</t>
  </si>
  <si>
    <t>NPY617</t>
  </si>
  <si>
    <t>QLO510</t>
  </si>
  <si>
    <t>NPY621</t>
  </si>
  <si>
    <t>NPY622</t>
  </si>
  <si>
    <t>PWQ889</t>
  </si>
  <si>
    <t>NGK637</t>
  </si>
  <si>
    <t>NPY497</t>
  </si>
  <si>
    <t>NPY620</t>
  </si>
  <si>
    <t>NPY623</t>
  </si>
  <si>
    <t>PRP821</t>
  </si>
  <si>
    <t>NFV709</t>
  </si>
  <si>
    <t>PMV601</t>
  </si>
  <si>
    <t>PMV598</t>
  </si>
  <si>
    <t>QLO430</t>
  </si>
  <si>
    <t>KSP716</t>
  </si>
  <si>
    <t>KSP720</t>
  </si>
  <si>
    <t>KSP719</t>
  </si>
  <si>
    <t>KSP713</t>
  </si>
  <si>
    <t>NPY624</t>
  </si>
  <si>
    <t>KSR312</t>
  </si>
  <si>
    <t>NPY672</t>
  </si>
  <si>
    <t>NPV257</t>
  </si>
  <si>
    <t>NPY484</t>
  </si>
  <si>
    <t>QLT551</t>
  </si>
  <si>
    <t>QLT553</t>
  </si>
  <si>
    <t>PKU060</t>
  </si>
  <si>
    <t>QLT576</t>
  </si>
  <si>
    <t>QLT513</t>
  </si>
  <si>
    <t>QLT538</t>
  </si>
  <si>
    <t>PKU280</t>
  </si>
  <si>
    <t>PKU307</t>
  </si>
  <si>
    <t>QLT519</t>
  </si>
  <si>
    <t>PKU269</t>
  </si>
  <si>
    <t>PKU069</t>
  </si>
  <si>
    <t>PKU249</t>
  </si>
  <si>
    <t>PKU239</t>
  </si>
  <si>
    <t>QLT528</t>
  </si>
  <si>
    <t>Jose Yezith Córdoba Leon</t>
  </si>
  <si>
    <t>Luis Felipe Gomez Perdomo</t>
  </si>
  <si>
    <t>Luis Enrique Chala</t>
  </si>
  <si>
    <t>⚠️</t>
  </si>
  <si>
    <t>Distancia total recorrida</t>
  </si>
  <si>
    <t>días</t>
  </si>
  <si>
    <t>Menos de 200</t>
  </si>
  <si>
    <t>Menos de 133</t>
  </si>
  <si>
    <t>Menos de 67</t>
  </si>
  <si>
    <t>Menos de 16</t>
  </si>
  <si>
    <t>200 a 500</t>
  </si>
  <si>
    <t>133 a 333</t>
  </si>
  <si>
    <t>67 a 167</t>
  </si>
  <si>
    <t>16 a 39</t>
  </si>
  <si>
    <t>500 a 1,500</t>
  </si>
  <si>
    <t>333 a 1,000</t>
  </si>
  <si>
    <t>167 a 500</t>
  </si>
  <si>
    <t>39 a 117</t>
  </si>
  <si>
    <t>1,500 a 3,000</t>
  </si>
  <si>
    <t>1,000 a 2,000</t>
  </si>
  <si>
    <t>500 a 1,000</t>
  </si>
  <si>
    <t>117 a 233</t>
  </si>
  <si>
    <t>Más de 3,000</t>
  </si>
  <si>
    <t>Más de 2,000</t>
  </si>
  <si>
    <t>Más de 1,000</t>
  </si>
  <si>
    <t>Más de 233</t>
  </si>
  <si>
    <t>Total de días conducidos</t>
  </si>
  <si>
    <t>Menos de 18</t>
  </si>
  <si>
    <t>Menos de 12</t>
  </si>
  <si>
    <t>Menos de 6</t>
  </si>
  <si>
    <t>Menos de 1</t>
  </si>
  <si>
    <t>18 a 36</t>
  </si>
  <si>
    <t>12 a 24</t>
  </si>
  <si>
    <t>6 a 12</t>
  </si>
  <si>
    <t>1 a 3</t>
  </si>
  <si>
    <t>36 a 54</t>
  </si>
  <si>
    <t>24 a 36</t>
  </si>
  <si>
    <t>12 a 18</t>
  </si>
  <si>
    <t>3 a 4</t>
  </si>
  <si>
    <t>54 a 72</t>
  </si>
  <si>
    <t>36 a 48</t>
  </si>
  <si>
    <t>18 a 24</t>
  </si>
  <si>
    <t>72 a 90</t>
  </si>
  <si>
    <t>48 a 60</t>
  </si>
  <si>
    <t>24 a 30</t>
  </si>
  <si>
    <t>6 a 7</t>
  </si>
  <si>
    <t>Km</t>
  </si>
  <si>
    <t>Litros</t>
  </si>
  <si>
    <t>Millas</t>
  </si>
  <si>
    <t>Galones</t>
  </si>
  <si>
    <t>Grupo</t>
  </si>
  <si>
    <t>GPS sin conexión 5+ días</t>
  </si>
  <si>
    <t>Días conducidos (promedio)</t>
  </si>
  <si>
    <t>Kilómetros conducidos (promedio)</t>
  </si>
  <si>
    <t>Horas conducidas (promedio)</t>
  </si>
  <si>
    <t>32:19:22</t>
  </si>
  <si>
    <t>Tiempo en ralentí (promedio)</t>
  </si>
  <si>
    <t>15:37:08</t>
  </si>
  <si>
    <t>% de utilización (días conducidos)</t>
  </si>
  <si>
    <t>27%</t>
  </si>
  <si>
    <t>Grupo 1</t>
  </si>
  <si>
    <t>Asset Information</t>
  </si>
  <si>
    <t>CALIBRATION SERVICES</t>
  </si>
  <si>
    <t>Zona Tabarca</t>
  </si>
  <si>
    <t>0:00:00</t>
  </si>
  <si>
    <t>54:05:01</t>
  </si>
  <si>
    <t>16:47:56</t>
  </si>
  <si>
    <t>14:17:26</t>
  </si>
  <si>
    <t>26:55:31</t>
  </si>
  <si>
    <t>165:36:32</t>
  </si>
  <si>
    <t>12:14:57</t>
  </si>
  <si>
    <t>4:54:22</t>
  </si>
  <si>
    <t>11:15:25</t>
  </si>
  <si>
    <t>12:43:29</t>
  </si>
  <si>
    <t>15:27:22</t>
  </si>
  <si>
    <t>48:53:50</t>
  </si>
  <si>
    <t>1:29:27</t>
  </si>
  <si>
    <t>-</t>
  </si>
  <si>
    <t>75%</t>
  </si>
  <si>
    <t>13%</t>
  </si>
  <si>
    <t>11%</t>
  </si>
  <si>
    <t>33%</t>
  </si>
  <si>
    <t>84%</t>
  </si>
  <si>
    <t>14%</t>
  </si>
  <si>
    <t>Grupo 2</t>
  </si>
  <si>
    <t>Asset Purpose</t>
  </si>
  <si>
    <t>Asset Type</t>
  </si>
  <si>
    <t>Campos Menores RegCentral</t>
  </si>
  <si>
    <t>CEN 8596 Estac CAÑO LIMON - MOH</t>
  </si>
  <si>
    <t>CEN 8596 Estac CAÑO LIMON-PREVEN-CORREC</t>
  </si>
  <si>
    <t>CEN 8596 Estac SUR - PREVEN - CORREC</t>
  </si>
  <si>
    <t>DRUMMOND 1955T Facilidades-GA</t>
  </si>
  <si>
    <t>ESENTTIA 9402-9403-9404-2367 Mtto</t>
  </si>
  <si>
    <t>FRONTERA FACILIDADES &amp; CLUSTER QUIFA</t>
  </si>
  <si>
    <t>GCI CIRA</t>
  </si>
  <si>
    <t>GMA PROVINCIA</t>
  </si>
  <si>
    <t>GRI CANTAGALLO</t>
  </si>
  <si>
    <t>GRI CASABE</t>
  </si>
  <si>
    <t>ODL 0760 MTTO INTEGRAL DE EQUIPOS-GA</t>
  </si>
  <si>
    <t>Powertrain and Fuel Type</t>
  </si>
  <si>
    <t>TERMOAPIAY</t>
  </si>
  <si>
    <t>TRANSVERSAL IND</t>
  </si>
  <si>
    <t>9:13:01</t>
  </si>
  <si>
    <t>18:18:48</t>
  </si>
  <si>
    <t>16:30:53</t>
  </si>
  <si>
    <t>18:25:31</t>
  </si>
  <si>
    <t>14:42:47</t>
  </si>
  <si>
    <t>15:23:04</t>
  </si>
  <si>
    <t>16:38:38</t>
  </si>
  <si>
    <t>7:33:47</t>
  </si>
  <si>
    <t>17:52:39</t>
  </si>
  <si>
    <t>324:19:25</t>
  </si>
  <si>
    <t>18:36:56</t>
  </si>
  <si>
    <t>38:55:11</t>
  </si>
  <si>
    <t>37:20:59</t>
  </si>
  <si>
    <t>175:50:34</t>
  </si>
  <si>
    <t>14:36:52</t>
  </si>
  <si>
    <t>33:18:52</t>
  </si>
  <si>
    <t>13:55:21</t>
  </si>
  <si>
    <t>0:55:32</t>
  </si>
  <si>
    <t>2:37:19</t>
  </si>
  <si>
    <t>11:57:48</t>
  </si>
  <si>
    <t>12:01:49</t>
  </si>
  <si>
    <t>9:57:17</t>
  </si>
  <si>
    <t>8:25:17</t>
  </si>
  <si>
    <t>13:19:16</t>
  </si>
  <si>
    <t>3:24:49</t>
  </si>
  <si>
    <t>21:04:46</t>
  </si>
  <si>
    <t>66:45:57</t>
  </si>
  <si>
    <t>12:57:14</t>
  </si>
  <si>
    <t>19:18:15</t>
  </si>
  <si>
    <t>11:15:22</t>
  </si>
  <si>
    <t>53:21:27</t>
  </si>
  <si>
    <t>8:44:31</t>
  </si>
  <si>
    <t>16:01:05</t>
  </si>
  <si>
    <t>3:17:49</t>
  </si>
  <si>
    <t>18%</t>
  </si>
  <si>
    <t>12%</t>
  </si>
  <si>
    <t>15%</t>
  </si>
  <si>
    <t>10%</t>
  </si>
  <si>
    <t>8%</t>
  </si>
  <si>
    <t>100%</t>
  </si>
  <si>
    <t>26%</t>
  </si>
  <si>
    <t>43%</t>
  </si>
  <si>
    <t>57%</t>
  </si>
  <si>
    <t>91%</t>
  </si>
  <si>
    <t>20%</t>
  </si>
  <si>
    <t>17%</t>
  </si>
  <si>
    <t>Grupo 3</t>
  </si>
  <si>
    <t>Container</t>
  </si>
  <si>
    <t>Electric or Plug-In Hybrid</t>
  </si>
  <si>
    <t>Equipment</t>
  </si>
  <si>
    <t>Fuel Cell Electric Vehicle</t>
  </si>
  <si>
    <t>Internal Combustion Engine</t>
  </si>
  <si>
    <t>Manually Classified Powertrain</t>
  </si>
  <si>
    <t>Trailer</t>
  </si>
  <si>
    <t>Vehicle</t>
  </si>
  <si>
    <t>27:26:25</t>
  </si>
  <si>
    <t>9:57:29</t>
  </si>
  <si>
    <t>23%</t>
  </si>
  <si>
    <t>Grupo 4</t>
  </si>
  <si>
    <t>Battery Electric Vehicle</t>
  </si>
  <si>
    <t>Biodiesel</t>
  </si>
  <si>
    <t>Compressed Natural Gas</t>
  </si>
  <si>
    <t>Diesel</t>
  </si>
  <si>
    <t>Ethanol</t>
  </si>
  <si>
    <t>Gasoline or Petrol</t>
  </si>
  <si>
    <t>Other Fuel Type</t>
  </si>
  <si>
    <t>Plug-in Hybrid Electric Vehicle</t>
  </si>
  <si>
    <t>Propane or Liquified Petroleum Gas</t>
  </si>
  <si>
    <t>33:49:11</t>
  </si>
  <si>
    <t>13:24:45</t>
  </si>
  <si>
    <t>16:20:04</t>
  </si>
  <si>
    <t>3:33:10</t>
  </si>
  <si>
    <t>28%</t>
  </si>
  <si>
    <t>Organización</t>
  </si>
  <si>
    <t>MAGNEX_COL</t>
  </si>
  <si>
    <t>Fecha del reporte</t>
  </si>
  <si>
    <t>Desde</t>
  </si>
  <si>
    <t>Hasta</t>
  </si>
  <si>
    <t>Unidad de distancia</t>
  </si>
  <si>
    <t>KM</t>
  </si>
  <si>
    <t>Grupo 5</t>
  </si>
  <si>
    <t>Conductor actual</t>
  </si>
  <si>
    <t>Odómetro KM</t>
  </si>
  <si>
    <t>Días conducidos</t>
  </si>
  <si>
    <t>Kilómetros conducidos</t>
  </si>
  <si>
    <t>Horas conducidas</t>
  </si>
  <si>
    <t>42:03:04</t>
  </si>
  <si>
    <t>37:13:50</t>
  </si>
  <si>
    <t>66:33:51</t>
  </si>
  <si>
    <t>131:38:31</t>
  </si>
  <si>
    <t>72:58:59</t>
  </si>
  <si>
    <t>57:40:03</t>
  </si>
  <si>
    <t>68:47:36</t>
  </si>
  <si>
    <t>56:30:46</t>
  </si>
  <si>
    <t>14:33:52</t>
  </si>
  <si>
    <t>75:50:34</t>
  </si>
  <si>
    <t>34:01:42</t>
  </si>
  <si>
    <t>34:11:37</t>
  </si>
  <si>
    <t>62:49:30</t>
  </si>
  <si>
    <t>25:35:39</t>
  </si>
  <si>
    <t>38:24:02</t>
  </si>
  <si>
    <t>31:26:59</t>
  </si>
  <si>
    <t>52:27:51</t>
  </si>
  <si>
    <t>40:39:02</t>
  </si>
  <si>
    <t>41:03:45</t>
  </si>
  <si>
    <t>17:48:43</t>
  </si>
  <si>
    <t>25:11:37</t>
  </si>
  <si>
    <t>30:06:28</t>
  </si>
  <si>
    <t>20:31:47</t>
  </si>
  <si>
    <t>26:31:06</t>
  </si>
  <si>
    <t>35:58:06</t>
  </si>
  <si>
    <t>32:26:16</t>
  </si>
  <si>
    <t>20:38:48</t>
  </si>
  <si>
    <t>9:02:31</t>
  </si>
  <si>
    <t>23:36:14</t>
  </si>
  <si>
    <t>21:01:45</t>
  </si>
  <si>
    <t>18:56:28</t>
  </si>
  <si>
    <t>50:56:11</t>
  </si>
  <si>
    <t>17:19:23</t>
  </si>
  <si>
    <t>17:45:03</t>
  </si>
  <si>
    <t>24:12:31</t>
  </si>
  <si>
    <t>0:55:24</t>
  </si>
  <si>
    <t>33:00:25</t>
  </si>
  <si>
    <t>43:33:59</t>
  </si>
  <si>
    <t>28:52:17</t>
  </si>
  <si>
    <t>31:10:13</t>
  </si>
  <si>
    <t>19:17:11</t>
  </si>
  <si>
    <t>5:48:05</t>
  </si>
  <si>
    <t>33:32:09</t>
  </si>
  <si>
    <t>11:31:36</t>
  </si>
  <si>
    <t>18:33:06</t>
  </si>
  <si>
    <t>25:17:57</t>
  </si>
  <si>
    <t>10:33:54</t>
  </si>
  <si>
    <t>23:15:53</t>
  </si>
  <si>
    <t>45:10:32</t>
  </si>
  <si>
    <t>13:11:19</t>
  </si>
  <si>
    <t>2:01:39</t>
  </si>
  <si>
    <t>28:47:22</t>
  </si>
  <si>
    <t>12:45:41</t>
  </si>
  <si>
    <t>12:54:49</t>
  </si>
  <si>
    <t>7:42:09</t>
  </si>
  <si>
    <t>11:10:16</t>
  </si>
  <si>
    <t>10:59:16</t>
  </si>
  <si>
    <t>14:38:44</t>
  </si>
  <si>
    <t>15:42:42</t>
  </si>
  <si>
    <t>12:44:40</t>
  </si>
  <si>
    <t>12:02:57</t>
  </si>
  <si>
    <t>8:27:10</t>
  </si>
  <si>
    <t>11:24:19</t>
  </si>
  <si>
    <t>11:05:35</t>
  </si>
  <si>
    <t>12:11:34</t>
  </si>
  <si>
    <t>19:40:27</t>
  </si>
  <si>
    <t>25:53:54</t>
  </si>
  <si>
    <t>9:25:39</t>
  </si>
  <si>
    <t>16:42:11</t>
  </si>
  <si>
    <t>40:48:34</t>
  </si>
  <si>
    <t>19:36:17</t>
  </si>
  <si>
    <t>10:20:06</t>
  </si>
  <si>
    <t>20:31:07</t>
  </si>
  <si>
    <t>10:39:12</t>
  </si>
  <si>
    <t>16:43:21</t>
  </si>
  <si>
    <t>17:47:09</t>
  </si>
  <si>
    <t>21:39:38</t>
  </si>
  <si>
    <t>0:42:27</t>
  </si>
  <si>
    <t>12:11:49</t>
  </si>
  <si>
    <t>17:22:10</t>
  </si>
  <si>
    <t>28:24:08</t>
  </si>
  <si>
    <t>15:30:08</t>
  </si>
  <si>
    <t>9:36:34</t>
  </si>
  <si>
    <t>33:25:16</t>
  </si>
  <si>
    <t>33:09:57</t>
  </si>
  <si>
    <t>0:29:21</t>
  </si>
  <si>
    <t>0:00:52</t>
  </si>
  <si>
    <t>0:00:33</t>
  </si>
  <si>
    <t>14:51:30</t>
  </si>
  <si>
    <t>8:27:47</t>
  </si>
  <si>
    <t>11:19:35</t>
  </si>
  <si>
    <t>18:41:57</t>
  </si>
  <si>
    <t>2:57:45</t>
  </si>
  <si>
    <t>15:37:44</t>
  </si>
  <si>
    <t>4:52:30</t>
  </si>
  <si>
    <t>1:49:55</t>
  </si>
  <si>
    <t>19:25:14</t>
  </si>
  <si>
    <t>27:01:52</t>
  </si>
  <si>
    <t>35:29:02</t>
  </si>
  <si>
    <t>19:55:06</t>
  </si>
  <si>
    <t>23:44:00</t>
  </si>
  <si>
    <t>37:56:04</t>
  </si>
  <si>
    <t>7:20:16</t>
  </si>
  <si>
    <t>8:00:19</t>
  </si>
  <si>
    <t>24:20:41</t>
  </si>
  <si>
    <t>28:41:30</t>
  </si>
  <si>
    <t>4:27:31</t>
  </si>
  <si>
    <t>18:16:07</t>
  </si>
  <si>
    <t>17:37:23</t>
  </si>
  <si>
    <t>20:49:42</t>
  </si>
  <si>
    <t>2:50:19</t>
  </si>
  <si>
    <t>31:28:53</t>
  </si>
  <si>
    <t>0:33:32</t>
  </si>
  <si>
    <t>22:09:15</t>
  </si>
  <si>
    <t>23:11:38</t>
  </si>
  <si>
    <t>31:22:26</t>
  </si>
  <si>
    <t>27:34:59</t>
  </si>
  <si>
    <t>22:00:41</t>
  </si>
  <si>
    <t>11:39:13</t>
  </si>
  <si>
    <t>19:38:11</t>
  </si>
  <si>
    <t>30:53:07</t>
  </si>
  <si>
    <t>22:56:08</t>
  </si>
  <si>
    <t>26:27:13</t>
  </si>
  <si>
    <t>7:00:20</t>
  </si>
  <si>
    <t>22:58:20</t>
  </si>
  <si>
    <t>22:27:11</t>
  </si>
  <si>
    <t>25:00:39</t>
  </si>
  <si>
    <t>23:10:01</t>
  </si>
  <si>
    <t>24:45:23</t>
  </si>
  <si>
    <t>8:25:59</t>
  </si>
  <si>
    <t>19:12:20</t>
  </si>
  <si>
    <t>2:48:29</t>
  </si>
  <si>
    <t>24:23:42</t>
  </si>
  <si>
    <t>17:49:38</t>
  </si>
  <si>
    <t>27:15:37</t>
  </si>
  <si>
    <t>34:50:51</t>
  </si>
  <si>
    <t>22:27:20</t>
  </si>
  <si>
    <t>16:40:42</t>
  </si>
  <si>
    <t>0:02:54</t>
  </si>
  <si>
    <t>6:28:32</t>
  </si>
  <si>
    <t>15:05:05</t>
  </si>
  <si>
    <t>15:35:30</t>
  </si>
  <si>
    <t>5:53:32</t>
  </si>
  <si>
    <t>0:21:28</t>
  </si>
  <si>
    <t>16:33:21</t>
  </si>
  <si>
    <t>14:19:57</t>
  </si>
  <si>
    <t>17:32:31</t>
  </si>
  <si>
    <t>26:31:26</t>
  </si>
  <si>
    <t>3:56:11</t>
  </si>
  <si>
    <t>18:35:31</t>
  </si>
  <si>
    <t>18:44:52</t>
  </si>
  <si>
    <t>19:25:47</t>
  </si>
  <si>
    <t>15:58:33</t>
  </si>
  <si>
    <t>0:02:02</t>
  </si>
  <si>
    <t>16:23:21</t>
  </si>
  <si>
    <t>13:29:23</t>
  </si>
  <si>
    <t>0:48:16</t>
  </si>
  <si>
    <t>1:18:14</t>
  </si>
  <si>
    <t>23:59:06</t>
  </si>
  <si>
    <t>9:24:34</t>
  </si>
  <si>
    <t>10:16:38</t>
  </si>
  <si>
    <t>10:59:09</t>
  </si>
  <si>
    <t>0:00:04</t>
  </si>
  <si>
    <t>0:10:18</t>
  </si>
  <si>
    <t>19:10:40</t>
  </si>
  <si>
    <t>14:01:00</t>
  </si>
  <si>
    <t>17:33:09</t>
  </si>
  <si>
    <t>0:42:09</t>
  </si>
  <si>
    <t>25:34:26</t>
  </si>
  <si>
    <t>24:06:38</t>
  </si>
  <si>
    <t>10:16:03</t>
  </si>
  <si>
    <t>17:41:21</t>
  </si>
  <si>
    <t>0:03:21</t>
  </si>
  <si>
    <t>10:37:08</t>
  </si>
  <si>
    <t>11:49:52</t>
  </si>
  <si>
    <t>6:13:49</t>
  </si>
  <si>
    <t>8:37:31</t>
  </si>
  <si>
    <t>0:02:28</t>
  </si>
  <si>
    <t>7:39:53</t>
  </si>
  <si>
    <t>2:13:54</t>
  </si>
  <si>
    <t>2:53:40</t>
  </si>
  <si>
    <t>0:00:01</t>
  </si>
  <si>
    <t>4:59:00</t>
  </si>
  <si>
    <t>0:11:07</t>
  </si>
  <si>
    <t>8:49:13</t>
  </si>
  <si>
    <t>66:06:58</t>
  </si>
  <si>
    <t>88:29:53</t>
  </si>
  <si>
    <t>165:25:23</t>
  </si>
  <si>
    <t>290:46:20</t>
  </si>
  <si>
    <t>106:01:56</t>
  </si>
  <si>
    <t>316:15:04</t>
  </si>
  <si>
    <t>117:44:57</t>
  </si>
  <si>
    <t>259:52:17</t>
  </si>
  <si>
    <t>17:56:12</t>
  </si>
  <si>
    <t>163:52:34</t>
  </si>
  <si>
    <t>263:00:00</t>
  </si>
  <si>
    <t>250:11:16</t>
  </si>
  <si>
    <t>124:58:05</t>
  </si>
  <si>
    <t>136:49:32</t>
  </si>
  <si>
    <t>122:35:04</t>
  </si>
  <si>
    <t>126:19:27</t>
  </si>
  <si>
    <t>Tiempo en ralentí</t>
  </si>
  <si>
    <t>6:15:20</t>
  </si>
  <si>
    <t>16:04:40</t>
  </si>
  <si>
    <t>26:01:28</t>
  </si>
  <si>
    <t>39:19:25</t>
  </si>
  <si>
    <t>28:08:22</t>
  </si>
  <si>
    <t>14:56:14</t>
  </si>
  <si>
    <t>32:43:18</t>
  </si>
  <si>
    <t>23:14:10</t>
  </si>
  <si>
    <t>11:17:12</t>
  </si>
  <si>
    <t>23:27:37</t>
  </si>
  <si>
    <t>11:30:51</t>
  </si>
  <si>
    <t>15:33:28</t>
  </si>
  <si>
    <t>7:31:40</t>
  </si>
  <si>
    <t>39:08:03</t>
  </si>
  <si>
    <t>13:26:16</t>
  </si>
  <si>
    <t>25:14:00</t>
  </si>
  <si>
    <t>63:28:59</t>
  </si>
  <si>
    <t>19:50:36</t>
  </si>
  <si>
    <t>42:38:31</t>
  </si>
  <si>
    <t>8:24:11</t>
  </si>
  <si>
    <t>10:29:48</t>
  </si>
  <si>
    <t>5:22:00</t>
  </si>
  <si>
    <t>6:12:18</t>
  </si>
  <si>
    <t>10:06:23</t>
  </si>
  <si>
    <t>18:46:22</t>
  </si>
  <si>
    <t>50:35:40</t>
  </si>
  <si>
    <t>1:56:43</t>
  </si>
  <si>
    <t>3:52:33</t>
  </si>
  <si>
    <t>9:08:05</t>
  </si>
  <si>
    <t>25:02:00</t>
  </si>
  <si>
    <t>6:09:44</t>
  </si>
  <si>
    <t>9:37:02</t>
  </si>
  <si>
    <t>18:05:53</t>
  </si>
  <si>
    <t>3:08:49</t>
  </si>
  <si>
    <t>19:48:39</t>
  </si>
  <si>
    <t>2:12:05</t>
  </si>
  <si>
    <t>20:46:13</t>
  </si>
  <si>
    <t>11:09:15</t>
  </si>
  <si>
    <t>17:29:02</t>
  </si>
  <si>
    <t>23:08:16</t>
  </si>
  <si>
    <t>4:54:47</t>
  </si>
  <si>
    <t>5:07:35</t>
  </si>
  <si>
    <t>24:34:59</t>
  </si>
  <si>
    <t>0:59:43</t>
  </si>
  <si>
    <t>1:34:18</t>
  </si>
  <si>
    <t>15:31:48</t>
  </si>
  <si>
    <t>2:17:03</t>
  </si>
  <si>
    <t>6:20:21</t>
  </si>
  <si>
    <t>31:41:26</t>
  </si>
  <si>
    <t>0:27:03</t>
  </si>
  <si>
    <t>0:05:17</t>
  </si>
  <si>
    <t>4:40:56</t>
  </si>
  <si>
    <t>2:11:28</t>
  </si>
  <si>
    <t>4:31:28</t>
  </si>
  <si>
    <t>3:04:11</t>
  </si>
  <si>
    <t>2:59:34</t>
  </si>
  <si>
    <t>8:35:19</t>
  </si>
  <si>
    <t>14:03:53</t>
  </si>
  <si>
    <t>25:11:34</t>
  </si>
  <si>
    <t>12:54:18</t>
  </si>
  <si>
    <t>16:19:26</t>
  </si>
  <si>
    <t>20:44:17</t>
  </si>
  <si>
    <t>4:47:08</t>
  </si>
  <si>
    <t>3:25:17</t>
  </si>
  <si>
    <t>26:01:24</t>
  </si>
  <si>
    <t>33:17:47</t>
  </si>
  <si>
    <t>4:14:02</t>
  </si>
  <si>
    <t>0:54:36</t>
  </si>
  <si>
    <t>20:37:17</t>
  </si>
  <si>
    <t>41:41:04</t>
  </si>
  <si>
    <t>7:22:25</t>
  </si>
  <si>
    <t>13:36:33</t>
  </si>
  <si>
    <t>5:17:58</t>
  </si>
  <si>
    <t>5:14:19</t>
  </si>
  <si>
    <t>0:58:04</t>
  </si>
  <si>
    <t>22:56:04</t>
  </si>
  <si>
    <t>9:33:32</t>
  </si>
  <si>
    <t>1:58:26</t>
  </si>
  <si>
    <t>11:16:32</t>
  </si>
  <si>
    <t>4:55:22</t>
  </si>
  <si>
    <t>45:56:56</t>
  </si>
  <si>
    <t>13:16:49</t>
  </si>
  <si>
    <t>1:59:16</t>
  </si>
  <si>
    <t>30:09:00</t>
  </si>
  <si>
    <t>20:41:11</t>
  </si>
  <si>
    <t>0:50:02</t>
  </si>
  <si>
    <t>1:31:45</t>
  </si>
  <si>
    <t>0:11:06</t>
  </si>
  <si>
    <t>0:58:24</t>
  </si>
  <si>
    <t>3:08:35</t>
  </si>
  <si>
    <t>0:08:19</t>
  </si>
  <si>
    <t>9:56:55</t>
  </si>
  <si>
    <t>2:16:11</t>
  </si>
  <si>
    <t>0:51:16</t>
  </si>
  <si>
    <t>36:10:28</t>
  </si>
  <si>
    <t>46:35:23</t>
  </si>
  <si>
    <t>12:41:28</t>
  </si>
  <si>
    <t>2:58:51</t>
  </si>
  <si>
    <t>43:04:46</t>
  </si>
  <si>
    <t>40:07:50</t>
  </si>
  <si>
    <t>0:23:11</t>
  </si>
  <si>
    <t>1:28:01</t>
  </si>
  <si>
    <t>32:31:21</t>
  </si>
  <si>
    <t>9:42:07</t>
  </si>
  <si>
    <t>0:43:21</t>
  </si>
  <si>
    <t>7:51:08</t>
  </si>
  <si>
    <t>4:22:36</t>
  </si>
  <si>
    <t>7:13:24</t>
  </si>
  <si>
    <t>1:04:22</t>
  </si>
  <si>
    <t>9:53:55</t>
  </si>
  <si>
    <t>0:33:15</t>
  </si>
  <si>
    <t>14:46:27</t>
  </si>
  <si>
    <t>14:12:03</t>
  </si>
  <si>
    <t>19:59:49</t>
  </si>
  <si>
    <t>14:05:10</t>
  </si>
  <si>
    <t>19:46:02</t>
  </si>
  <si>
    <t>6:33:49</t>
  </si>
  <si>
    <t>20:49:52</t>
  </si>
  <si>
    <t>16:25:30</t>
  </si>
  <si>
    <t>7:03:30</t>
  </si>
  <si>
    <t>15:09:07</t>
  </si>
  <si>
    <t>3:40:23</t>
  </si>
  <si>
    <t>13:23:54</t>
  </si>
  <si>
    <t>15:33:18</t>
  </si>
  <si>
    <t>46:39:01</t>
  </si>
  <si>
    <t>42:25:25</t>
  </si>
  <si>
    <t>29:11:46</t>
  </si>
  <si>
    <t>2:56:40</t>
  </si>
  <si>
    <t>37:59:22</t>
  </si>
  <si>
    <t>2:55:33</t>
  </si>
  <si>
    <t>12:47:46</t>
  </si>
  <si>
    <t>13:24:46</t>
  </si>
  <si>
    <t>14:42:26</t>
  </si>
  <si>
    <t>20:52:34</t>
  </si>
  <si>
    <t>19:30:33</t>
  </si>
  <si>
    <t>6:37:17</t>
  </si>
  <si>
    <t>0:00:25</t>
  </si>
  <si>
    <t>9:28:45</t>
  </si>
  <si>
    <t>25:59:27</t>
  </si>
  <si>
    <t>3:04:53</t>
  </si>
  <si>
    <t>0:26:25</t>
  </si>
  <si>
    <t>15:56:43</t>
  </si>
  <si>
    <t>1:20:24</t>
  </si>
  <si>
    <t>17:31:29</t>
  </si>
  <si>
    <t>15:25:52</t>
  </si>
  <si>
    <t>0:35:32</t>
  </si>
  <si>
    <t>16:36:38</t>
  </si>
  <si>
    <t>19:12:57</t>
  </si>
  <si>
    <t>6:00:44</t>
  </si>
  <si>
    <t>5:31:43</t>
  </si>
  <si>
    <t>0:06:17</t>
  </si>
  <si>
    <t>13:52:40</t>
  </si>
  <si>
    <t>21:19:44</t>
  </si>
  <si>
    <t>0:44:11</t>
  </si>
  <si>
    <t>1:39:30</t>
  </si>
  <si>
    <t>18:09:37</t>
  </si>
  <si>
    <t>1:55:24</t>
  </si>
  <si>
    <t>3:12:50</t>
  </si>
  <si>
    <t>8:59:05</t>
  </si>
  <si>
    <t>0:15:05</t>
  </si>
  <si>
    <t>20:50:53</t>
  </si>
  <si>
    <t>16:24:54</t>
  </si>
  <si>
    <t>23:37:48</t>
  </si>
  <si>
    <t>0:26:00</t>
  </si>
  <si>
    <t>19:19:47</t>
  </si>
  <si>
    <t>11:49:22</t>
  </si>
  <si>
    <t>4:08:42</t>
  </si>
  <si>
    <t>21:52:35</t>
  </si>
  <si>
    <t>0:07:28</t>
  </si>
  <si>
    <t>15:11:55</t>
  </si>
  <si>
    <t>12:55:55</t>
  </si>
  <si>
    <t>16:52:27</t>
  </si>
  <si>
    <t>9:02:41</t>
  </si>
  <si>
    <t>5:17:01</t>
  </si>
  <si>
    <t>2:27:02</t>
  </si>
  <si>
    <t>0:25:03</t>
  </si>
  <si>
    <t>0:26:41</t>
  </si>
  <si>
    <t>0:01:50</t>
  </si>
  <si>
    <t>0:06:20</t>
  </si>
  <si>
    <t>6:35:55</t>
  </si>
  <si>
    <t>3:33:25</t>
  </si>
  <si>
    <t>21:39:09</t>
  </si>
  <si>
    <t>54:48:15</t>
  </si>
  <si>
    <t>56:49:21</t>
  </si>
  <si>
    <t>19:07:04</t>
  </si>
  <si>
    <t>98:54:41</t>
  </si>
  <si>
    <t>11:54:32</t>
  </si>
  <si>
    <t>44:42:25</t>
  </si>
  <si>
    <t>3:07:12</t>
  </si>
  <si>
    <t>70:20:02</t>
  </si>
  <si>
    <t>103:52:19</t>
  </si>
  <si>
    <t>59:24:31</t>
  </si>
  <si>
    <t>21:26:14</t>
  </si>
  <si>
    <t>54:42:45</t>
  </si>
  <si>
    <t>56:49:16</t>
  </si>
  <si>
    <t>91:01:42</t>
  </si>
  <si>
    <t>73%</t>
  </si>
  <si>
    <t>63%</t>
  </si>
  <si>
    <t>83%</t>
  </si>
  <si>
    <t>80%</t>
  </si>
  <si>
    <t>67%</t>
  </si>
  <si>
    <t>60%</t>
  </si>
  <si>
    <t>47%</t>
  </si>
  <si>
    <t>50%</t>
  </si>
  <si>
    <t>37%</t>
  </si>
  <si>
    <t>30%</t>
  </si>
  <si>
    <t>40%</t>
  </si>
  <si>
    <t>3%</t>
  </si>
  <si>
    <t>7%</t>
  </si>
  <si>
    <t>0%</t>
  </si>
  <si>
    <t>77%</t>
  </si>
  <si>
    <t>97%</t>
  </si>
  <si>
    <t>70%</t>
  </si>
  <si>
    <t>NZT860</t>
  </si>
  <si>
    <t>NPY969</t>
  </si>
  <si>
    <t>38:18:06</t>
  </si>
  <si>
    <t>20:35:24</t>
  </si>
  <si>
    <t>14:38:42</t>
  </si>
  <si>
    <t>11:33:15</t>
  </si>
</sst>
</file>

<file path=xl/styles.xml><?xml version="1.0" encoding="utf-8"?>
<styleSheet xmlns="http://schemas.openxmlformats.org/spreadsheetml/2006/main" xml:space="preserve">
  <numFmts count="6">
    <numFmt numFmtId="164" formatCode="[$-409]mmm\ dd&quot;, &quot;yyyy"/>
    <numFmt numFmtId="165" formatCode="_(* #,##0_);_(* \(#,##0\);_(* \-??_);_(@_)"/>
    <numFmt numFmtId="166" formatCode="_(* #,##0.0_);_(* \(#,##0.0\);_(* \-??_);_(@_)"/>
    <numFmt numFmtId="167" formatCode="0.0"/>
    <numFmt numFmtId="168" formatCode="_(\$* #,##0.00_);_(\$* \(#,##0.00\);_(\$* \-??_);_(@_)"/>
    <numFmt numFmtId="169" formatCode="_(\$* #,##0_);_(\$* \(#,##0\);_(\$* \-??_);_(@_)"/>
  </numFmts>
  <fonts count="2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ptos Narrow"/>
    </font>
    <font>
      <b val="1"/>
      <i val="0"/>
      <strike val="0"/>
      <u val="none"/>
      <sz val="16"/>
      <color rgb="FF000000"/>
      <name val="Aptos Narrow"/>
    </font>
    <font>
      <b val="0"/>
      <i val="0"/>
      <strike val="0"/>
      <u val="none"/>
      <sz val="18"/>
      <color rgb="FFFFFFFF"/>
      <name val="Aptos Narrow"/>
    </font>
    <font>
      <b val="1"/>
      <i val="0"/>
      <strike val="0"/>
      <u val="none"/>
      <sz val="18"/>
      <color rgb="FF000000"/>
      <name val="Aptos Narrow"/>
    </font>
    <font>
      <b val="0"/>
      <i val="0"/>
      <strike val="0"/>
      <u val="none"/>
      <sz val="18"/>
      <color rgb="FF000000"/>
      <name val="Aptos Narrow"/>
    </font>
    <font>
      <b val="1"/>
      <i val="0"/>
      <strike val="0"/>
      <u val="none"/>
      <sz val="11"/>
      <color rgb="FFFFFFFF"/>
      <name val="Segoe UI"/>
    </font>
    <font>
      <b val="1"/>
      <i val="0"/>
      <strike val="0"/>
      <u val="none"/>
      <sz val="11"/>
      <color rgb="FF000000"/>
      <name val="Segoe UI"/>
    </font>
    <font>
      <b val="1"/>
      <i val="0"/>
      <strike val="0"/>
      <u val="none"/>
      <sz val="11"/>
      <color rgb="FF000000"/>
      <name val="Aptos Narrow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6"/>
      <color rgb="FF000000"/>
      <name val="Aptos Narrow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FFFFFF"/>
      <name val="Segoe UI"/>
    </font>
    <font>
      <b val="1"/>
      <i val="0"/>
      <strike val="0"/>
      <u val="none"/>
      <sz val="16"/>
      <color rgb="FF0E2841"/>
      <name val="Segoe UI"/>
    </font>
    <font>
      <b val="1"/>
      <i val="0"/>
      <strike val="0"/>
      <u val="none"/>
      <sz val="14"/>
      <color rgb="FF000000"/>
      <name val="Aptos Narrow"/>
    </font>
    <font>
      <b val="1"/>
      <i val="0"/>
      <strike val="0"/>
      <u val="single"/>
      <sz val="16"/>
      <color rgb="FF000000"/>
      <name val="Aptos Narrow"/>
    </font>
    <font>
      <b val="1"/>
      <i val="0"/>
      <strike val="0"/>
      <u val="none"/>
      <sz val="11"/>
      <color rgb="FFFFFFFF"/>
      <name val="Aptos Narrow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0000"/>
      <name val="Aptos Narrow"/>
    </font>
    <font>
      <b val="1"/>
      <i val="0"/>
      <strike val="0"/>
      <u val="none"/>
      <sz val="12"/>
      <color rgb="FF000000"/>
      <name val="Aptos Narrow"/>
    </font>
    <font>
      <b val="0"/>
      <i val="0"/>
      <strike val="0"/>
      <u val="none"/>
      <sz val="10"/>
      <color rgb="FFFFFFFF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163E64"/>
        <bgColor rgb="FF104862"/>
      </patternFill>
    </fill>
    <fill>
      <patternFill patternType="solid">
        <fgColor rgb="FFF2F2F2"/>
        <bgColor rgb="FFE8E8E8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D9D9D9"/>
        <bgColor rgb="FFE8E8E8"/>
      </patternFill>
    </fill>
    <fill>
      <patternFill patternType="solid">
        <fgColor rgb="FFBFBFBF"/>
        <bgColor rgb="FFD9D9D9"/>
      </patternFill>
    </fill>
    <fill>
      <patternFill patternType="solid">
        <fgColor rgb="FF104862"/>
        <bgColor rgb="FF163E64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F2F2F2"/>
      </patternFill>
    </fill>
    <fill>
      <patternFill patternType="solid">
        <fgColor rgb="FF215F9A"/>
        <bgColor rgb="FF104862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" numFmtId="0" fillId="0" borderId="0" applyFont="1" applyNumberFormat="0" applyFill="0" applyBorder="0" applyAlignment="0" applyProtection="true">
      <protection locked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6" numFmtId="164" fillId="2" borderId="1" applyFont="1" applyNumberFormat="1" applyFill="1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center" vertical="center" textRotation="0" wrapText="false" shrinkToFit="false"/>
    </xf>
    <xf xfId="0" fontId="7" numFmtId="1" fillId="3" borderId="1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9" numFmtId="0" fillId="0" borderId="5" applyFont="1" applyNumberFormat="0" applyFill="0" applyBorder="1" applyAlignment="0"/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165" fillId="0" borderId="6" applyFont="1" applyNumberFormat="1" applyFill="0" applyBorder="1" applyAlignment="1">
      <alignment horizontal="center" vertical="bottom" textRotation="0" wrapText="false" shrinkToFit="false"/>
    </xf>
    <xf xfId="0" fontId="9" numFmtId="165" fillId="0" borderId="7" applyFont="1" applyNumberFormat="1" applyFill="0" applyBorder="1" applyAlignment="1">
      <alignment horizontal="center" vertical="bottom" textRotation="0" wrapText="false" shrinkToFit="false"/>
    </xf>
    <xf xfId="0" fontId="9" numFmtId="0" fillId="4" borderId="4" applyFont="1" applyNumberFormat="0" applyFill="1" applyBorder="1" applyAlignment="0"/>
    <xf xfId="0" fontId="9" numFmtId="9" fillId="4" borderId="4" applyFont="1" applyNumberFormat="1" applyFill="1" applyBorder="1" applyAlignment="0"/>
    <xf xfId="0" fontId="9" numFmtId="0" fillId="0" borderId="2" applyFont="1" applyNumberFormat="0" applyFill="0" applyBorder="1" applyAlignment="0"/>
    <xf xfId="0" fontId="9" numFmtId="0" fillId="0" borderId="2" applyFont="1" applyNumberFormat="0" applyFill="0" applyBorder="1" applyAlignment="1">
      <alignment horizontal="center" vertical="bottom" textRotation="0" wrapText="false" shrinkToFit="false"/>
    </xf>
    <xf xfId="0" fontId="9" numFmtId="165" fillId="0" borderId="0" applyFont="1" applyNumberFormat="1" applyFill="0" applyBorder="0" applyAlignment="1">
      <alignment horizontal="center" vertical="bottom" textRotation="0" wrapText="false" shrinkToFit="false"/>
    </xf>
    <xf xfId="0" fontId="9" numFmtId="165" fillId="0" borderId="3" applyFont="1" applyNumberFormat="1" applyFill="0" applyBorder="1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0"/>
    <xf xfId="0" fontId="9" numFmtId="9" fillId="5" borderId="8" applyFont="1" applyNumberFormat="1" applyFill="1" applyBorder="1" applyAlignment="0"/>
    <xf xfId="0" fontId="9" numFmtId="0" fillId="6" borderId="8" applyFont="1" applyNumberFormat="0" applyFill="1" applyBorder="1" applyAlignment="0"/>
    <xf xfId="0" fontId="9" numFmtId="9" fillId="6" borderId="8" applyFont="1" applyNumberFormat="1" applyFill="1" applyBorder="1" applyAlignment="0"/>
    <xf xfId="0" fontId="9" numFmtId="0" fillId="7" borderId="8" applyFont="1" applyNumberFormat="0" applyFill="1" applyBorder="1" applyAlignment="0"/>
    <xf xfId="0" fontId="9" numFmtId="9" fillId="7" borderId="8" applyFont="1" applyNumberFormat="1" applyFill="1" applyBorder="1" applyAlignment="0"/>
    <xf xfId="0" fontId="9" numFmtId="0" fillId="0" borderId="9" applyFont="1" applyNumberFormat="0" applyFill="0" applyBorder="1" applyAlignment="0"/>
    <xf xfId="0" fontId="9" numFmtId="0" fillId="0" borderId="10" applyFont="1" applyNumberFormat="0" applyFill="0" applyBorder="1" applyAlignment="1">
      <alignment horizontal="center" vertical="bottom" textRotation="0" wrapText="false" shrinkToFit="false"/>
    </xf>
    <xf xfId="0" fontId="9" numFmtId="165" fillId="0" borderId="11" applyFont="1" applyNumberFormat="1" applyFill="0" applyBorder="1" applyAlignment="1">
      <alignment horizontal="center" vertical="bottom" textRotation="0" wrapText="false" shrinkToFit="false"/>
    </xf>
    <xf xfId="0" fontId="8" numFmtId="165" fillId="0" borderId="11" applyFont="1" applyNumberFormat="1" applyFill="0" applyBorder="1" applyAlignment="1">
      <alignment horizontal="center" vertical="bottom" textRotation="0" wrapText="false" shrinkToFit="false"/>
    </xf>
    <xf xfId="0" fontId="9" numFmtId="165" fillId="0" borderId="12" applyFont="1" applyNumberFormat="1" applyFill="0" applyBorder="1" applyAlignment="1">
      <alignment horizontal="center" vertical="bottom" textRotation="0" wrapText="false" shrinkToFit="false"/>
    </xf>
    <xf xfId="0" fontId="9" numFmtId="0" fillId="8" borderId="12" applyFont="1" applyNumberFormat="0" applyFill="1" applyBorder="1" applyAlignment="0"/>
    <xf xfId="0" fontId="9" numFmtId="9" fillId="8" borderId="9" applyFont="1" applyNumberFormat="1" applyFill="1" applyBorder="1" applyAlignment="0"/>
    <xf xfId="0" fontId="9" numFmtId="0" fillId="8" borderId="9" applyFont="1" applyNumberFormat="0" applyFill="1" applyBorder="1" applyAlignment="0"/>
    <xf xfId="0" fontId="9" numFmtId="9" fillId="8" borderId="12" applyFont="1" applyNumberFormat="1" applyFill="1" applyBorder="1" applyAlignment="0"/>
    <xf xfId="0" fontId="8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165" fillId="0" borderId="13" applyFont="1" applyNumberFormat="1" applyFill="0" applyBorder="1" applyAlignment="1">
      <alignment horizontal="center" vertical="bottom" textRotation="0" wrapText="false" shrinkToFit="false"/>
    </xf>
    <xf xfId="0" fontId="8" numFmtId="1" fillId="0" borderId="14" applyFont="1" applyNumberFormat="1" applyFill="0" applyBorder="1" applyAlignment="0"/>
    <xf xfId="0" fontId="8" numFmtId="165" fillId="0" borderId="0" applyFont="1" applyNumberFormat="1" applyFill="0" applyBorder="0" applyAlignment="1">
      <alignment horizontal="center" vertical="bottom" textRotation="0" wrapText="false" shrinkToFit="false"/>
    </xf>
    <xf xfId="0" fontId="8" numFmtId="1" fillId="0" borderId="13" applyFont="1" applyNumberFormat="1" applyFill="0" applyBorder="1" applyAlignment="1">
      <alignment horizontal="center" vertical="bottom" textRotation="0" wrapText="false" shrinkToFit="false"/>
    </xf>
    <xf xfId="0" fontId="8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9" numFmtId="0" fillId="4" borderId="8" applyFont="1" applyNumberFormat="0" applyFill="1" applyBorder="1" applyAlignment="0"/>
    <xf xfId="0" fontId="9" numFmtId="0" fillId="7" borderId="4" applyFont="1" applyNumberFormat="0" applyFill="1" applyBorder="1" applyAlignment="0"/>
    <xf xfId="0" fontId="1" numFmtId="166" fillId="7" borderId="4" applyFont="1" applyNumberFormat="1" applyFill="1" applyBorder="1" applyAlignment="0"/>
    <xf xfId="0" fontId="9" numFmtId="9" fillId="7" borderId="4" applyFont="1" applyNumberFormat="1" applyFill="1" applyBorder="1" applyAlignment="0"/>
    <xf xfId="0" fontId="9" numFmtId="9" fillId="0" borderId="2" applyFont="1" applyNumberFormat="1" applyFill="0" applyBorder="1" applyAlignment="0"/>
    <xf xfId="0" fontId="9" numFmtId="0" fillId="4" borderId="9" applyFont="1" applyNumberFormat="0" applyFill="1" applyBorder="1" applyAlignment="0"/>
    <xf xfId="0" fontId="1" numFmtId="166" fillId="4" borderId="9" applyFont="1" applyNumberFormat="1" applyFill="1" applyBorder="1" applyAlignment="0"/>
    <xf xfId="0" fontId="9" numFmtId="9" fillId="4" borderId="9" applyFont="1" applyNumberFormat="1" applyFill="1" applyBorder="1" applyAlignment="0"/>
    <xf xfId="0" fontId="8" numFmtId="166" fillId="0" borderId="9" applyFont="1" applyNumberFormat="1" applyFill="0" applyBorder="1" applyAlignment="0"/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3" applyFont="1" applyNumberFormat="0" applyFill="0" applyBorder="1" applyAlignment="0"/>
    <xf xfId="0" fontId="0" numFmtId="0" fillId="0" borderId="15" applyFont="0" applyNumberFormat="0" applyFill="0" applyBorder="1" applyAlignment="1" applyProtection="true">
      <alignment horizontal="left" vertical="bottom" textRotation="0" wrapText="false" shrinkToFit="false"/>
      <protection hidden="true"/>
    </xf>
    <xf xfId="0" fontId="0" numFmtId="0" fillId="0" borderId="15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3" fillId="0" borderId="16" applyFont="0" applyNumberFormat="1" applyFill="0" applyBorder="1" applyAlignment="1" applyProtection="true">
      <alignment horizontal="right" vertical="bottom" textRotation="0" wrapText="false" shrinkToFit="false"/>
      <protection hidden="true"/>
    </xf>
    <xf xfId="0" fontId="11" numFmtId="165" fillId="0" borderId="1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11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1" fillId="0" borderId="19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" fillId="0" borderId="20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66" fillId="9" borderId="20" applyFont="0" applyNumberFormat="1" applyFill="1" applyBorder="1" applyAlignment="1" applyProtection="true">
      <alignment horizontal="center" vertical="bottom" textRotation="0" wrapText="false" shrinkToFit="false"/>
      <protection hidden="true"/>
    </xf>
    <xf xfId="0" fontId="11" numFmtId="9" fillId="10" borderId="18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1" numFmtId="166" fillId="9" borderId="21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0" numFmtId="0" fillId="0" borderId="0" applyFont="0" applyNumberFormat="0" applyFill="0" applyBorder="0" applyAlignment="0" applyProtection="true">
      <protection hidden="true"/>
    </xf>
    <xf xfId="0" fontId="0" numFmtId="167" fillId="0" borderId="22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67" fillId="0" borderId="20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9" fillId="0" borderId="20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9" fillId="0" borderId="18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68" fillId="0" borderId="18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12" numFmtId="0" fillId="11" borderId="23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9" numFmtId="1" fillId="0" borderId="23" applyFont="1" applyNumberFormat="1" applyFill="0" applyBorder="1" applyAlignment="1">
      <alignment horizontal="center" vertical="bottom" textRotation="0" wrapText="false" shrinkToFit="false"/>
    </xf>
    <xf xfId="0" fontId="9" numFmtId="0" fillId="0" borderId="23" applyFont="1" applyNumberFormat="0" applyFill="0" applyBorder="1" applyAlignment="1">
      <alignment horizontal="center" vertical="bottom" textRotation="0" wrapText="false" shrinkToFit="false"/>
    </xf>
    <xf xfId="0" fontId="12" numFmtId="0" fillId="11" borderId="23" applyFont="1" applyNumberFormat="0" applyFill="1" applyBorder="1" applyAlignment="1">
      <alignment horizontal="center" vertical="bottom" textRotation="0" wrapText="true" shrinkToFit="false"/>
    </xf>
    <xf xfId="0" fontId="13" numFmtId="0" fillId="12" borderId="23" applyFont="1" applyNumberFormat="0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false" hidden="true"/>
    </xf>
    <xf xfId="0" fontId="11" numFmtId="0" fillId="0" borderId="0" applyFont="1" applyNumberFormat="0" applyFill="0" applyBorder="0" applyAlignment="0" applyProtection="true">
      <protection locked="false" hidden="tru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 hidden="tru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 hidden="true"/>
    </xf>
    <xf xfId="0" fontId="3" numFmtId="0" fillId="0" borderId="0" applyFont="1" applyNumberFormat="0" applyFill="0" applyBorder="0" applyAlignment="0" applyProtection="true">
      <protection locked="false" hidden="true"/>
    </xf>
    <xf xfId="0" fontId="5" numFmtId="0" fillId="12" borderId="0" applyFont="1" applyNumberFormat="0" applyFill="1" applyBorder="0" applyAlignment="0" applyProtection="true">
      <protection locked="false" hidden="true"/>
    </xf>
    <xf xfId="0" fontId="1" numFmtId="0" fillId="0" borderId="0" applyFont="1" applyNumberFormat="0" applyFill="0" applyBorder="0" applyAlignment="0" applyProtection="true">
      <protection locked="false" hidden="tru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 hidden="tru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 hidden="tru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 hidden="true"/>
    </xf>
    <xf xfId="0" fontId="6" numFmtId="0" fillId="2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6" numFmtId="14" fillId="2" borderId="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8" numFmtId="0" fillId="0" borderId="0" applyFont="1" applyNumberFormat="0" applyFill="0" applyBorder="0" applyAlignment="0" applyProtection="true">
      <protection locked="false" hidden="true"/>
    </xf>
    <xf xfId="0" fontId="14" numFmtId="0" fillId="6" borderId="13" applyFont="1" applyNumberFormat="0" applyFill="1" applyBorder="1" applyAlignment="1" applyProtection="true">
      <alignment horizontal="right" vertical="bottom" textRotation="0" wrapText="false" shrinkToFit="false"/>
      <protection locked="false" hidden="true"/>
    </xf>
    <xf xfId="0" fontId="14" numFmtId="0" fillId="6" borderId="24" applyFont="1" applyNumberFormat="0" applyFill="1" applyBorder="1" applyAlignment="0" applyProtection="true">
      <protection locked="false" hidden="true"/>
    </xf>
    <xf xfId="0" fontId="1" numFmtId="0" fillId="6" borderId="24" applyFont="1" applyNumberFormat="0" applyFill="1" applyBorder="1" applyAlignment="0" applyProtection="true">
      <protection locked="false" hidden="true"/>
    </xf>
    <xf xfId="0" fontId="0" numFmtId="0" fillId="6" borderId="24" applyFont="0" applyNumberFormat="0" applyFill="1" applyBorder="1" applyAlignment="0"/>
    <xf xfId="0" fontId="0" numFmtId="0" fillId="6" borderId="14" applyFont="0" applyNumberFormat="0" applyFill="1" applyBorder="1" applyAlignment="0"/>
    <xf xfId="0" fontId="7" numFmtId="0" fillId="13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7" numFmtId="14" fillId="13" borderId="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8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 hidden="tru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 hidden="true"/>
    </xf>
    <xf xfId="0" fontId="7" numFmtId="1" fillId="13" borderId="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6" borderId="23" applyFont="1" applyNumberFormat="0" applyFill="1" applyBorder="1" applyAlignment="1" applyProtection="true">
      <alignment horizontal="center" vertical="center" textRotation="0" wrapText="false" shrinkToFit="false"/>
      <protection locked="false" hidden="true"/>
    </xf>
    <xf xfId="0" fontId="2" numFmtId="0" fillId="0" borderId="12" applyFont="1" applyNumberFormat="0" applyFill="0" applyBorder="1" applyAlignment="1" applyProtection="true">
      <alignment vertical="center" textRotation="0" wrapText="false" shrinkToFit="false"/>
      <protection locked="false" hidden="true"/>
    </xf>
    <xf xfId="0" fontId="2" numFmtId="167" fillId="0" borderId="11" applyFont="1" applyNumberFormat="1" applyFill="0" applyBorder="1" applyAlignment="1" applyProtection="true">
      <alignment vertical="center" textRotation="0" wrapText="false" shrinkToFit="false"/>
      <protection hidden="true"/>
    </xf>
    <xf xfId="0" fontId="7" numFmtId="0" fillId="13" borderId="1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 hidden="true"/>
    </xf>
    <xf xfId="0" fontId="8" numFmtId="0" fillId="0" borderId="2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1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5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 hidden="true"/>
    </xf>
    <xf xfId="0" fontId="8" numFmtId="0" fillId="0" borderId="2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6" numFmtId="0" fillId="2" borderId="4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8" numFmtId="0" fillId="0" borderId="5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8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7" numFmtId="0" fillId="0" borderId="5" applyFont="1" applyNumberFormat="0" applyFill="0" applyBorder="1" applyAlignment="1" applyProtection="true">
      <alignment horizontal="left" vertical="center" textRotation="0" wrapText="false" shrinkToFit="false"/>
      <protection locked="false" hidden="true"/>
    </xf>
    <xf xfId="0" fontId="17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17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17" numFmtId="0" fillId="0" borderId="0" applyFont="1" applyNumberFormat="0" applyFill="0" applyBorder="0" applyAlignment="0" applyProtection="true">
      <protection locked="false" hidden="true"/>
    </xf>
    <xf xfId="0" fontId="18" numFmtId="0" fillId="0" borderId="0" applyFont="1" applyNumberFormat="0" applyFill="0" applyBorder="0" applyAlignment="0" applyProtection="true">
      <protection locked="false" hidden="true"/>
    </xf>
    <xf xfId="0" fontId="17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 hidden="true"/>
    </xf>
    <xf xfId="0" fontId="19" numFmtId="165" fillId="14" borderId="2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9" numFmtId="166" fillId="14" borderId="2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9" numFmtId="9" fillId="14" borderId="2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9" numFmtId="10" fillId="14" borderId="2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9" numFmtId="169" fillId="14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7" numFmtId="0" fillId="0" borderId="2" applyFont="1" applyNumberFormat="0" applyFill="0" applyBorder="1" applyAlignment="1" applyProtection="true">
      <alignment horizontal="left" vertical="center" textRotation="0" wrapText="false" shrinkToFit="false"/>
      <protection locked="false" hidden="true"/>
    </xf>
    <xf xfId="0" fontId="17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 hidden="true"/>
    </xf>
    <xf xfId="0" fontId="17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1" numFmtId="0" fillId="0" borderId="11" applyFont="1" applyNumberFormat="0" applyFill="0" applyBorder="1" applyAlignment="0" applyProtection="true">
      <protection locked="false" hidden="true"/>
    </xf>
    <xf xfId="0" fontId="8" numFmtId="0" fillId="0" borderId="23" applyFont="1" applyNumberFormat="0" applyFill="0" applyBorder="1" applyAlignment="1" applyProtection="true">
      <alignment horizontal="center" vertical="center" textRotation="0" wrapText="true" shrinkToFit="false"/>
      <protection locked="false" hidden="true"/>
    </xf>
    <xf xfId="0" fontId="17" numFmtId="0" fillId="0" borderId="10" applyFont="1" applyNumberFormat="0" applyFill="0" applyBorder="1" applyAlignment="1" applyProtection="true">
      <alignment horizontal="left" vertical="center" textRotation="0" wrapText="false" shrinkToFit="false"/>
      <protection locked="false" hidden="true"/>
    </xf>
    <xf xfId="0" fontId="17" numFmtId="0" fillId="0" borderId="11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17" numFmtId="0" fillId="0" borderId="12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16" numFmtId="0" fillId="2" borderId="13" applyFont="1" applyNumberFormat="0" applyFill="1" applyBorder="1" applyAlignment="1" applyProtection="true">
      <alignment horizontal="center" vertical="center" textRotation="0" wrapText="true" shrinkToFit="false"/>
      <protection locked="false" hidden="true"/>
    </xf>
    <xf xfId="0" fontId="16" numFmtId="0" fillId="2" borderId="13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0" numFmtId="0" fillId="0" borderId="15" applyFont="0" applyNumberFormat="0" applyFill="0" applyBorder="1" applyAlignment="1" applyProtection="true">
      <alignment horizontal="left" vertical="bottom" textRotation="0" wrapText="false" shrinkToFit="false"/>
      <protection hidden="true"/>
    </xf>
    <xf xfId="0" fontId="0" numFmtId="0" fillId="0" borderId="15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3" fillId="0" borderId="16" applyFont="0" applyNumberFormat="1" applyFill="0" applyBorder="1" applyAlignment="1" applyProtection="true">
      <alignment horizontal="right" vertical="bottom" textRotation="0" wrapText="false" shrinkToFit="false"/>
      <protection hidden="true"/>
    </xf>
    <xf xfId="0" fontId="11" numFmtId="165" fillId="0" borderId="1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11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1" fillId="0" borderId="19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" fillId="0" borderId="20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66" fillId="9" borderId="20" applyFont="0" applyNumberFormat="1" applyFill="1" applyBorder="1" applyAlignment="1" applyProtection="true">
      <alignment horizontal="center" vertical="bottom" textRotation="0" wrapText="false" shrinkToFit="false"/>
      <protection hidden="true"/>
    </xf>
    <xf xfId="0" fontId="11" numFmtId="9" fillId="10" borderId="18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1" numFmtId="166" fillId="9" borderId="21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0" numFmtId="0" fillId="0" borderId="0" applyFont="0" applyNumberFormat="0" applyFill="0" applyBorder="0" applyAlignment="0" applyProtection="true">
      <protection hidden="true"/>
    </xf>
    <xf xfId="0" fontId="0" numFmtId="167" fillId="0" borderId="22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67" fillId="0" borderId="20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9" fillId="0" borderId="20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9" fillId="0" borderId="18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0" numFmtId="168" fillId="0" borderId="18" applyFont="0" applyNumberFormat="1" applyFill="0" applyBorder="1" applyAlignment="1" applyProtection="true">
      <alignment horizontal="center" vertical="bottom" textRotation="0" wrapText="false" shrinkToFit="false"/>
      <protection hidden="true"/>
    </xf>
    <xf xfId="0" fontId="20" numFmtId="0" fillId="0" borderId="0" applyFont="1" applyNumberFormat="0" applyFill="0" applyBorder="0" applyAlignment="0" applyProtection="true">
      <protection locked="false" hidden="true"/>
    </xf>
    <xf xfId="0" fontId="2" numFmtId="0" fillId="0" borderId="23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16" numFmtId="0" fillId="2" borderId="23" applyFont="1" applyNumberFormat="0" applyFill="1" applyBorder="1" applyAlignment="1" applyProtection="true">
      <alignment horizontal="center" vertical="center" textRotation="0" wrapText="true" shrinkToFit="false"/>
      <protection locked="false" hidden="true"/>
    </xf>
    <xf xfId="0" fontId="8" numFmtId="0" fillId="0" borderId="23" applyFont="1" applyNumberFormat="0" applyFill="0" applyBorder="1" applyAlignment="1" applyProtection="true">
      <alignment horizontal="center" vertical="center" textRotation="0" wrapText="true" shrinkToFit="false"/>
      <protection locked="false" hidden="true"/>
    </xf>
    <xf xfId="0" fontId="8" numFmtId="0" fillId="0" borderId="2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8" numFmtId="0" fillId="0" borderId="23" applyFont="1" applyNumberFormat="0" applyFill="0" applyBorder="1" applyAlignment="1" applyProtection="true">
      <alignment horizontal="center" vertical="center" textRotation="0" wrapText="false" shrinkToFit="false"/>
      <protection locked="false" hidden="true"/>
    </xf>
    <xf xfId="0" fontId="8" numFmtId="0" fillId="0" borderId="2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6" numFmtId="0" fillId="2" borderId="23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12" numFmtId="0" fillId="11" borderId="23" applyFont="1" applyNumberFormat="0" applyFill="1" applyBorder="1" applyAlignment="1" applyProtection="true">
      <alignment horizontal="center" vertical="bottom" textRotation="0" wrapText="false" shrinkToFit="false"/>
      <protection locked="false" hidden="true"/>
    </xf>
    <xf xfId="0" fontId="13" numFmtId="0" fillId="12" borderId="2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8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 hidden="true"/>
    </xf>
    <xf xfId="0" fontId="21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 hidden="true"/>
    </xf>
    <xf xfId="0" fontId="2" numFmtId="167" fillId="0" borderId="1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0" fillId="0" borderId="0" applyFont="1" applyNumberFormat="0" applyFill="0" applyBorder="0" applyAlignment="0"/>
    <xf xfId="0" fontId="1" numFmtId="0" fillId="0" borderId="3" applyFont="1" applyNumberFormat="0" applyFill="0" applyBorder="1" applyAlignment="0"/>
    <xf xfId="0" fontId="8" numFmtId="0" fillId="0" borderId="13" applyFont="1" applyNumberFormat="0" applyFill="0" applyBorder="1" applyAlignment="0"/>
    <xf xfId="0" fontId="1" numFmtId="0" fillId="0" borderId="12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24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6" borderId="1" applyFont="1" applyNumberFormat="0" applyFill="1" applyBorder="1" applyAlignment="0"/>
    <xf xfId="0" fontId="1" numFmtId="0" fillId="0" borderId="27" applyFont="1" applyNumberFormat="0" applyFill="0" applyBorder="1" applyAlignment="0"/>
    <xf xfId="0" fontId="1" numFmtId="1" fillId="0" borderId="28" applyFont="1" applyNumberFormat="1" applyFill="0" applyBorder="1" applyAlignment="0"/>
    <xf xfId="0" fontId="1" numFmtId="1" fillId="6" borderId="28" applyFont="1" applyNumberFormat="1" applyFill="1" applyBorder="1" applyAlignment="0"/>
    <xf xfId="0" fontId="1" numFmtId="1" fillId="0" borderId="1" applyFont="1" applyNumberFormat="1" applyFill="0" applyBorder="1" applyAlignment="0"/>
    <xf xfId="0" fontId="1" numFmtId="1" fillId="6" borderId="1" applyFont="1" applyNumberFormat="1" applyFill="1" applyBorder="1" applyAlignment="0"/>
    <xf xfId="0" fontId="1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1" numFmtId="1" fillId="0" borderId="30" applyFont="1" applyNumberFormat="1" applyFill="0" applyBorder="1" applyAlignment="0"/>
    <xf xfId="0" fontId="1" numFmtId="0" fillId="6" borderId="30" applyFont="1" applyNumberFormat="0" applyFill="1" applyBorder="1" applyAlignment="0"/>
    <xf xfId="0" fontId="1" numFmtId="1" fillId="6" borderId="30" applyFont="1" applyNumberFormat="1" applyFill="1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23" applyFont="1" applyNumberFormat="0" applyFill="0" applyBorder="1" applyAlignment="1">
      <alignment horizontal="center" vertical="bottom" textRotation="0" wrapText="false" shrinkToFit="false"/>
    </xf>
    <xf xfId="0" fontId="22" numFmtId="0" fillId="14" borderId="1" applyFont="1" applyNumberFormat="0" applyFill="1" applyBorder="1" applyAlignment="1" applyProtection="true">
      <alignment horizontal="left" vertical="center" textRotation="0" wrapText="false" shrinkToFit="false"/>
      <protection locked="false" hidden="true"/>
    </xf>
    <xf xfId="0" fontId="22" numFmtId="0" fillId="14" borderId="1" applyFont="1" applyNumberFormat="0" applyFill="1" applyBorder="1" applyAlignment="1">
      <alignment horizontal="left" vertical="center" textRotation="0" wrapText="false" shrinkToFit="false"/>
    </xf>
    <xf xfId="0" fontId="22" numFmtId="164" fillId="14" borderId="1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22" numFmtId="1" fillId="14" borderId="1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22" numFmtId="1" fillId="1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/>
    <c:plotArea>
      <c:layout>
        <c:manualLayout>
          <c:layoutTarget val="inner"/>
          <c:xMode val="edge"/>
          <c:yMode val="edge"/>
          <c:x val="0.10268832148672"/>
          <c:y val="0.097602996254682"/>
          <c:w val="0.70769963864512"/>
          <c:h val="0.83340823970038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92D050"/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dLbls>
            <c:spPr>
              <a:solidFill>
                <a:srgbClr val="595959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</c:dLbls>
          <c:tx>
            <c:strRef>
              <c:f>Resumen!$B$47</c:f>
              <c:strCache>
                <c:ptCount val="1"/>
                <c:pt idx="0">
                  <c:v>(3) HORAS DE USO POR DIA</c:v>
                </c:pt>
              </c:strCache>
            </c:strRef>
          </c:tx>
          <c:spPr>
            <a:ln w="0"/>
          </c:spPr>
          <c:cat>
            <c:strRef>
              <c:f>Resumen!$G$50:$G$54</c:f>
              <c:strCache>
                <c:ptCount val="5"/>
                <c:pt idx="0">
                  <c:v>Menos de 2</c:v>
                </c:pt>
                <c:pt idx="1">
                  <c:v>2 a 4</c:v>
                </c:pt>
                <c:pt idx="2">
                  <c:v>4 a 6</c:v>
                </c:pt>
                <c:pt idx="3">
                  <c:v>6 a 8</c:v>
                </c:pt>
                <c:pt idx="4">
                  <c:v>Más de 8</c:v>
                </c:pt>
              </c:strCache>
            </c:strRef>
          </c:cat>
          <c:val>
            <c:numRef>
              <c:f>Resumen!$I$50:$I$54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>
        <c:manualLayout>
          <c:xMode val="edge"/>
          <c:yMode val="edge"/>
          <c:x val="0.77520051415755"/>
          <c:y val="0.20112597173838"/>
          <c:w val="0.18997481303936"/>
          <c:h val="0.54761824298248"/>
        </c:manualLayout>
      </c:layout>
      <c:overlay val="0"/>
      <c:spPr>
        <a:solidFill>
          <a:srgbClr val="F2F2F2">
            <a:alpha val="39000"/>
          </a:srgbClr>
        </a:solidFill>
        <a:ln w="0"/>
      </c:spPr>
      <c:txPr>
        <a:bodyPr/>
        <a:lstStyle/>
        <a:p>
          <a:pPr rtl="0">
            <a:defRPr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BFBFBF"/>
      </a:solidFill>
    </a:ln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/>
    <c:plotArea>
      <c:layout>
        <c:manualLayout>
          <c:layoutTarget val="inner"/>
          <c:xMode val="edge"/>
          <c:yMode val="edge"/>
          <c:x val="0.098845510545425"/>
          <c:y val="0.08621344473984"/>
          <c:w val="0.70766532044221"/>
          <c:h val="0.83327003418154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92D050"/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dLbls>
            <c:spPr>
              <a:solidFill>
                <a:srgbClr val="595959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</c:dLbls>
          <c:tx>
            <c:strRef>
              <c:f>Resumen!$K$9</c:f>
              <c:strCache>
                <c:ptCount val="1"/>
                <c:pt idx="0">
                  <c:v>(2) DIAS CONDUCIDOS</c:v>
                </c:pt>
              </c:strCache>
            </c:strRef>
          </c:tx>
          <c:spPr>
            <a:ln w="0"/>
          </c:spPr>
          <c:cat>
            <c:strRef>
              <c:f>Resumen!$P$12:$P$16</c:f>
              <c:strCache>
                <c:ptCount val="5"/>
                <c:pt idx="0">
                  <c:v>Menos de 6</c:v>
                </c:pt>
                <c:pt idx="1">
                  <c:v>6 a 12</c:v>
                </c:pt>
                <c:pt idx="2">
                  <c:v>12 a 18</c:v>
                </c:pt>
                <c:pt idx="3">
                  <c:v>18 a 24</c:v>
                </c:pt>
                <c:pt idx="4">
                  <c:v>24 a 30</c:v>
                </c:pt>
              </c:strCache>
            </c:strRef>
          </c:cat>
          <c:val>
            <c:numRef>
              <c:f>Resumen!$R$12:$R$16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>
        <c:manualLayout>
          <c:xMode val="edge"/>
          <c:yMode val="edge"/>
          <c:x val="0.78585360152325"/>
          <c:y val="0.24713191365367"/>
          <c:w val="0.1731252169495"/>
          <c:h val="0.536491260058"/>
        </c:manualLayout>
      </c:layout>
      <c:overlay val="0"/>
      <c:spPr>
        <a:solidFill>
          <a:srgbClr val="F2F2F2">
            <a:alpha val="39000"/>
          </a:srgbClr>
        </a:solidFill>
        <a:ln w="0"/>
      </c:spPr>
      <c:txPr>
        <a:bodyPr/>
        <a:lstStyle/>
        <a:p>
          <a:pPr rtl="0">
            <a:defRPr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BFBFBF"/>
      </a:solidFill>
    </a:ln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/>
    <c:plotArea>
      <c:layout>
        <c:manualLayout>
          <c:layoutTarget val="inner"/>
          <c:xMode val="edge"/>
          <c:yMode val="edge"/>
          <c:x val="0.12240739063491"/>
          <c:y val="0.12101219308502"/>
          <c:w val="0.70763517797301"/>
          <c:h val="0.8331384666778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92D05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pPr>
              <a:solidFill>
                <a:srgbClr val="595959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</c:dLbls>
          <c:tx>
            <c:strRef>
              <c:f>Resumen!$H$86</c:f>
              <c:strCache>
                <c:ptCount val="1"/>
                <c:pt idx="0">
                  <c:v>TIEMPO PROM. DE CONDUCCION VS. TIEMPO EN RALENTI</c:v>
                </c:pt>
              </c:strCache>
            </c:strRef>
          </c:tx>
          <c:spPr>
            <a:ln w="0"/>
          </c:spPr>
          <c:cat>
            <c:strRef>
              <c:f>Resumen!$I$89:$I$90</c:f>
              <c:strCache>
                <c:ptCount val="2"/>
                <c:pt idx="0">
                  <c:v>Tiempo de Conducción</c:v>
                </c:pt>
                <c:pt idx="1">
                  <c:v>Tiempo en Ralentí</c:v>
                </c:pt>
              </c:strCache>
            </c:strRef>
          </c:cat>
          <c:val>
            <c:numRef>
              <c:f>Resumen!$K$89:$K$90</c:f>
              <c:numCache>
                <c:ptCount val="2"/>
                <c:pt idx="0">
                  <c:v>0.6740556792586</c:v>
                </c:pt>
                <c:pt idx="1">
                  <c:v>0.3259443207414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>
        <c:manualLayout>
          <c:xMode val="edge"/>
          <c:yMode val="edge"/>
          <c:x val="0.80573122195898"/>
          <c:y val="0.29309453163221"/>
          <c:w val="0.18114919726261"/>
          <c:h val="0.37834878524183"/>
        </c:manualLayout>
      </c:layout>
      <c:overlay val="0"/>
      <c:spPr>
        <a:solidFill>
          <a:srgbClr val="F2F2F2">
            <a:alpha val="39000"/>
          </a:srgbClr>
        </a:solidFill>
        <a:ln w="0"/>
      </c:spPr>
      <c:txPr>
        <a:bodyPr/>
        <a:lstStyle/>
        <a:p>
          <a:pPr rtl="0">
            <a:defRPr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BFBFBF"/>
      </a:solidFill>
    </a:ln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/>
    <c:plotArea>
      <c:layout>
        <c:manualLayout>
          <c:layoutTarget val="inner"/>
          <c:xMode val="edge"/>
          <c:yMode val="edge"/>
          <c:x val="0.12493909371447"/>
          <c:y val="0.095506057053536"/>
          <c:w val="0.70769043365275"/>
          <c:h val="0.83321610003908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92D050"/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dLbls>
            <c:spPr>
              <a:solidFill>
                <a:srgbClr val="595959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</c:dLbls>
          <c:tx>
            <c:strRef>
              <c:f>Resumen!$B$9</c:f>
              <c:strCache>
                <c:ptCount val="1"/>
                <c:pt idx="0">
                  <c:v>(1) DISTANCIA RECORRIDA</c:v>
                </c:pt>
              </c:strCache>
            </c:strRef>
          </c:tx>
          <c:spPr>
            <a:ln w="0"/>
          </c:spPr>
          <c:cat>
            <c:strRef>
              <c:f>Resumen!$G$12:$G$16</c:f>
              <c:strCache>
                <c:ptCount val="5"/>
                <c:pt idx="0">
                  <c:v>Menos de 67</c:v>
                </c:pt>
                <c:pt idx="1">
                  <c:v>67 a 167</c:v>
                </c:pt>
                <c:pt idx="2">
                  <c:v>167 a 500</c:v>
                </c:pt>
                <c:pt idx="3">
                  <c:v>500 a 1,000</c:v>
                </c:pt>
                <c:pt idx="4">
                  <c:v>Más de 1,000</c:v>
                </c:pt>
              </c:strCache>
            </c:strRef>
          </c:cat>
          <c:val>
            <c:numRef>
              <c:f>Resumen!$I$12:$I$16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>
        <c:manualLayout>
          <c:xMode val="edge"/>
          <c:yMode val="edge"/>
          <c:x val="0.78028630746916"/>
          <c:y val="0.31082331649978"/>
          <c:w val="0.15822029056305"/>
          <c:h val="0.49454863618762"/>
        </c:manualLayout>
      </c:layout>
      <c:overlay val="0"/>
      <c:spPr>
        <a:solidFill>
          <a:srgbClr val="F2F2F2">
            <a:alpha val="39000"/>
          </a:srgbClr>
        </a:solidFill>
        <a:ln w="0"/>
      </c:spPr>
      <c:txPr>
        <a:bodyPr/>
        <a:lstStyle/>
        <a:p>
          <a:pPr rtl="0">
            <a:defRPr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BFBFBF"/>
      </a:solidFill>
    </a:ln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/>
    <c:plotArea>
      <c:layout>
        <c:manualLayout>
          <c:layoutTarget val="inner"/>
          <c:xMode val="edge"/>
          <c:yMode val="edge"/>
          <c:x val="0.099488760853688"/>
          <c:y val="0.064987138750189"/>
          <c:w val="0.70770104682301"/>
          <c:h val="0.8333333333333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92D050"/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dLbls>
            <c:spPr>
              <a:solidFill>
                <a:srgbClr val="595959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</c:dLbls>
          <c:tx>
            <c:strRef>
              <c:f>Resumen!$K$47</c:f>
              <c:strCache>
                <c:ptCount val="1"/>
                <c:pt idx="0">
                  <c:v>(4) KM CONDUCIDOS POR DIA</c:v>
                </c:pt>
              </c:strCache>
            </c:strRef>
          </c:tx>
          <c:spPr>
            <a:ln w="0"/>
          </c:spPr>
          <c:cat>
            <c:strRef>
              <c:f>Resumen!$P$50:$P$54</c:f>
              <c:strCache>
                <c:ptCount val="5"/>
                <c:pt idx="0">
                  <c:v>Menos de 25</c:v>
                </c:pt>
                <c:pt idx="1">
                  <c:v>25 a 50</c:v>
                </c:pt>
                <c:pt idx="2">
                  <c:v>50 a 100</c:v>
                </c:pt>
                <c:pt idx="3">
                  <c:v>100 a 150</c:v>
                </c:pt>
                <c:pt idx="4">
                  <c:v>Más de 150</c:v>
                </c:pt>
              </c:strCache>
            </c:strRef>
          </c:cat>
          <c:val>
            <c:numRef>
              <c:f>Resumen!$R$50:$R$54</c:f>
              <c:numCach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>
        <c:manualLayout>
          <c:xMode val="edge"/>
          <c:yMode val="edge"/>
          <c:x val="0.77520051415755"/>
          <c:y val="0.20112597173838"/>
          <c:w val="0.20487561021543"/>
          <c:h val="0.56567902594393"/>
        </c:manualLayout>
      </c:layout>
      <c:overlay val="0"/>
      <c:spPr>
        <a:solidFill>
          <a:srgbClr val="F2F2F2">
            <a:alpha val="39000"/>
          </a:srgbClr>
        </a:solidFill>
        <a:ln w="0"/>
      </c:spPr>
      <c:txPr>
        <a:bodyPr/>
        <a:lstStyle/>
        <a:p>
          <a:pPr rtl="0">
            <a:defRPr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BFBFBF"/>
      </a:solidFill>
    </a:ln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56</xdr:row>
      <xdr:rowOff>180975</xdr:rowOff>
    </xdr:from>
    <xdr:to>
      <xdr:col>8</xdr:col>
      <xdr:colOff>1476375</xdr:colOff>
      <xdr:row>82</xdr:row>
      <xdr:rowOff>38100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19</xdr:row>
      <xdr:rowOff>9525</xdr:rowOff>
    </xdr:from>
    <xdr:to>
      <xdr:col>17</xdr:col>
      <xdr:colOff>1343025</xdr:colOff>
      <xdr:row>43</xdr:row>
      <xdr:rowOff>180975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92</xdr:row>
      <xdr:rowOff>28575</xdr:rowOff>
    </xdr:from>
    <xdr:to>
      <xdr:col>12</xdr:col>
      <xdr:colOff>428625</xdr:colOff>
      <xdr:row>114</xdr:row>
      <xdr:rowOff>152400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257175</xdr:colOff>
      <xdr:row>19</xdr:row>
      <xdr:rowOff>66675</xdr:rowOff>
    </xdr:from>
    <xdr:to>
      <xdr:col>8</xdr:col>
      <xdr:colOff>1390650</xdr:colOff>
      <xdr:row>43</xdr:row>
      <xdr:rowOff>104775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123825</xdr:colOff>
      <xdr:row>57</xdr:row>
      <xdr:rowOff>28575</xdr:rowOff>
    </xdr:from>
    <xdr:to>
      <xdr:col>17</xdr:col>
      <xdr:colOff>1323975</xdr:colOff>
      <xdr:row>82</xdr:row>
      <xdr:rowOff>28575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J126"/>
  <sheetViews>
    <sheetView tabSelected="1" workbookViewId="0" zoomScale="80" zoomScaleNormal="80" showGridLines="true" showRowColHeaders="1">
      <selection activeCell="A1" sqref="A1"/>
    </sheetView>
  </sheetViews>
  <sheetFormatPr defaultRowHeight="14.4" defaultColWidth="8.83984375" outlineLevelRow="0" outlineLevelCol="0"/>
  <cols>
    <col min="1" max="1" width="4.15625" customWidth="true" style="4"/>
    <col min="2" max="2" width="18.68359375" customWidth="true" style="4"/>
    <col min="3" max="3" width="13.5234375" customWidth="true" style="4"/>
    <col min="4" max="4" width="9.83984375" customWidth="true" style="4"/>
    <col min="5" max="5" width="4.15625" customWidth="true" style="4"/>
    <col min="6" max="6" width="7.15625" customWidth="true" style="4"/>
    <col min="7" max="7" width="14.83984375" customWidth="true" style="4"/>
    <col min="8" max="8" width="18.83984375" customWidth="true" style="4"/>
    <col min="9" max="9" width="23.47265625" customWidth="true" style="4"/>
    <col min="10" max="10" width="16" customWidth="true" style="4"/>
    <col min="11" max="11" width="14.15625" customWidth="true" style="4"/>
    <col min="12" max="12" width="14.15625" customWidth="true" style="4"/>
    <col min="13" max="13" width="9.68359375" customWidth="true" style="4"/>
    <col min="14" max="14" width="4.15625" customWidth="true" style="4"/>
    <col min="15" max="15" width="5.62890625" customWidth="true" style="4"/>
    <col min="16" max="16" width="20.5234375" customWidth="true" style="4"/>
    <col min="17" max="17" width="18" customWidth="true" style="4"/>
    <col min="18" max="18" width="21.15625" customWidth="true" style="4"/>
    <col min="36" max="36" width="9.15625" hidden="true" customWidth="true" style="4"/>
  </cols>
  <sheetData>
    <row r="1" spans="1:36" customHeight="1" ht="15.7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36" customHeight="1" ht="27" s="6" customFormat="1">
      <c r="A2" s="5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6"/>
    </row>
    <row r="3" spans="1:36" customHeight="1" ht="24.75" s="8" customFormat="1">
      <c r="A3" s="5"/>
      <c r="B3" s="91" t="str">
        <f>Reporte!B3</f>
        <v>MAGNEX_COL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6" customHeight="1" ht="12.75" s="11" customFormat="1">
      <c r="A4" s="5"/>
      <c r="B4" s="5"/>
      <c r="C4" s="5"/>
      <c r="D4" s="5"/>
      <c r="E4" s="5"/>
      <c r="F4" s="9"/>
      <c r="G4" s="9"/>
      <c r="H4" s="9"/>
      <c r="I4" s="9"/>
      <c r="J4" s="1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6" customHeight="1" ht="19.5" s="11" customFormat="1">
      <c r="A5" s="5"/>
      <c r="B5" s="12" t="str">
        <f>+data!A2</f>
        <v>Fecha del reporte</v>
      </c>
      <c r="C5" s="13">
        <f>data!B2</f>
        <v>46202</v>
      </c>
      <c r="D5" s="11"/>
      <c r="E5" s="5"/>
      <c r="F5" s="9"/>
      <c r="G5" s="9"/>
      <c r="H5" s="9"/>
      <c r="I5" s="9"/>
      <c r="J5" s="10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6" customHeight="1" ht="19.5" s="11" customFormat="1">
      <c r="A6" s="5"/>
      <c r="B6" s="14" t="str">
        <f>data!A5</f>
        <v>Días</v>
      </c>
      <c r="C6" s="15">
        <f>data!B5</f>
        <v>30</v>
      </c>
      <c r="D6" s="11"/>
      <c r="E6" s="5"/>
      <c r="F6" s="9"/>
      <c r="G6" s="9"/>
      <c r="H6" s="9"/>
      <c r="I6" s="9"/>
      <c r="J6" s="1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2"/>
      <c r="AC6" s="92"/>
      <c r="AE6" s="9"/>
      <c r="AF6" s="9"/>
      <c r="AG6" s="9"/>
      <c r="AJ6" s="11" t="str">
        <f>CONCATENATE(PROPER($C$7), " Driven")</f>
        <v>Km Driven</v>
      </c>
    </row>
    <row r="7" spans="1:36" customHeight="1" ht="21.75" s="11" customFormat="1">
      <c r="A7" s="5"/>
      <c r="B7" s="14" t="str">
        <f>data!A6</f>
        <v>Unidad de distancia</v>
      </c>
      <c r="C7" s="15" t="str">
        <f>data!B6</f>
        <v>KM</v>
      </c>
      <c r="D7" s="11"/>
      <c r="E7" s="5"/>
      <c r="F7" s="9"/>
      <c r="G7" s="9"/>
      <c r="H7" s="9"/>
      <c r="I7" s="9"/>
      <c r="J7" s="10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6"/>
      <c r="AC7" s="16"/>
      <c r="AE7" s="9"/>
      <c r="AF7" s="9"/>
      <c r="AG7" s="9"/>
      <c r="AJ7" s="11" t="str">
        <f>CONCATENATE(PROPER($C$7)," per day  (Avg.)")</f>
        <v>Km per day  (Avg.)</v>
      </c>
    </row>
    <row r="8" spans="1:36" customHeight="1" ht="15.7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36" customHeight="1" ht="27">
      <c r="A9"/>
      <c r="B9" s="86" t="str">
        <f>CLEAN(+Reporte!O14)</f>
        <v>(1) DISTANCIA RECORRIDA</v>
      </c>
      <c r="C9" s="86"/>
      <c r="D9" s="86"/>
      <c r="E9" s="86"/>
      <c r="F9" s="86"/>
      <c r="G9" s="86"/>
      <c r="H9" s="86"/>
      <c r="I9" s="86"/>
      <c r="J9"/>
      <c r="K9" s="86" t="str">
        <f>CLEAN(+Reporte!P14)</f>
        <v>(2) DIAS CONDUCIDOS</v>
      </c>
      <c r="L9" s="86"/>
      <c r="M9" s="86"/>
      <c r="N9" s="86"/>
      <c r="O9" s="86"/>
      <c r="P9" s="86"/>
      <c r="Q9" s="86"/>
      <c r="R9" s="86"/>
      <c r="S9"/>
    </row>
    <row r="10" spans="1:36" customHeight="1" ht="15.75">
      <c r="A10"/>
      <c r="B10" s="17"/>
      <c r="C10"/>
      <c r="D10"/>
      <c r="E10"/>
      <c r="F10"/>
      <c r="G10"/>
      <c r="H10"/>
      <c r="I10" s="18"/>
      <c r="J10"/>
      <c r="K10" s="17"/>
      <c r="L10"/>
      <c r="M10"/>
      <c r="N10"/>
      <c r="O10"/>
      <c r="P10"/>
      <c r="Q10"/>
      <c r="R10" s="18"/>
      <c r="S10"/>
    </row>
    <row r="11" spans="1:36" customHeight="1" ht="15.75">
      <c r="A11"/>
      <c r="B11" s="17"/>
      <c r="C11" s="88" t="str">
        <f>UPPER($C$7)</f>
        <v>KM</v>
      </c>
      <c r="D11" s="88"/>
      <c r="E11" s="88"/>
      <c r="F11" s="88"/>
      <c r="G11" s="88"/>
      <c r="H11" s="19" t="s">
        <v>1</v>
      </c>
      <c r="I11" s="19" t="s">
        <v>2</v>
      </c>
      <c r="J11"/>
      <c r="K11" s="17"/>
      <c r="L11" s="89" t="s">
        <v>3</v>
      </c>
      <c r="M11" s="89"/>
      <c r="N11" s="89"/>
      <c r="O11" s="89"/>
      <c r="P11" s="89"/>
      <c r="Q11" s="19" t="s">
        <v>1</v>
      </c>
      <c r="R11" s="19" t="s">
        <v>2</v>
      </c>
      <c r="S11"/>
    </row>
    <row r="12" spans="1:36" customHeight="1" ht="13.5">
      <c r="A12"/>
      <c r="B12" s="20" t="s">
        <v>4</v>
      </c>
      <c r="C12" s="21" t="s">
        <v>5</v>
      </c>
      <c r="D12" s="22">
        <f>IF($C$6=90,VLOOKUP($B12,parámetros!$B$4:$D$8,2,FALSE()),0)+IF($C$6=60,VLOOKUP($B12,parámetros!$F$4:$H$8,2,FALSE()),0)+IF(OR($C$6=30,$C$6=31,$C$6=29,$C$6=28),VLOOKUP($B12,parámetros!$J$4:$L$8,2,FALSE()),0)+IF($C$6=7,VLOOKUP($B12,parámetros!$N$4:$P$8,2,FALSE()),0)</f>
        <v>0</v>
      </c>
      <c r="E12" s="22" t="s">
        <v>6</v>
      </c>
      <c r="F12" s="23">
        <f>IF($C$6=90,VLOOKUP($B12,parámetros!$B$4:$D$8,3,FALSE()),0)+IF($C$6=60,VLOOKUP($B12,parámetros!$F$4:$H$8,3,FALSE()),0)+IF(OR($C$6=30,$C$6=31,$C$6=29,$C$6=28),VLOOKUP($B12,parámetros!$J$4:$L$8,3,FALSE()),0)+IF($C$6=7,VLOOKUP($B12,parámetros!$N$4:$P$8,3,FALSE()),0)</f>
        <v>66.666666666667</v>
      </c>
      <c r="G12" s="24" t="str">
        <f>IF($C$6=90,VLOOKUP($B12,parámetros!$B$4:$E$8,4,FALSE()),IF($C$6=60,VLOOKUP($B12,parámetros!$F$4:$I$8,4,FALSE()),IF(OR($C$6=30,$C$6=31,$C$6=29,$C$6=28),VLOOKUP($B12,parámetros!$J$4:$M$8,4,FALSE()),IF($C$6=7,VLOOKUP($B12,parámetros!$N$4:$Q$8,4,FALSE()),0))))</f>
        <v>Menos de 67</v>
      </c>
      <c r="H12" s="24" t="e">
        <f>SUMPRODUCT(SUBTOTAL(3,OFFSET(Reporte!O16:O222,ROW(Reporte!O16:O222)-MIN(ROW(Reporte!O16:O222)),0,1)),(Reporte!O16:O222&gt;=D12)*(Reporte!O16:O222&lt;D13))</f>
        <v>#VALUE!</v>
      </c>
      <c r="I12" s="25" t="e">
        <f>H12/$H$17</f>
        <v>#VALUE!</v>
      </c>
      <c r="J12"/>
      <c r="K12" s="20" t="s">
        <v>4</v>
      </c>
      <c r="L12" s="21" t="s">
        <v>5</v>
      </c>
      <c r="M12" s="22">
        <f>IF($C$6=90,VLOOKUP($K12,parámetros!$B$12:$D$16,2,FALSE()),0)+IF($C$6=60,VLOOKUP($K12,parámetros!$F$12:$H$16,2,FALSE()),0)+IF(OR($C$6=30,$C$6=31,$C$6=29,$C$6=28),VLOOKUP($K12,parámetros!$J$12:$L$16,2,FALSE()),0)+IF($C$6=7,VLOOKUP($K12,parámetros!$N$12:$P$16,2,FALSE()),0)</f>
        <v>0</v>
      </c>
      <c r="N12" s="22" t="s">
        <v>6</v>
      </c>
      <c r="O12" s="22">
        <f>IF($C$6=90,VLOOKUP($K12,parámetros!$B$12:$D$16,3,FALSE()),0)+IF($C$6=60,VLOOKUP($K12,parámetros!$F$12:$H$16,3,FALSE()),0)+IF(OR($C$6=30,$C$6=31,$C$6=29,$C$6=28),VLOOKUP($K12,parámetros!$J$12:$L$16,3,FALSE()),0)+IF($C$6=7,VLOOKUP($K12,parámetros!$N$12:$P$16,3,FALSE()),0)</f>
        <v>6</v>
      </c>
      <c r="P12" s="24" t="str">
        <f>IF($C$6=90,VLOOKUP($K12,parámetros!$B$12:$E$16,4,FALSE()),IF($C$6=60,VLOOKUP($K12,parámetros!$F$12:$I$16,4,FALSE()),IF(OR($C$6=30,$C$6=31,$C$6=29,$C$6=28),VLOOKUP($K12,parámetros!$J$12:$M$16,4,FALSE()),IF($C$6=7,VLOOKUP($K12,parámetros!$N$12:$Q$16,4,FALSE()),0))))</f>
        <v>Menos de 6</v>
      </c>
      <c r="Q12" s="24" t="e">
        <f>SUMPRODUCT(SUBTOTAL(3,OFFSET(Reporte!P16:P222,ROW(Reporte!P16:P222)-MIN(ROW(Reporte!P16:P222)),0,1)),(Reporte!P16:P222&gt;=M12)*(Reporte!P16:P222&lt;M13))</f>
        <v>#VALUE!</v>
      </c>
      <c r="R12" s="25" t="e">
        <f>Q12/$Q$17</f>
        <v>#VALUE!</v>
      </c>
      <c r="S12"/>
    </row>
    <row r="13" spans="1:36" customHeight="1" ht="13.5">
      <c r="A13"/>
      <c r="B13" s="26" t="s">
        <v>7</v>
      </c>
      <c r="C13" s="27" t="s">
        <v>5</v>
      </c>
      <c r="D13" s="28">
        <f>IF($C$6=90,VLOOKUP($B13,parámetros!$B$4:$D$8,2,FALSE()),0)+IF($C$6=60,VLOOKUP($B13,parámetros!$F$4:$H$8,2,FALSE()),0)+IF(OR($C$6=30,$C$6=31,$C$6=29,$C$6=28),VLOOKUP($B13,parámetros!$J$4:$L$8,2,FALSE()),0)+IF($C$6=7,VLOOKUP($B13,parámetros!$N$4:$P$8,2,FALSE()),0)</f>
        <v>66.666666666667</v>
      </c>
      <c r="E13" s="28" t="s">
        <v>6</v>
      </c>
      <c r="F13" s="29">
        <f>IF($C$6=90,VLOOKUP($B13,parámetros!$B$4:$D$8,3,FALSE()),0)+IF($C$6=60,VLOOKUP($B13,parámetros!$F$4:$H$8,3,FALSE()),0)+IF(OR($C$6=30,$C$6=31,$C$6=29,$C$6=28),VLOOKUP($B13,parámetros!$J$4:$L$8,3,FALSE()),0)+IF($C$6=7,VLOOKUP($B13,parámetros!$N$4:$P$8,3,FALSE()),0)</f>
        <v>166.66666666667</v>
      </c>
      <c r="G13" s="30" t="str">
        <f>IF($C$6=90,VLOOKUP($B13,parámetros!$B$4:$E$8,4,FALSE()),IF($C$6=60,VLOOKUP($B13,parámetros!$F$4:$I$8,4,FALSE()),IF(OR($C$6=30,$C$6=31,$C$6=29,$C$6=28),VLOOKUP($B13,parámetros!$J$4:$M$8,4,FALSE()),IF($C$6=7,VLOOKUP($B13,parámetros!$N$4:$Q$8,4,FALSE()),0))))</f>
        <v>67 a 167</v>
      </c>
      <c r="H13" s="30" t="e">
        <f>SUMPRODUCT(SUBTOTAL(3,OFFSET(Reporte!O16:O222,ROW(Reporte!O16:O222)-MIN(ROW(Reporte!O16:O222)),0,1)),(Reporte!O16:O222&gt;=D13)*(Reporte!O16:O222&lt;D14))</f>
        <v>#VALUE!</v>
      </c>
      <c r="I13" s="31" t="e">
        <f>H13/$H$17</f>
        <v>#VALUE!</v>
      </c>
      <c r="J13"/>
      <c r="K13" s="26" t="s">
        <v>7</v>
      </c>
      <c r="L13" s="27" t="s">
        <v>5</v>
      </c>
      <c r="M13" s="28">
        <f>IF($C$6=90,VLOOKUP($K13,parámetros!$B$12:$D$16,2,FALSE()),0)+IF($C$6=60,VLOOKUP($K13,parámetros!$F$12:$H$16,2,FALSE()),0)+IF(OR($C$6=30,$C$6=31,$C$6=29,$C$6=28),VLOOKUP($K13,parámetros!$J$12:$L$16,2,FALSE()),0)+IF($C$6=7,VLOOKUP($K13,parámetros!$N$12:$P$16,2,FALSE()),0)</f>
        <v>6</v>
      </c>
      <c r="N13" s="28" t="s">
        <v>6</v>
      </c>
      <c r="O13" s="28">
        <f>IF($C$6=90,VLOOKUP($K13,parámetros!$B$12:$D$16,3,FALSE()),0)+IF($C$6=60,VLOOKUP($K13,parámetros!$F$12:$H$16,3,FALSE()),0)+IF(OR($C$6=30,$C$6=31,$C$6=29,$C$6=28),VLOOKUP($K13,parámetros!$J$12:$L$16,3,FALSE()),0)+IF($C$6=7,VLOOKUP($K13,parámetros!$N$12:$P$16,3,FALSE()),0)</f>
        <v>12</v>
      </c>
      <c r="P13" s="30" t="str">
        <f>IF($C$6=90,VLOOKUP($K13,parámetros!$B$12:$E$16,4,FALSE()),IF($C$6=60,VLOOKUP($K13,parámetros!$F$12:$I$16,4,FALSE()),IF(OR($C$6=30,$C$6=31,$C$6=29,$C$6=28),VLOOKUP($K13,parámetros!$J$12:$M$16,4,FALSE()),IF($C$6=7,VLOOKUP($K13,parámetros!$N$12:$Q$16,4,FALSE()),0))))</f>
        <v>6 a 12</v>
      </c>
      <c r="Q13" s="30" t="e">
        <f>SUMPRODUCT(SUBTOTAL(3,OFFSET(Reporte!P16:P222,ROW(Reporte!P16:P222)-MIN(ROW(Reporte!P16:P222)),0,1)),(Reporte!P16:P222&gt;=M13)*(Reporte!P16:P222&lt;M14))</f>
        <v>#VALUE!</v>
      </c>
      <c r="R13" s="31" t="e">
        <f>Q13/$Q$17</f>
        <v>#VALUE!</v>
      </c>
      <c r="S13"/>
    </row>
    <row r="14" spans="1:36" customHeight="1" ht="13.5">
      <c r="A14"/>
      <c r="B14" s="26" t="s">
        <v>8</v>
      </c>
      <c r="C14" s="27" t="s">
        <v>5</v>
      </c>
      <c r="D14" s="28">
        <f>IF($C$6=90,VLOOKUP($B14,parámetros!$B$4:$D$8,2,FALSE()),0)+IF($C$6=60,VLOOKUP($B14,parámetros!$F$4:$H$8,2,FALSE()),0)+IF(OR($C$6=30,$C$6=31,$C$6=29,$C$6=28),VLOOKUP($B14,parámetros!$J$4:$L$8,2,FALSE()),0)+IF($C$6=7,VLOOKUP($B14,parámetros!$N$4:$P$8,2,FALSE()),0)</f>
        <v>166.66666666667</v>
      </c>
      <c r="E14" s="28" t="s">
        <v>6</v>
      </c>
      <c r="F14" s="29">
        <f>IF($C$6=90,VLOOKUP($B14,parámetros!$B$4:$D$8,3,FALSE()),0)+IF($C$6=60,VLOOKUP($B14,parámetros!$F$4:$H$8,3,FALSE()),0)+IF(OR($C$6=30,$C$6=31,$C$6=29,$C$6=28),VLOOKUP($B14,parámetros!$J$4:$L$8,3,FALSE()),0)+IF($C$6=7,VLOOKUP($B14,parámetros!$N$4:$P$8,3,FALSE()),0)</f>
        <v>500</v>
      </c>
      <c r="G14" s="32" t="str">
        <f>IF($C$6=90,VLOOKUP($B14,parámetros!$B$4:$E$8,4,FALSE()),IF($C$6=60,VLOOKUP($B14,parámetros!$F$4:$I$8,4,FALSE()),IF(OR($C$6=30,$C$6=31,$C$6=29,$C$6=28),VLOOKUP($B14,parámetros!$J$4:$M$8,4,FALSE()),IF($C$6=7,VLOOKUP($B14,parámetros!$N$4:$Q$8,4,FALSE()),0))))</f>
        <v>167 a 500</v>
      </c>
      <c r="H14" s="32" t="e">
        <f>SUMPRODUCT(SUBTOTAL(3,OFFSET(Reporte!O16:O222,ROW(Reporte!O16:O222)-MIN(ROW(Reporte!O16:O222)),0,1)),(Reporte!O16:O222&gt;=D14)*(Reporte!O16:O222&lt;D15))</f>
        <v>#VALUE!</v>
      </c>
      <c r="I14" s="33" t="e">
        <f>H14/$H$17</f>
        <v>#VALUE!</v>
      </c>
      <c r="J14"/>
      <c r="K14" s="26" t="s">
        <v>8</v>
      </c>
      <c r="L14" s="27" t="s">
        <v>5</v>
      </c>
      <c r="M14" s="28">
        <f>IF($C$6=90,VLOOKUP($K14,parámetros!$B$12:$D$16,2,FALSE()),0)+IF($C$6=60,VLOOKUP($K14,parámetros!$F$12:$H$16,2,FALSE()),0)+IF(OR($C$6=30,$C$6=31,$C$6=29,$C$6=28),VLOOKUP($K14,parámetros!$J$12:$L$16,2,FALSE()),0)+IF($C$6=7,VLOOKUP($K14,parámetros!$N$12:$P$16,2,FALSE()),0)</f>
        <v>12</v>
      </c>
      <c r="N14" s="28" t="s">
        <v>6</v>
      </c>
      <c r="O14" s="28">
        <f>IF($C$6=90,VLOOKUP($K14,parámetros!$B$12:$D$16,3,FALSE()),0)+IF($C$6=60,VLOOKUP($K14,parámetros!$F$12:$H$16,3,FALSE()),0)+IF(OR($C$6=30,$C$6=31,$C$6=29,$C$6=28),VLOOKUP($K14,parámetros!$J$12:$L$16,3,FALSE()),0)+IF($C$6=7,VLOOKUP($K14,parámetros!$N$12:$P$16,3,FALSE()),0)</f>
        <v>18</v>
      </c>
      <c r="P14" s="32" t="str">
        <f>IF($C$6=90,VLOOKUP($K14,parámetros!$B$12:$E$16,4,FALSE()),IF($C$6=60,VLOOKUP($K14,parámetros!$F$12:$I$16,4,FALSE()),IF(OR($C$6=30,$C$6=31,$C$6=29,$C$6=28),VLOOKUP($K14,parámetros!$J$12:$M$16,4,FALSE()),IF($C$6=7,VLOOKUP($K14,parámetros!$N$12:$Q$16,4,FALSE()),0))))</f>
        <v>12 a 18</v>
      </c>
      <c r="Q14" s="32" t="e">
        <f>SUMPRODUCT(SUBTOTAL(3,OFFSET(Reporte!P16:P222,ROW(Reporte!P16:P222)-MIN(ROW(Reporte!P16:P222)),0,1)),(Reporte!P16:P222&gt;=M14)*(Reporte!P16:P222&lt;M15))</f>
        <v>#VALUE!</v>
      </c>
      <c r="R14" s="33" t="e">
        <f>Q14/$Q$17</f>
        <v>#VALUE!</v>
      </c>
      <c r="S14"/>
    </row>
    <row r="15" spans="1:36" customHeight="1" ht="13.5">
      <c r="A15"/>
      <c r="B15" s="26" t="s">
        <v>9</v>
      </c>
      <c r="C15" s="27" t="s">
        <v>5</v>
      </c>
      <c r="D15" s="28">
        <f>IF($C$6=90,VLOOKUP($B15,parámetros!$B$4:$D$8,2,FALSE()),0)+IF($C$6=60,VLOOKUP($B15,parámetros!$F$4:$H$8,2,FALSE()),0)+IF(OR($C$6=30,$C$6=31,$C$6=29,$C$6=28),VLOOKUP($B15,parámetros!$J$4:$L$8,2,FALSE()),0)+IF($C$6=7,VLOOKUP($B15,parámetros!$N$4:$P$8,2,FALSE()),0)</f>
        <v>500</v>
      </c>
      <c r="E15" s="28" t="s">
        <v>6</v>
      </c>
      <c r="F15" s="29">
        <f>IF($C$6=90,VLOOKUP($B15,parámetros!$B$4:$D$8,3,FALSE()),0)+IF($C$6=60,VLOOKUP($B15,parámetros!$F$4:$H$8,3,FALSE()),0)+IF(OR($C$6=30,$C$6=31,$C$6=29,$C$6=28),VLOOKUP($B15,parámetros!$J$4:$L$8,3,FALSE()),0)+IF($C$6=7,VLOOKUP($B15,parámetros!$N$4:$P$8,3,FALSE()),0)</f>
        <v>1000</v>
      </c>
      <c r="G15" s="34" t="str">
        <f>IF($C$6=90,VLOOKUP($B15,parámetros!$B$4:$E$8,4,FALSE()),IF($C$6=60,VLOOKUP($B15,parámetros!$F$4:$I$8,4,FALSE()),IF(OR($C$6=30,$C$6=31,$C$6=29,$C$6=28),VLOOKUP($B15,parámetros!$J$4:$M$8,4,FALSE()),IF($C$6=7,VLOOKUP($B15,parámetros!$N$4:$Q$8,4,FALSE()),0))))</f>
        <v>500 a 1,000</v>
      </c>
      <c r="H15" s="34" t="e">
        <f>SUMPRODUCT(SUBTOTAL(3,OFFSET(Reporte!O16:O222,ROW(Reporte!O16:O222)-MIN(ROW(Reporte!O16:O222)),0,1)),(Reporte!O16:O222&gt;=D15)*(Reporte!O16:O222&lt;D16))</f>
        <v>#VALUE!</v>
      </c>
      <c r="I15" s="35" t="e">
        <f>H15/$H$17</f>
        <v>#VALUE!</v>
      </c>
      <c r="J15"/>
      <c r="K15" s="26" t="s">
        <v>9</v>
      </c>
      <c r="L15" s="27" t="s">
        <v>5</v>
      </c>
      <c r="M15" s="28">
        <f>IF($C$6=90,VLOOKUP($K15,parámetros!$B$12:$D$16,2,FALSE()),0)+IF($C$6=60,VLOOKUP($K15,parámetros!$F$12:$H$16,2,FALSE()),0)+IF(OR($C$6=30,$C$6=31,$C$6=29,$C$6=28),VLOOKUP($K15,parámetros!$J$12:$L$16,2,FALSE()),0)+IF($C$6=7,VLOOKUP($K15,parámetros!$N$12:$P$16,2,FALSE()),0)</f>
        <v>18</v>
      </c>
      <c r="N15" s="28" t="s">
        <v>6</v>
      </c>
      <c r="O15" s="28">
        <f>IF($C$6=90,VLOOKUP($K15,parámetros!$B$12:$D$16,3,FALSE()),0)+IF($C$6=60,VLOOKUP($K15,parámetros!$F$12:$H$16,3,FALSE()),0)+IF(OR($C$6=30,$C$6=31,$C$6=29,$C$6=28),VLOOKUP($K15,parámetros!$J$12:$L$16,3,FALSE()),0)+IF($C$6=7,VLOOKUP($K15,parámetros!$N$12:$P$16,3,FALSE()),0)</f>
        <v>24</v>
      </c>
      <c r="P15" s="34" t="str">
        <f>IF($C$6=90,VLOOKUP($K15,parámetros!$B$12:$E$16,4,FALSE()),IF($C$6=60,VLOOKUP($K15,parámetros!$F$12:$I$16,4,FALSE()),IF(OR($C$6=30,$C$6=31,$C$6=29,$C$6=28),VLOOKUP($K15,parámetros!$J$12:$M$16,4,FALSE()),IF($C$6=7,VLOOKUP($K15,parámetros!$N$12:$Q$16,4,FALSE()),0))))</f>
        <v>18 a 24</v>
      </c>
      <c r="Q15" s="34" t="e">
        <f>SUMPRODUCT(SUBTOTAL(3,OFFSET(Reporte!P16:P222,ROW(Reporte!P16:P222)-MIN(ROW(Reporte!P16:P222)),0,1)),(Reporte!P16:P222&gt;=M15)*(Reporte!P16:P222&lt;M16))</f>
        <v>#VALUE!</v>
      </c>
      <c r="R15" s="35" t="e">
        <f>Q15/$Q$17</f>
        <v>#VALUE!</v>
      </c>
      <c r="S15"/>
    </row>
    <row r="16" spans="1:36" customHeight="1" ht="13.5">
      <c r="A16"/>
      <c r="B16" s="36" t="s">
        <v>10</v>
      </c>
      <c r="C16" s="37" t="s">
        <v>11</v>
      </c>
      <c r="D16" s="38">
        <f>IF($C$6=90,VLOOKUP($B16,parámetros!$B$4:$D$8,2,FALSE()),0)+IF($C$6=60,VLOOKUP($B16,parámetros!$F$4:$H$8,2,FALSE()),0)+IF(OR($C$6=30,$C$6=31,$C$6=29,$C$6=28),VLOOKUP($B16,parámetros!$J$4:$L$8,2,FALSE()),0)+IF($C$6=7,VLOOKUP($B16,parámetros!$N$4:$P$8,2,FALSE()),0)</f>
        <v>1000</v>
      </c>
      <c r="E16" s="39"/>
      <c r="F16" s="40">
        <f>IF($C$6=90,VLOOKUP($B16,parámetros!$B$4:$D$8,3,FALSE()),0)+IF($C$6=60,VLOOKUP($B16,parámetros!$F$4:$H$8,3,FALSE()),0)+IF(OR($C$6=30,$C$6=31,$C$6=29,$C$6=28),VLOOKUP($B16,parámetros!$J$4:$L$8,3,FALSE()),0)+IF($C$6=7,VLOOKUP($B16,parámetros!$N$4:$P$8,3,FALSE()),0)</f>
        <v>0</v>
      </c>
      <c r="G16" s="41" t="str">
        <f>IF($C$6=90,VLOOKUP($B16,parámetros!$B$4:$E$8,4,FALSE()),IF($C$6=60,VLOOKUP($B16,parámetros!$F$4:$I$8,4,FALSE()),IF(OR($C$6=30,$C$6=31,$C$6=29,$C$6=28),VLOOKUP($B16,parámetros!$J$4:$M$8,4,FALSE()),IF($C$6=7,VLOOKUP($B16,parámetros!$N$4:$Q$8,4,FALSE()),0))))</f>
        <v>Más de 1,000</v>
      </c>
      <c r="H16" s="41">
        <f>SUMPRODUCT((SUBTOTAL(103,OFFSET(Reporte!O16:O222,ROW(Reporte!O16:O222)-MIN(ROW(Reporte!O16:O222)),0,1)))*(Reporte!O16:O222&gt;=D16))</f>
        <v>27</v>
      </c>
      <c r="I16" s="42" t="e">
        <f>H16/$H$17</f>
        <v>#VALUE!</v>
      </c>
      <c r="J16"/>
      <c r="K16" s="36" t="s">
        <v>10</v>
      </c>
      <c r="L16" s="37" t="s">
        <v>5</v>
      </c>
      <c r="M16" s="38">
        <f>IF($C$6=90,VLOOKUP($K16,parámetros!$B$12:$D$16,2,FALSE()),0)+IF($C$6=60,VLOOKUP($K16,parámetros!$F$12:$H$16,2,FALSE()),0)+IF(OR($C$6=30,$C$6=31,$C$6=29,$C$6=28),VLOOKUP($K16,parámetros!$J$12:$L$16,2,FALSE()),0)+IF($C$6=7,VLOOKUP($K16,parámetros!$N$12:$P$16,2,FALSE()),0)</f>
        <v>24</v>
      </c>
      <c r="N16" s="39" t="s">
        <v>6</v>
      </c>
      <c r="O16" s="38">
        <f>IF($C$6=90,VLOOKUP($K16,parámetros!$B$12:$D$16,3,FALSE()),0)+IF($C$6=60,VLOOKUP($K16,parámetros!$F$12:$H$16,3,FALSE()),0)+IF(OR($C$6=30,$C$6=31,$C$6=29,$C$6=28),VLOOKUP($K16,parámetros!$J$12:$L$16,3,FALSE()),0)+IF($C$6=7,VLOOKUP($K16,parámetros!$N$12:$P$16,3,FALSE()),0)</f>
        <v>30</v>
      </c>
      <c r="P16" s="43" t="str">
        <f>IF($C$6=90,VLOOKUP($K16,parámetros!$B$12:$E$16,4,FALSE()),IF($C$6=60,VLOOKUP($K16,parámetros!$F$12:$I$16,4,FALSE()),IF(OR($C$6=30,$C$6=31,$C$6=29,$C$6=28),VLOOKUP($K16,parámetros!$J$12:$M$16,4,FALSE()),IF($C$6=7,VLOOKUP($K16,parámetros!$N$12:$Q$16,4,FALSE()),0))))</f>
        <v>24 a 30</v>
      </c>
      <c r="Q16" s="41">
        <f>SUMPRODUCT(SUBTOTAL(103,OFFSET(Reporte!P16:P222,ROW(Reporte!P16:P222)-MIN(ROW(Reporte!P16:P222)),0,1))*(Reporte!P16:P222&gt;=M16))</f>
        <v>17</v>
      </c>
      <c r="R16" s="44" t="e">
        <f>Q16/$Q$17</f>
        <v>#VALUE!</v>
      </c>
      <c r="S16"/>
    </row>
    <row r="17" spans="1:36" customHeight="1" ht="15.75">
      <c r="A17"/>
      <c r="B17" s="17"/>
      <c r="C17"/>
      <c r="D17"/>
      <c r="E17"/>
      <c r="F17"/>
      <c r="G17"/>
      <c r="H17" s="45" t="e">
        <f>SUM(H12:H16)</f>
        <v>#VALUE!</v>
      </c>
      <c r="I17" s="18"/>
      <c r="J17"/>
      <c r="K17" s="46"/>
      <c r="L17"/>
      <c r="M17"/>
      <c r="N17"/>
      <c r="O17"/>
      <c r="P17"/>
      <c r="Q17" s="45" t="e">
        <f>SUM(Q12:Q16)</f>
        <v>#VALUE!</v>
      </c>
      <c r="R17" s="18"/>
      <c r="S17"/>
    </row>
    <row r="18" spans="1:36" customHeight="1" ht="15.75">
      <c r="A18"/>
      <c r="B18" s="47" t="s">
        <v>12</v>
      </c>
      <c r="C18" s="48">
        <f>AVERAGE(Reporte!O16:O222)</f>
        <v>680.07246376812</v>
      </c>
      <c r="D18" s="49" t="str">
        <f>C7</f>
        <v>KM</v>
      </c>
      <c r="E18" s="50"/>
      <c r="F18"/>
      <c r="G18"/>
      <c r="H18"/>
      <c r="I18" s="18"/>
      <c r="J18"/>
      <c r="K18" s="47" t="s">
        <v>12</v>
      </c>
      <c r="L18" s="51">
        <f>AVERAGE(Reporte!P16:P222)</f>
        <v>8.8067632850242</v>
      </c>
      <c r="M18" s="49" t="s">
        <v>13</v>
      </c>
      <c r="N18" s="52"/>
      <c r="O18" s="52"/>
      <c r="P18"/>
      <c r="Q18"/>
      <c r="R18" s="18"/>
      <c r="S18"/>
    </row>
    <row r="19" spans="1:36" customHeight="1" ht="15">
      <c r="A19"/>
      <c r="B19" s="17"/>
      <c r="C19"/>
      <c r="D19"/>
      <c r="E19"/>
      <c r="F19"/>
      <c r="G19"/>
      <c r="H19"/>
      <c r="I19" s="18"/>
      <c r="J19"/>
      <c r="K19" s="17"/>
      <c r="L19"/>
      <c r="M19"/>
      <c r="N19"/>
      <c r="O19"/>
      <c r="P19"/>
      <c r="Q19"/>
      <c r="R19" s="18"/>
      <c r="S19"/>
    </row>
    <row r="20" spans="1:36" customHeight="1" ht="15">
      <c r="A20"/>
      <c r="B20" s="17"/>
      <c r="C20"/>
      <c r="D20"/>
      <c r="E20"/>
      <c r="F20"/>
      <c r="G20"/>
      <c r="H20"/>
      <c r="I20" s="18"/>
      <c r="J20"/>
      <c r="K20" s="17"/>
      <c r="L20"/>
      <c r="M20"/>
      <c r="N20"/>
      <c r="O20"/>
      <c r="P20"/>
      <c r="Q20"/>
      <c r="R20" s="18"/>
      <c r="S20"/>
    </row>
    <row r="21" spans="1:36" customHeight="1" ht="15">
      <c r="A21"/>
      <c r="B21" s="17"/>
      <c r="C21"/>
      <c r="D21"/>
      <c r="E21"/>
      <c r="F21"/>
      <c r="G21"/>
      <c r="H21"/>
      <c r="I21" s="18"/>
      <c r="J21"/>
      <c r="K21" s="17"/>
      <c r="L21"/>
      <c r="M21"/>
      <c r="N21"/>
      <c r="O21"/>
      <c r="P21"/>
      <c r="Q21"/>
      <c r="R21" s="18"/>
      <c r="S21"/>
    </row>
    <row r="22" spans="1:36" customHeight="1" ht="15">
      <c r="A22"/>
      <c r="B22" s="17"/>
      <c r="C22"/>
      <c r="D22"/>
      <c r="E22"/>
      <c r="F22"/>
      <c r="G22"/>
      <c r="H22"/>
      <c r="I22" s="18"/>
      <c r="J22"/>
      <c r="K22" s="17"/>
      <c r="L22"/>
      <c r="M22"/>
      <c r="N22"/>
      <c r="O22"/>
      <c r="P22"/>
      <c r="Q22"/>
      <c r="R22" s="18"/>
      <c r="S22"/>
    </row>
    <row r="23" spans="1:36" customHeight="1" ht="15">
      <c r="A23"/>
      <c r="B23" s="17"/>
      <c r="C23"/>
      <c r="D23"/>
      <c r="E23"/>
      <c r="F23"/>
      <c r="G23"/>
      <c r="H23"/>
      <c r="I23" s="18"/>
      <c r="J23"/>
      <c r="K23" s="17"/>
      <c r="L23"/>
      <c r="M23"/>
      <c r="N23"/>
      <c r="O23"/>
      <c r="P23"/>
      <c r="Q23"/>
      <c r="R23" s="18"/>
      <c r="S23"/>
    </row>
    <row r="24" spans="1:36" customHeight="1" ht="15">
      <c r="A24"/>
      <c r="B24" s="17"/>
      <c r="C24"/>
      <c r="D24"/>
      <c r="E24"/>
      <c r="F24"/>
      <c r="G24"/>
      <c r="H24"/>
      <c r="I24" s="18"/>
      <c r="J24"/>
      <c r="K24" s="17"/>
      <c r="L24"/>
      <c r="M24"/>
      <c r="N24"/>
      <c r="O24"/>
      <c r="P24"/>
      <c r="Q24"/>
      <c r="R24" s="18"/>
      <c r="S24"/>
    </row>
    <row r="25" spans="1:36" customHeight="1" ht="15">
      <c r="A25"/>
      <c r="B25" s="17"/>
      <c r="C25"/>
      <c r="D25"/>
      <c r="E25"/>
      <c r="F25"/>
      <c r="G25"/>
      <c r="H25"/>
      <c r="I25" s="18"/>
      <c r="J25"/>
      <c r="K25" s="17"/>
      <c r="L25"/>
      <c r="M25"/>
      <c r="N25"/>
      <c r="O25"/>
      <c r="P25"/>
      <c r="Q25"/>
      <c r="R25" s="18"/>
      <c r="S25"/>
    </row>
    <row r="26" spans="1:36" customHeight="1" ht="15">
      <c r="A26"/>
      <c r="B26" s="17"/>
      <c r="C26"/>
      <c r="D26"/>
      <c r="E26"/>
      <c r="F26"/>
      <c r="G26"/>
      <c r="H26"/>
      <c r="I26" s="18"/>
      <c r="J26"/>
      <c r="K26" s="17"/>
      <c r="L26"/>
      <c r="M26"/>
      <c r="N26"/>
      <c r="O26"/>
      <c r="P26"/>
      <c r="Q26"/>
      <c r="R26" s="18"/>
      <c r="S26"/>
    </row>
    <row r="27" spans="1:36" customHeight="1" ht="15">
      <c r="A27"/>
      <c r="B27" s="17"/>
      <c r="C27"/>
      <c r="D27"/>
      <c r="E27"/>
      <c r="F27"/>
      <c r="G27"/>
      <c r="H27"/>
      <c r="I27" s="18"/>
      <c r="J27"/>
      <c r="K27" s="17"/>
      <c r="L27"/>
      <c r="M27"/>
      <c r="N27"/>
      <c r="O27"/>
      <c r="P27"/>
      <c r="Q27"/>
      <c r="R27" s="18"/>
      <c r="S27"/>
    </row>
    <row r="28" spans="1:36" customHeight="1" ht="15">
      <c r="A28"/>
      <c r="B28" s="17"/>
      <c r="C28"/>
      <c r="D28"/>
      <c r="E28"/>
      <c r="F28"/>
      <c r="G28"/>
      <c r="H28"/>
      <c r="I28" s="18"/>
      <c r="J28"/>
      <c r="K28" s="17"/>
      <c r="L28"/>
      <c r="M28"/>
      <c r="N28"/>
      <c r="O28"/>
      <c r="P28"/>
      <c r="Q28"/>
      <c r="R28" s="18"/>
      <c r="S28"/>
    </row>
    <row r="29" spans="1:36" customHeight="1" ht="15">
      <c r="A29"/>
      <c r="B29" s="17"/>
      <c r="C29"/>
      <c r="D29"/>
      <c r="E29"/>
      <c r="F29"/>
      <c r="G29"/>
      <c r="H29"/>
      <c r="I29" s="18"/>
      <c r="J29"/>
      <c r="K29" s="17"/>
      <c r="L29"/>
      <c r="M29"/>
      <c r="N29"/>
      <c r="O29"/>
      <c r="P29"/>
      <c r="Q29"/>
      <c r="R29" s="18"/>
      <c r="S29"/>
    </row>
    <row r="30" spans="1:36" customHeight="1" ht="15">
      <c r="A30"/>
      <c r="B30" s="17"/>
      <c r="C30"/>
      <c r="D30"/>
      <c r="E30"/>
      <c r="F30"/>
      <c r="G30"/>
      <c r="H30"/>
      <c r="I30" s="18"/>
      <c r="J30"/>
      <c r="K30" s="17"/>
      <c r="L30"/>
      <c r="M30"/>
      <c r="N30"/>
      <c r="O30"/>
      <c r="P30"/>
      <c r="Q30"/>
      <c r="R30" s="18"/>
      <c r="S30"/>
    </row>
    <row r="31" spans="1:36" customHeight="1" ht="15">
      <c r="A31"/>
      <c r="B31" s="17"/>
      <c r="C31"/>
      <c r="D31"/>
      <c r="E31"/>
      <c r="F31"/>
      <c r="G31"/>
      <c r="H31"/>
      <c r="I31" s="18"/>
      <c r="J31"/>
      <c r="K31" s="17"/>
      <c r="L31"/>
      <c r="M31"/>
      <c r="N31"/>
      <c r="O31"/>
      <c r="P31"/>
      <c r="Q31"/>
      <c r="R31" s="18"/>
      <c r="S31"/>
    </row>
    <row r="32" spans="1:36" customHeight="1" ht="15">
      <c r="A32"/>
      <c r="B32" s="17"/>
      <c r="C32"/>
      <c r="D32"/>
      <c r="E32"/>
      <c r="F32"/>
      <c r="G32"/>
      <c r="H32"/>
      <c r="I32" s="18"/>
      <c r="J32"/>
      <c r="K32" s="17"/>
      <c r="L32"/>
      <c r="M32"/>
      <c r="N32"/>
      <c r="O32"/>
      <c r="P32"/>
      <c r="Q32"/>
      <c r="R32" s="18"/>
      <c r="S32"/>
    </row>
    <row r="33" spans="1:36" customHeight="1" ht="15">
      <c r="A33"/>
      <c r="B33" s="17"/>
      <c r="C33"/>
      <c r="D33"/>
      <c r="E33"/>
      <c r="F33"/>
      <c r="G33"/>
      <c r="H33"/>
      <c r="I33" s="18"/>
      <c r="J33"/>
      <c r="K33" s="17"/>
      <c r="L33"/>
      <c r="M33"/>
      <c r="N33"/>
      <c r="O33"/>
      <c r="P33"/>
      <c r="Q33"/>
      <c r="R33" s="18"/>
      <c r="S33"/>
    </row>
    <row r="34" spans="1:36" customHeight="1" ht="15">
      <c r="A34"/>
      <c r="B34" s="17"/>
      <c r="C34"/>
      <c r="D34"/>
      <c r="E34"/>
      <c r="F34"/>
      <c r="G34"/>
      <c r="H34"/>
      <c r="I34" s="18"/>
      <c r="J34"/>
      <c r="K34" s="17"/>
      <c r="L34"/>
      <c r="M34"/>
      <c r="N34"/>
      <c r="O34"/>
      <c r="P34"/>
      <c r="Q34"/>
      <c r="R34" s="18"/>
      <c r="S34"/>
    </row>
    <row r="35" spans="1:36" customHeight="1" ht="15">
      <c r="A35"/>
      <c r="B35" s="17"/>
      <c r="C35"/>
      <c r="D35"/>
      <c r="E35"/>
      <c r="F35"/>
      <c r="G35"/>
      <c r="H35"/>
      <c r="I35" s="18"/>
      <c r="J35"/>
      <c r="K35" s="17"/>
      <c r="L35"/>
      <c r="M35"/>
      <c r="N35"/>
      <c r="O35"/>
      <c r="P35"/>
      <c r="Q35"/>
      <c r="R35" s="18"/>
      <c r="S35"/>
    </row>
    <row r="36" spans="1:36" customHeight="1" ht="15">
      <c r="A36"/>
      <c r="B36" s="17"/>
      <c r="C36"/>
      <c r="D36"/>
      <c r="E36"/>
      <c r="F36"/>
      <c r="G36"/>
      <c r="H36"/>
      <c r="I36" s="18"/>
      <c r="J36"/>
      <c r="K36" s="17"/>
      <c r="L36"/>
      <c r="M36"/>
      <c r="N36"/>
      <c r="O36"/>
      <c r="P36"/>
      <c r="Q36"/>
      <c r="R36" s="18"/>
      <c r="S36"/>
    </row>
    <row r="37" spans="1:36" customHeight="1" ht="15">
      <c r="A37"/>
      <c r="B37" s="17"/>
      <c r="C37"/>
      <c r="D37"/>
      <c r="E37"/>
      <c r="F37"/>
      <c r="G37"/>
      <c r="H37"/>
      <c r="I37" s="18"/>
      <c r="J37"/>
      <c r="K37" s="17"/>
      <c r="L37"/>
      <c r="M37"/>
      <c r="N37"/>
      <c r="O37"/>
      <c r="P37"/>
      <c r="Q37"/>
      <c r="R37" s="18"/>
      <c r="S37"/>
    </row>
    <row r="38" spans="1:36" customHeight="1" ht="15">
      <c r="A38"/>
      <c r="B38" s="17"/>
      <c r="C38"/>
      <c r="D38"/>
      <c r="E38"/>
      <c r="F38"/>
      <c r="G38"/>
      <c r="H38"/>
      <c r="I38" s="18"/>
      <c r="J38"/>
      <c r="K38" s="17"/>
      <c r="L38"/>
      <c r="M38"/>
      <c r="N38"/>
      <c r="O38"/>
      <c r="P38"/>
      <c r="Q38"/>
      <c r="R38" s="18"/>
      <c r="S38"/>
    </row>
    <row r="39" spans="1:36" customHeight="1" ht="15">
      <c r="A39"/>
      <c r="B39" s="17"/>
      <c r="C39"/>
      <c r="D39"/>
      <c r="E39"/>
      <c r="F39"/>
      <c r="G39"/>
      <c r="H39"/>
      <c r="I39" s="18"/>
      <c r="J39"/>
      <c r="K39" s="17"/>
      <c r="L39"/>
      <c r="M39"/>
      <c r="N39"/>
      <c r="O39"/>
      <c r="P39"/>
      <c r="Q39"/>
      <c r="R39" s="18"/>
      <c r="S39"/>
    </row>
    <row r="40" spans="1:36" customHeight="1" ht="15">
      <c r="A40"/>
      <c r="B40" s="17"/>
      <c r="C40"/>
      <c r="D40"/>
      <c r="E40"/>
      <c r="F40"/>
      <c r="G40"/>
      <c r="H40"/>
      <c r="I40" s="18"/>
      <c r="J40"/>
      <c r="K40" s="17"/>
      <c r="L40"/>
      <c r="M40"/>
      <c r="N40"/>
      <c r="O40"/>
      <c r="P40"/>
      <c r="Q40"/>
      <c r="R40" s="18"/>
      <c r="S40"/>
    </row>
    <row r="41" spans="1:36" customHeight="1" ht="15">
      <c r="A41"/>
      <c r="B41" s="17"/>
      <c r="C41"/>
      <c r="D41"/>
      <c r="E41"/>
      <c r="F41"/>
      <c r="G41"/>
      <c r="H41"/>
      <c r="I41" s="18"/>
      <c r="J41"/>
      <c r="K41" s="17"/>
      <c r="L41"/>
      <c r="M41"/>
      <c r="N41"/>
      <c r="O41"/>
      <c r="P41"/>
      <c r="Q41"/>
      <c r="R41" s="18"/>
      <c r="S41"/>
    </row>
    <row r="42" spans="1:36" customHeight="1" ht="15">
      <c r="A42"/>
      <c r="B42" s="17"/>
      <c r="C42"/>
      <c r="D42"/>
      <c r="E42"/>
      <c r="F42"/>
      <c r="G42"/>
      <c r="H42"/>
      <c r="I42" s="18"/>
      <c r="J42"/>
      <c r="K42" s="17"/>
      <c r="L42"/>
      <c r="M42"/>
      <c r="N42"/>
      <c r="O42"/>
      <c r="P42"/>
      <c r="Q42"/>
      <c r="R42" s="18"/>
      <c r="S42"/>
    </row>
    <row r="43" spans="1:36" customHeight="1" ht="15">
      <c r="A43"/>
      <c r="B43" s="17"/>
      <c r="C43"/>
      <c r="D43"/>
      <c r="E43"/>
      <c r="F43"/>
      <c r="G43"/>
      <c r="H43"/>
      <c r="I43" s="18"/>
      <c r="J43"/>
      <c r="K43" s="17"/>
      <c r="L43"/>
      <c r="M43"/>
      <c r="N43"/>
      <c r="O43"/>
      <c r="P43"/>
      <c r="Q43"/>
      <c r="R43" s="18"/>
      <c r="S43"/>
    </row>
    <row r="44" spans="1:36" customHeight="1" ht="15">
      <c r="A44"/>
      <c r="B44" s="17"/>
      <c r="C44"/>
      <c r="D44"/>
      <c r="E44"/>
      <c r="F44"/>
      <c r="G44"/>
      <c r="H44"/>
      <c r="I44" s="18"/>
      <c r="J44"/>
      <c r="K44" s="17"/>
      <c r="L44"/>
      <c r="M44"/>
      <c r="N44"/>
      <c r="O44"/>
      <c r="P44"/>
      <c r="Q44"/>
      <c r="R44" s="18"/>
      <c r="S44"/>
    </row>
    <row r="45" spans="1:36" customHeight="1" ht="15.75">
      <c r="A45"/>
      <c r="B45" s="46"/>
      <c r="C45" s="53"/>
      <c r="D45" s="53"/>
      <c r="E45" s="53"/>
      <c r="F45" s="53"/>
      <c r="G45" s="53"/>
      <c r="H45" s="53"/>
      <c r="I45" s="54"/>
      <c r="J45"/>
      <c r="K45" s="46"/>
      <c r="L45" s="53"/>
      <c r="M45" s="53"/>
      <c r="N45" s="53"/>
      <c r="O45" s="53"/>
      <c r="P45" s="53"/>
      <c r="Q45" s="53"/>
      <c r="R45" s="54"/>
      <c r="S45"/>
    </row>
    <row r="46" spans="1:36" customHeight="1" ht="15.7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36" customHeight="1" ht="27">
      <c r="A47"/>
      <c r="B47" s="86" t="str">
        <f>CLEAN(+Reporte!AC15)</f>
        <v>(3) HORAS DE USO POR DIA</v>
      </c>
      <c r="C47" s="86"/>
      <c r="D47" s="86"/>
      <c r="E47" s="86"/>
      <c r="F47" s="86"/>
      <c r="G47" s="86"/>
      <c r="H47" s="86"/>
      <c r="I47" s="86"/>
      <c r="J47"/>
      <c r="K47" s="90" t="str">
        <f>CLEAN(+Reporte!AD15)</f>
        <v>(4) KM CONDUCIDOS POR DIA</v>
      </c>
      <c r="L47" s="90"/>
      <c r="M47" s="90"/>
      <c r="N47" s="90"/>
      <c r="O47" s="90"/>
      <c r="P47" s="90"/>
      <c r="Q47" s="90"/>
      <c r="R47" s="90"/>
      <c r="S47"/>
    </row>
    <row r="48" spans="1:36" customHeight="1" ht="15.75">
      <c r="A48"/>
      <c r="B48" s="17"/>
      <c r="C48"/>
      <c r="D48"/>
      <c r="E48"/>
      <c r="F48"/>
      <c r="G48"/>
      <c r="H48"/>
      <c r="I48" s="18"/>
      <c r="J48"/>
      <c r="K48" s="17"/>
      <c r="L48"/>
      <c r="M48"/>
      <c r="N48"/>
      <c r="O48"/>
      <c r="P48"/>
      <c r="Q48"/>
      <c r="R48" s="18"/>
      <c r="S48"/>
    </row>
    <row r="49" spans="1:36" customHeight="1" ht="15.75">
      <c r="A49"/>
      <c r="B49" s="17"/>
      <c r="C49" s="89" t="s">
        <v>14</v>
      </c>
      <c r="D49" s="89"/>
      <c r="E49" s="89"/>
      <c r="F49" s="89"/>
      <c r="G49" s="89"/>
      <c r="H49" s="19" t="s">
        <v>1</v>
      </c>
      <c r="I49" s="19" t="s">
        <v>2</v>
      </c>
      <c r="J49"/>
      <c r="K49" s="17"/>
      <c r="L49" s="89" t="str">
        <f>UPPER($C$7)</f>
        <v>KM</v>
      </c>
      <c r="M49" s="89"/>
      <c r="N49" s="89"/>
      <c r="O49" s="89"/>
      <c r="P49" s="89"/>
      <c r="Q49" s="19" t="s">
        <v>1</v>
      </c>
      <c r="R49" s="19" t="s">
        <v>2</v>
      </c>
      <c r="S49"/>
    </row>
    <row r="50" spans="1:36" customHeight="1" ht="15">
      <c r="A50"/>
      <c r="B50" s="20" t="s">
        <v>4</v>
      </c>
      <c r="C50" s="21" t="s">
        <v>5</v>
      </c>
      <c r="D50" s="22">
        <v>0</v>
      </c>
      <c r="E50" s="28" t="s">
        <v>6</v>
      </c>
      <c r="F50" s="23">
        <v>2</v>
      </c>
      <c r="G50" s="24" t="s">
        <v>15</v>
      </c>
      <c r="H50" s="24" t="e">
        <f>SUMPRODUCT(SUBTOTAL(3,OFFSET(Reporte!AC16:AC222,ROW(Reporte!AC16:AC222)-MIN(ROW(Reporte!AC16:AC222)),0,1)),(Reporte!AC16:AC222&gt;=D50)*(Reporte!AC16:AC222&lt;D51))</f>
        <v>#VALUE!</v>
      </c>
      <c r="I50" s="25" t="e">
        <f>H50/$H$55</f>
        <v>#VALUE!</v>
      </c>
      <c r="J50"/>
      <c r="K50" s="20" t="s">
        <v>4</v>
      </c>
      <c r="L50" s="27" t="s">
        <v>5</v>
      </c>
      <c r="M50" s="28">
        <v>0</v>
      </c>
      <c r="N50" s="28" t="s">
        <v>6</v>
      </c>
      <c r="O50" s="29">
        <v>25</v>
      </c>
      <c r="P50" s="55" t="s">
        <v>16</v>
      </c>
      <c r="Q50" s="24" t="e">
        <f>SUMPRODUCT(SUBTOTAL(3,OFFSET(Reporte!AD16:AD222,ROW(Reporte!AD16:AD222)-MIN(ROW(Reporte!AD16:AD222)),0,1)),(Reporte!AD16:AD222&gt;=M50)*(Reporte!AD16:AD222&lt;M51))</f>
        <v>#VALUE!</v>
      </c>
      <c r="R50" s="25" t="e">
        <f>Q50/$Q$55</f>
        <v>#VALUE!</v>
      </c>
      <c r="S50"/>
    </row>
    <row r="51" spans="1:36" customHeight="1" ht="15">
      <c r="A51"/>
      <c r="B51" s="26" t="s">
        <v>7</v>
      </c>
      <c r="C51" s="27" t="s">
        <v>5</v>
      </c>
      <c r="D51" s="28">
        <v>2</v>
      </c>
      <c r="E51" s="28" t="s">
        <v>6</v>
      </c>
      <c r="F51" s="29">
        <v>4</v>
      </c>
      <c r="G51" s="30" t="s">
        <v>17</v>
      </c>
      <c r="H51" s="30" t="e">
        <f>SUMPRODUCT(SUBTOTAL(3,OFFSET(Reporte!AC16:AC222,ROW(Reporte!AC16:AC222)-MIN(ROW(Reporte!AC16:AC222)),0,1)),(Reporte!AC16:AC222&gt;=D51)*(Reporte!AC16:AC222&lt;D52))</f>
        <v>#VALUE!</v>
      </c>
      <c r="I51" s="31" t="e">
        <f>H51/$H$55</f>
        <v>#VALUE!</v>
      </c>
      <c r="J51"/>
      <c r="K51" s="26" t="s">
        <v>7</v>
      </c>
      <c r="L51" s="27" t="s">
        <v>5</v>
      </c>
      <c r="M51" s="28">
        <v>25</v>
      </c>
      <c r="N51" s="28" t="s">
        <v>6</v>
      </c>
      <c r="O51" s="29">
        <v>50</v>
      </c>
      <c r="P51" s="30" t="s">
        <v>18</v>
      </c>
      <c r="Q51" s="30" t="e">
        <f>SUMPRODUCT(SUBTOTAL(3,OFFSET(Reporte!AD16:AD222,ROW(Reporte!AD16:AD222)-MIN(ROW(Reporte!AD16:AD222)),0,1)),(Reporte!AD16:AD222&gt;=M51)*(Reporte!AD16:AD222&lt;M52))</f>
        <v>#VALUE!</v>
      </c>
      <c r="R51" s="31" t="e">
        <f>Q51/$Q$55</f>
        <v>#VALUE!</v>
      </c>
      <c r="S51"/>
    </row>
    <row r="52" spans="1:36" customHeight="1" ht="15">
      <c r="A52"/>
      <c r="B52" s="26" t="s">
        <v>8</v>
      </c>
      <c r="C52" s="27" t="s">
        <v>5</v>
      </c>
      <c r="D52" s="28">
        <v>4</v>
      </c>
      <c r="E52" s="28" t="s">
        <v>6</v>
      </c>
      <c r="F52" s="29">
        <v>6</v>
      </c>
      <c r="G52" s="32" t="s">
        <v>19</v>
      </c>
      <c r="H52" s="32" t="e">
        <f>SUMPRODUCT(SUBTOTAL(3,OFFSET(Reporte!AC16:AC222,ROW(Reporte!AC16:AC222)-MIN(ROW(Reporte!AC16:AC222)),0,1)),(Reporte!AC16:AC222&gt;=D52)*(Reporte!AC16:AC222&lt;D53))</f>
        <v>#VALUE!</v>
      </c>
      <c r="I52" s="33" t="e">
        <f>H52/$H$55</f>
        <v>#VALUE!</v>
      </c>
      <c r="J52"/>
      <c r="K52" s="26" t="s">
        <v>8</v>
      </c>
      <c r="L52" s="27" t="s">
        <v>5</v>
      </c>
      <c r="M52" s="28">
        <v>50</v>
      </c>
      <c r="N52" s="28" t="s">
        <v>6</v>
      </c>
      <c r="O52" s="29">
        <v>100</v>
      </c>
      <c r="P52" s="32" t="s">
        <v>20</v>
      </c>
      <c r="Q52" s="32" t="e">
        <f>SUMPRODUCT(SUBTOTAL(3,OFFSET(Reporte!AD16:AD222,ROW(Reporte!AD16:AD222)-MIN(ROW(Reporte!AD16:AD222)),0,1)),(Reporte!AD16:AD222&gt;=M52)*(Reporte!AD16:AD222&lt;M53))</f>
        <v>#VALUE!</v>
      </c>
      <c r="R52" s="33" t="e">
        <f>Q52/$Q$55</f>
        <v>#VALUE!</v>
      </c>
      <c r="S52"/>
    </row>
    <row r="53" spans="1:36" customHeight="1" ht="15">
      <c r="A53"/>
      <c r="B53" s="26" t="s">
        <v>9</v>
      </c>
      <c r="C53" s="27" t="s">
        <v>5</v>
      </c>
      <c r="D53" s="28">
        <v>6</v>
      </c>
      <c r="E53" s="28" t="s">
        <v>6</v>
      </c>
      <c r="F53" s="29">
        <v>8</v>
      </c>
      <c r="G53" s="34" t="s">
        <v>21</v>
      </c>
      <c r="H53" s="34" t="e">
        <f>SUMPRODUCT(SUBTOTAL(3,OFFSET(Reporte!AC16:AC222,ROW(Reporte!AC16:AC222)-MIN(ROW(Reporte!AC16:AC222)),0,1)),(Reporte!AC16:AC222&gt;=D53)*(Reporte!AC16:AC222&lt;D54))</f>
        <v>#VALUE!</v>
      </c>
      <c r="I53" s="35" t="e">
        <f>H53/$H$55</f>
        <v>#VALUE!</v>
      </c>
      <c r="J53"/>
      <c r="K53" s="26" t="s">
        <v>9</v>
      </c>
      <c r="L53" s="27" t="s">
        <v>5</v>
      </c>
      <c r="M53" s="28">
        <v>100</v>
      </c>
      <c r="N53" s="28" t="s">
        <v>6</v>
      </c>
      <c r="O53" s="29">
        <v>150</v>
      </c>
      <c r="P53" s="34" t="s">
        <v>22</v>
      </c>
      <c r="Q53" s="34" t="e">
        <f>SUMPRODUCT(SUBTOTAL(3,OFFSET(Reporte!AD16:AD222,ROW(Reporte!AD16:AD222)-MIN(ROW(Reporte!AD16:AD222)),0,1)),(Reporte!AD16:AD222&gt;=M53)*(Reporte!AD16:AD222&lt;M54))</f>
        <v>#VALUE!</v>
      </c>
      <c r="R53" s="35" t="e">
        <f>Q53/$Q$55</f>
        <v>#VALUE!</v>
      </c>
      <c r="S53"/>
    </row>
    <row r="54" spans="1:36" customHeight="1" ht="15.75">
      <c r="A54"/>
      <c r="B54" s="36" t="s">
        <v>10</v>
      </c>
      <c r="C54" s="37" t="s">
        <v>11</v>
      </c>
      <c r="D54" s="38">
        <v>8</v>
      </c>
      <c r="E54" s="39"/>
      <c r="F54" s="40"/>
      <c r="G54" s="41" t="s">
        <v>23</v>
      </c>
      <c r="H54" s="41">
        <f>SUMPRODUCT((SUBTOTAL(103,OFFSET(Reporte!AC16:AC222,ROW(Reporte!AC16:AC222)-MIN(ROW(Reporte!AC16:AC222)),0,1)))*(Reporte!AC16:AC222&gt;D54))</f>
        <v>46</v>
      </c>
      <c r="I54" s="42" t="e">
        <f>H54/$H$55</f>
        <v>#VALUE!</v>
      </c>
      <c r="J54"/>
      <c r="K54" s="36" t="s">
        <v>10</v>
      </c>
      <c r="L54" s="37" t="s">
        <v>11</v>
      </c>
      <c r="M54" s="38">
        <v>150</v>
      </c>
      <c r="N54" s="39"/>
      <c r="O54" s="40"/>
      <c r="P54" s="41" t="s">
        <v>24</v>
      </c>
      <c r="Q54" s="41">
        <f>COUNT(_xlfn._xlws.FILTER(Reporte!AD16:AD222,(Reporte!AD16:AD222 &gt; M54)*(SUBTOTAL(103,OFFSET(Reporte!AD16:AD222,ROW(Reporte!AD16:AD222)-MIN(ROW(Reporte!AD16:AD222)),0,1)))))</f>
        <v>16</v>
      </c>
      <c r="R54" s="42" t="e">
        <f>Q54/$Q$55</f>
        <v>#VALUE!</v>
      </c>
      <c r="S54"/>
    </row>
    <row r="55" spans="1:36" customHeight="1" ht="15.75">
      <c r="A55"/>
      <c r="B55" s="17"/>
      <c r="C55"/>
      <c r="D55"/>
      <c r="E55"/>
      <c r="F55"/>
      <c r="G55"/>
      <c r="H55" s="45" t="e">
        <f>SUM(H50:H54)</f>
        <v>#VALUE!</v>
      </c>
      <c r="I55" s="18"/>
      <c r="J55"/>
      <c r="K55" s="17"/>
      <c r="L55"/>
      <c r="M55"/>
      <c r="N55"/>
      <c r="O55"/>
      <c r="P55"/>
      <c r="Q55" s="45" t="e">
        <f>SUM(Q50:Q54)</f>
        <v>#VALUE!</v>
      </c>
      <c r="R55" s="18"/>
      <c r="S55"/>
    </row>
    <row r="56" spans="1:36" customHeight="1" ht="15.75">
      <c r="A56"/>
      <c r="B56" s="47" t="s">
        <v>12</v>
      </c>
      <c r="C56" s="51">
        <f>AVERAGE(Reporte!AC16:AC222)</f>
        <v>5.0819391069091</v>
      </c>
      <c r="D56" s="49" t="s">
        <v>25</v>
      </c>
      <c r="E56" s="52"/>
      <c r="F56"/>
      <c r="G56"/>
      <c r="H56"/>
      <c r="I56" s="18"/>
      <c r="J56"/>
      <c r="K56" s="47" t="s">
        <v>12</v>
      </c>
      <c r="L56" s="51">
        <f>AVERAGE(Reporte!AD16:AD222)</f>
        <v>69.71922774365</v>
      </c>
      <c r="M56" s="49" t="str">
        <f>CONCATENATE(PROPER($C$7),"/día")</f>
        <v>Km/día</v>
      </c>
      <c r="N56" s="52"/>
      <c r="O56" s="52"/>
      <c r="P56"/>
      <c r="Q56"/>
      <c r="R56" s="18"/>
      <c r="S56"/>
    </row>
    <row r="57" spans="1:36" customHeight="1" ht="15">
      <c r="A57"/>
      <c r="B57" s="17"/>
      <c r="C57"/>
      <c r="D57"/>
      <c r="E57"/>
      <c r="F57"/>
      <c r="G57"/>
      <c r="H57"/>
      <c r="I57" s="18"/>
      <c r="J57"/>
      <c r="K57" s="17"/>
      <c r="L57"/>
      <c r="M57"/>
      <c r="N57"/>
      <c r="O57"/>
      <c r="P57"/>
      <c r="Q57"/>
      <c r="R57" s="18"/>
      <c r="S57"/>
    </row>
    <row r="58" spans="1:36" customHeight="1" ht="15">
      <c r="A58"/>
      <c r="B58" s="17"/>
      <c r="C58"/>
      <c r="D58"/>
      <c r="E58"/>
      <c r="F58"/>
      <c r="G58"/>
      <c r="H58"/>
      <c r="I58" s="18"/>
      <c r="J58"/>
      <c r="K58" s="17"/>
      <c r="L58"/>
      <c r="M58"/>
      <c r="N58"/>
      <c r="O58"/>
      <c r="P58"/>
      <c r="Q58"/>
      <c r="R58" s="18"/>
      <c r="S58"/>
    </row>
    <row r="59" spans="1:36" customHeight="1" ht="15">
      <c r="A59"/>
      <c r="B59" s="17"/>
      <c r="C59"/>
      <c r="D59"/>
      <c r="E59"/>
      <c r="F59"/>
      <c r="G59"/>
      <c r="H59"/>
      <c r="I59" s="18"/>
      <c r="J59"/>
      <c r="K59" s="17"/>
      <c r="L59"/>
      <c r="M59"/>
      <c r="N59"/>
      <c r="O59"/>
      <c r="P59"/>
      <c r="Q59"/>
      <c r="R59" s="18"/>
      <c r="S59"/>
    </row>
    <row r="60" spans="1:36" customHeight="1" ht="15">
      <c r="A60"/>
      <c r="B60" s="17"/>
      <c r="C60"/>
      <c r="D60"/>
      <c r="E60"/>
      <c r="F60"/>
      <c r="G60"/>
      <c r="H60"/>
      <c r="I60" s="18"/>
      <c r="J60"/>
      <c r="K60" s="17"/>
      <c r="L60"/>
      <c r="M60"/>
      <c r="N60"/>
      <c r="O60"/>
      <c r="P60"/>
      <c r="Q60"/>
      <c r="R60" s="18"/>
      <c r="S60"/>
    </row>
    <row r="61" spans="1:36" customHeight="1" ht="15">
      <c r="A61"/>
      <c r="B61" s="17"/>
      <c r="C61"/>
      <c r="D61"/>
      <c r="E61"/>
      <c r="F61"/>
      <c r="G61"/>
      <c r="H61"/>
      <c r="I61" s="18"/>
      <c r="J61"/>
      <c r="K61" s="17"/>
      <c r="L61"/>
      <c r="M61"/>
      <c r="N61"/>
      <c r="O61"/>
      <c r="P61"/>
      <c r="Q61"/>
      <c r="R61" s="18"/>
      <c r="S61"/>
    </row>
    <row r="62" spans="1:36" customHeight="1" ht="15">
      <c r="A62"/>
      <c r="B62" s="17"/>
      <c r="C62"/>
      <c r="D62"/>
      <c r="E62"/>
      <c r="F62"/>
      <c r="G62"/>
      <c r="H62"/>
      <c r="I62" s="18"/>
      <c r="J62"/>
      <c r="K62" s="17"/>
      <c r="L62"/>
      <c r="M62"/>
      <c r="N62"/>
      <c r="O62"/>
      <c r="P62"/>
      <c r="Q62"/>
      <c r="R62" s="18"/>
      <c r="S62"/>
    </row>
    <row r="63" spans="1:36" customHeight="1" ht="15">
      <c r="A63"/>
      <c r="B63" s="17"/>
      <c r="C63"/>
      <c r="D63"/>
      <c r="E63"/>
      <c r="F63"/>
      <c r="G63"/>
      <c r="H63"/>
      <c r="I63" s="18"/>
      <c r="J63"/>
      <c r="K63" s="17"/>
      <c r="L63"/>
      <c r="M63"/>
      <c r="N63"/>
      <c r="O63"/>
      <c r="P63"/>
      <c r="Q63"/>
      <c r="R63" s="18"/>
      <c r="S63"/>
    </row>
    <row r="64" spans="1:36" customHeight="1" ht="15">
      <c r="A64"/>
      <c r="B64" s="17"/>
      <c r="C64"/>
      <c r="D64"/>
      <c r="E64"/>
      <c r="F64"/>
      <c r="G64"/>
      <c r="H64"/>
      <c r="I64" s="18"/>
      <c r="J64"/>
      <c r="K64" s="17"/>
      <c r="L64"/>
      <c r="M64"/>
      <c r="N64"/>
      <c r="O64"/>
      <c r="P64"/>
      <c r="Q64"/>
      <c r="R64" s="18"/>
      <c r="S64"/>
    </row>
    <row r="65" spans="1:36" customHeight="1" ht="15">
      <c r="A65"/>
      <c r="B65" s="17"/>
      <c r="C65"/>
      <c r="D65"/>
      <c r="E65"/>
      <c r="F65"/>
      <c r="G65"/>
      <c r="H65"/>
      <c r="I65" s="18"/>
      <c r="J65"/>
      <c r="K65" s="17"/>
      <c r="L65"/>
      <c r="M65"/>
      <c r="N65"/>
      <c r="O65"/>
      <c r="P65"/>
      <c r="Q65"/>
      <c r="R65" s="18"/>
      <c r="S65"/>
    </row>
    <row r="66" spans="1:36" customHeight="1" ht="15">
      <c r="A66"/>
      <c r="B66" s="17"/>
      <c r="C66"/>
      <c r="D66"/>
      <c r="E66"/>
      <c r="F66"/>
      <c r="G66"/>
      <c r="H66"/>
      <c r="I66" s="18"/>
      <c r="J66"/>
      <c r="K66" s="17"/>
      <c r="L66"/>
      <c r="M66"/>
      <c r="N66"/>
      <c r="O66"/>
      <c r="P66"/>
      <c r="Q66"/>
      <c r="R66" s="18"/>
      <c r="S66"/>
    </row>
    <row r="67" spans="1:36" customHeight="1" ht="15">
      <c r="A67"/>
      <c r="B67" s="17"/>
      <c r="C67"/>
      <c r="D67"/>
      <c r="E67"/>
      <c r="F67"/>
      <c r="G67"/>
      <c r="H67"/>
      <c r="I67" s="18"/>
      <c r="J67"/>
      <c r="K67" s="17"/>
      <c r="L67"/>
      <c r="M67"/>
      <c r="N67"/>
      <c r="O67"/>
      <c r="P67"/>
      <c r="Q67"/>
      <c r="R67" s="18"/>
      <c r="S67"/>
    </row>
    <row r="68" spans="1:36" customHeight="1" ht="15">
      <c r="A68"/>
      <c r="B68" s="17"/>
      <c r="C68"/>
      <c r="D68"/>
      <c r="E68"/>
      <c r="F68"/>
      <c r="G68"/>
      <c r="H68"/>
      <c r="I68" s="18"/>
      <c r="J68"/>
      <c r="K68" s="17"/>
      <c r="L68"/>
      <c r="M68"/>
      <c r="N68"/>
      <c r="O68"/>
      <c r="P68"/>
      <c r="Q68"/>
      <c r="R68" s="18"/>
      <c r="S68"/>
    </row>
    <row r="69" spans="1:36" customHeight="1" ht="15">
      <c r="A69"/>
      <c r="B69" s="17"/>
      <c r="C69"/>
      <c r="D69"/>
      <c r="E69"/>
      <c r="F69"/>
      <c r="G69"/>
      <c r="H69"/>
      <c r="I69" s="18"/>
      <c r="J69"/>
      <c r="K69" s="17"/>
      <c r="L69"/>
      <c r="M69"/>
      <c r="N69"/>
      <c r="O69"/>
      <c r="P69"/>
      <c r="Q69"/>
      <c r="R69" s="18"/>
      <c r="S69"/>
    </row>
    <row r="70" spans="1:36" customHeight="1" ht="15">
      <c r="A70"/>
      <c r="B70" s="17"/>
      <c r="C70"/>
      <c r="D70"/>
      <c r="E70"/>
      <c r="F70"/>
      <c r="G70"/>
      <c r="H70"/>
      <c r="I70" s="18"/>
      <c r="J70"/>
      <c r="K70" s="17"/>
      <c r="L70"/>
      <c r="M70"/>
      <c r="N70"/>
      <c r="O70"/>
      <c r="P70"/>
      <c r="Q70"/>
      <c r="R70" s="18"/>
      <c r="S70"/>
    </row>
    <row r="71" spans="1:36" customHeight="1" ht="15">
      <c r="A71"/>
      <c r="B71" s="17"/>
      <c r="C71"/>
      <c r="D71"/>
      <c r="E71"/>
      <c r="F71"/>
      <c r="G71"/>
      <c r="H71"/>
      <c r="I71" s="18"/>
      <c r="J71"/>
      <c r="K71" s="17"/>
      <c r="L71"/>
      <c r="M71"/>
      <c r="N71"/>
      <c r="O71"/>
      <c r="P71"/>
      <c r="Q71"/>
      <c r="R71" s="18"/>
      <c r="S71"/>
    </row>
    <row r="72" spans="1:36" customHeight="1" ht="15">
      <c r="A72"/>
      <c r="B72" s="17"/>
      <c r="C72"/>
      <c r="D72"/>
      <c r="E72"/>
      <c r="F72"/>
      <c r="G72"/>
      <c r="H72"/>
      <c r="I72" s="18"/>
      <c r="J72"/>
      <c r="K72" s="17"/>
      <c r="L72"/>
      <c r="M72"/>
      <c r="N72"/>
      <c r="O72"/>
      <c r="P72"/>
      <c r="Q72"/>
      <c r="R72" s="18"/>
      <c r="S72"/>
    </row>
    <row r="73" spans="1:36" customHeight="1" ht="15">
      <c r="A73"/>
      <c r="B73" s="17"/>
      <c r="C73"/>
      <c r="D73"/>
      <c r="E73"/>
      <c r="F73"/>
      <c r="G73"/>
      <c r="H73"/>
      <c r="I73" s="18"/>
      <c r="J73"/>
      <c r="K73" s="17"/>
      <c r="L73"/>
      <c r="M73"/>
      <c r="N73"/>
      <c r="O73"/>
      <c r="P73"/>
      <c r="Q73"/>
      <c r="R73" s="18"/>
      <c r="S73"/>
    </row>
    <row r="74" spans="1:36" customHeight="1" ht="15">
      <c r="A74"/>
      <c r="B74" s="17"/>
      <c r="C74"/>
      <c r="D74"/>
      <c r="E74"/>
      <c r="F74"/>
      <c r="G74"/>
      <c r="H74"/>
      <c r="I74" s="18"/>
      <c r="J74"/>
      <c r="K74" s="17"/>
      <c r="L74"/>
      <c r="M74"/>
      <c r="N74"/>
      <c r="O74"/>
      <c r="P74"/>
      <c r="Q74"/>
      <c r="R74" s="18"/>
      <c r="S74"/>
    </row>
    <row r="75" spans="1:36" customHeight="1" ht="15">
      <c r="A75"/>
      <c r="B75" s="17"/>
      <c r="C75"/>
      <c r="D75"/>
      <c r="E75"/>
      <c r="F75"/>
      <c r="G75"/>
      <c r="H75"/>
      <c r="I75" s="18"/>
      <c r="J75"/>
      <c r="K75" s="17"/>
      <c r="L75"/>
      <c r="M75"/>
      <c r="N75"/>
      <c r="O75"/>
      <c r="P75"/>
      <c r="Q75"/>
      <c r="R75" s="18"/>
      <c r="S75"/>
    </row>
    <row r="76" spans="1:36" customHeight="1" ht="15">
      <c r="A76"/>
      <c r="B76" s="17"/>
      <c r="C76"/>
      <c r="D76"/>
      <c r="E76"/>
      <c r="F76"/>
      <c r="G76"/>
      <c r="H76"/>
      <c r="I76" s="18"/>
      <c r="J76"/>
      <c r="K76" s="17"/>
      <c r="L76"/>
      <c r="M76"/>
      <c r="N76"/>
      <c r="O76"/>
      <c r="P76"/>
      <c r="Q76"/>
      <c r="R76" s="18"/>
      <c r="S76"/>
    </row>
    <row r="77" spans="1:36" customHeight="1" ht="15">
      <c r="A77"/>
      <c r="B77" s="17"/>
      <c r="C77"/>
      <c r="D77"/>
      <c r="E77"/>
      <c r="F77"/>
      <c r="G77"/>
      <c r="H77"/>
      <c r="I77" s="18"/>
      <c r="J77"/>
      <c r="K77" s="17"/>
      <c r="L77"/>
      <c r="M77"/>
      <c r="N77"/>
      <c r="O77"/>
      <c r="P77"/>
      <c r="Q77"/>
      <c r="R77" s="18"/>
      <c r="S77"/>
    </row>
    <row r="78" spans="1:36" customHeight="1" ht="15">
      <c r="A78"/>
      <c r="B78" s="17"/>
      <c r="C78"/>
      <c r="D78"/>
      <c r="E78"/>
      <c r="F78"/>
      <c r="G78"/>
      <c r="H78"/>
      <c r="I78" s="18"/>
      <c r="J78"/>
      <c r="K78" s="17"/>
      <c r="L78"/>
      <c r="M78"/>
      <c r="N78"/>
      <c r="O78"/>
      <c r="P78"/>
      <c r="Q78"/>
      <c r="R78" s="18"/>
      <c r="S78"/>
    </row>
    <row r="79" spans="1:36" customHeight="1" ht="15">
      <c r="A79"/>
      <c r="B79" s="17"/>
      <c r="C79"/>
      <c r="D79"/>
      <c r="E79"/>
      <c r="F79"/>
      <c r="G79"/>
      <c r="H79"/>
      <c r="I79" s="18"/>
      <c r="J79"/>
      <c r="K79" s="17"/>
      <c r="L79"/>
      <c r="M79"/>
      <c r="N79"/>
      <c r="O79"/>
      <c r="P79"/>
      <c r="Q79"/>
      <c r="R79" s="18"/>
      <c r="S79"/>
    </row>
    <row r="80" spans="1:36" customHeight="1" ht="15">
      <c r="A80"/>
      <c r="B80" s="17"/>
      <c r="C80"/>
      <c r="D80"/>
      <c r="E80"/>
      <c r="F80"/>
      <c r="G80"/>
      <c r="H80"/>
      <c r="I80" s="18"/>
      <c r="J80"/>
      <c r="K80" s="17"/>
      <c r="L80"/>
      <c r="M80"/>
      <c r="N80"/>
      <c r="O80"/>
      <c r="P80"/>
      <c r="Q80"/>
      <c r="R80" s="18"/>
      <c r="S80"/>
    </row>
    <row r="81" spans="1:36" customHeight="1" ht="15">
      <c r="A81"/>
      <c r="B81" s="17"/>
      <c r="C81"/>
      <c r="D81"/>
      <c r="E81"/>
      <c r="F81"/>
      <c r="G81"/>
      <c r="H81"/>
      <c r="I81" s="18"/>
      <c r="J81"/>
      <c r="K81" s="17"/>
      <c r="L81"/>
      <c r="M81"/>
      <c r="N81"/>
      <c r="O81"/>
      <c r="P81"/>
      <c r="Q81"/>
      <c r="R81" s="18"/>
      <c r="S81"/>
    </row>
    <row r="82" spans="1:36" customHeight="1" ht="15">
      <c r="A82"/>
      <c r="B82" s="17"/>
      <c r="C82"/>
      <c r="D82"/>
      <c r="E82"/>
      <c r="F82"/>
      <c r="G82"/>
      <c r="H82"/>
      <c r="I82" s="18"/>
      <c r="J82"/>
      <c r="K82" s="17"/>
      <c r="L82"/>
      <c r="M82"/>
      <c r="N82"/>
      <c r="O82"/>
      <c r="P82"/>
      <c r="Q82"/>
      <c r="R82" s="18"/>
      <c r="S82"/>
    </row>
    <row r="83" spans="1:36" customHeight="1" ht="15.75">
      <c r="A83"/>
      <c r="B83" s="46"/>
      <c r="C83" s="53"/>
      <c r="D83" s="53"/>
      <c r="E83" s="53"/>
      <c r="F83" s="53"/>
      <c r="G83" s="53"/>
      <c r="H83" s="53"/>
      <c r="I83" s="54"/>
      <c r="J83"/>
      <c r="K83" s="46"/>
      <c r="L83" s="53"/>
      <c r="M83" s="53"/>
      <c r="N83" s="53"/>
      <c r="O83" s="53"/>
      <c r="P83" s="53"/>
      <c r="Q83" s="53"/>
      <c r="R83" s="54"/>
      <c r="S83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/>
    </row>
    <row r="85" spans="1:36" customHeight="1" ht="15.7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36" customHeight="1" ht="27">
      <c r="A86"/>
      <c r="B86"/>
      <c r="C86"/>
      <c r="D86"/>
      <c r="E86"/>
      <c r="F86"/>
      <c r="G86"/>
      <c r="H86" s="86" t="s">
        <v>26</v>
      </c>
      <c r="I86" s="86"/>
      <c r="J86" s="86"/>
      <c r="K86" s="86"/>
      <c r="L86" s="86"/>
      <c r="M86" s="86"/>
      <c r="N86"/>
      <c r="O86"/>
      <c r="P86"/>
      <c r="Q86"/>
      <c r="R86"/>
      <c r="S86"/>
    </row>
    <row r="87" spans="1:36" customHeight="1" ht="15.75">
      <c r="A87"/>
      <c r="B87"/>
      <c r="C87"/>
      <c r="D87"/>
      <c r="E87"/>
      <c r="F87"/>
      <c r="G87"/>
      <c r="H87" s="17"/>
      <c r="I87"/>
      <c r="J87"/>
      <c r="K87"/>
      <c r="L87"/>
      <c r="M87" s="18"/>
      <c r="N87"/>
      <c r="O87"/>
      <c r="P87"/>
      <c r="Q87"/>
      <c r="R87"/>
      <c r="S87"/>
    </row>
    <row r="88" spans="1:36" customHeight="1" ht="15.75">
      <c r="A88"/>
      <c r="B88"/>
      <c r="C88"/>
      <c r="D88"/>
      <c r="E88"/>
      <c r="F88"/>
      <c r="G88"/>
      <c r="H88" s="17"/>
      <c r="I88" s="19" t="s">
        <v>27</v>
      </c>
      <c r="J88" s="19" t="s">
        <v>28</v>
      </c>
      <c r="K88" s="19" t="s">
        <v>2</v>
      </c>
      <c r="L88" s="27"/>
      <c r="M88" s="18"/>
      <c r="N88"/>
      <c r="O88"/>
      <c r="P88"/>
      <c r="Q88"/>
      <c r="R88"/>
      <c r="S88"/>
    </row>
    <row r="89" spans="1:36" customHeight="1" ht="13.5">
      <c r="A89"/>
      <c r="B89"/>
      <c r="C89"/>
      <c r="D89"/>
      <c r="E89"/>
      <c r="F89"/>
      <c r="G89"/>
      <c r="H89" s="17"/>
      <c r="I89" s="56" t="s">
        <v>29</v>
      </c>
      <c r="J89" s="57">
        <f>Reporte!T12</f>
        <v>1.3479497114868</v>
      </c>
      <c r="K89" s="58">
        <f>J89/$J$91</f>
        <v>0.6740556792586</v>
      </c>
      <c r="L89" s="59"/>
      <c r="M89" s="18"/>
      <c r="N89"/>
      <c r="O89"/>
      <c r="P89"/>
      <c r="Q89"/>
      <c r="R89"/>
      <c r="S89"/>
    </row>
    <row r="90" spans="1:36" customHeight="1" ht="13.5">
      <c r="A90"/>
      <c r="B90"/>
      <c r="C90"/>
      <c r="D90"/>
      <c r="E90"/>
      <c r="F90"/>
      <c r="G90"/>
      <c r="H90" s="17"/>
      <c r="I90" s="60" t="s">
        <v>30</v>
      </c>
      <c r="J90" s="61">
        <f>Reporte!Y12</f>
        <v>0.65181047593487</v>
      </c>
      <c r="K90" s="62">
        <f>J90/$J$91</f>
        <v>0.3259443207414</v>
      </c>
      <c r="L90" s="59"/>
      <c r="M90" s="18"/>
      <c r="N90"/>
      <c r="O90"/>
      <c r="P90"/>
      <c r="Q90"/>
      <c r="R90"/>
      <c r="S90"/>
    </row>
    <row r="91" spans="1:36" customHeight="1" ht="15.75">
      <c r="A91"/>
      <c r="B91"/>
      <c r="C91"/>
      <c r="D91"/>
      <c r="E91"/>
      <c r="F91"/>
      <c r="G91"/>
      <c r="H91" s="17"/>
      <c r="I91"/>
      <c r="J91" s="63">
        <f>SUM(J89:J90)</f>
        <v>1.9997601874217</v>
      </c>
      <c r="K91"/>
      <c r="L91"/>
      <c r="M91" s="18"/>
      <c r="N91"/>
      <c r="O91"/>
      <c r="P91"/>
      <c r="Q91"/>
      <c r="R91"/>
      <c r="S91"/>
    </row>
    <row r="92" spans="1:36" customHeight="1" ht="15">
      <c r="A92"/>
      <c r="B92"/>
      <c r="C92"/>
      <c r="D92"/>
      <c r="E92"/>
      <c r="F92"/>
      <c r="G92"/>
      <c r="H92" s="17"/>
      <c r="I92"/>
      <c r="J92"/>
      <c r="K92"/>
      <c r="L92"/>
      <c r="M92" s="18"/>
      <c r="N92"/>
      <c r="O92"/>
      <c r="P92"/>
      <c r="Q92"/>
      <c r="R92"/>
      <c r="S92"/>
    </row>
    <row r="93" spans="1:36" customHeight="1" ht="15">
      <c r="A93"/>
      <c r="B93"/>
      <c r="C93"/>
      <c r="D93"/>
      <c r="E93"/>
      <c r="F93"/>
      <c r="G93"/>
      <c r="H93" s="17"/>
      <c r="I93"/>
      <c r="J93"/>
      <c r="K93"/>
      <c r="L93"/>
      <c r="M93" s="18"/>
      <c r="N93"/>
      <c r="O93"/>
      <c r="P93"/>
      <c r="Q93"/>
      <c r="R93"/>
      <c r="S93"/>
    </row>
    <row r="94" spans="1:36" customHeight="1" ht="15">
      <c r="A94"/>
      <c r="B94"/>
      <c r="C94"/>
      <c r="D94"/>
      <c r="E94"/>
      <c r="F94"/>
      <c r="G94"/>
      <c r="H94" s="17"/>
      <c r="I94"/>
      <c r="J94"/>
      <c r="K94"/>
      <c r="L94"/>
      <c r="M94" s="18"/>
      <c r="N94"/>
      <c r="O94"/>
      <c r="P94"/>
      <c r="Q94"/>
      <c r="R94"/>
      <c r="S94"/>
    </row>
    <row r="95" spans="1:36" customHeight="1" ht="15">
      <c r="A95"/>
      <c r="B95"/>
      <c r="C95"/>
      <c r="D95"/>
      <c r="E95"/>
      <c r="F95"/>
      <c r="G95"/>
      <c r="H95" s="17"/>
      <c r="I95"/>
      <c r="J95"/>
      <c r="K95"/>
      <c r="L95"/>
      <c r="M95" s="18"/>
      <c r="N95"/>
      <c r="O95"/>
      <c r="P95"/>
      <c r="Q95"/>
      <c r="R95"/>
      <c r="S95"/>
    </row>
    <row r="96" spans="1:36" customHeight="1" ht="15">
      <c r="A96"/>
      <c r="B96"/>
      <c r="C96"/>
      <c r="D96"/>
      <c r="E96"/>
      <c r="F96"/>
      <c r="G96"/>
      <c r="H96" s="17"/>
      <c r="I96"/>
      <c r="J96"/>
      <c r="K96"/>
      <c r="L96"/>
      <c r="M96" s="18"/>
      <c r="N96"/>
      <c r="O96"/>
      <c r="P96"/>
      <c r="Q96"/>
      <c r="R96"/>
      <c r="S96"/>
    </row>
    <row r="97" spans="1:36" customHeight="1" ht="15">
      <c r="A97"/>
      <c r="B97"/>
      <c r="C97"/>
      <c r="D97"/>
      <c r="E97"/>
      <c r="F97"/>
      <c r="G97"/>
      <c r="H97" s="17"/>
      <c r="I97"/>
      <c r="J97"/>
      <c r="K97"/>
      <c r="L97"/>
      <c r="M97" s="18"/>
      <c r="N97"/>
      <c r="O97"/>
      <c r="P97"/>
      <c r="Q97"/>
      <c r="R97"/>
      <c r="S97"/>
    </row>
    <row r="98" spans="1:36" customHeight="1" ht="15">
      <c r="A98"/>
      <c r="B98"/>
      <c r="C98"/>
      <c r="D98"/>
      <c r="E98"/>
      <c r="F98"/>
      <c r="G98"/>
      <c r="H98" s="17"/>
      <c r="I98"/>
      <c r="J98"/>
      <c r="K98"/>
      <c r="L98"/>
      <c r="M98" s="18"/>
      <c r="N98"/>
      <c r="O98"/>
      <c r="P98"/>
      <c r="Q98"/>
      <c r="R98"/>
      <c r="S98"/>
    </row>
    <row r="99" spans="1:36" customHeight="1" ht="15">
      <c r="A99"/>
      <c r="B99"/>
      <c r="C99"/>
      <c r="D99"/>
      <c r="E99"/>
      <c r="F99"/>
      <c r="G99"/>
      <c r="H99" s="17"/>
      <c r="I99"/>
      <c r="J99"/>
      <c r="K99"/>
      <c r="L99"/>
      <c r="M99" s="18"/>
      <c r="N99"/>
      <c r="O99"/>
      <c r="P99"/>
      <c r="Q99"/>
      <c r="R99"/>
      <c r="S99"/>
    </row>
    <row r="100" spans="1:36" customHeight="1" ht="15">
      <c r="A100"/>
      <c r="B100"/>
      <c r="C100"/>
      <c r="D100"/>
      <c r="E100"/>
      <c r="F100"/>
      <c r="G100"/>
      <c r="H100" s="17"/>
      <c r="I100"/>
      <c r="J100"/>
      <c r="K100"/>
      <c r="L100"/>
      <c r="M100" s="18"/>
      <c r="N100"/>
      <c r="O100"/>
      <c r="P100"/>
      <c r="Q100"/>
      <c r="R100"/>
      <c r="S100"/>
    </row>
    <row r="101" spans="1:36" customHeight="1" ht="15">
      <c r="A101"/>
      <c r="B101"/>
      <c r="C101"/>
      <c r="D101"/>
      <c r="E101"/>
      <c r="F101"/>
      <c r="G101"/>
      <c r="H101" s="17"/>
      <c r="I101"/>
      <c r="J101"/>
      <c r="K101"/>
      <c r="L101"/>
      <c r="M101" s="18"/>
      <c r="N101"/>
      <c r="O101"/>
      <c r="P101"/>
      <c r="Q101"/>
      <c r="R101"/>
      <c r="S101"/>
    </row>
    <row r="102" spans="1:36" customHeight="1" ht="15">
      <c r="A102"/>
      <c r="B102"/>
      <c r="C102"/>
      <c r="D102"/>
      <c r="E102"/>
      <c r="F102"/>
      <c r="G102"/>
      <c r="H102" s="17"/>
      <c r="I102"/>
      <c r="J102"/>
      <c r="K102"/>
      <c r="L102"/>
      <c r="M102" s="18"/>
      <c r="N102"/>
      <c r="O102"/>
      <c r="P102"/>
      <c r="Q102"/>
      <c r="R102"/>
      <c r="S102"/>
    </row>
    <row r="103" spans="1:36" customHeight="1" ht="15">
      <c r="A103"/>
      <c r="B103"/>
      <c r="C103"/>
      <c r="D103"/>
      <c r="E103"/>
      <c r="F103"/>
      <c r="G103"/>
      <c r="H103" s="17"/>
      <c r="I103"/>
      <c r="J103"/>
      <c r="K103"/>
      <c r="L103"/>
      <c r="M103" s="18"/>
      <c r="N103"/>
      <c r="O103"/>
      <c r="P103"/>
      <c r="Q103"/>
      <c r="R103"/>
      <c r="S103"/>
    </row>
    <row r="104" spans="1:36" customHeight="1" ht="15">
      <c r="A104"/>
      <c r="B104"/>
      <c r="C104"/>
      <c r="D104"/>
      <c r="E104"/>
      <c r="F104"/>
      <c r="G104"/>
      <c r="H104" s="17"/>
      <c r="I104"/>
      <c r="J104"/>
      <c r="K104"/>
      <c r="L104"/>
      <c r="M104" s="18"/>
      <c r="N104"/>
      <c r="O104"/>
      <c r="P104"/>
      <c r="Q104"/>
      <c r="R104"/>
      <c r="S104"/>
    </row>
    <row r="105" spans="1:36" customHeight="1" ht="15">
      <c r="A105"/>
      <c r="B105"/>
      <c r="C105"/>
      <c r="D105"/>
      <c r="E105"/>
      <c r="F105"/>
      <c r="G105"/>
      <c r="H105" s="17"/>
      <c r="I105"/>
      <c r="J105"/>
      <c r="K105"/>
      <c r="L105"/>
      <c r="M105" s="18"/>
      <c r="N105"/>
      <c r="O105"/>
      <c r="P105"/>
      <c r="Q105"/>
      <c r="R105"/>
      <c r="S105"/>
    </row>
    <row r="106" spans="1:36" customHeight="1" ht="15">
      <c r="A106"/>
      <c r="B106"/>
      <c r="C106"/>
      <c r="D106"/>
      <c r="E106"/>
      <c r="F106"/>
      <c r="G106"/>
      <c r="H106" s="17"/>
      <c r="I106"/>
      <c r="J106"/>
      <c r="K106"/>
      <c r="L106"/>
      <c r="M106" s="18"/>
      <c r="N106"/>
      <c r="O106"/>
      <c r="P106"/>
      <c r="Q106"/>
      <c r="R106"/>
      <c r="S106"/>
    </row>
    <row r="107" spans="1:36" customHeight="1" ht="15">
      <c r="A107"/>
      <c r="B107"/>
      <c r="C107"/>
      <c r="D107"/>
      <c r="E107"/>
      <c r="F107"/>
      <c r="G107"/>
      <c r="H107" s="17"/>
      <c r="I107"/>
      <c r="J107"/>
      <c r="K107"/>
      <c r="L107"/>
      <c r="M107" s="18"/>
      <c r="N107"/>
      <c r="O107"/>
      <c r="P107"/>
      <c r="Q107"/>
      <c r="R107"/>
      <c r="S107"/>
    </row>
    <row r="108" spans="1:36" customHeight="1" ht="15">
      <c r="A108"/>
      <c r="B108"/>
      <c r="C108"/>
      <c r="D108"/>
      <c r="E108"/>
      <c r="F108"/>
      <c r="G108"/>
      <c r="H108" s="17"/>
      <c r="I108"/>
      <c r="J108"/>
      <c r="K108"/>
      <c r="L108"/>
      <c r="M108" s="18"/>
      <c r="N108"/>
      <c r="O108"/>
      <c r="P108"/>
      <c r="Q108"/>
      <c r="R108"/>
      <c r="S108"/>
    </row>
    <row r="109" spans="1:36" customHeight="1" ht="15">
      <c r="A109"/>
      <c r="B109"/>
      <c r="C109"/>
      <c r="D109"/>
      <c r="E109"/>
      <c r="F109"/>
      <c r="G109"/>
      <c r="H109" s="17"/>
      <c r="I109"/>
      <c r="J109"/>
      <c r="K109"/>
      <c r="L109"/>
      <c r="M109" s="18"/>
      <c r="N109"/>
      <c r="O109"/>
      <c r="P109"/>
      <c r="Q109"/>
      <c r="R109"/>
      <c r="S109"/>
    </row>
    <row r="110" spans="1:36" customHeight="1" ht="15">
      <c r="A110"/>
      <c r="B110"/>
      <c r="C110"/>
      <c r="D110"/>
      <c r="E110"/>
      <c r="F110"/>
      <c r="G110"/>
      <c r="H110" s="17"/>
      <c r="I110"/>
      <c r="J110"/>
      <c r="K110"/>
      <c r="L110"/>
      <c r="M110" s="18"/>
      <c r="N110"/>
      <c r="O110"/>
      <c r="P110"/>
      <c r="Q110"/>
      <c r="R110"/>
      <c r="S110"/>
    </row>
    <row r="111" spans="1:36" customHeight="1" ht="15">
      <c r="A111"/>
      <c r="B111"/>
      <c r="C111"/>
      <c r="D111"/>
      <c r="E111"/>
      <c r="F111"/>
      <c r="G111"/>
      <c r="H111" s="17"/>
      <c r="I111"/>
      <c r="J111"/>
      <c r="K111"/>
      <c r="L111"/>
      <c r="M111" s="18"/>
      <c r="N111"/>
      <c r="O111"/>
      <c r="P111"/>
      <c r="Q111"/>
      <c r="R111"/>
      <c r="S111"/>
    </row>
    <row r="112" spans="1:36" customHeight="1" ht="15">
      <c r="A112"/>
      <c r="B112"/>
      <c r="C112"/>
      <c r="D112"/>
      <c r="E112"/>
      <c r="F112"/>
      <c r="G112"/>
      <c r="H112" s="17"/>
      <c r="I112"/>
      <c r="J112"/>
      <c r="K112"/>
      <c r="L112"/>
      <c r="M112" s="18"/>
      <c r="N112"/>
      <c r="O112"/>
      <c r="P112"/>
      <c r="Q112"/>
      <c r="R112"/>
      <c r="S112"/>
    </row>
    <row r="113" spans="1:36" customHeight="1" ht="15">
      <c r="A113"/>
      <c r="B113"/>
      <c r="C113"/>
      <c r="D113"/>
      <c r="E113"/>
      <c r="F113"/>
      <c r="G113"/>
      <c r="H113" s="17"/>
      <c r="I113"/>
      <c r="J113"/>
      <c r="K113"/>
      <c r="L113"/>
      <c r="M113" s="18"/>
      <c r="N113"/>
      <c r="O113"/>
      <c r="P113"/>
      <c r="Q113"/>
      <c r="R113"/>
      <c r="S113"/>
    </row>
    <row r="114" spans="1:36" customHeight="1" ht="15">
      <c r="A114"/>
      <c r="B114"/>
      <c r="C114"/>
      <c r="D114"/>
      <c r="E114"/>
      <c r="F114"/>
      <c r="G114"/>
      <c r="H114" s="17"/>
      <c r="I114"/>
      <c r="J114"/>
      <c r="K114"/>
      <c r="L114"/>
      <c r="M114" s="18"/>
      <c r="N114"/>
      <c r="O114"/>
      <c r="P114"/>
      <c r="Q114"/>
      <c r="R114"/>
      <c r="S114"/>
    </row>
    <row r="115" spans="1:36" customHeight="1" ht="15">
      <c r="A115"/>
      <c r="B115"/>
      <c r="C115"/>
      <c r="D115"/>
      <c r="E115"/>
      <c r="F115"/>
      <c r="G115"/>
      <c r="H115" s="17"/>
      <c r="I115"/>
      <c r="J115"/>
      <c r="K115"/>
      <c r="L115"/>
      <c r="M115" s="18"/>
      <c r="N115"/>
      <c r="O115"/>
      <c r="P115"/>
      <c r="Q115"/>
      <c r="R115"/>
      <c r="S115"/>
    </row>
    <row r="116" spans="1:36" customHeight="1" ht="15.75">
      <c r="A116"/>
      <c r="B116"/>
      <c r="C116"/>
      <c r="D116"/>
      <c r="E116"/>
      <c r="F116"/>
      <c r="G116"/>
      <c r="H116" s="46"/>
      <c r="I116" s="53"/>
      <c r="J116" s="53"/>
      <c r="K116" s="53"/>
      <c r="L116" s="53"/>
      <c r="M116" s="54"/>
      <c r="N116"/>
      <c r="O116"/>
      <c r="P116"/>
      <c r="Q116"/>
      <c r="R116"/>
      <c r="S116"/>
    </row>
    <row r="117" spans="1:3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/>
    </row>
    <row r="118" spans="1:3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/>
    </row>
    <row r="119" spans="1:3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/>
    </row>
    <row r="120" spans="1:3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/>
    </row>
    <row r="121" spans="1:36" customHeight="1" ht="19.8" s="65" customForma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4"/>
    </row>
    <row r="122" spans="1:36" customHeight="1" ht="24" s="65" customFormat="1">
      <c r="B122" s="66"/>
      <c r="C122" s="67" t="str">
        <f>+B9</f>
        <v>(1) DISTANCIA RECORRIDA</v>
      </c>
      <c r="D122" s="68"/>
      <c r="E122" s="68"/>
      <c r="F122" s="68"/>
      <c r="H122" s="7" t="str">
        <f>CONCATENATE("Muestra la apertura de ",LOWER(C7)," conducidos por su flota dentro del período de tiempo especificado.")</f>
        <v>Muestra la apertura de km conducidos por su flota dentro del período de tiempo especificado.</v>
      </c>
      <c r="K122" s="69"/>
    </row>
    <row r="123" spans="1:36" customHeight="1" ht="32.25" s="65" customFormat="1">
      <c r="B123" s="66"/>
      <c r="C123" s="67" t="str">
        <f>+K9</f>
        <v>(2) DIAS CONDUCIDOS</v>
      </c>
      <c r="D123" s="68"/>
      <c r="E123" s="68"/>
      <c r="F123" s="68"/>
      <c r="H123" s="7" t="s">
        <v>31</v>
      </c>
      <c r="K123" s="69"/>
    </row>
    <row r="124" spans="1:36" customHeight="1" ht="30" s="65" customFormat="1">
      <c r="B124" s="66"/>
      <c r="C124" s="67" t="str">
        <f>+B47</f>
        <v>(3) HORAS DE USO POR DIA</v>
      </c>
      <c r="D124" s="68"/>
      <c r="E124" s="68"/>
      <c r="F124" s="68"/>
      <c r="H124" s="7" t="s">
        <v>32</v>
      </c>
      <c r="K124" s="69"/>
    </row>
    <row r="125" spans="1:36" customHeight="1" ht="29.25" s="65" customFormat="1">
      <c r="B125" s="66"/>
      <c r="C125" s="67" t="str">
        <f>+K47</f>
        <v>(4) KM CONDUCIDOS POR DIA</v>
      </c>
      <c r="D125" s="68"/>
      <c r="E125" s="68"/>
      <c r="F125" s="68"/>
      <c r="H125" s="7" t="str">
        <f>CONCATENATE("Representa el promedio de ",LOWER($C$7)," recorridos por día por los vehículos.")</f>
        <v>Representa el promedio de km recorridos por día por los vehículos.</v>
      </c>
      <c r="K125" s="69"/>
    </row>
    <row r="126" spans="1:36" customHeight="1" ht="48.75">
      <c r="A126" s="65"/>
      <c r="B126" s="66"/>
      <c r="C126" s="87" t="str">
        <f>+H86</f>
        <v>TIEMPO PROM. DE CONDUCCION VS. TIEMPO EN RALENTI</v>
      </c>
      <c r="D126" s="87"/>
      <c r="E126" s="87"/>
      <c r="F126" s="87"/>
      <c r="G126" s="87"/>
      <c r="H126" s="7" t="s">
        <v>33</v>
      </c>
      <c r="I126" s="65"/>
      <c r="J126" s="65"/>
      <c r="K126" s="69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</row>
  </sheetData>
  <mergeCells>
    <mergeCell ref="B2:R2"/>
    <mergeCell ref="B3:R3"/>
    <mergeCell ref="AB6:AC6"/>
    <mergeCell ref="B9:I9"/>
    <mergeCell ref="K9:R9"/>
    <mergeCell ref="H86:M86"/>
    <mergeCell ref="C126:G126"/>
    <mergeCell ref="C11:G11"/>
    <mergeCell ref="L11:P11"/>
    <mergeCell ref="B47:I47"/>
    <mergeCell ref="K47:R47"/>
    <mergeCell ref="C49:G49"/>
    <mergeCell ref="L49:P49"/>
  </mergeCells>
  <printOptions gridLines="false" gridLinesSet="true" horizontalCentered="true" verticalCentered="true"/>
  <pageMargins left="0" right="0" top="0" bottom="0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N222"/>
  <sheetViews>
    <sheetView tabSelected="0" workbookViewId="0" zoomScale="80" zoomScaleNormal="80" showGridLines="true" showRowColHeaders="1">
      <selection activeCell="AI16" sqref="AI16"/>
    </sheetView>
  </sheetViews>
  <sheetFormatPr defaultRowHeight="14.4" defaultColWidth="9.15625" outlineLevelRow="0" outlineLevelCol="0"/>
  <cols>
    <col min="1" max="1" width="2.68359375" customWidth="true" style="94"/>
    <col min="2" max="2" width="20.3125" customWidth="true" style="94"/>
    <col min="3" max="3" width="18.83984375" customWidth="true" style="94"/>
    <col min="4" max="4" width="22.83984375" customWidth="true" style="94"/>
    <col min="5" max="5" width="29.5234375" customWidth="true" style="94"/>
    <col min="6" max="6" width="30.5234375" customWidth="true" style="94"/>
    <col min="7" max="7" width="38.5234375" customWidth="true" style="94"/>
    <col min="8" max="8" width="38.5234375" customWidth="true" style="94"/>
    <col min="9" max="9" width="38.5234375" customWidth="true" style="94"/>
    <col min="10" max="10" width="54.5234375" customWidth="true" style="94"/>
    <col min="11" max="11" width="36.47265625" customWidth="true" style="95"/>
    <col min="12" max="12" width="8.5234375" customWidth="true" style="96"/>
    <col min="13" max="13" width="15.3125" customWidth="true" style="96"/>
    <col min="14" max="14" width="14.15625" customWidth="true" style="94"/>
    <col min="15" max="15" width="17.83984375" customWidth="true" style="95"/>
    <col min="16" max="16" width="15.83984375" customWidth="true" style="97"/>
    <col min="17" max="17" width="9.83984375" customWidth="true" style="94"/>
    <col min="18" max="18" width="10.83984375" customWidth="true" style="94"/>
    <col min="19" max="19" width="10.15625" customWidth="true" style="94"/>
    <col min="20" max="20" width="17" customWidth="true" style="94"/>
    <col min="21" max="21" width="11" customWidth="true" style="94"/>
    <col min="22" max="22" width="9.83984375" customWidth="true" style="94"/>
    <col min="23" max="23" width="9.15625" style="94"/>
    <col min="24" max="24" width="9.83984375" customWidth="true" style="94"/>
    <col min="25" max="25" width="14.83984375" customWidth="true" style="94"/>
    <col min="26" max="26" width="10.5234375" customWidth="true" style="94"/>
    <col min="27" max="27" width="13.3125" customWidth="true" style="94"/>
    <col min="28" max="28" width="4.3125" customWidth="true" style="94"/>
    <col min="29" max="29" width="15.83984375" customWidth="true" style="94"/>
    <col min="30" max="30" width="17.68359375" customWidth="true" style="94"/>
    <col min="31" max="31" width="15.15625" customWidth="true" style="94"/>
    <col min="32" max="32" width="14.3125" customWidth="true" style="94"/>
    <col min="33" max="33" width="13.68359375" customWidth="true" style="94"/>
    <col min="34" max="34" width="14.5234375" customWidth="true" style="94"/>
    <col min="35" max="35" width="11.15625" customWidth="true" style="94"/>
    <col min="36" max="36" width="9.5234375" customWidth="true" style="94"/>
    <col min="37" max="37" width="2.3125" customWidth="true" style="94"/>
    <col min="38" max="38" width="15.5234375" customWidth="true" style="93"/>
    <col min="39" max="39" width="2.3125" customWidth="true" style="93"/>
    <col min="40" max="40" width="15.5234375" customWidth="true" style="93"/>
  </cols>
  <sheetData>
    <row r="2" spans="1:40" customHeight="1" ht="21.75">
      <c r="A2" s="98"/>
      <c r="B2" s="175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98"/>
      <c r="AJ2" s="98"/>
      <c r="AK2" s="98"/>
    </row>
    <row r="3" spans="1:40" customHeight="1" ht="21.75">
      <c r="A3" s="99"/>
      <c r="B3" s="176" t="str">
        <f>+data!B1</f>
        <v>MAGNEX_COL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99"/>
      <c r="AJ3" s="99"/>
      <c r="AK3" s="99"/>
    </row>
    <row r="4" spans="1:40" customHeight="1" ht="12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102"/>
      <c r="N4" s="102"/>
      <c r="O4" s="102"/>
      <c r="P4" s="103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0"/>
      <c r="AJ4" s="100"/>
      <c r="AK4" s="100"/>
    </row>
    <row r="5" spans="1:40" customHeight="1" ht="19.5">
      <c r="A5" s="100"/>
      <c r="B5" s="104" t="str">
        <f>data!A2</f>
        <v>Fecha del reporte</v>
      </c>
      <c r="C5" s="105">
        <f>data!B2</f>
        <v>46202</v>
      </c>
      <c r="D5" s="100"/>
      <c r="E5" s="100"/>
      <c r="F5" s="100"/>
      <c r="G5" s="100"/>
      <c r="H5" s="100"/>
      <c r="I5" s="100"/>
      <c r="J5" s="100"/>
      <c r="K5" s="106"/>
      <c r="L5" s="102"/>
      <c r="M5" s="102"/>
      <c r="N5" s="100"/>
      <c r="O5" s="100"/>
      <c r="P5" s="103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7" t="s">
        <v>34</v>
      </c>
      <c r="AF5" s="108" t="s">
        <v>35</v>
      </c>
      <c r="AG5" s="109"/>
      <c r="AH5" s="109"/>
      <c r="AI5" s="109"/>
      <c r="AJ5" s="109"/>
      <c r="AK5" s="109"/>
      <c r="AL5" s="110"/>
      <c r="AM5" s="110"/>
      <c r="AN5" s="111"/>
    </row>
    <row r="6" spans="1:40" customHeight="1" ht="19.5">
      <c r="A6" s="100"/>
      <c r="B6" s="112" t="str">
        <f>data!A3</f>
        <v>Desde</v>
      </c>
      <c r="C6" s="113">
        <f>data!B3</f>
        <v>46173</v>
      </c>
      <c r="D6" s="100"/>
      <c r="E6" s="100"/>
      <c r="F6" s="100"/>
      <c r="G6" s="100"/>
      <c r="H6" s="100"/>
      <c r="I6" s="100"/>
      <c r="J6" s="100"/>
      <c r="K6" s="106"/>
      <c r="L6" s="102"/>
      <c r="M6" s="102"/>
      <c r="N6" s="100"/>
      <c r="O6" s="100"/>
      <c r="P6" s="103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0"/>
      <c r="AF6" s="100"/>
      <c r="AG6" s="100"/>
      <c r="AH6" s="100"/>
      <c r="AI6" s="100"/>
      <c r="AJ6" s="100"/>
      <c r="AK6" s="100"/>
    </row>
    <row r="7" spans="1:40" customHeight="1" ht="48.75">
      <c r="A7" s="100"/>
      <c r="B7" s="112" t="str">
        <f>data!A4</f>
        <v>Hasta</v>
      </c>
      <c r="C7" s="113">
        <f>data!B4</f>
        <v>46202</v>
      </c>
      <c r="D7" s="100"/>
      <c r="E7" s="167"/>
      <c r="F7" s="100"/>
      <c r="G7" s="100"/>
      <c r="H7" s="100"/>
      <c r="I7" s="100"/>
      <c r="J7" s="100"/>
      <c r="K7" s="106"/>
      <c r="L7" s="102"/>
      <c r="M7" s="102"/>
      <c r="N7" s="100"/>
      <c r="O7" s="100"/>
      <c r="P7" s="103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77" t="s">
        <v>36</v>
      </c>
      <c r="AF7" s="177"/>
      <c r="AG7" s="115"/>
      <c r="AH7" s="114" t="s">
        <v>37</v>
      </c>
      <c r="AI7" s="178" t="s">
        <v>38</v>
      </c>
      <c r="AJ7" s="178"/>
      <c r="AK7" s="178"/>
    </row>
    <row r="8" spans="1:40" customHeight="1" ht="19.5">
      <c r="A8" s="100"/>
      <c r="B8" s="112" t="str">
        <f>data!A5</f>
        <v>Días</v>
      </c>
      <c r="C8" s="116">
        <f>data!B5</f>
        <v>30</v>
      </c>
      <c r="D8" s="100"/>
      <c r="E8" s="100"/>
      <c r="F8" s="100"/>
      <c r="G8" s="100"/>
      <c r="H8" s="100"/>
      <c r="I8" s="100"/>
      <c r="J8" s="100"/>
      <c r="K8" s="106"/>
      <c r="L8" s="102"/>
      <c r="M8" s="102"/>
      <c r="N8" s="100"/>
      <c r="O8" s="100"/>
      <c r="P8" s="103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17">
        <v>8</v>
      </c>
      <c r="AF8" s="118" t="s">
        <v>14</v>
      </c>
      <c r="AG8" s="100"/>
      <c r="AH8" s="117">
        <v>3.5</v>
      </c>
      <c r="AI8" s="119">
        <f>+IFERROR(VLOOKUP(C9,parámetros!$C$21:$E$22,2,FALSE()),"")</f>
        <v>1</v>
      </c>
      <c r="AJ8" s="179" t="str">
        <f>+IFERROR(VLOOKUP(C9,parámetros!$C$21:$E$22,3,FALSE()),"")</f>
        <v>Litros</v>
      </c>
      <c r="AK8" s="179" t="str">
        <f>+IFERROR(VLOOKUP(E9,parámetros!$C$21:$E$22,2,FALSE()),"")</f>
        <v/>
      </c>
    </row>
    <row r="9" spans="1:40" customHeight="1" ht="19.5">
      <c r="A9" s="100"/>
      <c r="B9" s="120" t="s">
        <v>39</v>
      </c>
      <c r="C9" s="113" t="str">
        <f>data!B6</f>
        <v>KM</v>
      </c>
      <c r="D9" s="100"/>
      <c r="E9" s="100"/>
      <c r="F9" s="100"/>
      <c r="G9" s="100"/>
      <c r="H9" s="100"/>
      <c r="I9" s="100"/>
      <c r="J9" s="100"/>
      <c r="K9" s="106"/>
      <c r="L9" s="102"/>
      <c r="M9" s="102"/>
      <c r="N9" s="100"/>
      <c r="O9" s="100"/>
      <c r="P9" s="103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0"/>
      <c r="AF9" s="100"/>
      <c r="AG9" s="100"/>
      <c r="AH9" s="100"/>
      <c r="AI9" s="100"/>
      <c r="AJ9" s="100"/>
      <c r="AK9" s="100"/>
    </row>
    <row r="10" spans="1:40" customHeight="1" ht="19.5">
      <c r="A10" s="121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71" t="s">
        <v>40</v>
      </c>
      <c r="O10" s="174" t="s">
        <v>41</v>
      </c>
      <c r="P10" s="174" t="s">
        <v>42</v>
      </c>
      <c r="Q10" s="168" t="s">
        <v>43</v>
      </c>
      <c r="R10" s="168"/>
      <c r="S10" s="168"/>
      <c r="T10" s="168"/>
      <c r="U10" s="168"/>
      <c r="V10" s="168" t="s">
        <v>44</v>
      </c>
      <c r="W10" s="168"/>
      <c r="X10" s="168"/>
      <c r="Y10" s="168"/>
      <c r="Z10" s="168"/>
      <c r="AA10" s="171" t="s">
        <v>45</v>
      </c>
      <c r="AB10" s="123"/>
      <c r="AC10" s="168" t="s">
        <v>46</v>
      </c>
      <c r="AD10" s="168"/>
      <c r="AE10" s="168"/>
      <c r="AF10" s="168"/>
      <c r="AG10" s="168"/>
      <c r="AH10" s="168"/>
      <c r="AI10" s="121"/>
      <c r="AJ10" s="172" t="s">
        <v>47</v>
      </c>
      <c r="AK10" s="172"/>
      <c r="AL10" s="172"/>
    </row>
    <row r="11" spans="1:40" customHeight="1" ht="48">
      <c r="A11" s="121"/>
      <c r="B11" s="124" t="s">
        <v>48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71"/>
      <c r="O11" s="174"/>
      <c r="P11" s="174"/>
      <c r="Q11" s="125" t="s">
        <v>28</v>
      </c>
      <c r="R11" s="125" t="s">
        <v>49</v>
      </c>
      <c r="S11" s="125" t="s">
        <v>50</v>
      </c>
      <c r="T11" s="122" t="s">
        <v>51</v>
      </c>
      <c r="U11" s="122" t="str">
        <f>+U15</f>
        <v>% CONDUCIDO</v>
      </c>
      <c r="V11" s="125" t="s">
        <v>28</v>
      </c>
      <c r="W11" s="125" t="s">
        <v>49</v>
      </c>
      <c r="X11" s="125" t="s">
        <v>50</v>
      </c>
      <c r="Y11" s="122" t="s">
        <v>52</v>
      </c>
      <c r="Z11" s="122" t="str">
        <f>+Z15</f>
        <v>% EN RALENTI</v>
      </c>
      <c r="AA11" s="171"/>
      <c r="AB11" s="123"/>
      <c r="AC11" s="126" t="s">
        <v>53</v>
      </c>
      <c r="AD11" s="126" t="str">
        <f>UPPER(CONCATENATE("PROM.DE
",$C$9," CONDUCIDOS POR DIA"))</f>
        <v>PROM.DE
KM CONDUCIDOS POR DIA</v>
      </c>
      <c r="AE11" s="127" t="str">
        <f>UPPER(CONCATENATE("VELOCIDAD PROM. 
(",$C$9," por hora)",""))</f>
        <v>VELOCIDAD PROM. 
(KM POR HORA)</v>
      </c>
      <c r="AF11" s="122" t="s">
        <v>54</v>
      </c>
      <c r="AG11" s="128" t="s">
        <v>55</v>
      </c>
      <c r="AH11" s="122" t="s">
        <v>56</v>
      </c>
      <c r="AI11" s="121"/>
      <c r="AJ11" s="129" t="s">
        <v>57</v>
      </c>
      <c r="AK11" s="130" t="s">
        <v>58</v>
      </c>
      <c r="AL11" s="131" t="s">
        <v>59</v>
      </c>
    </row>
    <row r="12" spans="1:40" customHeight="1" ht="17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3"/>
      <c r="L12" s="134"/>
      <c r="M12" s="132"/>
      <c r="N12" s="135">
        <f>SUBTOTAL(1,N$16:N$222)</f>
        <v>56168.444444444</v>
      </c>
      <c r="O12" s="135">
        <f>SUBTOTAL(1,O$16:O$222)</f>
        <v>680.07246376812</v>
      </c>
      <c r="P12" s="135">
        <f>SUBTOTAL(1,P$16:P$222)</f>
        <v>8.8067632850242</v>
      </c>
      <c r="Q12" s="135">
        <f>SUBTOTAL(1,Q$16:Q$222)</f>
        <v>31.855072463768</v>
      </c>
      <c r="R12" s="135">
        <f>SUBTOTAL(1,R$16:R$222)</f>
        <v>29.285024154589</v>
      </c>
      <c r="S12" s="135">
        <f>SUBTOTAL(1,S$16:S$222)</f>
        <v>27.492753623188</v>
      </c>
      <c r="T12" s="136">
        <f>SUBTOTAL(1,T$16:T$222)/24</f>
        <v>1.3479497114868</v>
      </c>
      <c r="U12" s="137">
        <f>SUBTOTAL(1,U$16:U$222)</f>
        <v>0.64937327245838</v>
      </c>
      <c r="V12" s="135">
        <f>SUBTOTAL(1,V$16:V$222)</f>
        <v>15.164251207729</v>
      </c>
      <c r="W12" s="135">
        <f>SUBTOTAL(1,W$16:W$222)</f>
        <v>28.309178743961</v>
      </c>
      <c r="X12" s="135">
        <f>SUBTOTAL(1,X$16:X$222)</f>
        <v>26.570048309179</v>
      </c>
      <c r="Y12" s="136">
        <f>SUBTOTAL(1,Y$16:Y$222)/24</f>
        <v>0.65181047593487</v>
      </c>
      <c r="Z12" s="137">
        <f>SUBTOTAL(1,Z$16:Z$222)</f>
        <v>0.33613397391843</v>
      </c>
      <c r="AA12" s="136">
        <f>+T12+Y12</f>
        <v>1.9997601874217</v>
      </c>
      <c r="AB12" s="138"/>
      <c r="AC12" s="136">
        <f>SUBTOTAL(1,AC$16:AC$222)</f>
        <v>5.0819391069091</v>
      </c>
      <c r="AD12" s="136">
        <f>SUBTOTAL(1,AD$16:AD$222)</f>
        <v>69.71922774365</v>
      </c>
      <c r="AE12" s="135">
        <f>SUBTOTAL(1,AE$16:AE$222)</f>
        <v>20.078848239444</v>
      </c>
      <c r="AF12" s="139">
        <f>SUBTOTAL(1,AF$16:AF$222)</f>
        <v>0.63524238836364</v>
      </c>
      <c r="AG12" s="139">
        <f>SUBTOTAL(1,AG$16:AG$222)</f>
        <v>0.29355877616747</v>
      </c>
      <c r="AH12" s="140">
        <f>SUBTOTAL(9,AH$16:AH$222)</f>
        <v>11333.680555556</v>
      </c>
      <c r="AI12" s="132"/>
      <c r="AJ12" s="141" t="s">
        <v>60</v>
      </c>
      <c r="AK12" s="142" t="s">
        <v>58</v>
      </c>
      <c r="AL12" s="143" t="s">
        <v>61</v>
      </c>
    </row>
    <row r="13" spans="1:40" customHeight="1" ht="19.5">
      <c r="A13" s="100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3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02"/>
      <c r="AB13" s="102"/>
      <c r="AC13" s="100"/>
      <c r="AD13" s="100"/>
      <c r="AE13" s="100"/>
      <c r="AF13" s="100"/>
      <c r="AG13" s="100"/>
      <c r="AH13" s="100"/>
      <c r="AI13" s="100"/>
      <c r="AJ13" s="141" t="s">
        <v>62</v>
      </c>
      <c r="AK13" s="142" t="s">
        <v>58</v>
      </c>
      <c r="AL13" s="143" t="s">
        <v>63</v>
      </c>
    </row>
    <row r="14" spans="1:40" customHeight="1" ht="19.5">
      <c r="A14" s="100"/>
      <c r="B14" s="173" t="s">
        <v>64</v>
      </c>
      <c r="C14" s="173" t="s">
        <v>65</v>
      </c>
      <c r="D14" s="173" t="s">
        <v>66</v>
      </c>
      <c r="E14" s="173" t="s">
        <v>67</v>
      </c>
      <c r="F14" s="173" t="s">
        <v>68</v>
      </c>
      <c r="G14" s="173" t="s">
        <v>69</v>
      </c>
      <c r="H14" s="173" t="s">
        <v>70</v>
      </c>
      <c r="I14" s="173" t="s">
        <v>71</v>
      </c>
      <c r="J14" s="173" t="s">
        <v>72</v>
      </c>
      <c r="K14" s="173" t="s">
        <v>73</v>
      </c>
      <c r="L14" s="173" t="s">
        <v>74</v>
      </c>
      <c r="M14" s="173" t="s">
        <v>75</v>
      </c>
      <c r="N14" s="173" t="s">
        <v>76</v>
      </c>
      <c r="O14" s="169" t="s">
        <v>77</v>
      </c>
      <c r="P14" s="169" t="s">
        <v>78</v>
      </c>
      <c r="Q14" s="168" t="s">
        <v>79</v>
      </c>
      <c r="R14" s="168"/>
      <c r="S14" s="168"/>
      <c r="T14" s="168"/>
      <c r="U14" s="168"/>
      <c r="V14" s="168" t="s">
        <v>80</v>
      </c>
      <c r="W14" s="168"/>
      <c r="X14" s="168"/>
      <c r="Y14" s="168"/>
      <c r="Z14" s="168"/>
      <c r="AA14" s="170" t="s">
        <v>81</v>
      </c>
      <c r="AB14" s="102"/>
      <c r="AC14" s="168" t="s">
        <v>46</v>
      </c>
      <c r="AD14" s="168"/>
      <c r="AE14" s="168"/>
      <c r="AF14" s="168"/>
      <c r="AG14" s="168"/>
      <c r="AH14" s="168"/>
      <c r="AI14" s="100"/>
      <c r="AJ14" s="146" t="s">
        <v>62</v>
      </c>
      <c r="AK14" s="147" t="s">
        <v>58</v>
      </c>
      <c r="AL14" s="148" t="s">
        <v>82</v>
      </c>
    </row>
    <row r="15" spans="1:40" customHeight="1" ht="54.75">
      <c r="A15" s="97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69"/>
      <c r="P15" s="169"/>
      <c r="Q15" s="125" t="s">
        <v>28</v>
      </c>
      <c r="R15" s="125" t="s">
        <v>49</v>
      </c>
      <c r="S15" s="125" t="s">
        <v>50</v>
      </c>
      <c r="T15" s="145" t="s">
        <v>83</v>
      </c>
      <c r="U15" s="145" t="s">
        <v>84</v>
      </c>
      <c r="V15" s="125" t="s">
        <v>28</v>
      </c>
      <c r="W15" s="125" t="s">
        <v>49</v>
      </c>
      <c r="X15" s="125" t="s">
        <v>50</v>
      </c>
      <c r="Y15" s="145" t="s">
        <v>85</v>
      </c>
      <c r="Z15" s="145" t="s">
        <v>86</v>
      </c>
      <c r="AA15" s="170"/>
      <c r="AB15" s="97"/>
      <c r="AC15" s="149" t="s">
        <v>87</v>
      </c>
      <c r="AD15" s="150" t="str">
        <f>UPPER(CONCATENATE("(4) 
",$C$9," CONDUCIDOS POR DIA"))</f>
        <v>(4) 
KM CONDUCIDOS POR DIA</v>
      </c>
      <c r="AE15" s="122" t="str">
        <f>+AE11</f>
        <v>VELOCIDAD PROM. 
(KM POR HORA)</v>
      </c>
      <c r="AF15" s="145" t="s">
        <v>88</v>
      </c>
      <c r="AG15" s="145" t="s">
        <v>89</v>
      </c>
      <c r="AH15" s="145" t="s">
        <v>90</v>
      </c>
      <c r="AI15" s="97"/>
    </row>
    <row r="16" spans="1:40" customHeight="1" ht="15">
      <c r="B16" s="151" t="s">
        <v>91</v>
      </c>
      <c r="C16" s="151" t="s">
        <v>92</v>
      </c>
      <c r="D16" s="151" t="s">
        <v>93</v>
      </c>
      <c r="E16" s="151"/>
      <c r="F16" s="151"/>
      <c r="G16" s="151"/>
      <c r="H16" s="151"/>
      <c r="I16" s="151"/>
      <c r="J16" s="151" t="s">
        <v>94</v>
      </c>
      <c r="K16" s="151"/>
      <c r="L16" s="152" t="s">
        <v>95</v>
      </c>
      <c r="M16" s="152">
        <f>data!J8</f>
        <v>30</v>
      </c>
      <c r="N16" s="153">
        <v>30820.0</v>
      </c>
      <c r="O16" s="154">
        <v>6044.0</v>
      </c>
      <c r="P16" s="155">
        <v>30.0</v>
      </c>
      <c r="Q16" s="156">
        <v>324</v>
      </c>
      <c r="R16" s="157">
        <v>19</v>
      </c>
      <c r="S16" s="157">
        <v>25</v>
      </c>
      <c r="T16" s="158">
        <f>+((Q16)+(R16/60)+(S16/3600))</f>
        <v>324.32361111111</v>
      </c>
      <c r="U16" s="159">
        <f>IFERROR(T16/$AA16,0)</f>
        <v>0.8292824460446</v>
      </c>
      <c r="V16" s="156">
        <v>66</v>
      </c>
      <c r="W16" s="157">
        <v>45</v>
      </c>
      <c r="X16" s="157">
        <v>57</v>
      </c>
      <c r="Y16" s="158">
        <f>+((V16)+(W16/60)+(X16/3600))</f>
        <v>66.765833333333</v>
      </c>
      <c r="Z16" s="159">
        <f>+IFERROR(Y16/$AA16,0)</f>
        <v>0.1707175539554</v>
      </c>
      <c r="AA16" s="160">
        <f>+Y16+T16</f>
        <v>391.08944444444</v>
      </c>
      <c r="AB16" s="161"/>
      <c r="AC16" s="162">
        <f>+IFERROR((AA16/P16),0)</f>
        <v>13.036314814815</v>
      </c>
      <c r="AD16" s="163">
        <f>+IFERROR($O16/$P16,0)</f>
        <v>201.46666666667</v>
      </c>
      <c r="AE16" s="157">
        <f>+IFERROR(O16/T16,0)</f>
        <v>18.635707647968</v>
      </c>
      <c r="AF16" s="164">
        <f>+IFERROR(AA16/(P16*$AE$8),0)</f>
        <v>1.6295393518519</v>
      </c>
      <c r="AG16" s="165">
        <f>+P16/$C$8</f>
        <v>1</v>
      </c>
      <c r="AH16" s="166">
        <f>+Y16*($AI$8*$AH$8)</f>
        <v>233.68041666667</v>
      </c>
      <c r="AI16"/>
    </row>
    <row r="17" spans="1:40">
      <c r="B17" s="70" t="s">
        <v>91</v>
      </c>
      <c r="C17" s="70" t="s">
        <v>96</v>
      </c>
      <c r="D17" s="70" t="s">
        <v>97</v>
      </c>
      <c r="E17" s="70"/>
      <c r="F17" s="70"/>
      <c r="G17" s="70"/>
      <c r="H17" s="70"/>
      <c r="I17" s="70"/>
      <c r="J17" s="70" t="s">
        <v>98</v>
      </c>
      <c r="K17" s="70"/>
      <c r="L17" s="71" t="s">
        <v>95</v>
      </c>
      <c r="M17" s="71">
        <f>data!J8</f>
        <v>30</v>
      </c>
      <c r="N17" s="72">
        <v>24050.0</v>
      </c>
      <c r="O17" s="73">
        <v>1208.0</v>
      </c>
      <c r="P17" s="74">
        <v>22.0</v>
      </c>
      <c r="Q17" s="75">
        <v>42</v>
      </c>
      <c r="R17" s="76">
        <v>3</v>
      </c>
      <c r="S17" s="76">
        <v>4</v>
      </c>
      <c r="T17" s="77">
        <f>+((Q17)+(R17/60)+(S17/3600))</f>
        <v>42.051111111111</v>
      </c>
      <c r="U17" s="78">
        <f>IFERROR(T17/$AA17,0)</f>
        <v>0.87050326616984</v>
      </c>
      <c r="V17" s="75">
        <v>6</v>
      </c>
      <c r="W17" s="76">
        <v>15</v>
      </c>
      <c r="X17" s="76">
        <v>20</v>
      </c>
      <c r="Y17" s="77">
        <f>+((V17)+(W17/60)+(X17/3600))</f>
        <v>6.2555555555556</v>
      </c>
      <c r="Z17" s="78">
        <f>+IFERROR(Y17/$AA17,0)</f>
        <v>0.12949673383016</v>
      </c>
      <c r="AA17" s="79">
        <f>+Y17+T17</f>
        <v>48.306666666667</v>
      </c>
      <c r="AB17" s="80"/>
      <c r="AC17" s="81">
        <f>+IFERROR((AA17/P17),0)</f>
        <v>2.1957575757576</v>
      </c>
      <c r="AD17" s="82">
        <f>+IFERROR($O17/$P17,0)</f>
        <v>54.909090909091</v>
      </c>
      <c r="AE17" s="76">
        <f>+IFERROR(O17/T17,0)</f>
        <v>28.726946044496</v>
      </c>
      <c r="AF17" s="83">
        <f>+IFERROR(AA17/(P17*$AE$8),0)</f>
        <v>0.2744696969697</v>
      </c>
      <c r="AG17" s="84">
        <f>+P17/$C$8</f>
        <v>0.73333333333333</v>
      </c>
      <c r="AH17" s="85">
        <f>+Y17*($AI$8*$AH$8)</f>
        <v>21.894444444444</v>
      </c>
      <c r="AI17"/>
    </row>
    <row r="18" spans="1:40">
      <c r="B18" s="70" t="s">
        <v>91</v>
      </c>
      <c r="C18" s="70" t="s">
        <v>99</v>
      </c>
      <c r="D18" s="70" t="s">
        <v>103</v>
      </c>
      <c r="E18" s="70"/>
      <c r="F18" s="70"/>
      <c r="G18" s="70"/>
      <c r="H18" s="70"/>
      <c r="I18" s="70"/>
      <c r="J18" s="70" t="s">
        <v>118</v>
      </c>
      <c r="K18" s="70"/>
      <c r="L18" s="71" t="s">
        <v>95</v>
      </c>
      <c r="M18" s="71">
        <f>data!J8</f>
        <v>30</v>
      </c>
      <c r="N18" s="72">
        <v>7510.0</v>
      </c>
      <c r="O18" s="73">
        <v>483.0</v>
      </c>
      <c r="P18" s="74">
        <v>20.0</v>
      </c>
      <c r="Q18" s="75">
        <v>37</v>
      </c>
      <c r="R18" s="76">
        <v>13</v>
      </c>
      <c r="S18" s="76">
        <v>50</v>
      </c>
      <c r="T18" s="77">
        <f>+((Q18)+(R18/60)+(S18/3600))</f>
        <v>37.230555555556</v>
      </c>
      <c r="U18" s="78">
        <f>IFERROR(T18/$AA18,0)</f>
        <v>0.69840029180345</v>
      </c>
      <c r="V18" s="75">
        <v>16</v>
      </c>
      <c r="W18" s="76">
        <v>4</v>
      </c>
      <c r="X18" s="76">
        <v>40</v>
      </c>
      <c r="Y18" s="77">
        <f>+((V18)+(W18/60)+(X18/3600))</f>
        <v>16.077777777778</v>
      </c>
      <c r="Z18" s="78">
        <f>+IFERROR(Y18/$AA18,0)</f>
        <v>0.30159970819655</v>
      </c>
      <c r="AA18" s="79">
        <f>+Y18+T18</f>
        <v>53.308333333333</v>
      </c>
      <c r="AB18" s="80"/>
      <c r="AC18" s="81">
        <f>+IFERROR((AA18/P18),0)</f>
        <v>2.6654166666667</v>
      </c>
      <c r="AD18" s="82">
        <f>+IFERROR($O18/$P18,0)</f>
        <v>24.15</v>
      </c>
      <c r="AE18" s="76">
        <f>+IFERROR(O18/T18,0)</f>
        <v>12.973214951876</v>
      </c>
      <c r="AF18" s="83">
        <f>+IFERROR(AA18/(P18*$AE$8),0)</f>
        <v>0.33317708333333</v>
      </c>
      <c r="AG18" s="84">
        <f>+P18/$C$8</f>
        <v>0.66666666666667</v>
      </c>
      <c r="AH18" s="85">
        <f>+Y18*($AI$8*$AH$8)</f>
        <v>56.272222222222</v>
      </c>
      <c r="AI18"/>
    </row>
    <row r="19" spans="1:40">
      <c r="B19" s="70" t="s">
        <v>91</v>
      </c>
      <c r="C19" s="70" t="s">
        <v>99</v>
      </c>
      <c r="D19" s="70" t="s">
        <v>103</v>
      </c>
      <c r="E19" s="70"/>
      <c r="F19" s="70"/>
      <c r="G19" s="70"/>
      <c r="H19" s="70"/>
      <c r="I19" s="70"/>
      <c r="J19" s="70" t="s">
        <v>119</v>
      </c>
      <c r="K19" s="70"/>
      <c r="L19" s="71" t="s">
        <v>95</v>
      </c>
      <c r="M19" s="71">
        <f>data!J8</f>
        <v>30</v>
      </c>
      <c r="N19" s="72">
        <v>10809.0</v>
      </c>
      <c r="O19" s="73">
        <v>860.0</v>
      </c>
      <c r="P19" s="74">
        <v>26.0</v>
      </c>
      <c r="Q19" s="75">
        <v>66</v>
      </c>
      <c r="R19" s="76">
        <v>33</v>
      </c>
      <c r="S19" s="76">
        <v>51</v>
      </c>
      <c r="T19" s="77">
        <f>+((Q19)+(R19/60)+(S19/3600))</f>
        <v>66.564166666667</v>
      </c>
      <c r="U19" s="78">
        <f>IFERROR(T19/$AA19,0)</f>
        <v>0.71892391372829</v>
      </c>
      <c r="V19" s="75">
        <v>26</v>
      </c>
      <c r="W19" s="76">
        <v>1</v>
      </c>
      <c r="X19" s="76">
        <v>28</v>
      </c>
      <c r="Y19" s="77">
        <f>+((V19)+(W19/60)+(X19/3600))</f>
        <v>26.024444444444</v>
      </c>
      <c r="Z19" s="78">
        <f>+IFERROR(Y19/$AA19,0)</f>
        <v>0.28107608627171</v>
      </c>
      <c r="AA19" s="79">
        <f>+Y19+T19</f>
        <v>92.588611111111</v>
      </c>
      <c r="AB19" s="80"/>
      <c r="AC19" s="81">
        <f>+IFERROR((AA19/P19),0)</f>
        <v>3.5611004273504</v>
      </c>
      <c r="AD19" s="82">
        <f>+IFERROR($O19/$P19,0)</f>
        <v>33.076923076923</v>
      </c>
      <c r="AE19" s="76">
        <f>+IFERROR(O19/T19,0)</f>
        <v>12.919864291348</v>
      </c>
      <c r="AF19" s="83">
        <f>+IFERROR(AA19/(P19*$AE$8),0)</f>
        <v>0.4451375534188</v>
      </c>
      <c r="AG19" s="84">
        <f>+P19/$C$8</f>
        <v>0.86666666666667</v>
      </c>
      <c r="AH19" s="85">
        <f>+Y19*($AI$8*$AH$8)</f>
        <v>91.085555555556</v>
      </c>
      <c r="AI19"/>
    </row>
    <row r="20" spans="1:40">
      <c r="B20" s="70" t="s">
        <v>91</v>
      </c>
      <c r="C20" s="70" t="s">
        <v>99</v>
      </c>
      <c r="D20" s="70" t="s">
        <v>104</v>
      </c>
      <c r="E20" s="70"/>
      <c r="F20" s="70"/>
      <c r="G20" s="70"/>
      <c r="H20" s="70"/>
      <c r="I20" s="70"/>
      <c r="J20" s="70" t="s">
        <v>120</v>
      </c>
      <c r="K20" s="70"/>
      <c r="L20" s="71" t="s">
        <v>95</v>
      </c>
      <c r="M20" s="71">
        <f>data!J8</f>
        <v>30</v>
      </c>
      <c r="N20" s="72">
        <v>138492.0</v>
      </c>
      <c r="O20" s="73">
        <v>3187.0</v>
      </c>
      <c r="P20" s="74">
        <v>24.0</v>
      </c>
      <c r="Q20" s="75">
        <v>131</v>
      </c>
      <c r="R20" s="76">
        <v>38</v>
      </c>
      <c r="S20" s="76">
        <v>31</v>
      </c>
      <c r="T20" s="77">
        <f>+((Q20)+(R20/60)+(S20/3600))</f>
        <v>131.64194444444</v>
      </c>
      <c r="U20" s="78">
        <f>IFERROR(T20/$AA20,0)</f>
        <v>0.76999103133185</v>
      </c>
      <c r="V20" s="75">
        <v>39</v>
      </c>
      <c r="W20" s="76">
        <v>19</v>
      </c>
      <c r="X20" s="76">
        <v>25</v>
      </c>
      <c r="Y20" s="77">
        <f>+((V20)+(W20/60)+(X20/3600))</f>
        <v>39.323611111111</v>
      </c>
      <c r="Z20" s="78">
        <f>+IFERROR(Y20/$AA20,0)</f>
        <v>0.23000896866815</v>
      </c>
      <c r="AA20" s="79">
        <f>+Y20+T20</f>
        <v>170.96555555556</v>
      </c>
      <c r="AB20" s="80"/>
      <c r="AC20" s="81">
        <f>+IFERROR((AA20/P20),0)</f>
        <v>7.1235648148148</v>
      </c>
      <c r="AD20" s="82">
        <f>+IFERROR($O20/$P20,0)</f>
        <v>132.79166666667</v>
      </c>
      <c r="AE20" s="76">
        <f>+IFERROR(O20/T20,0)</f>
        <v>24.209608977213</v>
      </c>
      <c r="AF20" s="83">
        <f>+IFERROR(AA20/(P20*$AE$8),0)</f>
        <v>0.89044560185185</v>
      </c>
      <c r="AG20" s="84">
        <f>+P20/$C$8</f>
        <v>0.8</v>
      </c>
      <c r="AH20" s="85">
        <f>+Y20*($AI$8*$AH$8)</f>
        <v>137.63263888889</v>
      </c>
      <c r="AI20"/>
    </row>
    <row r="21" spans="1:40">
      <c r="B21" s="70" t="s">
        <v>91</v>
      </c>
      <c r="C21" s="70" t="s">
        <v>99</v>
      </c>
      <c r="D21" s="70" t="s">
        <v>104</v>
      </c>
      <c r="E21" s="70"/>
      <c r="F21" s="70"/>
      <c r="G21" s="70"/>
      <c r="H21" s="70"/>
      <c r="I21" s="70"/>
      <c r="J21" s="70" t="s">
        <v>121</v>
      </c>
      <c r="K21" s="70"/>
      <c r="L21" s="71" t="s">
        <v>95</v>
      </c>
      <c r="M21" s="71">
        <f>data!J8</f>
        <v>30</v>
      </c>
      <c r="N21" s="72">
        <v>20833.0</v>
      </c>
      <c r="O21" s="73">
        <v>1701.0</v>
      </c>
      <c r="P21" s="74">
        <v>20.0</v>
      </c>
      <c r="Q21" s="75">
        <v>72</v>
      </c>
      <c r="R21" s="76">
        <v>58</v>
      </c>
      <c r="S21" s="76">
        <v>59</v>
      </c>
      <c r="T21" s="77">
        <f>+((Q21)+(R21/60)+(S21/3600))</f>
        <v>72.983055555556</v>
      </c>
      <c r="U21" s="78">
        <f>IFERROR(T21/$AA21,0)</f>
        <v>0.72172914589291</v>
      </c>
      <c r="V21" s="75">
        <v>28</v>
      </c>
      <c r="W21" s="76">
        <v>8</v>
      </c>
      <c r="X21" s="76">
        <v>22</v>
      </c>
      <c r="Y21" s="77">
        <f>+((V21)+(W21/60)+(X21/3600))</f>
        <v>28.139444444444</v>
      </c>
      <c r="Z21" s="78">
        <f>+IFERROR(Y21/$AA21,0)</f>
        <v>0.27827085410709</v>
      </c>
      <c r="AA21" s="79">
        <f>+Y21+T21</f>
        <v>101.1225</v>
      </c>
      <c r="AB21" s="80"/>
      <c r="AC21" s="81">
        <f>+IFERROR((AA21/P21),0)</f>
        <v>5.056125</v>
      </c>
      <c r="AD21" s="82">
        <f>+IFERROR($O21/$P21,0)</f>
        <v>85.05</v>
      </c>
      <c r="AE21" s="76">
        <f>+IFERROR(O21/T21,0)</f>
        <v>23.306779731977</v>
      </c>
      <c r="AF21" s="83">
        <f>+IFERROR(AA21/(P21*$AE$8),0)</f>
        <v>0.632015625</v>
      </c>
      <c r="AG21" s="84">
        <f>+P21/$C$8</f>
        <v>0.66666666666667</v>
      </c>
      <c r="AH21" s="85">
        <f>+Y21*($AI$8*$AH$8)</f>
        <v>98.488055555556</v>
      </c>
      <c r="AI21"/>
    </row>
    <row r="22" spans="1:40">
      <c r="B22" s="70" t="s">
        <v>91</v>
      </c>
      <c r="C22" s="70" t="s">
        <v>99</v>
      </c>
      <c r="D22" s="70" t="s">
        <v>104</v>
      </c>
      <c r="E22" s="70"/>
      <c r="F22" s="70"/>
      <c r="G22" s="70"/>
      <c r="H22" s="70"/>
      <c r="I22" s="70"/>
      <c r="J22" s="70" t="s">
        <v>122</v>
      </c>
      <c r="K22" s="70"/>
      <c r="L22" s="71" t="s">
        <v>95</v>
      </c>
      <c r="M22" s="71">
        <f>data!J8</f>
        <v>30</v>
      </c>
      <c r="N22" s="72">
        <v>21171.0</v>
      </c>
      <c r="O22" s="73">
        <v>1042.0</v>
      </c>
      <c r="P22" s="74">
        <v>22.0</v>
      </c>
      <c r="Q22" s="75">
        <v>57</v>
      </c>
      <c r="R22" s="76">
        <v>40</v>
      </c>
      <c r="S22" s="76">
        <v>3</v>
      </c>
      <c r="T22" s="77">
        <f>+((Q22)+(R22/60)+(S22/3600))</f>
        <v>57.6675</v>
      </c>
      <c r="U22" s="78">
        <f>IFERROR(T22/$AA22,0)</f>
        <v>0.79426651924232</v>
      </c>
      <c r="V22" s="75">
        <v>14</v>
      </c>
      <c r="W22" s="76">
        <v>56</v>
      </c>
      <c r="X22" s="76">
        <v>14</v>
      </c>
      <c r="Y22" s="77">
        <f>+((V22)+(W22/60)+(X22/3600))</f>
        <v>14.937222222222</v>
      </c>
      <c r="Z22" s="78">
        <f>+IFERROR(Y22/$AA22,0)</f>
        <v>0.20573348075768</v>
      </c>
      <c r="AA22" s="79">
        <f>+Y22+T22</f>
        <v>72.604722222222</v>
      </c>
      <c r="AB22" s="80"/>
      <c r="AC22" s="81">
        <f>+IFERROR((AA22/P22),0)</f>
        <v>3.3002146464646</v>
      </c>
      <c r="AD22" s="82">
        <f>+IFERROR($O22/$P22,0)</f>
        <v>47.363636363636</v>
      </c>
      <c r="AE22" s="76">
        <f>+IFERROR(O22/T22,0)</f>
        <v>18.069103047644</v>
      </c>
      <c r="AF22" s="83">
        <f>+IFERROR(AA22/(P22*$AE$8),0)</f>
        <v>0.41252683080808</v>
      </c>
      <c r="AG22" s="84">
        <f>+P22/$C$8</f>
        <v>0.73333333333333</v>
      </c>
      <c r="AH22" s="85">
        <f>+Y22*($AI$8*$AH$8)</f>
        <v>52.280277777778</v>
      </c>
      <c r="AI22"/>
    </row>
    <row r="23" spans="1:40">
      <c r="B23" s="70" t="s">
        <v>91</v>
      </c>
      <c r="C23" s="70" t="s">
        <v>99</v>
      </c>
      <c r="D23" s="70" t="s">
        <v>104</v>
      </c>
      <c r="E23" s="70"/>
      <c r="F23" s="70"/>
      <c r="G23" s="70"/>
      <c r="H23" s="70"/>
      <c r="I23" s="70"/>
      <c r="J23" s="70" t="s">
        <v>123</v>
      </c>
      <c r="K23" s="70"/>
      <c r="L23" s="71" t="s">
        <v>95</v>
      </c>
      <c r="M23" s="71">
        <f>data!J8</f>
        <v>30</v>
      </c>
      <c r="N23" s="72">
        <v>18011.0</v>
      </c>
      <c r="O23" s="73">
        <v>1337.0</v>
      </c>
      <c r="P23" s="74">
        <v>22.0</v>
      </c>
      <c r="Q23" s="75">
        <v>68</v>
      </c>
      <c r="R23" s="76">
        <v>47</v>
      </c>
      <c r="S23" s="76">
        <v>36</v>
      </c>
      <c r="T23" s="77">
        <f>+((Q23)+(R23/60)+(S23/3600))</f>
        <v>68.793333333333</v>
      </c>
      <c r="U23" s="78">
        <f>IFERROR(T23/$AA23,0)</f>
        <v>0.6776666830846</v>
      </c>
      <c r="V23" s="75">
        <v>32</v>
      </c>
      <c r="W23" s="76">
        <v>43</v>
      </c>
      <c r="X23" s="76">
        <v>18</v>
      </c>
      <c r="Y23" s="77">
        <f>+((V23)+(W23/60)+(X23/3600))</f>
        <v>32.721666666667</v>
      </c>
      <c r="Z23" s="78">
        <f>+IFERROR(Y23/$AA23,0)</f>
        <v>0.3223333169154</v>
      </c>
      <c r="AA23" s="79">
        <f>+Y23+T23</f>
        <v>101.515</v>
      </c>
      <c r="AB23" s="80"/>
      <c r="AC23" s="81">
        <f>+IFERROR((AA23/P23),0)</f>
        <v>4.6143181818182</v>
      </c>
      <c r="AD23" s="82">
        <f>+IFERROR($O23/$P23,0)</f>
        <v>60.772727272727</v>
      </c>
      <c r="AE23" s="76">
        <f>+IFERROR(O23/T23,0)</f>
        <v>19.435022773525</v>
      </c>
      <c r="AF23" s="83">
        <f>+IFERROR(AA23/(P23*$AE$8),0)</f>
        <v>0.57678977272727</v>
      </c>
      <c r="AG23" s="84">
        <f>+P23/$C$8</f>
        <v>0.73333333333333</v>
      </c>
      <c r="AH23" s="85">
        <f>+Y23*($AI$8*$AH$8)</f>
        <v>114.52583333333</v>
      </c>
      <c r="AI23"/>
    </row>
    <row r="24" spans="1:40">
      <c r="B24" s="70" t="s">
        <v>91</v>
      </c>
      <c r="C24" s="70" t="s">
        <v>99</v>
      </c>
      <c r="D24" s="70" t="s">
        <v>104</v>
      </c>
      <c r="E24" s="70"/>
      <c r="F24" s="70"/>
      <c r="G24" s="70"/>
      <c r="H24" s="70"/>
      <c r="I24" s="70"/>
      <c r="J24" s="70" t="s">
        <v>124</v>
      </c>
      <c r="K24" s="70"/>
      <c r="L24" s="71" t="s">
        <v>95</v>
      </c>
      <c r="M24" s="71">
        <f>data!J8</f>
        <v>30</v>
      </c>
      <c r="N24" s="72">
        <v>18436.0</v>
      </c>
      <c r="O24" s="73">
        <v>1167.0</v>
      </c>
      <c r="P24" s="74">
        <v>21.0</v>
      </c>
      <c r="Q24" s="75">
        <v>56</v>
      </c>
      <c r="R24" s="76">
        <v>30</v>
      </c>
      <c r="S24" s="76">
        <v>46</v>
      </c>
      <c r="T24" s="77">
        <f>+((Q24)+(R24/60)+(S24/3600))</f>
        <v>56.512777777778</v>
      </c>
      <c r="U24" s="78">
        <f>IFERROR(T24/$AA24,0)</f>
        <v>0.70863404575473</v>
      </c>
      <c r="V24" s="75">
        <v>23</v>
      </c>
      <c r="W24" s="76">
        <v>14</v>
      </c>
      <c r="X24" s="76">
        <v>10</v>
      </c>
      <c r="Y24" s="77">
        <f>+((V24)+(W24/60)+(X24/3600))</f>
        <v>23.236111111111</v>
      </c>
      <c r="Z24" s="78">
        <f>+IFERROR(Y24/$AA24,0)</f>
        <v>0.29136595424527</v>
      </c>
      <c r="AA24" s="79">
        <f>+Y24+T24</f>
        <v>79.748888888889</v>
      </c>
      <c r="AB24" s="80"/>
      <c r="AC24" s="81">
        <f>+IFERROR((AA24/P24),0)</f>
        <v>3.7975661375661</v>
      </c>
      <c r="AD24" s="82">
        <f>+IFERROR($O24/$P24,0)</f>
        <v>55.571428571429</v>
      </c>
      <c r="AE24" s="76">
        <f>+IFERROR(O24/T24,0)</f>
        <v>20.6501971039</v>
      </c>
      <c r="AF24" s="83">
        <f>+IFERROR(AA24/(P24*$AE$8),0)</f>
        <v>0.47469576719577</v>
      </c>
      <c r="AG24" s="84">
        <f>+P24/$C$8</f>
        <v>0.7</v>
      </c>
      <c r="AH24" s="85">
        <f>+Y24*($AI$8*$AH$8)</f>
        <v>81.326388888889</v>
      </c>
      <c r="AI24"/>
    </row>
    <row r="25" spans="1:40">
      <c r="B25" s="70" t="s">
        <v>91</v>
      </c>
      <c r="C25" s="70" t="s">
        <v>99</v>
      </c>
      <c r="D25" s="70" t="s">
        <v>104</v>
      </c>
      <c r="E25" s="70"/>
      <c r="F25" s="70"/>
      <c r="G25" s="70"/>
      <c r="H25" s="70"/>
      <c r="I25" s="70"/>
      <c r="J25" s="70" t="s">
        <v>125</v>
      </c>
      <c r="K25" s="70"/>
      <c r="L25" s="71" t="s">
        <v>95</v>
      </c>
      <c r="M25" s="71">
        <f>data!J8</f>
        <v>30</v>
      </c>
      <c r="N25" s="72">
        <v>168484.0</v>
      </c>
      <c r="O25" s="73">
        <v>338.0</v>
      </c>
      <c r="P25" s="74">
        <v>9.0</v>
      </c>
      <c r="Q25" s="75">
        <v>14</v>
      </c>
      <c r="R25" s="76">
        <v>33</v>
      </c>
      <c r="S25" s="76">
        <v>52</v>
      </c>
      <c r="T25" s="77">
        <f>+((Q25)+(R25/60)+(S25/3600))</f>
        <v>14.564444444444</v>
      </c>
      <c r="U25" s="78">
        <f>IFERROR(T25/$AA25,0)</f>
        <v>0.56339723201238</v>
      </c>
      <c r="V25" s="75">
        <v>11</v>
      </c>
      <c r="W25" s="76">
        <v>17</v>
      </c>
      <c r="X25" s="76">
        <v>12</v>
      </c>
      <c r="Y25" s="77">
        <f>+((V25)+(W25/60)+(X25/3600))</f>
        <v>11.286666666667</v>
      </c>
      <c r="Z25" s="78">
        <f>+IFERROR(Y25/$AA25,0)</f>
        <v>0.43660276798762</v>
      </c>
      <c r="AA25" s="79">
        <f>+Y25+T25</f>
        <v>25.851111111111</v>
      </c>
      <c r="AB25" s="80"/>
      <c r="AC25" s="81">
        <f>+IFERROR((AA25/P25),0)</f>
        <v>2.8723456790123</v>
      </c>
      <c r="AD25" s="82">
        <f>+IFERROR($O25/$P25,0)</f>
        <v>37.555555555556</v>
      </c>
      <c r="AE25" s="76">
        <f>+IFERROR(O25/T25,0)</f>
        <v>23.20720170888</v>
      </c>
      <c r="AF25" s="83">
        <f>+IFERROR(AA25/(P25*$AE$8),0)</f>
        <v>0.35904320987654</v>
      </c>
      <c r="AG25" s="84">
        <f>+P25/$C$8</f>
        <v>0.3</v>
      </c>
      <c r="AH25" s="85">
        <f>+Y25*($AI$8*$AH$8)</f>
        <v>39.503333333333</v>
      </c>
      <c r="AI25"/>
    </row>
    <row r="26" spans="1:40">
      <c r="B26" s="70" t="s">
        <v>91</v>
      </c>
      <c r="C26" s="70" t="s">
        <v>99</v>
      </c>
      <c r="D26" s="70" t="s">
        <v>104</v>
      </c>
      <c r="E26" s="70"/>
      <c r="F26" s="70"/>
      <c r="G26" s="70"/>
      <c r="H26" s="70"/>
      <c r="I26" s="70"/>
      <c r="J26" s="70" t="s">
        <v>126</v>
      </c>
      <c r="K26" s="70"/>
      <c r="L26" s="71" t="s">
        <v>95</v>
      </c>
      <c r="M26" s="71">
        <f>data!J8</f>
        <v>30</v>
      </c>
      <c r="N26" s="72">
        <v>163678.0</v>
      </c>
      <c r="O26" s="73">
        <v>1858.0</v>
      </c>
      <c r="P26" s="74">
        <v>20.0</v>
      </c>
      <c r="Q26" s="75">
        <v>75</v>
      </c>
      <c r="R26" s="76">
        <v>50</v>
      </c>
      <c r="S26" s="76">
        <v>34</v>
      </c>
      <c r="T26" s="77">
        <f>+((Q26)+(R26/60)+(S26/3600))</f>
        <v>75.842777777778</v>
      </c>
      <c r="U26" s="78">
        <f>IFERROR(T26/$AA26,0)</f>
        <v>0.76375069582171</v>
      </c>
      <c r="V26" s="75">
        <v>23</v>
      </c>
      <c r="W26" s="76">
        <v>27</v>
      </c>
      <c r="X26" s="76">
        <v>37</v>
      </c>
      <c r="Y26" s="77">
        <f>+((V26)+(W26/60)+(X26/3600))</f>
        <v>23.460277777778</v>
      </c>
      <c r="Z26" s="78">
        <f>+IFERROR(Y26/$AA26,0)</f>
        <v>0.23624930417829</v>
      </c>
      <c r="AA26" s="79">
        <f>+Y26+T26</f>
        <v>99.303055555556</v>
      </c>
      <c r="AB26" s="80"/>
      <c r="AC26" s="81">
        <f>+IFERROR((AA26/P26),0)</f>
        <v>4.9651527777778</v>
      </c>
      <c r="AD26" s="82">
        <f>+IFERROR($O26/$P26,0)</f>
        <v>92.9</v>
      </c>
      <c r="AE26" s="76">
        <f>+IFERROR(O26/T26,0)</f>
        <v>24.498047862171</v>
      </c>
      <c r="AF26" s="83">
        <f>+IFERROR(AA26/(P26*$AE$8),0)</f>
        <v>0.62064409722222</v>
      </c>
      <c r="AG26" s="84">
        <f>+P26/$C$8</f>
        <v>0.66666666666667</v>
      </c>
      <c r="AH26" s="85">
        <f>+Y26*($AI$8*$AH$8)</f>
        <v>82.110972222222</v>
      </c>
      <c r="AI26"/>
    </row>
    <row r="27" spans="1:40">
      <c r="B27" s="70" t="s">
        <v>91</v>
      </c>
      <c r="C27" s="70" t="s">
        <v>99</v>
      </c>
      <c r="D27" s="70" t="s">
        <v>104</v>
      </c>
      <c r="E27" s="70"/>
      <c r="F27" s="70"/>
      <c r="G27" s="70"/>
      <c r="H27" s="70"/>
      <c r="I27" s="70"/>
      <c r="J27" s="70" t="s">
        <v>127</v>
      </c>
      <c r="K27" s="70"/>
      <c r="L27" s="71" t="s">
        <v>95</v>
      </c>
      <c r="M27" s="71">
        <f>data!J8</f>
        <v>30</v>
      </c>
      <c r="N27" s="72">
        <v>21065.0</v>
      </c>
      <c r="O27" s="73">
        <v>653.0</v>
      </c>
      <c r="P27" s="74">
        <v>19.0</v>
      </c>
      <c r="Q27" s="75">
        <v>34</v>
      </c>
      <c r="R27" s="76">
        <v>1</v>
      </c>
      <c r="S27" s="76">
        <v>42</v>
      </c>
      <c r="T27" s="77">
        <f>+((Q27)+(R27/60)+(S27/3600))</f>
        <v>34.028333333333</v>
      </c>
      <c r="U27" s="78">
        <f>IFERROR(T27/$AA27,0)</f>
        <v>0.74717754478418</v>
      </c>
      <c r="V27" s="75">
        <v>11</v>
      </c>
      <c r="W27" s="76">
        <v>30</v>
      </c>
      <c r="X27" s="76">
        <v>51</v>
      </c>
      <c r="Y27" s="77">
        <f>+((V27)+(W27/60)+(X27/3600))</f>
        <v>11.514166666667</v>
      </c>
      <c r="Z27" s="78">
        <f>+IFERROR(Y27/$AA27,0)</f>
        <v>0.25282245521582</v>
      </c>
      <c r="AA27" s="79">
        <f>+Y27+T27</f>
        <v>45.5425</v>
      </c>
      <c r="AB27" s="80"/>
      <c r="AC27" s="81">
        <f>+IFERROR((AA27/P27),0)</f>
        <v>2.3969736842105</v>
      </c>
      <c r="AD27" s="82">
        <f>+IFERROR($O27/$P27,0)</f>
        <v>34.368421052632</v>
      </c>
      <c r="AE27" s="76">
        <f>+IFERROR(O27/T27,0)</f>
        <v>19.189890777293</v>
      </c>
      <c r="AF27" s="83">
        <f>+IFERROR(AA27/(P27*$AE$8),0)</f>
        <v>0.29962171052632</v>
      </c>
      <c r="AG27" s="84">
        <f>+P27/$C$8</f>
        <v>0.63333333333333</v>
      </c>
      <c r="AH27" s="85">
        <f>+Y27*($AI$8*$AH$8)</f>
        <v>40.299583333333</v>
      </c>
      <c r="AI27"/>
    </row>
    <row r="28" spans="1:40">
      <c r="B28" s="70" t="s">
        <v>91</v>
      </c>
      <c r="C28" s="70" t="s">
        <v>99</v>
      </c>
      <c r="D28" s="70" t="s">
        <v>104</v>
      </c>
      <c r="E28" s="70"/>
      <c r="F28" s="70"/>
      <c r="G28" s="70"/>
      <c r="H28" s="70"/>
      <c r="I28" s="70"/>
      <c r="J28" s="70" t="s">
        <v>128</v>
      </c>
      <c r="K28" s="70"/>
      <c r="L28" s="71" t="s">
        <v>95</v>
      </c>
      <c r="M28" s="71">
        <f>data!J8</f>
        <v>30</v>
      </c>
      <c r="N28" s="72">
        <v>15024.0</v>
      </c>
      <c r="O28" s="73">
        <v>712.0</v>
      </c>
      <c r="P28" s="74">
        <v>18.0</v>
      </c>
      <c r="Q28" s="75">
        <v>34</v>
      </c>
      <c r="R28" s="76">
        <v>11</v>
      </c>
      <c r="S28" s="76">
        <v>37</v>
      </c>
      <c r="T28" s="77">
        <f>+((Q28)+(R28/60)+(S28/3600))</f>
        <v>34.193611111111</v>
      </c>
      <c r="U28" s="78">
        <f>IFERROR(T28/$AA28,0)</f>
        <v>0.68728957873873</v>
      </c>
      <c r="V28" s="75">
        <v>15</v>
      </c>
      <c r="W28" s="76">
        <v>33</v>
      </c>
      <c r="X28" s="76">
        <v>28</v>
      </c>
      <c r="Y28" s="77">
        <f>+((V28)+(W28/60)+(X28/3600))</f>
        <v>15.557777777778</v>
      </c>
      <c r="Z28" s="78">
        <f>+IFERROR(Y28/$AA28,0)</f>
        <v>0.31271042126127</v>
      </c>
      <c r="AA28" s="79">
        <f>+Y28+T28</f>
        <v>49.751388888889</v>
      </c>
      <c r="AB28" s="80"/>
      <c r="AC28" s="81">
        <f>+IFERROR((AA28/P28),0)</f>
        <v>2.7639660493827</v>
      </c>
      <c r="AD28" s="82">
        <f>+IFERROR($O28/$P28,0)</f>
        <v>39.555555555556</v>
      </c>
      <c r="AE28" s="76">
        <f>+IFERROR(O28/T28,0)</f>
        <v>20.822603312835</v>
      </c>
      <c r="AF28" s="83">
        <f>+IFERROR(AA28/(P28*$AE$8),0)</f>
        <v>0.34549575617284</v>
      </c>
      <c r="AG28" s="84">
        <f>+P28/$C$8</f>
        <v>0.6</v>
      </c>
      <c r="AH28" s="85">
        <f>+Y28*($AI$8*$AH$8)</f>
        <v>54.452222222222</v>
      </c>
      <c r="AI28"/>
    </row>
    <row r="29" spans="1:40">
      <c r="B29" s="70" t="s">
        <v>91</v>
      </c>
      <c r="C29" s="70" t="s">
        <v>99</v>
      </c>
      <c r="D29" s="70" t="s">
        <v>104</v>
      </c>
      <c r="E29" s="70"/>
      <c r="F29" s="70"/>
      <c r="G29" s="70"/>
      <c r="H29" s="70"/>
      <c r="I29" s="70"/>
      <c r="J29" s="70" t="s">
        <v>129</v>
      </c>
      <c r="K29" s="70"/>
      <c r="L29" s="71" t="s">
        <v>95</v>
      </c>
      <c r="M29" s="71">
        <f>data!J8</f>
        <v>30</v>
      </c>
      <c r="N29" s="72">
        <v>19495.0</v>
      </c>
      <c r="O29" s="73">
        <v>1399.0</v>
      </c>
      <c r="P29" s="74">
        <v>21.0</v>
      </c>
      <c r="Q29" s="75">
        <v>62</v>
      </c>
      <c r="R29" s="76">
        <v>49</v>
      </c>
      <c r="S29" s="76">
        <v>30</v>
      </c>
      <c r="T29" s="77">
        <f>+((Q29)+(R29/60)+(S29/3600))</f>
        <v>62.825</v>
      </c>
      <c r="U29" s="78">
        <f>IFERROR(T29/$AA29,0)</f>
        <v>0.89299956568089</v>
      </c>
      <c r="V29" s="75">
        <v>7</v>
      </c>
      <c r="W29" s="76">
        <v>31</v>
      </c>
      <c r="X29" s="76">
        <v>40</v>
      </c>
      <c r="Y29" s="77">
        <f>+((V29)+(W29/60)+(X29/3600))</f>
        <v>7.5277777777778</v>
      </c>
      <c r="Z29" s="78">
        <f>+IFERROR(Y29/$AA29,0)</f>
        <v>0.10700043431911</v>
      </c>
      <c r="AA29" s="79">
        <f>+Y29+T29</f>
        <v>70.352777777778</v>
      </c>
      <c r="AB29" s="80"/>
      <c r="AC29" s="81">
        <f>+IFERROR((AA29/P29),0)</f>
        <v>3.3501322751323</v>
      </c>
      <c r="AD29" s="82">
        <f>+IFERROR($O29/$P29,0)</f>
        <v>66.619047619048</v>
      </c>
      <c r="AE29" s="76">
        <f>+IFERROR(O29/T29,0)</f>
        <v>22.268205332272</v>
      </c>
      <c r="AF29" s="83">
        <f>+IFERROR(AA29/(P29*$AE$8),0)</f>
        <v>0.41876653439153</v>
      </c>
      <c r="AG29" s="84">
        <f>+P29/$C$8</f>
        <v>0.7</v>
      </c>
      <c r="AH29" s="85">
        <f>+Y29*($AI$8*$AH$8)</f>
        <v>26.347222222222</v>
      </c>
      <c r="AI29"/>
    </row>
    <row r="30" spans="1:40">
      <c r="B30" s="70" t="s">
        <v>91</v>
      </c>
      <c r="C30" s="70" t="s">
        <v>99</v>
      </c>
      <c r="D30" s="70" t="s">
        <v>104</v>
      </c>
      <c r="E30" s="70"/>
      <c r="F30" s="70"/>
      <c r="G30" s="70"/>
      <c r="H30" s="70"/>
      <c r="I30" s="70"/>
      <c r="J30" s="70" t="s">
        <v>130</v>
      </c>
      <c r="K30" s="70"/>
      <c r="L30" s="71" t="s">
        <v>95</v>
      </c>
      <c r="M30" s="71">
        <f>data!J8</f>
        <v>30</v>
      </c>
      <c r="N30" s="72">
        <v>203210.0</v>
      </c>
      <c r="O30" s="73">
        <v>493.0</v>
      </c>
      <c r="P30" s="74">
        <v>16.0</v>
      </c>
      <c r="Q30" s="75">
        <v>25</v>
      </c>
      <c r="R30" s="76">
        <v>35</v>
      </c>
      <c r="S30" s="76">
        <v>39</v>
      </c>
      <c r="T30" s="77">
        <f>+((Q30)+(R30/60)+(S30/3600))</f>
        <v>25.594166666667</v>
      </c>
      <c r="U30" s="78">
        <f>IFERROR(T30/$AA30,0)</f>
        <v>0.39540901717434</v>
      </c>
      <c r="V30" s="75">
        <v>39</v>
      </c>
      <c r="W30" s="76">
        <v>8</v>
      </c>
      <c r="X30" s="76">
        <v>3</v>
      </c>
      <c r="Y30" s="77">
        <f>+((V30)+(W30/60)+(X30/3600))</f>
        <v>39.134166666667</v>
      </c>
      <c r="Z30" s="78">
        <f>+IFERROR(Y30/$AA30,0)</f>
        <v>0.60459098282566</v>
      </c>
      <c r="AA30" s="79">
        <f>+Y30+T30</f>
        <v>64.728333333333</v>
      </c>
      <c r="AB30" s="80"/>
      <c r="AC30" s="81">
        <f>+IFERROR((AA30/P30),0)</f>
        <v>4.0455208333333</v>
      </c>
      <c r="AD30" s="82">
        <f>+IFERROR($O30/$P30,0)</f>
        <v>30.8125</v>
      </c>
      <c r="AE30" s="76">
        <f>+IFERROR(O30/T30,0)</f>
        <v>19.262201673558</v>
      </c>
      <c r="AF30" s="83">
        <f>+IFERROR(AA30/(P30*$AE$8),0)</f>
        <v>0.50569010416667</v>
      </c>
      <c r="AG30" s="84">
        <f>+P30/$C$8</f>
        <v>0.53333333333333</v>
      </c>
      <c r="AH30" s="85">
        <f>+Y30*($AI$8*$AH$8)</f>
        <v>136.96958333333</v>
      </c>
      <c r="AI30"/>
    </row>
    <row r="31" spans="1:40">
      <c r="B31" s="70" t="s">
        <v>91</v>
      </c>
      <c r="C31" s="70" t="s">
        <v>99</v>
      </c>
      <c r="D31" s="70" t="s">
        <v>104</v>
      </c>
      <c r="E31" s="70"/>
      <c r="F31" s="70"/>
      <c r="G31" s="70"/>
      <c r="H31" s="70"/>
      <c r="I31" s="70"/>
      <c r="J31" s="70" t="s">
        <v>131</v>
      </c>
      <c r="K31" s="70"/>
      <c r="L31" s="71" t="s">
        <v>95</v>
      </c>
      <c r="M31" s="71">
        <f>data!J8</f>
        <v>30</v>
      </c>
      <c r="N31" s="72">
        <v>96440.0</v>
      </c>
      <c r="O31" s="73">
        <v>852.0</v>
      </c>
      <c r="P31" s="74">
        <v>15.0</v>
      </c>
      <c r="Q31" s="75">
        <v>38</v>
      </c>
      <c r="R31" s="76">
        <v>24</v>
      </c>
      <c r="S31" s="76">
        <v>2</v>
      </c>
      <c r="T31" s="77">
        <f>+((Q31)+(R31/60)+(S31/3600))</f>
        <v>38.400555555556</v>
      </c>
      <c r="U31" s="78">
        <f>IFERROR(T31/$AA31,0)</f>
        <v>0.74077527355346</v>
      </c>
      <c r="V31" s="75">
        <v>13</v>
      </c>
      <c r="W31" s="76">
        <v>26</v>
      </c>
      <c r="X31" s="76">
        <v>16</v>
      </c>
      <c r="Y31" s="77">
        <f>+((V31)+(W31/60)+(X31/3600))</f>
        <v>13.437777777778</v>
      </c>
      <c r="Z31" s="78">
        <f>+IFERROR(Y31/$AA31,0)</f>
        <v>0.25922472644654</v>
      </c>
      <c r="AA31" s="79">
        <f>+Y31+T31</f>
        <v>51.838333333333</v>
      </c>
      <c r="AB31" s="80"/>
      <c r="AC31" s="81">
        <f>+IFERROR((AA31/P31),0)</f>
        <v>3.4558888888889</v>
      </c>
      <c r="AD31" s="82">
        <f>+IFERROR($O31/$P31,0)</f>
        <v>56.8</v>
      </c>
      <c r="AE31" s="76">
        <f>+IFERROR(O31/T31,0)</f>
        <v>22.187179004933</v>
      </c>
      <c r="AF31" s="83">
        <f>+IFERROR(AA31/(P31*$AE$8),0)</f>
        <v>0.43198611111111</v>
      </c>
      <c r="AG31" s="84">
        <f>+P31/$C$8</f>
        <v>0.5</v>
      </c>
      <c r="AH31" s="85">
        <f>+Y31*($AI$8*$AH$8)</f>
        <v>47.032222222222</v>
      </c>
      <c r="AI31"/>
    </row>
    <row r="32" spans="1:40">
      <c r="B32" s="70" t="s">
        <v>91</v>
      </c>
      <c r="C32" s="70" t="s">
        <v>99</v>
      </c>
      <c r="D32" s="70" t="s">
        <v>104</v>
      </c>
      <c r="E32" s="70"/>
      <c r="F32" s="70"/>
      <c r="G32" s="70"/>
      <c r="H32" s="70"/>
      <c r="I32" s="70"/>
      <c r="J32" s="70" t="s">
        <v>132</v>
      </c>
      <c r="K32" s="70"/>
      <c r="L32" s="71" t="s">
        <v>95</v>
      </c>
      <c r="M32" s="71">
        <f>data!J8</f>
        <v>30</v>
      </c>
      <c r="N32" s="72">
        <v>13527.0</v>
      </c>
      <c r="O32" s="73">
        <v>661.0</v>
      </c>
      <c r="P32" s="74">
        <v>13.0</v>
      </c>
      <c r="Q32" s="75">
        <v>31</v>
      </c>
      <c r="R32" s="76">
        <v>26</v>
      </c>
      <c r="S32" s="76">
        <v>59</v>
      </c>
      <c r="T32" s="77">
        <f>+((Q32)+(R32/60)+(S32/3600))</f>
        <v>31.449722222222</v>
      </c>
      <c r="U32" s="78">
        <f>IFERROR(T32/$AA32,0)</f>
        <v>0.5548346311606</v>
      </c>
      <c r="V32" s="75">
        <v>25</v>
      </c>
      <c r="W32" s="76">
        <v>14</v>
      </c>
      <c r="X32" s="76">
        <v>0</v>
      </c>
      <c r="Y32" s="77">
        <f>+((V32)+(W32/60)+(X32/3600))</f>
        <v>25.233333333333</v>
      </c>
      <c r="Z32" s="78">
        <f>+IFERROR(Y32/$AA32,0)</f>
        <v>0.4451653688394</v>
      </c>
      <c r="AA32" s="79">
        <f>+Y32+T32</f>
        <v>56.683055555556</v>
      </c>
      <c r="AB32" s="80"/>
      <c r="AC32" s="81">
        <f>+IFERROR((AA32/P32),0)</f>
        <v>4.360235042735</v>
      </c>
      <c r="AD32" s="82">
        <f>+IFERROR($O32/$P32,0)</f>
        <v>50.846153846154</v>
      </c>
      <c r="AE32" s="76">
        <f>+IFERROR(O32/T32,0)</f>
        <v>21.017673712009</v>
      </c>
      <c r="AF32" s="83">
        <f>+IFERROR(AA32/(P32*$AE$8),0)</f>
        <v>0.54502938034188</v>
      </c>
      <c r="AG32" s="84">
        <f>+P32/$C$8</f>
        <v>0.43333333333333</v>
      </c>
      <c r="AH32" s="85">
        <f>+Y32*($AI$8*$AH$8)</f>
        <v>88.316666666667</v>
      </c>
      <c r="AI32"/>
    </row>
    <row r="33" spans="1:40">
      <c r="B33" s="70" t="s">
        <v>91</v>
      </c>
      <c r="C33" s="70" t="s">
        <v>99</v>
      </c>
      <c r="D33" s="70" t="s">
        <v>104</v>
      </c>
      <c r="E33" s="70"/>
      <c r="F33" s="70"/>
      <c r="G33" s="70"/>
      <c r="H33" s="70"/>
      <c r="I33" s="70"/>
      <c r="J33" s="70" t="s">
        <v>133</v>
      </c>
      <c r="K33" s="70"/>
      <c r="L33" s="71" t="s">
        <v>95</v>
      </c>
      <c r="M33" s="71">
        <f>data!J8</f>
        <v>30</v>
      </c>
      <c r="N33" s="72">
        <v>13083.0</v>
      </c>
      <c r="O33" s="73">
        <v>1046.0</v>
      </c>
      <c r="P33" s="74">
        <v>18.0</v>
      </c>
      <c r="Q33" s="75">
        <v>52</v>
      </c>
      <c r="R33" s="76">
        <v>27</v>
      </c>
      <c r="S33" s="76">
        <v>51</v>
      </c>
      <c r="T33" s="77">
        <f>+((Q33)+(R33/60)+(S33/3600))</f>
        <v>52.464166666667</v>
      </c>
      <c r="U33" s="78">
        <f>IFERROR(T33/$AA33,0)</f>
        <v>0.45248317002468</v>
      </c>
      <c r="V33" s="75">
        <v>63</v>
      </c>
      <c r="W33" s="76">
        <v>28</v>
      </c>
      <c r="X33" s="76">
        <v>59</v>
      </c>
      <c r="Y33" s="77">
        <f>+((V33)+(W33/60)+(X33/3600))</f>
        <v>63.483055555556</v>
      </c>
      <c r="Z33" s="78">
        <f>+IFERROR(Y33/$AA33,0)</f>
        <v>0.54751682997532</v>
      </c>
      <c r="AA33" s="79">
        <f>+Y33+T33</f>
        <v>115.94722222222</v>
      </c>
      <c r="AB33" s="80"/>
      <c r="AC33" s="81">
        <f>+IFERROR((AA33/P33),0)</f>
        <v>6.441512345679</v>
      </c>
      <c r="AD33" s="82">
        <f>+IFERROR($O33/$P33,0)</f>
        <v>58.111111111111</v>
      </c>
      <c r="AE33" s="76">
        <f>+IFERROR(O33/T33,0)</f>
        <v>19.937417602491</v>
      </c>
      <c r="AF33" s="83">
        <f>+IFERROR(AA33/(P33*$AE$8),0)</f>
        <v>0.80518904320988</v>
      </c>
      <c r="AG33" s="84">
        <f>+P33/$C$8</f>
        <v>0.6</v>
      </c>
      <c r="AH33" s="85">
        <f>+Y33*($AI$8*$AH$8)</f>
        <v>222.19069444444</v>
      </c>
      <c r="AI33"/>
    </row>
    <row r="34" spans="1:40">
      <c r="B34" s="70" t="s">
        <v>91</v>
      </c>
      <c r="C34" s="70" t="s">
        <v>99</v>
      </c>
      <c r="D34" s="70" t="s">
        <v>104</v>
      </c>
      <c r="E34" s="70"/>
      <c r="F34" s="70"/>
      <c r="G34" s="70"/>
      <c r="H34" s="70"/>
      <c r="I34" s="70"/>
      <c r="J34" s="70" t="s">
        <v>134</v>
      </c>
      <c r="K34" s="70"/>
      <c r="L34" s="71" t="s">
        <v>95</v>
      </c>
      <c r="M34" s="71">
        <f>data!J8</f>
        <v>30</v>
      </c>
      <c r="N34" s="72">
        <v>17791.0</v>
      </c>
      <c r="O34" s="73">
        <v>858.0</v>
      </c>
      <c r="P34" s="74">
        <v>17.0</v>
      </c>
      <c r="Q34" s="75">
        <v>40</v>
      </c>
      <c r="R34" s="76">
        <v>39</v>
      </c>
      <c r="S34" s="76">
        <v>2</v>
      </c>
      <c r="T34" s="77">
        <f>+((Q34)+(R34/60)+(S34/3600))</f>
        <v>40.650555555556</v>
      </c>
      <c r="U34" s="78">
        <f>IFERROR(T34/$AA34,0)</f>
        <v>0.67197788573685</v>
      </c>
      <c r="V34" s="75">
        <v>19</v>
      </c>
      <c r="W34" s="76">
        <v>50</v>
      </c>
      <c r="X34" s="76">
        <v>36</v>
      </c>
      <c r="Y34" s="77">
        <f>+((V34)+(W34/60)+(X34/3600))</f>
        <v>19.843333333333</v>
      </c>
      <c r="Z34" s="78">
        <f>+IFERROR(Y34/$AA34,0)</f>
        <v>0.32802211426315</v>
      </c>
      <c r="AA34" s="79">
        <f>+Y34+T34</f>
        <v>60.493888888889</v>
      </c>
      <c r="AB34" s="80"/>
      <c r="AC34" s="81">
        <f>+IFERROR((AA34/P34),0)</f>
        <v>3.5584640522876</v>
      </c>
      <c r="AD34" s="82">
        <f>+IFERROR($O34/$P34,0)</f>
        <v>50.470588235294</v>
      </c>
      <c r="AE34" s="76">
        <f>+IFERROR(O34/T34,0)</f>
        <v>21.106722608684</v>
      </c>
      <c r="AF34" s="83">
        <f>+IFERROR(AA34/(P34*$AE$8),0)</f>
        <v>0.44480800653595</v>
      </c>
      <c r="AG34" s="84">
        <f>+P34/$C$8</f>
        <v>0.56666666666667</v>
      </c>
      <c r="AH34" s="85">
        <f>+Y34*($AI$8*$AH$8)</f>
        <v>69.451666666667</v>
      </c>
      <c r="AI34"/>
    </row>
    <row r="35" spans="1:40">
      <c r="B35" s="70" t="s">
        <v>91</v>
      </c>
      <c r="C35" s="70" t="s">
        <v>99</v>
      </c>
      <c r="D35" s="70" t="s">
        <v>104</v>
      </c>
      <c r="E35" s="70"/>
      <c r="F35" s="70"/>
      <c r="G35" s="70"/>
      <c r="H35" s="70"/>
      <c r="I35" s="70"/>
      <c r="J35" s="70" t="s">
        <v>135</v>
      </c>
      <c r="K35" s="70"/>
      <c r="L35" s="71" t="s">
        <v>95</v>
      </c>
      <c r="M35" s="71">
        <f>data!J8</f>
        <v>30</v>
      </c>
      <c r="N35" s="72">
        <v>178134.0</v>
      </c>
      <c r="O35" s="73">
        <v>565.0</v>
      </c>
      <c r="P35" s="74">
        <v>12.0</v>
      </c>
      <c r="Q35" s="75">
        <v>41</v>
      </c>
      <c r="R35" s="76">
        <v>3</v>
      </c>
      <c r="S35" s="76">
        <v>45</v>
      </c>
      <c r="T35" s="77">
        <f>+((Q35)+(R35/60)+(S35/3600))</f>
        <v>41.0625</v>
      </c>
      <c r="U35" s="78">
        <f>IFERROR(T35/$AA35,0)</f>
        <v>0.49056534897921</v>
      </c>
      <c r="V35" s="75">
        <v>42</v>
      </c>
      <c r="W35" s="76">
        <v>38</v>
      </c>
      <c r="X35" s="76">
        <v>31</v>
      </c>
      <c r="Y35" s="77">
        <f>+((V35)+(W35/60)+(X35/3600))</f>
        <v>42.641944444444</v>
      </c>
      <c r="Z35" s="78">
        <f>+IFERROR(Y35/$AA35,0)</f>
        <v>0.50943465102079</v>
      </c>
      <c r="AA35" s="79">
        <f>+Y35+T35</f>
        <v>83.704444444444</v>
      </c>
      <c r="AB35" s="80"/>
      <c r="AC35" s="81">
        <f>+IFERROR((AA35/P35),0)</f>
        <v>6.9753703703704</v>
      </c>
      <c r="AD35" s="82">
        <f>+IFERROR($O35/$P35,0)</f>
        <v>47.083333333333</v>
      </c>
      <c r="AE35" s="76">
        <f>+IFERROR(O35/T35,0)</f>
        <v>13.759512937595</v>
      </c>
      <c r="AF35" s="83">
        <f>+IFERROR(AA35/(P35*$AE$8),0)</f>
        <v>0.8719212962963</v>
      </c>
      <c r="AG35" s="84">
        <f>+P35/$C$8</f>
        <v>0.4</v>
      </c>
      <c r="AH35" s="85">
        <f>+Y35*($AI$8*$AH$8)</f>
        <v>149.24680555556</v>
      </c>
      <c r="AI35"/>
    </row>
    <row r="36" spans="1:40">
      <c r="B36" s="70" t="s">
        <v>91</v>
      </c>
      <c r="C36" s="70" t="s">
        <v>99</v>
      </c>
      <c r="D36" s="70" t="s">
        <v>104</v>
      </c>
      <c r="E36" s="70"/>
      <c r="F36" s="70"/>
      <c r="G36" s="70"/>
      <c r="H36" s="70"/>
      <c r="I36" s="70"/>
      <c r="J36" s="70" t="s">
        <v>136</v>
      </c>
      <c r="K36" s="70"/>
      <c r="L36" s="71" t="s">
        <v>95</v>
      </c>
      <c r="M36" s="71">
        <f>data!J8</f>
        <v>30</v>
      </c>
      <c r="N36" s="72">
        <v>21418.0</v>
      </c>
      <c r="O36" s="73">
        <v>373.0</v>
      </c>
      <c r="P36" s="74">
        <v>13.0</v>
      </c>
      <c r="Q36" s="75">
        <v>17</v>
      </c>
      <c r="R36" s="76">
        <v>48</v>
      </c>
      <c r="S36" s="76">
        <v>43</v>
      </c>
      <c r="T36" s="77">
        <f>+((Q36)+(R36/60)+(S36/3600))</f>
        <v>17.811944444444</v>
      </c>
      <c r="U36" s="78">
        <f>IFERROR(T36/$AA36,0)</f>
        <v>0.67945620615848</v>
      </c>
      <c r="V36" s="75">
        <v>8</v>
      </c>
      <c r="W36" s="76">
        <v>24</v>
      </c>
      <c r="X36" s="76">
        <v>11</v>
      </c>
      <c r="Y36" s="77">
        <f>+((V36)+(W36/60)+(X36/3600))</f>
        <v>8.4030555555556</v>
      </c>
      <c r="Z36" s="78">
        <f>+IFERROR(Y36/$AA36,0)</f>
        <v>0.32054379384152</v>
      </c>
      <c r="AA36" s="79">
        <f>+Y36+T36</f>
        <v>26.215</v>
      </c>
      <c r="AB36" s="80"/>
      <c r="AC36" s="81">
        <f>+IFERROR((AA36/P36),0)</f>
        <v>2.0165384615385</v>
      </c>
      <c r="AD36" s="82">
        <f>+IFERROR($O36/$P36,0)</f>
        <v>28.692307692308</v>
      </c>
      <c r="AE36" s="76">
        <f>+IFERROR(O36/T36,0)</f>
        <v>20.941004007922</v>
      </c>
      <c r="AF36" s="83">
        <f>+IFERROR(AA36/(P36*$AE$8),0)</f>
        <v>0.25206730769231</v>
      </c>
      <c r="AG36" s="84">
        <f>+P36/$C$8</f>
        <v>0.43333333333333</v>
      </c>
      <c r="AH36" s="85">
        <f>+Y36*($AI$8*$AH$8)</f>
        <v>29.410694444444</v>
      </c>
      <c r="AI36"/>
    </row>
    <row r="37" spans="1:40">
      <c r="B37" s="70" t="s">
        <v>91</v>
      </c>
      <c r="C37" s="70" t="s">
        <v>99</v>
      </c>
      <c r="D37" s="70" t="s">
        <v>104</v>
      </c>
      <c r="E37" s="70"/>
      <c r="F37" s="70"/>
      <c r="G37" s="70"/>
      <c r="H37" s="70"/>
      <c r="I37" s="70"/>
      <c r="J37" s="70" t="s">
        <v>137</v>
      </c>
      <c r="K37" s="70"/>
      <c r="L37" s="71" t="s">
        <v>95</v>
      </c>
      <c r="M37" s="71">
        <f>data!J8</f>
        <v>30</v>
      </c>
      <c r="N37" s="72">
        <v>117720.0</v>
      </c>
      <c r="O37" s="73">
        <v>512.0</v>
      </c>
      <c r="P37" s="74">
        <v>14.0</v>
      </c>
      <c r="Q37" s="75">
        <v>25</v>
      </c>
      <c r="R37" s="76">
        <v>11</v>
      </c>
      <c r="S37" s="76">
        <v>37</v>
      </c>
      <c r="T37" s="77">
        <f>+((Q37)+(R37/60)+(S37/3600))</f>
        <v>25.193611111111</v>
      </c>
      <c r="U37" s="78">
        <f>IFERROR(T37/$AA37,0)</f>
        <v>0.70589562984006</v>
      </c>
      <c r="V37" s="75">
        <v>10</v>
      </c>
      <c r="W37" s="76">
        <v>29</v>
      </c>
      <c r="X37" s="76">
        <v>48</v>
      </c>
      <c r="Y37" s="77">
        <f>+((V37)+(W37/60)+(X37/3600))</f>
        <v>10.496666666667</v>
      </c>
      <c r="Z37" s="78">
        <f>+IFERROR(Y37/$AA37,0)</f>
        <v>0.29410437015994</v>
      </c>
      <c r="AA37" s="79">
        <f>+Y37+T37</f>
        <v>35.690277777778</v>
      </c>
      <c r="AB37" s="80"/>
      <c r="AC37" s="81">
        <f>+IFERROR((AA37/P37),0)</f>
        <v>2.5493055555556</v>
      </c>
      <c r="AD37" s="82">
        <f>+IFERROR($O37/$P37,0)</f>
        <v>36.571428571429</v>
      </c>
      <c r="AE37" s="76">
        <f>+IFERROR(O37/T37,0)</f>
        <v>20.322612655325</v>
      </c>
      <c r="AF37" s="83">
        <f>+IFERROR(AA37/(P37*$AE$8),0)</f>
        <v>0.31866319444444</v>
      </c>
      <c r="AG37" s="84">
        <f>+P37/$C$8</f>
        <v>0.46666666666667</v>
      </c>
      <c r="AH37" s="85">
        <f>+Y37*($AI$8*$AH$8)</f>
        <v>36.738333333333</v>
      </c>
      <c r="AI37"/>
    </row>
    <row r="38" spans="1:40">
      <c r="B38" s="70" t="s">
        <v>91</v>
      </c>
      <c r="C38" s="70" t="s">
        <v>99</v>
      </c>
      <c r="D38" s="70" t="s">
        <v>104</v>
      </c>
      <c r="E38" s="70"/>
      <c r="F38" s="70"/>
      <c r="G38" s="70"/>
      <c r="H38" s="70"/>
      <c r="I38" s="70"/>
      <c r="J38" s="70" t="s">
        <v>138</v>
      </c>
      <c r="K38" s="70"/>
      <c r="L38" s="71" t="s">
        <v>95</v>
      </c>
      <c r="M38" s="71">
        <f>data!J8</f>
        <v>30</v>
      </c>
      <c r="N38" s="72">
        <v>17532.0</v>
      </c>
      <c r="O38" s="73">
        <v>623.0</v>
      </c>
      <c r="P38" s="74">
        <v>14.0</v>
      </c>
      <c r="Q38" s="75">
        <v>30</v>
      </c>
      <c r="R38" s="76">
        <v>6</v>
      </c>
      <c r="S38" s="76">
        <v>28</v>
      </c>
      <c r="T38" s="77">
        <f>+((Q38)+(R38/60)+(S38/3600))</f>
        <v>30.107777777778</v>
      </c>
      <c r="U38" s="78">
        <f>IFERROR(T38/$AA38,0)</f>
        <v>0.84871738653804</v>
      </c>
      <c r="V38" s="75">
        <v>5</v>
      </c>
      <c r="W38" s="76">
        <v>22</v>
      </c>
      <c r="X38" s="76">
        <v>0</v>
      </c>
      <c r="Y38" s="77">
        <f>+((V38)+(W38/60)+(X38/3600))</f>
        <v>5.3666666666667</v>
      </c>
      <c r="Z38" s="78">
        <f>+IFERROR(Y38/$AA38,0)</f>
        <v>0.15128261346196</v>
      </c>
      <c r="AA38" s="79">
        <f>+Y38+T38</f>
        <v>35.474444444444</v>
      </c>
      <c r="AB38" s="80"/>
      <c r="AC38" s="81">
        <f>+IFERROR((AA38/P38),0)</f>
        <v>2.5338888888889</v>
      </c>
      <c r="AD38" s="82">
        <f>+IFERROR($O38/$P38,0)</f>
        <v>44.5</v>
      </c>
      <c r="AE38" s="76">
        <f>+IFERROR(O38/T38,0)</f>
        <v>20.692327563937</v>
      </c>
      <c r="AF38" s="83">
        <f>+IFERROR(AA38/(P38*$AE$8),0)</f>
        <v>0.31673611111111</v>
      </c>
      <c r="AG38" s="84">
        <f>+P38/$C$8</f>
        <v>0.46666666666667</v>
      </c>
      <c r="AH38" s="85">
        <f>+Y38*($AI$8*$AH$8)</f>
        <v>18.783333333333</v>
      </c>
      <c r="AI38"/>
    </row>
    <row r="39" spans="1:40">
      <c r="B39" s="70" t="s">
        <v>91</v>
      </c>
      <c r="C39" s="70" t="s">
        <v>99</v>
      </c>
      <c r="D39" s="70" t="s">
        <v>104</v>
      </c>
      <c r="E39" s="70"/>
      <c r="F39" s="70"/>
      <c r="G39" s="70"/>
      <c r="H39" s="70"/>
      <c r="I39" s="70"/>
      <c r="J39" s="70" t="s">
        <v>139</v>
      </c>
      <c r="K39" s="70"/>
      <c r="L39" s="71" t="s">
        <v>95</v>
      </c>
      <c r="M39" s="71">
        <f>data!J8</f>
        <v>30</v>
      </c>
      <c r="N39" s="72">
        <v>13136.0</v>
      </c>
      <c r="O39" s="73">
        <v>431.0</v>
      </c>
      <c r="P39" s="74">
        <v>14.0</v>
      </c>
      <c r="Q39" s="75">
        <v>20</v>
      </c>
      <c r="R39" s="76">
        <v>31</v>
      </c>
      <c r="S39" s="76">
        <v>47</v>
      </c>
      <c r="T39" s="77">
        <f>+((Q39)+(R39/60)+(S39/3600))</f>
        <v>20.529722222222</v>
      </c>
      <c r="U39" s="78">
        <f>IFERROR(T39/$AA39,0)</f>
        <v>0.76790482622474</v>
      </c>
      <c r="V39" s="75">
        <v>6</v>
      </c>
      <c r="W39" s="76">
        <v>12</v>
      </c>
      <c r="X39" s="76">
        <v>18</v>
      </c>
      <c r="Y39" s="77">
        <f>+((V39)+(W39/60)+(X39/3600))</f>
        <v>6.205</v>
      </c>
      <c r="Z39" s="78">
        <f>+IFERROR(Y39/$AA39,0)</f>
        <v>0.23209517377526</v>
      </c>
      <c r="AA39" s="79">
        <f>+Y39+T39</f>
        <v>26.734722222222</v>
      </c>
      <c r="AB39" s="80"/>
      <c r="AC39" s="81">
        <f>+IFERROR((AA39/P39),0)</f>
        <v>1.909623015873</v>
      </c>
      <c r="AD39" s="82">
        <f>+IFERROR($O39/$P39,0)</f>
        <v>30.785714285714</v>
      </c>
      <c r="AE39" s="76">
        <f>+IFERROR(O39/T39,0)</f>
        <v>20.993951858417</v>
      </c>
      <c r="AF39" s="83">
        <f>+IFERROR(AA39/(P39*$AE$8),0)</f>
        <v>0.23870287698413</v>
      </c>
      <c r="AG39" s="84">
        <f>+P39/$C$8</f>
        <v>0.46666666666667</v>
      </c>
      <c r="AH39" s="85">
        <f>+Y39*($AI$8*$AH$8)</f>
        <v>21.7175</v>
      </c>
      <c r="AI39"/>
    </row>
    <row r="40" spans="1:40">
      <c r="B40" s="70" t="s">
        <v>91</v>
      </c>
      <c r="C40" s="70" t="s">
        <v>99</v>
      </c>
      <c r="D40" s="70" t="s">
        <v>104</v>
      </c>
      <c r="E40" s="70"/>
      <c r="F40" s="70"/>
      <c r="G40" s="70"/>
      <c r="H40" s="70"/>
      <c r="I40" s="70"/>
      <c r="J40" s="70" t="s">
        <v>140</v>
      </c>
      <c r="K40" s="70"/>
      <c r="L40" s="71" t="s">
        <v>95</v>
      </c>
      <c r="M40" s="71">
        <f>data!J8</f>
        <v>30</v>
      </c>
      <c r="N40" s="72">
        <v>16314.0</v>
      </c>
      <c r="O40" s="73">
        <v>426.0</v>
      </c>
      <c r="P40" s="74">
        <v>10.0</v>
      </c>
      <c r="Q40" s="75">
        <v>26</v>
      </c>
      <c r="R40" s="76">
        <v>31</v>
      </c>
      <c r="S40" s="76">
        <v>6</v>
      </c>
      <c r="T40" s="77">
        <f>+((Q40)+(R40/60)+(S40/3600))</f>
        <v>26.518333333333</v>
      </c>
      <c r="U40" s="78">
        <f>IFERROR(T40/$AA40,0)</f>
        <v>0.72405554839248</v>
      </c>
      <c r="V40" s="75">
        <v>10</v>
      </c>
      <c r="W40" s="76">
        <v>6</v>
      </c>
      <c r="X40" s="76">
        <v>23</v>
      </c>
      <c r="Y40" s="77">
        <f>+((V40)+(W40/60)+(X40/3600))</f>
        <v>10.106388888889</v>
      </c>
      <c r="Z40" s="78">
        <f>+IFERROR(Y40/$AA40,0)</f>
        <v>0.27594445160752</v>
      </c>
      <c r="AA40" s="79">
        <f>+Y40+T40</f>
        <v>36.624722222222</v>
      </c>
      <c r="AB40" s="80"/>
      <c r="AC40" s="81">
        <f>+IFERROR((AA40/P40),0)</f>
        <v>3.6624722222222</v>
      </c>
      <c r="AD40" s="82">
        <f>+IFERROR($O40/$P40,0)</f>
        <v>42.6</v>
      </c>
      <c r="AE40" s="76">
        <f>+IFERROR(O40/T40,0)</f>
        <v>16.064357991327</v>
      </c>
      <c r="AF40" s="83">
        <f>+IFERROR(AA40/(P40*$AE$8),0)</f>
        <v>0.45780902777778</v>
      </c>
      <c r="AG40" s="84">
        <f>+P40/$C$8</f>
        <v>0.33333333333333</v>
      </c>
      <c r="AH40" s="85">
        <f>+Y40*($AI$8*$AH$8)</f>
        <v>35.372361111111</v>
      </c>
      <c r="AI40"/>
    </row>
    <row r="41" spans="1:40">
      <c r="B41" s="70" t="s">
        <v>91</v>
      </c>
      <c r="C41" s="70" t="s">
        <v>99</v>
      </c>
      <c r="D41" s="70" t="s">
        <v>104</v>
      </c>
      <c r="E41" s="70"/>
      <c r="F41" s="70"/>
      <c r="G41" s="70"/>
      <c r="H41" s="70"/>
      <c r="I41" s="70"/>
      <c r="J41" s="70" t="s">
        <v>141</v>
      </c>
      <c r="K41" s="70"/>
      <c r="L41" s="71" t="s">
        <v>95</v>
      </c>
      <c r="M41" s="71">
        <f>data!J8</f>
        <v>30</v>
      </c>
      <c r="N41" s="72">
        <v>24510.0</v>
      </c>
      <c r="O41" s="73">
        <v>727.0</v>
      </c>
      <c r="P41" s="74">
        <v>11.0</v>
      </c>
      <c r="Q41" s="75">
        <v>35</v>
      </c>
      <c r="R41" s="76">
        <v>58</v>
      </c>
      <c r="S41" s="76">
        <v>6</v>
      </c>
      <c r="T41" s="77">
        <f>+((Q41)+(R41/60)+(S41/3600))</f>
        <v>35.968333333333</v>
      </c>
      <c r="U41" s="78">
        <f>IFERROR(T41/$AA41,0)</f>
        <v>0.65706253678933</v>
      </c>
      <c r="V41" s="75">
        <v>18</v>
      </c>
      <c r="W41" s="76">
        <v>46</v>
      </c>
      <c r="X41" s="76">
        <v>22</v>
      </c>
      <c r="Y41" s="77">
        <f>+((V41)+(W41/60)+(X41/3600))</f>
        <v>18.772777777778</v>
      </c>
      <c r="Z41" s="78">
        <f>+IFERROR(Y41/$AA41,0)</f>
        <v>0.34293746321067</v>
      </c>
      <c r="AA41" s="79">
        <f>+Y41+T41</f>
        <v>54.741111111111</v>
      </c>
      <c r="AB41" s="80"/>
      <c r="AC41" s="81">
        <f>+IFERROR((AA41/P41),0)</f>
        <v>4.9764646464646</v>
      </c>
      <c r="AD41" s="82">
        <f>+IFERROR($O41/$P41,0)</f>
        <v>66.090909090909</v>
      </c>
      <c r="AE41" s="76">
        <f>+IFERROR(O41/T41,0)</f>
        <v>20.212223715305</v>
      </c>
      <c r="AF41" s="83">
        <f>+IFERROR(AA41/(P41*$AE$8),0)</f>
        <v>0.62205808080808</v>
      </c>
      <c r="AG41" s="84">
        <f>+P41/$C$8</f>
        <v>0.36666666666667</v>
      </c>
      <c r="AH41" s="85">
        <f>+Y41*($AI$8*$AH$8)</f>
        <v>65.704722222222</v>
      </c>
      <c r="AI41"/>
    </row>
    <row r="42" spans="1:40">
      <c r="B42" s="70" t="s">
        <v>91</v>
      </c>
      <c r="C42" s="70" t="s">
        <v>99</v>
      </c>
      <c r="D42" s="70" t="s">
        <v>104</v>
      </c>
      <c r="E42" s="70"/>
      <c r="F42" s="70"/>
      <c r="G42" s="70"/>
      <c r="H42" s="70"/>
      <c r="I42" s="70"/>
      <c r="J42" s="70" t="s">
        <v>142</v>
      </c>
      <c r="K42" s="70"/>
      <c r="L42" s="71" t="s">
        <v>95</v>
      </c>
      <c r="M42" s="71">
        <f>data!J8</f>
        <v>30</v>
      </c>
      <c r="N42" s="72">
        <v>76569.0</v>
      </c>
      <c r="O42" s="73">
        <v>529.0</v>
      </c>
      <c r="P42" s="74">
        <v>13.0</v>
      </c>
      <c r="Q42" s="75">
        <v>32</v>
      </c>
      <c r="R42" s="76">
        <v>26</v>
      </c>
      <c r="S42" s="76">
        <v>16</v>
      </c>
      <c r="T42" s="77">
        <f>+((Q42)+(R42/60)+(S42/3600))</f>
        <v>32.437777777778</v>
      </c>
      <c r="U42" s="78">
        <f>IFERROR(T42/$AA42,0)</f>
        <v>0.39066493596863</v>
      </c>
      <c r="V42" s="75">
        <v>50</v>
      </c>
      <c r="W42" s="76">
        <v>35</v>
      </c>
      <c r="X42" s="76">
        <v>40</v>
      </c>
      <c r="Y42" s="77">
        <f>+((V42)+(W42/60)+(X42/3600))</f>
        <v>50.594444444444</v>
      </c>
      <c r="Z42" s="78">
        <f>+IFERROR(Y42/$AA42,0)</f>
        <v>0.60933506403137</v>
      </c>
      <c r="AA42" s="79">
        <f>+Y42+T42</f>
        <v>83.032222222222</v>
      </c>
      <c r="AB42" s="80"/>
      <c r="AC42" s="81">
        <f>+IFERROR((AA42/P42),0)</f>
        <v>6.387094017094</v>
      </c>
      <c r="AD42" s="82">
        <f>+IFERROR($O42/$P42,0)</f>
        <v>40.692307692308</v>
      </c>
      <c r="AE42" s="76">
        <f>+IFERROR(O42/T42,0)</f>
        <v>16.308145509351</v>
      </c>
      <c r="AF42" s="83">
        <f>+IFERROR(AA42/(P42*$AE$8),0)</f>
        <v>0.79838675213675</v>
      </c>
      <c r="AG42" s="84">
        <f>+P42/$C$8</f>
        <v>0.43333333333333</v>
      </c>
      <c r="AH42" s="85">
        <f>+Y42*($AI$8*$AH$8)</f>
        <v>177.08055555556</v>
      </c>
      <c r="AI42"/>
    </row>
    <row r="43" spans="1:40">
      <c r="B43" s="70" t="s">
        <v>91</v>
      </c>
      <c r="C43" s="70" t="s">
        <v>99</v>
      </c>
      <c r="D43" s="70" t="s">
        <v>104</v>
      </c>
      <c r="E43" s="70"/>
      <c r="F43" s="70"/>
      <c r="G43" s="70"/>
      <c r="H43" s="70"/>
      <c r="I43" s="70"/>
      <c r="J43" s="70" t="s">
        <v>143</v>
      </c>
      <c r="K43" s="70"/>
      <c r="L43" s="71" t="s">
        <v>95</v>
      </c>
      <c r="M43" s="71">
        <f>data!J8</f>
        <v>30</v>
      </c>
      <c r="N43" s="72">
        <v>14400.0</v>
      </c>
      <c r="O43" s="73">
        <v>460.0</v>
      </c>
      <c r="P43" s="74">
        <v>10.0</v>
      </c>
      <c r="Q43" s="75">
        <v>20</v>
      </c>
      <c r="R43" s="76">
        <v>38</v>
      </c>
      <c r="S43" s="76">
        <v>48</v>
      </c>
      <c r="T43" s="77">
        <f>+((Q43)+(R43/60)+(S43/3600))</f>
        <v>20.646666666667</v>
      </c>
      <c r="U43" s="78">
        <f>IFERROR(T43/$AA43,0)</f>
        <v>0.91389507076023</v>
      </c>
      <c r="V43" s="75">
        <v>1</v>
      </c>
      <c r="W43" s="76">
        <v>56</v>
      </c>
      <c r="X43" s="76">
        <v>43</v>
      </c>
      <c r="Y43" s="77">
        <f>+((V43)+(W43/60)+(X43/3600))</f>
        <v>1.9452777777778</v>
      </c>
      <c r="Z43" s="78">
        <f>+IFERROR(Y43/$AA43,0)</f>
        <v>0.086104929239773</v>
      </c>
      <c r="AA43" s="79">
        <f>+Y43+T43</f>
        <v>22.591944444444</v>
      </c>
      <c r="AB43" s="80"/>
      <c r="AC43" s="81">
        <f>+IFERROR((AA43/P43),0)</f>
        <v>2.2591944444444</v>
      </c>
      <c r="AD43" s="82">
        <f>+IFERROR($O43/$P43,0)</f>
        <v>46</v>
      </c>
      <c r="AE43" s="76">
        <f>+IFERROR(O43/T43,0)</f>
        <v>22.279625443978</v>
      </c>
      <c r="AF43" s="83">
        <f>+IFERROR(AA43/(P43*$AE$8),0)</f>
        <v>0.28239930555556</v>
      </c>
      <c r="AG43" s="84">
        <f>+P43/$C$8</f>
        <v>0.33333333333333</v>
      </c>
      <c r="AH43" s="85">
        <f>+Y43*($AI$8*$AH$8)</f>
        <v>6.8084722222222</v>
      </c>
      <c r="AI43"/>
    </row>
    <row r="44" spans="1:40">
      <c r="B44" s="70" t="s">
        <v>91</v>
      </c>
      <c r="C44" s="70" t="s">
        <v>99</v>
      </c>
      <c r="D44" s="70" t="s">
        <v>104</v>
      </c>
      <c r="E44" s="70"/>
      <c r="F44" s="70"/>
      <c r="G44" s="70"/>
      <c r="H44" s="70"/>
      <c r="I44" s="70"/>
      <c r="J44" s="70" t="s">
        <v>144</v>
      </c>
      <c r="K44" s="70"/>
      <c r="L44" s="71" t="s">
        <v>95</v>
      </c>
      <c r="M44" s="71">
        <f>data!J8</f>
        <v>30</v>
      </c>
      <c r="N44" s="72">
        <v>22609.0</v>
      </c>
      <c r="O44" s="73">
        <v>116.0</v>
      </c>
      <c r="P44" s="74">
        <v>8.0</v>
      </c>
      <c r="Q44" s="75">
        <v>9</v>
      </c>
      <c r="R44" s="76">
        <v>2</v>
      </c>
      <c r="S44" s="76">
        <v>31</v>
      </c>
      <c r="T44" s="77">
        <f>+((Q44)+(R44/60)+(S44/3600))</f>
        <v>9.0419444444444</v>
      </c>
      <c r="U44" s="78">
        <f>IFERROR(T44/$AA44,0)</f>
        <v>0.69996129365216</v>
      </c>
      <c r="V44" s="75">
        <v>3</v>
      </c>
      <c r="W44" s="76">
        <v>52</v>
      </c>
      <c r="X44" s="76">
        <v>33</v>
      </c>
      <c r="Y44" s="77">
        <f>+((V44)+(W44/60)+(X44/3600))</f>
        <v>3.8758333333333</v>
      </c>
      <c r="Z44" s="78">
        <f>+IFERROR(Y44/$AA44,0)</f>
        <v>0.30003870634784</v>
      </c>
      <c r="AA44" s="79">
        <f>+Y44+T44</f>
        <v>12.917777777778</v>
      </c>
      <c r="AB44" s="80"/>
      <c r="AC44" s="81">
        <f>+IFERROR((AA44/P44),0)</f>
        <v>1.6147222222222</v>
      </c>
      <c r="AD44" s="82">
        <f>+IFERROR($O44/$P44,0)</f>
        <v>14.5</v>
      </c>
      <c r="AE44" s="76">
        <f>+IFERROR(O44/T44,0)</f>
        <v>12.829098952413</v>
      </c>
      <c r="AF44" s="83">
        <f>+IFERROR(AA44/(P44*$AE$8),0)</f>
        <v>0.20184027777778</v>
      </c>
      <c r="AG44" s="84">
        <f>+P44/$C$8</f>
        <v>0.26666666666667</v>
      </c>
      <c r="AH44" s="85">
        <f>+Y44*($AI$8*$AH$8)</f>
        <v>13.565416666667</v>
      </c>
      <c r="AI44"/>
    </row>
    <row r="45" spans="1:40">
      <c r="B45" s="70" t="s">
        <v>91</v>
      </c>
      <c r="C45" s="70" t="s">
        <v>99</v>
      </c>
      <c r="D45" s="70" t="s">
        <v>104</v>
      </c>
      <c r="E45" s="70"/>
      <c r="F45" s="70"/>
      <c r="G45" s="70"/>
      <c r="H45" s="70"/>
      <c r="I45" s="70"/>
      <c r="J45" s="70" t="s">
        <v>145</v>
      </c>
      <c r="K45" s="70"/>
      <c r="L45" s="71" t="s">
        <v>95</v>
      </c>
      <c r="M45" s="71">
        <f>data!J8</f>
        <v>30</v>
      </c>
      <c r="N45" s="72">
        <v>13745.0</v>
      </c>
      <c r="O45" s="73">
        <v>467.0</v>
      </c>
      <c r="P45" s="74">
        <v>10.0</v>
      </c>
      <c r="Q45" s="75">
        <v>23</v>
      </c>
      <c r="R45" s="76">
        <v>36</v>
      </c>
      <c r="S45" s="76">
        <v>14</v>
      </c>
      <c r="T45" s="77">
        <f>+((Q45)+(R45/60)+(S45/3600))</f>
        <v>23.603888888889</v>
      </c>
      <c r="U45" s="78">
        <f>IFERROR(T45/$AA45,0)</f>
        <v>0.72098015425211</v>
      </c>
      <c r="V45" s="75">
        <v>9</v>
      </c>
      <c r="W45" s="76">
        <v>8</v>
      </c>
      <c r="X45" s="76">
        <v>5</v>
      </c>
      <c r="Y45" s="77">
        <f>+((V45)+(W45/60)+(X45/3600))</f>
        <v>9.1347222222222</v>
      </c>
      <c r="Z45" s="78">
        <f>+IFERROR(Y45/$AA45,0)</f>
        <v>0.27901984574789</v>
      </c>
      <c r="AA45" s="79">
        <f>+Y45+T45</f>
        <v>32.738611111111</v>
      </c>
      <c r="AB45" s="80"/>
      <c r="AC45" s="81">
        <f>+IFERROR((AA45/P45),0)</f>
        <v>3.2738611111111</v>
      </c>
      <c r="AD45" s="82">
        <f>+IFERROR($O45/$P45,0)</f>
        <v>46.7</v>
      </c>
      <c r="AE45" s="76">
        <f>+IFERROR(O45/T45,0)</f>
        <v>19.784875373644</v>
      </c>
      <c r="AF45" s="83">
        <f>+IFERROR(AA45/(P45*$AE$8),0)</f>
        <v>0.40923263888889</v>
      </c>
      <c r="AG45" s="84">
        <f>+P45/$C$8</f>
        <v>0.33333333333333</v>
      </c>
      <c r="AH45" s="85">
        <f>+Y45*($AI$8*$AH$8)</f>
        <v>31.971527777778</v>
      </c>
      <c r="AI45"/>
    </row>
    <row r="46" spans="1:40">
      <c r="B46" s="70" t="s">
        <v>91</v>
      </c>
      <c r="C46" s="70" t="s">
        <v>99</v>
      </c>
      <c r="D46" s="70" t="s">
        <v>104</v>
      </c>
      <c r="E46" s="70"/>
      <c r="F46" s="70"/>
      <c r="G46" s="70"/>
      <c r="H46" s="70"/>
      <c r="I46" s="70"/>
      <c r="J46" s="70" t="s">
        <v>146</v>
      </c>
      <c r="K46" s="70"/>
      <c r="L46" s="71" t="s">
        <v>95</v>
      </c>
      <c r="M46" s="71">
        <f>data!J8</f>
        <v>30</v>
      </c>
      <c r="N46" s="72">
        <v>348313.0</v>
      </c>
      <c r="O46" s="73">
        <v>332.0</v>
      </c>
      <c r="P46" s="74">
        <v>15.0</v>
      </c>
      <c r="Q46" s="75">
        <v>21</v>
      </c>
      <c r="R46" s="76">
        <v>1</v>
      </c>
      <c r="S46" s="76">
        <v>45</v>
      </c>
      <c r="T46" s="77">
        <f>+((Q46)+(R46/60)+(S46/3600))</f>
        <v>21.029166666667</v>
      </c>
      <c r="U46" s="78">
        <f>IFERROR(T46/$AA46,0)</f>
        <v>0.4565355042967</v>
      </c>
      <c r="V46" s="75">
        <v>25</v>
      </c>
      <c r="W46" s="76">
        <v>2</v>
      </c>
      <c r="X46" s="76">
        <v>0</v>
      </c>
      <c r="Y46" s="77">
        <f>+((V46)+(W46/60)+(X46/3600))</f>
        <v>25.033333333333</v>
      </c>
      <c r="Z46" s="78">
        <f>+IFERROR(Y46/$AA46,0)</f>
        <v>0.5434644957033</v>
      </c>
      <c r="AA46" s="79">
        <f>+Y46+T46</f>
        <v>46.0625</v>
      </c>
      <c r="AB46" s="80"/>
      <c r="AC46" s="81">
        <f>+IFERROR((AA46/P46),0)</f>
        <v>3.0708333333333</v>
      </c>
      <c r="AD46" s="82">
        <f>+IFERROR($O46/$P46,0)</f>
        <v>22.133333333333</v>
      </c>
      <c r="AE46" s="76">
        <f>+IFERROR(O46/T46,0)</f>
        <v>15.787596592035</v>
      </c>
      <c r="AF46" s="83">
        <f>+IFERROR(AA46/(P46*$AE$8),0)</f>
        <v>0.38385416666667</v>
      </c>
      <c r="AG46" s="84">
        <f>+P46/$C$8</f>
        <v>0.5</v>
      </c>
      <c r="AH46" s="85">
        <f>+Y46*($AI$8*$AH$8)</f>
        <v>87.616666666667</v>
      </c>
      <c r="AI46"/>
    </row>
    <row r="47" spans="1:40">
      <c r="B47" s="70" t="s">
        <v>91</v>
      </c>
      <c r="C47" s="70" t="s">
        <v>99</v>
      </c>
      <c r="D47" s="70" t="s">
        <v>104</v>
      </c>
      <c r="E47" s="70"/>
      <c r="F47" s="70"/>
      <c r="G47" s="70"/>
      <c r="H47" s="70"/>
      <c r="I47" s="70"/>
      <c r="J47" s="70" t="s">
        <v>147</v>
      </c>
      <c r="K47" s="70"/>
      <c r="L47" s="71" t="s">
        <v>95</v>
      </c>
      <c r="M47" s="71">
        <f>data!J8</f>
        <v>30</v>
      </c>
      <c r="N47" s="72">
        <v>14296.0</v>
      </c>
      <c r="O47" s="73">
        <v>433.0</v>
      </c>
      <c r="P47" s="74">
        <v>11.0</v>
      </c>
      <c r="Q47" s="75">
        <v>18</v>
      </c>
      <c r="R47" s="76">
        <v>56</v>
      </c>
      <c r="S47" s="76">
        <v>28</v>
      </c>
      <c r="T47" s="77">
        <f>+((Q47)+(R47/60)+(S47/3600))</f>
        <v>18.941111111111</v>
      </c>
      <c r="U47" s="78">
        <f>IFERROR(T47/$AA47,0)</f>
        <v>0.75452573806046</v>
      </c>
      <c r="V47" s="75">
        <v>6</v>
      </c>
      <c r="W47" s="76">
        <v>9</v>
      </c>
      <c r="X47" s="76">
        <v>44</v>
      </c>
      <c r="Y47" s="77">
        <f>+((V47)+(W47/60)+(X47/3600))</f>
        <v>6.1622222222222</v>
      </c>
      <c r="Z47" s="78">
        <f>+IFERROR(Y47/$AA47,0)</f>
        <v>0.24547426193954</v>
      </c>
      <c r="AA47" s="79">
        <f>+Y47+T47</f>
        <v>25.103333333333</v>
      </c>
      <c r="AB47" s="80"/>
      <c r="AC47" s="81">
        <f>+IFERROR((AA47/P47),0)</f>
        <v>2.2821212121212</v>
      </c>
      <c r="AD47" s="82">
        <f>+IFERROR($O47/$P47,0)</f>
        <v>39.363636363636</v>
      </c>
      <c r="AE47" s="76">
        <f>+IFERROR(O47/T47,0)</f>
        <v>22.860327330322</v>
      </c>
      <c r="AF47" s="83">
        <f>+IFERROR(AA47/(P47*$AE$8),0)</f>
        <v>0.28526515151515</v>
      </c>
      <c r="AG47" s="84">
        <f>+P47/$C$8</f>
        <v>0.36666666666667</v>
      </c>
      <c r="AH47" s="85">
        <f>+Y47*($AI$8*$AH$8)</f>
        <v>21.567777777778</v>
      </c>
      <c r="AI47"/>
    </row>
    <row r="48" spans="1:40">
      <c r="B48" s="70" t="s">
        <v>91</v>
      </c>
      <c r="C48" s="70" t="s">
        <v>99</v>
      </c>
      <c r="D48" s="70" t="s">
        <v>104</v>
      </c>
      <c r="E48" s="70"/>
      <c r="F48" s="70"/>
      <c r="G48" s="70"/>
      <c r="H48" s="70"/>
      <c r="I48" s="70"/>
      <c r="J48" s="70" t="s">
        <v>148</v>
      </c>
      <c r="K48" s="70"/>
      <c r="L48" s="71" t="s">
        <v>95</v>
      </c>
      <c r="M48" s="71">
        <f>data!J8</f>
        <v>30</v>
      </c>
      <c r="N48" s="72">
        <v>25281.0</v>
      </c>
      <c r="O48" s="73">
        <v>1334.0</v>
      </c>
      <c r="P48" s="74">
        <v>12.0</v>
      </c>
      <c r="Q48" s="75">
        <v>50</v>
      </c>
      <c r="R48" s="76">
        <v>56</v>
      </c>
      <c r="S48" s="76">
        <v>11</v>
      </c>
      <c r="T48" s="77">
        <f>+((Q48)+(R48/60)+(S48/3600))</f>
        <v>50.936388888889</v>
      </c>
      <c r="U48" s="78">
        <f>IFERROR(T48/$AA48,0)</f>
        <v>0.84117838646195</v>
      </c>
      <c r="V48" s="75">
        <v>9</v>
      </c>
      <c r="W48" s="76">
        <v>37</v>
      </c>
      <c r="X48" s="76">
        <v>2</v>
      </c>
      <c r="Y48" s="77">
        <f>+((V48)+(W48/60)+(X48/3600))</f>
        <v>9.6172222222222</v>
      </c>
      <c r="Z48" s="78">
        <f>+IFERROR(Y48/$AA48,0)</f>
        <v>0.15882161353805</v>
      </c>
      <c r="AA48" s="79">
        <f>+Y48+T48</f>
        <v>60.553611111111</v>
      </c>
      <c r="AB48" s="80"/>
      <c r="AC48" s="81">
        <f>+IFERROR((AA48/P48),0)</f>
        <v>5.0461342592593</v>
      </c>
      <c r="AD48" s="82">
        <f>+IFERROR($O48/$P48,0)</f>
        <v>111.16666666667</v>
      </c>
      <c r="AE48" s="76">
        <f>+IFERROR(O48/T48,0)</f>
        <v>26.18952833327</v>
      </c>
      <c r="AF48" s="83">
        <f>+IFERROR(AA48/(P48*$AE$8),0)</f>
        <v>0.63076678240741</v>
      </c>
      <c r="AG48" s="84">
        <f>+P48/$C$8</f>
        <v>0.4</v>
      </c>
      <c r="AH48" s="85">
        <f>+Y48*($AI$8*$AH$8)</f>
        <v>33.660277777778</v>
      </c>
      <c r="AI48"/>
    </row>
    <row r="49" spans="1:40">
      <c r="B49" s="70" t="s">
        <v>91</v>
      </c>
      <c r="C49" s="70" t="s">
        <v>99</v>
      </c>
      <c r="D49" s="70" t="s">
        <v>104</v>
      </c>
      <c r="E49" s="70"/>
      <c r="F49" s="70"/>
      <c r="G49" s="70"/>
      <c r="H49" s="70"/>
      <c r="I49" s="70"/>
      <c r="J49" s="70" t="s">
        <v>149</v>
      </c>
      <c r="K49" s="70"/>
      <c r="L49" s="71" t="s">
        <v>95</v>
      </c>
      <c r="M49" s="71">
        <f>data!J8</f>
        <v>30</v>
      </c>
      <c r="N49" s="72">
        <v>183477.0</v>
      </c>
      <c r="O49" s="73">
        <v>330.0</v>
      </c>
      <c r="P49" s="74">
        <v>10.0</v>
      </c>
      <c r="Q49" s="75">
        <v>17</v>
      </c>
      <c r="R49" s="76">
        <v>19</v>
      </c>
      <c r="S49" s="76">
        <v>23</v>
      </c>
      <c r="T49" s="77">
        <f>+((Q49)+(R49/60)+(S49/3600))</f>
        <v>17.323055555556</v>
      </c>
      <c r="U49" s="78">
        <f>IFERROR(T49/$AA49,0)</f>
        <v>0.48906019636751</v>
      </c>
      <c r="V49" s="75">
        <v>18</v>
      </c>
      <c r="W49" s="76">
        <v>5</v>
      </c>
      <c r="X49" s="76">
        <v>53</v>
      </c>
      <c r="Y49" s="77">
        <f>+((V49)+(W49/60)+(X49/3600))</f>
        <v>18.098055555556</v>
      </c>
      <c r="Z49" s="78">
        <f>+IFERROR(Y49/$AA49,0)</f>
        <v>0.51093980363249</v>
      </c>
      <c r="AA49" s="79">
        <f>+Y49+T49</f>
        <v>35.421111111111</v>
      </c>
      <c r="AB49" s="80"/>
      <c r="AC49" s="81">
        <f>+IFERROR((AA49/P49),0)</f>
        <v>3.5421111111111</v>
      </c>
      <c r="AD49" s="82">
        <f>+IFERROR($O49/$P49,0)</f>
        <v>33</v>
      </c>
      <c r="AE49" s="76">
        <f>+IFERROR(O49/T49,0)</f>
        <v>19.049757067492</v>
      </c>
      <c r="AF49" s="83">
        <f>+IFERROR(AA49/(P49*$AE$8),0)</f>
        <v>0.44276388888889</v>
      </c>
      <c r="AG49" s="84">
        <f>+P49/$C$8</f>
        <v>0.33333333333333</v>
      </c>
      <c r="AH49" s="85">
        <f>+Y49*($AI$8*$AH$8)</f>
        <v>63.343194444444</v>
      </c>
      <c r="AI49"/>
    </row>
    <row r="50" spans="1:40">
      <c r="B50" s="70" t="s">
        <v>91</v>
      </c>
      <c r="C50" s="70" t="s">
        <v>99</v>
      </c>
      <c r="D50" s="70" t="s">
        <v>104</v>
      </c>
      <c r="E50" s="70"/>
      <c r="F50" s="70"/>
      <c r="G50" s="70"/>
      <c r="H50" s="70"/>
      <c r="I50" s="70"/>
      <c r="J50" s="70" t="s">
        <v>150</v>
      </c>
      <c r="K50" s="70"/>
      <c r="L50" s="71" t="s">
        <v>95</v>
      </c>
      <c r="M50" s="71">
        <f>data!J8</f>
        <v>30</v>
      </c>
      <c r="N50" s="72">
        <v>15456.0</v>
      </c>
      <c r="O50" s="73">
        <v>378.0</v>
      </c>
      <c r="P50" s="74">
        <v>14.0</v>
      </c>
      <c r="Q50" s="75">
        <v>17</v>
      </c>
      <c r="R50" s="76">
        <v>45</v>
      </c>
      <c r="S50" s="76">
        <v>3</v>
      </c>
      <c r="T50" s="77">
        <f>+((Q50)+(R50/60)+(S50/3600))</f>
        <v>17.750833333333</v>
      </c>
      <c r="U50" s="78">
        <f>IFERROR(T50/$AA50,0)</f>
        <v>0.84941248404934</v>
      </c>
      <c r="V50" s="75">
        <v>3</v>
      </c>
      <c r="W50" s="76">
        <v>8</v>
      </c>
      <c r="X50" s="76">
        <v>49</v>
      </c>
      <c r="Y50" s="77">
        <f>+((V50)+(W50/60)+(X50/3600))</f>
        <v>3.1469444444444</v>
      </c>
      <c r="Z50" s="78">
        <f>+IFERROR(Y50/$AA50,0)</f>
        <v>0.15058751595066</v>
      </c>
      <c r="AA50" s="79">
        <f>+Y50+T50</f>
        <v>20.897777777778</v>
      </c>
      <c r="AB50" s="80"/>
      <c r="AC50" s="81">
        <f>+IFERROR((AA50/P50),0)</f>
        <v>1.4926984126984</v>
      </c>
      <c r="AD50" s="82">
        <f>+IFERROR($O50/$P50,0)</f>
        <v>27</v>
      </c>
      <c r="AE50" s="76">
        <f>+IFERROR(O50/T50,0)</f>
        <v>21.294774893198</v>
      </c>
      <c r="AF50" s="83">
        <f>+IFERROR(AA50/(P50*$AE$8),0)</f>
        <v>0.1865873015873</v>
      </c>
      <c r="AG50" s="84">
        <f>+P50/$C$8</f>
        <v>0.46666666666667</v>
      </c>
      <c r="AH50" s="85">
        <f>+Y50*($AI$8*$AH$8)</f>
        <v>11.014305555556</v>
      </c>
      <c r="AI50"/>
    </row>
    <row r="51" spans="1:40">
      <c r="B51" s="70" t="s">
        <v>91</v>
      </c>
      <c r="C51" s="70" t="s">
        <v>99</v>
      </c>
      <c r="D51" s="70" t="s">
        <v>103</v>
      </c>
      <c r="E51" s="70"/>
      <c r="F51" s="70"/>
      <c r="G51" s="70"/>
      <c r="H51" s="70"/>
      <c r="I51" s="70"/>
      <c r="J51" s="70" t="s">
        <v>151</v>
      </c>
      <c r="K51" s="70"/>
      <c r="L51" s="71" t="s">
        <v>95</v>
      </c>
      <c r="M51" s="71">
        <f>data!J8</f>
        <v>30</v>
      </c>
      <c r="N51" s="72">
        <v>12945.0</v>
      </c>
      <c r="O51" s="73">
        <v>353.0</v>
      </c>
      <c r="P51" s="74">
        <v>13.0</v>
      </c>
      <c r="Q51" s="75">
        <v>24</v>
      </c>
      <c r="R51" s="76">
        <v>12</v>
      </c>
      <c r="S51" s="76">
        <v>31</v>
      </c>
      <c r="T51" s="77">
        <f>+((Q51)+(R51/60)+(S51/3600))</f>
        <v>24.208611111111</v>
      </c>
      <c r="U51" s="78">
        <f>IFERROR(T51/$AA51,0)</f>
        <v>0.54995267243011</v>
      </c>
      <c r="V51" s="75">
        <v>19</v>
      </c>
      <c r="W51" s="76">
        <v>48</v>
      </c>
      <c r="X51" s="76">
        <v>39</v>
      </c>
      <c r="Y51" s="77">
        <f>+((V51)+(W51/60)+(X51/3600))</f>
        <v>19.810833333333</v>
      </c>
      <c r="Z51" s="78">
        <f>+IFERROR(Y51/$AA51,0)</f>
        <v>0.45004732756989</v>
      </c>
      <c r="AA51" s="79">
        <f>+Y51+T51</f>
        <v>44.019444444444</v>
      </c>
      <c r="AB51" s="80"/>
      <c r="AC51" s="81">
        <f>+IFERROR((AA51/P51),0)</f>
        <v>3.3861111111111</v>
      </c>
      <c r="AD51" s="82">
        <f>+IFERROR($O51/$P51,0)</f>
        <v>27.153846153846</v>
      </c>
      <c r="AE51" s="76">
        <f>+IFERROR(O51/T51,0)</f>
        <v>14.581588277817</v>
      </c>
      <c r="AF51" s="83">
        <f>+IFERROR(AA51/(P51*$AE$8),0)</f>
        <v>0.42326388888889</v>
      </c>
      <c r="AG51" s="84">
        <f>+P51/$C$8</f>
        <v>0.43333333333333</v>
      </c>
      <c r="AH51" s="85">
        <f>+Y51*($AI$8*$AH$8)</f>
        <v>69.337916666667</v>
      </c>
      <c r="AI51"/>
    </row>
    <row r="52" spans="1:40">
      <c r="B52" s="70" t="s">
        <v>91</v>
      </c>
      <c r="C52" s="70" t="s">
        <v>99</v>
      </c>
      <c r="D52" s="70" t="s">
        <v>103</v>
      </c>
      <c r="E52" s="70"/>
      <c r="F52" s="70"/>
      <c r="G52" s="70"/>
      <c r="H52" s="70"/>
      <c r="I52" s="70"/>
      <c r="J52" s="70" t="s">
        <v>152</v>
      </c>
      <c r="K52" s="70"/>
      <c r="L52" s="71" t="s">
        <v>95</v>
      </c>
      <c r="M52" s="71">
        <f>data!J8</f>
        <v>30</v>
      </c>
      <c r="N52" s="72">
        <v>14982.0</v>
      </c>
      <c r="O52" s="73">
        <v>2.0</v>
      </c>
      <c r="P52" s="74">
        <v>6.0</v>
      </c>
      <c r="Q52" s="75">
        <v>0</v>
      </c>
      <c r="R52" s="76">
        <v>55</v>
      </c>
      <c r="S52" s="76">
        <v>24</v>
      </c>
      <c r="T52" s="77">
        <f>+((Q52)+(R52/60)+(S52/3600))</f>
        <v>0.92333333333333</v>
      </c>
      <c r="U52" s="78">
        <f>IFERROR(T52/$AA52,0)</f>
        <v>0.29549293270513</v>
      </c>
      <c r="V52" s="75">
        <v>2</v>
      </c>
      <c r="W52" s="76">
        <v>12</v>
      </c>
      <c r="X52" s="76">
        <v>5</v>
      </c>
      <c r="Y52" s="77">
        <f>+((V52)+(W52/60)+(X52/3600))</f>
        <v>2.2013888888889</v>
      </c>
      <c r="Z52" s="78">
        <f>+IFERROR(Y52/$AA52,0)</f>
        <v>0.70450706729487</v>
      </c>
      <c r="AA52" s="79">
        <f>+Y52+T52</f>
        <v>3.1247222222222</v>
      </c>
      <c r="AB52" s="80"/>
      <c r="AC52" s="81">
        <f>+IFERROR((AA52/P52),0)</f>
        <v>0.52078703703704</v>
      </c>
      <c r="AD52" s="82">
        <f>+IFERROR($O52/$P52,0)</f>
        <v>0.33333333333333</v>
      </c>
      <c r="AE52" s="76">
        <f>+IFERROR(O52/T52,0)</f>
        <v>2.1660649819495</v>
      </c>
      <c r="AF52" s="83">
        <f>+IFERROR(AA52/(P52*$AE$8),0)</f>
        <v>0.06509837962963</v>
      </c>
      <c r="AG52" s="84">
        <f>+P52/$C$8</f>
        <v>0.2</v>
      </c>
      <c r="AH52" s="85">
        <f>+Y52*($AI$8*$AH$8)</f>
        <v>7.7048611111111</v>
      </c>
      <c r="AI52"/>
    </row>
    <row r="53" spans="1:40">
      <c r="B53" s="70" t="s">
        <v>91</v>
      </c>
      <c r="C53" s="70" t="s">
        <v>99</v>
      </c>
      <c r="D53" s="70" t="s">
        <v>103</v>
      </c>
      <c r="E53" s="70"/>
      <c r="F53" s="70"/>
      <c r="G53" s="70"/>
      <c r="H53" s="70"/>
      <c r="I53" s="70"/>
      <c r="J53" s="70" t="s">
        <v>153</v>
      </c>
      <c r="K53" s="70"/>
      <c r="L53" s="71" t="s">
        <v>95</v>
      </c>
      <c r="M53" s="71">
        <f>data!J8</f>
        <v>30</v>
      </c>
      <c r="N53" s="72">
        <v>15508.0</v>
      </c>
      <c r="O53" s="73">
        <v>411.0</v>
      </c>
      <c r="P53" s="74">
        <v>11.0</v>
      </c>
      <c r="Q53" s="75">
        <v>33</v>
      </c>
      <c r="R53" s="76">
        <v>0</v>
      </c>
      <c r="S53" s="76">
        <v>25</v>
      </c>
      <c r="T53" s="77">
        <f>+((Q53)+(R53/60)+(S53/3600))</f>
        <v>33.006944444444</v>
      </c>
      <c r="U53" s="78">
        <f>IFERROR(T53/$AA53,0)</f>
        <v>0.61377183648591</v>
      </c>
      <c r="V53" s="75">
        <v>20</v>
      </c>
      <c r="W53" s="76">
        <v>46</v>
      </c>
      <c r="X53" s="76">
        <v>13</v>
      </c>
      <c r="Y53" s="77">
        <f>+((V53)+(W53/60)+(X53/3600))</f>
        <v>20.770277777778</v>
      </c>
      <c r="Z53" s="78">
        <f>+IFERROR(Y53/$AA53,0)</f>
        <v>0.38622816351409</v>
      </c>
      <c r="AA53" s="79">
        <f>+Y53+T53</f>
        <v>53.777222222222</v>
      </c>
      <c r="AB53" s="80"/>
      <c r="AC53" s="81">
        <f>+IFERROR((AA53/P53),0)</f>
        <v>4.8888383838384</v>
      </c>
      <c r="AD53" s="82">
        <f>+IFERROR($O53/$P53,0)</f>
        <v>37.363636363636</v>
      </c>
      <c r="AE53" s="76">
        <f>+IFERROR(O53/T53,0)</f>
        <v>12.451925099937</v>
      </c>
      <c r="AF53" s="83">
        <f>+IFERROR(AA53/(P53*$AE$8),0)</f>
        <v>0.6111047979798</v>
      </c>
      <c r="AG53" s="84">
        <f>+P53/$C$8</f>
        <v>0.36666666666667</v>
      </c>
      <c r="AH53" s="85">
        <f>+Y53*($AI$8*$AH$8)</f>
        <v>72.695972222222</v>
      </c>
      <c r="AI53"/>
    </row>
    <row r="54" spans="1:40">
      <c r="B54" s="70" t="s">
        <v>91</v>
      </c>
      <c r="C54" s="70" t="s">
        <v>99</v>
      </c>
      <c r="D54" s="70" t="s">
        <v>103</v>
      </c>
      <c r="E54" s="70"/>
      <c r="F54" s="70"/>
      <c r="G54" s="70"/>
      <c r="H54" s="70"/>
      <c r="I54" s="70"/>
      <c r="J54" s="70" t="s">
        <v>154</v>
      </c>
      <c r="K54" s="70"/>
      <c r="L54" s="71" t="s">
        <v>95</v>
      </c>
      <c r="M54" s="71">
        <f>data!J8</f>
        <v>30</v>
      </c>
      <c r="N54" s="72">
        <v>27075.0</v>
      </c>
      <c r="O54" s="73">
        <v>753.0</v>
      </c>
      <c r="P54" s="74">
        <v>14.0</v>
      </c>
      <c r="Q54" s="75">
        <v>43</v>
      </c>
      <c r="R54" s="76">
        <v>33</v>
      </c>
      <c r="S54" s="76">
        <v>59</v>
      </c>
      <c r="T54" s="77">
        <f>+((Q54)+(R54/60)+(S54/3600))</f>
        <v>43.566388888889</v>
      </c>
      <c r="U54" s="78">
        <f>IFERROR(T54/$AA54,0)</f>
        <v>0.79616130440521</v>
      </c>
      <c r="V54" s="75">
        <v>11</v>
      </c>
      <c r="W54" s="76">
        <v>9</v>
      </c>
      <c r="X54" s="76">
        <v>15</v>
      </c>
      <c r="Y54" s="77">
        <f>+((V54)+(W54/60)+(X54/3600))</f>
        <v>11.154166666667</v>
      </c>
      <c r="Z54" s="78">
        <f>+IFERROR(Y54/$AA54,0)</f>
        <v>0.20383869559479</v>
      </c>
      <c r="AA54" s="79">
        <f>+Y54+T54</f>
        <v>54.720555555556</v>
      </c>
      <c r="AB54" s="80"/>
      <c r="AC54" s="81">
        <f>+IFERROR((AA54/P54),0)</f>
        <v>3.9086111111111</v>
      </c>
      <c r="AD54" s="82">
        <f>+IFERROR($O54/$P54,0)</f>
        <v>53.785714285714</v>
      </c>
      <c r="AE54" s="76">
        <f>+IFERROR(O54/T54,0)</f>
        <v>17.283966360408</v>
      </c>
      <c r="AF54" s="83">
        <f>+IFERROR(AA54/(P54*$AE$8),0)</f>
        <v>0.48857638888889</v>
      </c>
      <c r="AG54" s="84">
        <f>+P54/$C$8</f>
        <v>0.46666666666667</v>
      </c>
      <c r="AH54" s="85">
        <f>+Y54*($AI$8*$AH$8)</f>
        <v>39.039583333333</v>
      </c>
      <c r="AI54"/>
    </row>
    <row r="55" spans="1:40">
      <c r="B55" s="70" t="s">
        <v>91</v>
      </c>
      <c r="C55" s="70" t="s">
        <v>92</v>
      </c>
      <c r="D55" s="70" t="s">
        <v>105</v>
      </c>
      <c r="E55" s="70"/>
      <c r="F55" s="70"/>
      <c r="G55" s="70"/>
      <c r="H55" s="70"/>
      <c r="I55" s="70"/>
      <c r="J55" s="70" t="s">
        <v>155</v>
      </c>
      <c r="K55" s="70"/>
      <c r="L55" s="71" t="s">
        <v>95</v>
      </c>
      <c r="M55" s="71">
        <f>data!J8</f>
        <v>30</v>
      </c>
      <c r="N55" s="72">
        <v>10463.0</v>
      </c>
      <c r="O55" s="73">
        <v>339.0</v>
      </c>
      <c r="P55" s="74">
        <v>11.0</v>
      </c>
      <c r="Q55" s="75">
        <v>28</v>
      </c>
      <c r="R55" s="76">
        <v>52</v>
      </c>
      <c r="S55" s="76">
        <v>17</v>
      </c>
      <c r="T55" s="77">
        <f>+((Q55)+(R55/60)+(S55/3600))</f>
        <v>28.871388888889</v>
      </c>
      <c r="U55" s="78">
        <f>IFERROR(T55/$AA55,0)</f>
        <v>0.62282851647002</v>
      </c>
      <c r="V55" s="75">
        <v>17</v>
      </c>
      <c r="W55" s="76">
        <v>29</v>
      </c>
      <c r="X55" s="76">
        <v>2</v>
      </c>
      <c r="Y55" s="77">
        <f>+((V55)+(W55/60)+(X55/3600))</f>
        <v>17.483888888889</v>
      </c>
      <c r="Z55" s="78">
        <f>+IFERROR(Y55/$AA55,0)</f>
        <v>0.37717148352998</v>
      </c>
      <c r="AA55" s="79">
        <f>+Y55+T55</f>
        <v>46.355277777778</v>
      </c>
      <c r="AB55" s="80"/>
      <c r="AC55" s="81">
        <f>+IFERROR((AA55/P55),0)</f>
        <v>4.2141161616162</v>
      </c>
      <c r="AD55" s="82">
        <f>+IFERROR($O55/$P55,0)</f>
        <v>30.818181818182</v>
      </c>
      <c r="AE55" s="76">
        <f>+IFERROR(O55/T55,0)</f>
        <v>11.741728162252</v>
      </c>
      <c r="AF55" s="83">
        <f>+IFERROR(AA55/(P55*$AE$8),0)</f>
        <v>0.52676452020202</v>
      </c>
      <c r="AG55" s="84">
        <f>+P55/$C$8</f>
        <v>0.36666666666667</v>
      </c>
      <c r="AH55" s="85">
        <f>+Y55*($AI$8*$AH$8)</f>
        <v>61.193611111111</v>
      </c>
      <c r="AI55"/>
    </row>
    <row r="56" spans="1:40">
      <c r="B56" s="70" t="s">
        <v>91</v>
      </c>
      <c r="C56" s="70" t="s">
        <v>99</v>
      </c>
      <c r="D56" s="70" t="s">
        <v>103</v>
      </c>
      <c r="E56" s="70"/>
      <c r="F56" s="70"/>
      <c r="G56" s="70"/>
      <c r="H56" s="70"/>
      <c r="I56" s="70"/>
      <c r="J56" s="70" t="s">
        <v>156</v>
      </c>
      <c r="K56" s="70"/>
      <c r="L56" s="71" t="s">
        <v>95</v>
      </c>
      <c r="M56" s="71">
        <f>data!J8</f>
        <v>30</v>
      </c>
      <c r="N56" s="72">
        <v>12156.0</v>
      </c>
      <c r="O56" s="73">
        <v>493.0</v>
      </c>
      <c r="P56" s="74">
        <v>14.0</v>
      </c>
      <c r="Q56" s="75">
        <v>31</v>
      </c>
      <c r="R56" s="76">
        <v>10</v>
      </c>
      <c r="S56" s="76">
        <v>13</v>
      </c>
      <c r="T56" s="77">
        <f>+((Q56)+(R56/60)+(S56/3600))</f>
        <v>31.170277777778</v>
      </c>
      <c r="U56" s="78">
        <f>IFERROR(T56/$AA56,0)</f>
        <v>0.5739531172478</v>
      </c>
      <c r="V56" s="75">
        <v>23</v>
      </c>
      <c r="W56" s="76">
        <v>8</v>
      </c>
      <c r="X56" s="76">
        <v>16</v>
      </c>
      <c r="Y56" s="77">
        <f>+((V56)+(W56/60)+(X56/3600))</f>
        <v>23.137777777778</v>
      </c>
      <c r="Z56" s="78">
        <f>+IFERROR(Y56/$AA56,0)</f>
        <v>0.4260468827522</v>
      </c>
      <c r="AA56" s="79">
        <f>+Y56+T56</f>
        <v>54.308055555556</v>
      </c>
      <c r="AB56" s="80"/>
      <c r="AC56" s="81">
        <f>+IFERROR((AA56/P56),0)</f>
        <v>3.8791468253968</v>
      </c>
      <c r="AD56" s="82">
        <f>+IFERROR($O56/$P56,0)</f>
        <v>35.214285714286</v>
      </c>
      <c r="AE56" s="76">
        <f>+IFERROR(O56/T56,0)</f>
        <v>15.816349264345</v>
      </c>
      <c r="AF56" s="83">
        <f>+IFERROR(AA56/(P56*$AE$8),0)</f>
        <v>0.4848933531746</v>
      </c>
      <c r="AG56" s="84">
        <f>+P56/$C$8</f>
        <v>0.46666666666667</v>
      </c>
      <c r="AH56" s="85">
        <f>+Y56*($AI$8*$AH$8)</f>
        <v>80.982222222222</v>
      </c>
      <c r="AI56"/>
    </row>
    <row r="57" spans="1:40">
      <c r="B57" s="70" t="s">
        <v>91</v>
      </c>
      <c r="C57" s="70" t="s">
        <v>99</v>
      </c>
      <c r="D57" s="70" t="s">
        <v>103</v>
      </c>
      <c r="E57" s="70"/>
      <c r="F57" s="70"/>
      <c r="G57" s="70"/>
      <c r="H57" s="70"/>
      <c r="I57" s="70"/>
      <c r="J57" s="70" t="s">
        <v>157</v>
      </c>
      <c r="K57" s="70"/>
      <c r="L57" s="71" t="s">
        <v>95</v>
      </c>
      <c r="M57" s="71">
        <f>data!J8</f>
        <v>30</v>
      </c>
      <c r="N57" s="72">
        <v>9200.0</v>
      </c>
      <c r="O57" s="73">
        <v>259.0</v>
      </c>
      <c r="P57" s="74">
        <v>14.0</v>
      </c>
      <c r="Q57" s="75">
        <v>19</v>
      </c>
      <c r="R57" s="76">
        <v>17</v>
      </c>
      <c r="S57" s="76">
        <v>11</v>
      </c>
      <c r="T57" s="77">
        <f>+((Q57)+(R57/60)+(S57/3600))</f>
        <v>19.286388888889</v>
      </c>
      <c r="U57" s="78">
        <f>IFERROR(T57/$AA57,0)</f>
        <v>0.79697651461236</v>
      </c>
      <c r="V57" s="75">
        <v>4</v>
      </c>
      <c r="W57" s="76">
        <v>54</v>
      </c>
      <c r="X57" s="76">
        <v>47</v>
      </c>
      <c r="Y57" s="77">
        <f>+((V57)+(W57/60)+(X57/3600))</f>
        <v>4.9130555555556</v>
      </c>
      <c r="Z57" s="78">
        <f>+IFERROR(Y57/$AA57,0)</f>
        <v>0.20302348538764</v>
      </c>
      <c r="AA57" s="79">
        <f>+Y57+T57</f>
        <v>24.199444444444</v>
      </c>
      <c r="AB57" s="80"/>
      <c r="AC57" s="81">
        <f>+IFERROR((AA57/P57),0)</f>
        <v>1.7285317460317</v>
      </c>
      <c r="AD57" s="82">
        <f>+IFERROR($O57/$P57,0)</f>
        <v>18.5</v>
      </c>
      <c r="AE57" s="76">
        <f>+IFERROR(O57/T57,0)</f>
        <v>13.429159885354</v>
      </c>
      <c r="AF57" s="83">
        <f>+IFERROR(AA57/(P57*$AE$8),0)</f>
        <v>0.21606646825397</v>
      </c>
      <c r="AG57" s="84">
        <f>+P57/$C$8</f>
        <v>0.46666666666667</v>
      </c>
      <c r="AH57" s="85">
        <f>+Y57*($AI$8*$AH$8)</f>
        <v>17.195694444444</v>
      </c>
      <c r="AI57"/>
    </row>
    <row r="58" spans="1:40">
      <c r="B58" s="70" t="s">
        <v>91</v>
      </c>
      <c r="C58" s="70" t="s">
        <v>99</v>
      </c>
      <c r="D58" s="70" t="s">
        <v>103</v>
      </c>
      <c r="E58" s="70"/>
      <c r="F58" s="70"/>
      <c r="G58" s="70"/>
      <c r="H58" s="70"/>
      <c r="I58" s="70"/>
      <c r="J58" s="70" t="s">
        <v>158</v>
      </c>
      <c r="K58" s="70"/>
      <c r="L58" s="71" t="s">
        <v>95</v>
      </c>
      <c r="M58" s="71">
        <f>data!J8</f>
        <v>30</v>
      </c>
      <c r="N58" s="72">
        <v>9581.0</v>
      </c>
      <c r="O58" s="73">
        <v>60.0</v>
      </c>
      <c r="P58" s="74">
        <v>6.0</v>
      </c>
      <c r="Q58" s="75">
        <v>5</v>
      </c>
      <c r="R58" s="76">
        <v>48</v>
      </c>
      <c r="S58" s="76">
        <v>5</v>
      </c>
      <c r="T58" s="77">
        <f>+((Q58)+(R58/60)+(S58/3600))</f>
        <v>5.8013888888889</v>
      </c>
      <c r="U58" s="78">
        <f>IFERROR(T58/$AA58,0)</f>
        <v>0.53088459583122</v>
      </c>
      <c r="V58" s="75">
        <v>5</v>
      </c>
      <c r="W58" s="76">
        <v>7</v>
      </c>
      <c r="X58" s="76">
        <v>35</v>
      </c>
      <c r="Y58" s="77">
        <f>+((V58)+(W58/60)+(X58/3600))</f>
        <v>5.1263888888889</v>
      </c>
      <c r="Z58" s="78">
        <f>+IFERROR(Y58/$AA58,0)</f>
        <v>0.46911540416878</v>
      </c>
      <c r="AA58" s="79">
        <f>+Y58+T58</f>
        <v>10.927777777778</v>
      </c>
      <c r="AB58" s="80"/>
      <c r="AC58" s="81">
        <f>+IFERROR((AA58/P58),0)</f>
        <v>1.8212962962963</v>
      </c>
      <c r="AD58" s="82">
        <f>+IFERROR($O58/$P58,0)</f>
        <v>10</v>
      </c>
      <c r="AE58" s="76">
        <f>+IFERROR(O58/T58,0)</f>
        <v>10.342350969595</v>
      </c>
      <c r="AF58" s="83">
        <f>+IFERROR(AA58/(P58*$AE$8),0)</f>
        <v>0.22766203703704</v>
      </c>
      <c r="AG58" s="84">
        <f>+P58/$C$8</f>
        <v>0.2</v>
      </c>
      <c r="AH58" s="85">
        <f>+Y58*($AI$8*$AH$8)</f>
        <v>17.942361111111</v>
      </c>
      <c r="AI58"/>
    </row>
    <row r="59" spans="1:40">
      <c r="B59" s="70" t="s">
        <v>91</v>
      </c>
      <c r="C59" s="70" t="s">
        <v>99</v>
      </c>
      <c r="D59" s="70" t="s">
        <v>103</v>
      </c>
      <c r="E59" s="70"/>
      <c r="F59" s="70"/>
      <c r="G59" s="70"/>
      <c r="H59" s="70"/>
      <c r="I59" s="70"/>
      <c r="J59" s="70" t="s">
        <v>159</v>
      </c>
      <c r="K59" s="70"/>
      <c r="L59" s="71" t="s">
        <v>95</v>
      </c>
      <c r="M59" s="71">
        <f>data!J8</f>
        <v>30</v>
      </c>
      <c r="N59" s="72">
        <v>10700.0</v>
      </c>
      <c r="O59" s="73">
        <v>506.0</v>
      </c>
      <c r="P59" s="74">
        <v>14.0</v>
      </c>
      <c r="Q59" s="75">
        <v>33</v>
      </c>
      <c r="R59" s="76">
        <v>32</v>
      </c>
      <c r="S59" s="76">
        <v>9</v>
      </c>
      <c r="T59" s="77">
        <f>+((Q59)+(R59/60)+(S59/3600))</f>
        <v>33.535833333333</v>
      </c>
      <c r="U59" s="78">
        <f>IFERROR(T59/$AA59,0)</f>
        <v>0.577021239987</v>
      </c>
      <c r="V59" s="75">
        <v>24</v>
      </c>
      <c r="W59" s="76">
        <v>34</v>
      </c>
      <c r="X59" s="76">
        <v>59</v>
      </c>
      <c r="Y59" s="77">
        <f>+((V59)+(W59/60)+(X59/3600))</f>
        <v>24.583055555556</v>
      </c>
      <c r="Z59" s="78">
        <f>+IFERROR(Y59/$AA59,0)</f>
        <v>0.422978760013</v>
      </c>
      <c r="AA59" s="79">
        <f>+Y59+T59</f>
        <v>58.118888888889</v>
      </c>
      <c r="AB59" s="80"/>
      <c r="AC59" s="81">
        <f>+IFERROR((AA59/P59),0)</f>
        <v>4.1513492063492</v>
      </c>
      <c r="AD59" s="82">
        <f>+IFERROR($O59/$P59,0)</f>
        <v>36.142857142857</v>
      </c>
      <c r="AE59" s="76">
        <f>+IFERROR(O59/T59,0)</f>
        <v>15.088338344557</v>
      </c>
      <c r="AF59" s="83">
        <f>+IFERROR(AA59/(P59*$AE$8),0)</f>
        <v>0.51891865079365</v>
      </c>
      <c r="AG59" s="84">
        <f>+P59/$C$8</f>
        <v>0.46666666666667</v>
      </c>
      <c r="AH59" s="85">
        <f>+Y59*($AI$8*$AH$8)</f>
        <v>86.040694444444</v>
      </c>
      <c r="AI59"/>
    </row>
    <row r="60" spans="1:40">
      <c r="B60" s="70" t="s">
        <v>91</v>
      </c>
      <c r="C60" s="70" t="s">
        <v>100</v>
      </c>
      <c r="D60" s="70" t="s">
        <v>106</v>
      </c>
      <c r="E60" s="70"/>
      <c r="F60" s="70"/>
      <c r="G60" s="70"/>
      <c r="H60" s="70"/>
      <c r="I60" s="70"/>
      <c r="J60" s="70" t="s">
        <v>160</v>
      </c>
      <c r="K60" s="70"/>
      <c r="L60" s="71" t="s">
        <v>95</v>
      </c>
      <c r="M60" s="71">
        <f>data!J8</f>
        <v>30</v>
      </c>
      <c r="N60" s="72">
        <v>29442.0</v>
      </c>
      <c r="O60" s="73">
        <v>421.0</v>
      </c>
      <c r="P60" s="74">
        <v>5.0</v>
      </c>
      <c r="Q60" s="75">
        <v>11</v>
      </c>
      <c r="R60" s="76">
        <v>31</v>
      </c>
      <c r="S60" s="76">
        <v>36</v>
      </c>
      <c r="T60" s="77">
        <f>+((Q60)+(R60/60)+(S60/3600))</f>
        <v>11.526666666667</v>
      </c>
      <c r="U60" s="78">
        <f>IFERROR(T60/$AA60,0)</f>
        <v>0.92051731404867</v>
      </c>
      <c r="V60" s="75">
        <v>0</v>
      </c>
      <c r="W60" s="76">
        <v>59</v>
      </c>
      <c r="X60" s="76">
        <v>43</v>
      </c>
      <c r="Y60" s="77">
        <f>+((V60)+(W60/60)+(X60/3600))</f>
        <v>0.99527777777778</v>
      </c>
      <c r="Z60" s="78">
        <f>+IFERROR(Y60/$AA60,0)</f>
        <v>0.07948268595133</v>
      </c>
      <c r="AA60" s="79">
        <f>+Y60+T60</f>
        <v>12.521944444444</v>
      </c>
      <c r="AB60" s="80"/>
      <c r="AC60" s="81">
        <f>+IFERROR((AA60/P60),0)</f>
        <v>2.5043888888889</v>
      </c>
      <c r="AD60" s="82">
        <f>+IFERROR($O60/$P60,0)</f>
        <v>84.2</v>
      </c>
      <c r="AE60" s="76">
        <f>+IFERROR(O60/T60,0)</f>
        <v>36.524002313476</v>
      </c>
      <c r="AF60" s="83">
        <f>+IFERROR(AA60/(P60*$AE$8),0)</f>
        <v>0.31304861111111</v>
      </c>
      <c r="AG60" s="84">
        <f>+P60/$C$8</f>
        <v>0.16666666666667</v>
      </c>
      <c r="AH60" s="85">
        <f>+Y60*($AI$8*$AH$8)</f>
        <v>3.4834722222222</v>
      </c>
      <c r="AI60"/>
    </row>
    <row r="61" spans="1:40">
      <c r="B61" s="70" t="s">
        <v>91</v>
      </c>
      <c r="C61" s="70" t="s">
        <v>100</v>
      </c>
      <c r="D61" s="70" t="s">
        <v>107</v>
      </c>
      <c r="E61" s="70"/>
      <c r="F61" s="70"/>
      <c r="G61" s="70"/>
      <c r="H61" s="70"/>
      <c r="I61" s="70"/>
      <c r="J61" s="70" t="s">
        <v>161</v>
      </c>
      <c r="K61" s="70"/>
      <c r="L61" s="71" t="s">
        <v>95</v>
      </c>
      <c r="M61" s="71">
        <f>data!J8</f>
        <v>30</v>
      </c>
      <c r="N61" s="72">
        <v>116141.0</v>
      </c>
      <c r="O61" s="73">
        <v>745.0</v>
      </c>
      <c r="P61" s="74">
        <v>8.0</v>
      </c>
      <c r="Q61" s="75">
        <v>18</v>
      </c>
      <c r="R61" s="76">
        <v>33</v>
      </c>
      <c r="S61" s="76">
        <v>6</v>
      </c>
      <c r="T61" s="77">
        <f>+((Q61)+(R61/60)+(S61/3600))</f>
        <v>18.551666666667</v>
      </c>
      <c r="U61" s="78">
        <f>IFERROR(T61/$AA61,0)</f>
        <v>0.92189829385456</v>
      </c>
      <c r="V61" s="75">
        <v>1</v>
      </c>
      <c r="W61" s="76">
        <v>34</v>
      </c>
      <c r="X61" s="76">
        <v>18</v>
      </c>
      <c r="Y61" s="77">
        <f>+((V61)+(W61/60)+(X61/3600))</f>
        <v>1.5716666666667</v>
      </c>
      <c r="Z61" s="78">
        <f>+IFERROR(Y61/$AA61,0)</f>
        <v>0.078101706145436</v>
      </c>
      <c r="AA61" s="79">
        <f>+Y61+T61</f>
        <v>20.123333333333</v>
      </c>
      <c r="AB61" s="80"/>
      <c r="AC61" s="81">
        <f>+IFERROR((AA61/P61),0)</f>
        <v>2.5154166666667</v>
      </c>
      <c r="AD61" s="82">
        <f>+IFERROR($O61/$P61,0)</f>
        <v>93.125</v>
      </c>
      <c r="AE61" s="76">
        <f>+IFERROR(O61/T61,0)</f>
        <v>40.158116970623</v>
      </c>
      <c r="AF61" s="83">
        <f>+IFERROR(AA61/(P61*$AE$8),0)</f>
        <v>0.31442708333333</v>
      </c>
      <c r="AG61" s="84">
        <f>+P61/$C$8</f>
        <v>0.26666666666667</v>
      </c>
      <c r="AH61" s="85">
        <f>+Y61*($AI$8*$AH$8)</f>
        <v>5.5008333333333</v>
      </c>
      <c r="AI61"/>
    </row>
    <row r="62" spans="1:40">
      <c r="B62" s="70" t="s">
        <v>91</v>
      </c>
      <c r="C62" s="70" t="s">
        <v>99</v>
      </c>
      <c r="D62" s="70" t="s">
        <v>103</v>
      </c>
      <c r="E62" s="70"/>
      <c r="F62" s="70"/>
      <c r="G62" s="70"/>
      <c r="H62" s="70"/>
      <c r="I62" s="70"/>
      <c r="J62" s="70" t="s">
        <v>162</v>
      </c>
      <c r="K62" s="70"/>
      <c r="L62" s="71" t="s">
        <v>95</v>
      </c>
      <c r="M62" s="71">
        <f>data!J8</f>
        <v>30</v>
      </c>
      <c r="N62" s="72">
        <v>11661.0</v>
      </c>
      <c r="O62" s="73">
        <v>411.0</v>
      </c>
      <c r="P62" s="74">
        <v>12.0</v>
      </c>
      <c r="Q62" s="75">
        <v>25</v>
      </c>
      <c r="R62" s="76">
        <v>17</v>
      </c>
      <c r="S62" s="76">
        <v>57</v>
      </c>
      <c r="T62" s="77">
        <f>+((Q62)+(R62/60)+(S62/3600))</f>
        <v>25.299166666667</v>
      </c>
      <c r="U62" s="78">
        <f>IFERROR(T62/$AA62,0)</f>
        <v>0.61963465659761</v>
      </c>
      <c r="V62" s="75">
        <v>15</v>
      </c>
      <c r="W62" s="76">
        <v>31</v>
      </c>
      <c r="X62" s="76">
        <v>48</v>
      </c>
      <c r="Y62" s="77">
        <f>+((V62)+(W62/60)+(X62/3600))</f>
        <v>15.53</v>
      </c>
      <c r="Z62" s="78">
        <f>+IFERROR(Y62/$AA62,0)</f>
        <v>0.38036534340239</v>
      </c>
      <c r="AA62" s="79">
        <f>+Y62+T62</f>
        <v>40.829166666667</v>
      </c>
      <c r="AB62" s="80"/>
      <c r="AC62" s="81">
        <f>+IFERROR((AA62/P62),0)</f>
        <v>3.4024305555556</v>
      </c>
      <c r="AD62" s="82">
        <f>+IFERROR($O62/$P62,0)</f>
        <v>34.25</v>
      </c>
      <c r="AE62" s="76">
        <f>+IFERROR(O62/T62,0)</f>
        <v>16.245594387167</v>
      </c>
      <c r="AF62" s="83">
        <f>+IFERROR(AA62/(P62*$AE$8),0)</f>
        <v>0.42530381944444</v>
      </c>
      <c r="AG62" s="84">
        <f>+P62/$C$8</f>
        <v>0.4</v>
      </c>
      <c r="AH62" s="85">
        <f>+Y62*($AI$8*$AH$8)</f>
        <v>54.355</v>
      </c>
      <c r="AI62"/>
    </row>
    <row r="63" spans="1:40">
      <c r="B63" s="70" t="s">
        <v>91</v>
      </c>
      <c r="C63" s="70" t="s">
        <v>99</v>
      </c>
      <c r="D63" s="70" t="s">
        <v>103</v>
      </c>
      <c r="E63" s="70"/>
      <c r="F63" s="70"/>
      <c r="G63" s="70"/>
      <c r="H63" s="70"/>
      <c r="I63" s="70"/>
      <c r="J63" s="70" t="s">
        <v>163</v>
      </c>
      <c r="K63" s="70"/>
      <c r="L63" s="71" t="s">
        <v>95</v>
      </c>
      <c r="M63" s="71">
        <f>data!J8</f>
        <v>30</v>
      </c>
      <c r="N63" s="72">
        <v>251980.0</v>
      </c>
      <c r="O63" s="73">
        <v>226.0</v>
      </c>
      <c r="P63" s="74">
        <v>5.0</v>
      </c>
      <c r="Q63" s="75">
        <v>10</v>
      </c>
      <c r="R63" s="76">
        <v>33</v>
      </c>
      <c r="S63" s="76">
        <v>54</v>
      </c>
      <c r="T63" s="77">
        <f>+((Q63)+(R63/60)+(S63/3600))</f>
        <v>10.565</v>
      </c>
      <c r="U63" s="78">
        <f>IFERROR(T63/$AA63,0)</f>
        <v>0.82223231078539</v>
      </c>
      <c r="V63" s="75">
        <v>2</v>
      </c>
      <c r="W63" s="76">
        <v>17</v>
      </c>
      <c r="X63" s="76">
        <v>3</v>
      </c>
      <c r="Y63" s="77">
        <f>+((V63)+(W63/60)+(X63/3600))</f>
        <v>2.2841666666667</v>
      </c>
      <c r="Z63" s="78">
        <f>+IFERROR(Y63/$AA63,0)</f>
        <v>0.17776768921461</v>
      </c>
      <c r="AA63" s="79">
        <f>+Y63+T63</f>
        <v>12.849166666667</v>
      </c>
      <c r="AB63" s="80"/>
      <c r="AC63" s="81">
        <f>+IFERROR((AA63/P63),0)</f>
        <v>2.5698333333333</v>
      </c>
      <c r="AD63" s="82">
        <f>+IFERROR($O63/$P63,0)</f>
        <v>45.2</v>
      </c>
      <c r="AE63" s="76">
        <f>+IFERROR(O63/T63,0)</f>
        <v>21.391386654046</v>
      </c>
      <c r="AF63" s="83">
        <f>+IFERROR(AA63/(P63*$AE$8),0)</f>
        <v>0.32122916666667</v>
      </c>
      <c r="AG63" s="84">
        <f>+P63/$C$8</f>
        <v>0.16666666666667</v>
      </c>
      <c r="AH63" s="85">
        <f>+Y63*($AI$8*$AH$8)</f>
        <v>7.9945833333333</v>
      </c>
      <c r="AI63"/>
    </row>
    <row r="64" spans="1:40">
      <c r="B64" s="70" t="s">
        <v>91</v>
      </c>
      <c r="C64" s="70" t="s">
        <v>99</v>
      </c>
      <c r="D64" s="70" t="s">
        <v>103</v>
      </c>
      <c r="E64" s="70"/>
      <c r="F64" s="70"/>
      <c r="G64" s="70"/>
      <c r="H64" s="70"/>
      <c r="I64" s="70"/>
      <c r="J64" s="70" t="s">
        <v>164</v>
      </c>
      <c r="K64" s="70"/>
      <c r="L64" s="71" t="s">
        <v>95</v>
      </c>
      <c r="M64" s="71">
        <f>data!J8</f>
        <v>30</v>
      </c>
      <c r="N64" s="72">
        <v>11108.0</v>
      </c>
      <c r="O64" s="73">
        <v>270.0</v>
      </c>
      <c r="P64" s="74">
        <v>7.0</v>
      </c>
      <c r="Q64" s="75">
        <v>23</v>
      </c>
      <c r="R64" s="76">
        <v>15</v>
      </c>
      <c r="S64" s="76">
        <v>53</v>
      </c>
      <c r="T64" s="77">
        <f>+((Q64)+(R64/60)+(S64/3600))</f>
        <v>23.264722222222</v>
      </c>
      <c r="U64" s="78">
        <f>IFERROR(T64/$AA64,0)</f>
        <v>0.78586709704055</v>
      </c>
      <c r="V64" s="75">
        <v>6</v>
      </c>
      <c r="W64" s="76">
        <v>20</v>
      </c>
      <c r="X64" s="76">
        <v>21</v>
      </c>
      <c r="Y64" s="77">
        <f>+((V64)+(W64/60)+(X64/3600))</f>
        <v>6.3391666666667</v>
      </c>
      <c r="Z64" s="78">
        <f>+IFERROR(Y64/$AA64,0)</f>
        <v>0.21413290295945</v>
      </c>
      <c r="AA64" s="79">
        <f>+Y64+T64</f>
        <v>29.603888888889</v>
      </c>
      <c r="AB64" s="80"/>
      <c r="AC64" s="81">
        <f>+IFERROR((AA64/P64),0)</f>
        <v>4.229126984127</v>
      </c>
      <c r="AD64" s="82">
        <f>+IFERROR($O64/$P64,0)</f>
        <v>38.571428571429</v>
      </c>
      <c r="AE64" s="76">
        <f>+IFERROR(O64/T64,0)</f>
        <v>11.605554427901</v>
      </c>
      <c r="AF64" s="83">
        <f>+IFERROR(AA64/(P64*$AE$8),0)</f>
        <v>0.52864087301587</v>
      </c>
      <c r="AG64" s="84">
        <f>+P64/$C$8</f>
        <v>0.23333333333333</v>
      </c>
      <c r="AH64" s="85">
        <f>+Y64*($AI$8*$AH$8)</f>
        <v>22.187083333333</v>
      </c>
      <c r="AI64"/>
    </row>
    <row r="65" spans="1:40">
      <c r="B65" s="70" t="s">
        <v>91</v>
      </c>
      <c r="C65" s="70" t="s">
        <v>99</v>
      </c>
      <c r="D65" s="70" t="s">
        <v>103</v>
      </c>
      <c r="E65" s="70"/>
      <c r="F65" s="70"/>
      <c r="G65" s="70"/>
      <c r="H65" s="70"/>
      <c r="I65" s="70"/>
      <c r="J65" s="70" t="s">
        <v>165</v>
      </c>
      <c r="K65" s="70"/>
      <c r="L65" s="71" t="s">
        <v>95</v>
      </c>
      <c r="M65" s="71">
        <f>data!J8</f>
        <v>30</v>
      </c>
      <c r="N65" s="72">
        <v>13604.0</v>
      </c>
      <c r="O65" s="73">
        <v>663.0</v>
      </c>
      <c r="P65" s="74">
        <v>12.0</v>
      </c>
      <c r="Q65" s="75">
        <v>45</v>
      </c>
      <c r="R65" s="76">
        <v>10</v>
      </c>
      <c r="S65" s="76">
        <v>32</v>
      </c>
      <c r="T65" s="77">
        <f>+((Q65)+(R65/60)+(S65/3600))</f>
        <v>45.175555555556</v>
      </c>
      <c r="U65" s="78">
        <f>IFERROR(T65/$AA65,0)</f>
        <v>0.58771745965206</v>
      </c>
      <c r="V65" s="75">
        <v>31</v>
      </c>
      <c r="W65" s="76">
        <v>41</v>
      </c>
      <c r="X65" s="76">
        <v>26</v>
      </c>
      <c r="Y65" s="77">
        <f>+((V65)+(W65/60)+(X65/3600))</f>
        <v>31.690555555556</v>
      </c>
      <c r="Z65" s="78">
        <f>+IFERROR(Y65/$AA65,0)</f>
        <v>0.41228254034794</v>
      </c>
      <c r="AA65" s="79">
        <f>+Y65+T65</f>
        <v>76.866111111111</v>
      </c>
      <c r="AB65" s="80"/>
      <c r="AC65" s="81">
        <f>+IFERROR((AA65/P65),0)</f>
        <v>6.4055092592593</v>
      </c>
      <c r="AD65" s="82">
        <f>+IFERROR($O65/$P65,0)</f>
        <v>55.25</v>
      </c>
      <c r="AE65" s="76">
        <f>+IFERROR(O65/T65,0)</f>
        <v>14.676078508535</v>
      </c>
      <c r="AF65" s="83">
        <f>+IFERROR(AA65/(P65*$AE$8),0)</f>
        <v>0.80068865740741</v>
      </c>
      <c r="AG65" s="84">
        <f>+P65/$C$8</f>
        <v>0.4</v>
      </c>
      <c r="AH65" s="85">
        <f>+Y65*($AI$8*$AH$8)</f>
        <v>110.91694444444</v>
      </c>
      <c r="AI65"/>
    </row>
    <row r="66" spans="1:40">
      <c r="B66" s="70" t="s">
        <v>91</v>
      </c>
      <c r="C66" s="70" t="s">
        <v>99</v>
      </c>
      <c r="D66" s="70" t="s">
        <v>103</v>
      </c>
      <c r="E66" s="70"/>
      <c r="F66" s="70"/>
      <c r="G66" s="70"/>
      <c r="H66" s="70"/>
      <c r="I66" s="70"/>
      <c r="J66" s="70" t="s">
        <v>166</v>
      </c>
      <c r="K66" s="70"/>
      <c r="L66" s="71" t="s">
        <v>95</v>
      </c>
      <c r="M66" s="71">
        <f>data!J8</f>
        <v>30</v>
      </c>
      <c r="N66" s="72">
        <v>10905.0</v>
      </c>
      <c r="O66" s="73">
        <v>244.0</v>
      </c>
      <c r="P66" s="74">
        <v>7.0</v>
      </c>
      <c r="Q66" s="75">
        <v>13</v>
      </c>
      <c r="R66" s="76">
        <v>11</v>
      </c>
      <c r="S66" s="76">
        <v>19</v>
      </c>
      <c r="T66" s="77">
        <f>+((Q66)+(R66/60)+(S66/3600))</f>
        <v>13.188611111111</v>
      </c>
      <c r="U66" s="78">
        <f>IFERROR(T66/$AA66,0)</f>
        <v>0.96694635656389</v>
      </c>
      <c r="V66" s="75">
        <v>0</v>
      </c>
      <c r="W66" s="76">
        <v>27</v>
      </c>
      <c r="X66" s="76">
        <v>3</v>
      </c>
      <c r="Y66" s="77">
        <f>+((V66)+(W66/60)+(X66/3600))</f>
        <v>0.45083333333333</v>
      </c>
      <c r="Z66" s="78">
        <f>+IFERROR(Y66/$AA66,0)</f>
        <v>0.033053643436113</v>
      </c>
      <c r="AA66" s="79">
        <f>+Y66+T66</f>
        <v>13.639444444444</v>
      </c>
      <c r="AB66" s="80"/>
      <c r="AC66" s="81">
        <f>+IFERROR((AA66/P66),0)</f>
        <v>1.9484920634921</v>
      </c>
      <c r="AD66" s="82">
        <f>+IFERROR($O66/$P66,0)</f>
        <v>34.857142857143</v>
      </c>
      <c r="AE66" s="76">
        <f>+IFERROR(O66/T66,0)</f>
        <v>18.500810884812</v>
      </c>
      <c r="AF66" s="83">
        <f>+IFERROR(AA66/(P66*$AE$8),0)</f>
        <v>0.24356150793651</v>
      </c>
      <c r="AG66" s="84">
        <f>+P66/$C$8</f>
        <v>0.23333333333333</v>
      </c>
      <c r="AH66" s="85">
        <f>+Y66*($AI$8*$AH$8)</f>
        <v>1.5779166666667</v>
      </c>
      <c r="AI66"/>
    </row>
    <row r="67" spans="1:40">
      <c r="B67" s="70" t="s">
        <v>91</v>
      </c>
      <c r="C67" s="70" t="s">
        <v>99</v>
      </c>
      <c r="D67" s="70" t="s">
        <v>103</v>
      </c>
      <c r="E67" s="70"/>
      <c r="F67" s="70"/>
      <c r="G67" s="70"/>
      <c r="H67" s="70"/>
      <c r="I67" s="70"/>
      <c r="J67" s="70" t="s">
        <v>167</v>
      </c>
      <c r="K67" s="70"/>
      <c r="L67" s="71" t="s">
        <v>95</v>
      </c>
      <c r="M67" s="71">
        <f>data!J8</f>
        <v>30</v>
      </c>
      <c r="N67" s="72">
        <v>17528.0</v>
      </c>
      <c r="O67" s="73">
        <v>38.0</v>
      </c>
      <c r="P67" s="74">
        <v>3.0</v>
      </c>
      <c r="Q67" s="75">
        <v>2</v>
      </c>
      <c r="R67" s="76">
        <v>1</v>
      </c>
      <c r="S67" s="76">
        <v>39</v>
      </c>
      <c r="T67" s="77">
        <f>+((Q67)+(R67/60)+(S67/3600))</f>
        <v>2.0275</v>
      </c>
      <c r="U67" s="78">
        <f>IFERROR(T67/$AA67,0)</f>
        <v>0.95837710084034</v>
      </c>
      <c r="V67" s="75">
        <v>0</v>
      </c>
      <c r="W67" s="76">
        <v>5</v>
      </c>
      <c r="X67" s="76">
        <v>17</v>
      </c>
      <c r="Y67" s="77">
        <f>+((V67)+(W67/60)+(X67/3600))</f>
        <v>0.088055555555556</v>
      </c>
      <c r="Z67" s="78">
        <f>+IFERROR(Y67/$AA67,0)</f>
        <v>0.041622899159664</v>
      </c>
      <c r="AA67" s="79">
        <f>+Y67+T67</f>
        <v>2.1155555555556</v>
      </c>
      <c r="AB67" s="80"/>
      <c r="AC67" s="81">
        <f>+IFERROR((AA67/P67),0)</f>
        <v>0.70518518518519</v>
      </c>
      <c r="AD67" s="82">
        <f>+IFERROR($O67/$P67,0)</f>
        <v>12.666666666667</v>
      </c>
      <c r="AE67" s="76">
        <f>+IFERROR(O67/T67,0)</f>
        <v>18.742293464858</v>
      </c>
      <c r="AF67" s="83">
        <f>+IFERROR(AA67/(P67*$AE$8),0)</f>
        <v>0.088148148148148</v>
      </c>
      <c r="AG67" s="84">
        <f>+P67/$C$8</f>
        <v>0.1</v>
      </c>
      <c r="AH67" s="85">
        <f>+Y67*($AI$8*$AH$8)</f>
        <v>0.30819444444444</v>
      </c>
      <c r="AI67"/>
    </row>
    <row r="68" spans="1:40">
      <c r="B68" s="70" t="s">
        <v>91</v>
      </c>
      <c r="C68" s="70" t="s">
        <v>100</v>
      </c>
      <c r="D68" s="70" t="s">
        <v>107</v>
      </c>
      <c r="E68" s="70"/>
      <c r="F68" s="70"/>
      <c r="G68" s="70"/>
      <c r="H68" s="70"/>
      <c r="I68" s="70"/>
      <c r="J68" s="70" t="s">
        <v>168</v>
      </c>
      <c r="K68" s="70"/>
      <c r="L68" s="71" t="s">
        <v>95</v>
      </c>
      <c r="M68" s="71">
        <f>data!J8</f>
        <v>30</v>
      </c>
      <c r="N68" s="72">
        <v>136852.0</v>
      </c>
      <c r="O68" s="73">
        <v>777.0</v>
      </c>
      <c r="P68" s="74">
        <v>7.0</v>
      </c>
      <c r="Q68" s="75">
        <v>28</v>
      </c>
      <c r="R68" s="76">
        <v>47</v>
      </c>
      <c r="S68" s="76">
        <v>22</v>
      </c>
      <c r="T68" s="77">
        <f>+((Q68)+(R68/60)+(S68/3600))</f>
        <v>28.789444444444</v>
      </c>
      <c r="U68" s="78">
        <f>IFERROR(T68/$AA68,0)</f>
        <v>0.86011386081097</v>
      </c>
      <c r="V68" s="75">
        <v>4</v>
      </c>
      <c r="W68" s="76">
        <v>40</v>
      </c>
      <c r="X68" s="76">
        <v>56</v>
      </c>
      <c r="Y68" s="77">
        <f>+((V68)+(W68/60)+(X68/3600))</f>
        <v>4.6822222222222</v>
      </c>
      <c r="Z68" s="78">
        <f>+IFERROR(Y68/$AA68,0)</f>
        <v>0.13988613918903</v>
      </c>
      <c r="AA68" s="79">
        <f>+Y68+T68</f>
        <v>33.471666666667</v>
      </c>
      <c r="AB68" s="80"/>
      <c r="AC68" s="81">
        <f>+IFERROR((AA68/P68),0)</f>
        <v>4.7816666666667</v>
      </c>
      <c r="AD68" s="82">
        <f>+IFERROR($O68/$P68,0)</f>
        <v>111</v>
      </c>
      <c r="AE68" s="76">
        <f>+IFERROR(O68/T68,0)</f>
        <v>26.989058489801</v>
      </c>
      <c r="AF68" s="83">
        <f>+IFERROR(AA68/(P68*$AE$8),0)</f>
        <v>0.59770833333333</v>
      </c>
      <c r="AG68" s="84">
        <f>+P68/$C$8</f>
        <v>0.23333333333333</v>
      </c>
      <c r="AH68" s="85">
        <f>+Y68*($AI$8*$AH$8)</f>
        <v>16.387777777778</v>
      </c>
      <c r="AI68"/>
    </row>
    <row r="69" spans="1:40">
      <c r="B69" s="70" t="s">
        <v>91</v>
      </c>
      <c r="C69" s="70" t="s">
        <v>99</v>
      </c>
      <c r="D69" s="70" t="s">
        <v>103</v>
      </c>
      <c r="E69" s="70"/>
      <c r="F69" s="70"/>
      <c r="G69" s="70"/>
      <c r="H69" s="70"/>
      <c r="I69" s="70"/>
      <c r="J69" s="70" t="s">
        <v>169</v>
      </c>
      <c r="K69" s="70"/>
      <c r="L69" s="71" t="s">
        <v>95</v>
      </c>
      <c r="M69" s="71">
        <f>data!J8</f>
        <v>30</v>
      </c>
      <c r="N69" s="72">
        <v>9103.0</v>
      </c>
      <c r="O69" s="73">
        <v>156.0</v>
      </c>
      <c r="P69" s="74">
        <v>6.0</v>
      </c>
      <c r="Q69" s="75">
        <v>12</v>
      </c>
      <c r="R69" s="76">
        <v>45</v>
      </c>
      <c r="S69" s="76">
        <v>41</v>
      </c>
      <c r="T69" s="77">
        <f>+((Q69)+(R69/60)+(S69/3600))</f>
        <v>12.761388888889</v>
      </c>
      <c r="U69" s="78">
        <f>IFERROR(T69/$AA69,0)</f>
        <v>0.85346188857307</v>
      </c>
      <c r="V69" s="75">
        <v>2</v>
      </c>
      <c r="W69" s="76">
        <v>11</v>
      </c>
      <c r="X69" s="76">
        <v>28</v>
      </c>
      <c r="Y69" s="77">
        <f>+((V69)+(W69/60)+(X69/3600))</f>
        <v>2.1911111111111</v>
      </c>
      <c r="Z69" s="78">
        <f>+IFERROR(Y69/$AA69,0)</f>
        <v>0.14653811142693</v>
      </c>
      <c r="AA69" s="79">
        <f>+Y69+T69</f>
        <v>14.9525</v>
      </c>
      <c r="AB69" s="80"/>
      <c r="AC69" s="81">
        <f>+IFERROR((AA69/P69),0)</f>
        <v>2.4920833333333</v>
      </c>
      <c r="AD69" s="82">
        <f>+IFERROR($O69/$P69,0)</f>
        <v>26</v>
      </c>
      <c r="AE69" s="76">
        <f>+IFERROR(O69/T69,0)</f>
        <v>12.224374741516</v>
      </c>
      <c r="AF69" s="83">
        <f>+IFERROR(AA69/(P69*$AE$8),0)</f>
        <v>0.31151041666667</v>
      </c>
      <c r="AG69" s="84">
        <f>+P69/$C$8</f>
        <v>0.2</v>
      </c>
      <c r="AH69" s="85">
        <f>+Y69*($AI$8*$AH$8)</f>
        <v>7.6688888888889</v>
      </c>
      <c r="AI69"/>
    </row>
    <row r="70" spans="1:40">
      <c r="B70" s="70" t="s">
        <v>91</v>
      </c>
      <c r="C70" s="70" t="s">
        <v>99</v>
      </c>
      <c r="D70" s="70" t="s">
        <v>103</v>
      </c>
      <c r="E70" s="70"/>
      <c r="F70" s="70"/>
      <c r="G70" s="70"/>
      <c r="H70" s="70"/>
      <c r="I70" s="70"/>
      <c r="J70" s="70" t="s">
        <v>170</v>
      </c>
      <c r="K70" s="70"/>
      <c r="L70" s="71" t="s">
        <v>95</v>
      </c>
      <c r="M70" s="71">
        <f>data!J8</f>
        <v>30</v>
      </c>
      <c r="N70" s="72">
        <v>9263.0</v>
      </c>
      <c r="O70" s="73">
        <v>167.0</v>
      </c>
      <c r="P70" s="74">
        <v>7.0</v>
      </c>
      <c r="Q70" s="75">
        <v>12</v>
      </c>
      <c r="R70" s="76">
        <v>54</v>
      </c>
      <c r="S70" s="76">
        <v>49</v>
      </c>
      <c r="T70" s="77">
        <f>+((Q70)+(R70/60)+(S70/3600))</f>
        <v>12.913611111111</v>
      </c>
      <c r="U70" s="78">
        <f>IFERROR(T70/$AA70,0)</f>
        <v>0.74054191821846</v>
      </c>
      <c r="V70" s="75">
        <v>4</v>
      </c>
      <c r="W70" s="76">
        <v>31</v>
      </c>
      <c r="X70" s="76">
        <v>28</v>
      </c>
      <c r="Y70" s="77">
        <f>+((V70)+(W70/60)+(X70/3600))</f>
        <v>4.5244444444444</v>
      </c>
      <c r="Z70" s="78">
        <f>+IFERROR(Y70/$AA70,0)</f>
        <v>0.25945808178154</v>
      </c>
      <c r="AA70" s="79">
        <f>+Y70+T70</f>
        <v>17.438055555556</v>
      </c>
      <c r="AB70" s="80"/>
      <c r="AC70" s="81">
        <f>+IFERROR((AA70/P70),0)</f>
        <v>2.4911507936508</v>
      </c>
      <c r="AD70" s="82">
        <f>+IFERROR($O70/$P70,0)</f>
        <v>23.857142857143</v>
      </c>
      <c r="AE70" s="76">
        <f>+IFERROR(O70/T70,0)</f>
        <v>12.932091462497</v>
      </c>
      <c r="AF70" s="83">
        <f>+IFERROR(AA70/(P70*$AE$8),0)</f>
        <v>0.31139384920635</v>
      </c>
      <c r="AG70" s="84">
        <f>+P70/$C$8</f>
        <v>0.23333333333333</v>
      </c>
      <c r="AH70" s="85">
        <f>+Y70*($AI$8*$AH$8)</f>
        <v>15.835555555556</v>
      </c>
      <c r="AI70"/>
    </row>
    <row r="71" spans="1:40">
      <c r="B71" s="70" t="s">
        <v>91</v>
      </c>
      <c r="C71" s="70" t="s">
        <v>99</v>
      </c>
      <c r="D71" s="70" t="s">
        <v>103</v>
      </c>
      <c r="E71" s="70"/>
      <c r="F71" s="70"/>
      <c r="G71" s="70"/>
      <c r="H71" s="70"/>
      <c r="I71" s="70"/>
      <c r="J71" s="70" t="s">
        <v>171</v>
      </c>
      <c r="K71" s="70"/>
      <c r="L71" s="71" t="s">
        <v>95</v>
      </c>
      <c r="M71" s="71">
        <f>data!J8</f>
        <v>30</v>
      </c>
      <c r="N71" s="72">
        <v>8492.0</v>
      </c>
      <c r="O71" s="73">
        <v>75.0</v>
      </c>
      <c r="P71" s="74">
        <v>7.0</v>
      </c>
      <c r="Q71" s="75">
        <v>7</v>
      </c>
      <c r="R71" s="76">
        <v>42</v>
      </c>
      <c r="S71" s="76">
        <v>9</v>
      </c>
      <c r="T71" s="77">
        <f>+((Q71)+(R71/60)+(S71/3600))</f>
        <v>7.7025</v>
      </c>
      <c r="U71" s="78">
        <f>IFERROR(T71/$AA71,0)</f>
        <v>0.71503352243424</v>
      </c>
      <c r="V71" s="75">
        <v>3</v>
      </c>
      <c r="W71" s="76">
        <v>4</v>
      </c>
      <c r="X71" s="76">
        <v>11</v>
      </c>
      <c r="Y71" s="77">
        <f>+((V71)+(W71/60)+(X71/3600))</f>
        <v>3.0697222222222</v>
      </c>
      <c r="Z71" s="78">
        <f>+IFERROR(Y71/$AA71,0)</f>
        <v>0.28496647756576</v>
      </c>
      <c r="AA71" s="79">
        <f>+Y71+T71</f>
        <v>10.772222222222</v>
      </c>
      <c r="AB71" s="80"/>
      <c r="AC71" s="81">
        <f>+IFERROR((AA71/P71),0)</f>
        <v>1.5388888888889</v>
      </c>
      <c r="AD71" s="82">
        <f>+IFERROR($O71/$P71,0)</f>
        <v>10.714285714286</v>
      </c>
      <c r="AE71" s="76">
        <f>+IFERROR(O71/T71,0)</f>
        <v>9.7370983446933</v>
      </c>
      <c r="AF71" s="83">
        <f>+IFERROR(AA71/(P71*$AE$8),0)</f>
        <v>0.19236111111111</v>
      </c>
      <c r="AG71" s="84">
        <f>+P71/$C$8</f>
        <v>0.23333333333333</v>
      </c>
      <c r="AH71" s="85">
        <f>+Y71*($AI$8*$AH$8)</f>
        <v>10.744027777778</v>
      </c>
      <c r="AI71"/>
    </row>
    <row r="72" spans="1:40">
      <c r="B72" s="70" t="s">
        <v>91</v>
      </c>
      <c r="C72" s="70" t="s">
        <v>99</v>
      </c>
      <c r="D72" s="70" t="s">
        <v>103</v>
      </c>
      <c r="E72" s="70"/>
      <c r="F72" s="70"/>
      <c r="G72" s="70"/>
      <c r="H72" s="70"/>
      <c r="I72" s="70"/>
      <c r="J72" s="70" t="s">
        <v>172</v>
      </c>
      <c r="K72" s="70"/>
      <c r="L72" s="71" t="s">
        <v>95</v>
      </c>
      <c r="M72" s="71">
        <f>data!J8</f>
        <v>30</v>
      </c>
      <c r="N72" s="72">
        <v>8193.0</v>
      </c>
      <c r="O72" s="73">
        <v>115.0</v>
      </c>
      <c r="P72" s="74">
        <v>5.0</v>
      </c>
      <c r="Q72" s="75">
        <v>11</v>
      </c>
      <c r="R72" s="76">
        <v>10</v>
      </c>
      <c r="S72" s="76">
        <v>16</v>
      </c>
      <c r="T72" s="77">
        <f>+((Q72)+(R72/60)+(S72/3600))</f>
        <v>11.171111111111</v>
      </c>
      <c r="U72" s="78">
        <f>IFERROR(T72/$AA72,0)</f>
        <v>0.78870366738576</v>
      </c>
      <c r="V72" s="75">
        <v>2</v>
      </c>
      <c r="W72" s="76">
        <v>59</v>
      </c>
      <c r="X72" s="76">
        <v>34</v>
      </c>
      <c r="Y72" s="77">
        <f>+((V72)+(W72/60)+(X72/3600))</f>
        <v>2.9927777777778</v>
      </c>
      <c r="Z72" s="78">
        <f>+IFERROR(Y72/$AA72,0)</f>
        <v>0.21129633261424</v>
      </c>
      <c r="AA72" s="79">
        <f>+Y72+T72</f>
        <v>14.163888888889</v>
      </c>
      <c r="AB72" s="80"/>
      <c r="AC72" s="81">
        <f>+IFERROR((AA72/P72),0)</f>
        <v>2.8327777777778</v>
      </c>
      <c r="AD72" s="82">
        <f>+IFERROR($O72/$P72,0)</f>
        <v>23</v>
      </c>
      <c r="AE72" s="76">
        <f>+IFERROR(O72/T72,0)</f>
        <v>10.294410185001</v>
      </c>
      <c r="AF72" s="83">
        <f>+IFERROR(AA72/(P72*$AE$8),0)</f>
        <v>0.35409722222222</v>
      </c>
      <c r="AG72" s="84">
        <f>+P72/$C$8</f>
        <v>0.16666666666667</v>
      </c>
      <c r="AH72" s="85">
        <f>+Y72*($AI$8*$AH$8)</f>
        <v>10.474722222222</v>
      </c>
      <c r="AI72"/>
    </row>
    <row r="73" spans="1:40">
      <c r="B73" s="70" t="s">
        <v>91</v>
      </c>
      <c r="C73" s="70" t="s">
        <v>99</v>
      </c>
      <c r="D73" s="70" t="s">
        <v>103</v>
      </c>
      <c r="E73" s="70"/>
      <c r="F73" s="70"/>
      <c r="G73" s="70"/>
      <c r="H73" s="70"/>
      <c r="I73" s="70"/>
      <c r="J73" s="70" t="s">
        <v>173</v>
      </c>
      <c r="K73" s="70"/>
      <c r="L73" s="71" t="s">
        <v>95</v>
      </c>
      <c r="M73" s="71">
        <f>data!J8</f>
        <v>30</v>
      </c>
      <c r="N73" s="72">
        <v>137878.0</v>
      </c>
      <c r="O73" s="73">
        <v>136.0</v>
      </c>
      <c r="P73" s="74">
        <v>8.0</v>
      </c>
      <c r="Q73" s="75">
        <v>10</v>
      </c>
      <c r="R73" s="76">
        <v>59</v>
      </c>
      <c r="S73" s="76">
        <v>16</v>
      </c>
      <c r="T73" s="77">
        <f>+((Q73)+(R73/60)+(S73/3600))</f>
        <v>10.987777777778</v>
      </c>
      <c r="U73" s="78">
        <f>IFERROR(T73/$AA73,0)</f>
        <v>0.56127704859879</v>
      </c>
      <c r="V73" s="75">
        <v>8</v>
      </c>
      <c r="W73" s="76">
        <v>35</v>
      </c>
      <c r="X73" s="76">
        <v>19</v>
      </c>
      <c r="Y73" s="77">
        <f>+((V73)+(W73/60)+(X73/3600))</f>
        <v>8.5886111111111</v>
      </c>
      <c r="Z73" s="78">
        <f>+IFERROR(Y73/$AA73,0)</f>
        <v>0.43872295140121</v>
      </c>
      <c r="AA73" s="79">
        <f>+Y73+T73</f>
        <v>19.576388888889</v>
      </c>
      <c r="AB73" s="80"/>
      <c r="AC73" s="81">
        <f>+IFERROR((AA73/P73),0)</f>
        <v>2.4470486111111</v>
      </c>
      <c r="AD73" s="82">
        <f>+IFERROR($O73/$P73,0)</f>
        <v>17</v>
      </c>
      <c r="AE73" s="76">
        <f>+IFERROR(O73/T73,0)</f>
        <v>12.377389018101</v>
      </c>
      <c r="AF73" s="83">
        <f>+IFERROR(AA73/(P73*$AE$8),0)</f>
        <v>0.30588107638889</v>
      </c>
      <c r="AG73" s="84">
        <f>+P73/$C$8</f>
        <v>0.26666666666667</v>
      </c>
      <c r="AH73" s="85">
        <f>+Y73*($AI$8*$AH$8)</f>
        <v>30.060138888889</v>
      </c>
      <c r="AI73"/>
    </row>
    <row r="74" spans="1:40">
      <c r="B74" s="70" t="s">
        <v>91</v>
      </c>
      <c r="C74" s="70" t="s">
        <v>99</v>
      </c>
      <c r="D74" s="70" t="s">
        <v>103</v>
      </c>
      <c r="E74" s="70"/>
      <c r="F74" s="70"/>
      <c r="G74" s="70"/>
      <c r="H74" s="70"/>
      <c r="I74" s="70"/>
      <c r="J74" s="70" t="s">
        <v>174</v>
      </c>
      <c r="K74" s="70"/>
      <c r="L74" s="71" t="s">
        <v>95</v>
      </c>
      <c r="M74" s="71">
        <f>data!J8</f>
        <v>30</v>
      </c>
      <c r="N74" s="72">
        <v>178617.0</v>
      </c>
      <c r="O74" s="73">
        <v>193.0</v>
      </c>
      <c r="P74" s="74">
        <v>8.0</v>
      </c>
      <c r="Q74" s="75">
        <v>14</v>
      </c>
      <c r="R74" s="76">
        <v>38</v>
      </c>
      <c r="S74" s="76">
        <v>44</v>
      </c>
      <c r="T74" s="77">
        <f>+((Q74)+(R74/60)+(S74/3600))</f>
        <v>14.645555555556</v>
      </c>
      <c r="U74" s="78">
        <f>IFERROR(T74/$AA74,0)</f>
        <v>0.51011542517681</v>
      </c>
      <c r="V74" s="75">
        <v>14</v>
      </c>
      <c r="W74" s="76">
        <v>3</v>
      </c>
      <c r="X74" s="76">
        <v>53</v>
      </c>
      <c r="Y74" s="77">
        <f>+((V74)+(W74/60)+(X74/3600))</f>
        <v>14.064722222222</v>
      </c>
      <c r="Z74" s="78">
        <f>+IFERROR(Y74/$AA74,0)</f>
        <v>0.48988457482319</v>
      </c>
      <c r="AA74" s="79">
        <f>+Y74+T74</f>
        <v>28.710277777778</v>
      </c>
      <c r="AB74" s="80"/>
      <c r="AC74" s="81">
        <f>+IFERROR((AA74/P74),0)</f>
        <v>3.5887847222222</v>
      </c>
      <c r="AD74" s="82">
        <f>+IFERROR($O74/$P74,0)</f>
        <v>24.125</v>
      </c>
      <c r="AE74" s="76">
        <f>+IFERROR(O74/T74,0)</f>
        <v>13.17805932782</v>
      </c>
      <c r="AF74" s="83">
        <f>+IFERROR(AA74/(P74*$AE$8),0)</f>
        <v>0.44859809027778</v>
      </c>
      <c r="AG74" s="84">
        <f>+P74/$C$8</f>
        <v>0.26666666666667</v>
      </c>
      <c r="AH74" s="85">
        <f>+Y74*($AI$8*$AH$8)</f>
        <v>49.226527777778</v>
      </c>
      <c r="AI74"/>
    </row>
    <row r="75" spans="1:40">
      <c r="B75" s="70" t="s">
        <v>91</v>
      </c>
      <c r="C75" s="70" t="s">
        <v>99</v>
      </c>
      <c r="D75" s="70" t="s">
        <v>103</v>
      </c>
      <c r="E75" s="70"/>
      <c r="F75" s="70"/>
      <c r="G75" s="70"/>
      <c r="H75" s="70"/>
      <c r="I75" s="70"/>
      <c r="J75" s="70" t="s">
        <v>175</v>
      </c>
      <c r="K75" s="70"/>
      <c r="L75" s="71" t="s">
        <v>95</v>
      </c>
      <c r="M75" s="71">
        <f>data!J8</f>
        <v>30</v>
      </c>
      <c r="N75" s="72">
        <v>4954.0</v>
      </c>
      <c r="O75" s="73">
        <v>151.0</v>
      </c>
      <c r="P75" s="74">
        <v>8.0</v>
      </c>
      <c r="Q75" s="75">
        <v>15</v>
      </c>
      <c r="R75" s="76">
        <v>42</v>
      </c>
      <c r="S75" s="76">
        <v>42</v>
      </c>
      <c r="T75" s="77">
        <f>+((Q75)+(R75/60)+(S75/3600))</f>
        <v>15.711666666667</v>
      </c>
      <c r="U75" s="78">
        <f>IFERROR(T75/$AA75,0)</f>
        <v>0.38410658988428</v>
      </c>
      <c r="V75" s="75">
        <v>25</v>
      </c>
      <c r="W75" s="76">
        <v>11</v>
      </c>
      <c r="X75" s="76">
        <v>34</v>
      </c>
      <c r="Y75" s="77">
        <f>+((V75)+(W75/60)+(X75/3600))</f>
        <v>25.192777777778</v>
      </c>
      <c r="Z75" s="78">
        <f>+IFERROR(Y75/$AA75,0)</f>
        <v>0.61589341011572</v>
      </c>
      <c r="AA75" s="79">
        <f>+Y75+T75</f>
        <v>40.904444444444</v>
      </c>
      <c r="AB75" s="80"/>
      <c r="AC75" s="81">
        <f>+IFERROR((AA75/P75),0)</f>
        <v>5.1130555555556</v>
      </c>
      <c r="AD75" s="82">
        <f>+IFERROR($O75/$P75,0)</f>
        <v>18.875</v>
      </c>
      <c r="AE75" s="76">
        <f>+IFERROR(O75/T75,0)</f>
        <v>9.6106926912061</v>
      </c>
      <c r="AF75" s="83">
        <f>+IFERROR(AA75/(P75*$AE$8),0)</f>
        <v>0.63913194444444</v>
      </c>
      <c r="AG75" s="84">
        <f>+P75/$C$8</f>
        <v>0.26666666666667</v>
      </c>
      <c r="AH75" s="85">
        <f>+Y75*($AI$8*$AH$8)</f>
        <v>88.174722222222</v>
      </c>
      <c r="AI75"/>
    </row>
    <row r="76" spans="1:40">
      <c r="B76" s="70" t="s">
        <v>91</v>
      </c>
      <c r="C76" s="70" t="s">
        <v>99</v>
      </c>
      <c r="D76" s="70" t="s">
        <v>103</v>
      </c>
      <c r="E76" s="70"/>
      <c r="F76" s="70"/>
      <c r="G76" s="70"/>
      <c r="H76" s="70"/>
      <c r="I76" s="70"/>
      <c r="J76" s="70" t="s">
        <v>176</v>
      </c>
      <c r="K76" s="70"/>
      <c r="L76" s="71" t="s">
        <v>95</v>
      </c>
      <c r="M76" s="71">
        <f>data!J8</f>
        <v>30</v>
      </c>
      <c r="N76" s="72">
        <v>132986.0</v>
      </c>
      <c r="O76" s="73">
        <v>136.0</v>
      </c>
      <c r="P76" s="74">
        <v>7.0</v>
      </c>
      <c r="Q76" s="75">
        <v>12</v>
      </c>
      <c r="R76" s="76">
        <v>44</v>
      </c>
      <c r="S76" s="76">
        <v>40</v>
      </c>
      <c r="T76" s="77">
        <f>+((Q76)+(R76/60)+(S76/3600))</f>
        <v>12.744444444444</v>
      </c>
      <c r="U76" s="78">
        <f>IFERROR(T76/$AA76,0)</f>
        <v>0.49687019428621</v>
      </c>
      <c r="V76" s="75">
        <v>12</v>
      </c>
      <c r="W76" s="76">
        <v>54</v>
      </c>
      <c r="X76" s="76">
        <v>18</v>
      </c>
      <c r="Y76" s="77">
        <f>+((V76)+(W76/60)+(X76/3600))</f>
        <v>12.905</v>
      </c>
      <c r="Z76" s="78">
        <f>+IFERROR(Y76/$AA76,0)</f>
        <v>0.50312980571379</v>
      </c>
      <c r="AA76" s="79">
        <f>+Y76+T76</f>
        <v>25.649444444444</v>
      </c>
      <c r="AB76" s="80"/>
      <c r="AC76" s="81">
        <f>+IFERROR((AA76/P76),0)</f>
        <v>3.6642063492063</v>
      </c>
      <c r="AD76" s="82">
        <f>+IFERROR($O76/$P76,0)</f>
        <v>19.428571428571</v>
      </c>
      <c r="AE76" s="76">
        <f>+IFERROR(O76/T76,0)</f>
        <v>10.671316477768</v>
      </c>
      <c r="AF76" s="83">
        <f>+IFERROR(AA76/(P76*$AE$8),0)</f>
        <v>0.45802579365079</v>
      </c>
      <c r="AG76" s="84">
        <f>+P76/$C$8</f>
        <v>0.23333333333333</v>
      </c>
      <c r="AH76" s="85">
        <f>+Y76*($AI$8*$AH$8)</f>
        <v>45.1675</v>
      </c>
      <c r="AI76"/>
    </row>
    <row r="77" spans="1:40">
      <c r="B77" s="70" t="s">
        <v>91</v>
      </c>
      <c r="C77" s="70" t="s">
        <v>99</v>
      </c>
      <c r="D77" s="70" t="s">
        <v>103</v>
      </c>
      <c r="E77" s="70"/>
      <c r="F77" s="70"/>
      <c r="G77" s="70"/>
      <c r="H77" s="70"/>
      <c r="I77" s="70"/>
      <c r="J77" s="70" t="s">
        <v>177</v>
      </c>
      <c r="K77" s="70"/>
      <c r="L77" s="71" t="s">
        <v>95</v>
      </c>
      <c r="M77" s="71">
        <f>data!J8</f>
        <v>30</v>
      </c>
      <c r="N77" s="72">
        <v>202931.0</v>
      </c>
      <c r="O77" s="73">
        <v>128.0</v>
      </c>
      <c r="P77" s="74">
        <v>7.0</v>
      </c>
      <c r="Q77" s="75">
        <v>12</v>
      </c>
      <c r="R77" s="76">
        <v>2</v>
      </c>
      <c r="S77" s="76">
        <v>57</v>
      </c>
      <c r="T77" s="77">
        <f>+((Q77)+(R77/60)+(S77/3600))</f>
        <v>12.049166666667</v>
      </c>
      <c r="U77" s="78">
        <f>IFERROR(T77/$AA77,0)</f>
        <v>0.4246693361268</v>
      </c>
      <c r="V77" s="75">
        <v>16</v>
      </c>
      <c r="W77" s="76">
        <v>19</v>
      </c>
      <c r="X77" s="76">
        <v>26</v>
      </c>
      <c r="Y77" s="77">
        <f>+((V77)+(W77/60)+(X77/3600))</f>
        <v>16.323888888889</v>
      </c>
      <c r="Z77" s="78">
        <f>+IFERROR(Y77/$AA77,0)</f>
        <v>0.5753306638732</v>
      </c>
      <c r="AA77" s="79">
        <f>+Y77+T77</f>
        <v>28.373055555556</v>
      </c>
      <c r="AB77" s="80"/>
      <c r="AC77" s="81">
        <f>+IFERROR((AA77/P77),0)</f>
        <v>4.0532936507937</v>
      </c>
      <c r="AD77" s="82">
        <f>+IFERROR($O77/$P77,0)</f>
        <v>18.285714285714</v>
      </c>
      <c r="AE77" s="76">
        <f>+IFERROR(O77/T77,0)</f>
        <v>10.623141296079</v>
      </c>
      <c r="AF77" s="83">
        <f>+IFERROR(AA77/(P77*$AE$8),0)</f>
        <v>0.50666170634921</v>
      </c>
      <c r="AG77" s="84">
        <f>+P77/$C$8</f>
        <v>0.23333333333333</v>
      </c>
      <c r="AH77" s="85">
        <f>+Y77*($AI$8*$AH$8)</f>
        <v>57.133611111111</v>
      </c>
      <c r="AI77"/>
    </row>
    <row r="78" spans="1:40">
      <c r="B78" s="70" t="s">
        <v>91</v>
      </c>
      <c r="C78" s="70" t="s">
        <v>99</v>
      </c>
      <c r="D78" s="70" t="s">
        <v>103</v>
      </c>
      <c r="E78" s="70"/>
      <c r="F78" s="70"/>
      <c r="G78" s="70"/>
      <c r="H78" s="70"/>
      <c r="I78" s="70"/>
      <c r="J78" s="70" t="s">
        <v>178</v>
      </c>
      <c r="K78" s="70"/>
      <c r="L78" s="71" t="s">
        <v>95</v>
      </c>
      <c r="M78" s="71">
        <f>data!J8</f>
        <v>30</v>
      </c>
      <c r="N78" s="72">
        <v>112948.0</v>
      </c>
      <c r="O78" s="73">
        <v>96.0</v>
      </c>
      <c r="P78" s="74">
        <v>6.0</v>
      </c>
      <c r="Q78" s="75">
        <v>8</v>
      </c>
      <c r="R78" s="76">
        <v>27</v>
      </c>
      <c r="S78" s="76">
        <v>10</v>
      </c>
      <c r="T78" s="77">
        <f>+((Q78)+(R78/60)+(S78/3600))</f>
        <v>8.4527777777778</v>
      </c>
      <c r="U78" s="78">
        <f>IFERROR(T78/$AA78,0)</f>
        <v>0.28956959471676</v>
      </c>
      <c r="V78" s="75">
        <v>20</v>
      </c>
      <c r="W78" s="76">
        <v>44</v>
      </c>
      <c r="X78" s="76">
        <v>17</v>
      </c>
      <c r="Y78" s="77">
        <f>+((V78)+(W78/60)+(X78/3600))</f>
        <v>20.738055555556</v>
      </c>
      <c r="Z78" s="78">
        <f>+IFERROR(Y78/$AA78,0)</f>
        <v>0.71043040528324</v>
      </c>
      <c r="AA78" s="79">
        <f>+Y78+T78</f>
        <v>29.190833333333</v>
      </c>
      <c r="AB78" s="80"/>
      <c r="AC78" s="81">
        <f>+IFERROR((AA78/P78),0)</f>
        <v>4.8651388888889</v>
      </c>
      <c r="AD78" s="82">
        <f>+IFERROR($O78/$P78,0)</f>
        <v>16</v>
      </c>
      <c r="AE78" s="76">
        <f>+IFERROR(O78/T78,0)</f>
        <v>11.357213276372</v>
      </c>
      <c r="AF78" s="83">
        <f>+IFERROR(AA78/(P78*$AE$8),0)</f>
        <v>0.60814236111111</v>
      </c>
      <c r="AG78" s="84">
        <f>+P78/$C$8</f>
        <v>0.2</v>
      </c>
      <c r="AH78" s="85">
        <f>+Y78*($AI$8*$AH$8)</f>
        <v>72.583194444444</v>
      </c>
      <c r="AI78"/>
    </row>
    <row r="79" spans="1:40">
      <c r="B79" s="70" t="s">
        <v>91</v>
      </c>
      <c r="C79" s="70" t="s">
        <v>99</v>
      </c>
      <c r="D79" s="70" t="s">
        <v>103</v>
      </c>
      <c r="E79" s="70"/>
      <c r="F79" s="70"/>
      <c r="G79" s="70"/>
      <c r="H79" s="70"/>
      <c r="I79" s="70"/>
      <c r="J79" s="70" t="s">
        <v>179</v>
      </c>
      <c r="K79" s="70"/>
      <c r="L79" s="71" t="s">
        <v>95</v>
      </c>
      <c r="M79" s="71">
        <f>data!J8</f>
        <v>30</v>
      </c>
      <c r="N79" s="72">
        <v>8915.0</v>
      </c>
      <c r="O79" s="73">
        <v>145.0</v>
      </c>
      <c r="P79" s="74">
        <v>7.0</v>
      </c>
      <c r="Q79" s="75">
        <v>11</v>
      </c>
      <c r="R79" s="76">
        <v>24</v>
      </c>
      <c r="S79" s="76">
        <v>19</v>
      </c>
      <c r="T79" s="77">
        <f>+((Q79)+(R79/60)+(S79/3600))</f>
        <v>11.405277777778</v>
      </c>
      <c r="U79" s="78">
        <f>IFERROR(T79/$AA79,0)</f>
        <v>0.70442808859608</v>
      </c>
      <c r="V79" s="75">
        <v>4</v>
      </c>
      <c r="W79" s="76">
        <v>47</v>
      </c>
      <c r="X79" s="76">
        <v>8</v>
      </c>
      <c r="Y79" s="77">
        <f>+((V79)+(W79/60)+(X79/3600))</f>
        <v>4.7855555555556</v>
      </c>
      <c r="Z79" s="78">
        <f>+IFERROR(Y79/$AA79,0)</f>
        <v>0.29557191140392</v>
      </c>
      <c r="AA79" s="79">
        <f>+Y79+T79</f>
        <v>16.190833333333</v>
      </c>
      <c r="AB79" s="80"/>
      <c r="AC79" s="81">
        <f>+IFERROR((AA79/P79),0)</f>
        <v>2.3129761904762</v>
      </c>
      <c r="AD79" s="82">
        <f>+IFERROR($O79/$P79,0)</f>
        <v>20.714285714286</v>
      </c>
      <c r="AE79" s="76">
        <f>+IFERROR(O79/T79,0)</f>
        <v>12.713412406537</v>
      </c>
      <c r="AF79" s="83">
        <f>+IFERROR(AA79/(P79*$AE$8),0)</f>
        <v>0.28912202380952</v>
      </c>
      <c r="AG79" s="84">
        <f>+P79/$C$8</f>
        <v>0.23333333333333</v>
      </c>
      <c r="AH79" s="85">
        <f>+Y79*($AI$8*$AH$8)</f>
        <v>16.749444444444</v>
      </c>
      <c r="AI79"/>
    </row>
    <row r="80" spans="1:40">
      <c r="B80" s="70" t="s">
        <v>91</v>
      </c>
      <c r="C80" s="70" t="s">
        <v>99</v>
      </c>
      <c r="D80" s="70" t="s">
        <v>103</v>
      </c>
      <c r="E80" s="70"/>
      <c r="F80" s="70"/>
      <c r="G80" s="70"/>
      <c r="H80" s="70"/>
      <c r="I80" s="70"/>
      <c r="J80" s="70" t="s">
        <v>180</v>
      </c>
      <c r="K80" s="70"/>
      <c r="L80" s="71" t="s">
        <v>95</v>
      </c>
      <c r="M80" s="71">
        <f>data!J8</f>
        <v>30</v>
      </c>
      <c r="N80" s="72">
        <v>8258.0</v>
      </c>
      <c r="O80" s="73">
        <v>138.0</v>
      </c>
      <c r="P80" s="74">
        <v>6.0</v>
      </c>
      <c r="Q80" s="75">
        <v>11</v>
      </c>
      <c r="R80" s="76">
        <v>5</v>
      </c>
      <c r="S80" s="76">
        <v>35</v>
      </c>
      <c r="T80" s="77">
        <f>+((Q80)+(R80/60)+(S80/3600))</f>
        <v>11.093055555556</v>
      </c>
      <c r="U80" s="78">
        <f>IFERROR(T80/$AA80,0)</f>
        <v>0.76427696547501</v>
      </c>
      <c r="V80" s="75">
        <v>3</v>
      </c>
      <c r="W80" s="76">
        <v>25</v>
      </c>
      <c r="X80" s="76">
        <v>17</v>
      </c>
      <c r="Y80" s="77">
        <f>+((V80)+(W80/60)+(X80/3600))</f>
        <v>3.4213888888889</v>
      </c>
      <c r="Z80" s="78">
        <f>+IFERROR(Y80/$AA80,0)</f>
        <v>0.23572303452499</v>
      </c>
      <c r="AA80" s="79">
        <f>+Y80+T80</f>
        <v>14.514444444444</v>
      </c>
      <c r="AB80" s="80"/>
      <c r="AC80" s="81">
        <f>+IFERROR((AA80/P80),0)</f>
        <v>2.4190740740741</v>
      </c>
      <c r="AD80" s="82">
        <f>+IFERROR($O80/$P80,0)</f>
        <v>23</v>
      </c>
      <c r="AE80" s="76">
        <f>+IFERROR(O80/T80,0)</f>
        <v>12.440215349944</v>
      </c>
      <c r="AF80" s="83">
        <f>+IFERROR(AA80/(P80*$AE$8),0)</f>
        <v>0.30238425925926</v>
      </c>
      <c r="AG80" s="84">
        <f>+P80/$C$8</f>
        <v>0.2</v>
      </c>
      <c r="AH80" s="85">
        <f>+Y80*($AI$8*$AH$8)</f>
        <v>11.974861111111</v>
      </c>
      <c r="AI80"/>
    </row>
    <row r="81" spans="1:40">
      <c r="B81" s="70" t="s">
        <v>91</v>
      </c>
      <c r="C81" s="70" t="s">
        <v>99</v>
      </c>
      <c r="D81" s="70" t="s">
        <v>103</v>
      </c>
      <c r="E81" s="70"/>
      <c r="F81" s="70"/>
      <c r="G81" s="70"/>
      <c r="H81" s="70"/>
      <c r="I81" s="70"/>
      <c r="J81" s="70" t="s">
        <v>181</v>
      </c>
      <c r="K81" s="70"/>
      <c r="L81" s="71" t="s">
        <v>326</v>
      </c>
      <c r="M81" s="71">
        <f>data!J8</f>
        <v>30</v>
      </c>
      <c r="N81" s="72">
        <v>5614.0</v>
      </c>
      <c r="O81" s="73">
        <v>125.0</v>
      </c>
      <c r="P81" s="74">
        <v>7.0</v>
      </c>
      <c r="Q81" s="75">
        <v>12</v>
      </c>
      <c r="R81" s="76">
        <v>11</v>
      </c>
      <c r="S81" s="76">
        <v>34</v>
      </c>
      <c r="T81" s="77">
        <f>+((Q81)+(R81/60)+(S81/3600))</f>
        <v>12.192777777778</v>
      </c>
      <c r="U81" s="78">
        <f>IFERROR(T81/$AA81,0)</f>
        <v>0.31904810362122</v>
      </c>
      <c r="V81" s="75">
        <v>26</v>
      </c>
      <c r="W81" s="76">
        <v>1</v>
      </c>
      <c r="X81" s="76">
        <v>24</v>
      </c>
      <c r="Y81" s="77">
        <f>+((V81)+(W81/60)+(X81/3600))</f>
        <v>26.023333333333</v>
      </c>
      <c r="Z81" s="78">
        <f>+IFERROR(Y81/$AA81,0)</f>
        <v>0.68095189637878</v>
      </c>
      <c r="AA81" s="79">
        <f>+Y81+T81</f>
        <v>38.216111111111</v>
      </c>
      <c r="AB81" s="80"/>
      <c r="AC81" s="81">
        <f>+IFERROR((AA81/P81),0)</f>
        <v>5.4594444444444</v>
      </c>
      <c r="AD81" s="82">
        <f>+IFERROR($O81/$P81,0)</f>
        <v>17.857142857143</v>
      </c>
      <c r="AE81" s="76">
        <f>+IFERROR(O81/T81,0)</f>
        <v>10.251970656582</v>
      </c>
      <c r="AF81" s="83">
        <f>+IFERROR(AA81/(P81*$AE$8),0)</f>
        <v>0.68243055555556</v>
      </c>
      <c r="AG81" s="84">
        <f>+P81/$C$8</f>
        <v>0.23333333333333</v>
      </c>
      <c r="AH81" s="85">
        <f>+Y81*($AI$8*$AH$8)</f>
        <v>91.081666666667</v>
      </c>
      <c r="AI81"/>
    </row>
    <row r="82" spans="1:40">
      <c r="B82" s="70" t="s">
        <v>91</v>
      </c>
      <c r="C82" s="70" t="s">
        <v>99</v>
      </c>
      <c r="D82" s="70" t="s">
        <v>103</v>
      </c>
      <c r="E82" s="70"/>
      <c r="F82" s="70"/>
      <c r="G82" s="70"/>
      <c r="H82" s="70"/>
      <c r="I82" s="70"/>
      <c r="J82" s="70" t="s">
        <v>182</v>
      </c>
      <c r="K82" s="70"/>
      <c r="L82" s="71" t="s">
        <v>95</v>
      </c>
      <c r="M82" s="71">
        <f>data!J8</f>
        <v>30</v>
      </c>
      <c r="N82" s="72">
        <v>174346.0</v>
      </c>
      <c r="O82" s="73">
        <v>244.0</v>
      </c>
      <c r="P82" s="74">
        <v>9.0</v>
      </c>
      <c r="Q82" s="75">
        <v>19</v>
      </c>
      <c r="R82" s="76">
        <v>40</v>
      </c>
      <c r="S82" s="76">
        <v>27</v>
      </c>
      <c r="T82" s="77">
        <f>+((Q82)+(R82/60)+(S82/3600))</f>
        <v>19.674166666667</v>
      </c>
      <c r="U82" s="78">
        <f>IFERROR(T82/$AA82,0)</f>
        <v>0.37141703462091</v>
      </c>
      <c r="V82" s="75">
        <v>33</v>
      </c>
      <c r="W82" s="76">
        <v>17</v>
      </c>
      <c r="X82" s="76">
        <v>47</v>
      </c>
      <c r="Y82" s="77">
        <f>+((V82)+(W82/60)+(X82/3600))</f>
        <v>33.296388888889</v>
      </c>
      <c r="Z82" s="78">
        <f>+IFERROR(Y82/$AA82,0)</f>
        <v>0.62858296537909</v>
      </c>
      <c r="AA82" s="79">
        <f>+Y82+T82</f>
        <v>52.970555555556</v>
      </c>
      <c r="AB82" s="80"/>
      <c r="AC82" s="81">
        <f>+IFERROR((AA82/P82),0)</f>
        <v>5.8856172839506</v>
      </c>
      <c r="AD82" s="82">
        <f>+IFERROR($O82/$P82,0)</f>
        <v>27.111111111111</v>
      </c>
      <c r="AE82" s="76">
        <f>+IFERROR(O82/T82,0)</f>
        <v>12.402050065653</v>
      </c>
      <c r="AF82" s="83">
        <f>+IFERROR(AA82/(P82*$AE$8),0)</f>
        <v>0.73570216049383</v>
      </c>
      <c r="AG82" s="84">
        <f>+P82/$C$8</f>
        <v>0.3</v>
      </c>
      <c r="AH82" s="85">
        <f>+Y82*($AI$8*$AH$8)</f>
        <v>116.53736111111</v>
      </c>
      <c r="AI82"/>
    </row>
    <row r="83" spans="1:40">
      <c r="B83" s="70" t="s">
        <v>91</v>
      </c>
      <c r="C83" s="70" t="s">
        <v>100</v>
      </c>
      <c r="D83" s="70" t="s">
        <v>107</v>
      </c>
      <c r="E83" s="70"/>
      <c r="F83" s="70"/>
      <c r="G83" s="70"/>
      <c r="H83" s="70"/>
      <c r="I83" s="70"/>
      <c r="J83" s="70" t="s">
        <v>183</v>
      </c>
      <c r="K83" s="70"/>
      <c r="L83" s="71" t="s">
        <v>95</v>
      </c>
      <c r="M83" s="71">
        <f>data!J8</f>
        <v>30</v>
      </c>
      <c r="N83" s="72">
        <v>110956.0</v>
      </c>
      <c r="O83" s="73">
        <v>792.0</v>
      </c>
      <c r="P83" s="74">
        <v>8.0</v>
      </c>
      <c r="Q83" s="75">
        <v>25</v>
      </c>
      <c r="R83" s="76">
        <v>53</v>
      </c>
      <c r="S83" s="76">
        <v>54</v>
      </c>
      <c r="T83" s="77">
        <f>+((Q83)+(R83/60)+(S83/3600))</f>
        <v>25.898333333333</v>
      </c>
      <c r="U83" s="78">
        <f>IFERROR(T83/$AA83,0)</f>
        <v>0.85948965669826</v>
      </c>
      <c r="V83" s="75">
        <v>4</v>
      </c>
      <c r="W83" s="76">
        <v>14</v>
      </c>
      <c r="X83" s="76">
        <v>2</v>
      </c>
      <c r="Y83" s="77">
        <f>+((V83)+(W83/60)+(X83/3600))</f>
        <v>4.2338888888889</v>
      </c>
      <c r="Z83" s="78">
        <f>+IFERROR(Y83/$AA83,0)</f>
        <v>0.14051034330174</v>
      </c>
      <c r="AA83" s="79">
        <f>+Y83+T83</f>
        <v>30.132222222222</v>
      </c>
      <c r="AB83" s="80"/>
      <c r="AC83" s="81">
        <f>+IFERROR((AA83/P83),0)</f>
        <v>3.7665277777778</v>
      </c>
      <c r="AD83" s="82">
        <f>+IFERROR($O83/$P83,0)</f>
        <v>99</v>
      </c>
      <c r="AE83" s="76">
        <f>+IFERROR(O83/T83,0)</f>
        <v>30.581118476092</v>
      </c>
      <c r="AF83" s="83">
        <f>+IFERROR(AA83/(P83*$AE$8),0)</f>
        <v>0.47081597222222</v>
      </c>
      <c r="AG83" s="84">
        <f>+P83/$C$8</f>
        <v>0.26666666666667</v>
      </c>
      <c r="AH83" s="85">
        <f>+Y83*($AI$8*$AH$8)</f>
        <v>14.818611111111</v>
      </c>
      <c r="AI83"/>
    </row>
    <row r="84" spans="1:40">
      <c r="B84" s="70" t="s">
        <v>91</v>
      </c>
      <c r="C84" s="70" t="s">
        <v>99</v>
      </c>
      <c r="D84" s="70" t="s">
        <v>103</v>
      </c>
      <c r="E84" s="70"/>
      <c r="F84" s="70"/>
      <c r="G84" s="70"/>
      <c r="H84" s="70"/>
      <c r="I84" s="70"/>
      <c r="J84" s="70" t="s">
        <v>184</v>
      </c>
      <c r="K84" s="70"/>
      <c r="L84" s="71" t="s">
        <v>95</v>
      </c>
      <c r="M84" s="71">
        <f>data!J8</f>
        <v>30</v>
      </c>
      <c r="N84" s="72">
        <v>12730.0</v>
      </c>
      <c r="O84" s="73">
        <v>119.0</v>
      </c>
      <c r="P84" s="74">
        <v>7.0</v>
      </c>
      <c r="Q84" s="75">
        <v>9</v>
      </c>
      <c r="R84" s="76">
        <v>25</v>
      </c>
      <c r="S84" s="76">
        <v>39</v>
      </c>
      <c r="T84" s="77">
        <f>+((Q84)+(R84/60)+(S84/3600))</f>
        <v>9.4275</v>
      </c>
      <c r="U84" s="78">
        <f>IFERROR(T84/$AA84,0)</f>
        <v>0.91197097944377</v>
      </c>
      <c r="V84" s="75">
        <v>0</v>
      </c>
      <c r="W84" s="76">
        <v>54</v>
      </c>
      <c r="X84" s="76">
        <v>36</v>
      </c>
      <c r="Y84" s="77">
        <f>+((V84)+(W84/60)+(X84/3600))</f>
        <v>0.91</v>
      </c>
      <c r="Z84" s="78">
        <f>+IFERROR(Y84/$AA84,0)</f>
        <v>0.088029020556227</v>
      </c>
      <c r="AA84" s="79">
        <f>+Y84+T84</f>
        <v>10.3375</v>
      </c>
      <c r="AB84" s="80"/>
      <c r="AC84" s="81">
        <f>+IFERROR((AA84/P84),0)</f>
        <v>1.4767857142857</v>
      </c>
      <c r="AD84" s="82">
        <f>+IFERROR($O84/$P84,0)</f>
        <v>17</v>
      </c>
      <c r="AE84" s="76">
        <f>+IFERROR(O84/T84,0)</f>
        <v>12.622646512861</v>
      </c>
      <c r="AF84" s="83">
        <f>+IFERROR(AA84/(P84*$AE$8),0)</f>
        <v>0.18459821428571</v>
      </c>
      <c r="AG84" s="84">
        <f>+P84/$C$8</f>
        <v>0.23333333333333</v>
      </c>
      <c r="AH84" s="85">
        <f>+Y84*($AI$8*$AH$8)</f>
        <v>3.185</v>
      </c>
      <c r="AI84"/>
    </row>
    <row r="85" spans="1:40">
      <c r="B85" s="70" t="s">
        <v>91</v>
      </c>
      <c r="C85" s="70" t="s">
        <v>99</v>
      </c>
      <c r="D85" s="70" t="s">
        <v>103</v>
      </c>
      <c r="E85" s="70"/>
      <c r="F85" s="70"/>
      <c r="G85" s="70"/>
      <c r="H85" s="70"/>
      <c r="I85" s="70"/>
      <c r="J85" s="70" t="s">
        <v>185</v>
      </c>
      <c r="K85" s="70"/>
      <c r="L85" s="71" t="s">
        <v>95</v>
      </c>
      <c r="M85" s="71">
        <f>data!J8</f>
        <v>30</v>
      </c>
      <c r="N85" s="72">
        <v>8361.0</v>
      </c>
      <c r="O85" s="73">
        <v>181.0</v>
      </c>
      <c r="P85" s="74">
        <v>8.0</v>
      </c>
      <c r="Q85" s="75">
        <v>16</v>
      </c>
      <c r="R85" s="76">
        <v>42</v>
      </c>
      <c r="S85" s="76">
        <v>11</v>
      </c>
      <c r="T85" s="77">
        <f>+((Q85)+(R85/60)+(S85/3600))</f>
        <v>16.703055555556</v>
      </c>
      <c r="U85" s="78">
        <f>IFERROR(T85/$AA85,0)</f>
        <v>0.44750982376756</v>
      </c>
      <c r="V85" s="75">
        <v>20</v>
      </c>
      <c r="W85" s="76">
        <v>37</v>
      </c>
      <c r="X85" s="76">
        <v>17</v>
      </c>
      <c r="Y85" s="77">
        <f>+((V85)+(W85/60)+(X85/3600))</f>
        <v>20.621388888889</v>
      </c>
      <c r="Z85" s="78">
        <f>+IFERROR(Y85/$AA85,0)</f>
        <v>0.55249017623244</v>
      </c>
      <c r="AA85" s="79">
        <f>+Y85+T85</f>
        <v>37.324444444444</v>
      </c>
      <c r="AB85" s="80"/>
      <c r="AC85" s="81">
        <f>+IFERROR((AA85/P85),0)</f>
        <v>4.6655555555556</v>
      </c>
      <c r="AD85" s="82">
        <f>+IFERROR($O85/$P85,0)</f>
        <v>22.625</v>
      </c>
      <c r="AE85" s="76">
        <f>+IFERROR(O85/T85,0)</f>
        <v>10.836340656234</v>
      </c>
      <c r="AF85" s="83">
        <f>+IFERROR(AA85/(P85*$AE$8),0)</f>
        <v>0.58319444444444</v>
      </c>
      <c r="AG85" s="84">
        <f>+P85/$C$8</f>
        <v>0.26666666666667</v>
      </c>
      <c r="AH85" s="85">
        <f>+Y85*($AI$8*$AH$8)</f>
        <v>72.174861111111</v>
      </c>
      <c r="AI85"/>
    </row>
    <row r="86" spans="1:40">
      <c r="B86" s="70" t="s">
        <v>91</v>
      </c>
      <c r="C86" s="70" t="s">
        <v>99</v>
      </c>
      <c r="D86" s="70" t="s">
        <v>103</v>
      </c>
      <c r="E86" s="70"/>
      <c r="F86" s="70"/>
      <c r="G86" s="70"/>
      <c r="H86" s="70"/>
      <c r="I86" s="70"/>
      <c r="J86" s="70" t="s">
        <v>186</v>
      </c>
      <c r="K86" s="70"/>
      <c r="L86" s="71" t="s">
        <v>95</v>
      </c>
      <c r="M86" s="71">
        <f>data!J8</f>
        <v>30</v>
      </c>
      <c r="N86" s="72">
        <v>17668.0</v>
      </c>
      <c r="O86" s="73">
        <v>625.0</v>
      </c>
      <c r="P86" s="74">
        <v>10.0</v>
      </c>
      <c r="Q86" s="75">
        <v>40</v>
      </c>
      <c r="R86" s="76">
        <v>48</v>
      </c>
      <c r="S86" s="76">
        <v>34</v>
      </c>
      <c r="T86" s="77">
        <f>+((Q86)+(R86/60)+(S86/3600))</f>
        <v>40.809444444444</v>
      </c>
      <c r="U86" s="78">
        <f>IFERROR(T86/$AA86,0)</f>
        <v>0.49469657685081</v>
      </c>
      <c r="V86" s="75">
        <v>41</v>
      </c>
      <c r="W86" s="76">
        <v>41</v>
      </c>
      <c r="X86" s="76">
        <v>4</v>
      </c>
      <c r="Y86" s="77">
        <f>+((V86)+(W86/60)+(X86/3600))</f>
        <v>41.684444444444</v>
      </c>
      <c r="Z86" s="78">
        <f>+IFERROR(Y86/$AA86,0)</f>
        <v>0.50530342314919</v>
      </c>
      <c r="AA86" s="79">
        <f>+Y86+T86</f>
        <v>82.493888888889</v>
      </c>
      <c r="AB86" s="80"/>
      <c r="AC86" s="81">
        <f>+IFERROR((AA86/P86),0)</f>
        <v>8.2493888888889</v>
      </c>
      <c r="AD86" s="82">
        <f>+IFERROR($O86/$P86,0)</f>
        <v>62.5</v>
      </c>
      <c r="AE86" s="76">
        <f>+IFERROR(O86/T86,0)</f>
        <v>15.315082293042</v>
      </c>
      <c r="AF86" s="83">
        <f>+IFERROR(AA86/(P86*$AE$8),0)</f>
        <v>1.0311736111111</v>
      </c>
      <c r="AG86" s="84">
        <f>+P86/$C$8</f>
        <v>0.33333333333333</v>
      </c>
      <c r="AH86" s="85">
        <f>+Y86*($AI$8*$AH$8)</f>
        <v>145.89555555556</v>
      </c>
      <c r="AI86"/>
    </row>
    <row r="87" spans="1:40">
      <c r="B87" s="70" t="s">
        <v>91</v>
      </c>
      <c r="C87" s="70" t="s">
        <v>99</v>
      </c>
      <c r="D87" s="70" t="s">
        <v>103</v>
      </c>
      <c r="E87" s="70"/>
      <c r="F87" s="70"/>
      <c r="G87" s="70"/>
      <c r="H87" s="70"/>
      <c r="I87" s="70"/>
      <c r="J87" s="70" t="s">
        <v>187</v>
      </c>
      <c r="K87" s="70"/>
      <c r="L87" s="71" t="s">
        <v>95</v>
      </c>
      <c r="M87" s="71">
        <f>data!J8</f>
        <v>30</v>
      </c>
      <c r="N87" s="72">
        <v>7452.0</v>
      </c>
      <c r="O87" s="73">
        <v>206.0</v>
      </c>
      <c r="P87" s="74">
        <v>8.0</v>
      </c>
      <c r="Q87" s="75">
        <v>19</v>
      </c>
      <c r="R87" s="76">
        <v>36</v>
      </c>
      <c r="S87" s="76">
        <v>17</v>
      </c>
      <c r="T87" s="77">
        <f>+((Q87)+(R87/60)+(S87/3600))</f>
        <v>19.604722222222</v>
      </c>
      <c r="U87" s="78">
        <f>IFERROR(T87/$AA87,0)</f>
        <v>0.72668396449826</v>
      </c>
      <c r="V87" s="75">
        <v>7</v>
      </c>
      <c r="W87" s="76">
        <v>22</v>
      </c>
      <c r="X87" s="76">
        <v>25</v>
      </c>
      <c r="Y87" s="77">
        <f>+((V87)+(W87/60)+(X87/3600))</f>
        <v>7.3736111111111</v>
      </c>
      <c r="Z87" s="78">
        <f>+IFERROR(Y87/$AA87,0)</f>
        <v>0.27331603550174</v>
      </c>
      <c r="AA87" s="79">
        <f>+Y87+T87</f>
        <v>26.978333333333</v>
      </c>
      <c r="AB87" s="80"/>
      <c r="AC87" s="81">
        <f>+IFERROR((AA87/P87),0)</f>
        <v>3.3722916666667</v>
      </c>
      <c r="AD87" s="82">
        <f>+IFERROR($O87/$P87,0)</f>
        <v>25.75</v>
      </c>
      <c r="AE87" s="76">
        <f>+IFERROR(O87/T87,0)</f>
        <v>10.507672471202</v>
      </c>
      <c r="AF87" s="83">
        <f>+IFERROR(AA87/(P87*$AE$8),0)</f>
        <v>0.42153645833333</v>
      </c>
      <c r="AG87" s="84">
        <f>+P87/$C$8</f>
        <v>0.26666666666667</v>
      </c>
      <c r="AH87" s="85">
        <f>+Y87*($AI$8*$AH$8)</f>
        <v>25.807638888889</v>
      </c>
      <c r="AI87"/>
    </row>
    <row r="88" spans="1:40">
      <c r="B88" s="70" t="s">
        <v>91</v>
      </c>
      <c r="C88" s="70" t="s">
        <v>99</v>
      </c>
      <c r="D88" s="70" t="s">
        <v>103</v>
      </c>
      <c r="E88" s="70"/>
      <c r="F88" s="70"/>
      <c r="G88" s="70"/>
      <c r="H88" s="70"/>
      <c r="I88" s="70"/>
      <c r="J88" s="70" t="s">
        <v>188</v>
      </c>
      <c r="K88" s="70"/>
      <c r="L88" s="71" t="s">
        <v>95</v>
      </c>
      <c r="M88" s="71">
        <f>data!J8</f>
        <v>30</v>
      </c>
      <c r="N88" s="72">
        <v>12522.0</v>
      </c>
      <c r="O88" s="73">
        <v>121.0</v>
      </c>
      <c r="P88" s="74">
        <v>7.0</v>
      </c>
      <c r="Q88" s="75">
        <v>10</v>
      </c>
      <c r="R88" s="76">
        <v>20</v>
      </c>
      <c r="S88" s="76">
        <v>6</v>
      </c>
      <c r="T88" s="77">
        <f>+((Q88)+(R88/60)+(S88/3600))</f>
        <v>10.335</v>
      </c>
      <c r="U88" s="78">
        <f>IFERROR(T88/$AA88,0)</f>
        <v>0.43162913722897</v>
      </c>
      <c r="V88" s="75">
        <v>13</v>
      </c>
      <c r="W88" s="76">
        <v>36</v>
      </c>
      <c r="X88" s="76">
        <v>33</v>
      </c>
      <c r="Y88" s="77">
        <f>+((V88)+(W88/60)+(X88/3600))</f>
        <v>13.609166666667</v>
      </c>
      <c r="Z88" s="78">
        <f>+IFERROR(Y88/$AA88,0)</f>
        <v>0.56837086277103</v>
      </c>
      <c r="AA88" s="79">
        <f>+Y88+T88</f>
        <v>23.944166666667</v>
      </c>
      <c r="AB88" s="80"/>
      <c r="AC88" s="81">
        <f>+IFERROR((AA88/P88),0)</f>
        <v>3.4205952380952</v>
      </c>
      <c r="AD88" s="82">
        <f>+IFERROR($O88/$P88,0)</f>
        <v>17.285714285714</v>
      </c>
      <c r="AE88" s="76">
        <f>+IFERROR(O88/T88,0)</f>
        <v>11.70778906628</v>
      </c>
      <c r="AF88" s="83">
        <f>+IFERROR(AA88/(P88*$AE$8),0)</f>
        <v>0.4275744047619</v>
      </c>
      <c r="AG88" s="84">
        <f>+P88/$C$8</f>
        <v>0.23333333333333</v>
      </c>
      <c r="AH88" s="85">
        <f>+Y88*($AI$8*$AH$8)</f>
        <v>47.632083333333</v>
      </c>
      <c r="AI88"/>
    </row>
    <row r="89" spans="1:40">
      <c r="B89" s="70" t="s">
        <v>91</v>
      </c>
      <c r="C89" s="70" t="s">
        <v>99</v>
      </c>
      <c r="D89" s="70" t="s">
        <v>103</v>
      </c>
      <c r="E89" s="70"/>
      <c r="F89" s="70"/>
      <c r="G89" s="70"/>
      <c r="H89" s="70"/>
      <c r="I89" s="70"/>
      <c r="J89" s="70" t="s">
        <v>189</v>
      </c>
      <c r="K89" s="70"/>
      <c r="L89" s="71" t="s">
        <v>95</v>
      </c>
      <c r="M89" s="71">
        <f>data!J8</f>
        <v>30</v>
      </c>
      <c r="N89" s="72">
        <v>9213.0</v>
      </c>
      <c r="O89" s="73">
        <v>283.0</v>
      </c>
      <c r="P89" s="74">
        <v>8.0</v>
      </c>
      <c r="Q89" s="75">
        <v>20</v>
      </c>
      <c r="R89" s="76">
        <v>31</v>
      </c>
      <c r="S89" s="76">
        <v>7</v>
      </c>
      <c r="T89" s="77">
        <f>+((Q89)+(R89/60)+(S89/3600))</f>
        <v>20.518611111111</v>
      </c>
      <c r="U89" s="78">
        <f>IFERROR(T89/$AA89,0)</f>
        <v>0.79473882403572</v>
      </c>
      <c r="V89" s="75">
        <v>5</v>
      </c>
      <c r="W89" s="76">
        <v>17</v>
      </c>
      <c r="X89" s="76">
        <v>58</v>
      </c>
      <c r="Y89" s="77">
        <f>+((V89)+(W89/60)+(X89/3600))</f>
        <v>5.2994444444444</v>
      </c>
      <c r="Z89" s="78">
        <f>+IFERROR(Y89/$AA89,0)</f>
        <v>0.20526117596428</v>
      </c>
      <c r="AA89" s="79">
        <f>+Y89+T89</f>
        <v>25.818055555556</v>
      </c>
      <c r="AB89" s="80"/>
      <c r="AC89" s="81">
        <f>+IFERROR((AA89/P89),0)</f>
        <v>3.2272569444444</v>
      </c>
      <c r="AD89" s="82">
        <f>+IFERROR($O89/$P89,0)</f>
        <v>35.375</v>
      </c>
      <c r="AE89" s="76">
        <f>+IFERROR(O89/T89,0)</f>
        <v>13.792356532687</v>
      </c>
      <c r="AF89" s="83">
        <f>+IFERROR(AA89/(P89*$AE$8),0)</f>
        <v>0.40340711805556</v>
      </c>
      <c r="AG89" s="84">
        <f>+P89/$C$8</f>
        <v>0.26666666666667</v>
      </c>
      <c r="AH89" s="85">
        <f>+Y89*($AI$8*$AH$8)</f>
        <v>18.548055555556</v>
      </c>
      <c r="AI89"/>
    </row>
    <row r="90" spans="1:40">
      <c r="B90" s="70" t="s">
        <v>91</v>
      </c>
      <c r="C90" s="70" t="s">
        <v>99</v>
      </c>
      <c r="D90" s="70" t="s">
        <v>103</v>
      </c>
      <c r="E90" s="70"/>
      <c r="F90" s="70"/>
      <c r="G90" s="70"/>
      <c r="H90" s="70"/>
      <c r="I90" s="70"/>
      <c r="J90" s="70" t="s">
        <v>190</v>
      </c>
      <c r="K90" s="70"/>
      <c r="L90" s="71" t="s">
        <v>95</v>
      </c>
      <c r="M90" s="71">
        <f>data!J8</f>
        <v>30</v>
      </c>
      <c r="N90" s="72">
        <v>10430.0</v>
      </c>
      <c r="O90" s="73">
        <v>118.0</v>
      </c>
      <c r="P90" s="74">
        <v>7.0</v>
      </c>
      <c r="Q90" s="75">
        <v>10</v>
      </c>
      <c r="R90" s="76">
        <v>39</v>
      </c>
      <c r="S90" s="76">
        <v>12</v>
      </c>
      <c r="T90" s="77">
        <f>+((Q90)+(R90/60)+(S90/3600))</f>
        <v>10.653333333333</v>
      </c>
      <c r="U90" s="78">
        <f>IFERROR(T90/$AA90,0)</f>
        <v>0.67036059499047</v>
      </c>
      <c r="V90" s="75">
        <v>5</v>
      </c>
      <c r="W90" s="76">
        <v>14</v>
      </c>
      <c r="X90" s="76">
        <v>19</v>
      </c>
      <c r="Y90" s="77">
        <f>+((V90)+(W90/60)+(X90/3600))</f>
        <v>5.2386111111111</v>
      </c>
      <c r="Z90" s="78">
        <f>+IFERROR(Y90/$AA90,0)</f>
        <v>0.32963940500953</v>
      </c>
      <c r="AA90" s="79">
        <f>+Y90+T90</f>
        <v>15.891944444444</v>
      </c>
      <c r="AB90" s="80"/>
      <c r="AC90" s="81">
        <f>+IFERROR((AA90/P90),0)</f>
        <v>2.2702777777778</v>
      </c>
      <c r="AD90" s="82">
        <f>+IFERROR($O90/$P90,0)</f>
        <v>16.857142857143</v>
      </c>
      <c r="AE90" s="76">
        <f>+IFERROR(O90/T90,0)</f>
        <v>11.07634543179</v>
      </c>
      <c r="AF90" s="83">
        <f>+IFERROR(AA90/(P90*$AE$8),0)</f>
        <v>0.28378472222222</v>
      </c>
      <c r="AG90" s="84">
        <f>+P90/$C$8</f>
        <v>0.23333333333333</v>
      </c>
      <c r="AH90" s="85">
        <f>+Y90*($AI$8*$AH$8)</f>
        <v>18.335138888889</v>
      </c>
      <c r="AI90"/>
    </row>
    <row r="91" spans="1:40">
      <c r="B91" s="70" t="s">
        <v>91</v>
      </c>
      <c r="C91" s="70" t="s">
        <v>99</v>
      </c>
      <c r="D91" s="70" t="s">
        <v>103</v>
      </c>
      <c r="E91" s="70"/>
      <c r="F91" s="70"/>
      <c r="G91" s="70"/>
      <c r="H91" s="70"/>
      <c r="I91" s="70"/>
      <c r="J91" s="70" t="s">
        <v>191</v>
      </c>
      <c r="K91" s="70"/>
      <c r="L91" s="71" t="s">
        <v>95</v>
      </c>
      <c r="M91" s="71">
        <f>data!J8</f>
        <v>30</v>
      </c>
      <c r="N91" s="72">
        <v>1627.0</v>
      </c>
      <c r="O91" s="73">
        <v>256.0</v>
      </c>
      <c r="P91" s="74">
        <v>8.0</v>
      </c>
      <c r="Q91" s="75">
        <v>16</v>
      </c>
      <c r="R91" s="76">
        <v>43</v>
      </c>
      <c r="S91" s="76">
        <v>21</v>
      </c>
      <c r="T91" s="77">
        <f>+((Q91)+(R91/60)+(S91/3600))</f>
        <v>16.7225</v>
      </c>
      <c r="U91" s="78">
        <f>IFERROR(T91/$AA91,0)</f>
        <v>0.94529324016644</v>
      </c>
      <c r="V91" s="75">
        <v>0</v>
      </c>
      <c r="W91" s="76">
        <v>58</v>
      </c>
      <c r="X91" s="76">
        <v>4</v>
      </c>
      <c r="Y91" s="77">
        <f>+((V91)+(W91/60)+(X91/3600))</f>
        <v>0.96777777777778</v>
      </c>
      <c r="Z91" s="78">
        <f>+IFERROR(Y91/$AA91,0)</f>
        <v>0.054706759833556</v>
      </c>
      <c r="AA91" s="79">
        <f>+Y91+T91</f>
        <v>17.690277777778</v>
      </c>
      <c r="AB91" s="80"/>
      <c r="AC91" s="81">
        <f>+IFERROR((AA91/P91),0)</f>
        <v>2.2112847222222</v>
      </c>
      <c r="AD91" s="82">
        <f>+IFERROR($O91/$P91,0)</f>
        <v>32</v>
      </c>
      <c r="AE91" s="76">
        <f>+IFERROR(O91/T91,0)</f>
        <v>15.308715802063</v>
      </c>
      <c r="AF91" s="83">
        <f>+IFERROR(AA91/(P91*$AE$8),0)</f>
        <v>0.27641059027778</v>
      </c>
      <c r="AG91" s="84">
        <f>+P91/$C$8</f>
        <v>0.26666666666667</v>
      </c>
      <c r="AH91" s="85">
        <f>+Y91*($AI$8*$AH$8)</f>
        <v>3.3872222222222</v>
      </c>
      <c r="AI91"/>
    </row>
    <row r="92" spans="1:40">
      <c r="B92" s="70" t="s">
        <v>91</v>
      </c>
      <c r="C92" s="70" t="s">
        <v>99</v>
      </c>
      <c r="D92" s="70" t="s">
        <v>103</v>
      </c>
      <c r="E92" s="70"/>
      <c r="F92" s="70"/>
      <c r="G92" s="70"/>
      <c r="H92" s="70"/>
      <c r="I92" s="70"/>
      <c r="J92" s="70" t="s">
        <v>192</v>
      </c>
      <c r="K92" s="70"/>
      <c r="L92" s="71" t="s">
        <v>95</v>
      </c>
      <c r="M92" s="71">
        <f>data!J8</f>
        <v>30</v>
      </c>
      <c r="N92" s="72">
        <v>15656.0</v>
      </c>
      <c r="O92" s="73">
        <v>279.0</v>
      </c>
      <c r="P92" s="74">
        <v>7.0</v>
      </c>
      <c r="Q92" s="75">
        <v>17</v>
      </c>
      <c r="R92" s="76">
        <v>47</v>
      </c>
      <c r="S92" s="76">
        <v>9</v>
      </c>
      <c r="T92" s="77">
        <f>+((Q92)+(R92/60)+(S92/3600))</f>
        <v>17.785833333333</v>
      </c>
      <c r="U92" s="78">
        <f>IFERROR(T92/$AA92,0)</f>
        <v>0.43678074669323</v>
      </c>
      <c r="V92" s="75">
        <v>22</v>
      </c>
      <c r="W92" s="76">
        <v>56</v>
      </c>
      <c r="X92" s="76">
        <v>4</v>
      </c>
      <c r="Y92" s="77">
        <f>+((V92)+(W92/60)+(X92/3600))</f>
        <v>22.934444444444</v>
      </c>
      <c r="Z92" s="78">
        <f>+IFERROR(Y92/$AA92,0)</f>
        <v>0.56321925330677</v>
      </c>
      <c r="AA92" s="79">
        <f>+Y92+T92</f>
        <v>40.720277777778</v>
      </c>
      <c r="AB92" s="80"/>
      <c r="AC92" s="81">
        <f>+IFERROR((AA92/P92),0)</f>
        <v>5.8171825396825</v>
      </c>
      <c r="AD92" s="82">
        <f>+IFERROR($O92/$P92,0)</f>
        <v>39.857142857143</v>
      </c>
      <c r="AE92" s="76">
        <f>+IFERROR(O92/T92,0)</f>
        <v>15.686641990348</v>
      </c>
      <c r="AF92" s="83">
        <f>+IFERROR(AA92/(P92*$AE$8),0)</f>
        <v>0.72714781746032</v>
      </c>
      <c r="AG92" s="84">
        <f>+P92/$C$8</f>
        <v>0.23333333333333</v>
      </c>
      <c r="AH92" s="85">
        <f>+Y92*($AI$8*$AH$8)</f>
        <v>80.270555555556</v>
      </c>
      <c r="AI92"/>
    </row>
    <row r="93" spans="1:40">
      <c r="B93" s="70" t="s">
        <v>91</v>
      </c>
      <c r="C93" s="70" t="s">
        <v>99</v>
      </c>
      <c r="D93" s="70" t="s">
        <v>103</v>
      </c>
      <c r="E93" s="70"/>
      <c r="F93" s="70"/>
      <c r="G93" s="70"/>
      <c r="H93" s="70"/>
      <c r="I93" s="70"/>
      <c r="J93" s="70" t="s">
        <v>193</v>
      </c>
      <c r="K93" s="70"/>
      <c r="L93" s="71" t="s">
        <v>95</v>
      </c>
      <c r="M93" s="71">
        <f>data!J8</f>
        <v>30</v>
      </c>
      <c r="N93" s="72">
        <v>11433.0</v>
      </c>
      <c r="O93" s="73">
        <v>240.0</v>
      </c>
      <c r="P93" s="74">
        <v>7.0</v>
      </c>
      <c r="Q93" s="75">
        <v>21</v>
      </c>
      <c r="R93" s="76">
        <v>39</v>
      </c>
      <c r="S93" s="76">
        <v>38</v>
      </c>
      <c r="T93" s="77">
        <f>+((Q93)+(R93/60)+(S93/3600))</f>
        <v>21.660555555556</v>
      </c>
      <c r="U93" s="78">
        <f>IFERROR(T93/$AA93,0)</f>
        <v>0.69381617581635</v>
      </c>
      <c r="V93" s="75">
        <v>9</v>
      </c>
      <c r="W93" s="76">
        <v>33</v>
      </c>
      <c r="X93" s="76">
        <v>32</v>
      </c>
      <c r="Y93" s="77">
        <f>+((V93)+(W93/60)+(X93/3600))</f>
        <v>9.5588888888889</v>
      </c>
      <c r="Z93" s="78">
        <f>+IFERROR(Y93/$AA93,0)</f>
        <v>0.30618382418365</v>
      </c>
      <c r="AA93" s="79">
        <f>+Y93+T93</f>
        <v>31.219444444444</v>
      </c>
      <c r="AB93" s="80"/>
      <c r="AC93" s="81">
        <f>+IFERROR((AA93/P93),0)</f>
        <v>4.4599206349206</v>
      </c>
      <c r="AD93" s="82">
        <f>+IFERROR($O93/$P93,0)</f>
        <v>34.285714285714</v>
      </c>
      <c r="AE93" s="76">
        <f>+IFERROR(O93/T93,0)</f>
        <v>11.080048218728</v>
      </c>
      <c r="AF93" s="83">
        <f>+IFERROR(AA93/(P93*$AE$8),0)</f>
        <v>0.55749007936508</v>
      </c>
      <c r="AG93" s="84">
        <f>+P93/$C$8</f>
        <v>0.23333333333333</v>
      </c>
      <c r="AH93" s="85">
        <f>+Y93*($AI$8*$AH$8)</f>
        <v>33.456111111111</v>
      </c>
      <c r="AI93"/>
    </row>
    <row r="94" spans="1:40">
      <c r="B94" s="70" t="s">
        <v>91</v>
      </c>
      <c r="C94" s="70" t="s">
        <v>99</v>
      </c>
      <c r="D94" s="70" t="s">
        <v>103</v>
      </c>
      <c r="E94" s="70"/>
      <c r="F94" s="70"/>
      <c r="G94" s="70"/>
      <c r="H94" s="70"/>
      <c r="I94" s="70"/>
      <c r="J94" s="70" t="s">
        <v>194</v>
      </c>
      <c r="K94" s="70"/>
      <c r="L94" s="71" t="s">
        <v>95</v>
      </c>
      <c r="M94" s="71">
        <f>data!J8</f>
        <v>30</v>
      </c>
      <c r="N94" s="72">
        <v>12694.0</v>
      </c>
      <c r="O94" s="73">
        <v>2.0</v>
      </c>
      <c r="P94" s="74">
        <v>7.0</v>
      </c>
      <c r="Q94" s="75">
        <v>0</v>
      </c>
      <c r="R94" s="76">
        <v>42</v>
      </c>
      <c r="S94" s="76">
        <v>27</v>
      </c>
      <c r="T94" s="77">
        <f>+((Q94)+(R94/60)+(S94/3600))</f>
        <v>0.7075</v>
      </c>
      <c r="U94" s="78">
        <f>IFERROR(T94/$AA94,0)</f>
        <v>0.26385579612556</v>
      </c>
      <c r="V94" s="75">
        <v>1</v>
      </c>
      <c r="W94" s="76">
        <v>58</v>
      </c>
      <c r="X94" s="76">
        <v>26</v>
      </c>
      <c r="Y94" s="77">
        <f>+((V94)+(W94/60)+(X94/3600))</f>
        <v>1.9738888888889</v>
      </c>
      <c r="Z94" s="78">
        <f>+IFERROR(Y94/$AA94,0)</f>
        <v>0.73614420387444</v>
      </c>
      <c r="AA94" s="79">
        <f>+Y94+T94</f>
        <v>2.6813888888889</v>
      </c>
      <c r="AB94" s="80"/>
      <c r="AC94" s="81">
        <f>+IFERROR((AA94/P94),0)</f>
        <v>0.38305555555556</v>
      </c>
      <c r="AD94" s="82">
        <f>+IFERROR($O94/$P94,0)</f>
        <v>0.28571428571429</v>
      </c>
      <c r="AE94" s="76">
        <f>+IFERROR(O94/T94,0)</f>
        <v>2.8268551236749</v>
      </c>
      <c r="AF94" s="83">
        <f>+IFERROR(AA94/(P94*$AE$8),0)</f>
        <v>0.047881944444444</v>
      </c>
      <c r="AG94" s="84">
        <f>+P94/$C$8</f>
        <v>0.23333333333333</v>
      </c>
      <c r="AH94" s="85">
        <f>+Y94*($AI$8*$AH$8)</f>
        <v>6.9086111111111</v>
      </c>
      <c r="AI94"/>
    </row>
    <row r="95" spans="1:40">
      <c r="B95" s="70" t="s">
        <v>91</v>
      </c>
      <c r="C95" s="70" t="s">
        <v>99</v>
      </c>
      <c r="D95" s="70" t="s">
        <v>103</v>
      </c>
      <c r="E95" s="70"/>
      <c r="F95" s="70"/>
      <c r="G95" s="70"/>
      <c r="H95" s="70"/>
      <c r="I95" s="70"/>
      <c r="J95" s="70" t="s">
        <v>195</v>
      </c>
      <c r="K95" s="70"/>
      <c r="L95" s="71" t="s">
        <v>95</v>
      </c>
      <c r="M95" s="71">
        <f>data!J8</f>
        <v>30</v>
      </c>
      <c r="N95" s="72">
        <v>11234.0</v>
      </c>
      <c r="O95" s="73">
        <v>156.0</v>
      </c>
      <c r="P95" s="74">
        <v>7.0</v>
      </c>
      <c r="Q95" s="75">
        <v>12</v>
      </c>
      <c r="R95" s="76">
        <v>11</v>
      </c>
      <c r="S95" s="76">
        <v>49</v>
      </c>
      <c r="T95" s="77">
        <f>+((Q95)+(R95/60)+(S95/3600))</f>
        <v>12.196944444444</v>
      </c>
      <c r="U95" s="78">
        <f>IFERROR(T95/$AA95,0)</f>
        <v>0.51962698666288</v>
      </c>
      <c r="V95" s="75">
        <v>11</v>
      </c>
      <c r="W95" s="76">
        <v>16</v>
      </c>
      <c r="X95" s="76">
        <v>32</v>
      </c>
      <c r="Y95" s="77">
        <f>+((V95)+(W95/60)+(X95/3600))</f>
        <v>11.275555555556</v>
      </c>
      <c r="Z95" s="78">
        <f>+IFERROR(Y95/$AA95,0)</f>
        <v>0.48037301333712</v>
      </c>
      <c r="AA95" s="79">
        <f>+Y95+T95</f>
        <v>23.4725</v>
      </c>
      <c r="AB95" s="80"/>
      <c r="AC95" s="81">
        <f>+IFERROR((AA95/P95),0)</f>
        <v>3.3532142857143</v>
      </c>
      <c r="AD95" s="82">
        <f>+IFERROR($O95/$P95,0)</f>
        <v>22.285714285714</v>
      </c>
      <c r="AE95" s="76">
        <f>+IFERROR(O95/T95,0)</f>
        <v>12.790088592316</v>
      </c>
      <c r="AF95" s="83">
        <f>+IFERROR(AA95/(P95*$AE$8),0)</f>
        <v>0.41915178571429</v>
      </c>
      <c r="AG95" s="84">
        <f>+P95/$C$8</f>
        <v>0.23333333333333</v>
      </c>
      <c r="AH95" s="85">
        <f>+Y95*($AI$8*$AH$8)</f>
        <v>39.464444444444</v>
      </c>
      <c r="AI95"/>
    </row>
    <row r="96" spans="1:40">
      <c r="B96" s="70" t="s">
        <v>91</v>
      </c>
      <c r="C96" s="70" t="s">
        <v>99</v>
      </c>
      <c r="D96" s="70" t="s">
        <v>103</v>
      </c>
      <c r="E96" s="70"/>
      <c r="F96" s="70"/>
      <c r="G96" s="70"/>
      <c r="H96" s="70"/>
      <c r="I96" s="70"/>
      <c r="J96" s="70" t="s">
        <v>196</v>
      </c>
      <c r="K96" s="70"/>
      <c r="L96" s="71" t="s">
        <v>95</v>
      </c>
      <c r="M96" s="71">
        <f>data!J8</f>
        <v>30</v>
      </c>
      <c r="N96" s="72">
        <v>9745.0</v>
      </c>
      <c r="O96" s="73">
        <v>237.0</v>
      </c>
      <c r="P96" s="74">
        <v>10.0</v>
      </c>
      <c r="Q96" s="75">
        <v>17</v>
      </c>
      <c r="R96" s="76">
        <v>22</v>
      </c>
      <c r="S96" s="76">
        <v>10</v>
      </c>
      <c r="T96" s="77">
        <f>+((Q96)+(R96/60)+(S96/3600))</f>
        <v>17.369444444444</v>
      </c>
      <c r="U96" s="78">
        <f>IFERROR(T96/$AA96,0)</f>
        <v>0.7791706125704</v>
      </c>
      <c r="V96" s="75">
        <v>4</v>
      </c>
      <c r="W96" s="76">
        <v>55</v>
      </c>
      <c r="X96" s="76">
        <v>22</v>
      </c>
      <c r="Y96" s="77">
        <f>+((V96)+(W96/60)+(X96/3600))</f>
        <v>4.9227777777778</v>
      </c>
      <c r="Z96" s="78">
        <f>+IFERROR(Y96/$AA96,0)</f>
        <v>0.2208293874296</v>
      </c>
      <c r="AA96" s="79">
        <f>+Y96+T96</f>
        <v>22.292222222222</v>
      </c>
      <c r="AB96" s="80"/>
      <c r="AC96" s="81">
        <f>+IFERROR((AA96/P96),0)</f>
        <v>2.2292222222222</v>
      </c>
      <c r="AD96" s="82">
        <f>+IFERROR($O96/$P96,0)</f>
        <v>23.7</v>
      </c>
      <c r="AE96" s="76">
        <f>+IFERROR(O96/T96,0)</f>
        <v>13.644650567727</v>
      </c>
      <c r="AF96" s="83">
        <f>+IFERROR(AA96/(P96*$AE$8),0)</f>
        <v>0.27865277777778</v>
      </c>
      <c r="AG96" s="84">
        <f>+P96/$C$8</f>
        <v>0.33333333333333</v>
      </c>
      <c r="AH96" s="85">
        <f>+Y96*($AI$8*$AH$8)</f>
        <v>17.229722222222</v>
      </c>
      <c r="AI96"/>
    </row>
    <row r="97" spans="1:40">
      <c r="B97" s="70" t="s">
        <v>91</v>
      </c>
      <c r="C97" s="70" t="s">
        <v>99</v>
      </c>
      <c r="D97" s="70" t="s">
        <v>103</v>
      </c>
      <c r="E97" s="70"/>
      <c r="F97" s="70"/>
      <c r="G97" s="70"/>
      <c r="H97" s="70"/>
      <c r="I97" s="70"/>
      <c r="J97" s="70" t="s">
        <v>197</v>
      </c>
      <c r="K97" s="70"/>
      <c r="L97" s="71" t="s">
        <v>95</v>
      </c>
      <c r="M97" s="71">
        <f>data!J8</f>
        <v>30</v>
      </c>
      <c r="N97" s="72">
        <v>14678.0</v>
      </c>
      <c r="O97" s="73">
        <v>457.0</v>
      </c>
      <c r="P97" s="74">
        <v>10.0</v>
      </c>
      <c r="Q97" s="75">
        <v>28</v>
      </c>
      <c r="R97" s="76">
        <v>24</v>
      </c>
      <c r="S97" s="76">
        <v>8</v>
      </c>
      <c r="T97" s="77">
        <f>+((Q97)+(R97/60)+(S97/3600))</f>
        <v>28.402222222222</v>
      </c>
      <c r="U97" s="78">
        <f>IFERROR(T97/$AA97,0)</f>
        <v>0.38200131508159</v>
      </c>
      <c r="V97" s="75">
        <v>45</v>
      </c>
      <c r="W97" s="76">
        <v>56</v>
      </c>
      <c r="X97" s="76">
        <v>56</v>
      </c>
      <c r="Y97" s="77">
        <f>+((V97)+(W97/60)+(X97/3600))</f>
        <v>45.948888888889</v>
      </c>
      <c r="Z97" s="78">
        <f>+IFERROR(Y97/$AA97,0)</f>
        <v>0.61799868491841</v>
      </c>
      <c r="AA97" s="79">
        <f>+Y97+T97</f>
        <v>74.351111111111</v>
      </c>
      <c r="AB97" s="80"/>
      <c r="AC97" s="81">
        <f>+IFERROR((AA97/P97),0)</f>
        <v>7.4351111111111</v>
      </c>
      <c r="AD97" s="82">
        <f>+IFERROR($O97/$P97,0)</f>
        <v>45.7</v>
      </c>
      <c r="AE97" s="76">
        <f>+IFERROR(O97/T97,0)</f>
        <v>16.090290274626</v>
      </c>
      <c r="AF97" s="83">
        <f>+IFERROR(AA97/(P97*$AE$8),0)</f>
        <v>0.92938888888889</v>
      </c>
      <c r="AG97" s="84">
        <f>+P97/$C$8</f>
        <v>0.33333333333333</v>
      </c>
      <c r="AH97" s="85">
        <f>+Y97*($AI$8*$AH$8)</f>
        <v>160.82111111111</v>
      </c>
      <c r="AI97"/>
    </row>
    <row r="98" spans="1:40">
      <c r="B98" s="70" t="s">
        <v>91</v>
      </c>
      <c r="C98" s="70" t="s">
        <v>99</v>
      </c>
      <c r="D98" s="70" t="s">
        <v>103</v>
      </c>
      <c r="E98" s="70"/>
      <c r="F98" s="70"/>
      <c r="G98" s="70"/>
      <c r="H98" s="70"/>
      <c r="I98" s="70"/>
      <c r="J98" s="70" t="s">
        <v>198</v>
      </c>
      <c r="K98" s="70"/>
      <c r="L98" s="71" t="s">
        <v>95</v>
      </c>
      <c r="M98" s="71">
        <f>data!J8</f>
        <v>30</v>
      </c>
      <c r="N98" s="72">
        <v>12311.0</v>
      </c>
      <c r="O98" s="73">
        <v>182.0</v>
      </c>
      <c r="P98" s="74">
        <v>6.0</v>
      </c>
      <c r="Q98" s="75">
        <v>15</v>
      </c>
      <c r="R98" s="76">
        <v>30</v>
      </c>
      <c r="S98" s="76">
        <v>8</v>
      </c>
      <c r="T98" s="77">
        <f>+((Q98)+(R98/60)+(S98/3600))</f>
        <v>15.502222222222</v>
      </c>
      <c r="U98" s="78">
        <f>IFERROR(T98/$AA98,0)</f>
        <v>0.5385988785624</v>
      </c>
      <c r="V98" s="75">
        <v>13</v>
      </c>
      <c r="W98" s="76">
        <v>16</v>
      </c>
      <c r="X98" s="76">
        <v>49</v>
      </c>
      <c r="Y98" s="77">
        <f>+((V98)+(W98/60)+(X98/3600))</f>
        <v>13.280277777778</v>
      </c>
      <c r="Z98" s="78">
        <f>+IFERROR(Y98/$AA98,0)</f>
        <v>0.4614011214376</v>
      </c>
      <c r="AA98" s="79">
        <f>+Y98+T98</f>
        <v>28.7825</v>
      </c>
      <c r="AB98" s="80"/>
      <c r="AC98" s="81">
        <f>+IFERROR((AA98/P98),0)</f>
        <v>4.7970833333333</v>
      </c>
      <c r="AD98" s="82">
        <f>+IFERROR($O98/$P98,0)</f>
        <v>30.333333333333</v>
      </c>
      <c r="AE98" s="76">
        <f>+IFERROR(O98/T98,0)</f>
        <v>11.740252293578</v>
      </c>
      <c r="AF98" s="83">
        <f>+IFERROR(AA98/(P98*$AE$8),0)</f>
        <v>0.59963541666667</v>
      </c>
      <c r="AG98" s="84">
        <f>+P98/$C$8</f>
        <v>0.2</v>
      </c>
      <c r="AH98" s="85">
        <f>+Y98*($AI$8*$AH$8)</f>
        <v>46.480972222222</v>
      </c>
      <c r="AI98"/>
    </row>
    <row r="99" spans="1:40">
      <c r="B99" s="70" t="s">
        <v>91</v>
      </c>
      <c r="C99" s="70" t="s">
        <v>99</v>
      </c>
      <c r="D99" s="70" t="s">
        <v>103</v>
      </c>
      <c r="E99" s="70"/>
      <c r="F99" s="70"/>
      <c r="G99" s="70"/>
      <c r="H99" s="70"/>
      <c r="I99" s="70"/>
      <c r="J99" s="70" t="s">
        <v>199</v>
      </c>
      <c r="K99" s="70"/>
      <c r="L99" s="71" t="s">
        <v>95</v>
      </c>
      <c r="M99" s="71">
        <f>data!J8</f>
        <v>30</v>
      </c>
      <c r="N99" s="72">
        <v>10865.0</v>
      </c>
      <c r="O99" s="73">
        <v>122.0</v>
      </c>
      <c r="P99" s="74">
        <v>7.0</v>
      </c>
      <c r="Q99" s="75">
        <v>9</v>
      </c>
      <c r="R99" s="76">
        <v>36</v>
      </c>
      <c r="S99" s="76">
        <v>34</v>
      </c>
      <c r="T99" s="77">
        <f>+((Q99)+(R99/60)+(S99/3600))</f>
        <v>9.6094444444444</v>
      </c>
      <c r="U99" s="78">
        <f>IFERROR(T99/$AA99,0)</f>
        <v>0.82859880239521</v>
      </c>
      <c r="V99" s="75">
        <v>1</v>
      </c>
      <c r="W99" s="76">
        <v>59</v>
      </c>
      <c r="X99" s="76">
        <v>16</v>
      </c>
      <c r="Y99" s="77">
        <f>+((V99)+(W99/60)+(X99/3600))</f>
        <v>1.9877777777778</v>
      </c>
      <c r="Z99" s="78">
        <f>+IFERROR(Y99/$AA99,0)</f>
        <v>0.17140119760479</v>
      </c>
      <c r="AA99" s="79">
        <f>+Y99+T99</f>
        <v>11.597222222222</v>
      </c>
      <c r="AB99" s="80"/>
      <c r="AC99" s="81">
        <f>+IFERROR((AA99/P99),0)</f>
        <v>1.656746031746</v>
      </c>
      <c r="AD99" s="82">
        <f>+IFERROR($O99/$P99,0)</f>
        <v>17.428571428571</v>
      </c>
      <c r="AE99" s="76">
        <f>+IFERROR(O99/T99,0)</f>
        <v>12.695843209805</v>
      </c>
      <c r="AF99" s="83">
        <f>+IFERROR(AA99/(P99*$AE$8),0)</f>
        <v>0.20709325396825</v>
      </c>
      <c r="AG99" s="84">
        <f>+P99/$C$8</f>
        <v>0.23333333333333</v>
      </c>
      <c r="AH99" s="85">
        <f>+Y99*($AI$8*$AH$8)</f>
        <v>6.9572222222222</v>
      </c>
      <c r="AI99"/>
    </row>
    <row r="100" spans="1:40">
      <c r="B100" s="70" t="s">
        <v>91</v>
      </c>
      <c r="C100" s="70" t="s">
        <v>101</v>
      </c>
      <c r="D100" s="70" t="s">
        <v>108</v>
      </c>
      <c r="E100" s="70"/>
      <c r="F100" s="70"/>
      <c r="G100" s="70"/>
      <c r="H100" s="70"/>
      <c r="I100" s="70"/>
      <c r="J100" s="70" t="s">
        <v>200</v>
      </c>
      <c r="K100" s="70"/>
      <c r="L100" s="71" t="s">
        <v>95</v>
      </c>
      <c r="M100" s="71">
        <f>data!J8</f>
        <v>30</v>
      </c>
      <c r="N100" s="72">
        <v>75335.0</v>
      </c>
      <c r="O100" s="73">
        <v>930.0</v>
      </c>
      <c r="P100" s="74">
        <v>7.0</v>
      </c>
      <c r="Q100" s="75">
        <v>33</v>
      </c>
      <c r="R100" s="76">
        <v>25</v>
      </c>
      <c r="S100" s="76">
        <v>16</v>
      </c>
      <c r="T100" s="77">
        <f>+((Q100)+(R100/60)+(S100/3600))</f>
        <v>33.421111111111</v>
      </c>
      <c r="U100" s="78">
        <f>IFERROR(T100/$AA100,0)</f>
        <v>0.52572796867899</v>
      </c>
      <c r="V100" s="75">
        <v>30</v>
      </c>
      <c r="W100" s="76">
        <v>9</v>
      </c>
      <c r="X100" s="76">
        <v>0</v>
      </c>
      <c r="Y100" s="77">
        <f>+((V100)+(W100/60)+(X100/3600))</f>
        <v>30.15</v>
      </c>
      <c r="Z100" s="78">
        <f>+IFERROR(Y100/$AA100,0)</f>
        <v>0.47427203132101</v>
      </c>
      <c r="AA100" s="79">
        <f>+Y100+T100</f>
        <v>63.571111111111</v>
      </c>
      <c r="AB100" s="80"/>
      <c r="AC100" s="81">
        <f>+IFERROR((AA100/P100),0)</f>
        <v>9.0815873015873</v>
      </c>
      <c r="AD100" s="82">
        <f>+IFERROR($O100/$P100,0)</f>
        <v>132.85714285714</v>
      </c>
      <c r="AE100" s="76">
        <f>+IFERROR(O100/T100,0)</f>
        <v>27.826722962864</v>
      </c>
      <c r="AF100" s="83">
        <f>+IFERROR(AA100/(P100*$AE$8),0)</f>
        <v>1.1351984126984</v>
      </c>
      <c r="AG100" s="84">
        <f>+P100/$C$8</f>
        <v>0.23333333333333</v>
      </c>
      <c r="AH100" s="85">
        <f>+Y100*($AI$8*$AH$8)</f>
        <v>105.525</v>
      </c>
      <c r="AI100"/>
    </row>
    <row r="101" spans="1:40">
      <c r="B101" s="70" t="s">
        <v>91</v>
      </c>
      <c r="C101" s="70" t="s">
        <v>101</v>
      </c>
      <c r="D101" s="70" t="s">
        <v>108</v>
      </c>
      <c r="E101" s="70"/>
      <c r="F101" s="70"/>
      <c r="G101" s="70"/>
      <c r="H101" s="70"/>
      <c r="I101" s="70"/>
      <c r="J101" s="70" t="s">
        <v>201</v>
      </c>
      <c r="K101" s="70"/>
      <c r="L101" s="71" t="s">
        <v>95</v>
      </c>
      <c r="M101" s="71">
        <f>data!J8</f>
        <v>30</v>
      </c>
      <c r="N101" s="72">
        <v>95402.0</v>
      </c>
      <c r="O101" s="73">
        <v>909.0</v>
      </c>
      <c r="P101" s="74">
        <v>7.0</v>
      </c>
      <c r="Q101" s="75">
        <v>33</v>
      </c>
      <c r="R101" s="76">
        <v>9</v>
      </c>
      <c r="S101" s="76">
        <v>57</v>
      </c>
      <c r="T101" s="77">
        <f>+((Q101)+(R101/60)+(S101/3600))</f>
        <v>33.165833333333</v>
      </c>
      <c r="U101" s="78">
        <f>IFERROR(T101/$AA101,0)</f>
        <v>0.61586749747251</v>
      </c>
      <c r="V101" s="75">
        <v>20</v>
      </c>
      <c r="W101" s="76">
        <v>41</v>
      </c>
      <c r="X101" s="76">
        <v>11</v>
      </c>
      <c r="Y101" s="77">
        <f>+((V101)+(W101/60)+(X101/3600))</f>
        <v>20.686388888889</v>
      </c>
      <c r="Z101" s="78">
        <f>+IFERROR(Y101/$AA101,0)</f>
        <v>0.38413250252749</v>
      </c>
      <c r="AA101" s="79">
        <f>+Y101+T101</f>
        <v>53.852222222222</v>
      </c>
      <c r="AB101" s="80"/>
      <c r="AC101" s="81">
        <f>+IFERROR((AA101/P101),0)</f>
        <v>7.6931746031746</v>
      </c>
      <c r="AD101" s="82">
        <f>+IFERROR($O101/$P101,0)</f>
        <v>129.85714285714</v>
      </c>
      <c r="AE101" s="76">
        <f>+IFERROR(O101/T101,0)</f>
        <v>27.407723812156</v>
      </c>
      <c r="AF101" s="83">
        <f>+IFERROR(AA101/(P101*$AE$8),0)</f>
        <v>0.96164682539683</v>
      </c>
      <c r="AG101" s="84">
        <f>+P101/$C$8</f>
        <v>0.23333333333333</v>
      </c>
      <c r="AH101" s="85">
        <f>+Y101*($AI$8*$AH$8)</f>
        <v>72.402361111111</v>
      </c>
      <c r="AI101"/>
    </row>
    <row r="102" spans="1:40">
      <c r="B102" s="70" t="s">
        <v>91</v>
      </c>
      <c r="C102" s="70" t="s">
        <v>101</v>
      </c>
      <c r="D102" s="70" t="s">
        <v>108</v>
      </c>
      <c r="E102" s="70"/>
      <c r="F102" s="70"/>
      <c r="G102" s="70"/>
      <c r="H102" s="70"/>
      <c r="I102" s="70"/>
      <c r="J102" s="70" t="s">
        <v>202</v>
      </c>
      <c r="K102" s="70"/>
      <c r="L102" s="71" t="s">
        <v>326</v>
      </c>
      <c r="M102" s="71">
        <f>data!J8</f>
        <v>30</v>
      </c>
      <c r="N102" s="72">
        <v>75278.0</v>
      </c>
      <c r="O102" s="73">
        <v>1.0</v>
      </c>
      <c r="P102" s="74">
        <v>5.0</v>
      </c>
      <c r="Q102" s="75">
        <v>0</v>
      </c>
      <c r="R102" s="76">
        <v>29</v>
      </c>
      <c r="S102" s="76">
        <v>21</v>
      </c>
      <c r="T102" s="77">
        <f>+((Q102)+(R102/60)+(S102/3600))</f>
        <v>0.48916666666667</v>
      </c>
      <c r="U102" s="78">
        <f>IFERROR(T102/$AA102,0)</f>
        <v>0.36972496325845</v>
      </c>
      <c r="V102" s="75">
        <v>0</v>
      </c>
      <c r="W102" s="76">
        <v>50</v>
      </c>
      <c r="X102" s="76">
        <v>2</v>
      </c>
      <c r="Y102" s="77">
        <f>+((V102)+(W102/60)+(X102/3600))</f>
        <v>0.83388888888889</v>
      </c>
      <c r="Z102" s="78">
        <f>+IFERROR(Y102/$AA102,0)</f>
        <v>0.63027503674155</v>
      </c>
      <c r="AA102" s="79">
        <f>+Y102+T102</f>
        <v>1.3230555555556</v>
      </c>
      <c r="AB102" s="80"/>
      <c r="AC102" s="81">
        <f>+IFERROR((AA102/P102),0)</f>
        <v>0.26461111111111</v>
      </c>
      <c r="AD102" s="82">
        <f>+IFERROR($O102/$P102,0)</f>
        <v>0.2</v>
      </c>
      <c r="AE102" s="76">
        <f>+IFERROR(O102/T102,0)</f>
        <v>2.0442930153322</v>
      </c>
      <c r="AF102" s="83">
        <f>+IFERROR(AA102/(P102*$AE$8),0)</f>
        <v>0.033076388888889</v>
      </c>
      <c r="AG102" s="84">
        <f>+P102/$C$8</f>
        <v>0.16666666666667</v>
      </c>
      <c r="AH102" s="85">
        <f>+Y102*($AI$8*$AH$8)</f>
        <v>2.9186111111111</v>
      </c>
      <c r="AI102"/>
    </row>
    <row r="103" spans="1:40">
      <c r="B103" s="70" t="s">
        <v>91</v>
      </c>
      <c r="C103" s="70" t="s">
        <v>100</v>
      </c>
      <c r="D103" s="70" t="s">
        <v>107</v>
      </c>
      <c r="E103" s="70"/>
      <c r="F103" s="70"/>
      <c r="G103" s="70"/>
      <c r="H103" s="70"/>
      <c r="I103" s="70"/>
      <c r="J103" s="70" t="s">
        <v>203</v>
      </c>
      <c r="K103" s="70"/>
      <c r="L103" s="71" t="s">
        <v>95</v>
      </c>
      <c r="M103" s="71">
        <f>data!J8</f>
        <v>30</v>
      </c>
      <c r="N103" s="72">
        <v>197561.0</v>
      </c>
      <c r="O103" s="73">
        <v>0.0</v>
      </c>
      <c r="P103" s="74">
        <v>1.0</v>
      </c>
      <c r="Q103" s="75">
        <v>0</v>
      </c>
      <c r="R103" s="76">
        <v>0</v>
      </c>
      <c r="S103" s="76">
        <v>52</v>
      </c>
      <c r="T103" s="77">
        <f>+((Q103)+(R103/60)+(S103/3600))</f>
        <v>0.014444444444444</v>
      </c>
      <c r="U103" s="78">
        <f>IFERROR(T103/$AA103,0)</f>
        <v>1</v>
      </c>
      <c r="V103" s="75">
        <v>0</v>
      </c>
      <c r="W103" s="76">
        <v>0</v>
      </c>
      <c r="X103" s="76">
        <v>0</v>
      </c>
      <c r="Y103" s="77">
        <f>+((V103)+(W103/60)+(X103/3600))</f>
        <v>0</v>
      </c>
      <c r="Z103" s="78">
        <f>+IFERROR(Y103/$AA103,0)</f>
        <v>0</v>
      </c>
      <c r="AA103" s="79">
        <f>+Y103+T103</f>
        <v>0.014444444444444</v>
      </c>
      <c r="AB103" s="80"/>
      <c r="AC103" s="81">
        <f>+IFERROR((AA103/P103),0)</f>
        <v>0.014444444444444</v>
      </c>
      <c r="AD103" s="82">
        <f>+IFERROR($O103/$P103,0)</f>
        <v>0</v>
      </c>
      <c r="AE103" s="76">
        <f>+IFERROR(O103/T103,0)</f>
        <v>0</v>
      </c>
      <c r="AF103" s="83">
        <f>+IFERROR(AA103/(P103*$AE$8),0)</f>
        <v>0.0018055555555556</v>
      </c>
      <c r="AG103" s="84">
        <f>+P103/$C$8</f>
        <v>0.033333333333333</v>
      </c>
      <c r="AH103" s="85">
        <f>+Y103*($AI$8*$AH$8)</f>
        <v>0</v>
      </c>
      <c r="AI103"/>
    </row>
    <row r="104" spans="1:40">
      <c r="B104" s="70" t="s">
        <v>91</v>
      </c>
      <c r="C104" s="70" t="s">
        <v>100</v>
      </c>
      <c r="D104" s="70" t="s">
        <v>106</v>
      </c>
      <c r="E104" s="70"/>
      <c r="F104" s="70"/>
      <c r="G104" s="70"/>
      <c r="H104" s="70"/>
      <c r="I104" s="70"/>
      <c r="J104" s="70" t="s">
        <v>204</v>
      </c>
      <c r="K104" s="70"/>
      <c r="L104" s="71" t="s">
        <v>95</v>
      </c>
      <c r="M104" s="71">
        <f>data!J8</f>
        <v>30</v>
      </c>
      <c r="N104" s="72">
        <v>101112.0</v>
      </c>
      <c r="O104" s="73">
        <v>0.0</v>
      </c>
      <c r="P104" s="74">
        <v>1.0</v>
      </c>
      <c r="Q104" s="75">
        <v>0</v>
      </c>
      <c r="R104" s="76">
        <v>0</v>
      </c>
      <c r="S104" s="76">
        <v>33</v>
      </c>
      <c r="T104" s="77">
        <f>+((Q104)+(R104/60)+(S104/3600))</f>
        <v>0.0091666666666667</v>
      </c>
      <c r="U104" s="78">
        <f>IFERROR(T104/$AA104,0)</f>
        <v>1</v>
      </c>
      <c r="V104" s="75">
        <v>0</v>
      </c>
      <c r="W104" s="76">
        <v>0</v>
      </c>
      <c r="X104" s="76">
        <v>0</v>
      </c>
      <c r="Y104" s="77">
        <f>+((V104)+(W104/60)+(X104/3600))</f>
        <v>0</v>
      </c>
      <c r="Z104" s="78">
        <f>+IFERROR(Y104/$AA104,0)</f>
        <v>0</v>
      </c>
      <c r="AA104" s="79">
        <f>+Y104+T104</f>
        <v>0.0091666666666667</v>
      </c>
      <c r="AB104" s="80"/>
      <c r="AC104" s="81">
        <f>+IFERROR((AA104/P104),0)</f>
        <v>0.0091666666666667</v>
      </c>
      <c r="AD104" s="82">
        <f>+IFERROR($O104/$P104,0)</f>
        <v>0</v>
      </c>
      <c r="AE104" s="76">
        <f>+IFERROR(O104/T104,0)</f>
        <v>0</v>
      </c>
      <c r="AF104" s="83">
        <f>+IFERROR(AA104/(P104*$AE$8),0)</f>
        <v>0.0011458333333333</v>
      </c>
      <c r="AG104" s="84">
        <f>+P104/$C$8</f>
        <v>0.033333333333333</v>
      </c>
      <c r="AH104" s="85">
        <f>+Y104*($AI$8*$AH$8)</f>
        <v>0</v>
      </c>
      <c r="AI104"/>
    </row>
    <row r="105" spans="1:40">
      <c r="B105" s="70" t="s">
        <v>91</v>
      </c>
      <c r="C105" s="70" t="s">
        <v>100</v>
      </c>
      <c r="D105" s="70" t="s">
        <v>106</v>
      </c>
      <c r="E105" s="70"/>
      <c r="F105" s="70"/>
      <c r="G105" s="70"/>
      <c r="H105" s="70"/>
      <c r="I105" s="70"/>
      <c r="J105" s="70" t="s">
        <v>205</v>
      </c>
      <c r="K105" s="70"/>
      <c r="L105" s="71" t="s">
        <v>95</v>
      </c>
      <c r="M105" s="71">
        <f>data!J8</f>
        <v>30</v>
      </c>
      <c r="N105" s="72">
        <v>130024.0</v>
      </c>
      <c r="O105" s="73">
        <v>470.0</v>
      </c>
      <c r="P105" s="74">
        <v>7.0</v>
      </c>
      <c r="Q105" s="75">
        <v>14</v>
      </c>
      <c r="R105" s="76">
        <v>51</v>
      </c>
      <c r="S105" s="76">
        <v>30</v>
      </c>
      <c r="T105" s="77">
        <f>+((Q105)+(R105/60)+(S105/3600))</f>
        <v>14.858333333333</v>
      </c>
      <c r="U105" s="78">
        <f>IFERROR(T105/$AA105,0)</f>
        <v>0.90668700737351</v>
      </c>
      <c r="V105" s="75">
        <v>1</v>
      </c>
      <c r="W105" s="76">
        <v>31</v>
      </c>
      <c r="X105" s="76">
        <v>45</v>
      </c>
      <c r="Y105" s="77">
        <f>+((V105)+(W105/60)+(X105/3600))</f>
        <v>1.5291666666667</v>
      </c>
      <c r="Z105" s="78">
        <f>+IFERROR(Y105/$AA105,0)</f>
        <v>0.093312992626494</v>
      </c>
      <c r="AA105" s="79">
        <f>+Y105+T105</f>
        <v>16.3875</v>
      </c>
      <c r="AB105" s="80"/>
      <c r="AC105" s="81">
        <f>+IFERROR((AA105/P105),0)</f>
        <v>2.3410714285714</v>
      </c>
      <c r="AD105" s="82">
        <f>+IFERROR($O105/$P105,0)</f>
        <v>67.142857142857</v>
      </c>
      <c r="AE105" s="76">
        <f>+IFERROR(O105/T105,0)</f>
        <v>31.632080762759</v>
      </c>
      <c r="AF105" s="83">
        <f>+IFERROR(AA105/(P105*$AE$8),0)</f>
        <v>0.29263392857143</v>
      </c>
      <c r="AG105" s="84">
        <f>+P105/$C$8</f>
        <v>0.23333333333333</v>
      </c>
      <c r="AH105" s="85">
        <f>+Y105*($AI$8*$AH$8)</f>
        <v>5.3520833333333</v>
      </c>
      <c r="AI105"/>
    </row>
    <row r="106" spans="1:40">
      <c r="B106" s="70" t="s">
        <v>91</v>
      </c>
      <c r="C106" s="70" t="s">
        <v>100</v>
      </c>
      <c r="D106" s="70" t="s">
        <v>106</v>
      </c>
      <c r="E106" s="70"/>
      <c r="F106" s="70"/>
      <c r="G106" s="70"/>
      <c r="H106" s="70"/>
      <c r="I106" s="70"/>
      <c r="J106" s="70" t="s">
        <v>206</v>
      </c>
      <c r="K106" s="70"/>
      <c r="L106" s="71" t="s">
        <v>95</v>
      </c>
      <c r="M106" s="71">
        <f>data!J8</f>
        <v>30</v>
      </c>
      <c r="N106" s="72">
        <v>132593.0</v>
      </c>
      <c r="O106" s="73">
        <v>205.0</v>
      </c>
      <c r="P106" s="74">
        <v>5.0</v>
      </c>
      <c r="Q106" s="75">
        <v>8</v>
      </c>
      <c r="R106" s="76">
        <v>27</v>
      </c>
      <c r="S106" s="76">
        <v>47</v>
      </c>
      <c r="T106" s="77">
        <f>+((Q106)+(R106/60)+(S106/3600))</f>
        <v>8.4630555555556</v>
      </c>
      <c r="U106" s="78">
        <f>IFERROR(T106/$AA106,0)</f>
        <v>0.97860790800758</v>
      </c>
      <c r="V106" s="75">
        <v>0</v>
      </c>
      <c r="W106" s="76">
        <v>11</v>
      </c>
      <c r="X106" s="76">
        <v>6</v>
      </c>
      <c r="Y106" s="77">
        <f>+((V106)+(W106/60)+(X106/3600))</f>
        <v>0.185</v>
      </c>
      <c r="Z106" s="78">
        <f>+IFERROR(Y106/$AA106,0)</f>
        <v>0.02139209199242</v>
      </c>
      <c r="AA106" s="79">
        <f>+Y106+T106</f>
        <v>8.6480555555556</v>
      </c>
      <c r="AB106" s="80"/>
      <c r="AC106" s="81">
        <f>+IFERROR((AA106/P106),0)</f>
        <v>1.7296111111111</v>
      </c>
      <c r="AD106" s="82">
        <f>+IFERROR($O106/$P106,0)</f>
        <v>41</v>
      </c>
      <c r="AE106" s="76">
        <f>+IFERROR(O106/T106,0)</f>
        <v>24.222929727246</v>
      </c>
      <c r="AF106" s="83">
        <f>+IFERROR(AA106/(P106*$AE$8),0)</f>
        <v>0.21620138888889</v>
      </c>
      <c r="AG106" s="84">
        <f>+P106/$C$8</f>
        <v>0.16666666666667</v>
      </c>
      <c r="AH106" s="85">
        <f>+Y106*($AI$8*$AH$8)</f>
        <v>0.6475</v>
      </c>
      <c r="AI106"/>
    </row>
    <row r="107" spans="1:40">
      <c r="B107" s="70" t="s">
        <v>91</v>
      </c>
      <c r="C107" s="70" t="s">
        <v>100</v>
      </c>
      <c r="D107" s="70" t="s">
        <v>106</v>
      </c>
      <c r="E107" s="70"/>
      <c r="F107" s="70"/>
      <c r="G107" s="70"/>
      <c r="H107" s="70"/>
      <c r="I107" s="70"/>
      <c r="J107" s="70" t="s">
        <v>207</v>
      </c>
      <c r="K107" s="70"/>
      <c r="L107" s="71" t="s">
        <v>95</v>
      </c>
      <c r="M107" s="71">
        <f>data!J8</f>
        <v>30</v>
      </c>
      <c r="N107" s="72">
        <v>95225.0</v>
      </c>
      <c r="O107" s="73">
        <v>217.0</v>
      </c>
      <c r="P107" s="74">
        <v>3.0</v>
      </c>
      <c r="Q107" s="75">
        <v>11</v>
      </c>
      <c r="R107" s="76">
        <v>19</v>
      </c>
      <c r="S107" s="76">
        <v>35</v>
      </c>
      <c r="T107" s="77">
        <f>+((Q107)+(R107/60)+(S107/3600))</f>
        <v>11.326388888889</v>
      </c>
      <c r="U107" s="78">
        <f>IFERROR(T107/$AA107,0)</f>
        <v>0.92086542153165</v>
      </c>
      <c r="V107" s="75">
        <v>0</v>
      </c>
      <c r="W107" s="76">
        <v>58</v>
      </c>
      <c r="X107" s="76">
        <v>24</v>
      </c>
      <c r="Y107" s="77">
        <f>+((V107)+(W107/60)+(X107/3600))</f>
        <v>0.97333333333333</v>
      </c>
      <c r="Z107" s="78">
        <f>+IFERROR(Y107/$AA107,0)</f>
        <v>0.079134578468348</v>
      </c>
      <c r="AA107" s="79">
        <f>+Y107+T107</f>
        <v>12.299722222222</v>
      </c>
      <c r="AB107" s="80"/>
      <c r="AC107" s="81">
        <f>+IFERROR((AA107/P107),0)</f>
        <v>4.0999074074074</v>
      </c>
      <c r="AD107" s="82">
        <f>+IFERROR($O107/$P107,0)</f>
        <v>72.333333333333</v>
      </c>
      <c r="AE107" s="76">
        <f>+IFERROR(O107/T107,0)</f>
        <v>19.158798283262</v>
      </c>
      <c r="AF107" s="83">
        <f>+IFERROR(AA107/(P107*$AE$8),0)</f>
        <v>0.51248842592593</v>
      </c>
      <c r="AG107" s="84">
        <f>+P107/$C$8</f>
        <v>0.1</v>
      </c>
      <c r="AH107" s="85">
        <f>+Y107*($AI$8*$AH$8)</f>
        <v>3.4066666666667</v>
      </c>
      <c r="AI107"/>
    </row>
    <row r="108" spans="1:40">
      <c r="B108" s="70" t="s">
        <v>91</v>
      </c>
      <c r="C108" s="70" t="s">
        <v>100</v>
      </c>
      <c r="D108" s="70" t="s">
        <v>106</v>
      </c>
      <c r="E108" s="70"/>
      <c r="F108" s="70"/>
      <c r="G108" s="70"/>
      <c r="H108" s="70"/>
      <c r="I108" s="70"/>
      <c r="J108" s="70" t="s">
        <v>208</v>
      </c>
      <c r="K108" s="70"/>
      <c r="L108" s="71" t="s">
        <v>95</v>
      </c>
      <c r="M108" s="71">
        <f>data!J8</f>
        <v>30</v>
      </c>
      <c r="N108" s="72">
        <v>74634.0</v>
      </c>
      <c r="O108" s="73">
        <v>565.0</v>
      </c>
      <c r="P108" s="74">
        <v>6.0</v>
      </c>
      <c r="Q108" s="75">
        <v>18</v>
      </c>
      <c r="R108" s="76">
        <v>41</v>
      </c>
      <c r="S108" s="76">
        <v>57</v>
      </c>
      <c r="T108" s="77">
        <f>+((Q108)+(R108/60)+(S108/3600))</f>
        <v>18.699166666667</v>
      </c>
      <c r="U108" s="78">
        <f>IFERROR(T108/$AA108,0)</f>
        <v>0.85610184148947</v>
      </c>
      <c r="V108" s="75">
        <v>3</v>
      </c>
      <c r="W108" s="76">
        <v>8</v>
      </c>
      <c r="X108" s="76">
        <v>35</v>
      </c>
      <c r="Y108" s="77">
        <f>+((V108)+(W108/60)+(X108/3600))</f>
        <v>3.1430555555556</v>
      </c>
      <c r="Z108" s="78">
        <f>+IFERROR(Y108/$AA108,0)</f>
        <v>0.14389815851053</v>
      </c>
      <c r="AA108" s="79">
        <f>+Y108+T108</f>
        <v>21.842222222222</v>
      </c>
      <c r="AB108" s="80"/>
      <c r="AC108" s="81">
        <f>+IFERROR((AA108/P108),0)</f>
        <v>3.6403703703704</v>
      </c>
      <c r="AD108" s="82">
        <f>+IFERROR($O108/$P108,0)</f>
        <v>94.166666666667</v>
      </c>
      <c r="AE108" s="76">
        <f>+IFERROR(O108/T108,0)</f>
        <v>30.215250233968</v>
      </c>
      <c r="AF108" s="83">
        <f>+IFERROR(AA108/(P108*$AE$8),0)</f>
        <v>0.4550462962963</v>
      </c>
      <c r="AG108" s="84">
        <f>+P108/$C$8</f>
        <v>0.2</v>
      </c>
      <c r="AH108" s="85">
        <f>+Y108*($AI$8*$AH$8)</f>
        <v>11.000694444444</v>
      </c>
      <c r="AI108"/>
    </row>
    <row r="109" spans="1:40">
      <c r="B109" s="70" t="s">
        <v>91</v>
      </c>
      <c r="C109" s="70" t="s">
        <v>100</v>
      </c>
      <c r="D109" s="70" t="s">
        <v>106</v>
      </c>
      <c r="E109" s="70"/>
      <c r="F109" s="70"/>
      <c r="G109" s="70"/>
      <c r="H109" s="70"/>
      <c r="I109" s="70"/>
      <c r="J109" s="70" t="s">
        <v>209</v>
      </c>
      <c r="K109" s="70"/>
      <c r="L109" s="71" t="s">
        <v>95</v>
      </c>
      <c r="M109" s="71">
        <f>data!J8</f>
        <v>30</v>
      </c>
      <c r="N109" s="72">
        <v>29643.0</v>
      </c>
      <c r="O109" s="73">
        <v>50.0</v>
      </c>
      <c r="P109" s="74">
        <v>3.0</v>
      </c>
      <c r="Q109" s="75">
        <v>2</v>
      </c>
      <c r="R109" s="76">
        <v>57</v>
      </c>
      <c r="S109" s="76">
        <v>45</v>
      </c>
      <c r="T109" s="77">
        <f>+((Q109)+(R109/60)+(S109/3600))</f>
        <v>2.9625</v>
      </c>
      <c r="U109" s="78">
        <f>IFERROR(T109/$AA109,0)</f>
        <v>0.95530275886779</v>
      </c>
      <c r="V109" s="75">
        <v>0</v>
      </c>
      <c r="W109" s="76">
        <v>8</v>
      </c>
      <c r="X109" s="76">
        <v>19</v>
      </c>
      <c r="Y109" s="77">
        <f>+((V109)+(W109/60)+(X109/3600))</f>
        <v>0.13861111111111</v>
      </c>
      <c r="Z109" s="78">
        <f>+IFERROR(Y109/$AA109,0)</f>
        <v>0.044697241132211</v>
      </c>
      <c r="AA109" s="79">
        <f>+Y109+T109</f>
        <v>3.1011111111111</v>
      </c>
      <c r="AB109" s="80"/>
      <c r="AC109" s="81">
        <f>+IFERROR((AA109/P109),0)</f>
        <v>1.0337037037037</v>
      </c>
      <c r="AD109" s="82">
        <f>+IFERROR($O109/$P109,0)</f>
        <v>16.666666666667</v>
      </c>
      <c r="AE109" s="76">
        <f>+IFERROR(O109/T109,0)</f>
        <v>16.877637130802</v>
      </c>
      <c r="AF109" s="83">
        <f>+IFERROR(AA109/(P109*$AE$8),0)</f>
        <v>0.12921296296296</v>
      </c>
      <c r="AG109" s="84">
        <f>+P109/$C$8</f>
        <v>0.1</v>
      </c>
      <c r="AH109" s="85">
        <f>+Y109*($AI$8*$AH$8)</f>
        <v>0.48513888888889</v>
      </c>
      <c r="AI109"/>
    </row>
    <row r="110" spans="1:40">
      <c r="B110" s="70" t="s">
        <v>91</v>
      </c>
      <c r="C110" s="70" t="s">
        <v>101</v>
      </c>
      <c r="D110" s="70" t="s">
        <v>109</v>
      </c>
      <c r="E110" s="70"/>
      <c r="F110" s="70"/>
      <c r="G110" s="70"/>
      <c r="H110" s="70"/>
      <c r="I110" s="70"/>
      <c r="J110" s="70" t="s">
        <v>210</v>
      </c>
      <c r="K110" s="70"/>
      <c r="L110" s="71" t="s">
        <v>95</v>
      </c>
      <c r="M110" s="71">
        <f>data!J8</f>
        <v>30</v>
      </c>
      <c r="N110" s="72">
        <v>69642.0</v>
      </c>
      <c r="O110" s="73">
        <v>445.0</v>
      </c>
      <c r="P110" s="74">
        <v>5.0</v>
      </c>
      <c r="Q110" s="75">
        <v>15</v>
      </c>
      <c r="R110" s="76">
        <v>37</v>
      </c>
      <c r="S110" s="76">
        <v>44</v>
      </c>
      <c r="T110" s="77">
        <f>+((Q110)+(R110/60)+(S110/3600))</f>
        <v>15.628888888889</v>
      </c>
      <c r="U110" s="78">
        <f>IFERROR(T110/$AA110,0)</f>
        <v>0.61104051955386</v>
      </c>
      <c r="V110" s="75">
        <v>9</v>
      </c>
      <c r="W110" s="76">
        <v>56</v>
      </c>
      <c r="X110" s="76">
        <v>55</v>
      </c>
      <c r="Y110" s="77">
        <f>+((V110)+(W110/60)+(X110/3600))</f>
        <v>9.9486111111111</v>
      </c>
      <c r="Z110" s="78">
        <f>+IFERROR(Y110/$AA110,0)</f>
        <v>0.38895948044614</v>
      </c>
      <c r="AA110" s="79">
        <f>+Y110+T110</f>
        <v>25.5775</v>
      </c>
      <c r="AB110" s="80"/>
      <c r="AC110" s="81">
        <f>+IFERROR((AA110/P110),0)</f>
        <v>5.1155</v>
      </c>
      <c r="AD110" s="82">
        <f>+IFERROR($O110/$P110,0)</f>
        <v>89</v>
      </c>
      <c r="AE110" s="76">
        <f>+IFERROR(O110/T110,0)</f>
        <v>28.472913408218</v>
      </c>
      <c r="AF110" s="83">
        <f>+IFERROR(AA110/(P110*$AE$8),0)</f>
        <v>0.6394375</v>
      </c>
      <c r="AG110" s="84">
        <f>+P110/$C$8</f>
        <v>0.16666666666667</v>
      </c>
      <c r="AH110" s="85">
        <f>+Y110*($AI$8*$AH$8)</f>
        <v>34.820138888889</v>
      </c>
      <c r="AI110"/>
    </row>
    <row r="111" spans="1:40">
      <c r="B111" s="70" t="s">
        <v>91</v>
      </c>
      <c r="C111" s="70" t="s">
        <v>101</v>
      </c>
      <c r="D111" s="70" t="s">
        <v>109</v>
      </c>
      <c r="E111" s="70"/>
      <c r="F111" s="70"/>
      <c r="G111" s="70"/>
      <c r="H111" s="70"/>
      <c r="I111" s="70"/>
      <c r="J111" s="70" t="s">
        <v>211</v>
      </c>
      <c r="K111" s="70"/>
      <c r="L111" s="71" t="s">
        <v>95</v>
      </c>
      <c r="M111" s="71">
        <f>data!J8</f>
        <v>30</v>
      </c>
      <c r="N111" s="72">
        <v>74903.0</v>
      </c>
      <c r="O111" s="73">
        <v>120.0</v>
      </c>
      <c r="P111" s="74">
        <v>4.0</v>
      </c>
      <c r="Q111" s="75">
        <v>4</v>
      </c>
      <c r="R111" s="76">
        <v>52</v>
      </c>
      <c r="S111" s="76">
        <v>30</v>
      </c>
      <c r="T111" s="77">
        <f>+((Q111)+(R111/60)+(S111/3600))</f>
        <v>4.875</v>
      </c>
      <c r="U111" s="78">
        <f>IFERROR(T111/$AA111,0)</f>
        <v>0.6823218381867</v>
      </c>
      <c r="V111" s="75">
        <v>2</v>
      </c>
      <c r="W111" s="76">
        <v>16</v>
      </c>
      <c r="X111" s="76">
        <v>11</v>
      </c>
      <c r="Y111" s="77">
        <f>+((V111)+(W111/60)+(X111/3600))</f>
        <v>2.2697222222222</v>
      </c>
      <c r="Z111" s="78">
        <f>+IFERROR(Y111/$AA111,0)</f>
        <v>0.3176781618133</v>
      </c>
      <c r="AA111" s="79">
        <f>+Y111+T111</f>
        <v>7.1447222222222</v>
      </c>
      <c r="AB111" s="80"/>
      <c r="AC111" s="81">
        <f>+IFERROR((AA111/P111),0)</f>
        <v>1.7861805555556</v>
      </c>
      <c r="AD111" s="82">
        <f>+IFERROR($O111/$P111,0)</f>
        <v>30</v>
      </c>
      <c r="AE111" s="76">
        <f>+IFERROR(O111/T111,0)</f>
        <v>24.615384615385</v>
      </c>
      <c r="AF111" s="83">
        <f>+IFERROR(AA111/(P111*$AE$8),0)</f>
        <v>0.22327256944444</v>
      </c>
      <c r="AG111" s="84">
        <f>+P111/$C$8</f>
        <v>0.13333333333333</v>
      </c>
      <c r="AH111" s="85">
        <f>+Y111*($AI$8*$AH$8)</f>
        <v>7.9440277777778</v>
      </c>
      <c r="AI111"/>
    </row>
    <row r="112" spans="1:40">
      <c r="B112" s="70" t="s">
        <v>91</v>
      </c>
      <c r="C112" s="70" t="s">
        <v>102</v>
      </c>
      <c r="D112" s="70" t="s">
        <v>110</v>
      </c>
      <c r="E112" s="70"/>
      <c r="F112" s="70"/>
      <c r="G112" s="70"/>
      <c r="H112" s="70"/>
      <c r="I112" s="70"/>
      <c r="J112" s="70" t="s">
        <v>212</v>
      </c>
      <c r="K112" s="70"/>
      <c r="L112" s="71" t="s">
        <v>95</v>
      </c>
      <c r="M112" s="71">
        <f>data!J8</f>
        <v>30</v>
      </c>
      <c r="N112" s="72">
        <v>5444.0</v>
      </c>
      <c r="O112" s="73">
        <v>30.0</v>
      </c>
      <c r="P112" s="74">
        <v>5.0</v>
      </c>
      <c r="Q112" s="75">
        <v>1</v>
      </c>
      <c r="R112" s="76">
        <v>49</v>
      </c>
      <c r="S112" s="76">
        <v>55</v>
      </c>
      <c r="T112" s="77">
        <f>+((Q112)+(R112/60)+(S112/3600))</f>
        <v>1.8319444444444</v>
      </c>
      <c r="U112" s="78">
        <f>IFERROR(T112/$AA112,0)</f>
        <v>0.68193568400372</v>
      </c>
      <c r="V112" s="75">
        <v>0</v>
      </c>
      <c r="W112" s="76">
        <v>51</v>
      </c>
      <c r="X112" s="76">
        <v>16</v>
      </c>
      <c r="Y112" s="77">
        <f>+((V112)+(W112/60)+(X112/3600))</f>
        <v>0.85444444444444</v>
      </c>
      <c r="Z112" s="78">
        <f>+IFERROR(Y112/$AA112,0)</f>
        <v>0.31806431599628</v>
      </c>
      <c r="AA112" s="79">
        <f>+Y112+T112</f>
        <v>2.6863888888889</v>
      </c>
      <c r="AB112" s="80"/>
      <c r="AC112" s="81">
        <f>+IFERROR((AA112/P112),0)</f>
        <v>0.53727777777778</v>
      </c>
      <c r="AD112" s="82">
        <f>+IFERROR($O112/$P112,0)</f>
        <v>6</v>
      </c>
      <c r="AE112" s="76">
        <f>+IFERROR(O112/T112,0)</f>
        <v>16.376042456406</v>
      </c>
      <c r="AF112" s="83">
        <f>+IFERROR(AA112/(P112*$AE$8),0)</f>
        <v>0.067159722222222</v>
      </c>
      <c r="AG112" s="84">
        <f>+P112/$C$8</f>
        <v>0.16666666666667</v>
      </c>
      <c r="AH112" s="85">
        <f>+Y112*($AI$8*$AH$8)</f>
        <v>2.9905555555556</v>
      </c>
      <c r="AI112"/>
    </row>
    <row r="113" spans="1:40">
      <c r="B113" s="70" t="s">
        <v>91</v>
      </c>
      <c r="C113" s="70" t="s">
        <v>102</v>
      </c>
      <c r="D113" s="70" t="s">
        <v>110</v>
      </c>
      <c r="E113" s="70"/>
      <c r="F113" s="70"/>
      <c r="G113" s="70"/>
      <c r="H113" s="70"/>
      <c r="I113" s="70"/>
      <c r="J113" s="70" t="s">
        <v>213</v>
      </c>
      <c r="K113" s="70"/>
      <c r="L113" s="71" t="s">
        <v>95</v>
      </c>
      <c r="M113" s="71">
        <f>data!J8</f>
        <v>30</v>
      </c>
      <c r="N113" s="72">
        <v>6957.0</v>
      </c>
      <c r="O113" s="73">
        <v>332.0</v>
      </c>
      <c r="P113" s="74">
        <v>6.0</v>
      </c>
      <c r="Q113" s="75">
        <v>19</v>
      </c>
      <c r="R113" s="76">
        <v>25</v>
      </c>
      <c r="S113" s="76">
        <v>14</v>
      </c>
      <c r="T113" s="77">
        <f>+((Q113)+(R113/60)+(S113/3600))</f>
        <v>19.420555555556</v>
      </c>
      <c r="U113" s="78">
        <f>IFERROR(T113/$AA113,0)</f>
        <v>0.34932198139321</v>
      </c>
      <c r="V113" s="75">
        <v>36</v>
      </c>
      <c r="W113" s="76">
        <v>10</v>
      </c>
      <c r="X113" s="76">
        <v>28</v>
      </c>
      <c r="Y113" s="77">
        <f>+((V113)+(W113/60)+(X113/3600))</f>
        <v>36.174444444444</v>
      </c>
      <c r="Z113" s="78">
        <f>+IFERROR(Y113/$AA113,0)</f>
        <v>0.65067801860679</v>
      </c>
      <c r="AA113" s="79">
        <f>+Y113+T113</f>
        <v>55.595</v>
      </c>
      <c r="AB113" s="80"/>
      <c r="AC113" s="81">
        <f>+IFERROR((AA113/P113),0)</f>
        <v>9.2658333333333</v>
      </c>
      <c r="AD113" s="82">
        <f>+IFERROR($O113/$P113,0)</f>
        <v>55.333333333333</v>
      </c>
      <c r="AE113" s="76">
        <f>+IFERROR(O113/T113,0)</f>
        <v>17.095288497297</v>
      </c>
      <c r="AF113" s="83">
        <f>+IFERROR(AA113/(P113*$AE$8),0)</f>
        <v>1.1582291666667</v>
      </c>
      <c r="AG113" s="84">
        <f>+P113/$C$8</f>
        <v>0.2</v>
      </c>
      <c r="AH113" s="85">
        <f>+Y113*($AI$8*$AH$8)</f>
        <v>126.61055555556</v>
      </c>
      <c r="AI113"/>
    </row>
    <row r="114" spans="1:40">
      <c r="B114" s="70" t="s">
        <v>91</v>
      </c>
      <c r="C114" s="70" t="s">
        <v>102</v>
      </c>
      <c r="D114" s="70" t="s">
        <v>110</v>
      </c>
      <c r="E114" s="70"/>
      <c r="F114" s="70"/>
      <c r="G114" s="70"/>
      <c r="H114" s="70"/>
      <c r="I114" s="70"/>
      <c r="J114" s="70" t="s">
        <v>214</v>
      </c>
      <c r="K114" s="70"/>
      <c r="L114" s="71" t="s">
        <v>95</v>
      </c>
      <c r="M114" s="71">
        <f>data!J8</f>
        <v>30</v>
      </c>
      <c r="N114" s="72">
        <v>7624.0</v>
      </c>
      <c r="O114" s="73">
        <v>647.0</v>
      </c>
      <c r="P114" s="74">
        <v>6.0</v>
      </c>
      <c r="Q114" s="75">
        <v>27</v>
      </c>
      <c r="R114" s="76">
        <v>1</v>
      </c>
      <c r="S114" s="76">
        <v>52</v>
      </c>
      <c r="T114" s="77">
        <f>+((Q114)+(R114/60)+(S114/3600))</f>
        <v>27.031111111111</v>
      </c>
      <c r="U114" s="78">
        <f>IFERROR(T114/$AA114,0)</f>
        <v>0.36716660063765</v>
      </c>
      <c r="V114" s="75">
        <v>46</v>
      </c>
      <c r="W114" s="76">
        <v>35</v>
      </c>
      <c r="X114" s="76">
        <v>23</v>
      </c>
      <c r="Y114" s="77">
        <f>+((V114)+(W114/60)+(X114/3600))</f>
        <v>46.589722222222</v>
      </c>
      <c r="Z114" s="78">
        <f>+IFERROR(Y114/$AA114,0)</f>
        <v>0.63283339936235</v>
      </c>
      <c r="AA114" s="79">
        <f>+Y114+T114</f>
        <v>73.620833333333</v>
      </c>
      <c r="AB114" s="80"/>
      <c r="AC114" s="81">
        <f>+IFERROR((AA114/P114),0)</f>
        <v>12.270138888889</v>
      </c>
      <c r="AD114" s="82">
        <f>+IFERROR($O114/$P114,0)</f>
        <v>107.83333333333</v>
      </c>
      <c r="AE114" s="76">
        <f>+IFERROR(O114/T114,0)</f>
        <v>23.935383097665</v>
      </c>
      <c r="AF114" s="83">
        <f>+IFERROR(AA114/(P114*$AE$8),0)</f>
        <v>1.5337673611111</v>
      </c>
      <c r="AG114" s="84">
        <f>+P114/$C$8</f>
        <v>0.2</v>
      </c>
      <c r="AH114" s="85">
        <f>+Y114*($AI$8*$AH$8)</f>
        <v>163.06402777778</v>
      </c>
      <c r="AI114"/>
    </row>
    <row r="115" spans="1:40">
      <c r="B115" s="70" t="s">
        <v>91</v>
      </c>
      <c r="C115" s="70" t="s">
        <v>102</v>
      </c>
      <c r="D115" s="70" t="s">
        <v>111</v>
      </c>
      <c r="E115" s="70"/>
      <c r="F115" s="70"/>
      <c r="G115" s="70"/>
      <c r="H115" s="70"/>
      <c r="I115" s="70"/>
      <c r="J115" s="70" t="s">
        <v>215</v>
      </c>
      <c r="K115" s="70"/>
      <c r="L115" s="71" t="s">
        <v>95</v>
      </c>
      <c r="M115" s="71">
        <f>data!J8</f>
        <v>30</v>
      </c>
      <c r="N115" s="72">
        <v>87912.0</v>
      </c>
      <c r="O115" s="73">
        <v>1003.0</v>
      </c>
      <c r="P115" s="74">
        <v>6.0</v>
      </c>
      <c r="Q115" s="75">
        <v>35</v>
      </c>
      <c r="R115" s="76">
        <v>29</v>
      </c>
      <c r="S115" s="76">
        <v>2</v>
      </c>
      <c r="T115" s="77">
        <f>+((Q115)+(R115/60)+(S115/3600))</f>
        <v>35.483888888889</v>
      </c>
      <c r="U115" s="78">
        <f>IFERROR(T115/$AA115,0)</f>
        <v>0.73656230179323</v>
      </c>
      <c r="V115" s="75">
        <v>12</v>
      </c>
      <c r="W115" s="76">
        <v>41</v>
      </c>
      <c r="X115" s="76">
        <v>28</v>
      </c>
      <c r="Y115" s="77">
        <f>+((V115)+(W115/60)+(X115/3600))</f>
        <v>12.691111111111</v>
      </c>
      <c r="Z115" s="78">
        <f>+IFERROR(Y115/$AA115,0)</f>
        <v>0.26343769820677</v>
      </c>
      <c r="AA115" s="79">
        <f>+Y115+T115</f>
        <v>48.175</v>
      </c>
      <c r="AB115" s="80"/>
      <c r="AC115" s="81">
        <f>+IFERROR((AA115/P115),0)</f>
        <v>8.0291666666667</v>
      </c>
      <c r="AD115" s="82">
        <f>+IFERROR($O115/$P115,0)</f>
        <v>167.16666666667</v>
      </c>
      <c r="AE115" s="76">
        <f>+IFERROR(O115/T115,0)</f>
        <v>28.26634936043</v>
      </c>
      <c r="AF115" s="83">
        <f>+IFERROR(AA115/(P115*$AE$8),0)</f>
        <v>1.0036458333333</v>
      </c>
      <c r="AG115" s="84">
        <f>+P115/$C$8</f>
        <v>0.2</v>
      </c>
      <c r="AH115" s="85">
        <f>+Y115*($AI$8*$AH$8)</f>
        <v>44.418888888889</v>
      </c>
      <c r="AI115"/>
    </row>
    <row r="116" spans="1:40">
      <c r="B116" s="70" t="s">
        <v>91</v>
      </c>
      <c r="C116" s="70" t="s">
        <v>102</v>
      </c>
      <c r="D116" s="70" t="s">
        <v>110</v>
      </c>
      <c r="E116" s="70"/>
      <c r="F116" s="70"/>
      <c r="G116" s="70"/>
      <c r="H116" s="70"/>
      <c r="I116" s="70"/>
      <c r="J116" s="70" t="s">
        <v>216</v>
      </c>
      <c r="K116" s="70"/>
      <c r="L116" s="71" t="s">
        <v>95</v>
      </c>
      <c r="M116" s="71">
        <f>data!J8</f>
        <v>30</v>
      </c>
      <c r="N116" s="72">
        <v>62808.0</v>
      </c>
      <c r="O116" s="73">
        <v>499.0</v>
      </c>
      <c r="P116" s="74">
        <v>6.0</v>
      </c>
      <c r="Q116" s="75">
        <v>19</v>
      </c>
      <c r="R116" s="76">
        <v>55</v>
      </c>
      <c r="S116" s="76">
        <v>6</v>
      </c>
      <c r="T116" s="77">
        <f>+((Q116)+(R116/60)+(S116/3600))</f>
        <v>19.918333333333</v>
      </c>
      <c r="U116" s="78">
        <f>IFERROR(T116/$AA116,0)</f>
        <v>0.86982786855417</v>
      </c>
      <c r="V116" s="75">
        <v>2</v>
      </c>
      <c r="W116" s="76">
        <v>58</v>
      </c>
      <c r="X116" s="76">
        <v>51</v>
      </c>
      <c r="Y116" s="77">
        <f>+((V116)+(W116/60)+(X116/3600))</f>
        <v>2.9808333333333</v>
      </c>
      <c r="Z116" s="78">
        <f>+IFERROR(Y116/$AA116,0)</f>
        <v>0.13017213144583</v>
      </c>
      <c r="AA116" s="79">
        <f>+Y116+T116</f>
        <v>22.899166666667</v>
      </c>
      <c r="AB116" s="80"/>
      <c r="AC116" s="81">
        <f>+IFERROR((AA116/P116),0)</f>
        <v>3.8165277777778</v>
      </c>
      <c r="AD116" s="82">
        <f>+IFERROR($O116/$P116,0)</f>
        <v>83.166666666667</v>
      </c>
      <c r="AE116" s="76">
        <f>+IFERROR(O116/T116,0)</f>
        <v>25.052296878922</v>
      </c>
      <c r="AF116" s="83">
        <f>+IFERROR(AA116/(P116*$AE$8),0)</f>
        <v>0.47706597222222</v>
      </c>
      <c r="AG116" s="84">
        <f>+P116/$C$8</f>
        <v>0.2</v>
      </c>
      <c r="AH116" s="85">
        <f>+Y116*($AI$8*$AH$8)</f>
        <v>10.432916666667</v>
      </c>
      <c r="AI116"/>
    </row>
    <row r="117" spans="1:40">
      <c r="B117" s="70" t="s">
        <v>91</v>
      </c>
      <c r="C117" s="70" t="s">
        <v>102</v>
      </c>
      <c r="D117" s="70" t="s">
        <v>110</v>
      </c>
      <c r="E117" s="70"/>
      <c r="F117" s="70"/>
      <c r="G117" s="70"/>
      <c r="H117" s="70"/>
      <c r="I117" s="70"/>
      <c r="J117" s="70" t="s">
        <v>217</v>
      </c>
      <c r="K117" s="70"/>
      <c r="L117" s="71" t="s">
        <v>95</v>
      </c>
      <c r="M117" s="71">
        <f>data!J8</f>
        <v>30</v>
      </c>
      <c r="N117" s="72">
        <v>10940.0</v>
      </c>
      <c r="O117" s="73">
        <v>607.0</v>
      </c>
      <c r="P117" s="74">
        <v>6.0</v>
      </c>
      <c r="Q117" s="75">
        <v>23</v>
      </c>
      <c r="R117" s="76">
        <v>44</v>
      </c>
      <c r="S117" s="76">
        <v>0</v>
      </c>
      <c r="T117" s="77">
        <f>+((Q117)+(R117/60)+(S117/3600))</f>
        <v>23.733333333333</v>
      </c>
      <c r="U117" s="78">
        <f>IFERROR(T117/$AA117,0)</f>
        <v>0.35522147293848</v>
      </c>
      <c r="V117" s="75">
        <v>43</v>
      </c>
      <c r="W117" s="76">
        <v>4</v>
      </c>
      <c r="X117" s="76">
        <v>46</v>
      </c>
      <c r="Y117" s="77">
        <f>+((V117)+(W117/60)+(X117/3600))</f>
        <v>43.079444444444</v>
      </c>
      <c r="Z117" s="78">
        <f>+IFERROR(Y117/$AA117,0)</f>
        <v>0.64477852706152</v>
      </c>
      <c r="AA117" s="79">
        <f>+Y117+T117</f>
        <v>66.812777777778</v>
      </c>
      <c r="AB117" s="80"/>
      <c r="AC117" s="81">
        <f>+IFERROR((AA117/P117),0)</f>
        <v>11.135462962963</v>
      </c>
      <c r="AD117" s="82">
        <f>+IFERROR($O117/$P117,0)</f>
        <v>101.16666666667</v>
      </c>
      <c r="AE117" s="76">
        <f>+IFERROR(O117/T117,0)</f>
        <v>25.575842696629</v>
      </c>
      <c r="AF117" s="83">
        <f>+IFERROR(AA117/(P117*$AE$8),0)</f>
        <v>1.3919328703704</v>
      </c>
      <c r="AG117" s="84">
        <f>+P117/$C$8</f>
        <v>0.2</v>
      </c>
      <c r="AH117" s="85">
        <f>+Y117*($AI$8*$AH$8)</f>
        <v>150.77805555556</v>
      </c>
      <c r="AI117"/>
    </row>
    <row r="118" spans="1:40">
      <c r="B118" s="70" t="s">
        <v>91</v>
      </c>
      <c r="C118" s="70" t="s">
        <v>102</v>
      </c>
      <c r="D118" s="70" t="s">
        <v>110</v>
      </c>
      <c r="E118" s="70"/>
      <c r="F118" s="70"/>
      <c r="G118" s="70"/>
      <c r="H118" s="70"/>
      <c r="I118" s="70"/>
      <c r="J118" s="70" t="s">
        <v>218</v>
      </c>
      <c r="K118" s="70"/>
      <c r="L118" s="71" t="s">
        <v>95</v>
      </c>
      <c r="M118" s="71">
        <f>data!J8</f>
        <v>30</v>
      </c>
      <c r="N118" s="72">
        <v>2028.0</v>
      </c>
      <c r="O118" s="73">
        <v>975.0</v>
      </c>
      <c r="P118" s="74">
        <v>6.0</v>
      </c>
      <c r="Q118" s="75">
        <v>37</v>
      </c>
      <c r="R118" s="76">
        <v>56</v>
      </c>
      <c r="S118" s="76">
        <v>4</v>
      </c>
      <c r="T118" s="77">
        <f>+((Q118)+(R118/60)+(S118/3600))</f>
        <v>37.934444444444</v>
      </c>
      <c r="U118" s="78">
        <f>IFERROR(T118/$AA118,0)</f>
        <v>0.48593408626714</v>
      </c>
      <c r="V118" s="75">
        <v>40</v>
      </c>
      <c r="W118" s="76">
        <v>7</v>
      </c>
      <c r="X118" s="76">
        <v>50</v>
      </c>
      <c r="Y118" s="77">
        <f>+((V118)+(W118/60)+(X118/3600))</f>
        <v>40.130555555556</v>
      </c>
      <c r="Z118" s="78">
        <f>+IFERROR(Y118/$AA118,0)</f>
        <v>0.51406591373286</v>
      </c>
      <c r="AA118" s="79">
        <f>+Y118+T118</f>
        <v>78.065</v>
      </c>
      <c r="AB118" s="80"/>
      <c r="AC118" s="81">
        <f>+IFERROR((AA118/P118),0)</f>
        <v>13.010833333333</v>
      </c>
      <c r="AD118" s="82">
        <f>+IFERROR($O118/$P118,0)</f>
        <v>162.5</v>
      </c>
      <c r="AE118" s="76">
        <f>+IFERROR(O118/T118,0)</f>
        <v>25.702234849594</v>
      </c>
      <c r="AF118" s="83">
        <f>+IFERROR(AA118/(P118*$AE$8),0)</f>
        <v>1.6263541666667</v>
      </c>
      <c r="AG118" s="84">
        <f>+P118/$C$8</f>
        <v>0.2</v>
      </c>
      <c r="AH118" s="85">
        <f>+Y118*($AI$8*$AH$8)</f>
        <v>140.45694444444</v>
      </c>
      <c r="AI118"/>
    </row>
    <row r="119" spans="1:40">
      <c r="B119" s="70" t="s">
        <v>91</v>
      </c>
      <c r="C119" s="70" t="s">
        <v>102</v>
      </c>
      <c r="D119" s="70" t="s">
        <v>112</v>
      </c>
      <c r="E119" s="70"/>
      <c r="F119" s="70"/>
      <c r="G119" s="70"/>
      <c r="H119" s="70"/>
      <c r="I119" s="70"/>
      <c r="J119" s="70" t="s">
        <v>219</v>
      </c>
      <c r="K119" s="70"/>
      <c r="L119" s="71" t="s">
        <v>95</v>
      </c>
      <c r="M119" s="71">
        <f>data!J8</f>
        <v>30</v>
      </c>
      <c r="N119" s="72">
        <v>43841.0</v>
      </c>
      <c r="O119" s="73">
        <v>293.0</v>
      </c>
      <c r="P119" s="74">
        <v>3.0</v>
      </c>
      <c r="Q119" s="75">
        <v>7</v>
      </c>
      <c r="R119" s="76">
        <v>20</v>
      </c>
      <c r="S119" s="76">
        <v>16</v>
      </c>
      <c r="T119" s="77">
        <f>+((Q119)+(R119/60)+(S119/3600))</f>
        <v>7.3377777777778</v>
      </c>
      <c r="U119" s="78">
        <f>IFERROR(T119/$AA119,0)</f>
        <v>0.94997662459093</v>
      </c>
      <c r="V119" s="75">
        <v>0</v>
      </c>
      <c r="W119" s="76">
        <v>23</v>
      </c>
      <c r="X119" s="76">
        <v>11</v>
      </c>
      <c r="Y119" s="77">
        <f>+((V119)+(W119/60)+(X119/3600))</f>
        <v>0.38638888888889</v>
      </c>
      <c r="Z119" s="78">
        <f>+IFERROR(Y119/$AA119,0)</f>
        <v>0.05002337540907</v>
      </c>
      <c r="AA119" s="79">
        <f>+Y119+T119</f>
        <v>7.7241666666667</v>
      </c>
      <c r="AB119" s="80"/>
      <c r="AC119" s="81">
        <f>+IFERROR((AA119/P119),0)</f>
        <v>2.5747222222222</v>
      </c>
      <c r="AD119" s="82">
        <f>+IFERROR($O119/$P119,0)</f>
        <v>97.666666666667</v>
      </c>
      <c r="AE119" s="76">
        <f>+IFERROR(O119/T119,0)</f>
        <v>39.930345245306</v>
      </c>
      <c r="AF119" s="83">
        <f>+IFERROR(AA119/(P119*$AE$8),0)</f>
        <v>0.32184027777778</v>
      </c>
      <c r="AG119" s="84">
        <f>+P119/$C$8</f>
        <v>0.1</v>
      </c>
      <c r="AH119" s="85">
        <f>+Y119*($AI$8*$AH$8)</f>
        <v>1.3523611111111</v>
      </c>
      <c r="AI119"/>
    </row>
    <row r="120" spans="1:40">
      <c r="B120" s="70" t="s">
        <v>91</v>
      </c>
      <c r="C120" s="70" t="s">
        <v>101</v>
      </c>
      <c r="D120" s="70" t="s">
        <v>109</v>
      </c>
      <c r="E120" s="70"/>
      <c r="F120" s="70"/>
      <c r="G120" s="70"/>
      <c r="H120" s="70"/>
      <c r="I120" s="70"/>
      <c r="J120" s="70" t="s">
        <v>220</v>
      </c>
      <c r="K120" s="70"/>
      <c r="L120" s="71" t="s">
        <v>95</v>
      </c>
      <c r="M120" s="71">
        <f>data!J8</f>
        <v>30</v>
      </c>
      <c r="N120" s="72">
        <v>99817.0</v>
      </c>
      <c r="O120" s="73">
        <v>229.0</v>
      </c>
      <c r="P120" s="74">
        <v>5.0</v>
      </c>
      <c r="Q120" s="75">
        <v>8</v>
      </c>
      <c r="R120" s="76">
        <v>0</v>
      </c>
      <c r="S120" s="76">
        <v>19</v>
      </c>
      <c r="T120" s="77">
        <f>+((Q120)+(R120/60)+(S120/3600))</f>
        <v>8.0052777777778</v>
      </c>
      <c r="U120" s="78">
        <f>IFERROR(T120/$AA120,0)</f>
        <v>0.84513196480938</v>
      </c>
      <c r="V120" s="75">
        <v>1</v>
      </c>
      <c r="W120" s="76">
        <v>28</v>
      </c>
      <c r="X120" s="76">
        <v>1</v>
      </c>
      <c r="Y120" s="77">
        <f>+((V120)+(W120/60)+(X120/3600))</f>
        <v>1.4669444444444</v>
      </c>
      <c r="Z120" s="78">
        <f>+IFERROR(Y120/$AA120,0)</f>
        <v>0.15486803519062</v>
      </c>
      <c r="AA120" s="79">
        <f>+Y120+T120</f>
        <v>9.4722222222222</v>
      </c>
      <c r="AB120" s="80"/>
      <c r="AC120" s="81">
        <f>+IFERROR((AA120/P120),0)</f>
        <v>1.8944444444444</v>
      </c>
      <c r="AD120" s="82">
        <f>+IFERROR($O120/$P120,0)</f>
        <v>45.8</v>
      </c>
      <c r="AE120" s="76">
        <f>+IFERROR(O120/T120,0)</f>
        <v>28.606127901731</v>
      </c>
      <c r="AF120" s="83">
        <f>+IFERROR(AA120/(P120*$AE$8),0)</f>
        <v>0.23680555555556</v>
      </c>
      <c r="AG120" s="84">
        <f>+P120/$C$8</f>
        <v>0.16666666666667</v>
      </c>
      <c r="AH120" s="85">
        <f>+Y120*($AI$8*$AH$8)</f>
        <v>5.1343055555556</v>
      </c>
      <c r="AI120"/>
    </row>
    <row r="121" spans="1:40">
      <c r="B121" s="70" t="s">
        <v>91</v>
      </c>
      <c r="C121" s="70" t="s">
        <v>102</v>
      </c>
      <c r="D121" s="70" t="s">
        <v>110</v>
      </c>
      <c r="E121" s="70"/>
      <c r="F121" s="70"/>
      <c r="G121" s="70"/>
      <c r="H121" s="70"/>
      <c r="I121" s="70"/>
      <c r="J121" s="70" t="s">
        <v>221</v>
      </c>
      <c r="K121" s="70"/>
      <c r="L121" s="71" t="s">
        <v>95</v>
      </c>
      <c r="M121" s="71">
        <f>data!J8</f>
        <v>30</v>
      </c>
      <c r="N121" s="72">
        <v>6414.0</v>
      </c>
      <c r="O121" s="73">
        <v>527.0</v>
      </c>
      <c r="P121" s="74">
        <v>5.0</v>
      </c>
      <c r="Q121" s="75">
        <v>24</v>
      </c>
      <c r="R121" s="76">
        <v>20</v>
      </c>
      <c r="S121" s="76">
        <v>41</v>
      </c>
      <c r="T121" s="77">
        <f>+((Q121)+(R121/60)+(S121/3600))</f>
        <v>24.344722222222</v>
      </c>
      <c r="U121" s="78">
        <f>IFERROR(T121/$AA121,0)</f>
        <v>0.4280976153027</v>
      </c>
      <c r="V121" s="75">
        <v>32</v>
      </c>
      <c r="W121" s="76">
        <v>31</v>
      </c>
      <c r="X121" s="76">
        <v>21</v>
      </c>
      <c r="Y121" s="77">
        <f>+((V121)+(W121/60)+(X121/3600))</f>
        <v>32.5225</v>
      </c>
      <c r="Z121" s="78">
        <f>+IFERROR(Y121/$AA121,0)</f>
        <v>0.5719023846973</v>
      </c>
      <c r="AA121" s="79">
        <f>+Y121+T121</f>
        <v>56.867222222222</v>
      </c>
      <c r="AB121" s="80"/>
      <c r="AC121" s="81">
        <f>+IFERROR((AA121/P121),0)</f>
        <v>11.373444444444</v>
      </c>
      <c r="AD121" s="82">
        <f>+IFERROR($O121/$P121,0)</f>
        <v>105.4</v>
      </c>
      <c r="AE121" s="76">
        <f>+IFERROR(O121/T121,0)</f>
        <v>21.647402471446</v>
      </c>
      <c r="AF121" s="83">
        <f>+IFERROR(AA121/(P121*$AE$8),0)</f>
        <v>1.4216805555556</v>
      </c>
      <c r="AG121" s="84">
        <f>+P121/$C$8</f>
        <v>0.16666666666667</v>
      </c>
      <c r="AH121" s="85">
        <f>+Y121*($AI$8*$AH$8)</f>
        <v>113.82875</v>
      </c>
      <c r="AI121"/>
    </row>
    <row r="122" spans="1:40">
      <c r="B122" s="70" t="s">
        <v>91</v>
      </c>
      <c r="C122" s="70" t="s">
        <v>102</v>
      </c>
      <c r="D122" s="70" t="s">
        <v>112</v>
      </c>
      <c r="E122" s="70"/>
      <c r="F122" s="70"/>
      <c r="G122" s="70"/>
      <c r="H122" s="70"/>
      <c r="I122" s="70"/>
      <c r="J122" s="70" t="s">
        <v>222</v>
      </c>
      <c r="K122" s="70"/>
      <c r="L122" s="71" t="s">
        <v>95</v>
      </c>
      <c r="M122" s="71">
        <f>data!J8</f>
        <v>30</v>
      </c>
      <c r="N122" s="72">
        <v>60945.0</v>
      </c>
      <c r="O122" s="73">
        <v>883.0</v>
      </c>
      <c r="P122" s="74">
        <v>6.0</v>
      </c>
      <c r="Q122" s="75">
        <v>28</v>
      </c>
      <c r="R122" s="76">
        <v>41</v>
      </c>
      <c r="S122" s="76">
        <v>30</v>
      </c>
      <c r="T122" s="77">
        <f>+((Q122)+(R122/60)+(S122/3600))</f>
        <v>28.691666666667</v>
      </c>
      <c r="U122" s="78">
        <f>IFERROR(T122/$AA122,0)</f>
        <v>0.74730315373652</v>
      </c>
      <c r="V122" s="75">
        <v>9</v>
      </c>
      <c r="W122" s="76">
        <v>42</v>
      </c>
      <c r="X122" s="76">
        <v>7</v>
      </c>
      <c r="Y122" s="77">
        <f>+((V122)+(W122/60)+(X122/3600))</f>
        <v>9.7019444444444</v>
      </c>
      <c r="Z122" s="78">
        <f>+IFERROR(Y122/$AA122,0)</f>
        <v>0.25269684626348</v>
      </c>
      <c r="AA122" s="79">
        <f>+Y122+T122</f>
        <v>38.393611111111</v>
      </c>
      <c r="AB122" s="80"/>
      <c r="AC122" s="81">
        <f>+IFERROR((AA122/P122),0)</f>
        <v>6.3989351851852</v>
      </c>
      <c r="AD122" s="82">
        <f>+IFERROR($O122/$P122,0)</f>
        <v>147.16666666667</v>
      </c>
      <c r="AE122" s="76">
        <f>+IFERROR(O122/T122,0)</f>
        <v>30.775486494336</v>
      </c>
      <c r="AF122" s="83">
        <f>+IFERROR(AA122/(P122*$AE$8),0)</f>
        <v>0.79986689814815</v>
      </c>
      <c r="AG122" s="84">
        <f>+P122/$C$8</f>
        <v>0.2</v>
      </c>
      <c r="AH122" s="85">
        <f>+Y122*($AI$8*$AH$8)</f>
        <v>33.956805555556</v>
      </c>
      <c r="AI122"/>
    </row>
    <row r="123" spans="1:40">
      <c r="B123" s="70" t="s">
        <v>91</v>
      </c>
      <c r="C123" s="70" t="s">
        <v>102</v>
      </c>
      <c r="D123" s="70" t="s">
        <v>110</v>
      </c>
      <c r="E123" s="70"/>
      <c r="F123" s="70"/>
      <c r="G123" s="70"/>
      <c r="H123" s="70"/>
      <c r="I123" s="70"/>
      <c r="J123" s="70" t="s">
        <v>223</v>
      </c>
      <c r="K123" s="70"/>
      <c r="L123" s="71" t="s">
        <v>95</v>
      </c>
      <c r="M123" s="71">
        <f>data!J8</f>
        <v>30</v>
      </c>
      <c r="N123" s="72">
        <v>53698.0</v>
      </c>
      <c r="O123" s="73">
        <v>136.0</v>
      </c>
      <c r="P123" s="74">
        <v>3.0</v>
      </c>
      <c r="Q123" s="75">
        <v>4</v>
      </c>
      <c r="R123" s="76">
        <v>27</v>
      </c>
      <c r="S123" s="76">
        <v>31</v>
      </c>
      <c r="T123" s="77">
        <f>+((Q123)+(R123/60)+(S123/3600))</f>
        <v>4.4586111111111</v>
      </c>
      <c r="U123" s="78">
        <f>IFERROR(T123/$AA123,0)</f>
        <v>0.86055114733005</v>
      </c>
      <c r="V123" s="75">
        <v>0</v>
      </c>
      <c r="W123" s="76">
        <v>43</v>
      </c>
      <c r="X123" s="76">
        <v>21</v>
      </c>
      <c r="Y123" s="77">
        <f>+((V123)+(W123/60)+(X123/3600))</f>
        <v>0.7225</v>
      </c>
      <c r="Z123" s="78">
        <f>+IFERROR(Y123/$AA123,0)</f>
        <v>0.13944885266995</v>
      </c>
      <c r="AA123" s="79">
        <f>+Y123+T123</f>
        <v>5.1811111111111</v>
      </c>
      <c r="AB123" s="80"/>
      <c r="AC123" s="81">
        <f>+IFERROR((AA123/P123),0)</f>
        <v>1.727037037037</v>
      </c>
      <c r="AD123" s="82">
        <f>+IFERROR($O123/$P123,0)</f>
        <v>45.333333333333</v>
      </c>
      <c r="AE123" s="76">
        <f>+IFERROR(O123/T123,0)</f>
        <v>30.502772412934</v>
      </c>
      <c r="AF123" s="83">
        <f>+IFERROR(AA123/(P123*$AE$8),0)</f>
        <v>0.21587962962963</v>
      </c>
      <c r="AG123" s="84">
        <f>+P123/$C$8</f>
        <v>0.1</v>
      </c>
      <c r="AH123" s="85">
        <f>+Y123*($AI$8*$AH$8)</f>
        <v>2.52875</v>
      </c>
      <c r="AI123"/>
    </row>
    <row r="124" spans="1:40">
      <c r="B124" s="70" t="s">
        <v>91</v>
      </c>
      <c r="C124" s="70" t="s">
        <v>102</v>
      </c>
      <c r="D124" s="70" t="s">
        <v>111</v>
      </c>
      <c r="E124" s="70"/>
      <c r="F124" s="70"/>
      <c r="G124" s="70"/>
      <c r="H124" s="70"/>
      <c r="I124" s="70"/>
      <c r="J124" s="70" t="s">
        <v>224</v>
      </c>
      <c r="K124" s="70"/>
      <c r="L124" s="71" t="s">
        <v>95</v>
      </c>
      <c r="M124" s="71">
        <f>data!J8</f>
        <v>30</v>
      </c>
      <c r="N124" s="72">
        <v>57059.0</v>
      </c>
      <c r="O124" s="73">
        <v>589.0</v>
      </c>
      <c r="P124" s="74">
        <v>6.0</v>
      </c>
      <c r="Q124" s="75">
        <v>18</v>
      </c>
      <c r="R124" s="76">
        <v>16</v>
      </c>
      <c r="S124" s="76">
        <v>7</v>
      </c>
      <c r="T124" s="77">
        <f>+((Q124)+(R124/60)+(S124/3600))</f>
        <v>18.268611111111</v>
      </c>
      <c r="U124" s="78">
        <f>IFERROR(T124/$AA124,0)</f>
        <v>0.699388525549</v>
      </c>
      <c r="V124" s="75">
        <v>7</v>
      </c>
      <c r="W124" s="76">
        <v>51</v>
      </c>
      <c r="X124" s="76">
        <v>8</v>
      </c>
      <c r="Y124" s="77">
        <f>+((V124)+(W124/60)+(X124/3600))</f>
        <v>7.8522222222222</v>
      </c>
      <c r="Z124" s="78">
        <f>+IFERROR(Y124/$AA124,0)</f>
        <v>0.300611474451</v>
      </c>
      <c r="AA124" s="79">
        <f>+Y124+T124</f>
        <v>26.120833333333</v>
      </c>
      <c r="AB124" s="80"/>
      <c r="AC124" s="81">
        <f>+IFERROR((AA124/P124),0)</f>
        <v>4.3534722222222</v>
      </c>
      <c r="AD124" s="82">
        <f>+IFERROR($O124/$P124,0)</f>
        <v>98.166666666667</v>
      </c>
      <c r="AE124" s="76">
        <f>+IFERROR(O124/T124,0)</f>
        <v>32.241093557559</v>
      </c>
      <c r="AF124" s="83">
        <f>+IFERROR(AA124/(P124*$AE$8),0)</f>
        <v>0.54418402777778</v>
      </c>
      <c r="AG124" s="84">
        <f>+P124/$C$8</f>
        <v>0.2</v>
      </c>
      <c r="AH124" s="85">
        <f>+Y124*($AI$8*$AH$8)</f>
        <v>27.482777777778</v>
      </c>
      <c r="AI124"/>
    </row>
    <row r="125" spans="1:40">
      <c r="B125" s="70" t="s">
        <v>91</v>
      </c>
      <c r="C125" s="70" t="s">
        <v>101</v>
      </c>
      <c r="D125" s="70" t="s">
        <v>109</v>
      </c>
      <c r="E125" s="70"/>
      <c r="F125" s="70"/>
      <c r="G125" s="70"/>
      <c r="H125" s="70"/>
      <c r="I125" s="70"/>
      <c r="J125" s="70" t="s">
        <v>225</v>
      </c>
      <c r="K125" s="70"/>
      <c r="L125" s="71" t="s">
        <v>95</v>
      </c>
      <c r="M125" s="71">
        <f>data!J8</f>
        <v>30</v>
      </c>
      <c r="N125" s="72">
        <v>32054.0</v>
      </c>
      <c r="O125" s="73">
        <v>477.0</v>
      </c>
      <c r="P125" s="74">
        <v>5.0</v>
      </c>
      <c r="Q125" s="75">
        <v>17</v>
      </c>
      <c r="R125" s="76">
        <v>37</v>
      </c>
      <c r="S125" s="76">
        <v>23</v>
      </c>
      <c r="T125" s="77">
        <f>+((Q125)+(R125/60)+(S125/3600))</f>
        <v>17.623055555556</v>
      </c>
      <c r="U125" s="78">
        <f>IFERROR(T125/$AA125,0)</f>
        <v>0.80105809416786</v>
      </c>
      <c r="V125" s="75">
        <v>4</v>
      </c>
      <c r="W125" s="76">
        <v>22</v>
      </c>
      <c r="X125" s="76">
        <v>36</v>
      </c>
      <c r="Y125" s="77">
        <f>+((V125)+(W125/60)+(X125/3600))</f>
        <v>4.3766666666667</v>
      </c>
      <c r="Z125" s="78">
        <f>+IFERROR(Y125/$AA125,0)</f>
        <v>0.19894190583214</v>
      </c>
      <c r="AA125" s="79">
        <f>+Y125+T125</f>
        <v>21.999722222222</v>
      </c>
      <c r="AB125" s="80"/>
      <c r="AC125" s="81">
        <f>+IFERROR((AA125/P125),0)</f>
        <v>4.3999444444444</v>
      </c>
      <c r="AD125" s="82">
        <f>+IFERROR($O125/$P125,0)</f>
        <v>95.4</v>
      </c>
      <c r="AE125" s="76">
        <f>+IFERROR(O125/T125,0)</f>
        <v>27.066815881973</v>
      </c>
      <c r="AF125" s="83">
        <f>+IFERROR(AA125/(P125*$AE$8),0)</f>
        <v>0.54999305555556</v>
      </c>
      <c r="AG125" s="84">
        <f>+P125/$C$8</f>
        <v>0.16666666666667</v>
      </c>
      <c r="AH125" s="85">
        <f>+Y125*($AI$8*$AH$8)</f>
        <v>15.318333333333</v>
      </c>
      <c r="AI125"/>
    </row>
    <row r="126" spans="1:40">
      <c r="B126" s="70" t="s">
        <v>91</v>
      </c>
      <c r="C126" s="70" t="s">
        <v>102</v>
      </c>
      <c r="D126" s="70" t="s">
        <v>110</v>
      </c>
      <c r="E126" s="70"/>
      <c r="F126" s="70"/>
      <c r="G126" s="70"/>
      <c r="H126" s="70"/>
      <c r="I126" s="70"/>
      <c r="J126" s="70" t="s">
        <v>226</v>
      </c>
      <c r="K126" s="70"/>
      <c r="L126" s="71" t="s">
        <v>95</v>
      </c>
      <c r="M126" s="71">
        <f>data!J8</f>
        <v>30</v>
      </c>
      <c r="N126" s="72">
        <v>72783.0</v>
      </c>
      <c r="O126" s="73">
        <v>203.0</v>
      </c>
      <c r="P126" s="74">
        <v>6.0</v>
      </c>
      <c r="Q126" s="75">
        <v>20</v>
      </c>
      <c r="R126" s="76">
        <v>49</v>
      </c>
      <c r="S126" s="76">
        <v>42</v>
      </c>
      <c r="T126" s="77">
        <f>+((Q126)+(R126/60)+(S126/3600))</f>
        <v>20.828333333333</v>
      </c>
      <c r="U126" s="78">
        <f>IFERROR(T126/$AA126,0)</f>
        <v>0.74249896025192</v>
      </c>
      <c r="V126" s="75">
        <v>7</v>
      </c>
      <c r="W126" s="76">
        <v>13</v>
      </c>
      <c r="X126" s="76">
        <v>24</v>
      </c>
      <c r="Y126" s="77">
        <f>+((V126)+(W126/60)+(X126/3600))</f>
        <v>7.2233333333333</v>
      </c>
      <c r="Z126" s="78">
        <f>+IFERROR(Y126/$AA126,0)</f>
        <v>0.25750103974808</v>
      </c>
      <c r="AA126" s="79">
        <f>+Y126+T126</f>
        <v>28.051666666667</v>
      </c>
      <c r="AB126" s="80"/>
      <c r="AC126" s="81">
        <f>+IFERROR((AA126/P126),0)</f>
        <v>4.6752777777778</v>
      </c>
      <c r="AD126" s="82">
        <f>+IFERROR($O126/$P126,0)</f>
        <v>33.833333333333</v>
      </c>
      <c r="AE126" s="76">
        <f>+IFERROR(O126/T126,0)</f>
        <v>9.7463391213891</v>
      </c>
      <c r="AF126" s="83">
        <f>+IFERROR(AA126/(P126*$AE$8),0)</f>
        <v>0.58440972222222</v>
      </c>
      <c r="AG126" s="84">
        <f>+P126/$C$8</f>
        <v>0.2</v>
      </c>
      <c r="AH126" s="85">
        <f>+Y126*($AI$8*$AH$8)</f>
        <v>25.281666666667</v>
      </c>
      <c r="AI126"/>
    </row>
    <row r="127" spans="1:40">
      <c r="B127" s="70" t="s">
        <v>91</v>
      </c>
      <c r="C127" s="70" t="s">
        <v>102</v>
      </c>
      <c r="D127" s="70" t="s">
        <v>112</v>
      </c>
      <c r="E127" s="70"/>
      <c r="F127" s="70"/>
      <c r="G127" s="70"/>
      <c r="H127" s="70"/>
      <c r="I127" s="70"/>
      <c r="J127" s="70" t="s">
        <v>227</v>
      </c>
      <c r="K127" s="70"/>
      <c r="L127" s="71" t="s">
        <v>95</v>
      </c>
      <c r="M127" s="71">
        <f>data!J8</f>
        <v>30</v>
      </c>
      <c r="N127" s="72">
        <v>62484.0</v>
      </c>
      <c r="O127" s="73">
        <v>73.0</v>
      </c>
      <c r="P127" s="74">
        <v>6.0</v>
      </c>
      <c r="Q127" s="75">
        <v>2</v>
      </c>
      <c r="R127" s="76">
        <v>50</v>
      </c>
      <c r="S127" s="76">
        <v>19</v>
      </c>
      <c r="T127" s="77">
        <f>+((Q127)+(R127/60)+(S127/3600))</f>
        <v>2.8386111111111</v>
      </c>
      <c r="U127" s="78">
        <f>IFERROR(T127/$AA127,0)</f>
        <v>0.72572970669697</v>
      </c>
      <c r="V127" s="75">
        <v>1</v>
      </c>
      <c r="W127" s="76">
        <v>4</v>
      </c>
      <c r="X127" s="76">
        <v>22</v>
      </c>
      <c r="Y127" s="77">
        <f>+((V127)+(W127/60)+(X127/3600))</f>
        <v>1.0727777777778</v>
      </c>
      <c r="Z127" s="78">
        <f>+IFERROR(Y127/$AA127,0)</f>
        <v>0.27427029330303</v>
      </c>
      <c r="AA127" s="79">
        <f>+Y127+T127</f>
        <v>3.9113888888889</v>
      </c>
      <c r="AB127" s="80"/>
      <c r="AC127" s="81">
        <f>+IFERROR((AA127/P127),0)</f>
        <v>0.65189814814815</v>
      </c>
      <c r="AD127" s="82">
        <f>+IFERROR($O127/$P127,0)</f>
        <v>12.166666666667</v>
      </c>
      <c r="AE127" s="76">
        <f>+IFERROR(O127/T127,0)</f>
        <v>25.716802035424</v>
      </c>
      <c r="AF127" s="83">
        <f>+IFERROR(AA127/(P127*$AE$8),0)</f>
        <v>0.081487268518519</v>
      </c>
      <c r="AG127" s="84">
        <f>+P127/$C$8</f>
        <v>0.2</v>
      </c>
      <c r="AH127" s="85">
        <f>+Y127*($AI$8*$AH$8)</f>
        <v>3.7547222222222</v>
      </c>
      <c r="AI127"/>
    </row>
    <row r="128" spans="1:40">
      <c r="B128" s="70" t="s">
        <v>91</v>
      </c>
      <c r="C128" s="70" t="s">
        <v>101</v>
      </c>
      <c r="D128" s="70" t="s">
        <v>108</v>
      </c>
      <c r="E128" s="70"/>
      <c r="F128" s="70"/>
      <c r="G128" s="70"/>
      <c r="H128" s="70"/>
      <c r="I128" s="70"/>
      <c r="J128" s="70" t="s">
        <v>228</v>
      </c>
      <c r="K128" s="70"/>
      <c r="L128" s="71" t="s">
        <v>95</v>
      </c>
      <c r="M128" s="71">
        <f>data!J8</f>
        <v>30</v>
      </c>
      <c r="N128" s="72">
        <v>78880.0</v>
      </c>
      <c r="O128" s="73">
        <v>857.0</v>
      </c>
      <c r="P128" s="74">
        <v>6.0</v>
      </c>
      <c r="Q128" s="75">
        <v>31</v>
      </c>
      <c r="R128" s="76">
        <v>28</v>
      </c>
      <c r="S128" s="76">
        <v>53</v>
      </c>
      <c r="T128" s="77">
        <f>+((Q128)+(R128/60)+(S128/3600))</f>
        <v>31.481388888889</v>
      </c>
      <c r="U128" s="78">
        <f>IFERROR(T128/$AA128,0)</f>
        <v>0.76078755168895</v>
      </c>
      <c r="V128" s="75">
        <v>9</v>
      </c>
      <c r="W128" s="76">
        <v>53</v>
      </c>
      <c r="X128" s="76">
        <v>55</v>
      </c>
      <c r="Y128" s="77">
        <f>+((V128)+(W128/60)+(X128/3600))</f>
        <v>9.8986111111111</v>
      </c>
      <c r="Z128" s="78">
        <f>+IFERROR(Y128/$AA128,0)</f>
        <v>0.23921244831105</v>
      </c>
      <c r="AA128" s="79">
        <f>+Y128+T128</f>
        <v>41.38</v>
      </c>
      <c r="AB128" s="80"/>
      <c r="AC128" s="81">
        <f>+IFERROR((AA128/P128),0)</f>
        <v>6.8966666666667</v>
      </c>
      <c r="AD128" s="82">
        <f>+IFERROR($O128/$P128,0)</f>
        <v>142.83333333333</v>
      </c>
      <c r="AE128" s="76">
        <f>+IFERROR(O128/T128,0)</f>
        <v>27.222433007156</v>
      </c>
      <c r="AF128" s="83">
        <f>+IFERROR(AA128/(P128*$AE$8),0)</f>
        <v>0.86208333333333</v>
      </c>
      <c r="AG128" s="84">
        <f>+P128/$C$8</f>
        <v>0.2</v>
      </c>
      <c r="AH128" s="85">
        <f>+Y128*($AI$8*$AH$8)</f>
        <v>34.645138888889</v>
      </c>
      <c r="AI128"/>
    </row>
    <row r="129" spans="1:40">
      <c r="B129" s="70" t="s">
        <v>91</v>
      </c>
      <c r="C129" s="70" t="s">
        <v>102</v>
      </c>
      <c r="D129" s="70" t="s">
        <v>112</v>
      </c>
      <c r="E129" s="70"/>
      <c r="F129" s="70"/>
      <c r="G129" s="70"/>
      <c r="H129" s="70"/>
      <c r="I129" s="70"/>
      <c r="J129" s="70" t="s">
        <v>229</v>
      </c>
      <c r="K129" s="70"/>
      <c r="L129" s="71" t="s">
        <v>95</v>
      </c>
      <c r="M129" s="71">
        <f>data!J8</f>
        <v>30</v>
      </c>
      <c r="N129" s="72">
        <v>152768.0</v>
      </c>
      <c r="O129" s="73">
        <v>16.0</v>
      </c>
      <c r="P129" s="74">
        <v>2.0</v>
      </c>
      <c r="Q129" s="75">
        <v>0</v>
      </c>
      <c r="R129" s="76">
        <v>33</v>
      </c>
      <c r="S129" s="76">
        <v>32</v>
      </c>
      <c r="T129" s="77">
        <f>+((Q129)+(R129/60)+(S129/3600))</f>
        <v>0.55888888888889</v>
      </c>
      <c r="U129" s="78">
        <f>IFERROR(T129/$AA129,0)</f>
        <v>0.50212128774644</v>
      </c>
      <c r="V129" s="75">
        <v>0</v>
      </c>
      <c r="W129" s="76">
        <v>33</v>
      </c>
      <c r="X129" s="76">
        <v>15</v>
      </c>
      <c r="Y129" s="77">
        <f>+((V129)+(W129/60)+(X129/3600))</f>
        <v>0.55416666666667</v>
      </c>
      <c r="Z129" s="78">
        <f>+IFERROR(Y129/$AA129,0)</f>
        <v>0.49787871225356</v>
      </c>
      <c r="AA129" s="79">
        <f>+Y129+T129</f>
        <v>1.1130555555556</v>
      </c>
      <c r="AB129" s="80"/>
      <c r="AC129" s="81">
        <f>+IFERROR((AA129/P129),0)</f>
        <v>0.55652777777778</v>
      </c>
      <c r="AD129" s="82">
        <f>+IFERROR($O129/$P129,0)</f>
        <v>8</v>
      </c>
      <c r="AE129" s="76">
        <f>+IFERROR(O129/T129,0)</f>
        <v>28.628230616302</v>
      </c>
      <c r="AF129" s="83">
        <f>+IFERROR(AA129/(P129*$AE$8),0)</f>
        <v>0.069565972222222</v>
      </c>
      <c r="AG129" s="84">
        <f>+P129/$C$8</f>
        <v>0.066666666666667</v>
      </c>
      <c r="AH129" s="85">
        <f>+Y129*($AI$8*$AH$8)</f>
        <v>1.9395833333333</v>
      </c>
      <c r="AI129"/>
    </row>
    <row r="130" spans="1:40">
      <c r="B130" s="70" t="s">
        <v>91</v>
      </c>
      <c r="C130" s="70" t="s">
        <v>101</v>
      </c>
      <c r="D130" s="70" t="s">
        <v>108</v>
      </c>
      <c r="E130" s="70"/>
      <c r="F130" s="70"/>
      <c r="G130" s="70"/>
      <c r="H130" s="70"/>
      <c r="I130" s="70"/>
      <c r="J130" s="70" t="s">
        <v>230</v>
      </c>
      <c r="K130" s="70"/>
      <c r="L130" s="71" t="s">
        <v>95</v>
      </c>
      <c r="M130" s="71">
        <f>data!J8</f>
        <v>30</v>
      </c>
      <c r="N130" s="72">
        <v>78676.0</v>
      </c>
      <c r="O130" s="73">
        <v>564.0</v>
      </c>
      <c r="P130" s="74">
        <v>5.0</v>
      </c>
      <c r="Q130" s="75">
        <v>22</v>
      </c>
      <c r="R130" s="76">
        <v>9</v>
      </c>
      <c r="S130" s="76">
        <v>15</v>
      </c>
      <c r="T130" s="77">
        <f>+((Q130)+(R130/60)+(S130/3600))</f>
        <v>22.154166666667</v>
      </c>
      <c r="U130" s="78">
        <f>IFERROR(T130/$AA130,0)</f>
        <v>0.59992327481157</v>
      </c>
      <c r="V130" s="75">
        <v>14</v>
      </c>
      <c r="W130" s="76">
        <v>46</v>
      </c>
      <c r="X130" s="76">
        <v>27</v>
      </c>
      <c r="Y130" s="77">
        <f>+((V130)+(W130/60)+(X130/3600))</f>
        <v>14.774166666667</v>
      </c>
      <c r="Z130" s="78">
        <f>+IFERROR(Y130/$AA130,0)</f>
        <v>0.40007672518843</v>
      </c>
      <c r="AA130" s="79">
        <f>+Y130+T130</f>
        <v>36.928333333333</v>
      </c>
      <c r="AB130" s="80"/>
      <c r="AC130" s="81">
        <f>+IFERROR((AA130/P130),0)</f>
        <v>7.3856666666667</v>
      </c>
      <c r="AD130" s="82">
        <f>+IFERROR($O130/$P130,0)</f>
        <v>112.8</v>
      </c>
      <c r="AE130" s="76">
        <f>+IFERROR(O130/T130,0)</f>
        <v>25.457965017867</v>
      </c>
      <c r="AF130" s="83">
        <f>+IFERROR(AA130/(P130*$AE$8),0)</f>
        <v>0.92320833333333</v>
      </c>
      <c r="AG130" s="84">
        <f>+P130/$C$8</f>
        <v>0.16666666666667</v>
      </c>
      <c r="AH130" s="85">
        <f>+Y130*($AI$8*$AH$8)</f>
        <v>51.709583333333</v>
      </c>
      <c r="AI130"/>
    </row>
    <row r="131" spans="1:40">
      <c r="B131" s="70" t="s">
        <v>91</v>
      </c>
      <c r="C131" s="70" t="s">
        <v>101</v>
      </c>
      <c r="D131" s="70" t="s">
        <v>113</v>
      </c>
      <c r="E131" s="70"/>
      <c r="F131" s="70"/>
      <c r="G131" s="70"/>
      <c r="H131" s="70"/>
      <c r="I131" s="70"/>
      <c r="J131" s="70" t="s">
        <v>231</v>
      </c>
      <c r="K131" s="70"/>
      <c r="L131" s="71" t="s">
        <v>95</v>
      </c>
      <c r="M131" s="71">
        <f>data!J8</f>
        <v>30</v>
      </c>
      <c r="N131" s="72">
        <v>53027.0</v>
      </c>
      <c r="O131" s="73">
        <v>656.0</v>
      </c>
      <c r="P131" s="74">
        <v>5.0</v>
      </c>
      <c r="Q131" s="75">
        <v>23</v>
      </c>
      <c r="R131" s="76">
        <v>11</v>
      </c>
      <c r="S131" s="76">
        <v>38</v>
      </c>
      <c r="T131" s="77">
        <f>+((Q131)+(R131/60)+(S131/3600))</f>
        <v>23.193888888889</v>
      </c>
      <c r="U131" s="78">
        <f>IFERROR(T131/$AA131,0)</f>
        <v>0.62024498406638</v>
      </c>
      <c r="V131" s="75">
        <v>14</v>
      </c>
      <c r="W131" s="76">
        <v>12</v>
      </c>
      <c r="X131" s="76">
        <v>3</v>
      </c>
      <c r="Y131" s="77">
        <f>+((V131)+(W131/60)+(X131/3600))</f>
        <v>14.200833333333</v>
      </c>
      <c r="Z131" s="78">
        <f>+IFERROR(Y131/$AA131,0)</f>
        <v>0.37975501593362</v>
      </c>
      <c r="AA131" s="79">
        <f>+Y131+T131</f>
        <v>37.394722222222</v>
      </c>
      <c r="AB131" s="80"/>
      <c r="AC131" s="81">
        <f>+IFERROR((AA131/P131),0)</f>
        <v>7.4789444444444</v>
      </c>
      <c r="AD131" s="82">
        <f>+IFERROR($O131/$P131,0)</f>
        <v>131.2</v>
      </c>
      <c r="AE131" s="76">
        <f>+IFERROR(O131/T131,0)</f>
        <v>28.283312175142</v>
      </c>
      <c r="AF131" s="83">
        <f>+IFERROR(AA131/(P131*$AE$8),0)</f>
        <v>0.93486805555556</v>
      </c>
      <c r="AG131" s="84">
        <f>+P131/$C$8</f>
        <v>0.16666666666667</v>
      </c>
      <c r="AH131" s="85">
        <f>+Y131*($AI$8*$AH$8)</f>
        <v>49.702916666667</v>
      </c>
      <c r="AI131"/>
    </row>
    <row r="132" spans="1:40">
      <c r="B132" s="70" t="s">
        <v>91</v>
      </c>
      <c r="C132" s="70" t="s">
        <v>101</v>
      </c>
      <c r="D132" s="70" t="s">
        <v>113</v>
      </c>
      <c r="E132" s="70"/>
      <c r="F132" s="70"/>
      <c r="G132" s="70"/>
      <c r="H132" s="70"/>
      <c r="I132" s="70"/>
      <c r="J132" s="70" t="s">
        <v>232</v>
      </c>
      <c r="K132" s="70"/>
      <c r="L132" s="71" t="s">
        <v>95</v>
      </c>
      <c r="M132" s="71">
        <f>data!J8</f>
        <v>30</v>
      </c>
      <c r="N132" s="72">
        <v>69039.0</v>
      </c>
      <c r="O132" s="73">
        <v>940.0</v>
      </c>
      <c r="P132" s="74">
        <v>5.0</v>
      </c>
      <c r="Q132" s="75">
        <v>31</v>
      </c>
      <c r="R132" s="76">
        <v>22</v>
      </c>
      <c r="S132" s="76">
        <v>26</v>
      </c>
      <c r="T132" s="77">
        <f>+((Q132)+(R132/60)+(S132/3600))</f>
        <v>31.373888888889</v>
      </c>
      <c r="U132" s="78">
        <f>IFERROR(T132/$AA132,0)</f>
        <v>0.6107335009598</v>
      </c>
      <c r="V132" s="75">
        <v>19</v>
      </c>
      <c r="W132" s="76">
        <v>59</v>
      </c>
      <c r="X132" s="76">
        <v>49</v>
      </c>
      <c r="Y132" s="77">
        <f>+((V132)+(W132/60)+(X132/3600))</f>
        <v>19.996944444444</v>
      </c>
      <c r="Z132" s="78">
        <f>+IFERROR(Y132/$AA132,0)</f>
        <v>0.3892664990402</v>
      </c>
      <c r="AA132" s="79">
        <f>+Y132+T132</f>
        <v>51.370833333333</v>
      </c>
      <c r="AB132" s="80"/>
      <c r="AC132" s="81">
        <f>+IFERROR((AA132/P132),0)</f>
        <v>10.274166666667</v>
      </c>
      <c r="AD132" s="82">
        <f>+IFERROR($O132/$P132,0)</f>
        <v>188</v>
      </c>
      <c r="AE132" s="76">
        <f>+IFERROR(O132/T132,0)</f>
        <v>29.961220406212</v>
      </c>
      <c r="AF132" s="83">
        <f>+IFERROR(AA132/(P132*$AE$8),0)</f>
        <v>1.2842708333333</v>
      </c>
      <c r="AG132" s="84">
        <f>+P132/$C$8</f>
        <v>0.16666666666667</v>
      </c>
      <c r="AH132" s="85">
        <f>+Y132*($AI$8*$AH$8)</f>
        <v>69.989305555556</v>
      </c>
      <c r="AI132"/>
    </row>
    <row r="133" spans="1:40">
      <c r="B133" s="70" t="s">
        <v>91</v>
      </c>
      <c r="C133" s="70" t="s">
        <v>101</v>
      </c>
      <c r="D133" s="70" t="s">
        <v>113</v>
      </c>
      <c r="E133" s="70"/>
      <c r="F133" s="70"/>
      <c r="G133" s="70"/>
      <c r="H133" s="70"/>
      <c r="I133" s="70"/>
      <c r="J133" s="70" t="s">
        <v>233</v>
      </c>
      <c r="K133" s="70"/>
      <c r="L133" s="71" t="s">
        <v>95</v>
      </c>
      <c r="M133" s="71">
        <f>data!J8</f>
        <v>30</v>
      </c>
      <c r="N133" s="72">
        <v>65395.0</v>
      </c>
      <c r="O133" s="73">
        <v>816.0</v>
      </c>
      <c r="P133" s="74">
        <v>5.0</v>
      </c>
      <c r="Q133" s="75">
        <v>27</v>
      </c>
      <c r="R133" s="76">
        <v>34</v>
      </c>
      <c r="S133" s="76">
        <v>59</v>
      </c>
      <c r="T133" s="77">
        <f>+((Q133)+(R133/60)+(S133/3600))</f>
        <v>27.583055555556</v>
      </c>
      <c r="U133" s="78">
        <f>IFERROR(T133/$AA133,0)</f>
        <v>0.66195361611637</v>
      </c>
      <c r="V133" s="75">
        <v>14</v>
      </c>
      <c r="W133" s="76">
        <v>5</v>
      </c>
      <c r="X133" s="76">
        <v>10</v>
      </c>
      <c r="Y133" s="77">
        <f>+((V133)+(W133/60)+(X133/3600))</f>
        <v>14.086111111111</v>
      </c>
      <c r="Z133" s="78">
        <f>+IFERROR(Y133/$AA133,0)</f>
        <v>0.33804638388363</v>
      </c>
      <c r="AA133" s="79">
        <f>+Y133+T133</f>
        <v>41.669166666667</v>
      </c>
      <c r="AB133" s="80"/>
      <c r="AC133" s="81">
        <f>+IFERROR((AA133/P133),0)</f>
        <v>8.3338333333333</v>
      </c>
      <c r="AD133" s="82">
        <f>+IFERROR($O133/$P133,0)</f>
        <v>163.2</v>
      </c>
      <c r="AE133" s="76">
        <f>+IFERROR(O133/T133,0)</f>
        <v>29.583379490226</v>
      </c>
      <c r="AF133" s="83">
        <f>+IFERROR(AA133/(P133*$AE$8),0)</f>
        <v>1.0417291666667</v>
      </c>
      <c r="AG133" s="84">
        <f>+P133/$C$8</f>
        <v>0.16666666666667</v>
      </c>
      <c r="AH133" s="85">
        <f>+Y133*($AI$8*$AH$8)</f>
        <v>49.301388888889</v>
      </c>
      <c r="AI133"/>
    </row>
    <row r="134" spans="1:40">
      <c r="B134" s="70" t="s">
        <v>91</v>
      </c>
      <c r="C134" s="70" t="s">
        <v>101</v>
      </c>
      <c r="D134" s="70" t="s">
        <v>113</v>
      </c>
      <c r="E134" s="70"/>
      <c r="F134" s="70"/>
      <c r="G134" s="70"/>
      <c r="H134" s="70"/>
      <c r="I134" s="70"/>
      <c r="J134" s="70" t="s">
        <v>234</v>
      </c>
      <c r="K134" s="70"/>
      <c r="L134" s="71" t="s">
        <v>95</v>
      </c>
      <c r="M134" s="71">
        <f>data!J8</f>
        <v>30</v>
      </c>
      <c r="N134" s="72">
        <v>69564.0</v>
      </c>
      <c r="O134" s="73">
        <v>656.0</v>
      </c>
      <c r="P134" s="74">
        <v>5.0</v>
      </c>
      <c r="Q134" s="75">
        <v>22</v>
      </c>
      <c r="R134" s="76">
        <v>0</v>
      </c>
      <c r="S134" s="76">
        <v>41</v>
      </c>
      <c r="T134" s="77">
        <f>+((Q134)+(R134/60)+(S134/3600))</f>
        <v>22.011388888889</v>
      </c>
      <c r="U134" s="78">
        <f>IFERROR(T134/$AA134,0)</f>
        <v>0.52685784193134</v>
      </c>
      <c r="V134" s="75">
        <v>19</v>
      </c>
      <c r="W134" s="76">
        <v>46</v>
      </c>
      <c r="X134" s="76">
        <v>2</v>
      </c>
      <c r="Y134" s="77">
        <f>+((V134)+(W134/60)+(X134/3600))</f>
        <v>19.767222222222</v>
      </c>
      <c r="Z134" s="78">
        <f>+IFERROR(Y134/$AA134,0)</f>
        <v>0.47314215806866</v>
      </c>
      <c r="AA134" s="79">
        <f>+Y134+T134</f>
        <v>41.778611111111</v>
      </c>
      <c r="AB134" s="80"/>
      <c r="AC134" s="81">
        <f>+IFERROR((AA134/P134),0)</f>
        <v>8.3557222222222</v>
      </c>
      <c r="AD134" s="82">
        <f>+IFERROR($O134/$P134,0)</f>
        <v>131.2</v>
      </c>
      <c r="AE134" s="76">
        <f>+IFERROR(O134/T134,0)</f>
        <v>29.802753625017</v>
      </c>
      <c r="AF134" s="83">
        <f>+IFERROR(AA134/(P134*$AE$8),0)</f>
        <v>1.0444652777778</v>
      </c>
      <c r="AG134" s="84">
        <f>+P134/$C$8</f>
        <v>0.16666666666667</v>
      </c>
      <c r="AH134" s="85">
        <f>+Y134*($AI$8*$AH$8)</f>
        <v>69.185277777778</v>
      </c>
      <c r="AI134"/>
    </row>
    <row r="135" spans="1:40">
      <c r="B135" s="70" t="s">
        <v>91</v>
      </c>
      <c r="C135" s="70" t="s">
        <v>101</v>
      </c>
      <c r="D135" s="70" t="s">
        <v>108</v>
      </c>
      <c r="E135" s="70"/>
      <c r="F135" s="70"/>
      <c r="G135" s="70"/>
      <c r="H135" s="70"/>
      <c r="I135" s="70"/>
      <c r="J135" s="70" t="s">
        <v>235</v>
      </c>
      <c r="K135" s="70"/>
      <c r="L135" s="71" t="s">
        <v>95</v>
      </c>
      <c r="M135" s="71">
        <f>data!J8</f>
        <v>30</v>
      </c>
      <c r="N135" s="72">
        <v>77570.0</v>
      </c>
      <c r="O135" s="73">
        <v>310.0</v>
      </c>
      <c r="P135" s="74">
        <v>4.0</v>
      </c>
      <c r="Q135" s="75">
        <v>11</v>
      </c>
      <c r="R135" s="76">
        <v>39</v>
      </c>
      <c r="S135" s="76">
        <v>13</v>
      </c>
      <c r="T135" s="77">
        <f>+((Q135)+(R135/60)+(S135/3600))</f>
        <v>11.653611111111</v>
      </c>
      <c r="U135" s="78">
        <f>IFERROR(T135/$AA135,0)</f>
        <v>0.63970296727761</v>
      </c>
      <c r="V135" s="75">
        <v>6</v>
      </c>
      <c r="W135" s="76">
        <v>33</v>
      </c>
      <c r="X135" s="76">
        <v>49</v>
      </c>
      <c r="Y135" s="77">
        <f>+((V135)+(W135/60)+(X135/3600))</f>
        <v>6.5636111111111</v>
      </c>
      <c r="Z135" s="78">
        <f>+IFERROR(Y135/$AA135,0)</f>
        <v>0.36029703272239</v>
      </c>
      <c r="AA135" s="79">
        <f>+Y135+T135</f>
        <v>18.217222222222</v>
      </c>
      <c r="AB135" s="80"/>
      <c r="AC135" s="81">
        <f>+IFERROR((AA135/P135),0)</f>
        <v>4.5543055555556</v>
      </c>
      <c r="AD135" s="82">
        <f>+IFERROR($O135/$P135,0)</f>
        <v>77.5</v>
      </c>
      <c r="AE135" s="76">
        <f>+IFERROR(O135/T135,0)</f>
        <v>26.601196577122</v>
      </c>
      <c r="AF135" s="83">
        <f>+IFERROR(AA135/(P135*$AE$8),0)</f>
        <v>0.56928819444444</v>
      </c>
      <c r="AG135" s="84">
        <f>+P135/$C$8</f>
        <v>0.13333333333333</v>
      </c>
      <c r="AH135" s="85">
        <f>+Y135*($AI$8*$AH$8)</f>
        <v>22.972638888889</v>
      </c>
      <c r="AI135"/>
    </row>
    <row r="136" spans="1:40">
      <c r="B136" s="70" t="s">
        <v>91</v>
      </c>
      <c r="C136" s="70" t="s">
        <v>101</v>
      </c>
      <c r="D136" s="70" t="s">
        <v>109</v>
      </c>
      <c r="E136" s="70"/>
      <c r="F136" s="70"/>
      <c r="G136" s="70"/>
      <c r="H136" s="70"/>
      <c r="I136" s="70"/>
      <c r="J136" s="70" t="s">
        <v>236</v>
      </c>
      <c r="K136" s="70"/>
      <c r="L136" s="71" t="s">
        <v>95</v>
      </c>
      <c r="M136" s="71">
        <f>data!J8</f>
        <v>30</v>
      </c>
      <c r="N136" s="72">
        <v>70826.0</v>
      </c>
      <c r="O136" s="73">
        <v>503.0</v>
      </c>
      <c r="P136" s="74">
        <v>5.0</v>
      </c>
      <c r="Q136" s="75">
        <v>19</v>
      </c>
      <c r="R136" s="76">
        <v>38</v>
      </c>
      <c r="S136" s="76">
        <v>11</v>
      </c>
      <c r="T136" s="77">
        <f>+((Q136)+(R136/60)+(S136/3600))</f>
        <v>19.636388888889</v>
      </c>
      <c r="U136" s="78">
        <f>IFERROR(T136/$AA136,0)</f>
        <v>0.4852384972852</v>
      </c>
      <c r="V136" s="75">
        <v>20</v>
      </c>
      <c r="W136" s="76">
        <v>49</v>
      </c>
      <c r="X136" s="76">
        <v>52</v>
      </c>
      <c r="Y136" s="77">
        <f>+((V136)+(W136/60)+(X136/3600))</f>
        <v>20.831111111111</v>
      </c>
      <c r="Z136" s="78">
        <f>+IFERROR(Y136/$AA136,0)</f>
        <v>0.5147615027148</v>
      </c>
      <c r="AA136" s="79">
        <f>+Y136+T136</f>
        <v>40.4675</v>
      </c>
      <c r="AB136" s="80"/>
      <c r="AC136" s="81">
        <f>+IFERROR((AA136/P136),0)</f>
        <v>8.0935</v>
      </c>
      <c r="AD136" s="82">
        <f>+IFERROR($O136/$P136,0)</f>
        <v>100.6</v>
      </c>
      <c r="AE136" s="76">
        <f>+IFERROR(O136/T136,0)</f>
        <v>25.61570779873</v>
      </c>
      <c r="AF136" s="83">
        <f>+IFERROR(AA136/(P136*$AE$8),0)</f>
        <v>1.0116875</v>
      </c>
      <c r="AG136" s="84">
        <f>+P136/$C$8</f>
        <v>0.16666666666667</v>
      </c>
      <c r="AH136" s="85">
        <f>+Y136*($AI$8*$AH$8)</f>
        <v>72.908888888889</v>
      </c>
      <c r="AI136"/>
    </row>
    <row r="137" spans="1:40">
      <c r="B137" s="70" t="s">
        <v>91</v>
      </c>
      <c r="C137" s="70" t="s">
        <v>101</v>
      </c>
      <c r="D137" s="70" t="s">
        <v>109</v>
      </c>
      <c r="E137" s="70"/>
      <c r="F137" s="70"/>
      <c r="G137" s="70"/>
      <c r="H137" s="70"/>
      <c r="I137" s="70"/>
      <c r="J137" s="70" t="s">
        <v>237</v>
      </c>
      <c r="K137" s="70"/>
      <c r="L137" s="71" t="s">
        <v>95</v>
      </c>
      <c r="M137" s="71">
        <f>data!J8</f>
        <v>30</v>
      </c>
      <c r="N137" s="72">
        <v>69717.0</v>
      </c>
      <c r="O137" s="73">
        <v>780.0</v>
      </c>
      <c r="P137" s="74">
        <v>5.0</v>
      </c>
      <c r="Q137" s="75">
        <v>30</v>
      </c>
      <c r="R137" s="76">
        <v>53</v>
      </c>
      <c r="S137" s="76">
        <v>7</v>
      </c>
      <c r="T137" s="77">
        <f>+((Q137)+(R137/60)+(S137/3600))</f>
        <v>30.885277777778</v>
      </c>
      <c r="U137" s="78">
        <f>IFERROR(T137/$AA137,0)</f>
        <v>0.65282385199364</v>
      </c>
      <c r="V137" s="75">
        <v>16</v>
      </c>
      <c r="W137" s="76">
        <v>25</v>
      </c>
      <c r="X137" s="76">
        <v>30</v>
      </c>
      <c r="Y137" s="77">
        <f>+((V137)+(W137/60)+(X137/3600))</f>
        <v>16.425</v>
      </c>
      <c r="Z137" s="78">
        <f>+IFERROR(Y137/$AA137,0)</f>
        <v>0.34717614800636</v>
      </c>
      <c r="AA137" s="79">
        <f>+Y137+T137</f>
        <v>47.310277777778</v>
      </c>
      <c r="AB137" s="80"/>
      <c r="AC137" s="81">
        <f>+IFERROR((AA137/P137),0)</f>
        <v>9.4620555555556</v>
      </c>
      <c r="AD137" s="82">
        <f>+IFERROR($O137/$P137,0)</f>
        <v>156</v>
      </c>
      <c r="AE137" s="76">
        <f>+IFERROR(O137/T137,0)</f>
        <v>25.254751005064</v>
      </c>
      <c r="AF137" s="83">
        <f>+IFERROR(AA137/(P137*$AE$8),0)</f>
        <v>1.1827569444444</v>
      </c>
      <c r="AG137" s="84">
        <f>+P137/$C$8</f>
        <v>0.16666666666667</v>
      </c>
      <c r="AH137" s="85">
        <f>+Y137*($AI$8*$AH$8)</f>
        <v>57.4875</v>
      </c>
      <c r="AI137"/>
    </row>
    <row r="138" spans="1:40">
      <c r="B138" s="70" t="s">
        <v>91</v>
      </c>
      <c r="C138" s="70" t="s">
        <v>102</v>
      </c>
      <c r="D138" s="70" t="s">
        <v>114</v>
      </c>
      <c r="E138" s="70"/>
      <c r="F138" s="70"/>
      <c r="G138" s="70"/>
      <c r="H138" s="70"/>
      <c r="I138" s="70"/>
      <c r="J138" s="70" t="s">
        <v>238</v>
      </c>
      <c r="K138" s="70"/>
      <c r="L138" s="71" t="s">
        <v>95</v>
      </c>
      <c r="M138" s="71">
        <f>data!J8</f>
        <v>30</v>
      </c>
      <c r="N138" s="72">
        <v>125752.0</v>
      </c>
      <c r="O138" s="73">
        <v>766.0</v>
      </c>
      <c r="P138" s="74">
        <v>5.0</v>
      </c>
      <c r="Q138" s="75">
        <v>22</v>
      </c>
      <c r="R138" s="76">
        <v>56</v>
      </c>
      <c r="S138" s="76">
        <v>8</v>
      </c>
      <c r="T138" s="77">
        <f>+((Q138)+(R138/60)+(S138/3600))</f>
        <v>22.935555555556</v>
      </c>
      <c r="U138" s="78">
        <f>IFERROR(T138/$AA138,0)</f>
        <v>0.7646742855026</v>
      </c>
      <c r="V138" s="75">
        <v>7</v>
      </c>
      <c r="W138" s="76">
        <v>3</v>
      </c>
      <c r="X138" s="76">
        <v>30</v>
      </c>
      <c r="Y138" s="77">
        <f>+((V138)+(W138/60)+(X138/3600))</f>
        <v>7.0583333333333</v>
      </c>
      <c r="Z138" s="78">
        <f>+IFERROR(Y138/$AA138,0)</f>
        <v>0.2353257144974</v>
      </c>
      <c r="AA138" s="79">
        <f>+Y138+T138</f>
        <v>29.993888888889</v>
      </c>
      <c r="AB138" s="80"/>
      <c r="AC138" s="81">
        <f>+IFERROR((AA138/P138),0)</f>
        <v>5.9987777777778</v>
      </c>
      <c r="AD138" s="82">
        <f>+IFERROR($O138/$P138,0)</f>
        <v>153.2</v>
      </c>
      <c r="AE138" s="76">
        <f>+IFERROR(O138/T138,0)</f>
        <v>33.397926557504</v>
      </c>
      <c r="AF138" s="83">
        <f>+IFERROR(AA138/(P138*$AE$8),0)</f>
        <v>0.74984722222222</v>
      </c>
      <c r="AG138" s="84">
        <f>+P138/$C$8</f>
        <v>0.16666666666667</v>
      </c>
      <c r="AH138" s="85">
        <f>+Y138*($AI$8*$AH$8)</f>
        <v>24.704166666667</v>
      </c>
      <c r="AI138"/>
    </row>
    <row r="139" spans="1:40">
      <c r="B139" s="70" t="s">
        <v>91</v>
      </c>
      <c r="C139" s="70" t="s">
        <v>101</v>
      </c>
      <c r="D139" s="70" t="s">
        <v>108</v>
      </c>
      <c r="E139" s="70"/>
      <c r="F139" s="70"/>
      <c r="G139" s="70"/>
      <c r="H139" s="70"/>
      <c r="I139" s="70"/>
      <c r="J139" s="70" t="s">
        <v>239</v>
      </c>
      <c r="K139" s="70"/>
      <c r="L139" s="71" t="s">
        <v>95</v>
      </c>
      <c r="M139" s="71">
        <f>data!J8</f>
        <v>30</v>
      </c>
      <c r="N139" s="72">
        <v>72496.0</v>
      </c>
      <c r="O139" s="73">
        <v>680.0</v>
      </c>
      <c r="P139" s="74">
        <v>5.0</v>
      </c>
      <c r="Q139" s="75">
        <v>26</v>
      </c>
      <c r="R139" s="76">
        <v>27</v>
      </c>
      <c r="S139" s="76">
        <v>13</v>
      </c>
      <c r="T139" s="77">
        <f>+((Q139)+(R139/60)+(S139/3600))</f>
        <v>26.453611111111</v>
      </c>
      <c r="U139" s="78">
        <f>IFERROR(T139/$AA139,0)</f>
        <v>0.63581920149553</v>
      </c>
      <c r="V139" s="75">
        <v>15</v>
      </c>
      <c r="W139" s="76">
        <v>9</v>
      </c>
      <c r="X139" s="76">
        <v>7</v>
      </c>
      <c r="Y139" s="77">
        <f>+((V139)+(W139/60)+(X139/3600))</f>
        <v>15.151944444444</v>
      </c>
      <c r="Z139" s="78">
        <f>+IFERROR(Y139/$AA139,0)</f>
        <v>0.36418079850447</v>
      </c>
      <c r="AA139" s="79">
        <f>+Y139+T139</f>
        <v>41.605555555556</v>
      </c>
      <c r="AB139" s="80"/>
      <c r="AC139" s="81">
        <f>+IFERROR((AA139/P139),0)</f>
        <v>8.3211111111111</v>
      </c>
      <c r="AD139" s="82">
        <f>+IFERROR($O139/$P139,0)</f>
        <v>136</v>
      </c>
      <c r="AE139" s="76">
        <f>+IFERROR(O139/T139,0)</f>
        <v>25.705375237575</v>
      </c>
      <c r="AF139" s="83">
        <f>+IFERROR(AA139/(P139*$AE$8),0)</f>
        <v>1.0401388888889</v>
      </c>
      <c r="AG139" s="84">
        <f>+P139/$C$8</f>
        <v>0.16666666666667</v>
      </c>
      <c r="AH139" s="85">
        <f>+Y139*($AI$8*$AH$8)</f>
        <v>53.031805555556</v>
      </c>
      <c r="AI139"/>
    </row>
    <row r="140" spans="1:40">
      <c r="B140" s="70" t="s">
        <v>91</v>
      </c>
      <c r="C140" s="70" t="s">
        <v>102</v>
      </c>
      <c r="D140" s="70" t="s">
        <v>112</v>
      </c>
      <c r="E140" s="70"/>
      <c r="F140" s="70"/>
      <c r="G140" s="70"/>
      <c r="H140" s="70"/>
      <c r="I140" s="70"/>
      <c r="J140" s="70" t="s">
        <v>240</v>
      </c>
      <c r="K140" s="70"/>
      <c r="L140" s="71" t="s">
        <v>95</v>
      </c>
      <c r="M140" s="71">
        <f>data!J8</f>
        <v>30</v>
      </c>
      <c r="N140" s="72">
        <v>66976.0</v>
      </c>
      <c r="O140" s="73">
        <v>210.0</v>
      </c>
      <c r="P140" s="74">
        <v>5.0</v>
      </c>
      <c r="Q140" s="75">
        <v>7</v>
      </c>
      <c r="R140" s="76">
        <v>0</v>
      </c>
      <c r="S140" s="76">
        <v>20</v>
      </c>
      <c r="T140" s="77">
        <f>+((Q140)+(R140/60)+(S140/3600))</f>
        <v>7.0055555555556</v>
      </c>
      <c r="U140" s="78">
        <f>IFERROR(T140/$AA140,0)</f>
        <v>0.65603620945296</v>
      </c>
      <c r="V140" s="75">
        <v>3</v>
      </c>
      <c r="W140" s="76">
        <v>40</v>
      </c>
      <c r="X140" s="76">
        <v>23</v>
      </c>
      <c r="Y140" s="77">
        <f>+((V140)+(W140/60)+(X140/3600))</f>
        <v>3.6730555555556</v>
      </c>
      <c r="Z140" s="78">
        <f>+IFERROR(Y140/$AA140,0)</f>
        <v>0.34396379054704</v>
      </c>
      <c r="AA140" s="79">
        <f>+Y140+T140</f>
        <v>10.678611111111</v>
      </c>
      <c r="AB140" s="80"/>
      <c r="AC140" s="81">
        <f>+IFERROR((AA140/P140),0)</f>
        <v>2.1357222222222</v>
      </c>
      <c r="AD140" s="82">
        <f>+IFERROR($O140/$P140,0)</f>
        <v>42</v>
      </c>
      <c r="AE140" s="76">
        <f>+IFERROR(O140/T140,0)</f>
        <v>29.976209357653</v>
      </c>
      <c r="AF140" s="83">
        <f>+IFERROR(AA140/(P140*$AE$8),0)</f>
        <v>0.26696527777778</v>
      </c>
      <c r="AG140" s="84">
        <f>+P140/$C$8</f>
        <v>0.16666666666667</v>
      </c>
      <c r="AH140" s="85">
        <f>+Y140*($AI$8*$AH$8)</f>
        <v>12.855694444444</v>
      </c>
      <c r="AI140"/>
    </row>
    <row r="141" spans="1:40">
      <c r="B141" s="70" t="s">
        <v>91</v>
      </c>
      <c r="C141" s="70" t="s">
        <v>102</v>
      </c>
      <c r="D141" s="70" t="s">
        <v>114</v>
      </c>
      <c r="E141" s="70"/>
      <c r="F141" s="70"/>
      <c r="G141" s="70"/>
      <c r="H141" s="70"/>
      <c r="I141" s="70"/>
      <c r="J141" s="70" t="s">
        <v>241</v>
      </c>
      <c r="K141" s="70"/>
      <c r="L141" s="71" t="s">
        <v>95</v>
      </c>
      <c r="M141" s="71">
        <f>data!J8</f>
        <v>30</v>
      </c>
      <c r="N141" s="72">
        <v>92450.0</v>
      </c>
      <c r="O141" s="73">
        <v>662.0</v>
      </c>
      <c r="P141" s="74">
        <v>5.0</v>
      </c>
      <c r="Q141" s="75">
        <v>22</v>
      </c>
      <c r="R141" s="76">
        <v>58</v>
      </c>
      <c r="S141" s="76">
        <v>20</v>
      </c>
      <c r="T141" s="77">
        <f>+((Q141)+(R141/60)+(S141/3600))</f>
        <v>22.972222222222</v>
      </c>
      <c r="U141" s="78">
        <f>IFERROR(T141/$AA141,0)</f>
        <v>0.6316159286358</v>
      </c>
      <c r="V141" s="75">
        <v>13</v>
      </c>
      <c r="W141" s="76">
        <v>23</v>
      </c>
      <c r="X141" s="76">
        <v>54</v>
      </c>
      <c r="Y141" s="77">
        <f>+((V141)+(W141/60)+(X141/3600))</f>
        <v>13.398333333333</v>
      </c>
      <c r="Z141" s="78">
        <f>+IFERROR(Y141/$AA141,0)</f>
        <v>0.3683840713642</v>
      </c>
      <c r="AA141" s="79">
        <f>+Y141+T141</f>
        <v>36.370555555556</v>
      </c>
      <c r="AB141" s="80"/>
      <c r="AC141" s="81">
        <f>+IFERROR((AA141/P141),0)</f>
        <v>7.2741111111111</v>
      </c>
      <c r="AD141" s="82">
        <f>+IFERROR($O141/$P141,0)</f>
        <v>132.4</v>
      </c>
      <c r="AE141" s="76">
        <f>+IFERROR(O141/T141,0)</f>
        <v>28.817412333736</v>
      </c>
      <c r="AF141" s="83">
        <f>+IFERROR(AA141/(P141*$AE$8),0)</f>
        <v>0.90926388888889</v>
      </c>
      <c r="AG141" s="84">
        <f>+P141/$C$8</f>
        <v>0.16666666666667</v>
      </c>
      <c r="AH141" s="85">
        <f>+Y141*($AI$8*$AH$8)</f>
        <v>46.894166666667</v>
      </c>
      <c r="AI141"/>
    </row>
    <row r="142" spans="1:40">
      <c r="B142" s="70" t="s">
        <v>91</v>
      </c>
      <c r="C142" s="70" t="s">
        <v>101</v>
      </c>
      <c r="D142" s="70" t="s">
        <v>108</v>
      </c>
      <c r="E142" s="70"/>
      <c r="F142" s="70"/>
      <c r="G142" s="70"/>
      <c r="H142" s="70"/>
      <c r="I142" s="70"/>
      <c r="J142" s="70" t="s">
        <v>242</v>
      </c>
      <c r="K142" s="70"/>
      <c r="L142" s="71" t="s">
        <v>95</v>
      </c>
      <c r="M142" s="71">
        <f>data!J8</f>
        <v>30</v>
      </c>
      <c r="N142" s="72">
        <v>36103.0</v>
      </c>
      <c r="O142" s="73">
        <v>540.0</v>
      </c>
      <c r="P142" s="74">
        <v>5.0</v>
      </c>
      <c r="Q142" s="75">
        <v>22</v>
      </c>
      <c r="R142" s="76">
        <v>27</v>
      </c>
      <c r="S142" s="76">
        <v>11</v>
      </c>
      <c r="T142" s="77">
        <f>+((Q142)+(R142/60)+(S142/3600))</f>
        <v>22.453055555556</v>
      </c>
      <c r="U142" s="78">
        <f>IFERROR(T142/$AA142,0)</f>
        <v>0.59074465208399</v>
      </c>
      <c r="V142" s="75">
        <v>15</v>
      </c>
      <c r="W142" s="76">
        <v>33</v>
      </c>
      <c r="X142" s="76">
        <v>18</v>
      </c>
      <c r="Y142" s="77">
        <f>+((V142)+(W142/60)+(X142/3600))</f>
        <v>15.555</v>
      </c>
      <c r="Z142" s="78">
        <f>+IFERROR(Y142/$AA142,0)</f>
        <v>0.40925534791601</v>
      </c>
      <c r="AA142" s="79">
        <f>+Y142+T142</f>
        <v>38.008055555556</v>
      </c>
      <c r="AB142" s="80"/>
      <c r="AC142" s="81">
        <f>+IFERROR((AA142/P142),0)</f>
        <v>7.6016111111111</v>
      </c>
      <c r="AD142" s="82">
        <f>+IFERROR($O142/$P142,0)</f>
        <v>108</v>
      </c>
      <c r="AE142" s="76">
        <f>+IFERROR(O142/T142,0)</f>
        <v>24.050178768047</v>
      </c>
      <c r="AF142" s="83">
        <f>+IFERROR(AA142/(P142*$AE$8),0)</f>
        <v>0.95020138888889</v>
      </c>
      <c r="AG142" s="84">
        <f>+P142/$C$8</f>
        <v>0.16666666666667</v>
      </c>
      <c r="AH142" s="85">
        <f>+Y142*($AI$8*$AH$8)</f>
        <v>54.4425</v>
      </c>
      <c r="AI142"/>
    </row>
    <row r="143" spans="1:40">
      <c r="B143" s="70" t="s">
        <v>91</v>
      </c>
      <c r="C143" s="70" t="s">
        <v>101</v>
      </c>
      <c r="D143" s="70" t="s">
        <v>109</v>
      </c>
      <c r="E143" s="70"/>
      <c r="F143" s="70"/>
      <c r="G143" s="70"/>
      <c r="H143" s="70"/>
      <c r="I143" s="70"/>
      <c r="J143" s="70" t="s">
        <v>243</v>
      </c>
      <c r="K143" s="70"/>
      <c r="L143" s="71" t="s">
        <v>95</v>
      </c>
      <c r="M143" s="71">
        <f>data!J8</f>
        <v>30</v>
      </c>
      <c r="N143" s="72">
        <v>71061.0</v>
      </c>
      <c r="O143" s="73">
        <v>689.0</v>
      </c>
      <c r="P143" s="74">
        <v>5.0</v>
      </c>
      <c r="Q143" s="75">
        <v>25</v>
      </c>
      <c r="R143" s="76">
        <v>0</v>
      </c>
      <c r="S143" s="76">
        <v>39</v>
      </c>
      <c r="T143" s="77">
        <f>+((Q143)+(R143/60)+(S143/3600))</f>
        <v>25.010833333333</v>
      </c>
      <c r="U143" s="78">
        <f>IFERROR(T143/$AA143,0)</f>
        <v>0.34901542755252</v>
      </c>
      <c r="V143" s="75">
        <v>46</v>
      </c>
      <c r="W143" s="76">
        <v>39</v>
      </c>
      <c r="X143" s="76">
        <v>1</v>
      </c>
      <c r="Y143" s="77">
        <f>+((V143)+(W143/60)+(X143/3600))</f>
        <v>46.650277777778</v>
      </c>
      <c r="Z143" s="78">
        <f>+IFERROR(Y143/$AA143,0)</f>
        <v>0.65098457244748</v>
      </c>
      <c r="AA143" s="79">
        <f>+Y143+T143</f>
        <v>71.661111111111</v>
      </c>
      <c r="AB143" s="80"/>
      <c r="AC143" s="81">
        <f>+IFERROR((AA143/P143),0)</f>
        <v>14.332222222222</v>
      </c>
      <c r="AD143" s="82">
        <f>+IFERROR($O143/$P143,0)</f>
        <v>137.8</v>
      </c>
      <c r="AE143" s="76">
        <f>+IFERROR(O143/T143,0)</f>
        <v>27.548062506247</v>
      </c>
      <c r="AF143" s="83">
        <f>+IFERROR(AA143/(P143*$AE$8),0)</f>
        <v>1.7915277777778</v>
      </c>
      <c r="AG143" s="84">
        <f>+P143/$C$8</f>
        <v>0.16666666666667</v>
      </c>
      <c r="AH143" s="85">
        <f>+Y143*($AI$8*$AH$8)</f>
        <v>163.27597222222</v>
      </c>
      <c r="AI143"/>
    </row>
    <row r="144" spans="1:40">
      <c r="B144" s="70" t="s">
        <v>91</v>
      </c>
      <c r="C144" s="70" t="s">
        <v>102</v>
      </c>
      <c r="D144" s="70" t="s">
        <v>112</v>
      </c>
      <c r="E144" s="70"/>
      <c r="F144" s="70"/>
      <c r="G144" s="70"/>
      <c r="H144" s="70"/>
      <c r="I144" s="70"/>
      <c r="J144" s="70" t="s">
        <v>244</v>
      </c>
      <c r="K144" s="70"/>
      <c r="L144" s="71" t="s">
        <v>326</v>
      </c>
      <c r="M144" s="71">
        <f>data!J8</f>
        <v>30</v>
      </c>
      <c r="N144" s="72">
        <v>92643.0</v>
      </c>
      <c r="O144" s="73">
        <v>0.0</v>
      </c>
      <c r="P144" s="74">
        <v>0.0</v>
      </c>
      <c r="Q144" s="75">
        <v>0</v>
      </c>
      <c r="R144" s="76">
        <v>0</v>
      </c>
      <c r="S144" s="76">
        <v>0</v>
      </c>
      <c r="T144" s="77">
        <f>+((Q144)+(R144/60)+(S144/3600))</f>
        <v>0</v>
      </c>
      <c r="U144" s="78">
        <f>IFERROR(T144/$AA144,0)</f>
        <v>0</v>
      </c>
      <c r="V144" s="75">
        <v>0</v>
      </c>
      <c r="W144" s="76">
        <v>0</v>
      </c>
      <c r="X144" s="76">
        <v>0</v>
      </c>
      <c r="Y144" s="77">
        <f>+((V144)+(W144/60)+(X144/3600))</f>
        <v>0</v>
      </c>
      <c r="Z144" s="78">
        <f>+IFERROR(Y144/$AA144,0)</f>
        <v>0</v>
      </c>
      <c r="AA144" s="79">
        <f>+Y144+T144</f>
        <v>0</v>
      </c>
      <c r="AB144" s="80"/>
      <c r="AC144" s="81">
        <f>+IFERROR((AA144/P144),0)</f>
        <v>0</v>
      </c>
      <c r="AD144" s="82">
        <f>+IFERROR($O144/$P144,0)</f>
        <v>0</v>
      </c>
      <c r="AE144" s="76">
        <f>+IFERROR(O144/T144,0)</f>
        <v>0</v>
      </c>
      <c r="AF144" s="83">
        <f>+IFERROR(AA144/(P144*$AE$8),0)</f>
        <v>0</v>
      </c>
      <c r="AG144" s="84">
        <f>+P144/$C$8</f>
        <v>0</v>
      </c>
      <c r="AH144" s="85">
        <f>+Y144*($AI$8*$AH$8)</f>
        <v>0</v>
      </c>
      <c r="AI144"/>
    </row>
    <row r="145" spans="1:40">
      <c r="B145" s="70" t="s">
        <v>91</v>
      </c>
      <c r="C145" s="70" t="s">
        <v>102</v>
      </c>
      <c r="D145" s="70" t="s">
        <v>110</v>
      </c>
      <c r="E145" s="70"/>
      <c r="F145" s="70"/>
      <c r="G145" s="70"/>
      <c r="H145" s="70"/>
      <c r="I145" s="70"/>
      <c r="J145" s="70" t="s">
        <v>245</v>
      </c>
      <c r="K145" s="70"/>
      <c r="L145" s="71" t="s">
        <v>95</v>
      </c>
      <c r="M145" s="71">
        <f>data!J8</f>
        <v>30</v>
      </c>
      <c r="N145" s="72">
        <v>8763.0</v>
      </c>
      <c r="O145" s="73">
        <v>446.0</v>
      </c>
      <c r="P145" s="74">
        <v>5.0</v>
      </c>
      <c r="Q145" s="75">
        <v>23</v>
      </c>
      <c r="R145" s="76">
        <v>10</v>
      </c>
      <c r="S145" s="76">
        <v>1</v>
      </c>
      <c r="T145" s="77">
        <f>+((Q145)+(R145/60)+(S145/3600))</f>
        <v>23.166944444444</v>
      </c>
      <c r="U145" s="78">
        <f>IFERROR(T145/$AA145,0)</f>
        <v>0.35320549198309</v>
      </c>
      <c r="V145" s="75">
        <v>42</v>
      </c>
      <c r="W145" s="76">
        <v>25</v>
      </c>
      <c r="X145" s="76">
        <v>25</v>
      </c>
      <c r="Y145" s="77">
        <f>+((V145)+(W145/60)+(X145/3600))</f>
        <v>42.423611111111</v>
      </c>
      <c r="Z145" s="78">
        <f>+IFERROR(Y145/$AA145,0)</f>
        <v>0.64679450801691</v>
      </c>
      <c r="AA145" s="79">
        <f>+Y145+T145</f>
        <v>65.590555555556</v>
      </c>
      <c r="AB145" s="80"/>
      <c r="AC145" s="81">
        <f>+IFERROR((AA145/P145),0)</f>
        <v>13.118111111111</v>
      </c>
      <c r="AD145" s="82">
        <f>+IFERROR($O145/$P145,0)</f>
        <v>89.2</v>
      </c>
      <c r="AE145" s="76">
        <f>+IFERROR(O145/T145,0)</f>
        <v>19.251567727006</v>
      </c>
      <c r="AF145" s="83">
        <f>+IFERROR(AA145/(P145*$AE$8),0)</f>
        <v>1.6397638888889</v>
      </c>
      <c r="AG145" s="84">
        <f>+P145/$C$8</f>
        <v>0.16666666666667</v>
      </c>
      <c r="AH145" s="85">
        <f>+Y145*($AI$8*$AH$8)</f>
        <v>148.48263888889</v>
      </c>
      <c r="AI145"/>
    </row>
    <row r="146" spans="1:40">
      <c r="B146" s="70" t="s">
        <v>91</v>
      </c>
      <c r="C146" s="70" t="s">
        <v>101</v>
      </c>
      <c r="D146" s="70" t="s">
        <v>113</v>
      </c>
      <c r="E146" s="70"/>
      <c r="F146" s="70"/>
      <c r="G146" s="70"/>
      <c r="H146" s="70"/>
      <c r="I146" s="70"/>
      <c r="J146" s="70" t="s">
        <v>246</v>
      </c>
      <c r="K146" s="70"/>
      <c r="L146" s="71" t="s">
        <v>95</v>
      </c>
      <c r="M146" s="71">
        <f>data!J8</f>
        <v>30</v>
      </c>
      <c r="N146" s="72">
        <v>84159.0</v>
      </c>
      <c r="O146" s="73">
        <v>789.0</v>
      </c>
      <c r="P146" s="74">
        <v>5.0</v>
      </c>
      <c r="Q146" s="75">
        <v>24</v>
      </c>
      <c r="R146" s="76">
        <v>45</v>
      </c>
      <c r="S146" s="76">
        <v>23</v>
      </c>
      <c r="T146" s="77">
        <f>+((Q146)+(R146/60)+(S146/3600))</f>
        <v>24.756388888889</v>
      </c>
      <c r="U146" s="78">
        <f>IFERROR(T146/$AA146,0)</f>
        <v>0.45885526878067</v>
      </c>
      <c r="V146" s="75">
        <v>29</v>
      </c>
      <c r="W146" s="76">
        <v>11</v>
      </c>
      <c r="X146" s="76">
        <v>46</v>
      </c>
      <c r="Y146" s="77">
        <f>+((V146)+(W146/60)+(X146/3600))</f>
        <v>29.196111111111</v>
      </c>
      <c r="Z146" s="78">
        <f>+IFERROR(Y146/$AA146,0)</f>
        <v>0.54114473121933</v>
      </c>
      <c r="AA146" s="79">
        <f>+Y146+T146</f>
        <v>53.9525</v>
      </c>
      <c r="AB146" s="80"/>
      <c r="AC146" s="81">
        <f>+IFERROR((AA146/P146),0)</f>
        <v>10.7905</v>
      </c>
      <c r="AD146" s="82">
        <f>+IFERROR($O146/$P146,0)</f>
        <v>157.8</v>
      </c>
      <c r="AE146" s="76">
        <f>+IFERROR(O146/T146,0)</f>
        <v>31.870560910203</v>
      </c>
      <c r="AF146" s="83">
        <f>+IFERROR(AA146/(P146*$AE$8),0)</f>
        <v>1.3488125</v>
      </c>
      <c r="AG146" s="84">
        <f>+P146/$C$8</f>
        <v>0.16666666666667</v>
      </c>
      <c r="AH146" s="85">
        <f>+Y146*($AI$8*$AH$8)</f>
        <v>102.18638888889</v>
      </c>
      <c r="AI146"/>
    </row>
    <row r="147" spans="1:40">
      <c r="B147" s="70" t="s">
        <v>91</v>
      </c>
      <c r="C147" s="70" t="s">
        <v>101</v>
      </c>
      <c r="D147" s="70" t="s">
        <v>108</v>
      </c>
      <c r="E147" s="70"/>
      <c r="F147" s="70"/>
      <c r="G147" s="70"/>
      <c r="H147" s="70"/>
      <c r="I147" s="70"/>
      <c r="J147" s="70" t="s">
        <v>247</v>
      </c>
      <c r="K147" s="70"/>
      <c r="L147" s="71" t="s">
        <v>95</v>
      </c>
      <c r="M147" s="71">
        <f>data!J8</f>
        <v>30</v>
      </c>
      <c r="N147" s="72">
        <v>54316.0</v>
      </c>
      <c r="O147" s="73">
        <v>275.0</v>
      </c>
      <c r="P147" s="74">
        <v>5.0</v>
      </c>
      <c r="Q147" s="75">
        <v>8</v>
      </c>
      <c r="R147" s="76">
        <v>25</v>
      </c>
      <c r="S147" s="76">
        <v>59</v>
      </c>
      <c r="T147" s="77">
        <f>+((Q147)+(R147/60)+(S147/3600))</f>
        <v>8.4330555555556</v>
      </c>
      <c r="U147" s="78">
        <f>IFERROR(T147/$AA147,0)</f>
        <v>0.7412046192534</v>
      </c>
      <c r="V147" s="75">
        <v>2</v>
      </c>
      <c r="W147" s="76">
        <v>56</v>
      </c>
      <c r="X147" s="76">
        <v>40</v>
      </c>
      <c r="Y147" s="77">
        <f>+((V147)+(W147/60)+(X147/3600))</f>
        <v>2.9444444444444</v>
      </c>
      <c r="Z147" s="78">
        <f>+IFERROR(Y147/$AA147,0)</f>
        <v>0.2587953807466</v>
      </c>
      <c r="AA147" s="79">
        <f>+Y147+T147</f>
        <v>11.3775</v>
      </c>
      <c r="AB147" s="80"/>
      <c r="AC147" s="81">
        <f>+IFERROR((AA147/P147),0)</f>
        <v>2.2755</v>
      </c>
      <c r="AD147" s="82">
        <f>+IFERROR($O147/$P147,0)</f>
        <v>55</v>
      </c>
      <c r="AE147" s="76">
        <f>+IFERROR(O147/T147,0)</f>
        <v>32.609769755262</v>
      </c>
      <c r="AF147" s="83">
        <f>+IFERROR(AA147/(P147*$AE$8),0)</f>
        <v>0.2844375</v>
      </c>
      <c r="AG147" s="84">
        <f>+P147/$C$8</f>
        <v>0.16666666666667</v>
      </c>
      <c r="AH147" s="85">
        <f>+Y147*($AI$8*$AH$8)</f>
        <v>10.305555555556</v>
      </c>
      <c r="AI147"/>
    </row>
    <row r="148" spans="1:40">
      <c r="B148" s="70" t="s">
        <v>91</v>
      </c>
      <c r="C148" s="70" t="s">
        <v>102</v>
      </c>
      <c r="D148" s="70" t="s">
        <v>110</v>
      </c>
      <c r="E148" s="70"/>
      <c r="F148" s="70"/>
      <c r="G148" s="70"/>
      <c r="H148" s="70"/>
      <c r="I148" s="70"/>
      <c r="J148" s="70" t="s">
        <v>248</v>
      </c>
      <c r="K148" s="70"/>
      <c r="L148" s="71" t="s">
        <v>95</v>
      </c>
      <c r="M148" s="71">
        <f>data!J8</f>
        <v>30</v>
      </c>
      <c r="N148" s="72">
        <v>8289.0</v>
      </c>
      <c r="O148" s="73">
        <v>381.0</v>
      </c>
      <c r="P148" s="74">
        <v>5.0</v>
      </c>
      <c r="Q148" s="75">
        <v>19</v>
      </c>
      <c r="R148" s="76">
        <v>12</v>
      </c>
      <c r="S148" s="76">
        <v>20</v>
      </c>
      <c r="T148" s="77">
        <f>+((Q148)+(R148/60)+(S148/3600))</f>
        <v>19.205555555556</v>
      </c>
      <c r="U148" s="78">
        <f>IFERROR(T148/$AA148,0)</f>
        <v>0.33579081310526</v>
      </c>
      <c r="V148" s="75">
        <v>37</v>
      </c>
      <c r="W148" s="76">
        <v>59</v>
      </c>
      <c r="X148" s="76">
        <v>22</v>
      </c>
      <c r="Y148" s="77">
        <f>+((V148)+(W148/60)+(X148/3600))</f>
        <v>37.989444444444</v>
      </c>
      <c r="Z148" s="78">
        <f>+IFERROR(Y148/$AA148,0)</f>
        <v>0.66420918689474</v>
      </c>
      <c r="AA148" s="79">
        <f>+Y148+T148</f>
        <v>57.195</v>
      </c>
      <c r="AB148" s="80"/>
      <c r="AC148" s="81">
        <f>+IFERROR((AA148/P148),0)</f>
        <v>11.439</v>
      </c>
      <c r="AD148" s="82">
        <f>+IFERROR($O148/$P148,0)</f>
        <v>76.2</v>
      </c>
      <c r="AE148" s="76">
        <f>+IFERROR(O148/T148,0)</f>
        <v>19.838009835117</v>
      </c>
      <c r="AF148" s="83">
        <f>+IFERROR(AA148/(P148*$AE$8),0)</f>
        <v>1.429875</v>
      </c>
      <c r="AG148" s="84">
        <f>+P148/$C$8</f>
        <v>0.16666666666667</v>
      </c>
      <c r="AH148" s="85">
        <f>+Y148*($AI$8*$AH$8)</f>
        <v>132.96305555556</v>
      </c>
      <c r="AI148"/>
    </row>
    <row r="149" spans="1:40">
      <c r="B149" s="70" t="s">
        <v>91</v>
      </c>
      <c r="C149" s="70" t="s">
        <v>102</v>
      </c>
      <c r="D149" s="70" t="s">
        <v>110</v>
      </c>
      <c r="E149" s="70"/>
      <c r="F149" s="70"/>
      <c r="G149" s="70"/>
      <c r="H149" s="70"/>
      <c r="I149" s="70"/>
      <c r="J149" s="70" t="s">
        <v>249</v>
      </c>
      <c r="K149" s="70"/>
      <c r="L149" s="71" t="s">
        <v>95</v>
      </c>
      <c r="M149" s="71">
        <f>data!J8</f>
        <v>30</v>
      </c>
      <c r="N149" s="72">
        <v>52834.0</v>
      </c>
      <c r="O149" s="73">
        <v>71.0</v>
      </c>
      <c r="P149" s="74">
        <v>5.0</v>
      </c>
      <c r="Q149" s="75">
        <v>2</v>
      </c>
      <c r="R149" s="76">
        <v>48</v>
      </c>
      <c r="S149" s="76">
        <v>29</v>
      </c>
      <c r="T149" s="77">
        <f>+((Q149)+(R149/60)+(S149/3600))</f>
        <v>2.8080555555556</v>
      </c>
      <c r="U149" s="78">
        <f>IFERROR(T149/$AA149,0)</f>
        <v>0.48972967735685</v>
      </c>
      <c r="V149" s="75">
        <v>2</v>
      </c>
      <c r="W149" s="76">
        <v>55</v>
      </c>
      <c r="X149" s="76">
        <v>33</v>
      </c>
      <c r="Y149" s="77">
        <f>+((V149)+(W149/60)+(X149/3600))</f>
        <v>2.9258333333333</v>
      </c>
      <c r="Z149" s="78">
        <f>+IFERROR(Y149/$AA149,0)</f>
        <v>0.51027032264315</v>
      </c>
      <c r="AA149" s="79">
        <f>+Y149+T149</f>
        <v>5.7338888888889</v>
      </c>
      <c r="AB149" s="80"/>
      <c r="AC149" s="81">
        <f>+IFERROR((AA149/P149),0)</f>
        <v>1.1467777777778</v>
      </c>
      <c r="AD149" s="82">
        <f>+IFERROR($O149/$P149,0)</f>
        <v>14.2</v>
      </c>
      <c r="AE149" s="76">
        <f>+IFERROR(O149/T149,0)</f>
        <v>25.284400039569</v>
      </c>
      <c r="AF149" s="83">
        <f>+IFERROR(AA149/(P149*$AE$8),0)</f>
        <v>0.14334722222222</v>
      </c>
      <c r="AG149" s="84">
        <f>+P149/$C$8</f>
        <v>0.16666666666667</v>
      </c>
      <c r="AH149" s="85">
        <f>+Y149*($AI$8*$AH$8)</f>
        <v>10.240416666667</v>
      </c>
      <c r="AI149"/>
    </row>
    <row r="150" spans="1:40">
      <c r="B150" s="70" t="s">
        <v>91</v>
      </c>
      <c r="C150" s="70" t="s">
        <v>101</v>
      </c>
      <c r="D150" s="70" t="s">
        <v>113</v>
      </c>
      <c r="E150" s="70"/>
      <c r="F150" s="70"/>
      <c r="G150" s="70"/>
      <c r="H150" s="70"/>
      <c r="I150" s="70"/>
      <c r="J150" s="70" t="s">
        <v>250</v>
      </c>
      <c r="K150" s="70"/>
      <c r="L150" s="71" t="s">
        <v>95</v>
      </c>
      <c r="M150" s="71">
        <f>data!J8</f>
        <v>30</v>
      </c>
      <c r="N150" s="72">
        <v>65585.0</v>
      </c>
      <c r="O150" s="73">
        <v>690.0</v>
      </c>
      <c r="P150" s="74">
        <v>5.0</v>
      </c>
      <c r="Q150" s="75">
        <v>24</v>
      </c>
      <c r="R150" s="76">
        <v>23</v>
      </c>
      <c r="S150" s="76">
        <v>42</v>
      </c>
      <c r="T150" s="77">
        <f>+((Q150)+(R150/60)+(S150/3600))</f>
        <v>24.395</v>
      </c>
      <c r="U150" s="78">
        <f>IFERROR(T150/$AA150,0)</f>
        <v>0.65593630497132</v>
      </c>
      <c r="V150" s="75">
        <v>12</v>
      </c>
      <c r="W150" s="76">
        <v>47</v>
      </c>
      <c r="X150" s="76">
        <v>46</v>
      </c>
      <c r="Y150" s="77">
        <f>+((V150)+(W150/60)+(X150/3600))</f>
        <v>12.796111111111</v>
      </c>
      <c r="Z150" s="78">
        <f>+IFERROR(Y150/$AA150,0)</f>
        <v>0.34406369502868</v>
      </c>
      <c r="AA150" s="79">
        <f>+Y150+T150</f>
        <v>37.191111111111</v>
      </c>
      <c r="AB150" s="80"/>
      <c r="AC150" s="81">
        <f>+IFERROR((AA150/P150),0)</f>
        <v>7.4382222222222</v>
      </c>
      <c r="AD150" s="82">
        <f>+IFERROR($O150/$P150,0)</f>
        <v>138</v>
      </c>
      <c r="AE150" s="76">
        <f>+IFERROR(O150/T150,0)</f>
        <v>28.284484525518</v>
      </c>
      <c r="AF150" s="83">
        <f>+IFERROR(AA150/(P150*$AE$8),0)</f>
        <v>0.92977777777778</v>
      </c>
      <c r="AG150" s="84">
        <f>+P150/$C$8</f>
        <v>0.16666666666667</v>
      </c>
      <c r="AH150" s="85">
        <f>+Y150*($AI$8*$AH$8)</f>
        <v>44.786388888889</v>
      </c>
      <c r="AI150"/>
    </row>
    <row r="151" spans="1:40">
      <c r="B151" s="70" t="s">
        <v>91</v>
      </c>
      <c r="C151" s="70" t="s">
        <v>101</v>
      </c>
      <c r="D151" s="70" t="s">
        <v>113</v>
      </c>
      <c r="E151" s="70"/>
      <c r="F151" s="70"/>
      <c r="G151" s="70"/>
      <c r="H151" s="70"/>
      <c r="I151" s="70"/>
      <c r="J151" s="70" t="s">
        <v>251</v>
      </c>
      <c r="K151" s="70"/>
      <c r="L151" s="71" t="s">
        <v>95</v>
      </c>
      <c r="M151" s="71">
        <f>data!J8</f>
        <v>30</v>
      </c>
      <c r="N151" s="72">
        <v>69560.0</v>
      </c>
      <c r="O151" s="73">
        <v>556.0</v>
      </c>
      <c r="P151" s="74">
        <v>5.0</v>
      </c>
      <c r="Q151" s="75">
        <v>17</v>
      </c>
      <c r="R151" s="76">
        <v>49</v>
      </c>
      <c r="S151" s="76">
        <v>38</v>
      </c>
      <c r="T151" s="77">
        <f>+((Q151)+(R151/60)+(S151/3600))</f>
        <v>17.827222222222</v>
      </c>
      <c r="U151" s="78">
        <f>IFERROR(T151/$AA151,0)</f>
        <v>0.57065372030161</v>
      </c>
      <c r="V151" s="75">
        <v>13</v>
      </c>
      <c r="W151" s="76">
        <v>24</v>
      </c>
      <c r="X151" s="76">
        <v>46</v>
      </c>
      <c r="Y151" s="77">
        <f>+((V151)+(W151/60)+(X151/3600))</f>
        <v>13.412777777778</v>
      </c>
      <c r="Z151" s="78">
        <f>+IFERROR(Y151/$AA151,0)</f>
        <v>0.42934627969839</v>
      </c>
      <c r="AA151" s="79">
        <f>+Y151+T151</f>
        <v>31.24</v>
      </c>
      <c r="AB151" s="80"/>
      <c r="AC151" s="81">
        <f>+IFERROR((AA151/P151),0)</f>
        <v>6.248</v>
      </c>
      <c r="AD151" s="82">
        <f>+IFERROR($O151/$P151,0)</f>
        <v>111.2</v>
      </c>
      <c r="AE151" s="76">
        <f>+IFERROR(O151/T151,0)</f>
        <v>31.188257658388</v>
      </c>
      <c r="AF151" s="83">
        <f>+IFERROR(AA151/(P151*$AE$8),0)</f>
        <v>0.781</v>
      </c>
      <c r="AG151" s="84">
        <f>+P151/$C$8</f>
        <v>0.16666666666667</v>
      </c>
      <c r="AH151" s="85">
        <f>+Y151*($AI$8*$AH$8)</f>
        <v>46.944722222222</v>
      </c>
      <c r="AI151"/>
    </row>
    <row r="152" spans="1:40">
      <c r="B152" s="70" t="s">
        <v>91</v>
      </c>
      <c r="C152" s="70" t="s">
        <v>101</v>
      </c>
      <c r="D152" s="70" t="s">
        <v>109</v>
      </c>
      <c r="E152" s="70"/>
      <c r="F152" s="70"/>
      <c r="G152" s="70"/>
      <c r="H152" s="70"/>
      <c r="I152" s="70"/>
      <c r="J152" s="70" t="s">
        <v>252</v>
      </c>
      <c r="K152" s="70"/>
      <c r="L152" s="71" t="s">
        <v>95</v>
      </c>
      <c r="M152" s="71">
        <f>data!J8</f>
        <v>30</v>
      </c>
      <c r="N152" s="72">
        <v>78879.0</v>
      </c>
      <c r="O152" s="73">
        <v>679.0</v>
      </c>
      <c r="P152" s="74">
        <v>5.0</v>
      </c>
      <c r="Q152" s="75">
        <v>27</v>
      </c>
      <c r="R152" s="76">
        <v>15</v>
      </c>
      <c r="S152" s="76">
        <v>37</v>
      </c>
      <c r="T152" s="77">
        <f>+((Q152)+(R152/60)+(S152/3600))</f>
        <v>27.260277777778</v>
      </c>
      <c r="U152" s="78">
        <f>IFERROR(T152/$AA152,0)</f>
        <v>0.64955686609347</v>
      </c>
      <c r="V152" s="75">
        <v>14</v>
      </c>
      <c r="W152" s="76">
        <v>42</v>
      </c>
      <c r="X152" s="76">
        <v>26</v>
      </c>
      <c r="Y152" s="77">
        <f>+((V152)+(W152/60)+(X152/3600))</f>
        <v>14.707222222222</v>
      </c>
      <c r="Z152" s="78">
        <f>+IFERROR(Y152/$AA152,0)</f>
        <v>0.35044313390653</v>
      </c>
      <c r="AA152" s="79">
        <f>+Y152+T152</f>
        <v>41.9675</v>
      </c>
      <c r="AB152" s="80"/>
      <c r="AC152" s="81">
        <f>+IFERROR((AA152/P152),0)</f>
        <v>8.3935</v>
      </c>
      <c r="AD152" s="82">
        <f>+IFERROR($O152/$P152,0)</f>
        <v>135.8</v>
      </c>
      <c r="AE152" s="76">
        <f>+IFERROR(O152/T152,0)</f>
        <v>24.908036724171</v>
      </c>
      <c r="AF152" s="83">
        <f>+IFERROR(AA152/(P152*$AE$8),0)</f>
        <v>1.0491875</v>
      </c>
      <c r="AG152" s="84">
        <f>+P152/$C$8</f>
        <v>0.16666666666667</v>
      </c>
      <c r="AH152" s="85">
        <f>+Y152*($AI$8*$AH$8)</f>
        <v>51.475277777778</v>
      </c>
      <c r="AI152"/>
    </row>
    <row r="153" spans="1:40">
      <c r="B153" s="70" t="s">
        <v>91</v>
      </c>
      <c r="C153" s="70" t="s">
        <v>101</v>
      </c>
      <c r="D153" s="70" t="s">
        <v>109</v>
      </c>
      <c r="E153" s="70"/>
      <c r="F153" s="70"/>
      <c r="G153" s="70"/>
      <c r="H153" s="70"/>
      <c r="I153" s="70"/>
      <c r="J153" s="70" t="s">
        <v>253</v>
      </c>
      <c r="K153" s="70"/>
      <c r="L153" s="71" t="s">
        <v>95</v>
      </c>
      <c r="M153" s="71">
        <f>data!J8</f>
        <v>30</v>
      </c>
      <c r="N153" s="72">
        <v>82827.0</v>
      </c>
      <c r="O153" s="73">
        <v>936.0</v>
      </c>
      <c r="P153" s="74">
        <v>5.0</v>
      </c>
      <c r="Q153" s="75">
        <v>34</v>
      </c>
      <c r="R153" s="76">
        <v>50</v>
      </c>
      <c r="S153" s="76">
        <v>51</v>
      </c>
      <c r="T153" s="77">
        <f>+((Q153)+(R153/60)+(S153/3600))</f>
        <v>34.8475</v>
      </c>
      <c r="U153" s="78">
        <f>IFERROR(T153/$AA153,0)</f>
        <v>0.62536327608983</v>
      </c>
      <c r="V153" s="75">
        <v>20</v>
      </c>
      <c r="W153" s="76">
        <v>52</v>
      </c>
      <c r="X153" s="76">
        <v>34</v>
      </c>
      <c r="Y153" s="77">
        <f>+((V153)+(W153/60)+(X153/3600))</f>
        <v>20.876111111111</v>
      </c>
      <c r="Z153" s="78">
        <f>+IFERROR(Y153/$AA153,0)</f>
        <v>0.37463672391017</v>
      </c>
      <c r="AA153" s="79">
        <f>+Y153+T153</f>
        <v>55.723611111111</v>
      </c>
      <c r="AB153" s="80"/>
      <c r="AC153" s="81">
        <f>+IFERROR((AA153/P153),0)</f>
        <v>11.144722222222</v>
      </c>
      <c r="AD153" s="82">
        <f>+IFERROR($O153/$P153,0)</f>
        <v>187.2</v>
      </c>
      <c r="AE153" s="76">
        <f>+IFERROR(O153/T153,0)</f>
        <v>26.859889518617</v>
      </c>
      <c r="AF153" s="83">
        <f>+IFERROR(AA153/(P153*$AE$8),0)</f>
        <v>1.3930902777778</v>
      </c>
      <c r="AG153" s="84">
        <f>+P153/$C$8</f>
        <v>0.16666666666667</v>
      </c>
      <c r="AH153" s="85">
        <f>+Y153*($AI$8*$AH$8)</f>
        <v>73.066388888889</v>
      </c>
      <c r="AI153"/>
    </row>
    <row r="154" spans="1:40">
      <c r="B154" s="70" t="s">
        <v>91</v>
      </c>
      <c r="C154" s="70" t="s">
        <v>101</v>
      </c>
      <c r="D154" s="70" t="s">
        <v>115</v>
      </c>
      <c r="E154" s="70"/>
      <c r="F154" s="70"/>
      <c r="G154" s="70"/>
      <c r="H154" s="70"/>
      <c r="I154" s="70"/>
      <c r="J154" s="70" t="s">
        <v>254</v>
      </c>
      <c r="K154" s="70"/>
      <c r="L154" s="71" t="s">
        <v>95</v>
      </c>
      <c r="M154" s="71">
        <f>data!J8</f>
        <v>30</v>
      </c>
      <c r="N154" s="72">
        <v>41600.0</v>
      </c>
      <c r="O154" s="73">
        <v>509.0</v>
      </c>
      <c r="P154" s="74">
        <v>5.0</v>
      </c>
      <c r="Q154" s="75">
        <v>13</v>
      </c>
      <c r="R154" s="76">
        <v>55</v>
      </c>
      <c r="S154" s="76">
        <v>21</v>
      </c>
      <c r="T154" s="77">
        <f>+((Q154)+(R154/60)+(S154/3600))</f>
        <v>13.9225</v>
      </c>
      <c r="U154" s="78">
        <f>IFERROR(T154/$AA154,0)</f>
        <v>0.80853363445717</v>
      </c>
      <c r="V154" s="75">
        <v>3</v>
      </c>
      <c r="W154" s="76">
        <v>17</v>
      </c>
      <c r="X154" s="76">
        <v>49</v>
      </c>
      <c r="Y154" s="77">
        <f>+((V154)+(W154/60)+(X154/3600))</f>
        <v>3.2969444444444</v>
      </c>
      <c r="Z154" s="78">
        <f>+IFERROR(Y154/$AA154,0)</f>
        <v>0.19146636554283</v>
      </c>
      <c r="AA154" s="79">
        <f>+Y154+T154</f>
        <v>17.219444444444</v>
      </c>
      <c r="AB154" s="80"/>
      <c r="AC154" s="81">
        <f>+IFERROR((AA154/P154),0)</f>
        <v>3.4438888888889</v>
      </c>
      <c r="AD154" s="82">
        <f>+IFERROR($O154/$P154,0)</f>
        <v>101.8</v>
      </c>
      <c r="AE154" s="76">
        <f>+IFERROR(O154/T154,0)</f>
        <v>36.559525947208</v>
      </c>
      <c r="AF154" s="83">
        <f>+IFERROR(AA154/(P154*$AE$8),0)</f>
        <v>0.43048611111111</v>
      </c>
      <c r="AG154" s="84">
        <f>+P154/$C$8</f>
        <v>0.16666666666667</v>
      </c>
      <c r="AH154" s="85">
        <f>+Y154*($AI$8*$AH$8)</f>
        <v>11.539305555556</v>
      </c>
      <c r="AI154"/>
    </row>
    <row r="155" spans="1:40">
      <c r="B155" s="70" t="s">
        <v>91</v>
      </c>
      <c r="C155" s="70" t="s">
        <v>102</v>
      </c>
      <c r="D155" s="70" t="s">
        <v>110</v>
      </c>
      <c r="E155" s="70"/>
      <c r="F155" s="70"/>
      <c r="G155" s="70"/>
      <c r="H155" s="70"/>
      <c r="I155" s="70"/>
      <c r="J155" s="70" t="s">
        <v>255</v>
      </c>
      <c r="K155" s="70"/>
      <c r="L155" s="71" t="s">
        <v>95</v>
      </c>
      <c r="M155" s="71">
        <f>data!J8</f>
        <v>30</v>
      </c>
      <c r="N155" s="72">
        <v>75081.0</v>
      </c>
      <c r="O155" s="73">
        <v>498.0</v>
      </c>
      <c r="P155" s="74">
        <v>5.0</v>
      </c>
      <c r="Q155" s="75">
        <v>22</v>
      </c>
      <c r="R155" s="76">
        <v>27</v>
      </c>
      <c r="S155" s="76">
        <v>20</v>
      </c>
      <c r="T155" s="77">
        <f>+((Q155)+(R155/60)+(S155/3600))</f>
        <v>22.455555555556</v>
      </c>
      <c r="U155" s="78">
        <f>IFERROR(T155/$AA155,0)</f>
        <v>0.53510554500142</v>
      </c>
      <c r="V155" s="75">
        <v>19</v>
      </c>
      <c r="W155" s="76">
        <v>30</v>
      </c>
      <c r="X155" s="76">
        <v>33</v>
      </c>
      <c r="Y155" s="77">
        <f>+((V155)+(W155/60)+(X155/3600))</f>
        <v>19.509166666667</v>
      </c>
      <c r="Z155" s="78">
        <f>+IFERROR(Y155/$AA155,0)</f>
        <v>0.46489445499858</v>
      </c>
      <c r="AA155" s="79">
        <f>+Y155+T155</f>
        <v>41.964722222222</v>
      </c>
      <c r="AB155" s="80"/>
      <c r="AC155" s="81">
        <f>+IFERROR((AA155/P155),0)</f>
        <v>8.3929444444444</v>
      </c>
      <c r="AD155" s="82">
        <f>+IFERROR($O155/$P155,0)</f>
        <v>99.6</v>
      </c>
      <c r="AE155" s="76">
        <f>+IFERROR(O155/T155,0)</f>
        <v>22.177140029688</v>
      </c>
      <c r="AF155" s="83">
        <f>+IFERROR(AA155/(P155*$AE$8),0)</f>
        <v>1.0491180555556</v>
      </c>
      <c r="AG155" s="84">
        <f>+P155/$C$8</f>
        <v>0.16666666666667</v>
      </c>
      <c r="AH155" s="85">
        <f>+Y155*($AI$8*$AH$8)</f>
        <v>68.282083333333</v>
      </c>
      <c r="AI155"/>
    </row>
    <row r="156" spans="1:40">
      <c r="B156" s="70" t="s">
        <v>91</v>
      </c>
      <c r="C156" s="70" t="s">
        <v>102</v>
      </c>
      <c r="D156" s="70" t="s">
        <v>112</v>
      </c>
      <c r="E156" s="70"/>
      <c r="F156" s="70"/>
      <c r="G156" s="70"/>
      <c r="H156" s="70"/>
      <c r="I156" s="70"/>
      <c r="J156" s="70" t="s">
        <v>256</v>
      </c>
      <c r="K156" s="70"/>
      <c r="L156" s="71" t="s">
        <v>95</v>
      </c>
      <c r="M156" s="71">
        <f>data!J8</f>
        <v>30</v>
      </c>
      <c r="N156" s="72">
        <v>61076.0</v>
      </c>
      <c r="O156" s="73">
        <v>449.0</v>
      </c>
      <c r="P156" s="74">
        <v>5.0</v>
      </c>
      <c r="Q156" s="75">
        <v>16</v>
      </c>
      <c r="R156" s="76">
        <v>40</v>
      </c>
      <c r="S156" s="76">
        <v>42</v>
      </c>
      <c r="T156" s="77">
        <f>+((Q156)+(R156/60)+(S156/3600))</f>
        <v>16.678333333333</v>
      </c>
      <c r="U156" s="78">
        <f>IFERROR(T156/$AA156,0)</f>
        <v>0.71581683138807</v>
      </c>
      <c r="V156" s="75">
        <v>6</v>
      </c>
      <c r="W156" s="76">
        <v>37</v>
      </c>
      <c r="X156" s="76">
        <v>17</v>
      </c>
      <c r="Y156" s="77">
        <f>+((V156)+(W156/60)+(X156/3600))</f>
        <v>6.6213888888889</v>
      </c>
      <c r="Z156" s="78">
        <f>+IFERROR(Y156/$AA156,0)</f>
        <v>0.28418316861193</v>
      </c>
      <c r="AA156" s="79">
        <f>+Y156+T156</f>
        <v>23.299722222222</v>
      </c>
      <c r="AB156" s="80"/>
      <c r="AC156" s="81">
        <f>+IFERROR((AA156/P156),0)</f>
        <v>4.6599444444444</v>
      </c>
      <c r="AD156" s="82">
        <f>+IFERROR($O156/$P156,0)</f>
        <v>89.8</v>
      </c>
      <c r="AE156" s="76">
        <f>+IFERROR(O156/T156,0)</f>
        <v>26.921155191366</v>
      </c>
      <c r="AF156" s="83">
        <f>+IFERROR(AA156/(P156*$AE$8),0)</f>
        <v>0.58249305555556</v>
      </c>
      <c r="AG156" s="84">
        <f>+P156/$C$8</f>
        <v>0.16666666666667</v>
      </c>
      <c r="AH156" s="85">
        <f>+Y156*($AI$8*$AH$8)</f>
        <v>23.174861111111</v>
      </c>
      <c r="AI156"/>
    </row>
    <row r="157" spans="1:40">
      <c r="B157" s="70" t="s">
        <v>91</v>
      </c>
      <c r="C157" s="70" t="s">
        <v>102</v>
      </c>
      <c r="D157" s="70" t="s">
        <v>112</v>
      </c>
      <c r="E157" s="70"/>
      <c r="F157" s="70"/>
      <c r="G157" s="70"/>
      <c r="H157" s="70"/>
      <c r="I157" s="70"/>
      <c r="J157" s="70" t="s">
        <v>257</v>
      </c>
      <c r="K157" s="70"/>
      <c r="L157" s="71" t="s">
        <v>326</v>
      </c>
      <c r="M157" s="71">
        <f>data!J8</f>
        <v>30</v>
      </c>
      <c r="N157" s="72">
        <v>211556.0</v>
      </c>
      <c r="O157" s="73">
        <v>0.0</v>
      </c>
      <c r="P157" s="74">
        <v>1.0</v>
      </c>
      <c r="Q157" s="75">
        <v>0</v>
      </c>
      <c r="R157" s="76">
        <v>2</v>
      </c>
      <c r="S157" s="76">
        <v>54</v>
      </c>
      <c r="T157" s="77">
        <f>+((Q157)+(R157/60)+(S157/3600))</f>
        <v>0.048333333333333</v>
      </c>
      <c r="U157" s="78">
        <f>IFERROR(T157/$AA157,0)</f>
        <v>0.87437185929648</v>
      </c>
      <c r="V157" s="75">
        <v>0</v>
      </c>
      <c r="W157" s="76">
        <v>0</v>
      </c>
      <c r="X157" s="76">
        <v>25</v>
      </c>
      <c r="Y157" s="77">
        <f>+((V157)+(W157/60)+(X157/3600))</f>
        <v>0.0069444444444444</v>
      </c>
      <c r="Z157" s="78">
        <f>+IFERROR(Y157/$AA157,0)</f>
        <v>0.12562814070352</v>
      </c>
      <c r="AA157" s="79">
        <f>+Y157+T157</f>
        <v>0.055277777777778</v>
      </c>
      <c r="AB157" s="80"/>
      <c r="AC157" s="81">
        <f>+IFERROR((AA157/P157),0)</f>
        <v>0.055277777777778</v>
      </c>
      <c r="AD157" s="82">
        <f>+IFERROR($O157/$P157,0)</f>
        <v>0</v>
      </c>
      <c r="AE157" s="76">
        <f>+IFERROR(O157/T157,0)</f>
        <v>0</v>
      </c>
      <c r="AF157" s="83">
        <f>+IFERROR(AA157/(P157*$AE$8),0)</f>
        <v>0.0069097222222222</v>
      </c>
      <c r="AG157" s="84">
        <f>+P157/$C$8</f>
        <v>0.033333333333333</v>
      </c>
      <c r="AH157" s="85">
        <f>+Y157*($AI$8*$AH$8)</f>
        <v>0.024305555555556</v>
      </c>
      <c r="AI157"/>
    </row>
    <row r="158" spans="1:40">
      <c r="B158" s="70" t="s">
        <v>91</v>
      </c>
      <c r="C158" s="70" t="s">
        <v>102</v>
      </c>
      <c r="D158" s="70" t="s">
        <v>112</v>
      </c>
      <c r="E158" s="70"/>
      <c r="F158" s="70"/>
      <c r="G158" s="70"/>
      <c r="H158" s="70"/>
      <c r="I158" s="70"/>
      <c r="J158" s="70" t="s">
        <v>258</v>
      </c>
      <c r="K158" s="70"/>
      <c r="L158" s="71" t="s">
        <v>95</v>
      </c>
      <c r="M158" s="71">
        <f>data!J8</f>
        <v>30</v>
      </c>
      <c r="N158" s="72">
        <v>7808.0</v>
      </c>
      <c r="O158" s="73">
        <v>85.0</v>
      </c>
      <c r="P158" s="74">
        <v>4.0</v>
      </c>
      <c r="Q158" s="75">
        <v>6</v>
      </c>
      <c r="R158" s="76">
        <v>28</v>
      </c>
      <c r="S158" s="76">
        <v>32</v>
      </c>
      <c r="T158" s="77">
        <f>+((Q158)+(R158/60)+(S158/3600))</f>
        <v>6.4755555555556</v>
      </c>
      <c r="U158" s="78">
        <f>IFERROR(T158/$AA158,0)</f>
        <v>0.40587078015913</v>
      </c>
      <c r="V158" s="75">
        <v>9</v>
      </c>
      <c r="W158" s="76">
        <v>28</v>
      </c>
      <c r="X158" s="76">
        <v>45</v>
      </c>
      <c r="Y158" s="77">
        <f>+((V158)+(W158/60)+(X158/3600))</f>
        <v>9.4791666666667</v>
      </c>
      <c r="Z158" s="78">
        <f>+IFERROR(Y158/$AA158,0)</f>
        <v>0.59412921984087</v>
      </c>
      <c r="AA158" s="79">
        <f>+Y158+T158</f>
        <v>15.954722222222</v>
      </c>
      <c r="AB158" s="80"/>
      <c r="AC158" s="81">
        <f>+IFERROR((AA158/P158),0)</f>
        <v>3.9886805555556</v>
      </c>
      <c r="AD158" s="82">
        <f>+IFERROR($O158/$P158,0)</f>
        <v>21.25</v>
      </c>
      <c r="AE158" s="76">
        <f>+IFERROR(O158/T158,0)</f>
        <v>13.126286890872</v>
      </c>
      <c r="AF158" s="83">
        <f>+IFERROR(AA158/(P158*$AE$8),0)</f>
        <v>0.49858506944444</v>
      </c>
      <c r="AG158" s="84">
        <f>+P158/$C$8</f>
        <v>0.13333333333333</v>
      </c>
      <c r="AH158" s="85">
        <f>+Y158*($AI$8*$AH$8)</f>
        <v>33.177083333333</v>
      </c>
      <c r="AI158"/>
    </row>
    <row r="159" spans="1:40">
      <c r="B159" s="70" t="s">
        <v>91</v>
      </c>
      <c r="C159" s="70" t="s">
        <v>101</v>
      </c>
      <c r="D159" s="70" t="s">
        <v>108</v>
      </c>
      <c r="E159" s="70"/>
      <c r="F159" s="70"/>
      <c r="G159" s="70"/>
      <c r="H159" s="70"/>
      <c r="I159" s="70"/>
      <c r="J159" s="70" t="s">
        <v>259</v>
      </c>
      <c r="K159" s="70"/>
      <c r="L159" s="71" t="s">
        <v>95</v>
      </c>
      <c r="M159" s="71">
        <f>data!J8</f>
        <v>30</v>
      </c>
      <c r="N159" s="72">
        <v>60818.0</v>
      </c>
      <c r="O159" s="73">
        <v>386.0</v>
      </c>
      <c r="P159" s="74">
        <v>4.0</v>
      </c>
      <c r="Q159" s="75">
        <v>15</v>
      </c>
      <c r="R159" s="76">
        <v>5</v>
      </c>
      <c r="S159" s="76">
        <v>5</v>
      </c>
      <c r="T159" s="77">
        <f>+((Q159)+(R159/60)+(S159/3600))</f>
        <v>15.084722222222</v>
      </c>
      <c r="U159" s="78">
        <f>IFERROR(T159/$AA159,0)</f>
        <v>0.36724329149535</v>
      </c>
      <c r="V159" s="75">
        <v>25</v>
      </c>
      <c r="W159" s="76">
        <v>59</v>
      </c>
      <c r="X159" s="76">
        <v>27</v>
      </c>
      <c r="Y159" s="77">
        <f>+((V159)+(W159/60)+(X159/3600))</f>
        <v>25.990833333333</v>
      </c>
      <c r="Z159" s="78">
        <f>+IFERROR(Y159/$AA159,0)</f>
        <v>0.63275670850465</v>
      </c>
      <c r="AA159" s="79">
        <f>+Y159+T159</f>
        <v>41.075555555556</v>
      </c>
      <c r="AB159" s="80"/>
      <c r="AC159" s="81">
        <f>+IFERROR((AA159/P159),0)</f>
        <v>10.268888888889</v>
      </c>
      <c r="AD159" s="82">
        <f>+IFERROR($O159/$P159,0)</f>
        <v>96.5</v>
      </c>
      <c r="AE159" s="76">
        <f>+IFERROR(O159/T159,0)</f>
        <v>25.588803977534</v>
      </c>
      <c r="AF159" s="83">
        <f>+IFERROR(AA159/(P159*$AE$8),0)</f>
        <v>1.2836111111111</v>
      </c>
      <c r="AG159" s="84">
        <f>+P159/$C$8</f>
        <v>0.13333333333333</v>
      </c>
      <c r="AH159" s="85">
        <f>+Y159*($AI$8*$AH$8)</f>
        <v>90.967916666667</v>
      </c>
      <c r="AI159"/>
    </row>
    <row r="160" spans="1:40">
      <c r="B160" s="70" t="s">
        <v>91</v>
      </c>
      <c r="C160" s="70" t="s">
        <v>102</v>
      </c>
      <c r="D160" s="70" t="s">
        <v>110</v>
      </c>
      <c r="E160" s="70"/>
      <c r="F160" s="70"/>
      <c r="G160" s="70"/>
      <c r="H160" s="70"/>
      <c r="I160" s="70"/>
      <c r="J160" s="70" t="s">
        <v>260</v>
      </c>
      <c r="K160" s="70"/>
      <c r="L160" s="71" t="s">
        <v>95</v>
      </c>
      <c r="M160" s="71">
        <f>data!J8</f>
        <v>30</v>
      </c>
      <c r="N160" s="72">
        <v>82487.0</v>
      </c>
      <c r="O160" s="73">
        <v>466.0</v>
      </c>
      <c r="P160" s="74">
        <v>4.0</v>
      </c>
      <c r="Q160" s="75">
        <v>15</v>
      </c>
      <c r="R160" s="76">
        <v>35</v>
      </c>
      <c r="S160" s="76">
        <v>30</v>
      </c>
      <c r="T160" s="77">
        <f>+((Q160)+(R160/60)+(S160/3600))</f>
        <v>15.591666666667</v>
      </c>
      <c r="U160" s="78">
        <f>IFERROR(T160/$AA160,0)</f>
        <v>0.83498207458757</v>
      </c>
      <c r="V160" s="75">
        <v>3</v>
      </c>
      <c r="W160" s="76">
        <v>4</v>
      </c>
      <c r="X160" s="76">
        <v>53</v>
      </c>
      <c r="Y160" s="77">
        <f>+((V160)+(W160/60)+(X160/3600))</f>
        <v>3.0813888888889</v>
      </c>
      <c r="Z160" s="78">
        <f>+IFERROR(Y160/$AA160,0)</f>
        <v>0.16501792541243</v>
      </c>
      <c r="AA160" s="79">
        <f>+Y160+T160</f>
        <v>18.673055555556</v>
      </c>
      <c r="AB160" s="80"/>
      <c r="AC160" s="81">
        <f>+IFERROR((AA160/P160),0)</f>
        <v>4.6682638888889</v>
      </c>
      <c r="AD160" s="82">
        <f>+IFERROR($O160/$P160,0)</f>
        <v>116.5</v>
      </c>
      <c r="AE160" s="76">
        <f>+IFERROR(O160/T160,0)</f>
        <v>29.887760555852</v>
      </c>
      <c r="AF160" s="83">
        <f>+IFERROR(AA160/(P160*$AE$8),0)</f>
        <v>0.58353298611111</v>
      </c>
      <c r="AG160" s="84">
        <f>+P160/$C$8</f>
        <v>0.13333333333333</v>
      </c>
      <c r="AH160" s="85">
        <f>+Y160*($AI$8*$AH$8)</f>
        <v>10.784861111111</v>
      </c>
      <c r="AI160"/>
    </row>
    <row r="161" spans="1:40">
      <c r="B161" s="70" t="s">
        <v>91</v>
      </c>
      <c r="C161" s="70" t="s">
        <v>100</v>
      </c>
      <c r="D161" s="70" t="s">
        <v>106</v>
      </c>
      <c r="E161" s="70"/>
      <c r="F161" s="70"/>
      <c r="G161" s="70"/>
      <c r="H161" s="70"/>
      <c r="I161" s="70"/>
      <c r="J161" s="70" t="s">
        <v>261</v>
      </c>
      <c r="K161" s="70"/>
      <c r="L161" s="71" t="s">
        <v>95</v>
      </c>
      <c r="M161" s="71">
        <f>data!J8</f>
        <v>30</v>
      </c>
      <c r="N161" s="72">
        <v>204650.0</v>
      </c>
      <c r="O161" s="73">
        <v>165.0</v>
      </c>
      <c r="P161" s="74">
        <v>2.0</v>
      </c>
      <c r="Q161" s="75">
        <v>5</v>
      </c>
      <c r="R161" s="76">
        <v>53</v>
      </c>
      <c r="S161" s="76">
        <v>32</v>
      </c>
      <c r="T161" s="77">
        <f>+((Q161)+(R161/60)+(S161/3600))</f>
        <v>5.8922222222222</v>
      </c>
      <c r="U161" s="78">
        <f>IFERROR(T161/$AA161,0)</f>
        <v>0.93047330789139</v>
      </c>
      <c r="V161" s="75">
        <v>0</v>
      </c>
      <c r="W161" s="76">
        <v>26</v>
      </c>
      <c r="X161" s="76">
        <v>25</v>
      </c>
      <c r="Y161" s="77">
        <f>+((V161)+(W161/60)+(X161/3600))</f>
        <v>0.44027777777778</v>
      </c>
      <c r="Z161" s="78">
        <f>+IFERROR(Y161/$AA161,0)</f>
        <v>0.069526692108611</v>
      </c>
      <c r="AA161" s="79">
        <f>+Y161+T161</f>
        <v>6.3325</v>
      </c>
      <c r="AB161" s="80"/>
      <c r="AC161" s="81">
        <f>+IFERROR((AA161/P161),0)</f>
        <v>3.16625</v>
      </c>
      <c r="AD161" s="82">
        <f>+IFERROR($O161/$P161,0)</f>
        <v>82.5</v>
      </c>
      <c r="AE161" s="76">
        <f>+IFERROR(O161/T161,0)</f>
        <v>28.003017160098</v>
      </c>
      <c r="AF161" s="83">
        <f>+IFERROR(AA161/(P161*$AE$8),0)</f>
        <v>0.39578125</v>
      </c>
      <c r="AG161" s="84">
        <f>+P161/$C$8</f>
        <v>0.066666666666667</v>
      </c>
      <c r="AH161" s="85">
        <f>+Y161*($AI$8*$AH$8)</f>
        <v>1.5409722222222</v>
      </c>
      <c r="AI161"/>
    </row>
    <row r="162" spans="1:40">
      <c r="B162" s="70" t="s">
        <v>91</v>
      </c>
      <c r="C162" s="70" t="s">
        <v>92</v>
      </c>
      <c r="D162" s="70" t="s">
        <v>105</v>
      </c>
      <c r="E162" s="70"/>
      <c r="F162" s="70"/>
      <c r="G162" s="70"/>
      <c r="H162" s="70"/>
      <c r="I162" s="70"/>
      <c r="J162" s="70" t="s">
        <v>262</v>
      </c>
      <c r="K162" s="70"/>
      <c r="L162" s="71" t="s">
        <v>95</v>
      </c>
      <c r="M162" s="71">
        <f>data!J8</f>
        <v>30</v>
      </c>
      <c r="N162" s="72">
        <v>10402.0</v>
      </c>
      <c r="O162" s="73">
        <v>7.0</v>
      </c>
      <c r="P162" s="74">
        <v>1.0</v>
      </c>
      <c r="Q162" s="75">
        <v>0</v>
      </c>
      <c r="R162" s="76">
        <v>21</v>
      </c>
      <c r="S162" s="76">
        <v>28</v>
      </c>
      <c r="T162" s="77">
        <f>+((Q162)+(R162/60)+(S162/3600))</f>
        <v>0.35777777777778</v>
      </c>
      <c r="U162" s="78">
        <f>IFERROR(T162/$AA162,0)</f>
        <v>1</v>
      </c>
      <c r="V162" s="75">
        <v>0</v>
      </c>
      <c r="W162" s="76">
        <v>0</v>
      </c>
      <c r="X162" s="76">
        <v>0</v>
      </c>
      <c r="Y162" s="77">
        <f>+((V162)+(W162/60)+(X162/3600))</f>
        <v>0</v>
      </c>
      <c r="Z162" s="78">
        <f>+IFERROR(Y162/$AA162,0)</f>
        <v>0</v>
      </c>
      <c r="AA162" s="79">
        <f>+Y162+T162</f>
        <v>0.35777777777778</v>
      </c>
      <c r="AB162" s="80"/>
      <c r="AC162" s="81">
        <f>+IFERROR((AA162/P162),0)</f>
        <v>0.35777777777778</v>
      </c>
      <c r="AD162" s="82">
        <f>+IFERROR($O162/$P162,0)</f>
        <v>7</v>
      </c>
      <c r="AE162" s="76">
        <f>+IFERROR(O162/T162,0)</f>
        <v>19.565217391304</v>
      </c>
      <c r="AF162" s="83">
        <f>+IFERROR(AA162/(P162*$AE$8),0)</f>
        <v>0.044722222222222</v>
      </c>
      <c r="AG162" s="84">
        <f>+P162/$C$8</f>
        <v>0.033333333333333</v>
      </c>
      <c r="AH162" s="85">
        <f>+Y162*($AI$8*$AH$8)</f>
        <v>0</v>
      </c>
      <c r="AI162"/>
    </row>
    <row r="163" spans="1:40">
      <c r="B163" s="70" t="s">
        <v>91</v>
      </c>
      <c r="C163" s="70" t="s">
        <v>101</v>
      </c>
      <c r="D163" s="70" t="s">
        <v>108</v>
      </c>
      <c r="E163" s="70"/>
      <c r="F163" s="70"/>
      <c r="G163" s="70"/>
      <c r="H163" s="70"/>
      <c r="I163" s="70"/>
      <c r="J163" s="70" t="s">
        <v>263</v>
      </c>
      <c r="K163" s="70"/>
      <c r="L163" s="71" t="s">
        <v>95</v>
      </c>
      <c r="M163" s="71">
        <f>data!J8</f>
        <v>30</v>
      </c>
      <c r="N163" s="72">
        <v>47611.0</v>
      </c>
      <c r="O163" s="73">
        <v>420.0</v>
      </c>
      <c r="P163" s="74">
        <v>4.0</v>
      </c>
      <c r="Q163" s="75">
        <v>16</v>
      </c>
      <c r="R163" s="76">
        <v>33</v>
      </c>
      <c r="S163" s="76">
        <v>21</v>
      </c>
      <c r="T163" s="77">
        <f>+((Q163)+(R163/60)+(S163/3600))</f>
        <v>16.555833333333</v>
      </c>
      <c r="U163" s="78">
        <f>IFERROR(T163/$AA163,0)</f>
        <v>0.50939284127038</v>
      </c>
      <c r="V163" s="75">
        <v>15</v>
      </c>
      <c r="W163" s="76">
        <v>56</v>
      </c>
      <c r="X163" s="76">
        <v>43</v>
      </c>
      <c r="Y163" s="77">
        <f>+((V163)+(W163/60)+(X163/3600))</f>
        <v>15.945277777778</v>
      </c>
      <c r="Z163" s="78">
        <f>+IFERROR(Y163/$AA163,0)</f>
        <v>0.49060715872962</v>
      </c>
      <c r="AA163" s="79">
        <f>+Y163+T163</f>
        <v>32.501111111111</v>
      </c>
      <c r="AB163" s="80"/>
      <c r="AC163" s="81">
        <f>+IFERROR((AA163/P163),0)</f>
        <v>8.1252777777778</v>
      </c>
      <c r="AD163" s="82">
        <f>+IFERROR($O163/$P163,0)</f>
        <v>105</v>
      </c>
      <c r="AE163" s="76">
        <f>+IFERROR(O163/T163,0)</f>
        <v>25.368701867418</v>
      </c>
      <c r="AF163" s="83">
        <f>+IFERROR(AA163/(P163*$AE$8),0)</f>
        <v>1.0156597222222</v>
      </c>
      <c r="AG163" s="84">
        <f>+P163/$C$8</f>
        <v>0.13333333333333</v>
      </c>
      <c r="AH163" s="85">
        <f>+Y163*($AI$8*$AH$8)</f>
        <v>55.808472222222</v>
      </c>
      <c r="AI163"/>
    </row>
    <row r="164" spans="1:40">
      <c r="B164" s="70" t="s">
        <v>91</v>
      </c>
      <c r="C164" s="70" t="s">
        <v>101</v>
      </c>
      <c r="D164" s="70" t="s">
        <v>109</v>
      </c>
      <c r="E164" s="70"/>
      <c r="F164" s="70"/>
      <c r="G164" s="70"/>
      <c r="H164" s="70"/>
      <c r="I164" s="70"/>
      <c r="J164" s="70" t="s">
        <v>264</v>
      </c>
      <c r="K164" s="70"/>
      <c r="L164" s="71" t="s">
        <v>95</v>
      </c>
      <c r="M164" s="71">
        <f>data!J8</f>
        <v>30</v>
      </c>
      <c r="N164" s="72">
        <v>115563.0</v>
      </c>
      <c r="O164" s="73">
        <v>371.0</v>
      </c>
      <c r="P164" s="74">
        <v>4.0</v>
      </c>
      <c r="Q164" s="75">
        <v>14</v>
      </c>
      <c r="R164" s="76">
        <v>19</v>
      </c>
      <c r="S164" s="76">
        <v>57</v>
      </c>
      <c r="T164" s="77">
        <f>+((Q164)+(R164/60)+(S164/3600))</f>
        <v>14.3325</v>
      </c>
      <c r="U164" s="78">
        <f>IFERROR(T164/$AA164,0)</f>
        <v>0.91449992024246</v>
      </c>
      <c r="V164" s="75">
        <v>1</v>
      </c>
      <c r="W164" s="76">
        <v>20</v>
      </c>
      <c r="X164" s="76">
        <v>24</v>
      </c>
      <c r="Y164" s="77">
        <f>+((V164)+(W164/60)+(X164/3600))</f>
        <v>1.34</v>
      </c>
      <c r="Z164" s="78">
        <f>+IFERROR(Y164/$AA164,0)</f>
        <v>0.085500079757537</v>
      </c>
      <c r="AA164" s="79">
        <f>+Y164+T164</f>
        <v>15.6725</v>
      </c>
      <c r="AB164" s="80"/>
      <c r="AC164" s="81">
        <f>+IFERROR((AA164/P164),0)</f>
        <v>3.918125</v>
      </c>
      <c r="AD164" s="82">
        <f>+IFERROR($O164/$P164,0)</f>
        <v>92.75</v>
      </c>
      <c r="AE164" s="76">
        <f>+IFERROR(O164/T164,0)</f>
        <v>25.885225885226</v>
      </c>
      <c r="AF164" s="83">
        <f>+IFERROR(AA164/(P164*$AE$8),0)</f>
        <v>0.489765625</v>
      </c>
      <c r="AG164" s="84">
        <f>+P164/$C$8</f>
        <v>0.13333333333333</v>
      </c>
      <c r="AH164" s="85">
        <f>+Y164*($AI$8*$AH$8)</f>
        <v>4.69</v>
      </c>
      <c r="AI164"/>
    </row>
    <row r="165" spans="1:40">
      <c r="B165" s="70" t="s">
        <v>91</v>
      </c>
      <c r="C165" s="70" t="s">
        <v>101</v>
      </c>
      <c r="D165" s="70" t="s">
        <v>108</v>
      </c>
      <c r="E165" s="70"/>
      <c r="F165" s="70"/>
      <c r="G165" s="70"/>
      <c r="H165" s="70"/>
      <c r="I165" s="70"/>
      <c r="J165" s="70" t="s">
        <v>265</v>
      </c>
      <c r="K165" s="70"/>
      <c r="L165" s="71" t="s">
        <v>95</v>
      </c>
      <c r="M165" s="71">
        <f>data!J8</f>
        <v>30</v>
      </c>
      <c r="N165" s="72">
        <v>34025.0</v>
      </c>
      <c r="O165" s="73">
        <v>401.0</v>
      </c>
      <c r="P165" s="74">
        <v>4.0</v>
      </c>
      <c r="Q165" s="75">
        <v>17</v>
      </c>
      <c r="R165" s="76">
        <v>32</v>
      </c>
      <c r="S165" s="76">
        <v>31</v>
      </c>
      <c r="T165" s="77">
        <f>+((Q165)+(R165/60)+(S165/3600))</f>
        <v>17.541944444444</v>
      </c>
      <c r="U165" s="78">
        <f>IFERROR(T165/$AA165,0)</f>
        <v>0.50024556400507</v>
      </c>
      <c r="V165" s="75">
        <v>17</v>
      </c>
      <c r="W165" s="76">
        <v>31</v>
      </c>
      <c r="X165" s="76">
        <v>29</v>
      </c>
      <c r="Y165" s="77">
        <f>+((V165)+(W165/60)+(X165/3600))</f>
        <v>17.524722222222</v>
      </c>
      <c r="Z165" s="78">
        <f>+IFERROR(Y165/$AA165,0)</f>
        <v>0.49975443599493</v>
      </c>
      <c r="AA165" s="79">
        <f>+Y165+T165</f>
        <v>35.066666666667</v>
      </c>
      <c r="AB165" s="80"/>
      <c r="AC165" s="81">
        <f>+IFERROR((AA165/P165),0)</f>
        <v>8.7666666666667</v>
      </c>
      <c r="AD165" s="82">
        <f>+IFERROR($O165/$P165,0)</f>
        <v>100.25</v>
      </c>
      <c r="AE165" s="76">
        <f>+IFERROR(O165/T165,0)</f>
        <v>22.859495494925</v>
      </c>
      <c r="AF165" s="83">
        <f>+IFERROR(AA165/(P165*$AE$8),0)</f>
        <v>1.0958333333333</v>
      </c>
      <c r="AG165" s="84">
        <f>+P165/$C$8</f>
        <v>0.13333333333333</v>
      </c>
      <c r="AH165" s="85">
        <f>+Y165*($AI$8*$AH$8)</f>
        <v>61.336527777778</v>
      </c>
      <c r="AI165"/>
    </row>
    <row r="166" spans="1:40">
      <c r="B166" s="70" t="s">
        <v>91</v>
      </c>
      <c r="C166" s="70" t="s">
        <v>102</v>
      </c>
      <c r="D166" s="70" t="s">
        <v>110</v>
      </c>
      <c r="E166" s="70"/>
      <c r="F166" s="70"/>
      <c r="G166" s="70"/>
      <c r="H166" s="70"/>
      <c r="I166" s="70"/>
      <c r="J166" s="70" t="s">
        <v>266</v>
      </c>
      <c r="K166" s="70"/>
      <c r="L166" s="71" t="s">
        <v>95</v>
      </c>
      <c r="M166" s="71">
        <f>data!J8</f>
        <v>30</v>
      </c>
      <c r="N166" s="72">
        <v>80113.0</v>
      </c>
      <c r="O166" s="73">
        <v>752.0</v>
      </c>
      <c r="P166" s="74">
        <v>4.0</v>
      </c>
      <c r="Q166" s="75">
        <v>26</v>
      </c>
      <c r="R166" s="76">
        <v>31</v>
      </c>
      <c r="S166" s="76">
        <v>26</v>
      </c>
      <c r="T166" s="77">
        <f>+((Q166)+(R166/60)+(S166/3600))</f>
        <v>26.523888888889</v>
      </c>
      <c r="U166" s="78">
        <f>IFERROR(T166/$AA166,0)</f>
        <v>0.63219851957785</v>
      </c>
      <c r="V166" s="75">
        <v>15</v>
      </c>
      <c r="W166" s="76">
        <v>25</v>
      </c>
      <c r="X166" s="76">
        <v>52</v>
      </c>
      <c r="Y166" s="77">
        <f>+((V166)+(W166/60)+(X166/3600))</f>
        <v>15.431111111111</v>
      </c>
      <c r="Z166" s="78">
        <f>+IFERROR(Y166/$AA166,0)</f>
        <v>0.36780148042215</v>
      </c>
      <c r="AA166" s="79">
        <f>+Y166+T166</f>
        <v>41.955</v>
      </c>
      <c r="AB166" s="80"/>
      <c r="AC166" s="81">
        <f>+IFERROR((AA166/P166),0)</f>
        <v>10.48875</v>
      </c>
      <c r="AD166" s="82">
        <f>+IFERROR($O166/$P166,0)</f>
        <v>188</v>
      </c>
      <c r="AE166" s="76">
        <f>+IFERROR(O166/T166,0)</f>
        <v>28.351800263913</v>
      </c>
      <c r="AF166" s="83">
        <f>+IFERROR(AA166/(P166*$AE$8),0)</f>
        <v>1.31109375</v>
      </c>
      <c r="AG166" s="84">
        <f>+P166/$C$8</f>
        <v>0.13333333333333</v>
      </c>
      <c r="AH166" s="85">
        <f>+Y166*($AI$8*$AH$8)</f>
        <v>54.008888888889</v>
      </c>
      <c r="AI166"/>
    </row>
    <row r="167" spans="1:40">
      <c r="B167" s="70" t="s">
        <v>91</v>
      </c>
      <c r="C167" s="70" t="s">
        <v>102</v>
      </c>
      <c r="D167" s="70" t="s">
        <v>111</v>
      </c>
      <c r="E167" s="70"/>
      <c r="F167" s="70"/>
      <c r="G167" s="70"/>
      <c r="H167" s="70"/>
      <c r="I167" s="70"/>
      <c r="J167" s="70" t="s">
        <v>267</v>
      </c>
      <c r="K167" s="70"/>
      <c r="L167" s="71" t="s">
        <v>95</v>
      </c>
      <c r="M167" s="71">
        <f>data!J8</f>
        <v>30</v>
      </c>
      <c r="N167" s="72">
        <v>68922.0</v>
      </c>
      <c r="O167" s="73">
        <v>104.0</v>
      </c>
      <c r="P167" s="74">
        <v>3.0</v>
      </c>
      <c r="Q167" s="75">
        <v>3</v>
      </c>
      <c r="R167" s="76">
        <v>56</v>
      </c>
      <c r="S167" s="76">
        <v>11</v>
      </c>
      <c r="T167" s="77">
        <f>+((Q167)+(R167/60)+(S167/3600))</f>
        <v>3.9363888888889</v>
      </c>
      <c r="U167" s="78">
        <f>IFERROR(T167/$AA167,0)</f>
        <v>0.86922652272588</v>
      </c>
      <c r="V167" s="75">
        <v>0</v>
      </c>
      <c r="W167" s="76">
        <v>35</v>
      </c>
      <c r="X167" s="76">
        <v>32</v>
      </c>
      <c r="Y167" s="77">
        <f>+((V167)+(W167/60)+(X167/3600))</f>
        <v>0.59222222222222</v>
      </c>
      <c r="Z167" s="78">
        <f>+IFERROR(Y167/$AA167,0)</f>
        <v>0.13077347727412</v>
      </c>
      <c r="AA167" s="79">
        <f>+Y167+T167</f>
        <v>4.5286111111111</v>
      </c>
      <c r="AB167" s="80"/>
      <c r="AC167" s="81">
        <f>+IFERROR((AA167/P167),0)</f>
        <v>1.509537037037</v>
      </c>
      <c r="AD167" s="82">
        <f>+IFERROR($O167/$P167,0)</f>
        <v>34.666666666667</v>
      </c>
      <c r="AE167" s="76">
        <f>+IFERROR(O167/T167,0)</f>
        <v>26.420153835297</v>
      </c>
      <c r="AF167" s="83">
        <f>+IFERROR(AA167/(P167*$AE$8),0)</f>
        <v>0.18869212962963</v>
      </c>
      <c r="AG167" s="84">
        <f>+P167/$C$8</f>
        <v>0.1</v>
      </c>
      <c r="AH167" s="85">
        <f>+Y167*($AI$8*$AH$8)</f>
        <v>2.0727777777778</v>
      </c>
      <c r="AI167"/>
    </row>
    <row r="168" spans="1:40">
      <c r="B168" s="70" t="s">
        <v>91</v>
      </c>
      <c r="C168" s="70" t="s">
        <v>101</v>
      </c>
      <c r="D168" s="70" t="s">
        <v>113</v>
      </c>
      <c r="E168" s="70"/>
      <c r="F168" s="70"/>
      <c r="G168" s="70"/>
      <c r="H168" s="70"/>
      <c r="I168" s="70"/>
      <c r="J168" s="70" t="s">
        <v>268</v>
      </c>
      <c r="K168" s="70"/>
      <c r="L168" s="71" t="s">
        <v>95</v>
      </c>
      <c r="M168" s="71">
        <f>data!J8</f>
        <v>30</v>
      </c>
      <c r="N168" s="72">
        <v>72874.0</v>
      </c>
      <c r="O168" s="73">
        <v>540.0</v>
      </c>
      <c r="P168" s="74">
        <v>4.0</v>
      </c>
      <c r="Q168" s="75">
        <v>18</v>
      </c>
      <c r="R168" s="76">
        <v>35</v>
      </c>
      <c r="S168" s="76">
        <v>31</v>
      </c>
      <c r="T168" s="77">
        <f>+((Q168)+(R168/60)+(S168/3600))</f>
        <v>18.591944444444</v>
      </c>
      <c r="U168" s="78">
        <f>IFERROR(T168/$AA168,0)</f>
        <v>0.52814272976193</v>
      </c>
      <c r="V168" s="75">
        <v>16</v>
      </c>
      <c r="W168" s="76">
        <v>36</v>
      </c>
      <c r="X168" s="76">
        <v>38</v>
      </c>
      <c r="Y168" s="77">
        <f>+((V168)+(W168/60)+(X168/3600))</f>
        <v>16.610555555556</v>
      </c>
      <c r="Z168" s="78">
        <f>+IFERROR(Y168/$AA168,0)</f>
        <v>0.47185727023807</v>
      </c>
      <c r="AA168" s="79">
        <f>+Y168+T168</f>
        <v>35.2025</v>
      </c>
      <c r="AB168" s="80"/>
      <c r="AC168" s="81">
        <f>+IFERROR((AA168/P168),0)</f>
        <v>8.800625</v>
      </c>
      <c r="AD168" s="82">
        <f>+IFERROR($O168/$P168,0)</f>
        <v>135</v>
      </c>
      <c r="AE168" s="76">
        <f>+IFERROR(O168/T168,0)</f>
        <v>29.044837220421</v>
      </c>
      <c r="AF168" s="83">
        <f>+IFERROR(AA168/(P168*$AE$8),0)</f>
        <v>1.100078125</v>
      </c>
      <c r="AG168" s="84">
        <f>+P168/$C$8</f>
        <v>0.13333333333333</v>
      </c>
      <c r="AH168" s="85">
        <f>+Y168*($AI$8*$AH$8)</f>
        <v>58.136944444444</v>
      </c>
      <c r="AI168"/>
    </row>
    <row r="169" spans="1:40">
      <c r="B169" s="70" t="s">
        <v>91</v>
      </c>
      <c r="C169" s="70" t="s">
        <v>101</v>
      </c>
      <c r="D169" s="70" t="s">
        <v>108</v>
      </c>
      <c r="E169" s="70"/>
      <c r="F169" s="70"/>
      <c r="G169" s="70"/>
      <c r="H169" s="70"/>
      <c r="I169" s="70"/>
      <c r="J169" s="70" t="s">
        <v>269</v>
      </c>
      <c r="K169" s="70"/>
      <c r="L169" s="71" t="s">
        <v>95</v>
      </c>
      <c r="M169" s="71">
        <f>data!J8</f>
        <v>30</v>
      </c>
      <c r="N169" s="72">
        <v>37797.0</v>
      </c>
      <c r="O169" s="73">
        <v>509.0</v>
      </c>
      <c r="P169" s="74">
        <v>4.0</v>
      </c>
      <c r="Q169" s="75">
        <v>18</v>
      </c>
      <c r="R169" s="76">
        <v>44</v>
      </c>
      <c r="S169" s="76">
        <v>52</v>
      </c>
      <c r="T169" s="77">
        <f>+((Q169)+(R169/60)+(S169/3600))</f>
        <v>18.747777777778</v>
      </c>
      <c r="U169" s="78">
        <f>IFERROR(T169/$AA169,0)</f>
        <v>0.49383547110171</v>
      </c>
      <c r="V169" s="75">
        <v>19</v>
      </c>
      <c r="W169" s="76">
        <v>12</v>
      </c>
      <c r="X169" s="76">
        <v>57</v>
      </c>
      <c r="Y169" s="77">
        <f>+((V169)+(W169/60)+(X169/3600))</f>
        <v>19.215833333333</v>
      </c>
      <c r="Z169" s="78">
        <f>+IFERROR(Y169/$AA169,0)</f>
        <v>0.50616452889829</v>
      </c>
      <c r="AA169" s="79">
        <f>+Y169+T169</f>
        <v>37.963611111111</v>
      </c>
      <c r="AB169" s="80"/>
      <c r="AC169" s="81">
        <f>+IFERROR((AA169/P169),0)</f>
        <v>9.4909027777778</v>
      </c>
      <c r="AD169" s="82">
        <f>+IFERROR($O169/$P169,0)</f>
        <v>127.25</v>
      </c>
      <c r="AE169" s="76">
        <f>+IFERROR(O169/T169,0)</f>
        <v>27.149884430747</v>
      </c>
      <c r="AF169" s="83">
        <f>+IFERROR(AA169/(P169*$AE$8),0)</f>
        <v>1.1863628472222</v>
      </c>
      <c r="AG169" s="84">
        <f>+P169/$C$8</f>
        <v>0.13333333333333</v>
      </c>
      <c r="AH169" s="85">
        <f>+Y169*($AI$8*$AH$8)</f>
        <v>67.255416666667</v>
      </c>
      <c r="AI169"/>
    </row>
    <row r="170" spans="1:40">
      <c r="B170" s="70" t="s">
        <v>91</v>
      </c>
      <c r="C170" s="70" t="s">
        <v>102</v>
      </c>
      <c r="D170" s="70" t="s">
        <v>112</v>
      </c>
      <c r="E170" s="70"/>
      <c r="F170" s="70"/>
      <c r="G170" s="70"/>
      <c r="H170" s="70"/>
      <c r="I170" s="70"/>
      <c r="J170" s="70" t="s">
        <v>270</v>
      </c>
      <c r="K170" s="70"/>
      <c r="L170" s="71" t="s">
        <v>95</v>
      </c>
      <c r="M170" s="71">
        <f>data!J8</f>
        <v>30</v>
      </c>
      <c r="N170" s="72">
        <v>34313.0</v>
      </c>
      <c r="O170" s="73">
        <v>540.0</v>
      </c>
      <c r="P170" s="74">
        <v>4.0</v>
      </c>
      <c r="Q170" s="75">
        <v>19</v>
      </c>
      <c r="R170" s="76">
        <v>25</v>
      </c>
      <c r="S170" s="76">
        <v>47</v>
      </c>
      <c r="T170" s="77">
        <f>+((Q170)+(R170/60)+(S170/3600))</f>
        <v>19.429722222222</v>
      </c>
      <c r="U170" s="78">
        <f>IFERROR(T170/$AA170,0)</f>
        <v>0.76368857202127</v>
      </c>
      <c r="V170" s="75">
        <v>6</v>
      </c>
      <c r="W170" s="76">
        <v>0</v>
      </c>
      <c r="X170" s="76">
        <v>44</v>
      </c>
      <c r="Y170" s="77">
        <f>+((V170)+(W170/60)+(X170/3600))</f>
        <v>6.0122222222222</v>
      </c>
      <c r="Z170" s="78">
        <f>+IFERROR(Y170/$AA170,0)</f>
        <v>0.23631142797873</v>
      </c>
      <c r="AA170" s="79">
        <f>+Y170+T170</f>
        <v>25.441944444444</v>
      </c>
      <c r="AB170" s="80"/>
      <c r="AC170" s="81">
        <f>+IFERROR((AA170/P170),0)</f>
        <v>6.3604861111111</v>
      </c>
      <c r="AD170" s="82">
        <f>+IFERROR($O170/$P170,0)</f>
        <v>135</v>
      </c>
      <c r="AE170" s="76">
        <f>+IFERROR(O170/T170,0)</f>
        <v>27.792471442664</v>
      </c>
      <c r="AF170" s="83">
        <f>+IFERROR(AA170/(P170*$AE$8),0)</f>
        <v>0.79506076388889</v>
      </c>
      <c r="AG170" s="84">
        <f>+P170/$C$8</f>
        <v>0.13333333333333</v>
      </c>
      <c r="AH170" s="85">
        <f>+Y170*($AI$8*$AH$8)</f>
        <v>21.042777777778</v>
      </c>
      <c r="AI170"/>
    </row>
    <row r="171" spans="1:40">
      <c r="B171" s="70" t="s">
        <v>91</v>
      </c>
      <c r="C171" s="70" t="s">
        <v>102</v>
      </c>
      <c r="D171" s="70" t="s">
        <v>112</v>
      </c>
      <c r="E171" s="70"/>
      <c r="F171" s="70"/>
      <c r="G171" s="70"/>
      <c r="H171" s="70"/>
      <c r="I171" s="70"/>
      <c r="J171" s="70" t="s">
        <v>271</v>
      </c>
      <c r="K171" s="70"/>
      <c r="L171" s="71" t="s">
        <v>95</v>
      </c>
      <c r="M171" s="71">
        <f>data!J8</f>
        <v>30</v>
      </c>
      <c r="N171" s="72">
        <v>62755.0</v>
      </c>
      <c r="O171" s="73">
        <v>494.0</v>
      </c>
      <c r="P171" s="74">
        <v>4.0</v>
      </c>
      <c r="Q171" s="75">
        <v>15</v>
      </c>
      <c r="R171" s="76">
        <v>58</v>
      </c>
      <c r="S171" s="76">
        <v>33</v>
      </c>
      <c r="T171" s="77">
        <f>+((Q171)+(R171/60)+(S171/3600))</f>
        <v>15.975833333333</v>
      </c>
      <c r="U171" s="78">
        <f>IFERROR(T171/$AA171,0)</f>
        <v>0.74290844269918</v>
      </c>
      <c r="V171" s="75">
        <v>5</v>
      </c>
      <c r="W171" s="76">
        <v>31</v>
      </c>
      <c r="X171" s="76">
        <v>43</v>
      </c>
      <c r="Y171" s="77">
        <f>+((V171)+(W171/60)+(X171/3600))</f>
        <v>5.5286111111111</v>
      </c>
      <c r="Z171" s="78">
        <f>+IFERROR(Y171/$AA171,0)</f>
        <v>0.25709155730082</v>
      </c>
      <c r="AA171" s="79">
        <f>+Y171+T171</f>
        <v>21.504444444444</v>
      </c>
      <c r="AB171" s="80"/>
      <c r="AC171" s="81">
        <f>+IFERROR((AA171/P171),0)</f>
        <v>5.3761111111111</v>
      </c>
      <c r="AD171" s="82">
        <f>+IFERROR($O171/$P171,0)</f>
        <v>123.5</v>
      </c>
      <c r="AE171" s="76">
        <f>+IFERROR(O171/T171,0)</f>
        <v>30.921704658077</v>
      </c>
      <c r="AF171" s="83">
        <f>+IFERROR(AA171/(P171*$AE$8),0)</f>
        <v>0.67201388888889</v>
      </c>
      <c r="AG171" s="84">
        <f>+P171/$C$8</f>
        <v>0.13333333333333</v>
      </c>
      <c r="AH171" s="85">
        <f>+Y171*($AI$8*$AH$8)</f>
        <v>19.350138888889</v>
      </c>
      <c r="AI171"/>
    </row>
    <row r="172" spans="1:40">
      <c r="B172" s="70" t="s">
        <v>91</v>
      </c>
      <c r="C172" s="70" t="s">
        <v>101</v>
      </c>
      <c r="D172" s="70" t="s">
        <v>108</v>
      </c>
      <c r="E172" s="70"/>
      <c r="F172" s="70"/>
      <c r="G172" s="70"/>
      <c r="H172" s="70"/>
      <c r="I172" s="70"/>
      <c r="J172" s="70" t="s">
        <v>272</v>
      </c>
      <c r="K172" s="70"/>
      <c r="L172" s="71" t="s">
        <v>326</v>
      </c>
      <c r="M172" s="71">
        <f>data!J8</f>
        <v>30</v>
      </c>
      <c r="N172" s="72">
        <v>41312.0</v>
      </c>
      <c r="O172" s="73">
        <v>0.0</v>
      </c>
      <c r="P172" s="74">
        <v>1.0</v>
      </c>
      <c r="Q172" s="75">
        <v>0</v>
      </c>
      <c r="R172" s="76">
        <v>2</v>
      </c>
      <c r="S172" s="76">
        <v>2</v>
      </c>
      <c r="T172" s="77">
        <f>+((Q172)+(R172/60)+(S172/3600))</f>
        <v>0.033888888888889</v>
      </c>
      <c r="U172" s="78">
        <f>IFERROR(T172/$AA172,0)</f>
        <v>0.24448897795591</v>
      </c>
      <c r="V172" s="75">
        <v>0</v>
      </c>
      <c r="W172" s="76">
        <v>6</v>
      </c>
      <c r="X172" s="76">
        <v>17</v>
      </c>
      <c r="Y172" s="77">
        <f>+((V172)+(W172/60)+(X172/3600))</f>
        <v>0.10472222222222</v>
      </c>
      <c r="Z172" s="78">
        <f>+IFERROR(Y172/$AA172,0)</f>
        <v>0.75551102204409</v>
      </c>
      <c r="AA172" s="79">
        <f>+Y172+T172</f>
        <v>0.13861111111111</v>
      </c>
      <c r="AB172" s="80"/>
      <c r="AC172" s="81">
        <f>+IFERROR((AA172/P172),0)</f>
        <v>0.13861111111111</v>
      </c>
      <c r="AD172" s="82">
        <f>+IFERROR($O172/$P172,0)</f>
        <v>0</v>
      </c>
      <c r="AE172" s="76">
        <f>+IFERROR(O172/T172,0)</f>
        <v>0</v>
      </c>
      <c r="AF172" s="83">
        <f>+IFERROR(AA172/(P172*$AE$8),0)</f>
        <v>0.017326388888889</v>
      </c>
      <c r="AG172" s="84">
        <f>+P172/$C$8</f>
        <v>0.033333333333333</v>
      </c>
      <c r="AH172" s="85">
        <f>+Y172*($AI$8*$AH$8)</f>
        <v>0.36652777777778</v>
      </c>
      <c r="AI172"/>
    </row>
    <row r="173" spans="1:40">
      <c r="B173" s="70" t="s">
        <v>91</v>
      </c>
      <c r="C173" s="70" t="s">
        <v>101</v>
      </c>
      <c r="D173" s="70" t="s">
        <v>108</v>
      </c>
      <c r="E173" s="70"/>
      <c r="F173" s="70"/>
      <c r="G173" s="70"/>
      <c r="H173" s="70"/>
      <c r="I173" s="70"/>
      <c r="J173" s="70" t="s">
        <v>273</v>
      </c>
      <c r="K173" s="70"/>
      <c r="L173" s="71" t="s">
        <v>95</v>
      </c>
      <c r="M173" s="71">
        <f>data!J8</f>
        <v>30</v>
      </c>
      <c r="N173" s="72">
        <v>77153.0</v>
      </c>
      <c r="O173" s="73">
        <v>477.0</v>
      </c>
      <c r="P173" s="74">
        <v>4.0</v>
      </c>
      <c r="Q173" s="75">
        <v>16</v>
      </c>
      <c r="R173" s="76">
        <v>23</v>
      </c>
      <c r="S173" s="76">
        <v>21</v>
      </c>
      <c r="T173" s="77">
        <f>+((Q173)+(R173/60)+(S173/3600))</f>
        <v>16.389166666667</v>
      </c>
      <c r="U173" s="78">
        <f>IFERROR(T173/$AA173,0)</f>
        <v>0.5414873211516</v>
      </c>
      <c r="V173" s="75">
        <v>13</v>
      </c>
      <c r="W173" s="76">
        <v>52</v>
      </c>
      <c r="X173" s="76">
        <v>40</v>
      </c>
      <c r="Y173" s="77">
        <f>+((V173)+(W173/60)+(X173/3600))</f>
        <v>13.877777777778</v>
      </c>
      <c r="Z173" s="78">
        <f>+IFERROR(Y173/$AA173,0)</f>
        <v>0.4585126788484</v>
      </c>
      <c r="AA173" s="79">
        <f>+Y173+T173</f>
        <v>30.266944444444</v>
      </c>
      <c r="AB173" s="80"/>
      <c r="AC173" s="81">
        <f>+IFERROR((AA173/P173),0)</f>
        <v>7.5667361111111</v>
      </c>
      <c r="AD173" s="82">
        <f>+IFERROR($O173/$P173,0)</f>
        <v>119.25</v>
      </c>
      <c r="AE173" s="76">
        <f>+IFERROR(O173/T173,0)</f>
        <v>29.104591447603</v>
      </c>
      <c r="AF173" s="83">
        <f>+IFERROR(AA173/(P173*$AE$8),0)</f>
        <v>0.94584201388889</v>
      </c>
      <c r="AG173" s="84">
        <f>+P173/$C$8</f>
        <v>0.13333333333333</v>
      </c>
      <c r="AH173" s="85">
        <f>+Y173*($AI$8*$AH$8)</f>
        <v>48.572222222222</v>
      </c>
      <c r="AI173"/>
    </row>
    <row r="174" spans="1:40">
      <c r="B174" s="70" t="s">
        <v>91</v>
      </c>
      <c r="C174" s="70" t="s">
        <v>101</v>
      </c>
      <c r="D174" s="70" t="s">
        <v>108</v>
      </c>
      <c r="E174" s="70"/>
      <c r="F174" s="70"/>
      <c r="G174" s="70"/>
      <c r="H174" s="70"/>
      <c r="I174" s="70"/>
      <c r="J174" s="70" t="s">
        <v>274</v>
      </c>
      <c r="K174" s="70"/>
      <c r="L174" s="71" t="s">
        <v>95</v>
      </c>
      <c r="M174" s="71">
        <f>data!J8</f>
        <v>30</v>
      </c>
      <c r="N174" s="72">
        <v>46241.0</v>
      </c>
      <c r="O174" s="73">
        <v>334.0</v>
      </c>
      <c r="P174" s="74">
        <v>4.0</v>
      </c>
      <c r="Q174" s="75">
        <v>13</v>
      </c>
      <c r="R174" s="76">
        <v>29</v>
      </c>
      <c r="S174" s="76">
        <v>23</v>
      </c>
      <c r="T174" s="77">
        <f>+((Q174)+(R174/60)+(S174/3600))</f>
        <v>13.489722222222</v>
      </c>
      <c r="U174" s="78">
        <f>IFERROR(T174/$AA174,0)</f>
        <v>0.3874284984882</v>
      </c>
      <c r="V174" s="75">
        <v>21</v>
      </c>
      <c r="W174" s="76">
        <v>19</v>
      </c>
      <c r="X174" s="76">
        <v>44</v>
      </c>
      <c r="Y174" s="77">
        <f>+((V174)+(W174/60)+(X174/3600))</f>
        <v>21.328888888889</v>
      </c>
      <c r="Z174" s="78">
        <f>+IFERROR(Y174/$AA174,0)</f>
        <v>0.6125715015118</v>
      </c>
      <c r="AA174" s="79">
        <f>+Y174+T174</f>
        <v>34.818611111111</v>
      </c>
      <c r="AB174" s="80"/>
      <c r="AC174" s="81">
        <f>+IFERROR((AA174/P174),0)</f>
        <v>8.7046527777778</v>
      </c>
      <c r="AD174" s="82">
        <f>+IFERROR($O174/$P174,0)</f>
        <v>83.5</v>
      </c>
      <c r="AE174" s="76">
        <f>+IFERROR(O174/T174,0)</f>
        <v>24.759590634845</v>
      </c>
      <c r="AF174" s="83">
        <f>+IFERROR(AA174/(P174*$AE$8),0)</f>
        <v>1.0880815972222</v>
      </c>
      <c r="AG174" s="84">
        <f>+P174/$C$8</f>
        <v>0.13333333333333</v>
      </c>
      <c r="AH174" s="85">
        <f>+Y174*($AI$8*$AH$8)</f>
        <v>74.651111111111</v>
      </c>
      <c r="AI174"/>
    </row>
    <row r="175" spans="1:40">
      <c r="B175" s="70" t="s">
        <v>91</v>
      </c>
      <c r="C175" s="70" t="s">
        <v>101</v>
      </c>
      <c r="D175" s="70" t="s">
        <v>108</v>
      </c>
      <c r="E175" s="70"/>
      <c r="F175" s="70"/>
      <c r="G175" s="70"/>
      <c r="H175" s="70"/>
      <c r="I175" s="70"/>
      <c r="J175" s="70" t="s">
        <v>275</v>
      </c>
      <c r="K175" s="70"/>
      <c r="L175" s="71" t="s">
        <v>326</v>
      </c>
      <c r="M175" s="71">
        <f>data!J8</f>
        <v>30</v>
      </c>
      <c r="N175" s="72">
        <v>33242.0</v>
      </c>
      <c r="O175" s="73">
        <v>12.0</v>
      </c>
      <c r="P175" s="74">
        <v>1.0</v>
      </c>
      <c r="Q175" s="75">
        <v>0</v>
      </c>
      <c r="R175" s="76">
        <v>48</v>
      </c>
      <c r="S175" s="76">
        <v>16</v>
      </c>
      <c r="T175" s="77">
        <f>+((Q175)+(R175/60)+(S175/3600))</f>
        <v>0.80444444444444</v>
      </c>
      <c r="U175" s="78">
        <f>IFERROR(T175/$AA175,0)</f>
        <v>0.52208400937444</v>
      </c>
      <c r="V175" s="75">
        <v>0</v>
      </c>
      <c r="W175" s="76">
        <v>44</v>
      </c>
      <c r="X175" s="76">
        <v>11</v>
      </c>
      <c r="Y175" s="77">
        <f>+((V175)+(W175/60)+(X175/3600))</f>
        <v>0.73638888888889</v>
      </c>
      <c r="Z175" s="78">
        <f>+IFERROR(Y175/$AA175,0)</f>
        <v>0.47791599062556</v>
      </c>
      <c r="AA175" s="79">
        <f>+Y175+T175</f>
        <v>1.5408333333333</v>
      </c>
      <c r="AB175" s="80"/>
      <c r="AC175" s="81">
        <f>+IFERROR((AA175/P175),0)</f>
        <v>1.5408333333333</v>
      </c>
      <c r="AD175" s="82">
        <f>+IFERROR($O175/$P175,0)</f>
        <v>12</v>
      </c>
      <c r="AE175" s="76">
        <f>+IFERROR(O175/T175,0)</f>
        <v>14.917127071823</v>
      </c>
      <c r="AF175" s="83">
        <f>+IFERROR(AA175/(P175*$AE$8),0)</f>
        <v>0.19260416666667</v>
      </c>
      <c r="AG175" s="84">
        <f>+P175/$C$8</f>
        <v>0.033333333333333</v>
      </c>
      <c r="AH175" s="85">
        <f>+Y175*($AI$8*$AH$8)</f>
        <v>2.5773611111111</v>
      </c>
      <c r="AI175"/>
    </row>
    <row r="176" spans="1:40">
      <c r="B176" s="70" t="s">
        <v>91</v>
      </c>
      <c r="C176" s="70" t="s">
        <v>101</v>
      </c>
      <c r="D176" s="70" t="s">
        <v>113</v>
      </c>
      <c r="E176" s="70"/>
      <c r="F176" s="70"/>
      <c r="G176" s="70"/>
      <c r="H176" s="70"/>
      <c r="I176" s="70"/>
      <c r="J176" s="70" t="s">
        <v>276</v>
      </c>
      <c r="K176" s="70"/>
      <c r="L176" s="71" t="s">
        <v>95</v>
      </c>
      <c r="M176" s="71">
        <f>data!J8</f>
        <v>30</v>
      </c>
      <c r="N176" s="72">
        <v>70991.0</v>
      </c>
      <c r="O176" s="73">
        <v>1.0</v>
      </c>
      <c r="P176" s="74">
        <v>3.0</v>
      </c>
      <c r="Q176" s="75">
        <v>1</v>
      </c>
      <c r="R176" s="76">
        <v>18</v>
      </c>
      <c r="S176" s="76">
        <v>14</v>
      </c>
      <c r="T176" s="77">
        <f>+((Q176)+(R176/60)+(S176/3600))</f>
        <v>1.3038888888889</v>
      </c>
      <c r="U176" s="78">
        <f>IFERROR(T176/$AA176,0)</f>
        <v>0.44017254313578</v>
      </c>
      <c r="V176" s="75">
        <v>1</v>
      </c>
      <c r="W176" s="76">
        <v>39</v>
      </c>
      <c r="X176" s="76">
        <v>30</v>
      </c>
      <c r="Y176" s="77">
        <f>+((V176)+(W176/60)+(X176/3600))</f>
        <v>1.6583333333333</v>
      </c>
      <c r="Z176" s="78">
        <f>+IFERROR(Y176/$AA176,0)</f>
        <v>0.55982745686422</v>
      </c>
      <c r="AA176" s="79">
        <f>+Y176+T176</f>
        <v>2.9622222222222</v>
      </c>
      <c r="AB176" s="80"/>
      <c r="AC176" s="81">
        <f>+IFERROR((AA176/P176),0)</f>
        <v>0.98740740740741</v>
      </c>
      <c r="AD176" s="82">
        <f>+IFERROR($O176/$P176,0)</f>
        <v>0.33333333333333</v>
      </c>
      <c r="AE176" s="76">
        <f>+IFERROR(O176/T176,0)</f>
        <v>0.76693651469962</v>
      </c>
      <c r="AF176" s="83">
        <f>+IFERROR(AA176/(P176*$AE$8),0)</f>
        <v>0.12342592592593</v>
      </c>
      <c r="AG176" s="84">
        <f>+P176/$C$8</f>
        <v>0.1</v>
      </c>
      <c r="AH176" s="85">
        <f>+Y176*($AI$8*$AH$8)</f>
        <v>5.8041666666667</v>
      </c>
      <c r="AI176"/>
    </row>
    <row r="177" spans="1:40">
      <c r="B177" s="70" t="s">
        <v>91</v>
      </c>
      <c r="C177" s="70" t="s">
        <v>102</v>
      </c>
      <c r="D177" s="70"/>
      <c r="E177" s="70"/>
      <c r="F177" s="70"/>
      <c r="G177" s="70"/>
      <c r="H177" s="70"/>
      <c r="I177" s="70"/>
      <c r="J177" s="70" t="s">
        <v>277</v>
      </c>
      <c r="K177" s="70"/>
      <c r="L177" s="71" t="s">
        <v>95</v>
      </c>
      <c r="M177" s="71">
        <f>data!J8</f>
        <v>30</v>
      </c>
      <c r="N177" s="72">
        <v>12755.0</v>
      </c>
      <c r="O177" s="73">
        <v>579.0</v>
      </c>
      <c r="P177" s="74">
        <v>4.0</v>
      </c>
      <c r="Q177" s="75">
        <v>23</v>
      </c>
      <c r="R177" s="76">
        <v>59</v>
      </c>
      <c r="S177" s="76">
        <v>6</v>
      </c>
      <c r="T177" s="77">
        <f>+((Q177)+(R177/60)+(S177/3600))</f>
        <v>23.985</v>
      </c>
      <c r="U177" s="78">
        <f>IFERROR(T177/$AA177,0)</f>
        <v>0.56910290463542</v>
      </c>
      <c r="V177" s="75">
        <v>18</v>
      </c>
      <c r="W177" s="76">
        <v>9</v>
      </c>
      <c r="X177" s="76">
        <v>37</v>
      </c>
      <c r="Y177" s="77">
        <f>+((V177)+(W177/60)+(X177/3600))</f>
        <v>18.160277777778</v>
      </c>
      <c r="Z177" s="78">
        <f>+IFERROR(Y177/$AA177,0)</f>
        <v>0.43089709536458</v>
      </c>
      <c r="AA177" s="79">
        <f>+Y177+T177</f>
        <v>42.145277777778</v>
      </c>
      <c r="AB177" s="80"/>
      <c r="AC177" s="81">
        <f>+IFERROR((AA177/P177),0)</f>
        <v>10.536319444444</v>
      </c>
      <c r="AD177" s="82">
        <f>+IFERROR($O177/$P177,0)</f>
        <v>144.75</v>
      </c>
      <c r="AE177" s="76">
        <f>+IFERROR(O177/T177,0)</f>
        <v>24.140087554722</v>
      </c>
      <c r="AF177" s="83">
        <f>+IFERROR(AA177/(P177*$AE$8),0)</f>
        <v>1.3170399305556</v>
      </c>
      <c r="AG177" s="84">
        <f>+P177/$C$8</f>
        <v>0.13333333333333</v>
      </c>
      <c r="AH177" s="85">
        <f>+Y177*($AI$8*$AH$8)</f>
        <v>63.560972222222</v>
      </c>
      <c r="AI177"/>
    </row>
    <row r="178" spans="1:40">
      <c r="B178" s="70" t="s">
        <v>91</v>
      </c>
      <c r="C178" s="70" t="s">
        <v>101</v>
      </c>
      <c r="D178" s="70" t="s">
        <v>108</v>
      </c>
      <c r="E178" s="70"/>
      <c r="F178" s="70"/>
      <c r="G178" s="70"/>
      <c r="H178" s="70"/>
      <c r="I178" s="70"/>
      <c r="J178" s="70" t="s">
        <v>278</v>
      </c>
      <c r="K178" s="70"/>
      <c r="L178" s="71" t="s">
        <v>95</v>
      </c>
      <c r="M178" s="71">
        <f>data!J8</f>
        <v>30</v>
      </c>
      <c r="N178" s="72">
        <v>134942.0</v>
      </c>
      <c r="O178" s="73">
        <v>268.0</v>
      </c>
      <c r="P178" s="74">
        <v>3.0</v>
      </c>
      <c r="Q178" s="75">
        <v>9</v>
      </c>
      <c r="R178" s="76">
        <v>24</v>
      </c>
      <c r="S178" s="76">
        <v>34</v>
      </c>
      <c r="T178" s="77">
        <f>+((Q178)+(R178/60)+(S178/3600))</f>
        <v>9.4094444444444</v>
      </c>
      <c r="U178" s="78">
        <f>IFERROR(T178/$AA178,0)</f>
        <v>0.83028579832345</v>
      </c>
      <c r="V178" s="75">
        <v>1</v>
      </c>
      <c r="W178" s="76">
        <v>55</v>
      </c>
      <c r="X178" s="76">
        <v>24</v>
      </c>
      <c r="Y178" s="77">
        <f>+((V178)+(W178/60)+(X178/3600))</f>
        <v>1.9233333333333</v>
      </c>
      <c r="Z178" s="78">
        <f>+IFERROR(Y178/$AA178,0)</f>
        <v>0.16971420167655</v>
      </c>
      <c r="AA178" s="79">
        <f>+Y178+T178</f>
        <v>11.332777777778</v>
      </c>
      <c r="AB178" s="80"/>
      <c r="AC178" s="81">
        <f>+IFERROR((AA178/P178),0)</f>
        <v>3.7775925925926</v>
      </c>
      <c r="AD178" s="82">
        <f>+IFERROR($O178/$P178,0)</f>
        <v>89.333333333333</v>
      </c>
      <c r="AE178" s="76">
        <f>+IFERROR(O178/T178,0)</f>
        <v>28.482021609494</v>
      </c>
      <c r="AF178" s="83">
        <f>+IFERROR(AA178/(P178*$AE$8),0)</f>
        <v>0.47219907407407</v>
      </c>
      <c r="AG178" s="84">
        <f>+P178/$C$8</f>
        <v>0.1</v>
      </c>
      <c r="AH178" s="85">
        <f>+Y178*($AI$8*$AH$8)</f>
        <v>6.7316666666667</v>
      </c>
      <c r="AI178"/>
    </row>
    <row r="179" spans="1:40">
      <c r="B179" s="70" t="s">
        <v>91</v>
      </c>
      <c r="C179" s="70" t="s">
        <v>101</v>
      </c>
      <c r="D179" s="70" t="s">
        <v>108</v>
      </c>
      <c r="E179" s="70"/>
      <c r="F179" s="70"/>
      <c r="G179" s="70"/>
      <c r="H179" s="70"/>
      <c r="I179" s="70"/>
      <c r="J179" s="70" t="s">
        <v>279</v>
      </c>
      <c r="K179" s="70"/>
      <c r="L179" s="71" t="s">
        <v>95</v>
      </c>
      <c r="M179" s="71">
        <f>data!J8</f>
        <v>30</v>
      </c>
      <c r="N179" s="72">
        <v>78104.0</v>
      </c>
      <c r="O179" s="73">
        <v>296.0</v>
      </c>
      <c r="P179" s="74">
        <v>2.0</v>
      </c>
      <c r="Q179" s="75">
        <v>10</v>
      </c>
      <c r="R179" s="76">
        <v>16</v>
      </c>
      <c r="S179" s="76">
        <v>38</v>
      </c>
      <c r="T179" s="77">
        <f>+((Q179)+(R179/60)+(S179/3600))</f>
        <v>10.277222222222</v>
      </c>
      <c r="U179" s="78">
        <f>IFERROR(T179/$AA179,0)</f>
        <v>0.76177730192719</v>
      </c>
      <c r="V179" s="75">
        <v>3</v>
      </c>
      <c r="W179" s="76">
        <v>12</v>
      </c>
      <c r="X179" s="76">
        <v>50</v>
      </c>
      <c r="Y179" s="77">
        <f>+((V179)+(W179/60)+(X179/3600))</f>
        <v>3.2138888888889</v>
      </c>
      <c r="Z179" s="78">
        <f>+IFERROR(Y179/$AA179,0)</f>
        <v>0.23822269807281</v>
      </c>
      <c r="AA179" s="79">
        <f>+Y179+T179</f>
        <v>13.491111111111</v>
      </c>
      <c r="AB179" s="80"/>
      <c r="AC179" s="81">
        <f>+IFERROR((AA179/P179),0)</f>
        <v>6.7455555555556</v>
      </c>
      <c r="AD179" s="82">
        <f>+IFERROR($O179/$P179,0)</f>
        <v>148</v>
      </c>
      <c r="AE179" s="76">
        <f>+IFERROR(O179/T179,0)</f>
        <v>28.80155684091</v>
      </c>
      <c r="AF179" s="83">
        <f>+IFERROR(AA179/(P179*$AE$8),0)</f>
        <v>0.84319444444444</v>
      </c>
      <c r="AG179" s="84">
        <f>+P179/$C$8</f>
        <v>0.066666666666667</v>
      </c>
      <c r="AH179" s="85">
        <f>+Y179*($AI$8*$AH$8)</f>
        <v>11.248611111111</v>
      </c>
      <c r="AI179"/>
    </row>
    <row r="180" spans="1:40">
      <c r="B180" s="70" t="s">
        <v>91</v>
      </c>
      <c r="C180" s="70" t="s">
        <v>101</v>
      </c>
      <c r="D180" s="70" t="s">
        <v>113</v>
      </c>
      <c r="E180" s="70"/>
      <c r="F180" s="70"/>
      <c r="G180" s="70"/>
      <c r="H180" s="70"/>
      <c r="I180" s="70"/>
      <c r="J180" s="70" t="s">
        <v>280</v>
      </c>
      <c r="K180" s="70"/>
      <c r="L180" s="71" t="s">
        <v>95</v>
      </c>
      <c r="M180" s="71">
        <f>data!J8</f>
        <v>30</v>
      </c>
      <c r="N180" s="72">
        <v>65825.0</v>
      </c>
      <c r="O180" s="73">
        <v>329.0</v>
      </c>
      <c r="P180" s="74">
        <v>3.0</v>
      </c>
      <c r="Q180" s="75">
        <v>10</v>
      </c>
      <c r="R180" s="76">
        <v>59</v>
      </c>
      <c r="S180" s="76">
        <v>9</v>
      </c>
      <c r="T180" s="77">
        <f>+((Q180)+(R180/60)+(S180/3600))</f>
        <v>10.985833333333</v>
      </c>
      <c r="U180" s="78">
        <f>IFERROR(T180/$AA180,0)</f>
        <v>0.55010153837594</v>
      </c>
      <c r="V180" s="75">
        <v>8</v>
      </c>
      <c r="W180" s="76">
        <v>59</v>
      </c>
      <c r="X180" s="76">
        <v>5</v>
      </c>
      <c r="Y180" s="77">
        <f>+((V180)+(W180/60)+(X180/3600))</f>
        <v>8.9847222222222</v>
      </c>
      <c r="Z180" s="78">
        <f>+IFERROR(Y180/$AA180,0)</f>
        <v>0.44989846162406</v>
      </c>
      <c r="AA180" s="79">
        <f>+Y180+T180</f>
        <v>19.970555555556</v>
      </c>
      <c r="AB180" s="80"/>
      <c r="AC180" s="81">
        <f>+IFERROR((AA180/P180),0)</f>
        <v>6.6568518518519</v>
      </c>
      <c r="AD180" s="82">
        <f>+IFERROR($O180/$P180,0)</f>
        <v>109.66666666667</v>
      </c>
      <c r="AE180" s="76">
        <f>+IFERROR(O180/T180,0)</f>
        <v>29.947659864978</v>
      </c>
      <c r="AF180" s="83">
        <f>+IFERROR(AA180/(P180*$AE$8),0)</f>
        <v>0.83210648148148</v>
      </c>
      <c r="AG180" s="84">
        <f>+P180/$C$8</f>
        <v>0.1</v>
      </c>
      <c r="AH180" s="85">
        <f>+Y180*($AI$8*$AH$8)</f>
        <v>31.446527777778</v>
      </c>
      <c r="AI180"/>
    </row>
    <row r="181" spans="1:40">
      <c r="B181" s="70" t="s">
        <v>91</v>
      </c>
      <c r="C181" s="70" t="s">
        <v>101</v>
      </c>
      <c r="D181" s="70" t="s">
        <v>108</v>
      </c>
      <c r="E181" s="70"/>
      <c r="F181" s="70"/>
      <c r="G181" s="70"/>
      <c r="H181" s="70"/>
      <c r="I181" s="70"/>
      <c r="J181" s="70" t="s">
        <v>281</v>
      </c>
      <c r="K181" s="70"/>
      <c r="L181" s="71" t="s">
        <v>95</v>
      </c>
      <c r="M181" s="71">
        <f>data!J8</f>
        <v>30</v>
      </c>
      <c r="N181" s="72">
        <v>135782.0</v>
      </c>
      <c r="O181" s="73">
        <v>0.0</v>
      </c>
      <c r="P181" s="74">
        <v>1.0</v>
      </c>
      <c r="Q181" s="75">
        <v>0</v>
      </c>
      <c r="R181" s="76">
        <v>0</v>
      </c>
      <c r="S181" s="76">
        <v>4</v>
      </c>
      <c r="T181" s="77">
        <f>+((Q181)+(R181/60)+(S181/3600))</f>
        <v>0.0011111111111111</v>
      </c>
      <c r="U181" s="78">
        <f>IFERROR(T181/$AA181,0)</f>
        <v>1</v>
      </c>
      <c r="V181" s="75">
        <v>0</v>
      </c>
      <c r="W181" s="76">
        <v>0</v>
      </c>
      <c r="X181" s="76">
        <v>0</v>
      </c>
      <c r="Y181" s="77">
        <f>+((V181)+(W181/60)+(X181/3600))</f>
        <v>0</v>
      </c>
      <c r="Z181" s="78">
        <f>+IFERROR(Y181/$AA181,0)</f>
        <v>0</v>
      </c>
      <c r="AA181" s="79">
        <f>+Y181+T181</f>
        <v>0.0011111111111111</v>
      </c>
      <c r="AB181" s="80"/>
      <c r="AC181" s="81">
        <f>+IFERROR((AA181/P181),0)</f>
        <v>0.0011111111111111</v>
      </c>
      <c r="AD181" s="82">
        <f>+IFERROR($O181/$P181,0)</f>
        <v>0</v>
      </c>
      <c r="AE181" s="76">
        <f>+IFERROR(O181/T181,0)</f>
        <v>0</v>
      </c>
      <c r="AF181" s="83">
        <f>+IFERROR(AA181/(P181*$AE$8),0)</f>
        <v>0.00013888888888889</v>
      </c>
      <c r="AG181" s="84">
        <f>+P181/$C$8</f>
        <v>0.033333333333333</v>
      </c>
      <c r="AH181" s="85">
        <f>+Y181*($AI$8*$AH$8)</f>
        <v>0</v>
      </c>
      <c r="AI181"/>
    </row>
    <row r="182" spans="1:40">
      <c r="B182" s="70" t="s">
        <v>91</v>
      </c>
      <c r="C182" s="70" t="s">
        <v>101</v>
      </c>
      <c r="D182" s="70" t="s">
        <v>109</v>
      </c>
      <c r="E182" s="70"/>
      <c r="F182" s="70"/>
      <c r="G182" s="70"/>
      <c r="H182" s="70"/>
      <c r="I182" s="70"/>
      <c r="J182" s="70" t="s">
        <v>282</v>
      </c>
      <c r="K182" s="70"/>
      <c r="L182" s="71" t="s">
        <v>95</v>
      </c>
      <c r="M182" s="71">
        <f>data!J8</f>
        <v>30</v>
      </c>
      <c r="N182" s="72">
        <v>126089.0</v>
      </c>
      <c r="O182" s="73">
        <v>0.0</v>
      </c>
      <c r="P182" s="74">
        <v>0.0</v>
      </c>
      <c r="Q182" s="75">
        <v>0</v>
      </c>
      <c r="R182" s="76">
        <v>0</v>
      </c>
      <c r="S182" s="76">
        <v>0</v>
      </c>
      <c r="T182" s="77">
        <f>+((Q182)+(R182/60)+(S182/3600))</f>
        <v>0</v>
      </c>
      <c r="U182" s="78">
        <f>IFERROR(T182/$AA182,0)</f>
        <v>0</v>
      </c>
      <c r="V182" s="75">
        <v>0</v>
      </c>
      <c r="W182" s="76">
        <v>0</v>
      </c>
      <c r="X182" s="76">
        <v>0</v>
      </c>
      <c r="Y182" s="77">
        <f>+((V182)+(W182/60)+(X182/3600))</f>
        <v>0</v>
      </c>
      <c r="Z182" s="78">
        <f>+IFERROR(Y182/$AA182,0)</f>
        <v>0</v>
      </c>
      <c r="AA182" s="79">
        <f>+Y182+T182</f>
        <v>0</v>
      </c>
      <c r="AB182" s="80"/>
      <c r="AC182" s="81">
        <f>+IFERROR((AA182/P182),0)</f>
        <v>0</v>
      </c>
      <c r="AD182" s="82">
        <f>+IFERROR($O182/$P182,0)</f>
        <v>0</v>
      </c>
      <c r="AE182" s="76">
        <f>+IFERROR(O182/T182,0)</f>
        <v>0</v>
      </c>
      <c r="AF182" s="83">
        <f>+IFERROR(AA182/(P182*$AE$8),0)</f>
        <v>0</v>
      </c>
      <c r="AG182" s="84">
        <f>+P182/$C$8</f>
        <v>0</v>
      </c>
      <c r="AH182" s="85">
        <f>+Y182*($AI$8*$AH$8)</f>
        <v>0</v>
      </c>
      <c r="AI182"/>
    </row>
    <row r="183" spans="1:40">
      <c r="B183" s="70" t="s">
        <v>91</v>
      </c>
      <c r="C183" s="70" t="s">
        <v>101</v>
      </c>
      <c r="D183" s="70" t="s">
        <v>113</v>
      </c>
      <c r="E183" s="70"/>
      <c r="F183" s="70"/>
      <c r="G183" s="70"/>
      <c r="H183" s="70"/>
      <c r="I183" s="70"/>
      <c r="J183" s="70" t="s">
        <v>283</v>
      </c>
      <c r="K183" s="70"/>
      <c r="L183" s="71" t="s">
        <v>95</v>
      </c>
      <c r="M183" s="71">
        <f>data!J8</f>
        <v>30</v>
      </c>
      <c r="N183" s="72">
        <v>67478.0</v>
      </c>
      <c r="O183" s="73">
        <v>0.0</v>
      </c>
      <c r="P183" s="74">
        <v>1.0</v>
      </c>
      <c r="Q183" s="75">
        <v>0</v>
      </c>
      <c r="R183" s="76">
        <v>10</v>
      </c>
      <c r="S183" s="76">
        <v>18</v>
      </c>
      <c r="T183" s="77">
        <f>+((Q183)+(R183/60)+(S183/3600))</f>
        <v>0.17166666666667</v>
      </c>
      <c r="U183" s="78">
        <f>IFERROR(T183/$AA183,0)</f>
        <v>0.40577806959947</v>
      </c>
      <c r="V183" s="75">
        <v>0</v>
      </c>
      <c r="W183" s="76">
        <v>15</v>
      </c>
      <c r="X183" s="76">
        <v>5</v>
      </c>
      <c r="Y183" s="77">
        <f>+((V183)+(W183/60)+(X183/3600))</f>
        <v>0.25138888888889</v>
      </c>
      <c r="Z183" s="78">
        <f>+IFERROR(Y183/$AA183,0)</f>
        <v>0.59422193040053</v>
      </c>
      <c r="AA183" s="79">
        <f>+Y183+T183</f>
        <v>0.42305555555556</v>
      </c>
      <c r="AB183" s="80"/>
      <c r="AC183" s="81">
        <f>+IFERROR((AA183/P183),0)</f>
        <v>0.42305555555556</v>
      </c>
      <c r="AD183" s="82">
        <f>+IFERROR($O183/$P183,0)</f>
        <v>0</v>
      </c>
      <c r="AE183" s="76">
        <f>+IFERROR(O183/T183,0)</f>
        <v>0</v>
      </c>
      <c r="AF183" s="83">
        <f>+IFERROR(AA183/(P183*$AE$8),0)</f>
        <v>0.052881944444444</v>
      </c>
      <c r="AG183" s="84">
        <f>+P183/$C$8</f>
        <v>0.033333333333333</v>
      </c>
      <c r="AH183" s="85">
        <f>+Y183*($AI$8*$AH$8)</f>
        <v>0.87986111111111</v>
      </c>
      <c r="AI183"/>
    </row>
    <row r="184" spans="1:40">
      <c r="B184" s="70" t="s">
        <v>91</v>
      </c>
      <c r="C184" s="70" t="s">
        <v>102</v>
      </c>
      <c r="D184" s="70" t="s">
        <v>111</v>
      </c>
      <c r="E184" s="70"/>
      <c r="F184" s="70"/>
      <c r="G184" s="70"/>
      <c r="H184" s="70"/>
      <c r="I184" s="70"/>
      <c r="J184" s="70" t="s">
        <v>284</v>
      </c>
      <c r="K184" s="70"/>
      <c r="L184" s="71" t="s">
        <v>95</v>
      </c>
      <c r="M184" s="71">
        <f>data!J8</f>
        <v>30</v>
      </c>
      <c r="N184" s="72">
        <v>11621.0</v>
      </c>
      <c r="O184" s="73">
        <v>442.0</v>
      </c>
      <c r="P184" s="74">
        <v>3.0</v>
      </c>
      <c r="Q184" s="75">
        <v>19</v>
      </c>
      <c r="R184" s="76">
        <v>10</v>
      </c>
      <c r="S184" s="76">
        <v>40</v>
      </c>
      <c r="T184" s="77">
        <f>+((Q184)+(R184/60)+(S184/3600))</f>
        <v>19.177777777778</v>
      </c>
      <c r="U184" s="78">
        <f>IFERROR(T184/$AA184,0)</f>
        <v>0.47913500308828</v>
      </c>
      <c r="V184" s="75">
        <v>20</v>
      </c>
      <c r="W184" s="76">
        <v>50</v>
      </c>
      <c r="X184" s="76">
        <v>53</v>
      </c>
      <c r="Y184" s="77">
        <f>+((V184)+(W184/60)+(X184/3600))</f>
        <v>20.848055555556</v>
      </c>
      <c r="Z184" s="78">
        <f>+IFERROR(Y184/$AA184,0)</f>
        <v>0.52086499691172</v>
      </c>
      <c r="AA184" s="79">
        <f>+Y184+T184</f>
        <v>40.025833333333</v>
      </c>
      <c r="AB184" s="80"/>
      <c r="AC184" s="81">
        <f>+IFERROR((AA184/P184),0)</f>
        <v>13.341944444444</v>
      </c>
      <c r="AD184" s="82">
        <f>+IFERROR($O184/$P184,0)</f>
        <v>147.33333333333</v>
      </c>
      <c r="AE184" s="76">
        <f>+IFERROR(O184/T184,0)</f>
        <v>23.047508690614</v>
      </c>
      <c r="AF184" s="83">
        <f>+IFERROR(AA184/(P184*$AE$8),0)</f>
        <v>1.6677430555556</v>
      </c>
      <c r="AG184" s="84">
        <f>+P184/$C$8</f>
        <v>0.1</v>
      </c>
      <c r="AH184" s="85">
        <f>+Y184*($AI$8*$AH$8)</f>
        <v>72.968194444444</v>
      </c>
      <c r="AI184"/>
    </row>
    <row r="185" spans="1:40">
      <c r="B185" s="70" t="s">
        <v>91</v>
      </c>
      <c r="C185" s="70" t="s">
        <v>102</v>
      </c>
      <c r="D185" s="70" t="s">
        <v>114</v>
      </c>
      <c r="E185" s="70"/>
      <c r="F185" s="70"/>
      <c r="G185" s="70"/>
      <c r="H185" s="70"/>
      <c r="I185" s="70"/>
      <c r="J185" s="70" t="s">
        <v>285</v>
      </c>
      <c r="K185" s="70"/>
      <c r="L185" s="71" t="s">
        <v>95</v>
      </c>
      <c r="M185" s="71">
        <f>data!J8</f>
        <v>30</v>
      </c>
      <c r="N185" s="72">
        <v>76972.0</v>
      </c>
      <c r="O185" s="73">
        <v>408.0</v>
      </c>
      <c r="P185" s="74">
        <v>3.0</v>
      </c>
      <c r="Q185" s="75">
        <v>14</v>
      </c>
      <c r="R185" s="76">
        <v>1</v>
      </c>
      <c r="S185" s="76">
        <v>0</v>
      </c>
      <c r="T185" s="77">
        <f>+((Q185)+(R185/60)+(S185/3600))</f>
        <v>14.016666666667</v>
      </c>
      <c r="U185" s="78">
        <f>IFERROR(T185/$AA185,0)</f>
        <v>0.46059477517936</v>
      </c>
      <c r="V185" s="75">
        <v>16</v>
      </c>
      <c r="W185" s="76">
        <v>24</v>
      </c>
      <c r="X185" s="76">
        <v>54</v>
      </c>
      <c r="Y185" s="77">
        <f>+((V185)+(W185/60)+(X185/3600))</f>
        <v>16.415</v>
      </c>
      <c r="Z185" s="78">
        <f>+IFERROR(Y185/$AA185,0)</f>
        <v>0.53940522482064</v>
      </c>
      <c r="AA185" s="79">
        <f>+Y185+T185</f>
        <v>30.431666666667</v>
      </c>
      <c r="AB185" s="80"/>
      <c r="AC185" s="81">
        <f>+IFERROR((AA185/P185),0)</f>
        <v>10.143888888889</v>
      </c>
      <c r="AD185" s="82">
        <f>+IFERROR($O185/$P185,0)</f>
        <v>136</v>
      </c>
      <c r="AE185" s="76">
        <f>+IFERROR(O185/T185,0)</f>
        <v>29.10820451843</v>
      </c>
      <c r="AF185" s="83">
        <f>+IFERROR(AA185/(P185*$AE$8),0)</f>
        <v>1.2679861111111</v>
      </c>
      <c r="AG185" s="84">
        <f>+P185/$C$8</f>
        <v>0.1</v>
      </c>
      <c r="AH185" s="85">
        <f>+Y185*($AI$8*$AH$8)</f>
        <v>57.4525</v>
      </c>
      <c r="AI185"/>
    </row>
    <row r="186" spans="1:40">
      <c r="B186" s="70" t="s">
        <v>91</v>
      </c>
      <c r="C186" s="70" t="s">
        <v>102</v>
      </c>
      <c r="D186" s="70" t="s">
        <v>114</v>
      </c>
      <c r="E186" s="70"/>
      <c r="F186" s="70"/>
      <c r="G186" s="70"/>
      <c r="H186" s="70"/>
      <c r="I186" s="70"/>
      <c r="J186" s="70" t="s">
        <v>286</v>
      </c>
      <c r="K186" s="70"/>
      <c r="L186" s="71" t="s">
        <v>95</v>
      </c>
      <c r="M186" s="71">
        <f>data!J8</f>
        <v>30</v>
      </c>
      <c r="N186" s="72">
        <v>80424.0</v>
      </c>
      <c r="O186" s="73">
        <v>370.0</v>
      </c>
      <c r="P186" s="74">
        <v>3.0</v>
      </c>
      <c r="Q186" s="75">
        <v>17</v>
      </c>
      <c r="R186" s="76">
        <v>33</v>
      </c>
      <c r="S186" s="76">
        <v>9</v>
      </c>
      <c r="T186" s="77">
        <f>+((Q186)+(R186/60)+(S186/3600))</f>
        <v>17.5525</v>
      </c>
      <c r="U186" s="78">
        <f>IFERROR(T186/$AA186,0)</f>
        <v>0.42621259029928</v>
      </c>
      <c r="V186" s="75">
        <v>23</v>
      </c>
      <c r="W186" s="76">
        <v>37</v>
      </c>
      <c r="X186" s="76">
        <v>48</v>
      </c>
      <c r="Y186" s="77">
        <f>+((V186)+(W186/60)+(X186/3600))</f>
        <v>23.63</v>
      </c>
      <c r="Z186" s="78">
        <f>+IFERROR(Y186/$AA186,0)</f>
        <v>0.57378740970072</v>
      </c>
      <c r="AA186" s="79">
        <f>+Y186+T186</f>
        <v>41.1825</v>
      </c>
      <c r="AB186" s="80"/>
      <c r="AC186" s="81">
        <f>+IFERROR((AA186/P186),0)</f>
        <v>13.7275</v>
      </c>
      <c r="AD186" s="82">
        <f>+IFERROR($O186/$P186,0)</f>
        <v>123.33333333333</v>
      </c>
      <c r="AE186" s="76">
        <f>+IFERROR(O186/T186,0)</f>
        <v>21.079618287993</v>
      </c>
      <c r="AF186" s="83">
        <f>+IFERROR(AA186/(P186*$AE$8),0)</f>
        <v>1.7159375</v>
      </c>
      <c r="AG186" s="84">
        <f>+P186/$C$8</f>
        <v>0.1</v>
      </c>
      <c r="AH186" s="85">
        <f>+Y186*($AI$8*$AH$8)</f>
        <v>82.705</v>
      </c>
      <c r="AI186"/>
    </row>
    <row r="187" spans="1:40">
      <c r="B187" s="70" t="s">
        <v>91</v>
      </c>
      <c r="C187" s="70" t="s">
        <v>102</v>
      </c>
      <c r="D187" s="70" t="s">
        <v>112</v>
      </c>
      <c r="E187" s="70"/>
      <c r="F187" s="70"/>
      <c r="G187" s="70"/>
      <c r="H187" s="70"/>
      <c r="I187" s="70"/>
      <c r="J187" s="70" t="s">
        <v>287</v>
      </c>
      <c r="K187" s="70"/>
      <c r="L187" s="71" t="s">
        <v>95</v>
      </c>
      <c r="M187" s="71">
        <f>data!J8</f>
        <v>30</v>
      </c>
      <c r="N187" s="72">
        <v>4511.0</v>
      </c>
      <c r="O187" s="73">
        <v>22.0</v>
      </c>
      <c r="P187" s="74">
        <v>1.0</v>
      </c>
      <c r="Q187" s="75">
        <v>0</v>
      </c>
      <c r="R187" s="76">
        <v>42</v>
      </c>
      <c r="S187" s="76">
        <v>9</v>
      </c>
      <c r="T187" s="77">
        <f>+((Q187)+(R187/60)+(S187/3600))</f>
        <v>0.7025</v>
      </c>
      <c r="U187" s="78">
        <f>IFERROR(T187/$AA187,0)</f>
        <v>0.61848862802641</v>
      </c>
      <c r="V187" s="75">
        <v>0</v>
      </c>
      <c r="W187" s="76">
        <v>26</v>
      </c>
      <c r="X187" s="76">
        <v>0</v>
      </c>
      <c r="Y187" s="77">
        <f>+((V187)+(W187/60)+(X187/3600))</f>
        <v>0.43333333333333</v>
      </c>
      <c r="Z187" s="78">
        <f>+IFERROR(Y187/$AA187,0)</f>
        <v>0.38151137197359</v>
      </c>
      <c r="AA187" s="79">
        <f>+Y187+T187</f>
        <v>1.1358333333333</v>
      </c>
      <c r="AB187" s="80"/>
      <c r="AC187" s="81">
        <f>+IFERROR((AA187/P187),0)</f>
        <v>1.1358333333333</v>
      </c>
      <c r="AD187" s="82">
        <f>+IFERROR($O187/$P187,0)</f>
        <v>22</v>
      </c>
      <c r="AE187" s="76">
        <f>+IFERROR(O187/T187,0)</f>
        <v>31.316725978648</v>
      </c>
      <c r="AF187" s="83">
        <f>+IFERROR(AA187/(P187*$AE$8),0)</f>
        <v>0.14197916666667</v>
      </c>
      <c r="AG187" s="84">
        <f>+P187/$C$8</f>
        <v>0.033333333333333</v>
      </c>
      <c r="AH187" s="85">
        <f>+Y187*($AI$8*$AH$8)</f>
        <v>1.5166666666667</v>
      </c>
      <c r="AI187"/>
    </row>
    <row r="188" spans="1:40">
      <c r="B188" s="70" t="s">
        <v>91</v>
      </c>
      <c r="C188" s="70" t="s">
        <v>102</v>
      </c>
      <c r="D188" s="70" t="s">
        <v>114</v>
      </c>
      <c r="E188" s="70"/>
      <c r="F188" s="70"/>
      <c r="G188" s="70"/>
      <c r="H188" s="70"/>
      <c r="I188" s="70"/>
      <c r="J188" s="70" t="s">
        <v>288</v>
      </c>
      <c r="K188" s="70"/>
      <c r="L188" s="71" t="s">
        <v>95</v>
      </c>
      <c r="M188" s="71">
        <f>data!J8</f>
        <v>30</v>
      </c>
      <c r="N188" s="72">
        <v>74944.0</v>
      </c>
      <c r="O188" s="73">
        <v>437.0</v>
      </c>
      <c r="P188" s="74">
        <v>3.0</v>
      </c>
      <c r="Q188" s="75">
        <v>25</v>
      </c>
      <c r="R188" s="76">
        <v>34</v>
      </c>
      <c r="S188" s="76">
        <v>26</v>
      </c>
      <c r="T188" s="77">
        <f>+((Q188)+(R188/60)+(S188/3600))</f>
        <v>25.573888888889</v>
      </c>
      <c r="U188" s="78">
        <f>IFERROR(T188/$AA188,0)</f>
        <v>0.56952855808429</v>
      </c>
      <c r="V188" s="75">
        <v>19</v>
      </c>
      <c r="W188" s="76">
        <v>19</v>
      </c>
      <c r="X188" s="76">
        <v>47</v>
      </c>
      <c r="Y188" s="77">
        <f>+((V188)+(W188/60)+(X188/3600))</f>
        <v>19.329722222222</v>
      </c>
      <c r="Z188" s="78">
        <f>+IFERROR(Y188/$AA188,0)</f>
        <v>0.43047144191571</v>
      </c>
      <c r="AA188" s="79">
        <f>+Y188+T188</f>
        <v>44.903611111111</v>
      </c>
      <c r="AB188" s="80"/>
      <c r="AC188" s="81">
        <f>+IFERROR((AA188/P188),0)</f>
        <v>14.96787037037</v>
      </c>
      <c r="AD188" s="82">
        <f>+IFERROR($O188/$P188,0)</f>
        <v>145.66666666667</v>
      </c>
      <c r="AE188" s="76">
        <f>+IFERROR(O188/T188,0)</f>
        <v>17.087741402907</v>
      </c>
      <c r="AF188" s="83">
        <f>+IFERROR(AA188/(P188*$AE$8),0)</f>
        <v>1.8709837962963</v>
      </c>
      <c r="AG188" s="84">
        <f>+P188/$C$8</f>
        <v>0.1</v>
      </c>
      <c r="AH188" s="85">
        <f>+Y188*($AI$8*$AH$8)</f>
        <v>67.654027777778</v>
      </c>
      <c r="AI188"/>
    </row>
    <row r="189" spans="1:40">
      <c r="B189" s="70" t="s">
        <v>91</v>
      </c>
      <c r="C189" s="70" t="s">
        <v>102</v>
      </c>
      <c r="D189" s="70" t="s">
        <v>114</v>
      </c>
      <c r="E189" s="70"/>
      <c r="F189" s="70"/>
      <c r="G189" s="70"/>
      <c r="H189" s="70"/>
      <c r="I189" s="70"/>
      <c r="J189" s="70" t="s">
        <v>289</v>
      </c>
      <c r="K189" s="70"/>
      <c r="L189" s="71" t="s">
        <v>95</v>
      </c>
      <c r="M189" s="71">
        <f>data!J8</f>
        <v>30</v>
      </c>
      <c r="N189" s="72">
        <v>76078.0</v>
      </c>
      <c r="O189" s="73">
        <v>509.0</v>
      </c>
      <c r="P189" s="74">
        <v>3.0</v>
      </c>
      <c r="Q189" s="75">
        <v>24</v>
      </c>
      <c r="R189" s="76">
        <v>6</v>
      </c>
      <c r="S189" s="76">
        <v>38</v>
      </c>
      <c r="T189" s="77">
        <f>+((Q189)+(R189/60)+(S189/3600))</f>
        <v>24.110555555556</v>
      </c>
      <c r="U189" s="78">
        <f>IFERROR(T189/$AA189,0)</f>
        <v>0.67098021026592</v>
      </c>
      <c r="V189" s="75">
        <v>11</v>
      </c>
      <c r="W189" s="76">
        <v>49</v>
      </c>
      <c r="X189" s="76">
        <v>22</v>
      </c>
      <c r="Y189" s="77">
        <f>+((V189)+(W189/60)+(X189/3600))</f>
        <v>11.822777777778</v>
      </c>
      <c r="Z189" s="78">
        <f>+IFERROR(Y189/$AA189,0)</f>
        <v>0.32901978973408</v>
      </c>
      <c r="AA189" s="79">
        <f>+Y189+T189</f>
        <v>35.933333333333</v>
      </c>
      <c r="AB189" s="80"/>
      <c r="AC189" s="81">
        <f>+IFERROR((AA189/P189),0)</f>
        <v>11.977777777778</v>
      </c>
      <c r="AD189" s="82">
        <f>+IFERROR($O189/$P189,0)</f>
        <v>169.66666666667</v>
      </c>
      <c r="AE189" s="76">
        <f>+IFERROR(O189/T189,0)</f>
        <v>21.111085508883</v>
      </c>
      <c r="AF189" s="83">
        <f>+IFERROR(AA189/(P189*$AE$8),0)</f>
        <v>1.4972222222222</v>
      </c>
      <c r="AG189" s="84">
        <f>+P189/$C$8</f>
        <v>0.1</v>
      </c>
      <c r="AH189" s="85">
        <f>+Y189*($AI$8*$AH$8)</f>
        <v>41.379722222222</v>
      </c>
      <c r="AI189"/>
    </row>
    <row r="190" spans="1:40">
      <c r="B190" s="70" t="s">
        <v>91</v>
      </c>
      <c r="C190" s="70" t="s">
        <v>101</v>
      </c>
      <c r="D190" s="70" t="s">
        <v>113</v>
      </c>
      <c r="E190" s="70"/>
      <c r="F190" s="70"/>
      <c r="G190" s="70"/>
      <c r="H190" s="70"/>
      <c r="I190" s="70"/>
      <c r="J190" s="70" t="s">
        <v>290</v>
      </c>
      <c r="K190" s="70"/>
      <c r="L190" s="71" t="s">
        <v>95</v>
      </c>
      <c r="M190" s="71">
        <f>data!J8</f>
        <v>30</v>
      </c>
      <c r="N190" s="72">
        <v>6507.0</v>
      </c>
      <c r="O190" s="73">
        <v>325.0</v>
      </c>
      <c r="P190" s="74">
        <v>3.0</v>
      </c>
      <c r="Q190" s="75">
        <v>10</v>
      </c>
      <c r="R190" s="76">
        <v>16</v>
      </c>
      <c r="S190" s="76">
        <v>3</v>
      </c>
      <c r="T190" s="77">
        <f>+((Q190)+(R190/60)+(S190/3600))</f>
        <v>10.2675</v>
      </c>
      <c r="U190" s="78">
        <f>IFERROR(T190/$AA190,0)</f>
        <v>0.71240242844753</v>
      </c>
      <c r="V190" s="75">
        <v>4</v>
      </c>
      <c r="W190" s="76">
        <v>8</v>
      </c>
      <c r="X190" s="76">
        <v>42</v>
      </c>
      <c r="Y190" s="77">
        <f>+((V190)+(W190/60)+(X190/3600))</f>
        <v>4.145</v>
      </c>
      <c r="Z190" s="78">
        <f>+IFERROR(Y190/$AA190,0)</f>
        <v>0.28759757155247</v>
      </c>
      <c r="AA190" s="79">
        <f>+Y190+T190</f>
        <v>14.4125</v>
      </c>
      <c r="AB190" s="80"/>
      <c r="AC190" s="81">
        <f>+IFERROR((AA190/P190),0)</f>
        <v>4.8041666666667</v>
      </c>
      <c r="AD190" s="82">
        <f>+IFERROR($O190/$P190,0)</f>
        <v>108.33333333333</v>
      </c>
      <c r="AE190" s="76">
        <f>+IFERROR(O190/T190,0)</f>
        <v>31.653274896518</v>
      </c>
      <c r="AF190" s="83">
        <f>+IFERROR(AA190/(P190*$AE$8),0)</f>
        <v>0.60052083333333</v>
      </c>
      <c r="AG190" s="84">
        <f>+P190/$C$8</f>
        <v>0.1</v>
      </c>
      <c r="AH190" s="85">
        <f>+Y190*($AI$8*$AH$8)</f>
        <v>14.5075</v>
      </c>
      <c r="AI190"/>
    </row>
    <row r="191" spans="1:40">
      <c r="B191" s="70" t="s">
        <v>91</v>
      </c>
      <c r="C191" s="70" t="s">
        <v>102</v>
      </c>
      <c r="D191" s="70" t="s">
        <v>110</v>
      </c>
      <c r="E191" s="70"/>
      <c r="F191" s="70"/>
      <c r="G191" s="70"/>
      <c r="H191" s="70"/>
      <c r="I191" s="70"/>
      <c r="J191" s="70" t="s">
        <v>291</v>
      </c>
      <c r="K191" s="70"/>
      <c r="L191" s="71" t="s">
        <v>95</v>
      </c>
      <c r="M191" s="71">
        <f>data!J8</f>
        <v>30</v>
      </c>
      <c r="N191" s="72">
        <v>78168.0</v>
      </c>
      <c r="O191" s="73">
        <v>490.0</v>
      </c>
      <c r="P191" s="74">
        <v>3.0</v>
      </c>
      <c r="Q191" s="75">
        <v>17</v>
      </c>
      <c r="R191" s="76">
        <v>41</v>
      </c>
      <c r="S191" s="76">
        <v>21</v>
      </c>
      <c r="T191" s="77">
        <f>+((Q191)+(R191/60)+(S191/3600))</f>
        <v>17.689166666667</v>
      </c>
      <c r="U191" s="78">
        <f>IFERROR(T191/$AA191,0)</f>
        <v>0.44708500659946</v>
      </c>
      <c r="V191" s="75">
        <v>21</v>
      </c>
      <c r="W191" s="76">
        <v>52</v>
      </c>
      <c r="X191" s="76">
        <v>35</v>
      </c>
      <c r="Y191" s="77">
        <f>+((V191)+(W191/60)+(X191/3600))</f>
        <v>21.876388888889</v>
      </c>
      <c r="Z191" s="78">
        <f>+IFERROR(Y191/$AA191,0)</f>
        <v>0.55291499340054</v>
      </c>
      <c r="AA191" s="79">
        <f>+Y191+T191</f>
        <v>39.565555555556</v>
      </c>
      <c r="AB191" s="80"/>
      <c r="AC191" s="81">
        <f>+IFERROR((AA191/P191),0)</f>
        <v>13.188518518519</v>
      </c>
      <c r="AD191" s="82">
        <f>+IFERROR($O191/$P191,0)</f>
        <v>163.33333333333</v>
      </c>
      <c r="AE191" s="76">
        <f>+IFERROR(O191/T191,0)</f>
        <v>27.700570028737</v>
      </c>
      <c r="AF191" s="83">
        <f>+IFERROR(AA191/(P191*$AE$8),0)</f>
        <v>1.6485648148148</v>
      </c>
      <c r="AG191" s="84">
        <f>+P191/$C$8</f>
        <v>0.1</v>
      </c>
      <c r="AH191" s="85">
        <f>+Y191*($AI$8*$AH$8)</f>
        <v>76.567361111111</v>
      </c>
      <c r="AI191"/>
    </row>
    <row r="192" spans="1:40">
      <c r="B192" s="70" t="s">
        <v>91</v>
      </c>
      <c r="C192" s="70" t="s">
        <v>102</v>
      </c>
      <c r="D192" s="70" t="s">
        <v>111</v>
      </c>
      <c r="E192" s="70"/>
      <c r="F192" s="70"/>
      <c r="G192" s="70"/>
      <c r="H192" s="70"/>
      <c r="I192" s="70"/>
      <c r="J192" s="70" t="s">
        <v>292</v>
      </c>
      <c r="K192" s="70"/>
      <c r="L192" s="71" t="s">
        <v>95</v>
      </c>
      <c r="M192" s="71">
        <f>data!J8</f>
        <v>30</v>
      </c>
      <c r="N192" s="72">
        <v>0.0</v>
      </c>
      <c r="O192" s="73">
        <v>0.0</v>
      </c>
      <c r="P192" s="74">
        <v>1.0</v>
      </c>
      <c r="Q192" s="75">
        <v>0</v>
      </c>
      <c r="R192" s="76">
        <v>3</v>
      </c>
      <c r="S192" s="76">
        <v>21</v>
      </c>
      <c r="T192" s="77">
        <f>+((Q192)+(R192/60)+(S192/3600))</f>
        <v>0.055833333333333</v>
      </c>
      <c r="U192" s="78">
        <f>IFERROR(T192/$AA192,0)</f>
        <v>0.30970724191063</v>
      </c>
      <c r="V192" s="75">
        <v>0</v>
      </c>
      <c r="W192" s="76">
        <v>7</v>
      </c>
      <c r="X192" s="76">
        <v>28</v>
      </c>
      <c r="Y192" s="77">
        <f>+((V192)+(W192/60)+(X192/3600))</f>
        <v>0.12444444444444</v>
      </c>
      <c r="Z192" s="78">
        <f>+IFERROR(Y192/$AA192,0)</f>
        <v>0.69029275808937</v>
      </c>
      <c r="AA192" s="79">
        <f>+Y192+T192</f>
        <v>0.18027777777778</v>
      </c>
      <c r="AB192" s="80"/>
      <c r="AC192" s="81">
        <f>+IFERROR((AA192/P192),0)</f>
        <v>0.18027777777778</v>
      </c>
      <c r="AD192" s="82">
        <f>+IFERROR($O192/$P192,0)</f>
        <v>0</v>
      </c>
      <c r="AE192" s="76">
        <f>+IFERROR(O192/T192,0)</f>
        <v>0</v>
      </c>
      <c r="AF192" s="83">
        <f>+IFERROR(AA192/(P192*$AE$8),0)</f>
        <v>0.022534722222222</v>
      </c>
      <c r="AG192" s="84">
        <f>+P192/$C$8</f>
        <v>0.033333333333333</v>
      </c>
      <c r="AH192" s="85">
        <f>+Y192*($AI$8*$AH$8)</f>
        <v>0.43555555555556</v>
      </c>
      <c r="AI192"/>
    </row>
    <row r="193" spans="1:40">
      <c r="B193" s="70" t="s">
        <v>91</v>
      </c>
      <c r="C193" s="70" t="s">
        <v>102</v>
      </c>
      <c r="D193" s="70" t="s">
        <v>114</v>
      </c>
      <c r="E193" s="70"/>
      <c r="F193" s="70"/>
      <c r="G193" s="70"/>
      <c r="H193" s="70"/>
      <c r="I193" s="70"/>
      <c r="J193" s="70" t="s">
        <v>293</v>
      </c>
      <c r="K193" s="70"/>
      <c r="L193" s="71" t="s">
        <v>95</v>
      </c>
      <c r="M193" s="71">
        <f>data!J8</f>
        <v>30</v>
      </c>
      <c r="N193" s="72">
        <v>81315.0</v>
      </c>
      <c r="O193" s="73">
        <v>251.0</v>
      </c>
      <c r="P193" s="74">
        <v>2.0</v>
      </c>
      <c r="Q193" s="75">
        <v>10</v>
      </c>
      <c r="R193" s="76">
        <v>37</v>
      </c>
      <c r="S193" s="76">
        <v>8</v>
      </c>
      <c r="T193" s="77">
        <f>+((Q193)+(R193/60)+(S193/3600))</f>
        <v>10.618888888889</v>
      </c>
      <c r="U193" s="78">
        <f>IFERROR(T193/$AA193,0)</f>
        <v>0.41130585412565</v>
      </c>
      <c r="V193" s="75">
        <v>15</v>
      </c>
      <c r="W193" s="76">
        <v>11</v>
      </c>
      <c r="X193" s="76">
        <v>55</v>
      </c>
      <c r="Y193" s="77">
        <f>+((V193)+(W193/60)+(X193/3600))</f>
        <v>15.198611111111</v>
      </c>
      <c r="Z193" s="78">
        <f>+IFERROR(Y193/$AA193,0)</f>
        <v>0.58869414587435</v>
      </c>
      <c r="AA193" s="79">
        <f>+Y193+T193</f>
        <v>25.8175</v>
      </c>
      <c r="AB193" s="80"/>
      <c r="AC193" s="81">
        <f>+IFERROR((AA193/P193),0)</f>
        <v>12.90875</v>
      </c>
      <c r="AD193" s="82">
        <f>+IFERROR($O193/$P193,0)</f>
        <v>125.5</v>
      </c>
      <c r="AE193" s="76">
        <f>+IFERROR(O193/T193,0)</f>
        <v>23.637124620697</v>
      </c>
      <c r="AF193" s="83">
        <f>+IFERROR(AA193/(P193*$AE$8),0)</f>
        <v>1.61359375</v>
      </c>
      <c r="AG193" s="84">
        <f>+P193/$C$8</f>
        <v>0.066666666666667</v>
      </c>
      <c r="AH193" s="85">
        <f>+Y193*($AI$8*$AH$8)</f>
        <v>53.195138888889</v>
      </c>
      <c r="AI193"/>
    </row>
    <row r="194" spans="1:40">
      <c r="B194" s="70" t="s">
        <v>91</v>
      </c>
      <c r="C194" s="70" t="s">
        <v>102</v>
      </c>
      <c r="D194" s="70" t="s">
        <v>114</v>
      </c>
      <c r="E194" s="70"/>
      <c r="F194" s="70"/>
      <c r="G194" s="70"/>
      <c r="H194" s="70"/>
      <c r="I194" s="70"/>
      <c r="J194" s="70" t="s">
        <v>294</v>
      </c>
      <c r="K194" s="70"/>
      <c r="L194" s="71" t="s">
        <v>95</v>
      </c>
      <c r="M194" s="71">
        <f>data!J8</f>
        <v>30</v>
      </c>
      <c r="N194" s="72">
        <v>70830.0</v>
      </c>
      <c r="O194" s="73">
        <v>212.0</v>
      </c>
      <c r="P194" s="74">
        <v>2.0</v>
      </c>
      <c r="Q194" s="75">
        <v>11</v>
      </c>
      <c r="R194" s="76">
        <v>49</v>
      </c>
      <c r="S194" s="76">
        <v>52</v>
      </c>
      <c r="T194" s="77">
        <f>+((Q194)+(R194/60)+(S194/3600))</f>
        <v>11.831111111111</v>
      </c>
      <c r="U194" s="78">
        <f>IFERROR(T194/$AA194,0)</f>
        <v>0.47777266761641</v>
      </c>
      <c r="V194" s="75">
        <v>12</v>
      </c>
      <c r="W194" s="76">
        <v>55</v>
      </c>
      <c r="X194" s="76">
        <v>55</v>
      </c>
      <c r="Y194" s="77">
        <f>+((V194)+(W194/60)+(X194/3600))</f>
        <v>12.931944444444</v>
      </c>
      <c r="Z194" s="78">
        <f>+IFERROR(Y194/$AA194,0)</f>
        <v>0.52222733238359</v>
      </c>
      <c r="AA194" s="79">
        <f>+Y194+T194</f>
        <v>24.763055555556</v>
      </c>
      <c r="AB194" s="80"/>
      <c r="AC194" s="81">
        <f>+IFERROR((AA194/P194),0)</f>
        <v>12.381527777778</v>
      </c>
      <c r="AD194" s="82">
        <f>+IFERROR($O194/$P194,0)</f>
        <v>106</v>
      </c>
      <c r="AE194" s="76">
        <f>+IFERROR(O194/T194,0)</f>
        <v>17.918858001503</v>
      </c>
      <c r="AF194" s="83">
        <f>+IFERROR(AA194/(P194*$AE$8),0)</f>
        <v>1.5476909722222</v>
      </c>
      <c r="AG194" s="84">
        <f>+P194/$C$8</f>
        <v>0.066666666666667</v>
      </c>
      <c r="AH194" s="85">
        <f>+Y194*($AI$8*$AH$8)</f>
        <v>45.261805555556</v>
      </c>
      <c r="AI194"/>
    </row>
    <row r="195" spans="1:40">
      <c r="B195" s="70" t="s">
        <v>91</v>
      </c>
      <c r="C195" s="70" t="s">
        <v>102</v>
      </c>
      <c r="D195" s="70" t="s">
        <v>110</v>
      </c>
      <c r="E195" s="70"/>
      <c r="F195" s="70"/>
      <c r="G195" s="70"/>
      <c r="H195" s="70"/>
      <c r="I195" s="70"/>
      <c r="J195" s="70" t="s">
        <v>295</v>
      </c>
      <c r="K195" s="70"/>
      <c r="L195" s="71" t="s">
        <v>95</v>
      </c>
      <c r="M195" s="71">
        <f>data!J8</f>
        <v>30</v>
      </c>
      <c r="N195" s="72">
        <v>1617.0</v>
      </c>
      <c r="O195" s="73">
        <v>123.0</v>
      </c>
      <c r="P195" s="74">
        <v>2.0</v>
      </c>
      <c r="Q195" s="75">
        <v>6</v>
      </c>
      <c r="R195" s="76">
        <v>13</v>
      </c>
      <c r="S195" s="76">
        <v>49</v>
      </c>
      <c r="T195" s="77">
        <f>+((Q195)+(R195/60)+(S195/3600))</f>
        <v>6.2302777777778</v>
      </c>
      <c r="U195" s="78">
        <f>IFERROR(T195/$AA195,0)</f>
        <v>0.26965711262864</v>
      </c>
      <c r="V195" s="75">
        <v>16</v>
      </c>
      <c r="W195" s="76">
        <v>52</v>
      </c>
      <c r="X195" s="76">
        <v>27</v>
      </c>
      <c r="Y195" s="77">
        <f>+((V195)+(W195/60)+(X195/3600))</f>
        <v>16.874166666667</v>
      </c>
      <c r="Z195" s="78">
        <f>+IFERROR(Y195/$AA195,0)</f>
        <v>0.73034288737136</v>
      </c>
      <c r="AA195" s="79">
        <f>+Y195+T195</f>
        <v>23.104444444444</v>
      </c>
      <c r="AB195" s="80"/>
      <c r="AC195" s="81">
        <f>+IFERROR((AA195/P195),0)</f>
        <v>11.552222222222</v>
      </c>
      <c r="AD195" s="82">
        <f>+IFERROR($O195/$P195,0)</f>
        <v>61.5</v>
      </c>
      <c r="AE195" s="76">
        <f>+IFERROR(O195/T195,0)</f>
        <v>19.742297917874</v>
      </c>
      <c r="AF195" s="83">
        <f>+IFERROR(AA195/(P195*$AE$8),0)</f>
        <v>1.4440277777778</v>
      </c>
      <c r="AG195" s="84">
        <f>+P195/$C$8</f>
        <v>0.066666666666667</v>
      </c>
      <c r="AH195" s="85">
        <f>+Y195*($AI$8*$AH$8)</f>
        <v>59.059583333333</v>
      </c>
      <c r="AI195"/>
    </row>
    <row r="196" spans="1:40">
      <c r="B196" s="70" t="s">
        <v>91</v>
      </c>
      <c r="C196" s="70" t="s">
        <v>102</v>
      </c>
      <c r="D196" s="70" t="s">
        <v>110</v>
      </c>
      <c r="E196" s="70"/>
      <c r="F196" s="70"/>
      <c r="G196" s="70"/>
      <c r="H196" s="70"/>
      <c r="I196" s="70"/>
      <c r="J196" s="70" t="s">
        <v>296</v>
      </c>
      <c r="K196" s="70"/>
      <c r="L196" s="71" t="s">
        <v>95</v>
      </c>
      <c r="M196" s="71">
        <f>data!J8</f>
        <v>30</v>
      </c>
      <c r="N196" s="72">
        <v>73674.0</v>
      </c>
      <c r="O196" s="73">
        <v>194.0</v>
      </c>
      <c r="P196" s="74">
        <v>2.0</v>
      </c>
      <c r="Q196" s="75">
        <v>8</v>
      </c>
      <c r="R196" s="76">
        <v>37</v>
      </c>
      <c r="S196" s="76">
        <v>31</v>
      </c>
      <c r="T196" s="77">
        <f>+((Q196)+(R196/60)+(S196/3600))</f>
        <v>8.6252777777778</v>
      </c>
      <c r="U196" s="78">
        <f>IFERROR(T196/$AA196,0)</f>
        <v>0.48813117021946</v>
      </c>
      <c r="V196" s="75">
        <v>9</v>
      </c>
      <c r="W196" s="76">
        <v>2</v>
      </c>
      <c r="X196" s="76">
        <v>41</v>
      </c>
      <c r="Y196" s="77">
        <f>+((V196)+(W196/60)+(X196/3600))</f>
        <v>9.0447222222222</v>
      </c>
      <c r="Z196" s="78">
        <f>+IFERROR(Y196/$AA196,0)</f>
        <v>0.51186882978054</v>
      </c>
      <c r="AA196" s="79">
        <f>+Y196+T196</f>
        <v>17.67</v>
      </c>
      <c r="AB196" s="80"/>
      <c r="AC196" s="81">
        <f>+IFERROR((AA196/P196),0)</f>
        <v>8.835</v>
      </c>
      <c r="AD196" s="82">
        <f>+IFERROR($O196/$P196,0)</f>
        <v>97</v>
      </c>
      <c r="AE196" s="76">
        <f>+IFERROR(O196/T196,0)</f>
        <v>22.492029242214</v>
      </c>
      <c r="AF196" s="83">
        <f>+IFERROR(AA196/(P196*$AE$8),0)</f>
        <v>1.104375</v>
      </c>
      <c r="AG196" s="84">
        <f>+P196/$C$8</f>
        <v>0.066666666666667</v>
      </c>
      <c r="AH196" s="85">
        <f>+Y196*($AI$8*$AH$8)</f>
        <v>31.656527777778</v>
      </c>
      <c r="AI196"/>
    </row>
    <row r="197" spans="1:40">
      <c r="B197" s="70" t="s">
        <v>91</v>
      </c>
      <c r="C197" s="70" t="s">
        <v>102</v>
      </c>
      <c r="D197" s="70" t="s">
        <v>112</v>
      </c>
      <c r="E197" s="70"/>
      <c r="F197" s="70"/>
      <c r="G197" s="70"/>
      <c r="H197" s="70"/>
      <c r="I197" s="70"/>
      <c r="J197" s="70" t="s">
        <v>297</v>
      </c>
      <c r="K197" s="70"/>
      <c r="L197" s="71" t="s">
        <v>95</v>
      </c>
      <c r="M197" s="71">
        <f>data!J8</f>
        <v>30</v>
      </c>
      <c r="N197" s="72">
        <v>9314.0</v>
      </c>
      <c r="O197" s="73">
        <v>0.0</v>
      </c>
      <c r="P197" s="74">
        <v>1.0</v>
      </c>
      <c r="Q197" s="75">
        <v>0</v>
      </c>
      <c r="R197" s="76">
        <v>2</v>
      </c>
      <c r="S197" s="76">
        <v>28</v>
      </c>
      <c r="T197" s="77">
        <f>+((Q197)+(R197/60)+(S197/3600))</f>
        <v>0.041111111111111</v>
      </c>
      <c r="U197" s="78">
        <f>IFERROR(T197/$AA197,0)</f>
        <v>0.0077207992070531</v>
      </c>
      <c r="V197" s="75">
        <v>5</v>
      </c>
      <c r="W197" s="76">
        <v>17</v>
      </c>
      <c r="X197" s="76">
        <v>1</v>
      </c>
      <c r="Y197" s="77">
        <f>+((V197)+(W197/60)+(X197/3600))</f>
        <v>5.2836111111111</v>
      </c>
      <c r="Z197" s="78">
        <f>+IFERROR(Y197/$AA197,0)</f>
        <v>0.99227920079295</v>
      </c>
      <c r="AA197" s="79">
        <f>+Y197+T197</f>
        <v>5.3247222222222</v>
      </c>
      <c r="AB197" s="80"/>
      <c r="AC197" s="81">
        <f>+IFERROR((AA197/P197),0)</f>
        <v>5.3247222222222</v>
      </c>
      <c r="AD197" s="82">
        <f>+IFERROR($O197/$P197,0)</f>
        <v>0</v>
      </c>
      <c r="AE197" s="76">
        <f>+IFERROR(O197/T197,0)</f>
        <v>0</v>
      </c>
      <c r="AF197" s="83">
        <f>+IFERROR(AA197/(P197*$AE$8),0)</f>
        <v>0.66559027777778</v>
      </c>
      <c r="AG197" s="84">
        <f>+P197/$C$8</f>
        <v>0.033333333333333</v>
      </c>
      <c r="AH197" s="85">
        <f>+Y197*($AI$8*$AH$8)</f>
        <v>18.492638888889</v>
      </c>
      <c r="AI197"/>
    </row>
    <row r="198" spans="1:40">
      <c r="B198" s="70" t="s">
        <v>91</v>
      </c>
      <c r="C198" s="70" t="s">
        <v>102</v>
      </c>
      <c r="D198" s="70" t="s">
        <v>112</v>
      </c>
      <c r="E198" s="70"/>
      <c r="F198" s="70"/>
      <c r="G198" s="70"/>
      <c r="H198" s="70"/>
      <c r="I198" s="70"/>
      <c r="J198" s="70" t="s">
        <v>298</v>
      </c>
      <c r="K198" s="70"/>
      <c r="L198" s="71" t="s">
        <v>95</v>
      </c>
      <c r="M198" s="71">
        <f>data!J8</f>
        <v>30</v>
      </c>
      <c r="N198" s="72">
        <v>8652.0</v>
      </c>
      <c r="O198" s="73">
        <v>0.0</v>
      </c>
      <c r="P198" s="74">
        <v>0.0</v>
      </c>
      <c r="Q198" s="75">
        <v>0</v>
      </c>
      <c r="R198" s="76">
        <v>0</v>
      </c>
      <c r="S198" s="76">
        <v>0</v>
      </c>
      <c r="T198" s="77">
        <f>+((Q198)+(R198/60)+(S198/3600))</f>
        <v>0</v>
      </c>
      <c r="U198" s="78">
        <f>IFERROR(T198/$AA198,0)</f>
        <v>0</v>
      </c>
      <c r="V198" s="75">
        <v>0</v>
      </c>
      <c r="W198" s="76">
        <v>0</v>
      </c>
      <c r="X198" s="76">
        <v>0</v>
      </c>
      <c r="Y198" s="77">
        <f>+((V198)+(W198/60)+(X198/3600))</f>
        <v>0</v>
      </c>
      <c r="Z198" s="78">
        <f>+IFERROR(Y198/$AA198,0)</f>
        <v>0</v>
      </c>
      <c r="AA198" s="79">
        <f>+Y198+T198</f>
        <v>0</v>
      </c>
      <c r="AB198" s="80"/>
      <c r="AC198" s="81">
        <f>+IFERROR((AA198/P198),0)</f>
        <v>0</v>
      </c>
      <c r="AD198" s="82">
        <f>+IFERROR($O198/$P198,0)</f>
        <v>0</v>
      </c>
      <c r="AE198" s="76">
        <f>+IFERROR(O198/T198,0)</f>
        <v>0</v>
      </c>
      <c r="AF198" s="83">
        <f>+IFERROR(AA198/(P198*$AE$8),0)</f>
        <v>0</v>
      </c>
      <c r="AG198" s="84">
        <f>+P198/$C$8</f>
        <v>0</v>
      </c>
      <c r="AH198" s="85">
        <f>+Y198*($AI$8*$AH$8)</f>
        <v>0</v>
      </c>
      <c r="AI198"/>
    </row>
    <row r="199" spans="1:40">
      <c r="B199" s="70" t="s">
        <v>91</v>
      </c>
      <c r="C199" s="70" t="s">
        <v>102</v>
      </c>
      <c r="D199" s="70" t="s">
        <v>112</v>
      </c>
      <c r="E199" s="70"/>
      <c r="F199" s="70"/>
      <c r="G199" s="70"/>
      <c r="H199" s="70"/>
      <c r="I199" s="70"/>
      <c r="J199" s="70" t="s">
        <v>299</v>
      </c>
      <c r="K199" s="70"/>
      <c r="L199" s="71" t="s">
        <v>95</v>
      </c>
      <c r="M199" s="71">
        <f>data!J8</f>
        <v>30</v>
      </c>
      <c r="N199" s="72">
        <v>12123.0</v>
      </c>
      <c r="O199" s="73">
        <v>149.0</v>
      </c>
      <c r="P199" s="74">
        <v>2.0</v>
      </c>
      <c r="Q199" s="75">
        <v>7</v>
      </c>
      <c r="R199" s="76">
        <v>39</v>
      </c>
      <c r="S199" s="76">
        <v>53</v>
      </c>
      <c r="T199" s="77">
        <f>+((Q199)+(R199/60)+(S199/3600))</f>
        <v>7.6647222222222</v>
      </c>
      <c r="U199" s="78">
        <f>IFERROR(T199/$AA199,0)</f>
        <v>0.75773719621035</v>
      </c>
      <c r="V199" s="75">
        <v>2</v>
      </c>
      <c r="W199" s="76">
        <v>27</v>
      </c>
      <c r="X199" s="76">
        <v>2</v>
      </c>
      <c r="Y199" s="77">
        <f>+((V199)+(W199/60)+(X199/3600))</f>
        <v>2.4505555555556</v>
      </c>
      <c r="Z199" s="78">
        <f>+IFERROR(Y199/$AA199,0)</f>
        <v>0.24226280378965</v>
      </c>
      <c r="AA199" s="79">
        <f>+Y199+T199</f>
        <v>10.115277777778</v>
      </c>
      <c r="AB199" s="80"/>
      <c r="AC199" s="81">
        <f>+IFERROR((AA199/P199),0)</f>
        <v>5.0576388888889</v>
      </c>
      <c r="AD199" s="82">
        <f>+IFERROR($O199/$P199,0)</f>
        <v>74.5</v>
      </c>
      <c r="AE199" s="76">
        <f>+IFERROR(O199/T199,0)</f>
        <v>19.439712970681</v>
      </c>
      <c r="AF199" s="83">
        <f>+IFERROR(AA199/(P199*$AE$8),0)</f>
        <v>0.63220486111111</v>
      </c>
      <c r="AG199" s="84">
        <f>+P199/$C$8</f>
        <v>0.066666666666667</v>
      </c>
      <c r="AH199" s="85">
        <f>+Y199*($AI$8*$AH$8)</f>
        <v>8.5769444444444</v>
      </c>
      <c r="AI199"/>
    </row>
    <row r="200" spans="1:40">
      <c r="B200" s="70" t="s">
        <v>91</v>
      </c>
      <c r="C200" s="70" t="s">
        <v>101</v>
      </c>
      <c r="D200" s="70" t="s">
        <v>113</v>
      </c>
      <c r="E200" s="70"/>
      <c r="F200" s="70"/>
      <c r="G200" s="70"/>
      <c r="H200" s="70"/>
      <c r="I200" s="70"/>
      <c r="J200" s="70" t="s">
        <v>300</v>
      </c>
      <c r="K200" s="70"/>
      <c r="L200" s="71" t="s">
        <v>95</v>
      </c>
      <c r="M200" s="71">
        <f>data!J8</f>
        <v>30</v>
      </c>
      <c r="N200" s="72">
        <v>48569.0</v>
      </c>
      <c r="O200" s="73">
        <v>61.0</v>
      </c>
      <c r="P200" s="74">
        <v>1.0</v>
      </c>
      <c r="Q200" s="75">
        <v>2</v>
      </c>
      <c r="R200" s="76">
        <v>13</v>
      </c>
      <c r="S200" s="76">
        <v>54</v>
      </c>
      <c r="T200" s="77">
        <f>+((Q200)+(R200/60)+(S200/3600))</f>
        <v>2.2316666666667</v>
      </c>
      <c r="U200" s="78">
        <f>IFERROR(T200/$AA200,0)</f>
        <v>0.84240327146902</v>
      </c>
      <c r="V200" s="75">
        <v>0</v>
      </c>
      <c r="W200" s="76">
        <v>25</v>
      </c>
      <c r="X200" s="76">
        <v>3</v>
      </c>
      <c r="Y200" s="77">
        <f>+((V200)+(W200/60)+(X200/3600))</f>
        <v>0.4175</v>
      </c>
      <c r="Z200" s="78">
        <f>+IFERROR(Y200/$AA200,0)</f>
        <v>0.15759672853098</v>
      </c>
      <c r="AA200" s="79">
        <f>+Y200+T200</f>
        <v>2.6491666666667</v>
      </c>
      <c r="AB200" s="80"/>
      <c r="AC200" s="81">
        <f>+IFERROR((AA200/P200),0)</f>
        <v>2.6491666666667</v>
      </c>
      <c r="AD200" s="82">
        <f>+IFERROR($O200/$P200,0)</f>
        <v>61</v>
      </c>
      <c r="AE200" s="76">
        <f>+IFERROR(O200/T200,0)</f>
        <v>27.333831217326</v>
      </c>
      <c r="AF200" s="83">
        <f>+IFERROR(AA200/(P200*$AE$8),0)</f>
        <v>0.33114583333333</v>
      </c>
      <c r="AG200" s="84">
        <f>+P200/$C$8</f>
        <v>0.033333333333333</v>
      </c>
      <c r="AH200" s="85">
        <f>+Y200*($AI$8*$AH$8)</f>
        <v>1.46125</v>
      </c>
      <c r="AI200"/>
    </row>
    <row r="201" spans="1:40">
      <c r="B201" s="70" t="s">
        <v>91</v>
      </c>
      <c r="C201" s="70" t="s">
        <v>101</v>
      </c>
      <c r="D201" s="70" t="s">
        <v>109</v>
      </c>
      <c r="E201" s="70"/>
      <c r="F201" s="70"/>
      <c r="G201" s="70"/>
      <c r="H201" s="70"/>
      <c r="I201" s="70"/>
      <c r="J201" s="70" t="s">
        <v>301</v>
      </c>
      <c r="K201" s="70"/>
      <c r="L201" s="71" t="s">
        <v>95</v>
      </c>
      <c r="M201" s="71">
        <f>data!J8</f>
        <v>30</v>
      </c>
      <c r="N201" s="72">
        <v>120538.0</v>
      </c>
      <c r="O201" s="73">
        <v>88.0</v>
      </c>
      <c r="P201" s="74">
        <v>2.0</v>
      </c>
      <c r="Q201" s="75">
        <v>2</v>
      </c>
      <c r="R201" s="76">
        <v>53</v>
      </c>
      <c r="S201" s="76">
        <v>40</v>
      </c>
      <c r="T201" s="77">
        <f>+((Q201)+(R201/60)+(S201/3600))</f>
        <v>2.8944444444444</v>
      </c>
      <c r="U201" s="78">
        <f>IFERROR(T201/$AA201,0)</f>
        <v>0.86681640462524</v>
      </c>
      <c r="V201" s="75">
        <v>0</v>
      </c>
      <c r="W201" s="76">
        <v>26</v>
      </c>
      <c r="X201" s="76">
        <v>41</v>
      </c>
      <c r="Y201" s="77">
        <f>+((V201)+(W201/60)+(X201/3600))</f>
        <v>0.44472222222222</v>
      </c>
      <c r="Z201" s="78">
        <f>+IFERROR(Y201/$AA201,0)</f>
        <v>0.13318359537476</v>
      </c>
      <c r="AA201" s="79">
        <f>+Y201+T201</f>
        <v>3.3391666666667</v>
      </c>
      <c r="AB201" s="80"/>
      <c r="AC201" s="81">
        <f>+IFERROR((AA201/P201),0)</f>
        <v>1.6695833333333</v>
      </c>
      <c r="AD201" s="82">
        <f>+IFERROR($O201/$P201,0)</f>
        <v>44</v>
      </c>
      <c r="AE201" s="76">
        <f>+IFERROR(O201/T201,0)</f>
        <v>30.403071017274</v>
      </c>
      <c r="AF201" s="83">
        <f>+IFERROR(AA201/(P201*$AE$8),0)</f>
        <v>0.20869791666667</v>
      </c>
      <c r="AG201" s="84">
        <f>+P201/$C$8</f>
        <v>0.066666666666667</v>
      </c>
      <c r="AH201" s="85">
        <f>+Y201*($AI$8*$AH$8)</f>
        <v>1.5565277777778</v>
      </c>
      <c r="AI201"/>
    </row>
    <row r="202" spans="1:40">
      <c r="B202" s="70" t="s">
        <v>91</v>
      </c>
      <c r="C202" s="70" t="s">
        <v>101</v>
      </c>
      <c r="D202" s="70" t="s">
        <v>109</v>
      </c>
      <c r="E202" s="70"/>
      <c r="F202" s="70"/>
      <c r="G202" s="70"/>
      <c r="H202" s="70"/>
      <c r="I202" s="70"/>
      <c r="J202" s="70" t="s">
        <v>302</v>
      </c>
      <c r="K202" s="70"/>
      <c r="L202" s="71" t="s">
        <v>95</v>
      </c>
      <c r="M202" s="71">
        <f>data!J8</f>
        <v>30</v>
      </c>
      <c r="N202" s="72">
        <v>168068.0</v>
      </c>
      <c r="O202" s="73">
        <v>0.0</v>
      </c>
      <c r="P202" s="74">
        <v>1.0</v>
      </c>
      <c r="Q202" s="75">
        <v>0</v>
      </c>
      <c r="R202" s="76">
        <v>0</v>
      </c>
      <c r="S202" s="76">
        <v>1</v>
      </c>
      <c r="T202" s="77">
        <f>+((Q202)+(R202/60)+(S202/3600))</f>
        <v>0.00027777777777778</v>
      </c>
      <c r="U202" s="78">
        <f>IFERROR(T202/$AA202,0)</f>
        <v>1</v>
      </c>
      <c r="V202" s="75">
        <v>0</v>
      </c>
      <c r="W202" s="76">
        <v>0</v>
      </c>
      <c r="X202" s="76">
        <v>0</v>
      </c>
      <c r="Y202" s="77">
        <f>+((V202)+(W202/60)+(X202/3600))</f>
        <v>0</v>
      </c>
      <c r="Z202" s="78">
        <f>+IFERROR(Y202/$AA202,0)</f>
        <v>0</v>
      </c>
      <c r="AA202" s="79">
        <f>+Y202+T202</f>
        <v>0.00027777777777778</v>
      </c>
      <c r="AB202" s="80"/>
      <c r="AC202" s="81">
        <f>+IFERROR((AA202/P202),0)</f>
        <v>0.00027777777777778</v>
      </c>
      <c r="AD202" s="82">
        <f>+IFERROR($O202/$P202,0)</f>
        <v>0</v>
      </c>
      <c r="AE202" s="76">
        <f>+IFERROR(O202/T202,0)</f>
        <v>0</v>
      </c>
      <c r="AF202" s="83">
        <f>+IFERROR(AA202/(P202*$AE$8),0)</f>
        <v>3.4722222222222E-5</v>
      </c>
      <c r="AG202" s="84">
        <f>+P202/$C$8</f>
        <v>0.033333333333333</v>
      </c>
      <c r="AH202" s="85">
        <f>+Y202*($AI$8*$AH$8)</f>
        <v>0</v>
      </c>
      <c r="AI202"/>
    </row>
    <row r="203" spans="1:40">
      <c r="B203" s="70" t="s">
        <v>91</v>
      </c>
      <c r="C203" s="70" t="s">
        <v>101</v>
      </c>
      <c r="D203" s="70" t="s">
        <v>109</v>
      </c>
      <c r="E203" s="70"/>
      <c r="F203" s="70"/>
      <c r="G203" s="70"/>
      <c r="H203" s="70"/>
      <c r="I203" s="70"/>
      <c r="J203" s="70" t="s">
        <v>303</v>
      </c>
      <c r="K203" s="70"/>
      <c r="L203" s="71" t="s">
        <v>95</v>
      </c>
      <c r="M203" s="71">
        <f>data!J8</f>
        <v>30</v>
      </c>
      <c r="N203" s="72">
        <v>54843.0</v>
      </c>
      <c r="O203" s="73">
        <v>142.0</v>
      </c>
      <c r="P203" s="74">
        <v>2.0</v>
      </c>
      <c r="Q203" s="75">
        <v>4</v>
      </c>
      <c r="R203" s="76">
        <v>59</v>
      </c>
      <c r="S203" s="76">
        <v>0</v>
      </c>
      <c r="T203" s="77">
        <f>+((Q203)+(R203/60)+(S203/3600))</f>
        <v>4.9833333333333</v>
      </c>
      <c r="U203" s="78">
        <f>IFERROR(T203/$AA203,0)</f>
        <v>0.99390581717452</v>
      </c>
      <c r="V203" s="75">
        <v>0</v>
      </c>
      <c r="W203" s="76">
        <v>1</v>
      </c>
      <c r="X203" s="76">
        <v>50</v>
      </c>
      <c r="Y203" s="77">
        <f>+((V203)+(W203/60)+(X203/3600))</f>
        <v>0.030555555555556</v>
      </c>
      <c r="Z203" s="78">
        <f>+IFERROR(Y203/$AA203,0)</f>
        <v>0.0060941828254848</v>
      </c>
      <c r="AA203" s="79">
        <f>+Y203+T203</f>
        <v>5.0138888888889</v>
      </c>
      <c r="AB203" s="80"/>
      <c r="AC203" s="81">
        <f>+IFERROR((AA203/P203),0)</f>
        <v>2.5069444444444</v>
      </c>
      <c r="AD203" s="82">
        <f>+IFERROR($O203/$P203,0)</f>
        <v>71</v>
      </c>
      <c r="AE203" s="76">
        <f>+IFERROR(O203/T203,0)</f>
        <v>28.494983277592</v>
      </c>
      <c r="AF203" s="83">
        <f>+IFERROR(AA203/(P203*$AE$8),0)</f>
        <v>0.31336805555556</v>
      </c>
      <c r="AG203" s="84">
        <f>+P203/$C$8</f>
        <v>0.066666666666667</v>
      </c>
      <c r="AH203" s="85">
        <f>+Y203*($AI$8*$AH$8)</f>
        <v>0.10694444444444</v>
      </c>
      <c r="AI203"/>
    </row>
    <row r="204" spans="1:40">
      <c r="B204" s="70" t="s">
        <v>91</v>
      </c>
      <c r="C204" s="70" t="s">
        <v>102</v>
      </c>
      <c r="D204" s="70" t="s">
        <v>114</v>
      </c>
      <c r="E204" s="70"/>
      <c r="F204" s="70"/>
      <c r="G204" s="70"/>
      <c r="H204" s="70"/>
      <c r="I204" s="70"/>
      <c r="J204" s="70" t="s">
        <v>304</v>
      </c>
      <c r="K204" s="70"/>
      <c r="L204" s="71" t="s">
        <v>95</v>
      </c>
      <c r="M204" s="71">
        <f>data!J8</f>
        <v>30</v>
      </c>
      <c r="N204" s="72">
        <v>76620.0</v>
      </c>
      <c r="O204" s="73">
        <v>1.0</v>
      </c>
      <c r="P204" s="74">
        <v>2.0</v>
      </c>
      <c r="Q204" s="75">
        <v>0</v>
      </c>
      <c r="R204" s="76">
        <v>11</v>
      </c>
      <c r="S204" s="76">
        <v>7</v>
      </c>
      <c r="T204" s="77">
        <f>+((Q204)+(R204/60)+(S204/3600))</f>
        <v>0.18527777777778</v>
      </c>
      <c r="U204" s="78">
        <f>IFERROR(T204/$AA204,0)</f>
        <v>0.6370582617001</v>
      </c>
      <c r="V204" s="75">
        <v>0</v>
      </c>
      <c r="W204" s="76">
        <v>6</v>
      </c>
      <c r="X204" s="76">
        <v>20</v>
      </c>
      <c r="Y204" s="77">
        <f>+((V204)+(W204/60)+(X204/3600))</f>
        <v>0.10555555555556</v>
      </c>
      <c r="Z204" s="78">
        <f>+IFERROR(Y204/$AA204,0)</f>
        <v>0.3629417382999</v>
      </c>
      <c r="AA204" s="79">
        <f>+Y204+T204</f>
        <v>0.29083333333333</v>
      </c>
      <c r="AB204" s="80"/>
      <c r="AC204" s="81">
        <f>+IFERROR((AA204/P204),0)</f>
        <v>0.14541666666667</v>
      </c>
      <c r="AD204" s="82">
        <f>+IFERROR($O204/$P204,0)</f>
        <v>0.5</v>
      </c>
      <c r="AE204" s="76">
        <f>+IFERROR(O204/T204,0)</f>
        <v>5.3973013493253</v>
      </c>
      <c r="AF204" s="83">
        <f>+IFERROR(AA204/(P204*$AE$8),0)</f>
        <v>0.018177083333333</v>
      </c>
      <c r="AG204" s="84">
        <f>+P204/$C$8</f>
        <v>0.066666666666667</v>
      </c>
      <c r="AH204" s="85">
        <f>+Y204*($AI$8*$AH$8)</f>
        <v>0.36944444444444</v>
      </c>
      <c r="AI204"/>
    </row>
    <row r="205" spans="1:40">
      <c r="B205" s="70" t="s">
        <v>91</v>
      </c>
      <c r="C205" s="70" t="s">
        <v>101</v>
      </c>
      <c r="D205" s="70" t="s">
        <v>108</v>
      </c>
      <c r="E205" s="70"/>
      <c r="F205" s="70"/>
      <c r="G205" s="70"/>
      <c r="H205" s="70"/>
      <c r="I205" s="70"/>
      <c r="J205" s="70" t="s">
        <v>305</v>
      </c>
      <c r="K205" s="70"/>
      <c r="L205" s="71" t="s">
        <v>95</v>
      </c>
      <c r="M205" s="71">
        <f>data!J8</f>
        <v>30</v>
      </c>
      <c r="N205" s="72">
        <v>153184.0</v>
      </c>
      <c r="O205" s="73">
        <v>161.0</v>
      </c>
      <c r="P205" s="74">
        <v>2.0</v>
      </c>
      <c r="Q205" s="75">
        <v>8</v>
      </c>
      <c r="R205" s="76">
        <v>49</v>
      </c>
      <c r="S205" s="76">
        <v>13</v>
      </c>
      <c r="T205" s="77">
        <f>+((Q205)+(R205/60)+(S205/3600))</f>
        <v>8.8202777777778</v>
      </c>
      <c r="U205" s="78">
        <f>IFERROR(T205/$AA205,0)</f>
        <v>0.57204366938099</v>
      </c>
      <c r="V205" s="75">
        <v>6</v>
      </c>
      <c r="W205" s="76">
        <v>35</v>
      </c>
      <c r="X205" s="76">
        <v>55</v>
      </c>
      <c r="Y205" s="77">
        <f>+((V205)+(W205/60)+(X205/3600))</f>
        <v>6.5986111111111</v>
      </c>
      <c r="Z205" s="78">
        <f>+IFERROR(Y205/$AA205,0)</f>
        <v>0.42795633061901</v>
      </c>
      <c r="AA205" s="79">
        <f>+Y205+T205</f>
        <v>15.418888888889</v>
      </c>
      <c r="AB205" s="80"/>
      <c r="AC205" s="81">
        <f>+IFERROR((AA205/P205),0)</f>
        <v>7.7094444444444</v>
      </c>
      <c r="AD205" s="82">
        <f>+IFERROR($O205/$P205,0)</f>
        <v>80.5</v>
      </c>
      <c r="AE205" s="76">
        <f>+IFERROR(O205/T205,0)</f>
        <v>18.253393380153</v>
      </c>
      <c r="AF205" s="83">
        <f>+IFERROR(AA205/(P205*$AE$8),0)</f>
        <v>0.96368055555556</v>
      </c>
      <c r="AG205" s="84">
        <f>+P205/$C$8</f>
        <v>0.066666666666667</v>
      </c>
      <c r="AH205" s="85">
        <f>+Y205*($AI$8*$AH$8)</f>
        <v>23.095138888889</v>
      </c>
      <c r="AI205"/>
    </row>
    <row r="206" spans="1:40">
      <c r="B206" s="70" t="s">
        <v>91</v>
      </c>
      <c r="C206" s="70" t="s">
        <v>96</v>
      </c>
      <c r="D206" s="70" t="s">
        <v>97</v>
      </c>
      <c r="E206" s="70"/>
      <c r="F206" s="70"/>
      <c r="G206" s="70"/>
      <c r="H206" s="70"/>
      <c r="I206" s="70"/>
      <c r="J206" s="70" t="s">
        <v>306</v>
      </c>
      <c r="K206" s="70"/>
      <c r="L206" s="71" t="s">
        <v>95</v>
      </c>
      <c r="M206" s="71">
        <f>data!J8</f>
        <v>30</v>
      </c>
      <c r="N206" s="72">
        <v>69150.0</v>
      </c>
      <c r="O206" s="73">
        <v>2939.0</v>
      </c>
      <c r="P206" s="74">
        <v>23.0</v>
      </c>
      <c r="Q206" s="75">
        <v>66</v>
      </c>
      <c r="R206" s="76">
        <v>6</v>
      </c>
      <c r="S206" s="76">
        <v>58</v>
      </c>
      <c r="T206" s="77">
        <f>+((Q206)+(R206/60)+(S206/3600))</f>
        <v>66.116111111111</v>
      </c>
      <c r="U206" s="78">
        <f>IFERROR(T206/$AA206,0)</f>
        <v>0.94894806297668</v>
      </c>
      <c r="V206" s="75">
        <v>3</v>
      </c>
      <c r="W206" s="76">
        <v>33</v>
      </c>
      <c r="X206" s="76">
        <v>25</v>
      </c>
      <c r="Y206" s="77">
        <f>+((V206)+(W206/60)+(X206/3600))</f>
        <v>3.5569444444444</v>
      </c>
      <c r="Z206" s="78">
        <f>+IFERROR(Y206/$AA206,0)</f>
        <v>0.051051937023319</v>
      </c>
      <c r="AA206" s="79">
        <f>+Y206+T206</f>
        <v>69.673055555556</v>
      </c>
      <c r="AB206" s="80"/>
      <c r="AC206" s="81">
        <f>+IFERROR((AA206/P206),0)</f>
        <v>3.0292632850242</v>
      </c>
      <c r="AD206" s="82">
        <f>+IFERROR($O206/$P206,0)</f>
        <v>127.78260869565</v>
      </c>
      <c r="AE206" s="76">
        <f>+IFERROR(O206/T206,0)</f>
        <v>44.452100261325</v>
      </c>
      <c r="AF206" s="83">
        <f>+IFERROR(AA206/(P206*$AE$8),0)</f>
        <v>0.37865791062802</v>
      </c>
      <c r="AG206" s="84">
        <f>+P206/$C$8</f>
        <v>0.76666666666667</v>
      </c>
      <c r="AH206" s="85">
        <f>+Y206*($AI$8*$AH$8)</f>
        <v>12.449305555556</v>
      </c>
      <c r="AI206"/>
    </row>
    <row r="207" spans="1:40">
      <c r="B207" s="70" t="s">
        <v>91</v>
      </c>
      <c r="C207" s="70" t="s">
        <v>99</v>
      </c>
      <c r="D207" s="70" t="s">
        <v>116</v>
      </c>
      <c r="E207" s="70"/>
      <c r="F207" s="70"/>
      <c r="G207" s="70"/>
      <c r="H207" s="70"/>
      <c r="I207" s="70"/>
      <c r="J207" s="70" t="s">
        <v>307</v>
      </c>
      <c r="K207" s="70" t="s">
        <v>323</v>
      </c>
      <c r="L207" s="71" t="s">
        <v>95</v>
      </c>
      <c r="M207" s="71">
        <f>data!J8</f>
        <v>30</v>
      </c>
      <c r="N207" s="72">
        <v>40793.0</v>
      </c>
      <c r="O207" s="73">
        <v>929.0</v>
      </c>
      <c r="P207" s="74">
        <v>20.0</v>
      </c>
      <c r="Q207" s="75">
        <v>37</v>
      </c>
      <c r="R207" s="76">
        <v>20</v>
      </c>
      <c r="S207" s="76">
        <v>59</v>
      </c>
      <c r="T207" s="77">
        <f>+((Q207)+(R207/60)+(S207/3600))</f>
        <v>37.349722222222</v>
      </c>
      <c r="U207" s="78">
        <f>IFERROR(T207/$AA207,0)</f>
        <v>0.76842057137632</v>
      </c>
      <c r="V207" s="75">
        <v>11</v>
      </c>
      <c r="W207" s="76">
        <v>15</v>
      </c>
      <c r="X207" s="76">
        <v>22</v>
      </c>
      <c r="Y207" s="77">
        <f>+((V207)+(W207/60)+(X207/3600))</f>
        <v>11.256111111111</v>
      </c>
      <c r="Z207" s="78">
        <f>+IFERROR(Y207/$AA207,0)</f>
        <v>0.23157942862368</v>
      </c>
      <c r="AA207" s="79">
        <f>+Y207+T207</f>
        <v>48.605833333333</v>
      </c>
      <c r="AB207" s="80"/>
      <c r="AC207" s="81">
        <f>+IFERROR((AA207/P207),0)</f>
        <v>2.4302916666667</v>
      </c>
      <c r="AD207" s="82">
        <f>+IFERROR($O207/$P207,0)</f>
        <v>46.45</v>
      </c>
      <c r="AE207" s="76">
        <f>+IFERROR(O207/T207,0)</f>
        <v>24.873009616314</v>
      </c>
      <c r="AF207" s="83">
        <f>+IFERROR(AA207/(P207*$AE$8),0)</f>
        <v>0.30378645833333</v>
      </c>
      <c r="AG207" s="84">
        <f>+P207/$C$8</f>
        <v>0.66666666666667</v>
      </c>
      <c r="AH207" s="85">
        <f>+Y207*($AI$8*$AH$8)</f>
        <v>39.396388888889</v>
      </c>
      <c r="AI207"/>
    </row>
    <row r="208" spans="1:40">
      <c r="B208" s="70" t="s">
        <v>91</v>
      </c>
      <c r="C208" s="70" t="s">
        <v>101</v>
      </c>
      <c r="D208" s="70" t="s">
        <v>108</v>
      </c>
      <c r="E208" s="70"/>
      <c r="F208" s="70"/>
      <c r="G208" s="70"/>
      <c r="H208" s="70"/>
      <c r="I208" s="70"/>
      <c r="J208" s="70" t="s">
        <v>308</v>
      </c>
      <c r="K208" s="70"/>
      <c r="L208" s="71" t="s">
        <v>95</v>
      </c>
      <c r="M208" s="71">
        <f>data!J8</f>
        <v>30</v>
      </c>
      <c r="N208" s="72">
        <v>69990.0</v>
      </c>
      <c r="O208" s="73">
        <v>2997.0</v>
      </c>
      <c r="P208" s="74">
        <v>27.0</v>
      </c>
      <c r="Q208" s="75">
        <v>88</v>
      </c>
      <c r="R208" s="76">
        <v>29</v>
      </c>
      <c r="S208" s="76">
        <v>53</v>
      </c>
      <c r="T208" s="77">
        <f>+((Q208)+(R208/60)+(S208/3600))</f>
        <v>88.498055555556</v>
      </c>
      <c r="U208" s="78">
        <f>IFERROR(T208/$AA208,0)</f>
        <v>0.80342813623778</v>
      </c>
      <c r="V208" s="75">
        <v>21</v>
      </c>
      <c r="W208" s="76">
        <v>39</v>
      </c>
      <c r="X208" s="76">
        <v>9</v>
      </c>
      <c r="Y208" s="77">
        <f>+((V208)+(W208/60)+(X208/3600))</f>
        <v>21.6525</v>
      </c>
      <c r="Z208" s="78">
        <f>+IFERROR(Y208/$AA208,0)</f>
        <v>0.19657186376222</v>
      </c>
      <c r="AA208" s="79">
        <f>+Y208+T208</f>
        <v>110.15055555556</v>
      </c>
      <c r="AB208" s="80"/>
      <c r="AC208" s="81">
        <f>+IFERROR((AA208/P208),0)</f>
        <v>4.0796502057613</v>
      </c>
      <c r="AD208" s="82">
        <f>+IFERROR($O208/$P208,0)</f>
        <v>111</v>
      </c>
      <c r="AE208" s="76">
        <f>+IFERROR(O208/T208,0)</f>
        <v>33.865150835078</v>
      </c>
      <c r="AF208" s="83">
        <f>+IFERROR(AA208/(P208*$AE$8),0)</f>
        <v>0.50995627572016</v>
      </c>
      <c r="AG208" s="84">
        <f>+P208/$C$8</f>
        <v>0.9</v>
      </c>
      <c r="AH208" s="85">
        <f>+Y208*($AI$8*$AH$8)</f>
        <v>75.78375</v>
      </c>
      <c r="AI208"/>
    </row>
    <row r="209" spans="1:40">
      <c r="B209" s="70" t="s">
        <v>91</v>
      </c>
      <c r="C209" s="70" t="s">
        <v>92</v>
      </c>
      <c r="D209" s="70" t="s">
        <v>117</v>
      </c>
      <c r="E209" s="70"/>
      <c r="F209" s="70"/>
      <c r="G209" s="70"/>
      <c r="H209" s="70"/>
      <c r="I209" s="70"/>
      <c r="J209" s="70" t="s">
        <v>309</v>
      </c>
      <c r="K209" s="70"/>
      <c r="L209" s="71" t="s">
        <v>95</v>
      </c>
      <c r="M209" s="71">
        <f>data!J8</f>
        <v>30</v>
      </c>
      <c r="N209" s="72">
        <v>10484.0</v>
      </c>
      <c r="O209" s="73">
        <v>3376.0</v>
      </c>
      <c r="P209" s="74">
        <v>30.0</v>
      </c>
      <c r="Q209" s="75">
        <v>165</v>
      </c>
      <c r="R209" s="76">
        <v>25</v>
      </c>
      <c r="S209" s="76">
        <v>23</v>
      </c>
      <c r="T209" s="77">
        <f>+((Q209)+(R209/60)+(S209/3600))</f>
        <v>165.42305555556</v>
      </c>
      <c r="U209" s="78">
        <f>IFERROR(T209/$AA209,0)</f>
        <v>0.75114717375236</v>
      </c>
      <c r="V209" s="75">
        <v>54</v>
      </c>
      <c r="W209" s="76">
        <v>48</v>
      </c>
      <c r="X209" s="76">
        <v>15</v>
      </c>
      <c r="Y209" s="77">
        <f>+((V209)+(W209/60)+(X209/3600))</f>
        <v>54.804166666667</v>
      </c>
      <c r="Z209" s="78">
        <f>+IFERROR(Y209/$AA209,0)</f>
        <v>0.24885282624764</v>
      </c>
      <c r="AA209" s="79">
        <f>+Y209+T209</f>
        <v>220.22722222222</v>
      </c>
      <c r="AB209" s="80"/>
      <c r="AC209" s="81">
        <f>+IFERROR((AA209/P209),0)</f>
        <v>7.3409074074074</v>
      </c>
      <c r="AD209" s="82">
        <f>+IFERROR($O209/$P209,0)</f>
        <v>112.53333333333</v>
      </c>
      <c r="AE209" s="76">
        <f>+IFERROR(O209/T209,0)</f>
        <v>20.408279780966</v>
      </c>
      <c r="AF209" s="83">
        <f>+IFERROR(AA209/(P209*$AE$8),0)</f>
        <v>0.91761342592593</v>
      </c>
      <c r="AG209" s="84">
        <f>+P209/$C$8</f>
        <v>1</v>
      </c>
      <c r="AH209" s="85">
        <f>+Y209*($AI$8*$AH$8)</f>
        <v>191.81458333333</v>
      </c>
      <c r="AI209"/>
    </row>
    <row r="210" spans="1:40">
      <c r="B210" s="70" t="s">
        <v>91</v>
      </c>
      <c r="C210" s="70" t="s">
        <v>92</v>
      </c>
      <c r="D210" s="70" t="s">
        <v>117</v>
      </c>
      <c r="E210" s="70"/>
      <c r="F210" s="70"/>
      <c r="G210" s="70"/>
      <c r="H210" s="70"/>
      <c r="I210" s="70"/>
      <c r="J210" s="70" t="s">
        <v>310</v>
      </c>
      <c r="K210" s="70"/>
      <c r="L210" s="71" t="s">
        <v>95</v>
      </c>
      <c r="M210" s="71">
        <f>data!J8</f>
        <v>30</v>
      </c>
      <c r="N210" s="72">
        <v>16570.0</v>
      </c>
      <c r="O210" s="73">
        <v>5937.0</v>
      </c>
      <c r="P210" s="74">
        <v>30.0</v>
      </c>
      <c r="Q210" s="75">
        <v>290</v>
      </c>
      <c r="R210" s="76">
        <v>46</v>
      </c>
      <c r="S210" s="76">
        <v>20</v>
      </c>
      <c r="T210" s="77">
        <f>+((Q210)+(R210/60)+(S210/3600))</f>
        <v>290.77222222222</v>
      </c>
      <c r="U210" s="78">
        <f>IFERROR(T210/$AA210,0)</f>
        <v>0.8365265742911</v>
      </c>
      <c r="V210" s="75">
        <v>56</v>
      </c>
      <c r="W210" s="76">
        <v>49</v>
      </c>
      <c r="X210" s="76">
        <v>21</v>
      </c>
      <c r="Y210" s="77">
        <f>+((V210)+(W210/60)+(X210/3600))</f>
        <v>56.8225</v>
      </c>
      <c r="Z210" s="78">
        <f>+IFERROR(Y210/$AA210,0)</f>
        <v>0.1634734257089</v>
      </c>
      <c r="AA210" s="79">
        <f>+Y210+T210</f>
        <v>347.59472222222</v>
      </c>
      <c r="AB210" s="80"/>
      <c r="AC210" s="81">
        <f>+IFERROR((AA210/P210),0)</f>
        <v>11.586490740741</v>
      </c>
      <c r="AD210" s="82">
        <f>+IFERROR($O210/$P210,0)</f>
        <v>197.9</v>
      </c>
      <c r="AE210" s="76">
        <f>+IFERROR(O210/T210,0)</f>
        <v>20.418043906074</v>
      </c>
      <c r="AF210" s="83">
        <f>+IFERROR(AA210/(P210*$AE$8),0)</f>
        <v>1.4483113425926</v>
      </c>
      <c r="AG210" s="84">
        <f>+P210/$C$8</f>
        <v>1</v>
      </c>
      <c r="AH210" s="85">
        <f>+Y210*($AI$8*$AH$8)</f>
        <v>198.87875</v>
      </c>
      <c r="AI210"/>
    </row>
    <row r="211" spans="1:40">
      <c r="B211" s="70" t="s">
        <v>91</v>
      </c>
      <c r="C211" s="70" t="s">
        <v>92</v>
      </c>
      <c r="D211" s="70" t="s">
        <v>117</v>
      </c>
      <c r="E211" s="70"/>
      <c r="F211" s="70"/>
      <c r="G211" s="70"/>
      <c r="H211" s="70"/>
      <c r="I211" s="70"/>
      <c r="J211" s="70" t="s">
        <v>311</v>
      </c>
      <c r="K211" s="70"/>
      <c r="L211" s="71" t="s">
        <v>95</v>
      </c>
      <c r="M211" s="71">
        <f>data!J8</f>
        <v>30</v>
      </c>
      <c r="N211" s="72">
        <v>5225.0</v>
      </c>
      <c r="O211" s="73">
        <v>1591.0</v>
      </c>
      <c r="P211" s="74">
        <v>30.0</v>
      </c>
      <c r="Q211" s="75">
        <v>106</v>
      </c>
      <c r="R211" s="76">
        <v>1</v>
      </c>
      <c r="S211" s="76">
        <v>56</v>
      </c>
      <c r="T211" s="77">
        <f>+((Q211)+(R211/60)+(S211/3600))</f>
        <v>106.03222222222</v>
      </c>
      <c r="U211" s="78">
        <f>IFERROR(T211/$AA211,0)</f>
        <v>0.84724108847161</v>
      </c>
      <c r="V211" s="75">
        <v>19</v>
      </c>
      <c r="W211" s="76">
        <v>7</v>
      </c>
      <c r="X211" s="76">
        <v>4</v>
      </c>
      <c r="Y211" s="77">
        <f>+((V211)+(W211/60)+(X211/3600))</f>
        <v>19.117777777778</v>
      </c>
      <c r="Z211" s="78">
        <f>+IFERROR(Y211/$AA211,0)</f>
        <v>0.15275891152839</v>
      </c>
      <c r="AA211" s="79">
        <f>+Y211+T211</f>
        <v>125.15</v>
      </c>
      <c r="AB211" s="80"/>
      <c r="AC211" s="81">
        <f>+IFERROR((AA211/P211),0)</f>
        <v>4.1716666666667</v>
      </c>
      <c r="AD211" s="82">
        <f>+IFERROR($O211/$P211,0)</f>
        <v>53.033333333333</v>
      </c>
      <c r="AE211" s="76">
        <f>+IFERROR(O211/T211,0)</f>
        <v>15.004872732607</v>
      </c>
      <c r="AF211" s="83">
        <f>+IFERROR(AA211/(P211*$AE$8),0)</f>
        <v>0.52145833333333</v>
      </c>
      <c r="AG211" s="84">
        <f>+P211/$C$8</f>
        <v>1</v>
      </c>
      <c r="AH211" s="85">
        <f>+Y211*($AI$8*$AH$8)</f>
        <v>66.912222222222</v>
      </c>
      <c r="AI211"/>
    </row>
    <row r="212" spans="1:40">
      <c r="B212" s="70" t="s">
        <v>91</v>
      </c>
      <c r="C212" s="70" t="s">
        <v>92</v>
      </c>
      <c r="D212" s="70" t="s">
        <v>117</v>
      </c>
      <c r="E212" s="70"/>
      <c r="F212" s="70"/>
      <c r="G212" s="70"/>
      <c r="H212" s="70"/>
      <c r="I212" s="70"/>
      <c r="J212" s="70" t="s">
        <v>312</v>
      </c>
      <c r="K212" s="70"/>
      <c r="L212" s="71" t="s">
        <v>95</v>
      </c>
      <c r="M212" s="71">
        <f>data!J8</f>
        <v>30</v>
      </c>
      <c r="N212" s="72">
        <v>17762.0</v>
      </c>
      <c r="O212" s="73">
        <v>5750.0</v>
      </c>
      <c r="P212" s="74">
        <v>30.0</v>
      </c>
      <c r="Q212" s="75">
        <v>316</v>
      </c>
      <c r="R212" s="76">
        <v>15</v>
      </c>
      <c r="S212" s="76">
        <v>4</v>
      </c>
      <c r="T212" s="77">
        <f>+((Q212)+(R212/60)+(S212/3600))</f>
        <v>316.25111111111</v>
      </c>
      <c r="U212" s="78">
        <f>IFERROR(T212/$AA212,0)</f>
        <v>0.76175259352931</v>
      </c>
      <c r="V212" s="75">
        <v>98</v>
      </c>
      <c r="W212" s="76">
        <v>54</v>
      </c>
      <c r="X212" s="76">
        <v>41</v>
      </c>
      <c r="Y212" s="77">
        <f>+((V212)+(W212/60)+(X212/3600))</f>
        <v>98.911388888889</v>
      </c>
      <c r="Z212" s="78">
        <f>+IFERROR(Y212/$AA212,0)</f>
        <v>0.23824740647069</v>
      </c>
      <c r="AA212" s="79">
        <f>+Y212+T212</f>
        <v>415.1625</v>
      </c>
      <c r="AB212" s="80"/>
      <c r="AC212" s="81">
        <f>+IFERROR((AA212/P212),0)</f>
        <v>13.83875</v>
      </c>
      <c r="AD212" s="82">
        <f>+IFERROR($O212/$P212,0)</f>
        <v>191.66666666667</v>
      </c>
      <c r="AE212" s="76">
        <f>+IFERROR(O212/T212,0)</f>
        <v>18.181754302137</v>
      </c>
      <c r="AF212" s="83">
        <f>+IFERROR(AA212/(P212*$AE$8),0)</f>
        <v>1.72984375</v>
      </c>
      <c r="AG212" s="84">
        <f>+P212/$C$8</f>
        <v>1</v>
      </c>
      <c r="AH212" s="85">
        <f>+Y212*($AI$8*$AH$8)</f>
        <v>346.18986111111</v>
      </c>
      <c r="AI212"/>
    </row>
    <row r="213" spans="1:40">
      <c r="B213" s="70" t="s">
        <v>91</v>
      </c>
      <c r="C213" s="70" t="s">
        <v>92</v>
      </c>
      <c r="D213" s="70" t="s">
        <v>117</v>
      </c>
      <c r="E213" s="70"/>
      <c r="F213" s="70"/>
      <c r="G213" s="70"/>
      <c r="H213" s="70"/>
      <c r="I213" s="70"/>
      <c r="J213" s="70" t="s">
        <v>313</v>
      </c>
      <c r="K213" s="70" t="s">
        <v>324</v>
      </c>
      <c r="L213" s="71" t="s">
        <v>95</v>
      </c>
      <c r="M213" s="71">
        <f>data!J8</f>
        <v>30</v>
      </c>
      <c r="N213" s="72">
        <v>6136.0</v>
      </c>
      <c r="O213" s="73">
        <v>2426.0</v>
      </c>
      <c r="P213" s="74">
        <v>30.0</v>
      </c>
      <c r="Q213" s="75">
        <v>117</v>
      </c>
      <c r="R213" s="76">
        <v>44</v>
      </c>
      <c r="S213" s="76">
        <v>57</v>
      </c>
      <c r="T213" s="77">
        <f>+((Q213)+(R213/60)+(S213/3600))</f>
        <v>117.74916666667</v>
      </c>
      <c r="U213" s="78">
        <f>IFERROR(T213/$AA213,0)</f>
        <v>0.90815156962009</v>
      </c>
      <c r="V213" s="75">
        <v>11</v>
      </c>
      <c r="W213" s="76">
        <v>54</v>
      </c>
      <c r="X213" s="76">
        <v>32</v>
      </c>
      <c r="Y213" s="77">
        <f>+((V213)+(W213/60)+(X213/3600))</f>
        <v>11.908888888889</v>
      </c>
      <c r="Z213" s="78">
        <f>+IFERROR(Y213/$AA213,0)</f>
        <v>0.09184843037991</v>
      </c>
      <c r="AA213" s="79">
        <f>+Y213+T213</f>
        <v>129.65805555556</v>
      </c>
      <c r="AB213" s="80"/>
      <c r="AC213" s="81">
        <f>+IFERROR((AA213/P213),0)</f>
        <v>4.3219351851852</v>
      </c>
      <c r="AD213" s="82">
        <f>+IFERROR($O213/$P213,0)</f>
        <v>80.866666666667</v>
      </c>
      <c r="AE213" s="76">
        <f>+IFERROR(O213/T213,0)</f>
        <v>20.60311821032</v>
      </c>
      <c r="AF213" s="83">
        <f>+IFERROR(AA213/(P213*$AE$8),0)</f>
        <v>0.54024189814815</v>
      </c>
      <c r="AG213" s="84">
        <f>+P213/$C$8</f>
        <v>1</v>
      </c>
      <c r="AH213" s="85">
        <f>+Y213*($AI$8*$AH$8)</f>
        <v>41.681111111111</v>
      </c>
      <c r="AI213"/>
    </row>
    <row r="214" spans="1:40">
      <c r="B214" s="70" t="s">
        <v>91</v>
      </c>
      <c r="C214" s="70" t="s">
        <v>92</v>
      </c>
      <c r="D214" s="70" t="s">
        <v>117</v>
      </c>
      <c r="E214" s="70"/>
      <c r="F214" s="70"/>
      <c r="G214" s="70"/>
      <c r="H214" s="70"/>
      <c r="I214" s="70"/>
      <c r="J214" s="70" t="s">
        <v>314</v>
      </c>
      <c r="K214" s="70"/>
      <c r="L214" s="71" t="s">
        <v>95</v>
      </c>
      <c r="M214" s="71">
        <f>data!J8</f>
        <v>30</v>
      </c>
      <c r="N214" s="72">
        <v>15343.0</v>
      </c>
      <c r="O214" s="73">
        <v>5020.0</v>
      </c>
      <c r="P214" s="74">
        <v>30.0</v>
      </c>
      <c r="Q214" s="75">
        <v>259</v>
      </c>
      <c r="R214" s="76">
        <v>52</v>
      </c>
      <c r="S214" s="76">
        <v>17</v>
      </c>
      <c r="T214" s="77">
        <f>+((Q214)+(R214/60)+(S214/3600))</f>
        <v>259.87138888889</v>
      </c>
      <c r="U214" s="78">
        <f>IFERROR(T214/$AA214,0)</f>
        <v>0.85321692467364</v>
      </c>
      <c r="V214" s="75">
        <v>44</v>
      </c>
      <c r="W214" s="76">
        <v>42</v>
      </c>
      <c r="X214" s="76">
        <v>25</v>
      </c>
      <c r="Y214" s="77">
        <f>+((V214)+(W214/60)+(X214/3600))</f>
        <v>44.706944444444</v>
      </c>
      <c r="Z214" s="78">
        <f>+IFERROR(Y214/$AA214,0)</f>
        <v>0.14678307532636</v>
      </c>
      <c r="AA214" s="79">
        <f>+Y214+T214</f>
        <v>304.57833333333</v>
      </c>
      <c r="AB214" s="80"/>
      <c r="AC214" s="81">
        <f>+IFERROR((AA214/P214),0)</f>
        <v>10.152611111111</v>
      </c>
      <c r="AD214" s="82">
        <f>+IFERROR($O214/$P214,0)</f>
        <v>167.33333333333</v>
      </c>
      <c r="AE214" s="76">
        <f>+IFERROR(O214/T214,0)</f>
        <v>19.317247741137</v>
      </c>
      <c r="AF214" s="83">
        <f>+IFERROR(AA214/(P214*$AE$8),0)</f>
        <v>1.2690763888889</v>
      </c>
      <c r="AG214" s="84">
        <f>+P214/$C$8</f>
        <v>1</v>
      </c>
      <c r="AH214" s="85">
        <f>+Y214*($AI$8*$AH$8)</f>
        <v>156.47430555556</v>
      </c>
      <c r="AI214"/>
    </row>
    <row r="215" spans="1:40">
      <c r="B215" s="70" t="s">
        <v>91</v>
      </c>
      <c r="C215" s="70" t="s">
        <v>92</v>
      </c>
      <c r="D215" s="70" t="s">
        <v>117</v>
      </c>
      <c r="E215" s="70"/>
      <c r="F215" s="70"/>
      <c r="G215" s="70"/>
      <c r="H215" s="70"/>
      <c r="I215" s="70"/>
      <c r="J215" s="70" t="s">
        <v>315</v>
      </c>
      <c r="K215" s="70"/>
      <c r="L215" s="71" t="s">
        <v>95</v>
      </c>
      <c r="M215" s="71">
        <f>data!J8</f>
        <v>30</v>
      </c>
      <c r="N215" s="72">
        <v>5135.0</v>
      </c>
      <c r="O215" s="73">
        <v>489.0</v>
      </c>
      <c r="P215" s="74">
        <v>8.0</v>
      </c>
      <c r="Q215" s="75">
        <v>17</v>
      </c>
      <c r="R215" s="76">
        <v>56</v>
      </c>
      <c r="S215" s="76">
        <v>12</v>
      </c>
      <c r="T215" s="77">
        <f>+((Q215)+(R215/60)+(S215/3600))</f>
        <v>17.936666666667</v>
      </c>
      <c r="U215" s="78">
        <f>IFERROR(T215/$AA215,0)</f>
        <v>0.85182839955675</v>
      </c>
      <c r="V215" s="75">
        <v>3</v>
      </c>
      <c r="W215" s="76">
        <v>7</v>
      </c>
      <c r="X215" s="76">
        <v>12</v>
      </c>
      <c r="Y215" s="77">
        <f>+((V215)+(W215/60)+(X215/3600))</f>
        <v>3.12</v>
      </c>
      <c r="Z215" s="78">
        <f>+IFERROR(Y215/$AA215,0)</f>
        <v>0.14817160044325</v>
      </c>
      <c r="AA215" s="79">
        <f>+Y215+T215</f>
        <v>21.056666666667</v>
      </c>
      <c r="AB215" s="80"/>
      <c r="AC215" s="81">
        <f>+IFERROR((AA215/P215),0)</f>
        <v>2.6320833333333</v>
      </c>
      <c r="AD215" s="82">
        <f>+IFERROR($O215/$P215,0)</f>
        <v>61.125</v>
      </c>
      <c r="AE215" s="76">
        <f>+IFERROR(O215/T215,0)</f>
        <v>27.262590596543</v>
      </c>
      <c r="AF215" s="83">
        <f>+IFERROR(AA215/(P215*$AE$8),0)</f>
        <v>0.32901041666667</v>
      </c>
      <c r="AG215" s="84">
        <f>+P215/$C$8</f>
        <v>0.26666666666667</v>
      </c>
      <c r="AH215" s="85">
        <f>+Y215*($AI$8*$AH$8)</f>
        <v>10.92</v>
      </c>
      <c r="AI215"/>
    </row>
    <row r="216" spans="1:40">
      <c r="B216" s="70" t="s">
        <v>91</v>
      </c>
      <c r="C216" s="70" t="s">
        <v>92</v>
      </c>
      <c r="D216" s="70" t="s">
        <v>117</v>
      </c>
      <c r="E216" s="70"/>
      <c r="F216" s="70"/>
      <c r="G216" s="70"/>
      <c r="H216" s="70"/>
      <c r="I216" s="70"/>
      <c r="J216" s="70" t="s">
        <v>316</v>
      </c>
      <c r="K216" s="70"/>
      <c r="L216" s="71" t="s">
        <v>95</v>
      </c>
      <c r="M216" s="71">
        <f>data!J8</f>
        <v>30</v>
      </c>
      <c r="N216" s="72">
        <v>9044.0</v>
      </c>
      <c r="O216" s="73">
        <v>3241.0</v>
      </c>
      <c r="P216" s="74">
        <v>29.0</v>
      </c>
      <c r="Q216" s="75">
        <v>163</v>
      </c>
      <c r="R216" s="76">
        <v>52</v>
      </c>
      <c r="S216" s="76">
        <v>34</v>
      </c>
      <c r="T216" s="77">
        <f>+((Q216)+(R216/60)+(S216/3600))</f>
        <v>163.87611111111</v>
      </c>
      <c r="U216" s="78">
        <f>IFERROR(T216/$AA216,0)</f>
        <v>0.69969732765941</v>
      </c>
      <c r="V216" s="75">
        <v>70</v>
      </c>
      <c r="W216" s="76">
        <v>20</v>
      </c>
      <c r="X216" s="76">
        <v>2</v>
      </c>
      <c r="Y216" s="77">
        <f>+((V216)+(W216/60)+(X216/3600))</f>
        <v>70.333888888889</v>
      </c>
      <c r="Z216" s="78">
        <f>+IFERROR(Y216/$AA216,0)</f>
        <v>0.30030267234059</v>
      </c>
      <c r="AA216" s="79">
        <f>+Y216+T216</f>
        <v>234.21</v>
      </c>
      <c r="AB216" s="80"/>
      <c r="AC216" s="81">
        <f>+IFERROR((AA216/P216),0)</f>
        <v>8.0762068965517</v>
      </c>
      <c r="AD216" s="82">
        <f>+IFERROR($O216/$P216,0)</f>
        <v>111.75862068966</v>
      </c>
      <c r="AE216" s="76">
        <f>+IFERROR(O216/T216,0)</f>
        <v>19.777135166471</v>
      </c>
      <c r="AF216" s="83">
        <f>+IFERROR(AA216/(P216*$AE$8),0)</f>
        <v>1.009525862069</v>
      </c>
      <c r="AG216" s="84">
        <f>+P216/$C$8</f>
        <v>0.96666666666667</v>
      </c>
      <c r="AH216" s="85">
        <f>+Y216*($AI$8*$AH$8)</f>
        <v>246.16861111111</v>
      </c>
      <c r="AI216"/>
    </row>
    <row r="217" spans="1:40">
      <c r="B217" s="70" t="s">
        <v>91</v>
      </c>
      <c r="C217" s="70" t="s">
        <v>92</v>
      </c>
      <c r="D217" s="70" t="s">
        <v>117</v>
      </c>
      <c r="E217" s="70"/>
      <c r="F217" s="70"/>
      <c r="G217" s="70"/>
      <c r="H217" s="70"/>
      <c r="I217" s="70"/>
      <c r="J217" s="70" t="s">
        <v>317</v>
      </c>
      <c r="K217" s="70"/>
      <c r="L217" s="71" t="s">
        <v>95</v>
      </c>
      <c r="M217" s="71">
        <f>data!J8</f>
        <v>30</v>
      </c>
      <c r="N217" s="72">
        <v>12733.0</v>
      </c>
      <c r="O217" s="73">
        <v>4356.0</v>
      </c>
      <c r="P217" s="74">
        <v>30.0</v>
      </c>
      <c r="Q217" s="75">
        <v>263</v>
      </c>
      <c r="R217" s="76">
        <v>0</v>
      </c>
      <c r="S217" s="76">
        <v>0</v>
      </c>
      <c r="T217" s="77">
        <f>+((Q217)+(R217/60)+(S217/3600))</f>
        <v>263</v>
      </c>
      <c r="U217" s="78">
        <f>IFERROR(T217/$AA217,0)</f>
        <v>0.71687138791237</v>
      </c>
      <c r="V217" s="75">
        <v>103</v>
      </c>
      <c r="W217" s="76">
        <v>52</v>
      </c>
      <c r="X217" s="76">
        <v>19</v>
      </c>
      <c r="Y217" s="77">
        <f>+((V217)+(W217/60)+(X217/3600))</f>
        <v>103.87194444444</v>
      </c>
      <c r="Z217" s="78">
        <f>+IFERROR(Y217/$AA217,0)</f>
        <v>0.28312861208763</v>
      </c>
      <c r="AA217" s="79">
        <f>+Y217+T217</f>
        <v>366.87194444444</v>
      </c>
      <c r="AB217" s="80"/>
      <c r="AC217" s="81">
        <f>+IFERROR((AA217/P217),0)</f>
        <v>12.229064814815</v>
      </c>
      <c r="AD217" s="82">
        <f>+IFERROR($O217/$P217,0)</f>
        <v>145.2</v>
      </c>
      <c r="AE217" s="76">
        <f>+IFERROR(O217/T217,0)</f>
        <v>16.562737642586</v>
      </c>
      <c r="AF217" s="83">
        <f>+IFERROR(AA217/(P217*$AE$8),0)</f>
        <v>1.5286331018519</v>
      </c>
      <c r="AG217" s="84">
        <f>+P217/$C$8</f>
        <v>1</v>
      </c>
      <c r="AH217" s="85">
        <f>+Y217*($AI$8*$AH$8)</f>
        <v>363.55180555556</v>
      </c>
      <c r="AI217"/>
    </row>
    <row r="218" spans="1:40">
      <c r="B218" s="70" t="s">
        <v>91</v>
      </c>
      <c r="C218" s="70" t="s">
        <v>92</v>
      </c>
      <c r="D218" s="70" t="s">
        <v>117</v>
      </c>
      <c r="E218" s="70"/>
      <c r="F218" s="70"/>
      <c r="G218" s="70"/>
      <c r="H218" s="70"/>
      <c r="I218" s="70"/>
      <c r="J218" s="70" t="s">
        <v>318</v>
      </c>
      <c r="K218" s="70"/>
      <c r="L218" s="71" t="s">
        <v>95</v>
      </c>
      <c r="M218" s="71">
        <f>data!J8</f>
        <v>30</v>
      </c>
      <c r="N218" s="72">
        <v>15515.0</v>
      </c>
      <c r="O218" s="73">
        <v>5299.0</v>
      </c>
      <c r="P218" s="74">
        <v>30.0</v>
      </c>
      <c r="Q218" s="75">
        <v>250</v>
      </c>
      <c r="R218" s="76">
        <v>11</v>
      </c>
      <c r="S218" s="76">
        <v>16</v>
      </c>
      <c r="T218" s="77">
        <f>+((Q218)+(R218/60)+(S218/3600))</f>
        <v>250.18777777778</v>
      </c>
      <c r="U218" s="78">
        <f>IFERROR(T218/$AA218,0)</f>
        <v>0.80810948304558</v>
      </c>
      <c r="V218" s="75">
        <v>59</v>
      </c>
      <c r="W218" s="76">
        <v>24</v>
      </c>
      <c r="X218" s="76">
        <v>31</v>
      </c>
      <c r="Y218" s="77">
        <f>+((V218)+(W218/60)+(X218/3600))</f>
        <v>59.408611111111</v>
      </c>
      <c r="Z218" s="78">
        <f>+IFERROR(Y218/$AA218,0)</f>
        <v>0.19189051695442</v>
      </c>
      <c r="AA218" s="79">
        <f>+Y218+T218</f>
        <v>309.59638888889</v>
      </c>
      <c r="AB218" s="80"/>
      <c r="AC218" s="81">
        <f>+IFERROR((AA218/P218),0)</f>
        <v>10.31987962963</v>
      </c>
      <c r="AD218" s="82">
        <f>+IFERROR($O218/$P218,0)</f>
        <v>176.63333333333</v>
      </c>
      <c r="AE218" s="76">
        <f>+IFERROR(O218/T218,0)</f>
        <v>21.180091398017</v>
      </c>
      <c r="AF218" s="83">
        <f>+IFERROR(AA218/(P218*$AE$8),0)</f>
        <v>1.2899849537037</v>
      </c>
      <c r="AG218" s="84">
        <f>+P218/$C$8</f>
        <v>1</v>
      </c>
      <c r="AH218" s="85">
        <f>+Y218*($AI$8*$AH$8)</f>
        <v>207.93013888889</v>
      </c>
      <c r="AI218"/>
    </row>
    <row r="219" spans="1:40">
      <c r="B219" s="70" t="s">
        <v>91</v>
      </c>
      <c r="C219" s="70" t="s">
        <v>92</v>
      </c>
      <c r="D219" s="70" t="s">
        <v>117</v>
      </c>
      <c r="E219" s="70"/>
      <c r="F219" s="70"/>
      <c r="G219" s="70"/>
      <c r="H219" s="70"/>
      <c r="I219" s="70"/>
      <c r="J219" s="70" t="s">
        <v>319</v>
      </c>
      <c r="K219" s="70" t="s">
        <v>325</v>
      </c>
      <c r="L219" s="71" t="s">
        <v>95</v>
      </c>
      <c r="M219" s="71">
        <f>data!J8</f>
        <v>30</v>
      </c>
      <c r="N219" s="72">
        <v>6657.0</v>
      </c>
      <c r="O219" s="73">
        <v>2084.0</v>
      </c>
      <c r="P219" s="74">
        <v>30.0</v>
      </c>
      <c r="Q219" s="75">
        <v>124</v>
      </c>
      <c r="R219" s="76">
        <v>58</v>
      </c>
      <c r="S219" s="76">
        <v>5</v>
      </c>
      <c r="T219" s="77">
        <f>+((Q219)+(R219/60)+(S219/3600))</f>
        <v>124.96805555556</v>
      </c>
      <c r="U219" s="78">
        <f>IFERROR(T219/$AA219,0)</f>
        <v>0.85357616509727</v>
      </c>
      <c r="V219" s="75">
        <v>21</v>
      </c>
      <c r="W219" s="76">
        <v>26</v>
      </c>
      <c r="X219" s="76">
        <v>14</v>
      </c>
      <c r="Y219" s="77">
        <f>+((V219)+(W219/60)+(X219/3600))</f>
        <v>21.437222222222</v>
      </c>
      <c r="Z219" s="78">
        <f>+IFERROR(Y219/$AA219,0)</f>
        <v>0.14642383490273</v>
      </c>
      <c r="AA219" s="79">
        <f>+Y219+T219</f>
        <v>146.40527777778</v>
      </c>
      <c r="AB219" s="80"/>
      <c r="AC219" s="81">
        <f>+IFERROR((AA219/P219),0)</f>
        <v>4.8801759259259</v>
      </c>
      <c r="AD219" s="82">
        <f>+IFERROR($O219/$P219,0)</f>
        <v>69.466666666667</v>
      </c>
      <c r="AE219" s="76">
        <f>+IFERROR(O219/T219,0)</f>
        <v>16.676261711326</v>
      </c>
      <c r="AF219" s="83">
        <f>+IFERROR(AA219/(P219*$AE$8),0)</f>
        <v>0.61002199074074</v>
      </c>
      <c r="AG219" s="84">
        <f>+P219/$C$8</f>
        <v>1</v>
      </c>
      <c r="AH219" s="85">
        <f>+Y219*($AI$8*$AH$8)</f>
        <v>75.030277777778</v>
      </c>
      <c r="AI219"/>
    </row>
    <row r="220" spans="1:40">
      <c r="B220" s="70" t="s">
        <v>91</v>
      </c>
      <c r="C220" s="70" t="s">
        <v>92</v>
      </c>
      <c r="D220" s="70" t="s">
        <v>117</v>
      </c>
      <c r="E220" s="70"/>
      <c r="F220" s="70"/>
      <c r="G220" s="70"/>
      <c r="H220" s="70"/>
      <c r="I220" s="70"/>
      <c r="J220" s="70" t="s">
        <v>320</v>
      </c>
      <c r="K220" s="70"/>
      <c r="L220" s="71" t="s">
        <v>95</v>
      </c>
      <c r="M220" s="71">
        <f>data!J8</f>
        <v>30</v>
      </c>
      <c r="N220" s="72">
        <v>9328.0</v>
      </c>
      <c r="O220" s="73">
        <v>2702.0</v>
      </c>
      <c r="P220" s="74">
        <v>30.0</v>
      </c>
      <c r="Q220" s="75">
        <v>136</v>
      </c>
      <c r="R220" s="76">
        <v>49</v>
      </c>
      <c r="S220" s="76">
        <v>32</v>
      </c>
      <c r="T220" s="77">
        <f>+((Q220)+(R220/60)+(S220/3600))</f>
        <v>136.82555555556</v>
      </c>
      <c r="U220" s="78">
        <f>IFERROR(T220/$AA220,0)</f>
        <v>0.71435180418165</v>
      </c>
      <c r="V220" s="75">
        <v>54</v>
      </c>
      <c r="W220" s="76">
        <v>42</v>
      </c>
      <c r="X220" s="76">
        <v>45</v>
      </c>
      <c r="Y220" s="77">
        <f>+((V220)+(W220/60)+(X220/3600))</f>
        <v>54.7125</v>
      </c>
      <c r="Z220" s="78">
        <f>+IFERROR(Y220/$AA220,0)</f>
        <v>0.28564819581835</v>
      </c>
      <c r="AA220" s="79">
        <f>+Y220+T220</f>
        <v>191.53805555556</v>
      </c>
      <c r="AB220" s="80"/>
      <c r="AC220" s="81">
        <f>+IFERROR((AA220/P220),0)</f>
        <v>6.3846018518519</v>
      </c>
      <c r="AD220" s="82">
        <f>+IFERROR($O220/$P220,0)</f>
        <v>90.066666666667</v>
      </c>
      <c r="AE220" s="76">
        <f>+IFERROR(O220/T220,0)</f>
        <v>19.747772914417</v>
      </c>
      <c r="AF220" s="83">
        <f>+IFERROR(AA220/(P220*$AE$8),0)</f>
        <v>0.79807523148148</v>
      </c>
      <c r="AG220" s="84">
        <f>+P220/$C$8</f>
        <v>1</v>
      </c>
      <c r="AH220" s="85">
        <f>+Y220*($AI$8*$AH$8)</f>
        <v>191.49375</v>
      </c>
      <c r="AI220"/>
    </row>
    <row r="221" spans="1:40">
      <c r="B221" s="70" t="s">
        <v>91</v>
      </c>
      <c r="C221" s="70" t="s">
        <v>92</v>
      </c>
      <c r="D221" s="70" t="s">
        <v>117</v>
      </c>
      <c r="E221" s="70"/>
      <c r="F221" s="70"/>
      <c r="G221" s="70"/>
      <c r="H221" s="70"/>
      <c r="I221" s="70"/>
      <c r="J221" s="70" t="s">
        <v>321</v>
      </c>
      <c r="K221" s="70"/>
      <c r="L221" s="71" t="s">
        <v>95</v>
      </c>
      <c r="M221" s="71">
        <f>data!J8</f>
        <v>30</v>
      </c>
      <c r="N221" s="72">
        <v>10558.0</v>
      </c>
      <c r="O221" s="73">
        <v>2348.0</v>
      </c>
      <c r="P221" s="74">
        <v>24.0</v>
      </c>
      <c r="Q221" s="75">
        <v>122</v>
      </c>
      <c r="R221" s="76">
        <v>35</v>
      </c>
      <c r="S221" s="76">
        <v>4</v>
      </c>
      <c r="T221" s="77">
        <f>+((Q221)+(R221/60)+(S221/3600))</f>
        <v>122.58444444444</v>
      </c>
      <c r="U221" s="78">
        <f>IFERROR(T221/$AA221,0)</f>
        <v>0.68328120645341</v>
      </c>
      <c r="V221" s="75">
        <v>56</v>
      </c>
      <c r="W221" s="76">
        <v>49</v>
      </c>
      <c r="X221" s="76">
        <v>16</v>
      </c>
      <c r="Y221" s="77">
        <f>+((V221)+(W221/60)+(X221/3600))</f>
        <v>56.821111111111</v>
      </c>
      <c r="Z221" s="78">
        <f>+IFERROR(Y221/$AA221,0)</f>
        <v>0.31671879354659</v>
      </c>
      <c r="AA221" s="79">
        <f>+Y221+T221</f>
        <v>179.40555555556</v>
      </c>
      <c r="AB221" s="80"/>
      <c r="AC221" s="81">
        <f>+IFERROR((AA221/P221),0)</f>
        <v>7.4752314814815</v>
      </c>
      <c r="AD221" s="82">
        <f>+IFERROR($O221/$P221,0)</f>
        <v>97.833333333333</v>
      </c>
      <c r="AE221" s="76">
        <f>+IFERROR(O221/T221,0)</f>
        <v>19.154143175679</v>
      </c>
      <c r="AF221" s="83">
        <f>+IFERROR(AA221/(P221*$AE$8),0)</f>
        <v>0.93440393518519</v>
      </c>
      <c r="AG221" s="84">
        <f>+P221/$C$8</f>
        <v>0.8</v>
      </c>
      <c r="AH221" s="85">
        <f>+Y221*($AI$8*$AH$8)</f>
        <v>198.87388888889</v>
      </c>
      <c r="AI221"/>
    </row>
    <row r="222" spans="1:40">
      <c r="B222" s="70" t="s">
        <v>91</v>
      </c>
      <c r="C222" s="70" t="s">
        <v>92</v>
      </c>
      <c r="D222" s="70" t="s">
        <v>117</v>
      </c>
      <c r="E222" s="70"/>
      <c r="F222" s="70"/>
      <c r="G222" s="70"/>
      <c r="H222" s="70"/>
      <c r="I222" s="70"/>
      <c r="J222" s="70" t="s">
        <v>322</v>
      </c>
      <c r="K222" s="70"/>
      <c r="L222" s="71" t="s">
        <v>95</v>
      </c>
      <c r="M222" s="71">
        <f>data!J8</f>
        <v>30</v>
      </c>
      <c r="N222" s="72">
        <v>7450.0</v>
      </c>
      <c r="O222" s="73">
        <v>2744.0</v>
      </c>
      <c r="P222" s="74">
        <v>30.0</v>
      </c>
      <c r="Q222" s="75">
        <v>126</v>
      </c>
      <c r="R222" s="76">
        <v>19</v>
      </c>
      <c r="S222" s="76">
        <v>27</v>
      </c>
      <c r="T222" s="77">
        <f>+((Q222)+(R222/60)+(S222/3600))</f>
        <v>126.32416666667</v>
      </c>
      <c r="U222" s="78">
        <f>IFERROR(T222/$AA222,0)</f>
        <v>0.58119490995809</v>
      </c>
      <c r="V222" s="75">
        <v>91</v>
      </c>
      <c r="W222" s="76">
        <v>1</v>
      </c>
      <c r="X222" s="76">
        <v>42</v>
      </c>
      <c r="Y222" s="77">
        <f>+((V222)+(W222/60)+(X222/3600))</f>
        <v>91.028333333333</v>
      </c>
      <c r="Z222" s="78">
        <f>+IFERROR(Y222/$AA222,0)</f>
        <v>0.41880509004191</v>
      </c>
      <c r="AA222" s="79">
        <f>+Y222+T222</f>
        <v>217.3525</v>
      </c>
      <c r="AB222" s="80"/>
      <c r="AC222" s="81">
        <f>+IFERROR((AA222/P222),0)</f>
        <v>7.2450833333333</v>
      </c>
      <c r="AD222" s="82">
        <f>+IFERROR($O222/$P222,0)</f>
        <v>91.466666666667</v>
      </c>
      <c r="AE222" s="76">
        <f>+IFERROR(O222/T222,0)</f>
        <v>21.721892749474</v>
      </c>
      <c r="AF222" s="83">
        <f>+IFERROR(AA222/(P222*$AE$8),0)</f>
        <v>0.90563541666667</v>
      </c>
      <c r="AG222" s="84">
        <f>+P222/$C$8</f>
        <v>1</v>
      </c>
      <c r="AH222" s="85">
        <f>+Y222*($AI$8*$AH$8)</f>
        <v>318.59916666667</v>
      </c>
      <c r="AI222"/>
    </row>
  </sheetData>
  <autoFilter ref="B15:AH200"/>
  <mergeCells>
    <mergeCell ref="B2:AH2"/>
    <mergeCell ref="B3:AH3"/>
    <mergeCell ref="AE7:AF7"/>
    <mergeCell ref="AI7:AK7"/>
    <mergeCell ref="AJ8:AK8"/>
    <mergeCell ref="N10:N11"/>
    <mergeCell ref="O10:O11"/>
    <mergeCell ref="P10:P11"/>
    <mergeCell ref="Q10:U10"/>
    <mergeCell ref="V10:Z10"/>
    <mergeCell ref="AA10:AA11"/>
    <mergeCell ref="AC10:AH10"/>
    <mergeCell ref="AJ10:AL10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AC14:AH14"/>
    <mergeCell ref="O14:O15"/>
    <mergeCell ref="P14:P15"/>
    <mergeCell ref="Q14:U14"/>
    <mergeCell ref="V14:Z14"/>
    <mergeCell ref="AA14:AA15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"/>
  <sheetViews>
    <sheetView tabSelected="0" workbookViewId="0" zoomScale="80" zoomScaleNormal="80" showGridLines="true" showRowColHeaders="1">
      <selection activeCell="D21" sqref="D21"/>
    </sheetView>
  </sheetViews>
  <sheetFormatPr defaultRowHeight="14.4" defaultColWidth="8.83984375" outlineLevelRow="0" outlineLevelCol="0"/>
  <cols>
    <col min="1" max="1" width="2.15625" customWidth="true" style="180"/>
    <col min="2" max="2" width="3.3125" customWidth="true" style="180"/>
    <col min="3" max="3" width="6.68359375" customWidth="true" style="180"/>
    <col min="4" max="4" width="5.83984375" customWidth="true" style="180"/>
    <col min="5" max="5" width="12.3125" customWidth="true" style="180"/>
    <col min="6" max="6" width="3.3125" customWidth="true" style="180"/>
    <col min="7" max="7" width="5" customWidth="true" style="180"/>
    <col min="8" max="8" width="5" customWidth="true" style="180"/>
    <col min="9" max="9" width="12.3125" customWidth="true" style="180"/>
    <col min="10" max="10" width="3.3125" customWidth="true" style="180"/>
    <col min="11" max="11" width="5" customWidth="true" style="180"/>
    <col min="12" max="12" width="5" customWidth="true" style="180"/>
    <col min="13" max="13" width="12.83984375" customWidth="true" style="180"/>
    <col min="14" max="14" width="3.3125" customWidth="true" style="180"/>
    <col min="15" max="15" width="4" customWidth="true" style="180"/>
    <col min="16" max="16" width="4.83984375" customWidth="true" style="180"/>
    <col min="17" max="17" width="10.62890625" customWidth="true" style="184"/>
  </cols>
  <sheetData>
    <row r="1" spans="1:17" customHeight="1" ht="15.75"/>
    <row r="2" spans="1:17" customHeight="1" ht="15.75">
      <c r="B2" s="201" t="s">
        <v>327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</row>
    <row r="3" spans="1:17" customHeight="1" ht="15.75">
      <c r="B3" s="182">
        <v>90</v>
      </c>
      <c r="C3" s="185" t="s">
        <v>328</v>
      </c>
      <c r="D3" s="185"/>
      <c r="E3" s="186"/>
      <c r="F3" s="182">
        <v>60</v>
      </c>
      <c r="G3" s="185" t="s">
        <v>328</v>
      </c>
      <c r="H3" s="185"/>
      <c r="I3" s="186"/>
      <c r="J3" s="182">
        <v>30</v>
      </c>
      <c r="K3" s="185" t="s">
        <v>328</v>
      </c>
      <c r="L3" s="185"/>
      <c r="M3" s="186"/>
      <c r="N3" s="182">
        <v>7</v>
      </c>
      <c r="O3" s="185" t="s">
        <v>328</v>
      </c>
      <c r="P3" s="185"/>
      <c r="Q3" s="186"/>
    </row>
    <row r="4" spans="1:17" customHeight="1" ht="15">
      <c r="B4" s="187" t="s">
        <v>4</v>
      </c>
      <c r="C4" s="188">
        <v>0</v>
      </c>
      <c r="D4" s="189">
        <v>200</v>
      </c>
      <c r="E4" s="181" t="s">
        <v>329</v>
      </c>
      <c r="F4" s="187" t="s">
        <v>4</v>
      </c>
      <c r="G4" s="188">
        <v>0</v>
      </c>
      <c r="H4" s="189">
        <f>+$F$3*D4/$B$3</f>
        <v>133.33333333333</v>
      </c>
      <c r="I4" s="181" t="s">
        <v>330</v>
      </c>
      <c r="J4" s="190" t="s">
        <v>4</v>
      </c>
      <c r="K4" s="191">
        <v>0</v>
      </c>
      <c r="L4" s="192">
        <f>+$J$3*H4/$F$3</f>
        <v>66.666666666667</v>
      </c>
      <c r="M4" s="181" t="s">
        <v>331</v>
      </c>
      <c r="N4" s="187" t="s">
        <v>4</v>
      </c>
      <c r="O4" s="193">
        <v>0</v>
      </c>
      <c r="P4" s="194">
        <f>+$N$3*L4/$J$3</f>
        <v>15.555555555556</v>
      </c>
      <c r="Q4" s="181" t="s">
        <v>332</v>
      </c>
    </row>
    <row r="5" spans="1:17" customHeight="1" ht="15">
      <c r="B5" s="187" t="s">
        <v>7</v>
      </c>
      <c r="C5" s="188">
        <f>+D4</f>
        <v>200</v>
      </c>
      <c r="D5" s="189">
        <v>500</v>
      </c>
      <c r="E5" s="181" t="s">
        <v>333</v>
      </c>
      <c r="F5" s="187" t="s">
        <v>7</v>
      </c>
      <c r="G5" s="188">
        <f>+H4</f>
        <v>133.33333333333</v>
      </c>
      <c r="H5" s="189">
        <f>+$F$3*D5/$B$3</f>
        <v>333.33333333333</v>
      </c>
      <c r="I5" s="181" t="s">
        <v>334</v>
      </c>
      <c r="J5" s="187" t="s">
        <v>7</v>
      </c>
      <c r="K5" s="193">
        <f>+L4</f>
        <v>66.666666666667</v>
      </c>
      <c r="L5" s="194">
        <f>+$J$3*H5/$F$3</f>
        <v>166.66666666667</v>
      </c>
      <c r="M5" s="181" t="s">
        <v>335</v>
      </c>
      <c r="N5" s="187" t="s">
        <v>7</v>
      </c>
      <c r="O5" s="193">
        <f>+P4</f>
        <v>15.555555555556</v>
      </c>
      <c r="P5" s="194">
        <f>+$N$3*L5/$J$3</f>
        <v>38.888888888889</v>
      </c>
      <c r="Q5" s="181" t="s">
        <v>336</v>
      </c>
    </row>
    <row r="6" spans="1:17" customHeight="1" ht="15">
      <c r="B6" s="187" t="s">
        <v>8</v>
      </c>
      <c r="C6" s="188">
        <f>+D5</f>
        <v>500</v>
      </c>
      <c r="D6" s="189">
        <v>1500</v>
      </c>
      <c r="E6" s="181" t="s">
        <v>337</v>
      </c>
      <c r="F6" s="187" t="s">
        <v>8</v>
      </c>
      <c r="G6" s="188">
        <f>+H5</f>
        <v>333.33333333333</v>
      </c>
      <c r="H6" s="189">
        <f>+$F$3*D6/$B$3</f>
        <v>1000</v>
      </c>
      <c r="I6" s="181" t="s">
        <v>338</v>
      </c>
      <c r="J6" s="187" t="s">
        <v>8</v>
      </c>
      <c r="K6" s="193">
        <f>+L5</f>
        <v>166.66666666667</v>
      </c>
      <c r="L6" s="194">
        <f>+$J$3*H6/$F$3</f>
        <v>500</v>
      </c>
      <c r="M6" s="181" t="s">
        <v>339</v>
      </c>
      <c r="N6" s="187" t="s">
        <v>8</v>
      </c>
      <c r="O6" s="193">
        <f>+P5</f>
        <v>38.888888888889</v>
      </c>
      <c r="P6" s="194">
        <f>+$N$3*L6/$J$3</f>
        <v>116.66666666667</v>
      </c>
      <c r="Q6" s="181" t="s">
        <v>340</v>
      </c>
    </row>
    <row r="7" spans="1:17" customHeight="1" ht="15">
      <c r="B7" s="187" t="s">
        <v>9</v>
      </c>
      <c r="C7" s="188">
        <f>+D6</f>
        <v>1500</v>
      </c>
      <c r="D7" s="189">
        <v>3000</v>
      </c>
      <c r="E7" s="181" t="s">
        <v>341</v>
      </c>
      <c r="F7" s="187" t="s">
        <v>9</v>
      </c>
      <c r="G7" s="188">
        <f>+H6</f>
        <v>1000</v>
      </c>
      <c r="H7" s="189">
        <f>+$F$3*D7/$B$3</f>
        <v>2000</v>
      </c>
      <c r="I7" s="181" t="s">
        <v>342</v>
      </c>
      <c r="J7" s="187" t="s">
        <v>9</v>
      </c>
      <c r="K7" s="193">
        <f>+L6</f>
        <v>500</v>
      </c>
      <c r="L7" s="194">
        <f>+$J$3*H7/$F$3</f>
        <v>1000</v>
      </c>
      <c r="M7" s="181" t="s">
        <v>343</v>
      </c>
      <c r="N7" s="187" t="s">
        <v>9</v>
      </c>
      <c r="O7" s="193">
        <f>+P6</f>
        <v>116.66666666667</v>
      </c>
      <c r="P7" s="194">
        <f>+$N$3*L7/$J$3</f>
        <v>233.33333333333</v>
      </c>
      <c r="Q7" s="181" t="s">
        <v>344</v>
      </c>
    </row>
    <row r="8" spans="1:17" customHeight="1" ht="15.75">
      <c r="B8" s="195" t="s">
        <v>10</v>
      </c>
      <c r="C8" s="196">
        <f>+D7</f>
        <v>3000</v>
      </c>
      <c r="D8" s="196"/>
      <c r="E8" s="183" t="s">
        <v>345</v>
      </c>
      <c r="F8" s="195" t="s">
        <v>10</v>
      </c>
      <c r="G8" s="196">
        <f>+H7</f>
        <v>2000</v>
      </c>
      <c r="H8" s="196"/>
      <c r="I8" s="183" t="s">
        <v>346</v>
      </c>
      <c r="J8" s="195" t="s">
        <v>10</v>
      </c>
      <c r="K8" s="197">
        <f>+L7</f>
        <v>1000</v>
      </c>
      <c r="L8" s="197"/>
      <c r="M8" s="183" t="s">
        <v>347</v>
      </c>
      <c r="N8" s="195" t="s">
        <v>10</v>
      </c>
      <c r="O8" s="197">
        <f>+P7</f>
        <v>233.33333333333</v>
      </c>
      <c r="P8" s="197"/>
      <c r="Q8" s="183" t="s">
        <v>348</v>
      </c>
    </row>
    <row r="9" spans="1:17" customHeight="1" ht="15.75"/>
    <row r="10" spans="1:17" customHeight="1" ht="15.75">
      <c r="B10" s="201" t="s">
        <v>349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customHeight="1" ht="15.75">
      <c r="B11" s="182">
        <v>90</v>
      </c>
      <c r="C11" s="185" t="s">
        <v>328</v>
      </c>
      <c r="D11" s="185"/>
      <c r="E11" s="186"/>
      <c r="F11" s="182">
        <v>60</v>
      </c>
      <c r="G11" s="185" t="s">
        <v>328</v>
      </c>
      <c r="H11" s="185"/>
      <c r="I11" s="186"/>
      <c r="J11" s="182">
        <v>30</v>
      </c>
      <c r="K11" s="185" t="s">
        <v>328</v>
      </c>
      <c r="L11" s="185"/>
      <c r="M11" s="186"/>
      <c r="N11" s="182">
        <v>7</v>
      </c>
      <c r="O11" s="185" t="s">
        <v>328</v>
      </c>
      <c r="P11" s="185"/>
      <c r="Q11" s="186"/>
    </row>
    <row r="12" spans="1:17" customHeight="1" ht="15">
      <c r="B12" s="187" t="s">
        <v>4</v>
      </c>
      <c r="C12" s="188">
        <v>0</v>
      </c>
      <c r="D12" s="194">
        <f>+B11*0.2</f>
        <v>18</v>
      </c>
      <c r="E12" s="181" t="s">
        <v>350</v>
      </c>
      <c r="F12" s="187" t="s">
        <v>4</v>
      </c>
      <c r="G12" s="188">
        <v>0</v>
      </c>
      <c r="H12" s="194">
        <f>+F11*0.2</f>
        <v>12</v>
      </c>
      <c r="I12" s="181" t="s">
        <v>351</v>
      </c>
      <c r="J12" s="190" t="s">
        <v>4</v>
      </c>
      <c r="K12" s="188">
        <v>0</v>
      </c>
      <c r="L12" s="194">
        <f>+J11*0.2</f>
        <v>6</v>
      </c>
      <c r="M12" s="181" t="s">
        <v>352</v>
      </c>
      <c r="N12" s="187" t="s">
        <v>4</v>
      </c>
      <c r="O12" s="193">
        <v>0</v>
      </c>
      <c r="P12" s="194">
        <f>+N11*0.2</f>
        <v>1.4</v>
      </c>
      <c r="Q12" s="181" t="s">
        <v>353</v>
      </c>
    </row>
    <row r="13" spans="1:17" customHeight="1" ht="15">
      <c r="B13" s="187" t="s">
        <v>7</v>
      </c>
      <c r="C13" s="193">
        <f>+D12</f>
        <v>18</v>
      </c>
      <c r="D13" s="194">
        <f>+B11*0.4</f>
        <v>36</v>
      </c>
      <c r="E13" s="181" t="s">
        <v>354</v>
      </c>
      <c r="F13" s="187" t="s">
        <v>7</v>
      </c>
      <c r="G13" s="193">
        <f>+H12</f>
        <v>12</v>
      </c>
      <c r="H13" s="194">
        <f>+F11*0.4</f>
        <v>24</v>
      </c>
      <c r="I13" s="181" t="s">
        <v>355</v>
      </c>
      <c r="J13" s="187" t="s">
        <v>7</v>
      </c>
      <c r="K13" s="193">
        <f>+L12</f>
        <v>6</v>
      </c>
      <c r="L13" s="194">
        <f>+J11*0.4</f>
        <v>12</v>
      </c>
      <c r="M13" s="181" t="s">
        <v>356</v>
      </c>
      <c r="N13" s="187" t="s">
        <v>7</v>
      </c>
      <c r="O13" s="193">
        <f>+P12</f>
        <v>1.4</v>
      </c>
      <c r="P13" s="194">
        <f>+N11*0.4</f>
        <v>2.8</v>
      </c>
      <c r="Q13" s="181" t="s">
        <v>357</v>
      </c>
    </row>
    <row r="14" spans="1:17" customHeight="1" ht="15">
      <c r="B14" s="187" t="s">
        <v>8</v>
      </c>
      <c r="C14" s="193">
        <f>+D13</f>
        <v>36</v>
      </c>
      <c r="D14" s="189">
        <f>+B11*0.6</f>
        <v>54</v>
      </c>
      <c r="E14" s="181" t="s">
        <v>358</v>
      </c>
      <c r="F14" s="187" t="s">
        <v>8</v>
      </c>
      <c r="G14" s="193">
        <f>+H13</f>
        <v>24</v>
      </c>
      <c r="H14" s="189">
        <f>+F11*0.6</f>
        <v>36</v>
      </c>
      <c r="I14" s="181" t="s">
        <v>359</v>
      </c>
      <c r="J14" s="187" t="s">
        <v>8</v>
      </c>
      <c r="K14" s="193">
        <f>+L13</f>
        <v>12</v>
      </c>
      <c r="L14" s="189">
        <f>+J11*0.6</f>
        <v>18</v>
      </c>
      <c r="M14" s="181" t="s">
        <v>360</v>
      </c>
      <c r="N14" s="187" t="s">
        <v>8</v>
      </c>
      <c r="O14" s="193">
        <f>+P13</f>
        <v>2.8</v>
      </c>
      <c r="P14" s="194">
        <f>+N11*0.6</f>
        <v>4.2</v>
      </c>
      <c r="Q14" s="181" t="s">
        <v>361</v>
      </c>
    </row>
    <row r="15" spans="1:17" customHeight="1" ht="15">
      <c r="B15" s="187" t="s">
        <v>9</v>
      </c>
      <c r="C15" s="188">
        <f>+D14</f>
        <v>54</v>
      </c>
      <c r="D15" s="194">
        <f>+B11*0.8</f>
        <v>72</v>
      </c>
      <c r="E15" s="181" t="s">
        <v>362</v>
      </c>
      <c r="F15" s="187" t="s">
        <v>9</v>
      </c>
      <c r="G15" s="188">
        <f>+H14</f>
        <v>36</v>
      </c>
      <c r="H15" s="194">
        <f>+F11*0.8</f>
        <v>48</v>
      </c>
      <c r="I15" s="181" t="s">
        <v>363</v>
      </c>
      <c r="J15" s="187" t="s">
        <v>9</v>
      </c>
      <c r="K15" s="188">
        <f>+L14</f>
        <v>18</v>
      </c>
      <c r="L15" s="194">
        <f>+J11*0.8</f>
        <v>24</v>
      </c>
      <c r="M15" s="181" t="s">
        <v>364</v>
      </c>
      <c r="N15" s="187" t="s">
        <v>9</v>
      </c>
      <c r="O15" s="193">
        <f>+P14</f>
        <v>4.2</v>
      </c>
      <c r="P15" s="194">
        <f>+N11*0.8</f>
        <v>5.6</v>
      </c>
      <c r="Q15" s="181" t="s">
        <v>19</v>
      </c>
    </row>
    <row r="16" spans="1:17" customHeight="1" ht="15.75">
      <c r="B16" s="195" t="s">
        <v>10</v>
      </c>
      <c r="C16" s="197">
        <f>+D15</f>
        <v>72</v>
      </c>
      <c r="D16" s="198">
        <f>+B11</f>
        <v>90</v>
      </c>
      <c r="E16" s="183" t="s">
        <v>365</v>
      </c>
      <c r="F16" s="195" t="s">
        <v>10</v>
      </c>
      <c r="G16" s="197">
        <f>+H15</f>
        <v>48</v>
      </c>
      <c r="H16" s="198">
        <f>+F11</f>
        <v>60</v>
      </c>
      <c r="I16" s="183" t="s">
        <v>366</v>
      </c>
      <c r="J16" s="195" t="s">
        <v>10</v>
      </c>
      <c r="K16" s="197">
        <f>+L15</f>
        <v>24</v>
      </c>
      <c r="L16" s="198">
        <f>+J11</f>
        <v>30</v>
      </c>
      <c r="M16" s="183" t="s">
        <v>367</v>
      </c>
      <c r="N16" s="195" t="s">
        <v>10</v>
      </c>
      <c r="O16" s="197">
        <f>+P15</f>
        <v>5.6</v>
      </c>
      <c r="P16" s="199">
        <f>+N11</f>
        <v>7</v>
      </c>
      <c r="Q16" s="183" t="s">
        <v>368</v>
      </c>
    </row>
    <row r="21" spans="1:17">
      <c r="C21" s="188" t="s">
        <v>369</v>
      </c>
      <c r="D21" s="200">
        <f>+D22*3.78541</f>
        <v>1</v>
      </c>
      <c r="E21" s="200" t="s">
        <v>370</v>
      </c>
    </row>
    <row r="22" spans="1:17">
      <c r="C22" s="188" t="s">
        <v>371</v>
      </c>
      <c r="D22" s="200">
        <v>0.26417217685799</v>
      </c>
      <c r="E22" s="200" t="s">
        <v>372</v>
      </c>
    </row>
  </sheetData>
  <mergeCells>
    <mergeCell ref="B2:Q2"/>
    <mergeCell ref="B10:Q10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H2" sqref="H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</cols>
  <sheetData>
    <row r="1" spans="1:9" customHeight="1" ht="15">
      <c r="A1" s="1" t="s">
        <v>373</v>
      </c>
      <c r="B1" s="1" t="s">
        <v>1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379</v>
      </c>
      <c r="H1" s="1" t="s">
        <v>381</v>
      </c>
    </row>
    <row r="2" spans="1:9" customHeight="1" ht="15">
      <c r="A2" s="2" t="s">
        <v>91</v>
      </c>
      <c r="B2" s="1">
        <v>209.0</v>
      </c>
      <c r="C2" s="1">
        <v>0.0</v>
      </c>
      <c r="D2" s="1">
        <v>9.0</v>
      </c>
      <c r="E2" s="1">
        <v>679.0</v>
      </c>
      <c r="F2" s="1" t="s">
        <v>378</v>
      </c>
      <c r="G2" s="1" t="s">
        <v>380</v>
      </c>
      <c r="H2" s="1" t="s">
        <v>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0" workbookViewId="0" showGridLines="true" showRowColHeaders="1">
      <selection activeCell="I2" sqref="I2:I10"/>
    </sheetView>
  </sheetViews>
  <sheetFormatPr defaultRowHeight="14.4" outlineLevelRow="0" outlineLevelCol="0"/>
  <cols>
    <col min="1" max="1" width="2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 customHeight="1" ht="15">
      <c r="A1" t="s">
        <v>383</v>
      </c>
      <c r="B1" s="1" t="s">
        <v>373</v>
      </c>
      <c r="C1" s="1" t="s">
        <v>1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379</v>
      </c>
      <c r="I1" s="1" t="s">
        <v>381</v>
      </c>
    </row>
    <row r="2" spans="1:10" customHeight="1" ht="15">
      <c r="A2" s="3" t="s">
        <v>91</v>
      </c>
      <c r="B2" s="2" t="s">
        <v>384</v>
      </c>
      <c r="C2" s="1">
        <v>209.0</v>
      </c>
      <c r="D2" s="1">
        <v>0.0</v>
      </c>
      <c r="E2" s="1">
        <v>9.0</v>
      </c>
      <c r="F2" s="1">
        <v>679.0</v>
      </c>
      <c r="G2" s="1" t="s">
        <v>378</v>
      </c>
      <c r="H2" s="1" t="s">
        <v>380</v>
      </c>
      <c r="I2" s="1" t="s">
        <v>382</v>
      </c>
    </row>
    <row r="3" spans="1:10" customHeight="1" ht="15">
      <c r="A3" s="3" t="s">
        <v>91</v>
      </c>
      <c r="B3" s="2" t="s">
        <v>385</v>
      </c>
      <c r="C3" s="1">
        <v>0.0</v>
      </c>
      <c r="D3" s="1">
        <v>0.0</v>
      </c>
      <c r="E3" s="1">
        <v>0.0</v>
      </c>
      <c r="F3" s="1">
        <v>0.0</v>
      </c>
      <c r="G3" s="1" t="s">
        <v>387</v>
      </c>
      <c r="H3" s="1" t="s">
        <v>387</v>
      </c>
      <c r="I3" s="1" t="s">
        <v>400</v>
      </c>
    </row>
    <row r="4" spans="1:10" customHeight="1" ht="15">
      <c r="A4" s="3" t="s">
        <v>91</v>
      </c>
      <c r="B4" s="2" t="s">
        <v>96</v>
      </c>
      <c r="C4" s="1">
        <v>2.0</v>
      </c>
      <c r="D4" s="1">
        <v>0.0</v>
      </c>
      <c r="E4" s="1">
        <v>23.0</v>
      </c>
      <c r="F4" s="1">
        <v>2073.0</v>
      </c>
      <c r="G4" s="1" t="s">
        <v>388</v>
      </c>
      <c r="H4" s="1" t="s">
        <v>394</v>
      </c>
      <c r="I4" s="1" t="s">
        <v>401</v>
      </c>
    </row>
    <row r="5" spans="1:10" customHeight="1" ht="15">
      <c r="A5" s="3" t="s">
        <v>91</v>
      </c>
      <c r="B5" s="2" t="s">
        <v>101</v>
      </c>
      <c r="C5" s="1">
        <v>50.0</v>
      </c>
      <c r="D5" s="1">
        <v>0.0</v>
      </c>
      <c r="E5" s="1">
        <v>4.0</v>
      </c>
      <c r="F5" s="1">
        <v>473.0</v>
      </c>
      <c r="G5" s="1" t="s">
        <v>389</v>
      </c>
      <c r="H5" s="1" t="s">
        <v>395</v>
      </c>
      <c r="I5" s="1" t="s">
        <v>402</v>
      </c>
    </row>
    <row r="6" spans="1:10" customHeight="1" ht="15">
      <c r="A6" s="3" t="s">
        <v>91</v>
      </c>
      <c r="B6" s="2" t="s">
        <v>102</v>
      </c>
      <c r="C6" s="1">
        <v>48.0</v>
      </c>
      <c r="D6" s="1">
        <v>0.0</v>
      </c>
      <c r="E6" s="1">
        <v>4.0</v>
      </c>
      <c r="F6" s="1">
        <v>353.0</v>
      </c>
      <c r="G6" s="1" t="s">
        <v>390</v>
      </c>
      <c r="H6" s="1" t="s">
        <v>396</v>
      </c>
      <c r="I6" s="1" t="s">
        <v>403</v>
      </c>
    </row>
    <row r="7" spans="1:10" customHeight="1" ht="15">
      <c r="A7" s="3" t="s">
        <v>91</v>
      </c>
      <c r="B7" s="2" t="s">
        <v>99</v>
      </c>
      <c r="C7" s="1">
        <v>78.0</v>
      </c>
      <c r="D7" s="1">
        <v>0.0</v>
      </c>
      <c r="E7" s="1">
        <v>11.0</v>
      </c>
      <c r="F7" s="1">
        <v>486.0</v>
      </c>
      <c r="G7" s="1" t="s">
        <v>391</v>
      </c>
      <c r="H7" s="1" t="s">
        <v>397</v>
      </c>
      <c r="I7" s="1" t="s">
        <v>404</v>
      </c>
    </row>
    <row r="8" spans="1:10" customHeight="1" ht="15">
      <c r="A8" s="3" t="s">
        <v>91</v>
      </c>
      <c r="B8" s="2" t="s">
        <v>92</v>
      </c>
      <c r="C8" s="1">
        <v>17.0</v>
      </c>
      <c r="D8" s="1">
        <v>0.0</v>
      </c>
      <c r="E8" s="1">
        <v>25.0</v>
      </c>
      <c r="F8" s="1">
        <v>3162.0</v>
      </c>
      <c r="G8" s="1" t="s">
        <v>392</v>
      </c>
      <c r="H8" s="1" t="s">
        <v>398</v>
      </c>
      <c r="I8" s="1" t="s">
        <v>405</v>
      </c>
    </row>
    <row r="9" spans="1:10" customHeight="1" ht="15">
      <c r="A9" s="3" t="s">
        <v>91</v>
      </c>
      <c r="B9" s="2" t="s">
        <v>100</v>
      </c>
      <c r="C9" s="1">
        <v>12.0</v>
      </c>
      <c r="D9" s="1">
        <v>0.0</v>
      </c>
      <c r="E9" s="1">
        <v>5.0</v>
      </c>
      <c r="F9" s="1">
        <v>367.0</v>
      </c>
      <c r="G9" s="1" t="s">
        <v>393</v>
      </c>
      <c r="H9" s="1" t="s">
        <v>399</v>
      </c>
      <c r="I9" s="1" t="s">
        <v>406</v>
      </c>
    </row>
    <row r="10" spans="1:10" customHeight="1" ht="15">
      <c r="A10" s="3" t="s">
        <v>91</v>
      </c>
      <c r="B10" s="2" t="s">
        <v>386</v>
      </c>
      <c r="C10" s="1">
        <v>0.0</v>
      </c>
      <c r="D10" s="1">
        <v>0.0</v>
      </c>
      <c r="E10" s="1">
        <v>0.0</v>
      </c>
      <c r="F10" s="1">
        <v>0.0</v>
      </c>
      <c r="G10" s="1" t="s">
        <v>387</v>
      </c>
      <c r="H10" s="1" t="s">
        <v>387</v>
      </c>
      <c r="I10" s="1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5"/>
  <sheetViews>
    <sheetView tabSelected="0" workbookViewId="0" showGridLines="true" showRowColHeaders="1">
      <selection activeCell="J2" sqref="J2:J35"/>
    </sheetView>
  </sheetViews>
  <sheetFormatPr defaultRowHeight="14.4" outlineLevelRow="0" outlineLevelCol="0"/>
  <cols>
    <col min="1" max="1" width="2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 customHeight="1" ht="15">
      <c r="A1" t="s">
        <v>383</v>
      </c>
      <c r="B1" t="s">
        <v>407</v>
      </c>
      <c r="C1" s="1" t="s">
        <v>373</v>
      </c>
      <c r="D1" s="1" t="s">
        <v>1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379</v>
      </c>
      <c r="J1" s="1" t="s">
        <v>381</v>
      </c>
    </row>
    <row r="2" spans="1:11" customHeight="1" ht="15">
      <c r="A2" s="3" t="s">
        <v>91</v>
      </c>
      <c r="B2" s="3" t="s">
        <v>384</v>
      </c>
      <c r="C2" s="2" t="s">
        <v>408</v>
      </c>
      <c r="D2" s="1">
        <v>0.0</v>
      </c>
      <c r="E2" s="1">
        <v>0.0</v>
      </c>
      <c r="F2" s="1">
        <v>0.0</v>
      </c>
      <c r="G2" s="1">
        <v>0.0</v>
      </c>
      <c r="H2" s="1" t="s">
        <v>387</v>
      </c>
      <c r="I2" s="1" t="s">
        <v>387</v>
      </c>
      <c r="J2" s="1" t="s">
        <v>400</v>
      </c>
    </row>
    <row r="3" spans="1:11" customHeight="1" ht="15">
      <c r="A3" s="3" t="s">
        <v>91</v>
      </c>
      <c r="B3" s="3" t="s">
        <v>384</v>
      </c>
      <c r="C3" s="2" t="s">
        <v>409</v>
      </c>
      <c r="D3" s="1">
        <v>209.0</v>
      </c>
      <c r="E3" s="1">
        <v>0.0</v>
      </c>
      <c r="F3" s="1">
        <v>9.0</v>
      </c>
      <c r="G3" s="1">
        <v>679.0</v>
      </c>
      <c r="H3" s="1" t="s">
        <v>378</v>
      </c>
      <c r="I3" s="1" t="s">
        <v>380</v>
      </c>
      <c r="J3" s="1" t="s">
        <v>382</v>
      </c>
    </row>
    <row r="4" spans="1:11" customHeight="1" ht="15">
      <c r="A4" s="3" t="s">
        <v>91</v>
      </c>
      <c r="B4" s="3" t="s">
        <v>96</v>
      </c>
      <c r="C4" s="2" t="s">
        <v>410</v>
      </c>
      <c r="D4" s="1">
        <v>0.0</v>
      </c>
      <c r="E4" s="1">
        <v>0.0</v>
      </c>
      <c r="F4" s="1">
        <v>0.0</v>
      </c>
      <c r="G4" s="1">
        <v>0.0</v>
      </c>
      <c r="H4" s="1" t="s">
        <v>387</v>
      </c>
      <c r="I4" s="1" t="s">
        <v>387</v>
      </c>
      <c r="J4" s="1" t="s">
        <v>400</v>
      </c>
    </row>
    <row r="5" spans="1:11" customHeight="1" ht="15">
      <c r="A5" s="3" t="s">
        <v>91</v>
      </c>
      <c r="B5" s="3" t="s">
        <v>100</v>
      </c>
      <c r="C5" s="2" t="s">
        <v>106</v>
      </c>
      <c r="D5" s="1">
        <v>8.0</v>
      </c>
      <c r="E5" s="1">
        <v>0.0</v>
      </c>
      <c r="F5" s="1">
        <v>4.0</v>
      </c>
      <c r="G5" s="1">
        <v>262.0</v>
      </c>
      <c r="H5" s="1" t="s">
        <v>425</v>
      </c>
      <c r="I5" s="1" t="s">
        <v>442</v>
      </c>
      <c r="J5" s="1" t="s">
        <v>402</v>
      </c>
    </row>
    <row r="6" spans="1:11" customHeight="1" ht="15">
      <c r="A6" s="3" t="s">
        <v>91</v>
      </c>
      <c r="B6" s="3" t="s">
        <v>100</v>
      </c>
      <c r="C6" s="2" t="s">
        <v>411</v>
      </c>
      <c r="D6" s="1">
        <v>0.0</v>
      </c>
      <c r="E6" s="1">
        <v>0.0</v>
      </c>
      <c r="F6" s="1">
        <v>0.0</v>
      </c>
      <c r="G6" s="1">
        <v>0.0</v>
      </c>
      <c r="H6" s="1" t="s">
        <v>387</v>
      </c>
      <c r="I6" s="1" t="s">
        <v>387</v>
      </c>
      <c r="J6" s="1" t="s">
        <v>400</v>
      </c>
    </row>
    <row r="7" spans="1:11" customHeight="1" ht="15">
      <c r="A7" s="3" t="s">
        <v>91</v>
      </c>
      <c r="B7" s="3" t="s">
        <v>100</v>
      </c>
      <c r="C7" s="2" t="s">
        <v>412</v>
      </c>
      <c r="D7" s="1">
        <v>0.0</v>
      </c>
      <c r="E7" s="1">
        <v>0.0</v>
      </c>
      <c r="F7" s="1">
        <v>0.0</v>
      </c>
      <c r="G7" s="1">
        <v>0.0</v>
      </c>
      <c r="H7" s="1" t="s">
        <v>387</v>
      </c>
      <c r="I7" s="1" t="s">
        <v>387</v>
      </c>
      <c r="J7" s="1" t="s">
        <v>400</v>
      </c>
    </row>
    <row r="8" spans="1:11" customHeight="1" ht="15">
      <c r="A8" s="3" t="s">
        <v>91</v>
      </c>
      <c r="B8" s="3" t="s">
        <v>100</v>
      </c>
      <c r="C8" s="2" t="s">
        <v>107</v>
      </c>
      <c r="D8" s="1">
        <v>4.0</v>
      </c>
      <c r="E8" s="1">
        <v>0.0</v>
      </c>
      <c r="F8" s="1">
        <v>6.0</v>
      </c>
      <c r="G8" s="1">
        <v>579.0</v>
      </c>
      <c r="H8" s="1" t="s">
        <v>426</v>
      </c>
      <c r="I8" s="1" t="s">
        <v>443</v>
      </c>
      <c r="J8" s="1" t="s">
        <v>459</v>
      </c>
    </row>
    <row r="9" spans="1:11" customHeight="1" ht="15">
      <c r="A9" s="3" t="s">
        <v>91</v>
      </c>
      <c r="B9" s="3" t="s">
        <v>100</v>
      </c>
      <c r="C9" s="2" t="s">
        <v>413</v>
      </c>
      <c r="D9" s="1">
        <v>0.0</v>
      </c>
      <c r="E9" s="1">
        <v>0.0</v>
      </c>
      <c r="F9" s="1">
        <v>0.0</v>
      </c>
      <c r="G9" s="1">
        <v>0.0</v>
      </c>
      <c r="H9" s="1" t="s">
        <v>387</v>
      </c>
      <c r="I9" s="1" t="s">
        <v>387</v>
      </c>
      <c r="J9" s="1" t="s">
        <v>400</v>
      </c>
    </row>
    <row r="10" spans="1:11" customHeight="1" ht="15">
      <c r="A10" s="3" t="s">
        <v>91</v>
      </c>
      <c r="B10" s="3" t="s">
        <v>101</v>
      </c>
      <c r="C10" s="2" t="s">
        <v>113</v>
      </c>
      <c r="D10" s="1">
        <v>13.0</v>
      </c>
      <c r="E10" s="1">
        <v>0.0</v>
      </c>
      <c r="F10" s="1">
        <v>4.0</v>
      </c>
      <c r="G10" s="1">
        <v>489.0</v>
      </c>
      <c r="H10" s="1" t="s">
        <v>427</v>
      </c>
      <c r="I10" s="1" t="s">
        <v>444</v>
      </c>
      <c r="J10" s="1" t="s">
        <v>460</v>
      </c>
    </row>
    <row r="11" spans="1:11" customHeight="1" ht="15">
      <c r="A11" s="3" t="s">
        <v>91</v>
      </c>
      <c r="B11" s="3" t="s">
        <v>101</v>
      </c>
      <c r="C11" s="2" t="s">
        <v>108</v>
      </c>
      <c r="D11" s="1">
        <v>22.0</v>
      </c>
      <c r="E11" s="1">
        <v>0.0</v>
      </c>
      <c r="F11" s="1">
        <v>5.0</v>
      </c>
      <c r="G11" s="1">
        <v>515.0</v>
      </c>
      <c r="H11" s="1" t="s">
        <v>428</v>
      </c>
      <c r="I11" s="1" t="s">
        <v>445</v>
      </c>
      <c r="J11" s="1" t="s">
        <v>461</v>
      </c>
    </row>
    <row r="12" spans="1:11" customHeight="1" ht="15">
      <c r="A12" s="3" t="s">
        <v>91</v>
      </c>
      <c r="B12" s="3" t="s">
        <v>101</v>
      </c>
      <c r="C12" s="2" t="s">
        <v>109</v>
      </c>
      <c r="D12" s="1">
        <v>14.0</v>
      </c>
      <c r="E12" s="1">
        <v>0.0</v>
      </c>
      <c r="F12" s="1">
        <v>4.0</v>
      </c>
      <c r="G12" s="1">
        <v>390.0</v>
      </c>
      <c r="H12" s="1" t="s">
        <v>429</v>
      </c>
      <c r="I12" s="1" t="s">
        <v>446</v>
      </c>
      <c r="J12" s="1" t="s">
        <v>403</v>
      </c>
    </row>
    <row r="13" spans="1:11" customHeight="1" ht="15">
      <c r="A13" s="3" t="s">
        <v>91</v>
      </c>
      <c r="B13" s="3" t="s">
        <v>102</v>
      </c>
      <c r="C13" s="2" t="s">
        <v>111</v>
      </c>
      <c r="D13" s="1">
        <v>5.0</v>
      </c>
      <c r="E13" s="1">
        <v>0.0</v>
      </c>
      <c r="F13" s="1">
        <v>4.0</v>
      </c>
      <c r="G13" s="1">
        <v>427.0</v>
      </c>
      <c r="H13" s="1" t="s">
        <v>430</v>
      </c>
      <c r="I13" s="1" t="s">
        <v>447</v>
      </c>
      <c r="J13" s="1" t="s">
        <v>403</v>
      </c>
    </row>
    <row r="14" spans="1:11" customHeight="1" ht="15">
      <c r="A14" s="3" t="s">
        <v>91</v>
      </c>
      <c r="B14" s="3" t="s">
        <v>102</v>
      </c>
      <c r="C14" s="2" t="s">
        <v>114</v>
      </c>
      <c r="D14" s="1">
        <v>9.0</v>
      </c>
      <c r="E14" s="1">
        <v>0.0</v>
      </c>
      <c r="F14" s="1">
        <v>3.0</v>
      </c>
      <c r="G14" s="1">
        <v>402.0</v>
      </c>
      <c r="H14" s="1" t="s">
        <v>431</v>
      </c>
      <c r="I14" s="1" t="s">
        <v>448</v>
      </c>
      <c r="J14" s="1" t="s">
        <v>462</v>
      </c>
    </row>
    <row r="15" spans="1:11" customHeight="1" ht="15">
      <c r="A15" s="3" t="s">
        <v>91</v>
      </c>
      <c r="B15" s="3" t="s">
        <v>102</v>
      </c>
      <c r="C15" s="2" t="s">
        <v>414</v>
      </c>
      <c r="D15" s="1">
        <v>0.0</v>
      </c>
      <c r="E15" s="1">
        <v>0.0</v>
      </c>
      <c r="F15" s="1">
        <v>0.0</v>
      </c>
      <c r="G15" s="1">
        <v>0.0</v>
      </c>
      <c r="H15" s="1" t="s">
        <v>387</v>
      </c>
      <c r="I15" s="1" t="s">
        <v>387</v>
      </c>
      <c r="J15" s="1" t="s">
        <v>400</v>
      </c>
    </row>
    <row r="16" spans="1:11" customHeight="1" ht="15">
      <c r="A16" s="3" t="s">
        <v>91</v>
      </c>
      <c r="B16" s="3" t="s">
        <v>102</v>
      </c>
      <c r="C16" s="2" t="s">
        <v>112</v>
      </c>
      <c r="D16" s="1">
        <v>15.0</v>
      </c>
      <c r="E16" s="1">
        <v>0.0</v>
      </c>
      <c r="F16" s="1">
        <v>3.0</v>
      </c>
      <c r="G16" s="1">
        <v>214.0</v>
      </c>
      <c r="H16" s="1" t="s">
        <v>432</v>
      </c>
      <c r="I16" s="1" t="s">
        <v>449</v>
      </c>
      <c r="J16" s="1" t="s">
        <v>463</v>
      </c>
    </row>
    <row r="17" spans="1:11" customHeight="1" ht="15">
      <c r="A17" s="3" t="s">
        <v>91</v>
      </c>
      <c r="B17" s="3" t="s">
        <v>102</v>
      </c>
      <c r="C17" s="2" t="s">
        <v>110</v>
      </c>
      <c r="D17" s="1">
        <v>18.0</v>
      </c>
      <c r="E17" s="1">
        <v>0.0</v>
      </c>
      <c r="F17" s="1">
        <v>5.0</v>
      </c>
      <c r="G17" s="1">
        <v>410.0</v>
      </c>
      <c r="H17" s="1" t="s">
        <v>433</v>
      </c>
      <c r="I17" s="1" t="s">
        <v>450</v>
      </c>
      <c r="J17" s="1" t="s">
        <v>406</v>
      </c>
    </row>
    <row r="18" spans="1:11" customHeight="1" ht="15">
      <c r="A18" s="3" t="s">
        <v>91</v>
      </c>
      <c r="B18" s="3" t="s">
        <v>92</v>
      </c>
      <c r="C18" s="2" t="s">
        <v>93</v>
      </c>
      <c r="D18" s="1">
        <v>1.0</v>
      </c>
      <c r="E18" s="1">
        <v>0.0</v>
      </c>
      <c r="F18" s="1">
        <v>30.0</v>
      </c>
      <c r="G18" s="1">
        <v>6044.0</v>
      </c>
      <c r="H18" s="1" t="s">
        <v>434</v>
      </c>
      <c r="I18" s="1" t="s">
        <v>451</v>
      </c>
      <c r="J18" s="1" t="s">
        <v>464</v>
      </c>
    </row>
    <row r="19" spans="1:11" customHeight="1" ht="15">
      <c r="A19" s="3" t="s">
        <v>91</v>
      </c>
      <c r="B19" s="3" t="s">
        <v>99</v>
      </c>
      <c r="C19" s="2" t="s">
        <v>103</v>
      </c>
      <c r="D19" s="1">
        <v>46.0</v>
      </c>
      <c r="E19" s="1">
        <v>0.0</v>
      </c>
      <c r="F19" s="1">
        <v>9.0</v>
      </c>
      <c r="G19" s="1">
        <v>253.0</v>
      </c>
      <c r="H19" s="1" t="s">
        <v>435</v>
      </c>
      <c r="I19" s="1" t="s">
        <v>452</v>
      </c>
      <c r="J19" s="1" t="s">
        <v>465</v>
      </c>
    </row>
    <row r="20" spans="1:11" customHeight="1" ht="15">
      <c r="A20" s="3" t="s">
        <v>91</v>
      </c>
      <c r="B20" s="3" t="s">
        <v>99</v>
      </c>
      <c r="C20" s="2" t="s">
        <v>104</v>
      </c>
      <c r="D20" s="1">
        <v>31.0</v>
      </c>
      <c r="E20" s="1">
        <v>0.0</v>
      </c>
      <c r="F20" s="1">
        <v>15.0</v>
      </c>
      <c r="G20" s="1">
        <v>817.0</v>
      </c>
      <c r="H20" s="1" t="s">
        <v>436</v>
      </c>
      <c r="I20" s="1" t="s">
        <v>453</v>
      </c>
      <c r="J20" s="1" t="s">
        <v>466</v>
      </c>
    </row>
    <row r="21" spans="1:11" customHeight="1" ht="15">
      <c r="A21" s="3" t="s">
        <v>91</v>
      </c>
      <c r="B21" s="3" t="s">
        <v>99</v>
      </c>
      <c r="C21" s="2" t="s">
        <v>116</v>
      </c>
      <c r="D21" s="1">
        <v>1.0</v>
      </c>
      <c r="E21" s="1">
        <v>0.0</v>
      </c>
      <c r="F21" s="1">
        <v>20.0</v>
      </c>
      <c r="G21" s="1">
        <v>929.0</v>
      </c>
      <c r="H21" s="1" t="s">
        <v>437</v>
      </c>
      <c r="I21" s="1" t="s">
        <v>454</v>
      </c>
      <c r="J21" s="1" t="s">
        <v>467</v>
      </c>
    </row>
    <row r="22" spans="1:11" customHeight="1" ht="15">
      <c r="A22" s="3" t="s">
        <v>91</v>
      </c>
      <c r="B22" s="3" t="s">
        <v>100</v>
      </c>
      <c r="C22" s="2" t="s">
        <v>415</v>
      </c>
      <c r="D22" s="1">
        <v>0.0</v>
      </c>
      <c r="E22" s="1">
        <v>0.0</v>
      </c>
      <c r="F22" s="1">
        <v>0.0</v>
      </c>
      <c r="G22" s="1">
        <v>0.0</v>
      </c>
      <c r="H22" s="1" t="s">
        <v>387</v>
      </c>
      <c r="I22" s="1" t="s">
        <v>387</v>
      </c>
      <c r="J22" s="1" t="s">
        <v>400</v>
      </c>
    </row>
    <row r="23" spans="1:11" customHeight="1" ht="15">
      <c r="A23" s="3" t="s">
        <v>91</v>
      </c>
      <c r="B23" s="3" t="s">
        <v>92</v>
      </c>
      <c r="C23" s="2" t="s">
        <v>117</v>
      </c>
      <c r="D23" s="1">
        <v>14.0</v>
      </c>
      <c r="E23" s="1">
        <v>0.0</v>
      </c>
      <c r="F23" s="1">
        <v>28.0</v>
      </c>
      <c r="G23" s="1">
        <v>3383.0</v>
      </c>
      <c r="H23" s="1" t="s">
        <v>438</v>
      </c>
      <c r="I23" s="1" t="s">
        <v>455</v>
      </c>
      <c r="J23" s="1" t="s">
        <v>468</v>
      </c>
    </row>
    <row r="24" spans="1:11" customHeight="1" ht="15">
      <c r="A24" s="3" t="s">
        <v>91</v>
      </c>
      <c r="B24" s="3" t="s">
        <v>92</v>
      </c>
      <c r="C24" s="2" t="s">
        <v>416</v>
      </c>
      <c r="D24" s="1">
        <v>0.0</v>
      </c>
      <c r="E24" s="1">
        <v>0.0</v>
      </c>
      <c r="F24" s="1">
        <v>0.0</v>
      </c>
      <c r="G24" s="1">
        <v>0.0</v>
      </c>
      <c r="H24" s="1" t="s">
        <v>387</v>
      </c>
      <c r="I24" s="1" t="s">
        <v>387</v>
      </c>
      <c r="J24" s="1" t="s">
        <v>400</v>
      </c>
    </row>
    <row r="25" spans="1:11" customHeight="1" ht="15">
      <c r="A25" s="3" t="s">
        <v>91</v>
      </c>
      <c r="B25" s="3" t="s">
        <v>96</v>
      </c>
      <c r="C25" s="2" t="s">
        <v>417</v>
      </c>
      <c r="D25" s="1">
        <v>0.0</v>
      </c>
      <c r="E25" s="1">
        <v>0.0</v>
      </c>
      <c r="F25" s="1">
        <v>0.0</v>
      </c>
      <c r="G25" s="1">
        <v>0.0</v>
      </c>
      <c r="H25" s="1" t="s">
        <v>387</v>
      </c>
      <c r="I25" s="1" t="s">
        <v>387</v>
      </c>
      <c r="J25" s="1" t="s">
        <v>400</v>
      </c>
    </row>
    <row r="26" spans="1:11" customHeight="1" ht="15">
      <c r="A26" s="3" t="s">
        <v>91</v>
      </c>
      <c r="B26" s="3" t="s">
        <v>92</v>
      </c>
      <c r="C26" s="2" t="s">
        <v>105</v>
      </c>
      <c r="D26" s="1">
        <v>2.0</v>
      </c>
      <c r="E26" s="1">
        <v>0.0</v>
      </c>
      <c r="F26" s="1">
        <v>6.0</v>
      </c>
      <c r="G26" s="1">
        <v>173.0</v>
      </c>
      <c r="H26" s="1" t="s">
        <v>439</v>
      </c>
      <c r="I26" s="1" t="s">
        <v>456</v>
      </c>
      <c r="J26" s="1" t="s">
        <v>469</v>
      </c>
    </row>
    <row r="27" spans="1:11" customHeight="1" ht="15">
      <c r="A27" s="3" t="s">
        <v>91</v>
      </c>
      <c r="B27" s="3" t="s">
        <v>96</v>
      </c>
      <c r="C27" s="2" t="s">
        <v>97</v>
      </c>
      <c r="D27" s="1">
        <v>2.0</v>
      </c>
      <c r="E27" s="1">
        <v>0.0</v>
      </c>
      <c r="F27" s="1">
        <v>23.0</v>
      </c>
      <c r="G27" s="1">
        <v>2073.0</v>
      </c>
      <c r="H27" s="1" t="s">
        <v>388</v>
      </c>
      <c r="I27" s="1" t="s">
        <v>394</v>
      </c>
      <c r="J27" s="1" t="s">
        <v>401</v>
      </c>
    </row>
    <row r="28" spans="1:11" customHeight="1" ht="15">
      <c r="A28" s="3" t="s">
        <v>91</v>
      </c>
      <c r="B28" s="3" t="s">
        <v>96</v>
      </c>
      <c r="C28" s="2" t="s">
        <v>418</v>
      </c>
      <c r="D28" s="1">
        <v>0.0</v>
      </c>
      <c r="E28" s="1">
        <v>0.0</v>
      </c>
      <c r="F28" s="1">
        <v>0.0</v>
      </c>
      <c r="G28" s="1">
        <v>0.0</v>
      </c>
      <c r="H28" s="1" t="s">
        <v>387</v>
      </c>
      <c r="I28" s="1" t="s">
        <v>387</v>
      </c>
      <c r="J28" s="1" t="s">
        <v>400</v>
      </c>
    </row>
    <row r="29" spans="1:11" customHeight="1" ht="15">
      <c r="A29" s="3" t="s">
        <v>91</v>
      </c>
      <c r="B29" s="3" t="s">
        <v>96</v>
      </c>
      <c r="C29" s="2" t="s">
        <v>419</v>
      </c>
      <c r="D29" s="1">
        <v>0.0</v>
      </c>
      <c r="E29" s="1">
        <v>0.0</v>
      </c>
      <c r="F29" s="1">
        <v>0.0</v>
      </c>
      <c r="G29" s="1">
        <v>0.0</v>
      </c>
      <c r="H29" s="1" t="s">
        <v>387</v>
      </c>
      <c r="I29" s="1" t="s">
        <v>387</v>
      </c>
      <c r="J29" s="1" t="s">
        <v>400</v>
      </c>
    </row>
    <row r="30" spans="1:11" customHeight="1" ht="15">
      <c r="A30" s="3" t="s">
        <v>91</v>
      </c>
      <c r="B30" s="3" t="s">
        <v>96</v>
      </c>
      <c r="C30" s="2" t="s">
        <v>420</v>
      </c>
      <c r="D30" s="1">
        <v>0.0</v>
      </c>
      <c r="E30" s="1">
        <v>0.0</v>
      </c>
      <c r="F30" s="1">
        <v>0.0</v>
      </c>
      <c r="G30" s="1">
        <v>0.0</v>
      </c>
      <c r="H30" s="1" t="s">
        <v>387</v>
      </c>
      <c r="I30" s="1" t="s">
        <v>387</v>
      </c>
      <c r="J30" s="1" t="s">
        <v>400</v>
      </c>
    </row>
    <row r="31" spans="1:11" customHeight="1" ht="15">
      <c r="A31" s="3" t="s">
        <v>91</v>
      </c>
      <c r="B31" s="3" t="s">
        <v>100</v>
      </c>
      <c r="C31" s="2" t="s">
        <v>421</v>
      </c>
      <c r="D31" s="1">
        <v>0.0</v>
      </c>
      <c r="E31" s="1">
        <v>0.0</v>
      </c>
      <c r="F31" s="1">
        <v>0.0</v>
      </c>
      <c r="G31" s="1">
        <v>0.0</v>
      </c>
      <c r="H31" s="1" t="s">
        <v>387</v>
      </c>
      <c r="I31" s="1" t="s">
        <v>387</v>
      </c>
      <c r="J31" s="1" t="s">
        <v>400</v>
      </c>
    </row>
    <row r="32" spans="1:11" customHeight="1" ht="15">
      <c r="A32" s="3" t="s">
        <v>91</v>
      </c>
      <c r="B32" s="3" t="s">
        <v>384</v>
      </c>
      <c r="C32" s="2" t="s">
        <v>422</v>
      </c>
      <c r="D32" s="1">
        <v>202.0</v>
      </c>
      <c r="E32" s="1">
        <v>0.0</v>
      </c>
      <c r="F32" s="1">
        <v>9.0</v>
      </c>
      <c r="G32" s="1">
        <v>699.0</v>
      </c>
      <c r="H32" s="1" t="s">
        <v>440</v>
      </c>
      <c r="I32" s="1" t="s">
        <v>457</v>
      </c>
      <c r="J32" s="1" t="s">
        <v>382</v>
      </c>
    </row>
    <row r="33" spans="1:11" customHeight="1" ht="15">
      <c r="A33" s="3" t="s">
        <v>91</v>
      </c>
      <c r="B33" s="3" t="s">
        <v>92</v>
      </c>
      <c r="C33" s="2" t="s">
        <v>423</v>
      </c>
      <c r="D33" s="1">
        <v>0.0</v>
      </c>
      <c r="E33" s="1">
        <v>0.0</v>
      </c>
      <c r="F33" s="1">
        <v>0.0</v>
      </c>
      <c r="G33" s="1">
        <v>0.0</v>
      </c>
      <c r="H33" s="1" t="s">
        <v>387</v>
      </c>
      <c r="I33" s="1" t="s">
        <v>387</v>
      </c>
      <c r="J33" s="1" t="s">
        <v>400</v>
      </c>
    </row>
    <row r="34" spans="1:11" customHeight="1" ht="15">
      <c r="A34" s="3" t="s">
        <v>91</v>
      </c>
      <c r="B34" s="3" t="s">
        <v>101</v>
      </c>
      <c r="C34" s="2" t="s">
        <v>115</v>
      </c>
      <c r="D34" s="1">
        <v>1.0</v>
      </c>
      <c r="E34" s="1">
        <v>0.0</v>
      </c>
      <c r="F34" s="1">
        <v>5.0</v>
      </c>
      <c r="G34" s="1">
        <v>509.0</v>
      </c>
      <c r="H34" s="1" t="s">
        <v>441</v>
      </c>
      <c r="I34" s="1" t="s">
        <v>458</v>
      </c>
      <c r="J34" s="1" t="s">
        <v>470</v>
      </c>
    </row>
    <row r="35" spans="1:11" customHeight="1" ht="15">
      <c r="A35" s="3" t="s">
        <v>91</v>
      </c>
      <c r="B35" s="3" t="s">
        <v>96</v>
      </c>
      <c r="C35" s="2" t="s">
        <v>424</v>
      </c>
      <c r="D35" s="1">
        <v>0.0</v>
      </c>
      <c r="E35" s="1">
        <v>0.0</v>
      </c>
      <c r="F35" s="1">
        <v>0.0</v>
      </c>
      <c r="G35" s="1">
        <v>0.0</v>
      </c>
      <c r="H35" s="1" t="s">
        <v>387</v>
      </c>
      <c r="I35" s="1" t="s">
        <v>387</v>
      </c>
      <c r="J35" s="1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0" workbookViewId="0" showGridLines="true" showRowColHeaders="1">
      <selection activeCell="K2" sqref="K2:K9"/>
    </sheetView>
  </sheetViews>
  <sheetFormatPr defaultRowHeight="14.4" outlineLevelRow="0" outlineLevelCol="0"/>
  <cols>
    <col min="1" max="1" width="2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 customHeight="1" ht="15">
      <c r="A1" t="s">
        <v>383</v>
      </c>
      <c r="B1" t="s">
        <v>407</v>
      </c>
      <c r="C1" t="s">
        <v>471</v>
      </c>
      <c r="D1" s="1" t="s">
        <v>373</v>
      </c>
      <c r="E1" s="1" t="s">
        <v>1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379</v>
      </c>
      <c r="K1" s="1" t="s">
        <v>381</v>
      </c>
    </row>
    <row r="2" spans="1:12" customHeight="1" ht="15">
      <c r="A2" s="3" t="s">
        <v>91</v>
      </c>
      <c r="B2" s="3" t="s">
        <v>384</v>
      </c>
      <c r="C2" s="3" t="s">
        <v>409</v>
      </c>
      <c r="D2" s="2" t="s">
        <v>472</v>
      </c>
      <c r="E2" s="1">
        <v>0.0</v>
      </c>
      <c r="F2" s="1">
        <v>0.0</v>
      </c>
      <c r="G2" s="1">
        <v>0.0</v>
      </c>
      <c r="H2" s="1">
        <v>0.0</v>
      </c>
      <c r="I2" s="1" t="s">
        <v>387</v>
      </c>
      <c r="J2" s="1" t="s">
        <v>387</v>
      </c>
      <c r="K2" s="1" t="s">
        <v>400</v>
      </c>
    </row>
    <row r="3" spans="1:12" customHeight="1" ht="15">
      <c r="A3" s="3" t="s">
        <v>91</v>
      </c>
      <c r="B3" s="3" t="s">
        <v>384</v>
      </c>
      <c r="C3" s="3" t="s">
        <v>422</v>
      </c>
      <c r="D3" s="2" t="s">
        <v>473</v>
      </c>
      <c r="E3" s="1">
        <v>0.0</v>
      </c>
      <c r="F3" s="1">
        <v>0.0</v>
      </c>
      <c r="G3" s="1">
        <v>0.0</v>
      </c>
      <c r="H3" s="1">
        <v>0.0</v>
      </c>
      <c r="I3" s="1" t="s">
        <v>387</v>
      </c>
      <c r="J3" s="1" t="s">
        <v>387</v>
      </c>
      <c r="K3" s="1" t="s">
        <v>400</v>
      </c>
    </row>
    <row r="4" spans="1:12" customHeight="1" ht="15">
      <c r="A4" s="3" t="s">
        <v>91</v>
      </c>
      <c r="B4" s="3" t="s">
        <v>384</v>
      </c>
      <c r="C4" s="3" t="s">
        <v>409</v>
      </c>
      <c r="D4" s="2" t="s">
        <v>474</v>
      </c>
      <c r="E4" s="1">
        <v>0.0</v>
      </c>
      <c r="F4" s="1">
        <v>0.0</v>
      </c>
      <c r="G4" s="1">
        <v>0.0</v>
      </c>
      <c r="H4" s="1">
        <v>0.0</v>
      </c>
      <c r="I4" s="1" t="s">
        <v>387</v>
      </c>
      <c r="J4" s="1" t="s">
        <v>387</v>
      </c>
      <c r="K4" s="1" t="s">
        <v>400</v>
      </c>
    </row>
    <row r="5" spans="1:12" customHeight="1" ht="15">
      <c r="A5" s="3" t="s">
        <v>91</v>
      </c>
      <c r="B5" s="3" t="s">
        <v>384</v>
      </c>
      <c r="C5" s="3" t="s">
        <v>422</v>
      </c>
      <c r="D5" s="2" t="s">
        <v>475</v>
      </c>
      <c r="E5" s="1">
        <v>0.0</v>
      </c>
      <c r="F5" s="1">
        <v>0.0</v>
      </c>
      <c r="G5" s="1">
        <v>0.0</v>
      </c>
      <c r="H5" s="1">
        <v>0.0</v>
      </c>
      <c r="I5" s="1" t="s">
        <v>387</v>
      </c>
      <c r="J5" s="1" t="s">
        <v>387</v>
      </c>
      <c r="K5" s="1" t="s">
        <v>400</v>
      </c>
    </row>
    <row r="6" spans="1:12" customHeight="1" ht="15">
      <c r="A6" s="3" t="s">
        <v>91</v>
      </c>
      <c r="B6" s="3" t="s">
        <v>384</v>
      </c>
      <c r="C6" s="3" t="s">
        <v>422</v>
      </c>
      <c r="D6" s="2" t="s">
        <v>476</v>
      </c>
      <c r="E6" s="1">
        <v>202.0</v>
      </c>
      <c r="F6" s="1">
        <v>0.0</v>
      </c>
      <c r="G6" s="1">
        <v>9.0</v>
      </c>
      <c r="H6" s="1">
        <v>699.0</v>
      </c>
      <c r="I6" s="1" t="s">
        <v>440</v>
      </c>
      <c r="J6" s="1" t="s">
        <v>457</v>
      </c>
      <c r="K6" s="1" t="s">
        <v>382</v>
      </c>
    </row>
    <row r="7" spans="1:12" customHeight="1" ht="15">
      <c r="A7" s="3" t="s">
        <v>91</v>
      </c>
      <c r="B7" s="3" t="s">
        <v>384</v>
      </c>
      <c r="C7" s="3" t="s">
        <v>422</v>
      </c>
      <c r="D7" s="2" t="s">
        <v>477</v>
      </c>
      <c r="E7" s="1">
        <v>15.0</v>
      </c>
      <c r="F7" s="1">
        <v>0.0</v>
      </c>
      <c r="G7" s="1">
        <v>7.0</v>
      </c>
      <c r="H7" s="1">
        <v>717.0</v>
      </c>
      <c r="I7" s="1" t="s">
        <v>480</v>
      </c>
      <c r="J7" s="1" t="s">
        <v>481</v>
      </c>
      <c r="K7" s="1" t="s">
        <v>482</v>
      </c>
    </row>
    <row r="8" spans="1:12" customHeight="1" ht="15">
      <c r="A8" s="3" t="s">
        <v>91</v>
      </c>
      <c r="B8" s="3" t="s">
        <v>384</v>
      </c>
      <c r="C8" s="3" t="s">
        <v>409</v>
      </c>
      <c r="D8" s="2" t="s">
        <v>478</v>
      </c>
      <c r="E8" s="1">
        <v>0.0</v>
      </c>
      <c r="F8" s="1">
        <v>0.0</v>
      </c>
      <c r="G8" s="1">
        <v>0.0</v>
      </c>
      <c r="H8" s="1">
        <v>0.0</v>
      </c>
      <c r="I8" s="1" t="s">
        <v>387</v>
      </c>
      <c r="J8" s="1" t="s">
        <v>387</v>
      </c>
      <c r="K8" s="1" t="s">
        <v>400</v>
      </c>
    </row>
    <row r="9" spans="1:12" customHeight="1" ht="15">
      <c r="A9" s="3" t="s">
        <v>91</v>
      </c>
      <c r="B9" s="3" t="s">
        <v>384</v>
      </c>
      <c r="C9" s="3" t="s">
        <v>409</v>
      </c>
      <c r="D9" s="2" t="s">
        <v>479</v>
      </c>
      <c r="E9" s="1">
        <v>209.0</v>
      </c>
      <c r="F9" s="1">
        <v>0.0</v>
      </c>
      <c r="G9" s="1">
        <v>9.0</v>
      </c>
      <c r="H9" s="1">
        <v>679.0</v>
      </c>
      <c r="I9" s="1" t="s">
        <v>378</v>
      </c>
      <c r="J9" s="1" t="s">
        <v>380</v>
      </c>
      <c r="K9" s="1" t="s">
        <v>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0" workbookViewId="0" showGridLines="true" showRowColHeaders="1">
      <selection activeCell="L2" sqref="L2:L10"/>
    </sheetView>
  </sheetViews>
  <sheetFormatPr defaultRowHeight="14.4" outlineLevelRow="0" outlineLevelCol="0"/>
  <cols>
    <col min="1" max="1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 customHeight="1" ht="15">
      <c r="A1" t="s">
        <v>383</v>
      </c>
      <c r="B1" t="s">
        <v>407</v>
      </c>
      <c r="C1" t="s">
        <v>471</v>
      </c>
      <c r="D1" t="s">
        <v>483</v>
      </c>
      <c r="E1" s="1" t="s">
        <v>373</v>
      </c>
      <c r="F1" s="1" t="s">
        <v>1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379</v>
      </c>
      <c r="L1" s="1" t="s">
        <v>381</v>
      </c>
    </row>
    <row r="2" spans="1:13" customHeight="1" ht="15">
      <c r="A2" s="3" t="s">
        <v>91</v>
      </c>
      <c r="B2" s="3" t="s">
        <v>384</v>
      </c>
      <c r="C2" s="3" t="s">
        <v>422</v>
      </c>
      <c r="D2" s="3" t="s">
        <v>473</v>
      </c>
      <c r="E2" s="2" t="s">
        <v>484</v>
      </c>
      <c r="F2" s="1">
        <v>0.0</v>
      </c>
      <c r="G2" s="1">
        <v>0.0</v>
      </c>
      <c r="H2" s="1">
        <v>0.0</v>
      </c>
      <c r="I2" s="1">
        <v>0.0</v>
      </c>
      <c r="J2" s="1" t="s">
        <v>387</v>
      </c>
      <c r="K2" s="1" t="s">
        <v>387</v>
      </c>
      <c r="L2" s="1" t="s">
        <v>400</v>
      </c>
    </row>
    <row r="3" spans="1:13" customHeight="1" ht="15">
      <c r="A3" s="3" t="s">
        <v>91</v>
      </c>
      <c r="B3" s="3" t="s">
        <v>384</v>
      </c>
      <c r="C3" s="3" t="s">
        <v>422</v>
      </c>
      <c r="D3" s="3" t="s">
        <v>476</v>
      </c>
      <c r="E3" s="2" t="s">
        <v>485</v>
      </c>
      <c r="F3" s="1">
        <v>0.0</v>
      </c>
      <c r="G3" s="1">
        <v>0.0</v>
      </c>
      <c r="H3" s="1">
        <v>0.0</v>
      </c>
      <c r="I3" s="1">
        <v>0.0</v>
      </c>
      <c r="J3" s="1" t="s">
        <v>387</v>
      </c>
      <c r="K3" s="1" t="s">
        <v>387</v>
      </c>
      <c r="L3" s="1" t="s">
        <v>400</v>
      </c>
    </row>
    <row r="4" spans="1:13" customHeight="1" ht="15">
      <c r="A4" s="3" t="s">
        <v>91</v>
      </c>
      <c r="B4" s="3" t="s">
        <v>384</v>
      </c>
      <c r="C4" s="3" t="s">
        <v>422</v>
      </c>
      <c r="D4" s="3" t="s">
        <v>476</v>
      </c>
      <c r="E4" s="2" t="s">
        <v>486</v>
      </c>
      <c r="F4" s="1">
        <v>0.0</v>
      </c>
      <c r="G4" s="1">
        <v>0.0</v>
      </c>
      <c r="H4" s="1">
        <v>0.0</v>
      </c>
      <c r="I4" s="1">
        <v>0.0</v>
      </c>
      <c r="J4" s="1" t="s">
        <v>387</v>
      </c>
      <c r="K4" s="1" t="s">
        <v>387</v>
      </c>
      <c r="L4" s="1" t="s">
        <v>400</v>
      </c>
    </row>
    <row r="5" spans="1:13" customHeight="1" ht="15">
      <c r="A5" s="3" t="s">
        <v>91</v>
      </c>
      <c r="B5" s="3" t="s">
        <v>384</v>
      </c>
      <c r="C5" s="3" t="s">
        <v>422</v>
      </c>
      <c r="D5" s="3" t="s">
        <v>476</v>
      </c>
      <c r="E5" s="2" t="s">
        <v>487</v>
      </c>
      <c r="F5" s="1">
        <v>197.0</v>
      </c>
      <c r="G5" s="1">
        <v>0.0</v>
      </c>
      <c r="H5" s="1">
        <v>9.0</v>
      </c>
      <c r="I5" s="1">
        <v>711.0</v>
      </c>
      <c r="J5" s="1" t="s">
        <v>493</v>
      </c>
      <c r="K5" s="1" t="s">
        <v>495</v>
      </c>
      <c r="L5" s="1" t="s">
        <v>497</v>
      </c>
    </row>
    <row r="6" spans="1:13" customHeight="1" ht="15">
      <c r="A6" s="3" t="s">
        <v>91</v>
      </c>
      <c r="B6" s="3" t="s">
        <v>384</v>
      </c>
      <c r="C6" s="3" t="s">
        <v>422</v>
      </c>
      <c r="D6" s="3" t="s">
        <v>476</v>
      </c>
      <c r="E6" s="2" t="s">
        <v>488</v>
      </c>
      <c r="F6" s="1">
        <v>0.0</v>
      </c>
      <c r="G6" s="1">
        <v>0.0</v>
      </c>
      <c r="H6" s="1">
        <v>0.0</v>
      </c>
      <c r="I6" s="1">
        <v>0.0</v>
      </c>
      <c r="J6" s="1" t="s">
        <v>387</v>
      </c>
      <c r="K6" s="1" t="s">
        <v>387</v>
      </c>
      <c r="L6" s="1" t="s">
        <v>400</v>
      </c>
    </row>
    <row r="7" spans="1:13" customHeight="1" ht="15">
      <c r="A7" s="3" t="s">
        <v>91</v>
      </c>
      <c r="B7" s="3" t="s">
        <v>384</v>
      </c>
      <c r="C7" s="3" t="s">
        <v>422</v>
      </c>
      <c r="D7" s="3" t="s">
        <v>476</v>
      </c>
      <c r="E7" s="2" t="s">
        <v>489</v>
      </c>
      <c r="F7" s="1">
        <v>5.0</v>
      </c>
      <c r="G7" s="1">
        <v>0.0</v>
      </c>
      <c r="H7" s="1">
        <v>6.0</v>
      </c>
      <c r="I7" s="1">
        <v>234.0</v>
      </c>
      <c r="J7" s="1" t="s">
        <v>494</v>
      </c>
      <c r="K7" s="1" t="s">
        <v>496</v>
      </c>
      <c r="L7" s="1" t="s">
        <v>459</v>
      </c>
    </row>
    <row r="8" spans="1:13" customHeight="1" ht="15">
      <c r="A8" s="3" t="s">
        <v>91</v>
      </c>
      <c r="B8" s="3" t="s">
        <v>384</v>
      </c>
      <c r="C8" s="3" t="s">
        <v>422</v>
      </c>
      <c r="D8" s="3" t="s">
        <v>476</v>
      </c>
      <c r="E8" s="2" t="s">
        <v>490</v>
      </c>
      <c r="F8" s="1">
        <v>0.0</v>
      </c>
      <c r="G8" s="1">
        <v>0.0</v>
      </c>
      <c r="H8" s="1">
        <v>0.0</v>
      </c>
      <c r="I8" s="1">
        <v>0.0</v>
      </c>
      <c r="J8" s="1" t="s">
        <v>387</v>
      </c>
      <c r="K8" s="1" t="s">
        <v>387</v>
      </c>
      <c r="L8" s="1" t="s">
        <v>400</v>
      </c>
    </row>
    <row r="9" spans="1:13" customHeight="1" ht="15">
      <c r="A9" s="3" t="s">
        <v>91</v>
      </c>
      <c r="B9" s="3" t="s">
        <v>384</v>
      </c>
      <c r="C9" s="3" t="s">
        <v>422</v>
      </c>
      <c r="D9" s="3" t="s">
        <v>473</v>
      </c>
      <c r="E9" s="2" t="s">
        <v>491</v>
      </c>
      <c r="F9" s="1">
        <v>0.0</v>
      </c>
      <c r="G9" s="1">
        <v>0.0</v>
      </c>
      <c r="H9" s="1">
        <v>0.0</v>
      </c>
      <c r="I9" s="1">
        <v>0.0</v>
      </c>
      <c r="J9" s="1" t="s">
        <v>387</v>
      </c>
      <c r="K9" s="1" t="s">
        <v>387</v>
      </c>
      <c r="L9" s="1" t="s">
        <v>400</v>
      </c>
    </row>
    <row r="10" spans="1:13" customHeight="1" ht="15">
      <c r="A10" s="3" t="s">
        <v>91</v>
      </c>
      <c r="B10" s="3" t="s">
        <v>384</v>
      </c>
      <c r="C10" s="3" t="s">
        <v>422</v>
      </c>
      <c r="D10" s="3" t="s">
        <v>476</v>
      </c>
      <c r="E10" s="2" t="s">
        <v>492</v>
      </c>
      <c r="F10" s="1">
        <v>0.0</v>
      </c>
      <c r="G10" s="1">
        <v>0.0</v>
      </c>
      <c r="H10" s="1">
        <v>0.0</v>
      </c>
      <c r="I10" s="1">
        <v>0.0</v>
      </c>
      <c r="J10" s="1" t="s">
        <v>387</v>
      </c>
      <c r="K10" s="1" t="s">
        <v>387</v>
      </c>
      <c r="L10" s="1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2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>
      <c r="A1" s="202" t="s">
        <v>498</v>
      </c>
      <c r="B1" s="204" t="s">
        <v>499</v>
      </c>
    </row>
    <row r="2" spans="1:15">
      <c r="A2" s="202" t="s">
        <v>500</v>
      </c>
      <c r="B2" s="204">
        <f>B4</f>
        <v>46202</v>
      </c>
    </row>
    <row r="3" spans="1:15">
      <c r="A3" s="202" t="s">
        <v>501</v>
      </c>
      <c r="B3" s="204">
        <v>46173.0</v>
      </c>
    </row>
    <row r="4" spans="1:15">
      <c r="A4" s="202" t="s">
        <v>502</v>
      </c>
      <c r="B4" s="204">
        <v>46202.0</v>
      </c>
    </row>
    <row r="5" spans="1:15">
      <c r="A5" s="202" t="s">
        <v>13</v>
      </c>
      <c r="B5" s="205">
        <f>B4-B3+1</f>
        <v>30</v>
      </c>
    </row>
    <row r="6" spans="1:15">
      <c r="A6" s="203" t="s">
        <v>503</v>
      </c>
      <c r="B6" s="206" t="s">
        <v>504</v>
      </c>
    </row>
    <row r="7" spans="1:15" customHeight="1" ht="15">
      <c r="A7" t="s">
        <v>383</v>
      </c>
      <c r="B7" t="s">
        <v>407</v>
      </c>
      <c r="C7" t="s">
        <v>471</v>
      </c>
      <c r="D7" t="s">
        <v>483</v>
      </c>
      <c r="E7" t="s">
        <v>505</v>
      </c>
      <c r="F7" s="1" t="s">
        <v>72</v>
      </c>
      <c r="G7" s="1" t="s">
        <v>506</v>
      </c>
      <c r="H7" s="1" t="s">
        <v>74</v>
      </c>
      <c r="I7" s="1" t="s">
        <v>507</v>
      </c>
      <c r="J7" s="1" t="s">
        <v>508</v>
      </c>
      <c r="K7" s="1" t="s">
        <v>509</v>
      </c>
      <c r="L7" s="1" t="s">
        <v>510</v>
      </c>
      <c r="M7" s="1" t="s">
        <v>712</v>
      </c>
      <c r="N7" s="1" t="s">
        <v>381</v>
      </c>
    </row>
    <row r="8" spans="1:15" customHeight="1" ht="15">
      <c r="A8" s="3" t="s">
        <v>91</v>
      </c>
      <c r="B8" s="3" t="s">
        <v>92</v>
      </c>
      <c r="C8" s="3" t="s">
        <v>93</v>
      </c>
      <c r="D8" s="3"/>
      <c r="E8" s="3"/>
      <c r="F8" s="2" t="s">
        <v>94</v>
      </c>
      <c r="G8" s="2"/>
      <c r="H8" s="1" t="s">
        <v>95</v>
      </c>
      <c r="I8" s="1">
        <v>30820.0</v>
      </c>
      <c r="J8" s="1">
        <v>30.0</v>
      </c>
      <c r="K8" s="1">
        <v>6044.0</v>
      </c>
      <c r="L8" s="1" t="s">
        <v>434</v>
      </c>
      <c r="M8" s="1" t="s">
        <v>451</v>
      </c>
      <c r="N8" s="1" t="s">
        <v>464</v>
      </c>
    </row>
    <row r="9" spans="1:15" customHeight="1" ht="15">
      <c r="A9" s="3" t="s">
        <v>91</v>
      </c>
      <c r="B9" s="3" t="s">
        <v>96</v>
      </c>
      <c r="C9" s="3" t="s">
        <v>97</v>
      </c>
      <c r="D9" s="3"/>
      <c r="E9" s="3"/>
      <c r="F9" s="2" t="s">
        <v>98</v>
      </c>
      <c r="G9" s="2"/>
      <c r="H9" s="1" t="s">
        <v>95</v>
      </c>
      <c r="I9" s="1">
        <v>24050.0</v>
      </c>
      <c r="J9" s="1">
        <v>22.0</v>
      </c>
      <c r="K9" s="1">
        <v>1208.0</v>
      </c>
      <c r="L9" s="1" t="s">
        <v>511</v>
      </c>
      <c r="M9" s="1" t="s">
        <v>713</v>
      </c>
      <c r="N9" s="1" t="s">
        <v>909</v>
      </c>
    </row>
    <row r="10" spans="1:15" customHeight="1" ht="15">
      <c r="A10" s="3" t="s">
        <v>91</v>
      </c>
      <c r="B10" s="3" t="s">
        <v>99</v>
      </c>
      <c r="C10" s="3" t="s">
        <v>103</v>
      </c>
      <c r="D10" s="3"/>
      <c r="E10" s="3"/>
      <c r="F10" s="2" t="s">
        <v>118</v>
      </c>
      <c r="G10" s="2"/>
      <c r="H10" s="1" t="s">
        <v>95</v>
      </c>
      <c r="I10" s="1">
        <v>7510.0</v>
      </c>
      <c r="J10" s="1">
        <v>20.0</v>
      </c>
      <c r="K10" s="1">
        <v>483.0</v>
      </c>
      <c r="L10" s="1" t="s">
        <v>512</v>
      </c>
      <c r="M10" s="1" t="s">
        <v>714</v>
      </c>
      <c r="N10" s="1" t="s">
        <v>910</v>
      </c>
    </row>
    <row r="11" spans="1:15" customHeight="1" ht="15">
      <c r="A11" s="3" t="s">
        <v>91</v>
      </c>
      <c r="B11" s="3" t="s">
        <v>99</v>
      </c>
      <c r="C11" s="3" t="s">
        <v>103</v>
      </c>
      <c r="D11" s="3"/>
      <c r="E11" s="3"/>
      <c r="F11" s="2" t="s">
        <v>119</v>
      </c>
      <c r="G11" s="2"/>
      <c r="H11" s="1" t="s">
        <v>95</v>
      </c>
      <c r="I11" s="1">
        <v>10809.0</v>
      </c>
      <c r="J11" s="1">
        <v>26.0</v>
      </c>
      <c r="K11" s="1">
        <v>860.0</v>
      </c>
      <c r="L11" s="1" t="s">
        <v>513</v>
      </c>
      <c r="M11" s="1" t="s">
        <v>715</v>
      </c>
      <c r="N11" s="1" t="s">
        <v>911</v>
      </c>
    </row>
    <row r="12" spans="1:15" customHeight="1" ht="15">
      <c r="A12" s="3" t="s">
        <v>91</v>
      </c>
      <c r="B12" s="3" t="s">
        <v>99</v>
      </c>
      <c r="C12" s="3" t="s">
        <v>104</v>
      </c>
      <c r="D12" s="3"/>
      <c r="E12" s="3"/>
      <c r="F12" s="2" t="s">
        <v>120</v>
      </c>
      <c r="G12" s="2"/>
      <c r="H12" s="1" t="s">
        <v>95</v>
      </c>
      <c r="I12" s="1">
        <v>138492.0</v>
      </c>
      <c r="J12" s="1">
        <v>24.0</v>
      </c>
      <c r="K12" s="1">
        <v>3187.0</v>
      </c>
      <c r="L12" s="1" t="s">
        <v>514</v>
      </c>
      <c r="M12" s="1" t="s">
        <v>716</v>
      </c>
      <c r="N12" s="1" t="s">
        <v>912</v>
      </c>
    </row>
    <row r="13" spans="1:15" customHeight="1" ht="15">
      <c r="A13" s="3" t="s">
        <v>91</v>
      </c>
      <c r="B13" s="3" t="s">
        <v>99</v>
      </c>
      <c r="C13" s="3" t="s">
        <v>104</v>
      </c>
      <c r="D13" s="3"/>
      <c r="E13" s="3"/>
      <c r="F13" s="2" t="s">
        <v>121</v>
      </c>
      <c r="G13" s="2"/>
      <c r="H13" s="1" t="s">
        <v>95</v>
      </c>
      <c r="I13" s="1">
        <v>20833.0</v>
      </c>
      <c r="J13" s="1">
        <v>20.0</v>
      </c>
      <c r="K13" s="1">
        <v>1701.0</v>
      </c>
      <c r="L13" s="1" t="s">
        <v>515</v>
      </c>
      <c r="M13" s="1" t="s">
        <v>717</v>
      </c>
      <c r="N13" s="1" t="s">
        <v>913</v>
      </c>
    </row>
    <row r="14" spans="1:15" customHeight="1" ht="15">
      <c r="A14" s="3" t="s">
        <v>91</v>
      </c>
      <c r="B14" s="3" t="s">
        <v>99</v>
      </c>
      <c r="C14" s="3" t="s">
        <v>104</v>
      </c>
      <c r="D14" s="3"/>
      <c r="E14" s="3"/>
      <c r="F14" s="2" t="s">
        <v>122</v>
      </c>
      <c r="G14" s="2"/>
      <c r="H14" s="1" t="s">
        <v>95</v>
      </c>
      <c r="I14" s="1">
        <v>21171.0</v>
      </c>
      <c r="J14" s="1">
        <v>22.0</v>
      </c>
      <c r="K14" s="1">
        <v>1042.0</v>
      </c>
      <c r="L14" s="1" t="s">
        <v>516</v>
      </c>
      <c r="M14" s="1" t="s">
        <v>718</v>
      </c>
      <c r="N14" s="1" t="s">
        <v>913</v>
      </c>
    </row>
    <row r="15" spans="1:15" customHeight="1" ht="15">
      <c r="A15" s="3" t="s">
        <v>91</v>
      </c>
      <c r="B15" s="3" t="s">
        <v>99</v>
      </c>
      <c r="C15" s="3" t="s">
        <v>104</v>
      </c>
      <c r="D15" s="3"/>
      <c r="E15" s="3"/>
      <c r="F15" s="2" t="s">
        <v>123</v>
      </c>
      <c r="G15" s="2"/>
      <c r="H15" s="1" t="s">
        <v>95</v>
      </c>
      <c r="I15" s="1">
        <v>18011.0</v>
      </c>
      <c r="J15" s="1">
        <v>22.0</v>
      </c>
      <c r="K15" s="1">
        <v>1337.0</v>
      </c>
      <c r="L15" s="1" t="s">
        <v>517</v>
      </c>
      <c r="M15" s="1" t="s">
        <v>719</v>
      </c>
      <c r="N15" s="1" t="s">
        <v>913</v>
      </c>
    </row>
    <row r="16" spans="1:15" customHeight="1" ht="15">
      <c r="A16" s="3" t="s">
        <v>91</v>
      </c>
      <c r="B16" s="3" t="s">
        <v>99</v>
      </c>
      <c r="C16" s="3" t="s">
        <v>104</v>
      </c>
      <c r="D16" s="3"/>
      <c r="E16" s="3"/>
      <c r="F16" s="2" t="s">
        <v>124</v>
      </c>
      <c r="G16" s="2"/>
      <c r="H16" s="1" t="s">
        <v>95</v>
      </c>
      <c r="I16" s="1">
        <v>18436.0</v>
      </c>
      <c r="J16" s="1">
        <v>21.0</v>
      </c>
      <c r="K16" s="1">
        <v>1167.0</v>
      </c>
      <c r="L16" s="1" t="s">
        <v>518</v>
      </c>
      <c r="M16" s="1" t="s">
        <v>720</v>
      </c>
      <c r="N16" s="1" t="s">
        <v>914</v>
      </c>
    </row>
    <row r="17" spans="1:15" customHeight="1" ht="15">
      <c r="A17" s="3" t="s">
        <v>91</v>
      </c>
      <c r="B17" s="3" t="s">
        <v>99</v>
      </c>
      <c r="C17" s="3" t="s">
        <v>104</v>
      </c>
      <c r="D17" s="3"/>
      <c r="E17" s="3"/>
      <c r="F17" s="2" t="s">
        <v>125</v>
      </c>
      <c r="G17" s="2"/>
      <c r="H17" s="1" t="s">
        <v>95</v>
      </c>
      <c r="I17" s="1">
        <v>168484.0</v>
      </c>
      <c r="J17" s="1">
        <v>9.0</v>
      </c>
      <c r="K17" s="1">
        <v>338.0</v>
      </c>
      <c r="L17" s="1" t="s">
        <v>519</v>
      </c>
      <c r="M17" s="1" t="s">
        <v>721</v>
      </c>
      <c r="N17" s="1" t="s">
        <v>469</v>
      </c>
    </row>
    <row r="18" spans="1:15" customHeight="1" ht="15">
      <c r="A18" s="3" t="s">
        <v>91</v>
      </c>
      <c r="B18" s="3" t="s">
        <v>99</v>
      </c>
      <c r="C18" s="3" t="s">
        <v>104</v>
      </c>
      <c r="D18" s="3"/>
      <c r="E18" s="3"/>
      <c r="F18" s="2" t="s">
        <v>126</v>
      </c>
      <c r="G18" s="2"/>
      <c r="H18" s="1" t="s">
        <v>95</v>
      </c>
      <c r="I18" s="1">
        <v>163678.0</v>
      </c>
      <c r="J18" s="1">
        <v>20.0</v>
      </c>
      <c r="K18" s="1">
        <v>1858.0</v>
      </c>
      <c r="L18" s="1" t="s">
        <v>520</v>
      </c>
      <c r="M18" s="1" t="s">
        <v>722</v>
      </c>
      <c r="N18" s="1" t="s">
        <v>910</v>
      </c>
    </row>
    <row r="19" spans="1:15" customHeight="1" ht="15">
      <c r="A19" s="3" t="s">
        <v>91</v>
      </c>
      <c r="B19" s="3" t="s">
        <v>99</v>
      </c>
      <c r="C19" s="3" t="s">
        <v>104</v>
      </c>
      <c r="D19" s="3"/>
      <c r="E19" s="3"/>
      <c r="F19" s="2" t="s">
        <v>127</v>
      </c>
      <c r="G19" s="2"/>
      <c r="H19" s="1" t="s">
        <v>95</v>
      </c>
      <c r="I19" s="1">
        <v>21065.0</v>
      </c>
      <c r="J19" s="1">
        <v>19.0</v>
      </c>
      <c r="K19" s="1">
        <v>653.0</v>
      </c>
      <c r="L19" s="1" t="s">
        <v>521</v>
      </c>
      <c r="M19" s="1" t="s">
        <v>723</v>
      </c>
      <c r="N19" s="1" t="s">
        <v>915</v>
      </c>
    </row>
    <row r="20" spans="1:15" customHeight="1" ht="15">
      <c r="A20" s="3" t="s">
        <v>91</v>
      </c>
      <c r="B20" s="3" t="s">
        <v>99</v>
      </c>
      <c r="C20" s="3" t="s">
        <v>104</v>
      </c>
      <c r="D20" s="3"/>
      <c r="E20" s="3"/>
      <c r="F20" s="2" t="s">
        <v>128</v>
      </c>
      <c r="G20" s="2"/>
      <c r="H20" s="1" t="s">
        <v>95</v>
      </c>
      <c r="I20" s="1">
        <v>15024.0</v>
      </c>
      <c r="J20" s="1">
        <v>18.0</v>
      </c>
      <c r="K20" s="1">
        <v>712.0</v>
      </c>
      <c r="L20" s="1" t="s">
        <v>522</v>
      </c>
      <c r="M20" s="1" t="s">
        <v>724</v>
      </c>
      <c r="N20" s="1" t="s">
        <v>916</v>
      </c>
    </row>
    <row r="21" spans="1:15" customHeight="1" ht="15">
      <c r="A21" s="3" t="s">
        <v>91</v>
      </c>
      <c r="B21" s="3" t="s">
        <v>99</v>
      </c>
      <c r="C21" s="3" t="s">
        <v>104</v>
      </c>
      <c r="D21" s="3"/>
      <c r="E21" s="3"/>
      <c r="F21" s="2" t="s">
        <v>129</v>
      </c>
      <c r="G21" s="2"/>
      <c r="H21" s="1" t="s">
        <v>95</v>
      </c>
      <c r="I21" s="1">
        <v>19495.0</v>
      </c>
      <c r="J21" s="1">
        <v>21.0</v>
      </c>
      <c r="K21" s="1">
        <v>1399.0</v>
      </c>
      <c r="L21" s="1" t="s">
        <v>523</v>
      </c>
      <c r="M21" s="1" t="s">
        <v>725</v>
      </c>
      <c r="N21" s="1" t="s">
        <v>910</v>
      </c>
    </row>
    <row r="22" spans="1:15" customHeight="1" ht="15">
      <c r="A22" s="3" t="s">
        <v>91</v>
      </c>
      <c r="B22" s="3" t="s">
        <v>99</v>
      </c>
      <c r="C22" s="3" t="s">
        <v>104</v>
      </c>
      <c r="D22" s="3"/>
      <c r="E22" s="3"/>
      <c r="F22" s="2" t="s">
        <v>130</v>
      </c>
      <c r="G22" s="2"/>
      <c r="H22" s="1" t="s">
        <v>95</v>
      </c>
      <c r="I22" s="1">
        <v>203210.0</v>
      </c>
      <c r="J22" s="1">
        <v>16.0</v>
      </c>
      <c r="K22" s="1">
        <v>493.0</v>
      </c>
      <c r="L22" s="1" t="s">
        <v>524</v>
      </c>
      <c r="M22" s="1" t="s">
        <v>726</v>
      </c>
      <c r="N22" s="1" t="s">
        <v>915</v>
      </c>
    </row>
    <row r="23" spans="1:15" customHeight="1" ht="15">
      <c r="A23" s="3" t="s">
        <v>91</v>
      </c>
      <c r="B23" s="3" t="s">
        <v>99</v>
      </c>
      <c r="C23" s="3" t="s">
        <v>104</v>
      </c>
      <c r="D23" s="3"/>
      <c r="E23" s="3"/>
      <c r="F23" s="2" t="s">
        <v>131</v>
      </c>
      <c r="G23" s="2"/>
      <c r="H23" s="1" t="s">
        <v>95</v>
      </c>
      <c r="I23" s="1">
        <v>96440.0</v>
      </c>
      <c r="J23" s="1">
        <v>15.0</v>
      </c>
      <c r="K23" s="1">
        <v>852.0</v>
      </c>
      <c r="L23" s="1" t="s">
        <v>525</v>
      </c>
      <c r="M23" s="1" t="s">
        <v>727</v>
      </c>
      <c r="N23" s="1" t="s">
        <v>916</v>
      </c>
    </row>
    <row r="24" spans="1:15" customHeight="1" ht="15">
      <c r="A24" s="3" t="s">
        <v>91</v>
      </c>
      <c r="B24" s="3" t="s">
        <v>99</v>
      </c>
      <c r="C24" s="3" t="s">
        <v>104</v>
      </c>
      <c r="D24" s="3"/>
      <c r="E24" s="3"/>
      <c r="F24" s="2" t="s">
        <v>132</v>
      </c>
      <c r="G24" s="2"/>
      <c r="H24" s="1" t="s">
        <v>95</v>
      </c>
      <c r="I24" s="1">
        <v>13527.0</v>
      </c>
      <c r="J24" s="1">
        <v>13.0</v>
      </c>
      <c r="K24" s="1">
        <v>661.0</v>
      </c>
      <c r="L24" s="1" t="s">
        <v>526</v>
      </c>
      <c r="M24" s="1" t="s">
        <v>728</v>
      </c>
      <c r="N24" s="1" t="s">
        <v>917</v>
      </c>
    </row>
    <row r="25" spans="1:15" customHeight="1" ht="15">
      <c r="A25" s="3" t="s">
        <v>91</v>
      </c>
      <c r="B25" s="3" t="s">
        <v>99</v>
      </c>
      <c r="C25" s="3" t="s">
        <v>104</v>
      </c>
      <c r="D25" s="3"/>
      <c r="E25" s="3"/>
      <c r="F25" s="2" t="s">
        <v>133</v>
      </c>
      <c r="G25" s="2"/>
      <c r="H25" s="1" t="s">
        <v>95</v>
      </c>
      <c r="I25" s="1">
        <v>13083.0</v>
      </c>
      <c r="J25" s="1">
        <v>18.0</v>
      </c>
      <c r="K25" s="1">
        <v>1046.0</v>
      </c>
      <c r="L25" s="1" t="s">
        <v>527</v>
      </c>
      <c r="M25" s="1" t="s">
        <v>729</v>
      </c>
      <c r="N25" s="1" t="s">
        <v>467</v>
      </c>
    </row>
    <row r="26" spans="1:15" customHeight="1" ht="15">
      <c r="A26" s="3" t="s">
        <v>91</v>
      </c>
      <c r="B26" s="3" t="s">
        <v>99</v>
      </c>
      <c r="C26" s="3" t="s">
        <v>104</v>
      </c>
      <c r="D26" s="3"/>
      <c r="E26" s="3"/>
      <c r="F26" s="2" t="s">
        <v>134</v>
      </c>
      <c r="G26" s="2"/>
      <c r="H26" s="1" t="s">
        <v>95</v>
      </c>
      <c r="I26" s="1">
        <v>17791.0</v>
      </c>
      <c r="J26" s="1">
        <v>17.0</v>
      </c>
      <c r="K26" s="1">
        <v>858.0</v>
      </c>
      <c r="L26" s="1" t="s">
        <v>528</v>
      </c>
      <c r="M26" s="1" t="s">
        <v>730</v>
      </c>
      <c r="N26" s="1" t="s">
        <v>915</v>
      </c>
    </row>
    <row r="27" spans="1:15" customHeight="1" ht="15">
      <c r="A27" s="3" t="s">
        <v>91</v>
      </c>
      <c r="B27" s="3" t="s">
        <v>99</v>
      </c>
      <c r="C27" s="3" t="s">
        <v>104</v>
      </c>
      <c r="D27" s="3"/>
      <c r="E27" s="3"/>
      <c r="F27" s="2" t="s">
        <v>135</v>
      </c>
      <c r="G27" s="2"/>
      <c r="H27" s="1" t="s">
        <v>95</v>
      </c>
      <c r="I27" s="1">
        <v>178134.0</v>
      </c>
      <c r="J27" s="1">
        <v>12.0</v>
      </c>
      <c r="K27" s="1">
        <v>565.0</v>
      </c>
      <c r="L27" s="1" t="s">
        <v>529</v>
      </c>
      <c r="M27" s="1" t="s">
        <v>731</v>
      </c>
      <c r="N27" s="1" t="s">
        <v>404</v>
      </c>
    </row>
    <row r="28" spans="1:15" customHeight="1" ht="15">
      <c r="A28" s="3" t="s">
        <v>91</v>
      </c>
      <c r="B28" s="3" t="s">
        <v>99</v>
      </c>
      <c r="C28" s="3" t="s">
        <v>104</v>
      </c>
      <c r="D28" s="3"/>
      <c r="E28" s="3"/>
      <c r="F28" s="2" t="s">
        <v>136</v>
      </c>
      <c r="G28" s="2"/>
      <c r="H28" s="1" t="s">
        <v>95</v>
      </c>
      <c r="I28" s="1">
        <v>21418.0</v>
      </c>
      <c r="J28" s="1">
        <v>13.0</v>
      </c>
      <c r="K28" s="1">
        <v>373.0</v>
      </c>
      <c r="L28" s="1" t="s">
        <v>530</v>
      </c>
      <c r="M28" s="1" t="s">
        <v>732</v>
      </c>
      <c r="N28" s="1" t="s">
        <v>918</v>
      </c>
    </row>
    <row r="29" spans="1:15" customHeight="1" ht="15">
      <c r="A29" s="3" t="s">
        <v>91</v>
      </c>
      <c r="B29" s="3" t="s">
        <v>99</v>
      </c>
      <c r="C29" s="3" t="s">
        <v>104</v>
      </c>
      <c r="D29" s="3"/>
      <c r="E29" s="3"/>
      <c r="F29" s="2" t="s">
        <v>137</v>
      </c>
      <c r="G29" s="2"/>
      <c r="H29" s="1" t="s">
        <v>95</v>
      </c>
      <c r="I29" s="1">
        <v>117720.0</v>
      </c>
      <c r="J29" s="1">
        <v>14.0</v>
      </c>
      <c r="K29" s="1">
        <v>512.0</v>
      </c>
      <c r="L29" s="1" t="s">
        <v>531</v>
      </c>
      <c r="M29" s="1" t="s">
        <v>733</v>
      </c>
      <c r="N29" s="1" t="s">
        <v>919</v>
      </c>
    </row>
    <row r="30" spans="1:15" customHeight="1" ht="15">
      <c r="A30" s="3" t="s">
        <v>91</v>
      </c>
      <c r="B30" s="3" t="s">
        <v>99</v>
      </c>
      <c r="C30" s="3" t="s">
        <v>104</v>
      </c>
      <c r="D30" s="3"/>
      <c r="E30" s="3"/>
      <c r="F30" s="2" t="s">
        <v>138</v>
      </c>
      <c r="G30" s="2"/>
      <c r="H30" s="1" t="s">
        <v>95</v>
      </c>
      <c r="I30" s="1">
        <v>17532.0</v>
      </c>
      <c r="J30" s="1">
        <v>14.0</v>
      </c>
      <c r="K30" s="1">
        <v>623.0</v>
      </c>
      <c r="L30" s="1" t="s">
        <v>532</v>
      </c>
      <c r="M30" s="1" t="s">
        <v>734</v>
      </c>
      <c r="N30" s="1" t="s">
        <v>404</v>
      </c>
    </row>
    <row r="31" spans="1:15" customHeight="1" ht="15">
      <c r="A31" s="3" t="s">
        <v>91</v>
      </c>
      <c r="B31" s="3" t="s">
        <v>99</v>
      </c>
      <c r="C31" s="3" t="s">
        <v>104</v>
      </c>
      <c r="D31" s="3"/>
      <c r="E31" s="3"/>
      <c r="F31" s="2" t="s">
        <v>139</v>
      </c>
      <c r="G31" s="2"/>
      <c r="H31" s="1" t="s">
        <v>95</v>
      </c>
      <c r="I31" s="1">
        <v>13136.0</v>
      </c>
      <c r="J31" s="1">
        <v>14.0</v>
      </c>
      <c r="K31" s="1">
        <v>431.0</v>
      </c>
      <c r="L31" s="1" t="s">
        <v>533</v>
      </c>
      <c r="M31" s="1" t="s">
        <v>735</v>
      </c>
      <c r="N31" s="1" t="s">
        <v>404</v>
      </c>
    </row>
    <row r="32" spans="1:15" customHeight="1" ht="15">
      <c r="A32" s="3" t="s">
        <v>91</v>
      </c>
      <c r="B32" s="3" t="s">
        <v>99</v>
      </c>
      <c r="C32" s="3" t="s">
        <v>104</v>
      </c>
      <c r="D32" s="3"/>
      <c r="E32" s="3"/>
      <c r="F32" s="2" t="s">
        <v>140</v>
      </c>
      <c r="G32" s="2"/>
      <c r="H32" s="1" t="s">
        <v>95</v>
      </c>
      <c r="I32" s="1">
        <v>16314.0</v>
      </c>
      <c r="J32" s="1">
        <v>10.0</v>
      </c>
      <c r="K32" s="1">
        <v>426.0</v>
      </c>
      <c r="L32" s="1" t="s">
        <v>534</v>
      </c>
      <c r="M32" s="1" t="s">
        <v>736</v>
      </c>
      <c r="N32" s="1" t="s">
        <v>918</v>
      </c>
    </row>
    <row r="33" spans="1:15" customHeight="1" ht="15">
      <c r="A33" s="3" t="s">
        <v>91</v>
      </c>
      <c r="B33" s="3" t="s">
        <v>99</v>
      </c>
      <c r="C33" s="3" t="s">
        <v>104</v>
      </c>
      <c r="D33" s="3"/>
      <c r="E33" s="3"/>
      <c r="F33" s="2" t="s">
        <v>141</v>
      </c>
      <c r="G33" s="2"/>
      <c r="H33" s="1" t="s">
        <v>95</v>
      </c>
      <c r="I33" s="1">
        <v>24510.0</v>
      </c>
      <c r="J33" s="1">
        <v>11.0</v>
      </c>
      <c r="K33" s="1">
        <v>727.0</v>
      </c>
      <c r="L33" s="1" t="s">
        <v>535</v>
      </c>
      <c r="M33" s="1" t="s">
        <v>737</v>
      </c>
      <c r="N33" s="1" t="s">
        <v>404</v>
      </c>
    </row>
    <row r="34" spans="1:15" customHeight="1" ht="15">
      <c r="A34" s="3" t="s">
        <v>91</v>
      </c>
      <c r="B34" s="3" t="s">
        <v>99</v>
      </c>
      <c r="C34" s="3" t="s">
        <v>104</v>
      </c>
      <c r="D34" s="3"/>
      <c r="E34" s="3"/>
      <c r="F34" s="2" t="s">
        <v>142</v>
      </c>
      <c r="G34" s="2"/>
      <c r="H34" s="1" t="s">
        <v>95</v>
      </c>
      <c r="I34" s="1">
        <v>76569.0</v>
      </c>
      <c r="J34" s="1">
        <v>13.0</v>
      </c>
      <c r="K34" s="1">
        <v>529.0</v>
      </c>
      <c r="L34" s="1" t="s">
        <v>536</v>
      </c>
      <c r="M34" s="1" t="s">
        <v>738</v>
      </c>
      <c r="N34" s="1" t="s">
        <v>919</v>
      </c>
    </row>
    <row r="35" spans="1:15" customHeight="1" ht="15">
      <c r="A35" s="3" t="s">
        <v>91</v>
      </c>
      <c r="B35" s="3" t="s">
        <v>99</v>
      </c>
      <c r="C35" s="3" t="s">
        <v>104</v>
      </c>
      <c r="D35" s="3"/>
      <c r="E35" s="3"/>
      <c r="F35" s="2" t="s">
        <v>143</v>
      </c>
      <c r="G35" s="2"/>
      <c r="H35" s="1" t="s">
        <v>95</v>
      </c>
      <c r="I35" s="1">
        <v>14400.0</v>
      </c>
      <c r="J35" s="1">
        <v>10.0</v>
      </c>
      <c r="K35" s="1">
        <v>460.0</v>
      </c>
      <c r="L35" s="1" t="s">
        <v>537</v>
      </c>
      <c r="M35" s="1" t="s">
        <v>739</v>
      </c>
      <c r="N35" s="1" t="s">
        <v>918</v>
      </c>
    </row>
    <row r="36" spans="1:15" customHeight="1" ht="15">
      <c r="A36" s="3" t="s">
        <v>91</v>
      </c>
      <c r="B36" s="3" t="s">
        <v>99</v>
      </c>
      <c r="C36" s="3" t="s">
        <v>104</v>
      </c>
      <c r="D36" s="3"/>
      <c r="E36" s="3"/>
      <c r="F36" s="2" t="s">
        <v>144</v>
      </c>
      <c r="G36" s="2"/>
      <c r="H36" s="1" t="s">
        <v>95</v>
      </c>
      <c r="I36" s="1">
        <v>22609.0</v>
      </c>
      <c r="J36" s="1">
        <v>8.0</v>
      </c>
      <c r="K36" s="1">
        <v>116.0</v>
      </c>
      <c r="L36" s="1" t="s">
        <v>538</v>
      </c>
      <c r="M36" s="1" t="s">
        <v>740</v>
      </c>
      <c r="N36" s="1" t="s">
        <v>482</v>
      </c>
    </row>
    <row r="37" spans="1:15" customHeight="1" ht="15">
      <c r="A37" s="3" t="s">
        <v>91</v>
      </c>
      <c r="B37" s="3" t="s">
        <v>99</v>
      </c>
      <c r="C37" s="3" t="s">
        <v>104</v>
      </c>
      <c r="D37" s="3"/>
      <c r="E37" s="3"/>
      <c r="F37" s="2" t="s">
        <v>145</v>
      </c>
      <c r="G37" s="2"/>
      <c r="H37" s="1" t="s">
        <v>95</v>
      </c>
      <c r="I37" s="1">
        <v>13745.0</v>
      </c>
      <c r="J37" s="1">
        <v>10.0</v>
      </c>
      <c r="K37" s="1">
        <v>467.0</v>
      </c>
      <c r="L37" s="1" t="s">
        <v>539</v>
      </c>
      <c r="M37" s="1" t="s">
        <v>741</v>
      </c>
      <c r="N37" s="1" t="s">
        <v>918</v>
      </c>
    </row>
    <row r="38" spans="1:15" customHeight="1" ht="15">
      <c r="A38" s="3" t="s">
        <v>91</v>
      </c>
      <c r="B38" s="3" t="s">
        <v>99</v>
      </c>
      <c r="C38" s="3" t="s">
        <v>104</v>
      </c>
      <c r="D38" s="3"/>
      <c r="E38" s="3"/>
      <c r="F38" s="2" t="s">
        <v>146</v>
      </c>
      <c r="G38" s="2"/>
      <c r="H38" s="1" t="s">
        <v>95</v>
      </c>
      <c r="I38" s="1">
        <v>348313.0</v>
      </c>
      <c r="J38" s="1">
        <v>15.0</v>
      </c>
      <c r="K38" s="1">
        <v>332.0</v>
      </c>
      <c r="L38" s="1" t="s">
        <v>540</v>
      </c>
      <c r="M38" s="1" t="s">
        <v>742</v>
      </c>
      <c r="N38" s="1" t="s">
        <v>919</v>
      </c>
    </row>
    <row r="39" spans="1:15" customHeight="1" ht="15">
      <c r="A39" s="3" t="s">
        <v>91</v>
      </c>
      <c r="B39" s="3" t="s">
        <v>99</v>
      </c>
      <c r="C39" s="3" t="s">
        <v>104</v>
      </c>
      <c r="D39" s="3"/>
      <c r="E39" s="3"/>
      <c r="F39" s="2" t="s">
        <v>147</v>
      </c>
      <c r="G39" s="2"/>
      <c r="H39" s="1" t="s">
        <v>95</v>
      </c>
      <c r="I39" s="1">
        <v>14296.0</v>
      </c>
      <c r="J39" s="1">
        <v>11.0</v>
      </c>
      <c r="K39" s="1">
        <v>433.0</v>
      </c>
      <c r="L39" s="1" t="s">
        <v>541</v>
      </c>
      <c r="M39" s="1" t="s">
        <v>743</v>
      </c>
      <c r="N39" s="1" t="s">
        <v>404</v>
      </c>
    </row>
    <row r="40" spans="1:15" customHeight="1" ht="15">
      <c r="A40" s="3" t="s">
        <v>91</v>
      </c>
      <c r="B40" s="3" t="s">
        <v>99</v>
      </c>
      <c r="C40" s="3" t="s">
        <v>104</v>
      </c>
      <c r="D40" s="3"/>
      <c r="E40" s="3"/>
      <c r="F40" s="2" t="s">
        <v>148</v>
      </c>
      <c r="G40" s="2"/>
      <c r="H40" s="1" t="s">
        <v>95</v>
      </c>
      <c r="I40" s="1">
        <v>25281.0</v>
      </c>
      <c r="J40" s="1">
        <v>12.0</v>
      </c>
      <c r="K40" s="1">
        <v>1334.0</v>
      </c>
      <c r="L40" s="1" t="s">
        <v>542</v>
      </c>
      <c r="M40" s="1" t="s">
        <v>744</v>
      </c>
      <c r="N40" s="1" t="s">
        <v>919</v>
      </c>
    </row>
    <row r="41" spans="1:15" customHeight="1" ht="15">
      <c r="A41" s="3" t="s">
        <v>91</v>
      </c>
      <c r="B41" s="3" t="s">
        <v>99</v>
      </c>
      <c r="C41" s="3" t="s">
        <v>104</v>
      </c>
      <c r="D41" s="3"/>
      <c r="E41" s="3"/>
      <c r="F41" s="2" t="s">
        <v>149</v>
      </c>
      <c r="G41" s="2"/>
      <c r="H41" s="1" t="s">
        <v>95</v>
      </c>
      <c r="I41" s="1">
        <v>183477.0</v>
      </c>
      <c r="J41" s="1">
        <v>10.0</v>
      </c>
      <c r="K41" s="1">
        <v>330.0</v>
      </c>
      <c r="L41" s="1" t="s">
        <v>543</v>
      </c>
      <c r="M41" s="1" t="s">
        <v>745</v>
      </c>
      <c r="N41" s="1" t="s">
        <v>469</v>
      </c>
    </row>
    <row r="42" spans="1:15" customHeight="1" ht="15">
      <c r="A42" s="3" t="s">
        <v>91</v>
      </c>
      <c r="B42" s="3" t="s">
        <v>99</v>
      </c>
      <c r="C42" s="3" t="s">
        <v>104</v>
      </c>
      <c r="D42" s="3"/>
      <c r="E42" s="3"/>
      <c r="F42" s="2" t="s">
        <v>150</v>
      </c>
      <c r="G42" s="2"/>
      <c r="H42" s="1" t="s">
        <v>95</v>
      </c>
      <c r="I42" s="1">
        <v>15456.0</v>
      </c>
      <c r="J42" s="1">
        <v>14.0</v>
      </c>
      <c r="K42" s="1">
        <v>378.0</v>
      </c>
      <c r="L42" s="1" t="s">
        <v>544</v>
      </c>
      <c r="M42" s="1" t="s">
        <v>746</v>
      </c>
      <c r="N42" s="1" t="s">
        <v>382</v>
      </c>
    </row>
    <row r="43" spans="1:15" customHeight="1" ht="15">
      <c r="A43" s="3" t="s">
        <v>91</v>
      </c>
      <c r="B43" s="3" t="s">
        <v>99</v>
      </c>
      <c r="C43" s="3" t="s">
        <v>103</v>
      </c>
      <c r="D43" s="3"/>
      <c r="E43" s="3"/>
      <c r="F43" s="2" t="s">
        <v>151</v>
      </c>
      <c r="G43" s="2"/>
      <c r="H43" s="1" t="s">
        <v>95</v>
      </c>
      <c r="I43" s="1">
        <v>12945.0</v>
      </c>
      <c r="J43" s="1">
        <v>13.0</v>
      </c>
      <c r="K43" s="1">
        <v>353.0</v>
      </c>
      <c r="L43" s="1" t="s">
        <v>545</v>
      </c>
      <c r="M43" s="1" t="s">
        <v>747</v>
      </c>
      <c r="N43" s="1" t="s">
        <v>404</v>
      </c>
    </row>
    <row r="44" spans="1:15" customHeight="1" ht="15">
      <c r="A44" s="3" t="s">
        <v>91</v>
      </c>
      <c r="B44" s="3" t="s">
        <v>99</v>
      </c>
      <c r="C44" s="3" t="s">
        <v>103</v>
      </c>
      <c r="D44" s="3"/>
      <c r="E44" s="3"/>
      <c r="F44" s="2" t="s">
        <v>152</v>
      </c>
      <c r="G44" s="2"/>
      <c r="H44" s="1" t="s">
        <v>95</v>
      </c>
      <c r="I44" s="1">
        <v>14982.0</v>
      </c>
      <c r="J44" s="1">
        <v>6.0</v>
      </c>
      <c r="K44" s="1">
        <v>2.0</v>
      </c>
      <c r="L44" s="1" t="s">
        <v>546</v>
      </c>
      <c r="M44" s="1" t="s">
        <v>748</v>
      </c>
      <c r="N44" s="1" t="s">
        <v>920</v>
      </c>
    </row>
    <row r="45" spans="1:15" customHeight="1" ht="15">
      <c r="A45" s="3" t="s">
        <v>91</v>
      </c>
      <c r="B45" s="3" t="s">
        <v>99</v>
      </c>
      <c r="C45" s="3" t="s">
        <v>103</v>
      </c>
      <c r="D45" s="3"/>
      <c r="E45" s="3"/>
      <c r="F45" s="2" t="s">
        <v>153</v>
      </c>
      <c r="G45" s="2"/>
      <c r="H45" s="1" t="s">
        <v>95</v>
      </c>
      <c r="I45" s="1">
        <v>15508.0</v>
      </c>
      <c r="J45" s="1">
        <v>11.0</v>
      </c>
      <c r="K45" s="1">
        <v>411.0</v>
      </c>
      <c r="L45" s="1" t="s">
        <v>547</v>
      </c>
      <c r="M45" s="1" t="s">
        <v>749</v>
      </c>
      <c r="N45" s="1" t="s">
        <v>917</v>
      </c>
    </row>
    <row r="46" spans="1:15" customHeight="1" ht="15">
      <c r="A46" s="3" t="s">
        <v>91</v>
      </c>
      <c r="B46" s="3" t="s">
        <v>99</v>
      </c>
      <c r="C46" s="3" t="s">
        <v>103</v>
      </c>
      <c r="D46" s="3"/>
      <c r="E46" s="3"/>
      <c r="F46" s="2" t="s">
        <v>154</v>
      </c>
      <c r="G46" s="2"/>
      <c r="H46" s="1" t="s">
        <v>95</v>
      </c>
      <c r="I46" s="1">
        <v>27075.0</v>
      </c>
      <c r="J46" s="1">
        <v>14.0</v>
      </c>
      <c r="K46" s="1">
        <v>753.0</v>
      </c>
      <c r="L46" s="1" t="s">
        <v>548</v>
      </c>
      <c r="M46" s="1" t="s">
        <v>750</v>
      </c>
      <c r="N46" s="1" t="s">
        <v>915</v>
      </c>
    </row>
    <row r="47" spans="1:15" customHeight="1" ht="15">
      <c r="A47" s="3" t="s">
        <v>91</v>
      </c>
      <c r="B47" s="3" t="s">
        <v>92</v>
      </c>
      <c r="C47" s="3" t="s">
        <v>105</v>
      </c>
      <c r="D47" s="3"/>
      <c r="E47" s="3"/>
      <c r="F47" s="2" t="s">
        <v>155</v>
      </c>
      <c r="G47" s="2"/>
      <c r="H47" s="1" t="s">
        <v>95</v>
      </c>
      <c r="I47" s="1">
        <v>10463.0</v>
      </c>
      <c r="J47" s="1">
        <v>11.0</v>
      </c>
      <c r="K47" s="1">
        <v>339.0</v>
      </c>
      <c r="L47" s="1" t="s">
        <v>549</v>
      </c>
      <c r="M47" s="1" t="s">
        <v>751</v>
      </c>
      <c r="N47" s="1" t="s">
        <v>917</v>
      </c>
    </row>
    <row r="48" spans="1:15" customHeight="1" ht="15">
      <c r="A48" s="3" t="s">
        <v>91</v>
      </c>
      <c r="B48" s="3" t="s">
        <v>99</v>
      </c>
      <c r="C48" s="3" t="s">
        <v>103</v>
      </c>
      <c r="D48" s="3"/>
      <c r="E48" s="3"/>
      <c r="F48" s="2" t="s">
        <v>156</v>
      </c>
      <c r="G48" s="2"/>
      <c r="H48" s="1" t="s">
        <v>95</v>
      </c>
      <c r="I48" s="1">
        <v>12156.0</v>
      </c>
      <c r="J48" s="1">
        <v>14.0</v>
      </c>
      <c r="K48" s="1">
        <v>493.0</v>
      </c>
      <c r="L48" s="1" t="s">
        <v>550</v>
      </c>
      <c r="M48" s="1" t="s">
        <v>752</v>
      </c>
      <c r="N48" s="1" t="s">
        <v>466</v>
      </c>
    </row>
    <row r="49" spans="1:15" customHeight="1" ht="15">
      <c r="A49" s="3" t="s">
        <v>91</v>
      </c>
      <c r="B49" s="3" t="s">
        <v>99</v>
      </c>
      <c r="C49" s="3" t="s">
        <v>103</v>
      </c>
      <c r="D49" s="3"/>
      <c r="E49" s="3"/>
      <c r="F49" s="2" t="s">
        <v>157</v>
      </c>
      <c r="G49" s="2"/>
      <c r="H49" s="1" t="s">
        <v>95</v>
      </c>
      <c r="I49" s="1">
        <v>9200.0</v>
      </c>
      <c r="J49" s="1">
        <v>14.0</v>
      </c>
      <c r="K49" s="1">
        <v>259.0</v>
      </c>
      <c r="L49" s="1" t="s">
        <v>551</v>
      </c>
      <c r="M49" s="1" t="s">
        <v>753</v>
      </c>
      <c r="N49" s="1" t="s">
        <v>382</v>
      </c>
    </row>
    <row r="50" spans="1:15" customHeight="1" ht="15">
      <c r="A50" s="3" t="s">
        <v>91</v>
      </c>
      <c r="B50" s="3" t="s">
        <v>99</v>
      </c>
      <c r="C50" s="3" t="s">
        <v>103</v>
      </c>
      <c r="D50" s="3"/>
      <c r="E50" s="3"/>
      <c r="F50" s="2" t="s">
        <v>158</v>
      </c>
      <c r="G50" s="2"/>
      <c r="H50" s="1" t="s">
        <v>95</v>
      </c>
      <c r="I50" s="1">
        <v>9581.0</v>
      </c>
      <c r="J50" s="1">
        <v>6.0</v>
      </c>
      <c r="K50" s="1">
        <v>60.0</v>
      </c>
      <c r="L50" s="1" t="s">
        <v>552</v>
      </c>
      <c r="M50" s="1" t="s">
        <v>754</v>
      </c>
      <c r="N50" s="1" t="s">
        <v>462</v>
      </c>
    </row>
    <row r="51" spans="1:15" customHeight="1" ht="15">
      <c r="A51" s="3" t="s">
        <v>91</v>
      </c>
      <c r="B51" s="3" t="s">
        <v>99</v>
      </c>
      <c r="C51" s="3" t="s">
        <v>103</v>
      </c>
      <c r="D51" s="3"/>
      <c r="E51" s="3"/>
      <c r="F51" s="2" t="s">
        <v>159</v>
      </c>
      <c r="G51" s="2"/>
      <c r="H51" s="1" t="s">
        <v>95</v>
      </c>
      <c r="I51" s="1">
        <v>10700.0</v>
      </c>
      <c r="J51" s="1">
        <v>14.0</v>
      </c>
      <c r="K51" s="1">
        <v>506.0</v>
      </c>
      <c r="L51" s="1" t="s">
        <v>553</v>
      </c>
      <c r="M51" s="1" t="s">
        <v>755</v>
      </c>
      <c r="N51" s="1" t="s">
        <v>466</v>
      </c>
    </row>
    <row r="52" spans="1:15" customHeight="1" ht="15">
      <c r="A52" s="3" t="s">
        <v>91</v>
      </c>
      <c r="B52" s="3" t="s">
        <v>100</v>
      </c>
      <c r="C52" s="3" t="s">
        <v>106</v>
      </c>
      <c r="D52" s="3"/>
      <c r="E52" s="3"/>
      <c r="F52" s="2" t="s">
        <v>160</v>
      </c>
      <c r="G52" s="2"/>
      <c r="H52" s="1" t="s">
        <v>95</v>
      </c>
      <c r="I52" s="1">
        <v>29442.0</v>
      </c>
      <c r="J52" s="1">
        <v>5.0</v>
      </c>
      <c r="K52" s="1">
        <v>421.0</v>
      </c>
      <c r="L52" s="1" t="s">
        <v>554</v>
      </c>
      <c r="M52" s="1" t="s">
        <v>756</v>
      </c>
      <c r="N52" s="1" t="s">
        <v>470</v>
      </c>
    </row>
    <row r="53" spans="1:15" customHeight="1" ht="15">
      <c r="A53" s="3" t="s">
        <v>91</v>
      </c>
      <c r="B53" s="3" t="s">
        <v>100</v>
      </c>
      <c r="C53" s="3" t="s">
        <v>107</v>
      </c>
      <c r="D53" s="3"/>
      <c r="E53" s="3"/>
      <c r="F53" s="2" t="s">
        <v>161</v>
      </c>
      <c r="G53" s="2"/>
      <c r="H53" s="1" t="s">
        <v>95</v>
      </c>
      <c r="I53" s="1">
        <v>116141.0</v>
      </c>
      <c r="J53" s="1">
        <v>8.0</v>
      </c>
      <c r="K53" s="1">
        <v>745.0</v>
      </c>
      <c r="L53" s="1" t="s">
        <v>555</v>
      </c>
      <c r="M53" s="1" t="s">
        <v>757</v>
      </c>
      <c r="N53" s="1" t="s">
        <v>482</v>
      </c>
    </row>
    <row r="54" spans="1:15" customHeight="1" ht="15">
      <c r="A54" s="3" t="s">
        <v>91</v>
      </c>
      <c r="B54" s="3" t="s">
        <v>99</v>
      </c>
      <c r="C54" s="3" t="s">
        <v>103</v>
      </c>
      <c r="D54" s="3"/>
      <c r="E54" s="3"/>
      <c r="F54" s="2" t="s">
        <v>162</v>
      </c>
      <c r="G54" s="2"/>
      <c r="H54" s="1" t="s">
        <v>95</v>
      </c>
      <c r="I54" s="1">
        <v>11661.0</v>
      </c>
      <c r="J54" s="1">
        <v>12.0</v>
      </c>
      <c r="K54" s="1">
        <v>411.0</v>
      </c>
      <c r="L54" s="1" t="s">
        <v>556</v>
      </c>
      <c r="M54" s="1" t="s">
        <v>758</v>
      </c>
      <c r="N54" s="1" t="s">
        <v>917</v>
      </c>
    </row>
    <row r="55" spans="1:15" customHeight="1" ht="15">
      <c r="A55" s="3" t="s">
        <v>91</v>
      </c>
      <c r="B55" s="3" t="s">
        <v>99</v>
      </c>
      <c r="C55" s="3" t="s">
        <v>103</v>
      </c>
      <c r="D55" s="3"/>
      <c r="E55" s="3"/>
      <c r="F55" s="2" t="s">
        <v>163</v>
      </c>
      <c r="G55" s="2"/>
      <c r="H55" s="1" t="s">
        <v>95</v>
      </c>
      <c r="I55" s="1">
        <v>251980.0</v>
      </c>
      <c r="J55" s="1">
        <v>5.0</v>
      </c>
      <c r="K55" s="1">
        <v>226.0</v>
      </c>
      <c r="L55" s="1" t="s">
        <v>557</v>
      </c>
      <c r="M55" s="1" t="s">
        <v>759</v>
      </c>
      <c r="N55" s="1" t="s">
        <v>402</v>
      </c>
    </row>
    <row r="56" spans="1:15" customHeight="1" ht="15">
      <c r="A56" s="3" t="s">
        <v>91</v>
      </c>
      <c r="B56" s="3" t="s">
        <v>99</v>
      </c>
      <c r="C56" s="3" t="s">
        <v>103</v>
      </c>
      <c r="D56" s="3"/>
      <c r="E56" s="3"/>
      <c r="F56" s="2" t="s">
        <v>164</v>
      </c>
      <c r="G56" s="2"/>
      <c r="H56" s="1" t="s">
        <v>95</v>
      </c>
      <c r="I56" s="1">
        <v>11108.0</v>
      </c>
      <c r="J56" s="1">
        <v>7.0</v>
      </c>
      <c r="K56" s="1">
        <v>270.0</v>
      </c>
      <c r="L56" s="1" t="s">
        <v>558</v>
      </c>
      <c r="M56" s="1" t="s">
        <v>760</v>
      </c>
      <c r="N56" s="1" t="s">
        <v>469</v>
      </c>
    </row>
    <row r="57" spans="1:15" customHeight="1" ht="15">
      <c r="A57" s="3" t="s">
        <v>91</v>
      </c>
      <c r="B57" s="3" t="s">
        <v>99</v>
      </c>
      <c r="C57" s="3" t="s">
        <v>103</v>
      </c>
      <c r="D57" s="3"/>
      <c r="E57" s="3"/>
      <c r="F57" s="2" t="s">
        <v>165</v>
      </c>
      <c r="G57" s="2"/>
      <c r="H57" s="1" t="s">
        <v>95</v>
      </c>
      <c r="I57" s="1">
        <v>13604.0</v>
      </c>
      <c r="J57" s="1">
        <v>12.0</v>
      </c>
      <c r="K57" s="1">
        <v>663.0</v>
      </c>
      <c r="L57" s="1" t="s">
        <v>559</v>
      </c>
      <c r="M57" s="1" t="s">
        <v>761</v>
      </c>
      <c r="N57" s="1" t="s">
        <v>919</v>
      </c>
    </row>
    <row r="58" spans="1:15" customHeight="1" ht="15">
      <c r="A58" s="3" t="s">
        <v>91</v>
      </c>
      <c r="B58" s="3" t="s">
        <v>99</v>
      </c>
      <c r="C58" s="3" t="s">
        <v>103</v>
      </c>
      <c r="D58" s="3"/>
      <c r="E58" s="3"/>
      <c r="F58" s="2" t="s">
        <v>166</v>
      </c>
      <c r="G58" s="2"/>
      <c r="H58" s="1" t="s">
        <v>95</v>
      </c>
      <c r="I58" s="1">
        <v>10905.0</v>
      </c>
      <c r="J58" s="1">
        <v>7.0</v>
      </c>
      <c r="K58" s="1">
        <v>244.0</v>
      </c>
      <c r="L58" s="1" t="s">
        <v>560</v>
      </c>
      <c r="M58" s="1" t="s">
        <v>762</v>
      </c>
      <c r="N58" s="1" t="s">
        <v>482</v>
      </c>
    </row>
    <row r="59" spans="1:15" customHeight="1" ht="15">
      <c r="A59" s="3" t="s">
        <v>91</v>
      </c>
      <c r="B59" s="3" t="s">
        <v>99</v>
      </c>
      <c r="C59" s="3" t="s">
        <v>103</v>
      </c>
      <c r="D59" s="3"/>
      <c r="E59" s="3"/>
      <c r="F59" s="2" t="s">
        <v>167</v>
      </c>
      <c r="G59" s="2"/>
      <c r="H59" s="1" t="s">
        <v>95</v>
      </c>
      <c r="I59" s="1">
        <v>17528.0</v>
      </c>
      <c r="J59" s="1">
        <v>3.0</v>
      </c>
      <c r="K59" s="1">
        <v>38.0</v>
      </c>
      <c r="L59" s="1" t="s">
        <v>561</v>
      </c>
      <c r="M59" s="1" t="s">
        <v>763</v>
      </c>
      <c r="N59" s="1" t="s">
        <v>921</v>
      </c>
    </row>
    <row r="60" spans="1:15" customHeight="1" ht="15">
      <c r="A60" s="3" t="s">
        <v>91</v>
      </c>
      <c r="B60" s="3" t="s">
        <v>100</v>
      </c>
      <c r="C60" s="3" t="s">
        <v>107</v>
      </c>
      <c r="D60" s="3"/>
      <c r="E60" s="3"/>
      <c r="F60" s="2" t="s">
        <v>168</v>
      </c>
      <c r="G60" s="2"/>
      <c r="H60" s="1" t="s">
        <v>95</v>
      </c>
      <c r="I60" s="1">
        <v>136852.0</v>
      </c>
      <c r="J60" s="1">
        <v>7.0</v>
      </c>
      <c r="K60" s="1">
        <v>777.0</v>
      </c>
      <c r="L60" s="1" t="s">
        <v>562</v>
      </c>
      <c r="M60" s="1" t="s">
        <v>764</v>
      </c>
      <c r="N60" s="1" t="s">
        <v>469</v>
      </c>
    </row>
    <row r="61" spans="1:15" customHeight="1" ht="15">
      <c r="A61" s="3" t="s">
        <v>91</v>
      </c>
      <c r="B61" s="3" t="s">
        <v>99</v>
      </c>
      <c r="C61" s="3" t="s">
        <v>103</v>
      </c>
      <c r="D61" s="3"/>
      <c r="E61" s="3"/>
      <c r="F61" s="2" t="s">
        <v>169</v>
      </c>
      <c r="G61" s="2"/>
      <c r="H61" s="1" t="s">
        <v>95</v>
      </c>
      <c r="I61" s="1">
        <v>9103.0</v>
      </c>
      <c r="J61" s="1">
        <v>6.0</v>
      </c>
      <c r="K61" s="1">
        <v>156.0</v>
      </c>
      <c r="L61" s="1" t="s">
        <v>563</v>
      </c>
      <c r="M61" s="1" t="s">
        <v>765</v>
      </c>
      <c r="N61" s="1" t="s">
        <v>469</v>
      </c>
    </row>
    <row r="62" spans="1:15" customHeight="1" ht="15">
      <c r="A62" s="3" t="s">
        <v>91</v>
      </c>
      <c r="B62" s="3" t="s">
        <v>99</v>
      </c>
      <c r="C62" s="3" t="s">
        <v>103</v>
      </c>
      <c r="D62" s="3"/>
      <c r="E62" s="3"/>
      <c r="F62" s="2" t="s">
        <v>170</v>
      </c>
      <c r="G62" s="2"/>
      <c r="H62" s="1" t="s">
        <v>95</v>
      </c>
      <c r="I62" s="1">
        <v>9263.0</v>
      </c>
      <c r="J62" s="1">
        <v>7.0</v>
      </c>
      <c r="K62" s="1">
        <v>167.0</v>
      </c>
      <c r="L62" s="1" t="s">
        <v>564</v>
      </c>
      <c r="M62" s="1" t="s">
        <v>766</v>
      </c>
      <c r="N62" s="1" t="s">
        <v>482</v>
      </c>
    </row>
    <row r="63" spans="1:15" customHeight="1" ht="15">
      <c r="A63" s="3" t="s">
        <v>91</v>
      </c>
      <c r="B63" s="3" t="s">
        <v>99</v>
      </c>
      <c r="C63" s="3" t="s">
        <v>103</v>
      </c>
      <c r="D63" s="3"/>
      <c r="E63" s="3"/>
      <c r="F63" s="2" t="s">
        <v>171</v>
      </c>
      <c r="G63" s="2"/>
      <c r="H63" s="1" t="s">
        <v>95</v>
      </c>
      <c r="I63" s="1">
        <v>8492.0</v>
      </c>
      <c r="J63" s="1">
        <v>7.0</v>
      </c>
      <c r="K63" s="1">
        <v>75.0</v>
      </c>
      <c r="L63" s="1" t="s">
        <v>565</v>
      </c>
      <c r="M63" s="1" t="s">
        <v>767</v>
      </c>
      <c r="N63" s="1" t="s">
        <v>469</v>
      </c>
    </row>
    <row r="64" spans="1:15" customHeight="1" ht="15">
      <c r="A64" s="3" t="s">
        <v>91</v>
      </c>
      <c r="B64" s="3" t="s">
        <v>99</v>
      </c>
      <c r="C64" s="3" t="s">
        <v>103</v>
      </c>
      <c r="D64" s="3"/>
      <c r="E64" s="3"/>
      <c r="F64" s="2" t="s">
        <v>172</v>
      </c>
      <c r="G64" s="2"/>
      <c r="H64" s="1" t="s">
        <v>95</v>
      </c>
      <c r="I64" s="1">
        <v>8193.0</v>
      </c>
      <c r="J64" s="1">
        <v>5.0</v>
      </c>
      <c r="K64" s="1">
        <v>115.0</v>
      </c>
      <c r="L64" s="1" t="s">
        <v>566</v>
      </c>
      <c r="M64" s="1" t="s">
        <v>768</v>
      </c>
      <c r="N64" s="1" t="s">
        <v>470</v>
      </c>
    </row>
    <row r="65" spans="1:15" customHeight="1" ht="15">
      <c r="A65" s="3" t="s">
        <v>91</v>
      </c>
      <c r="B65" s="3" t="s">
        <v>99</v>
      </c>
      <c r="C65" s="3" t="s">
        <v>103</v>
      </c>
      <c r="D65" s="3"/>
      <c r="E65" s="3"/>
      <c r="F65" s="2" t="s">
        <v>173</v>
      </c>
      <c r="G65" s="2"/>
      <c r="H65" s="1" t="s">
        <v>95</v>
      </c>
      <c r="I65" s="1">
        <v>137878.0</v>
      </c>
      <c r="J65" s="1">
        <v>8.0</v>
      </c>
      <c r="K65" s="1">
        <v>136.0</v>
      </c>
      <c r="L65" s="1" t="s">
        <v>567</v>
      </c>
      <c r="M65" s="1" t="s">
        <v>769</v>
      </c>
      <c r="N65" s="1" t="s">
        <v>482</v>
      </c>
    </row>
    <row r="66" spans="1:15" customHeight="1" ht="15">
      <c r="A66" s="3" t="s">
        <v>91</v>
      </c>
      <c r="B66" s="3" t="s">
        <v>99</v>
      </c>
      <c r="C66" s="3" t="s">
        <v>103</v>
      </c>
      <c r="D66" s="3"/>
      <c r="E66" s="3"/>
      <c r="F66" s="2" t="s">
        <v>174</v>
      </c>
      <c r="G66" s="2"/>
      <c r="H66" s="1" t="s">
        <v>95</v>
      </c>
      <c r="I66" s="1">
        <v>178617.0</v>
      </c>
      <c r="J66" s="1">
        <v>8.0</v>
      </c>
      <c r="K66" s="1">
        <v>193.0</v>
      </c>
      <c r="L66" s="1" t="s">
        <v>568</v>
      </c>
      <c r="M66" s="1" t="s">
        <v>770</v>
      </c>
      <c r="N66" s="1" t="s">
        <v>469</v>
      </c>
    </row>
    <row r="67" spans="1:15" customHeight="1" ht="15">
      <c r="A67" s="3" t="s">
        <v>91</v>
      </c>
      <c r="B67" s="3" t="s">
        <v>99</v>
      </c>
      <c r="C67" s="3" t="s">
        <v>103</v>
      </c>
      <c r="D67" s="3"/>
      <c r="E67" s="3"/>
      <c r="F67" s="2" t="s">
        <v>175</v>
      </c>
      <c r="G67" s="2"/>
      <c r="H67" s="1" t="s">
        <v>95</v>
      </c>
      <c r="I67" s="1">
        <v>4954.0</v>
      </c>
      <c r="J67" s="1">
        <v>8.0</v>
      </c>
      <c r="K67" s="1">
        <v>151.0</v>
      </c>
      <c r="L67" s="1" t="s">
        <v>569</v>
      </c>
      <c r="M67" s="1" t="s">
        <v>771</v>
      </c>
      <c r="N67" s="1" t="s">
        <v>382</v>
      </c>
    </row>
    <row r="68" spans="1:15" customHeight="1" ht="15">
      <c r="A68" s="3" t="s">
        <v>91</v>
      </c>
      <c r="B68" s="3" t="s">
        <v>99</v>
      </c>
      <c r="C68" s="3" t="s">
        <v>103</v>
      </c>
      <c r="D68" s="3"/>
      <c r="E68" s="3"/>
      <c r="F68" s="2" t="s">
        <v>176</v>
      </c>
      <c r="G68" s="2"/>
      <c r="H68" s="1" t="s">
        <v>95</v>
      </c>
      <c r="I68" s="1">
        <v>132986.0</v>
      </c>
      <c r="J68" s="1">
        <v>7.0</v>
      </c>
      <c r="K68" s="1">
        <v>136.0</v>
      </c>
      <c r="L68" s="1" t="s">
        <v>570</v>
      </c>
      <c r="M68" s="1" t="s">
        <v>772</v>
      </c>
      <c r="N68" s="1" t="s">
        <v>469</v>
      </c>
    </row>
    <row r="69" spans="1:15" customHeight="1" ht="15">
      <c r="A69" s="3" t="s">
        <v>91</v>
      </c>
      <c r="B69" s="3" t="s">
        <v>99</v>
      </c>
      <c r="C69" s="3" t="s">
        <v>103</v>
      </c>
      <c r="D69" s="3"/>
      <c r="E69" s="3"/>
      <c r="F69" s="2" t="s">
        <v>177</v>
      </c>
      <c r="G69" s="2"/>
      <c r="H69" s="1" t="s">
        <v>95</v>
      </c>
      <c r="I69" s="1">
        <v>202931.0</v>
      </c>
      <c r="J69" s="1">
        <v>7.0</v>
      </c>
      <c r="K69" s="1">
        <v>128.0</v>
      </c>
      <c r="L69" s="1" t="s">
        <v>571</v>
      </c>
      <c r="M69" s="1" t="s">
        <v>773</v>
      </c>
      <c r="N69" s="1" t="s">
        <v>469</v>
      </c>
    </row>
    <row r="70" spans="1:15" customHeight="1" ht="15">
      <c r="A70" s="3" t="s">
        <v>91</v>
      </c>
      <c r="B70" s="3" t="s">
        <v>99</v>
      </c>
      <c r="C70" s="3" t="s">
        <v>103</v>
      </c>
      <c r="D70" s="3"/>
      <c r="E70" s="3"/>
      <c r="F70" s="2" t="s">
        <v>178</v>
      </c>
      <c r="G70" s="2"/>
      <c r="H70" s="1" t="s">
        <v>95</v>
      </c>
      <c r="I70" s="1">
        <v>112948.0</v>
      </c>
      <c r="J70" s="1">
        <v>6.0</v>
      </c>
      <c r="K70" s="1">
        <v>96.0</v>
      </c>
      <c r="L70" s="1" t="s">
        <v>572</v>
      </c>
      <c r="M70" s="1" t="s">
        <v>774</v>
      </c>
      <c r="N70" s="1" t="s">
        <v>470</v>
      </c>
    </row>
    <row r="71" spans="1:15" customHeight="1" ht="15">
      <c r="A71" s="3" t="s">
        <v>91</v>
      </c>
      <c r="B71" s="3" t="s">
        <v>99</v>
      </c>
      <c r="C71" s="3" t="s">
        <v>103</v>
      </c>
      <c r="D71" s="3"/>
      <c r="E71" s="3"/>
      <c r="F71" s="2" t="s">
        <v>179</v>
      </c>
      <c r="G71" s="2"/>
      <c r="H71" s="1" t="s">
        <v>95</v>
      </c>
      <c r="I71" s="1">
        <v>8915.0</v>
      </c>
      <c r="J71" s="1">
        <v>7.0</v>
      </c>
      <c r="K71" s="1">
        <v>145.0</v>
      </c>
      <c r="L71" s="1" t="s">
        <v>573</v>
      </c>
      <c r="M71" s="1" t="s">
        <v>775</v>
      </c>
      <c r="N71" s="1" t="s">
        <v>469</v>
      </c>
    </row>
    <row r="72" spans="1:15" customHeight="1" ht="15">
      <c r="A72" s="3" t="s">
        <v>91</v>
      </c>
      <c r="B72" s="3" t="s">
        <v>99</v>
      </c>
      <c r="C72" s="3" t="s">
        <v>103</v>
      </c>
      <c r="D72" s="3"/>
      <c r="E72" s="3"/>
      <c r="F72" s="2" t="s">
        <v>180</v>
      </c>
      <c r="G72" s="2"/>
      <c r="H72" s="1" t="s">
        <v>95</v>
      </c>
      <c r="I72" s="1">
        <v>8258.0</v>
      </c>
      <c r="J72" s="1">
        <v>6.0</v>
      </c>
      <c r="K72" s="1">
        <v>138.0</v>
      </c>
      <c r="L72" s="1" t="s">
        <v>574</v>
      </c>
      <c r="M72" s="1" t="s">
        <v>776</v>
      </c>
      <c r="N72" s="1" t="s">
        <v>469</v>
      </c>
    </row>
    <row r="73" spans="1:15" customHeight="1" ht="15">
      <c r="A73" s="3" t="s">
        <v>91</v>
      </c>
      <c r="B73" s="3" t="s">
        <v>99</v>
      </c>
      <c r="C73" s="3" t="s">
        <v>103</v>
      </c>
      <c r="D73" s="3"/>
      <c r="E73" s="3"/>
      <c r="F73" s="2" t="s">
        <v>181</v>
      </c>
      <c r="G73" s="2"/>
      <c r="H73" s="1" t="s">
        <v>326</v>
      </c>
      <c r="I73" s="1">
        <v>5614.0</v>
      </c>
      <c r="J73" s="1">
        <v>7.0</v>
      </c>
      <c r="K73" s="1">
        <v>125.0</v>
      </c>
      <c r="L73" s="1" t="s">
        <v>575</v>
      </c>
      <c r="M73" s="1" t="s">
        <v>777</v>
      </c>
      <c r="N73" s="1" t="s">
        <v>482</v>
      </c>
    </row>
    <row r="74" spans="1:15" customHeight="1" ht="15">
      <c r="A74" s="3" t="s">
        <v>91</v>
      </c>
      <c r="B74" s="3" t="s">
        <v>99</v>
      </c>
      <c r="C74" s="3" t="s">
        <v>103</v>
      </c>
      <c r="D74" s="3"/>
      <c r="E74" s="3"/>
      <c r="F74" s="2" t="s">
        <v>182</v>
      </c>
      <c r="G74" s="2"/>
      <c r="H74" s="1" t="s">
        <v>95</v>
      </c>
      <c r="I74" s="1">
        <v>174346.0</v>
      </c>
      <c r="J74" s="1">
        <v>9.0</v>
      </c>
      <c r="K74" s="1">
        <v>244.0</v>
      </c>
      <c r="L74" s="1" t="s">
        <v>576</v>
      </c>
      <c r="M74" s="1" t="s">
        <v>778</v>
      </c>
      <c r="N74" s="1" t="s">
        <v>918</v>
      </c>
    </row>
    <row r="75" spans="1:15" customHeight="1" ht="15">
      <c r="A75" s="3" t="s">
        <v>91</v>
      </c>
      <c r="B75" s="3" t="s">
        <v>100</v>
      </c>
      <c r="C75" s="3" t="s">
        <v>107</v>
      </c>
      <c r="D75" s="3"/>
      <c r="E75" s="3"/>
      <c r="F75" s="2" t="s">
        <v>183</v>
      </c>
      <c r="G75" s="2"/>
      <c r="H75" s="1" t="s">
        <v>95</v>
      </c>
      <c r="I75" s="1">
        <v>110956.0</v>
      </c>
      <c r="J75" s="1">
        <v>8.0</v>
      </c>
      <c r="K75" s="1">
        <v>792.0</v>
      </c>
      <c r="L75" s="1" t="s">
        <v>577</v>
      </c>
      <c r="M75" s="1" t="s">
        <v>779</v>
      </c>
      <c r="N75" s="1" t="s">
        <v>382</v>
      </c>
    </row>
    <row r="76" spans="1:15" customHeight="1" ht="15">
      <c r="A76" s="3" t="s">
        <v>91</v>
      </c>
      <c r="B76" s="3" t="s">
        <v>99</v>
      </c>
      <c r="C76" s="3" t="s">
        <v>103</v>
      </c>
      <c r="D76" s="3"/>
      <c r="E76" s="3"/>
      <c r="F76" s="2" t="s">
        <v>184</v>
      </c>
      <c r="G76" s="2"/>
      <c r="H76" s="1" t="s">
        <v>95</v>
      </c>
      <c r="I76" s="1">
        <v>12730.0</v>
      </c>
      <c r="J76" s="1">
        <v>7.0</v>
      </c>
      <c r="K76" s="1">
        <v>119.0</v>
      </c>
      <c r="L76" s="1" t="s">
        <v>578</v>
      </c>
      <c r="M76" s="1" t="s">
        <v>780</v>
      </c>
      <c r="N76" s="1" t="s">
        <v>470</v>
      </c>
    </row>
    <row r="77" spans="1:15" customHeight="1" ht="15">
      <c r="A77" s="3" t="s">
        <v>91</v>
      </c>
      <c r="B77" s="3" t="s">
        <v>99</v>
      </c>
      <c r="C77" s="3" t="s">
        <v>103</v>
      </c>
      <c r="D77" s="3"/>
      <c r="E77" s="3"/>
      <c r="F77" s="2" t="s">
        <v>185</v>
      </c>
      <c r="G77" s="2"/>
      <c r="H77" s="1" t="s">
        <v>95</v>
      </c>
      <c r="I77" s="1">
        <v>8361.0</v>
      </c>
      <c r="J77" s="1">
        <v>8.0</v>
      </c>
      <c r="K77" s="1">
        <v>181.0</v>
      </c>
      <c r="L77" s="1" t="s">
        <v>579</v>
      </c>
      <c r="M77" s="1" t="s">
        <v>781</v>
      </c>
      <c r="N77" s="1" t="s">
        <v>482</v>
      </c>
    </row>
    <row r="78" spans="1:15" customHeight="1" ht="15">
      <c r="A78" s="3" t="s">
        <v>91</v>
      </c>
      <c r="B78" s="3" t="s">
        <v>99</v>
      </c>
      <c r="C78" s="3" t="s">
        <v>103</v>
      </c>
      <c r="D78" s="3"/>
      <c r="E78" s="3"/>
      <c r="F78" s="2" t="s">
        <v>186</v>
      </c>
      <c r="G78" s="2"/>
      <c r="H78" s="1" t="s">
        <v>95</v>
      </c>
      <c r="I78" s="1">
        <v>17668.0</v>
      </c>
      <c r="J78" s="1">
        <v>10.0</v>
      </c>
      <c r="K78" s="1">
        <v>625.0</v>
      </c>
      <c r="L78" s="1" t="s">
        <v>580</v>
      </c>
      <c r="M78" s="1" t="s">
        <v>782</v>
      </c>
      <c r="N78" s="1" t="s">
        <v>404</v>
      </c>
    </row>
    <row r="79" spans="1:15" customHeight="1" ht="15">
      <c r="A79" s="3" t="s">
        <v>91</v>
      </c>
      <c r="B79" s="3" t="s">
        <v>99</v>
      </c>
      <c r="C79" s="3" t="s">
        <v>103</v>
      </c>
      <c r="D79" s="3"/>
      <c r="E79" s="3"/>
      <c r="F79" s="2" t="s">
        <v>187</v>
      </c>
      <c r="G79" s="2"/>
      <c r="H79" s="1" t="s">
        <v>95</v>
      </c>
      <c r="I79" s="1">
        <v>7452.0</v>
      </c>
      <c r="J79" s="1">
        <v>8.0</v>
      </c>
      <c r="K79" s="1">
        <v>206.0</v>
      </c>
      <c r="L79" s="1" t="s">
        <v>581</v>
      </c>
      <c r="M79" s="1" t="s">
        <v>783</v>
      </c>
      <c r="N79" s="1" t="s">
        <v>469</v>
      </c>
    </row>
    <row r="80" spans="1:15" customHeight="1" ht="15">
      <c r="A80" s="3" t="s">
        <v>91</v>
      </c>
      <c r="B80" s="3" t="s">
        <v>99</v>
      </c>
      <c r="C80" s="3" t="s">
        <v>103</v>
      </c>
      <c r="D80" s="3"/>
      <c r="E80" s="3"/>
      <c r="F80" s="2" t="s">
        <v>188</v>
      </c>
      <c r="G80" s="2"/>
      <c r="H80" s="1" t="s">
        <v>95</v>
      </c>
      <c r="I80" s="1">
        <v>12522.0</v>
      </c>
      <c r="J80" s="1">
        <v>7.0</v>
      </c>
      <c r="K80" s="1">
        <v>121.0</v>
      </c>
      <c r="L80" s="1" t="s">
        <v>582</v>
      </c>
      <c r="M80" s="1" t="s">
        <v>784</v>
      </c>
      <c r="N80" s="1" t="s">
        <v>482</v>
      </c>
    </row>
    <row r="81" spans="1:15" customHeight="1" ht="15">
      <c r="A81" s="3" t="s">
        <v>91</v>
      </c>
      <c r="B81" s="3" t="s">
        <v>99</v>
      </c>
      <c r="C81" s="3" t="s">
        <v>103</v>
      </c>
      <c r="D81" s="3"/>
      <c r="E81" s="3"/>
      <c r="F81" s="2" t="s">
        <v>189</v>
      </c>
      <c r="G81" s="2"/>
      <c r="H81" s="1" t="s">
        <v>95</v>
      </c>
      <c r="I81" s="1">
        <v>9213.0</v>
      </c>
      <c r="J81" s="1">
        <v>8.0</v>
      </c>
      <c r="K81" s="1">
        <v>283.0</v>
      </c>
      <c r="L81" s="1" t="s">
        <v>583</v>
      </c>
      <c r="M81" s="1" t="s">
        <v>785</v>
      </c>
      <c r="N81" s="1" t="s">
        <v>482</v>
      </c>
    </row>
    <row r="82" spans="1:15" customHeight="1" ht="15">
      <c r="A82" s="3" t="s">
        <v>91</v>
      </c>
      <c r="B82" s="3" t="s">
        <v>99</v>
      </c>
      <c r="C82" s="3" t="s">
        <v>103</v>
      </c>
      <c r="D82" s="3"/>
      <c r="E82" s="3"/>
      <c r="F82" s="2" t="s">
        <v>190</v>
      </c>
      <c r="G82" s="2"/>
      <c r="H82" s="1" t="s">
        <v>95</v>
      </c>
      <c r="I82" s="1">
        <v>10430.0</v>
      </c>
      <c r="J82" s="1">
        <v>7.0</v>
      </c>
      <c r="K82" s="1">
        <v>118.0</v>
      </c>
      <c r="L82" s="1" t="s">
        <v>584</v>
      </c>
      <c r="M82" s="1" t="s">
        <v>786</v>
      </c>
      <c r="N82" s="1" t="s">
        <v>470</v>
      </c>
    </row>
    <row r="83" spans="1:15" customHeight="1" ht="15">
      <c r="A83" s="3" t="s">
        <v>91</v>
      </c>
      <c r="B83" s="3" t="s">
        <v>99</v>
      </c>
      <c r="C83" s="3" t="s">
        <v>103</v>
      </c>
      <c r="D83" s="3"/>
      <c r="E83" s="3"/>
      <c r="F83" s="2" t="s">
        <v>191</v>
      </c>
      <c r="G83" s="2"/>
      <c r="H83" s="1" t="s">
        <v>95</v>
      </c>
      <c r="I83" s="1">
        <v>1627.0</v>
      </c>
      <c r="J83" s="1">
        <v>8.0</v>
      </c>
      <c r="K83" s="1">
        <v>256.0</v>
      </c>
      <c r="L83" s="1" t="s">
        <v>585</v>
      </c>
      <c r="M83" s="1" t="s">
        <v>787</v>
      </c>
      <c r="N83" s="1" t="s">
        <v>482</v>
      </c>
    </row>
    <row r="84" spans="1:15" customHeight="1" ht="15">
      <c r="A84" s="3" t="s">
        <v>91</v>
      </c>
      <c r="B84" s="3" t="s">
        <v>99</v>
      </c>
      <c r="C84" s="3" t="s">
        <v>103</v>
      </c>
      <c r="D84" s="3"/>
      <c r="E84" s="3"/>
      <c r="F84" s="2" t="s">
        <v>192</v>
      </c>
      <c r="G84" s="2"/>
      <c r="H84" s="1" t="s">
        <v>95</v>
      </c>
      <c r="I84" s="1">
        <v>15656.0</v>
      </c>
      <c r="J84" s="1">
        <v>7.0</v>
      </c>
      <c r="K84" s="1">
        <v>279.0</v>
      </c>
      <c r="L84" s="1" t="s">
        <v>586</v>
      </c>
      <c r="M84" s="1" t="s">
        <v>788</v>
      </c>
      <c r="N84" s="1" t="s">
        <v>482</v>
      </c>
    </row>
    <row r="85" spans="1:15" customHeight="1" ht="15">
      <c r="A85" s="3" t="s">
        <v>91</v>
      </c>
      <c r="B85" s="3" t="s">
        <v>99</v>
      </c>
      <c r="C85" s="3" t="s">
        <v>103</v>
      </c>
      <c r="D85" s="3"/>
      <c r="E85" s="3"/>
      <c r="F85" s="2" t="s">
        <v>193</v>
      </c>
      <c r="G85" s="2"/>
      <c r="H85" s="1" t="s">
        <v>95</v>
      </c>
      <c r="I85" s="1">
        <v>11433.0</v>
      </c>
      <c r="J85" s="1">
        <v>7.0</v>
      </c>
      <c r="K85" s="1">
        <v>240.0</v>
      </c>
      <c r="L85" s="1" t="s">
        <v>587</v>
      </c>
      <c r="M85" s="1" t="s">
        <v>789</v>
      </c>
      <c r="N85" s="1" t="s">
        <v>469</v>
      </c>
    </row>
    <row r="86" spans="1:15" customHeight="1" ht="15">
      <c r="A86" s="3" t="s">
        <v>91</v>
      </c>
      <c r="B86" s="3" t="s">
        <v>99</v>
      </c>
      <c r="C86" s="3" t="s">
        <v>103</v>
      </c>
      <c r="D86" s="3"/>
      <c r="E86" s="3"/>
      <c r="F86" s="2" t="s">
        <v>194</v>
      </c>
      <c r="G86" s="2"/>
      <c r="H86" s="1" t="s">
        <v>95</v>
      </c>
      <c r="I86" s="1">
        <v>12694.0</v>
      </c>
      <c r="J86" s="1">
        <v>7.0</v>
      </c>
      <c r="K86" s="1">
        <v>2.0</v>
      </c>
      <c r="L86" s="1" t="s">
        <v>588</v>
      </c>
      <c r="M86" s="1" t="s">
        <v>790</v>
      </c>
      <c r="N86" s="1" t="s">
        <v>920</v>
      </c>
    </row>
    <row r="87" spans="1:15" customHeight="1" ht="15">
      <c r="A87" s="3" t="s">
        <v>91</v>
      </c>
      <c r="B87" s="3" t="s">
        <v>99</v>
      </c>
      <c r="C87" s="3" t="s">
        <v>103</v>
      </c>
      <c r="D87" s="3"/>
      <c r="E87" s="3"/>
      <c r="F87" s="2" t="s">
        <v>195</v>
      </c>
      <c r="G87" s="2"/>
      <c r="H87" s="1" t="s">
        <v>95</v>
      </c>
      <c r="I87" s="1">
        <v>11234.0</v>
      </c>
      <c r="J87" s="1">
        <v>7.0</v>
      </c>
      <c r="K87" s="1">
        <v>156.0</v>
      </c>
      <c r="L87" s="1" t="s">
        <v>589</v>
      </c>
      <c r="M87" s="1" t="s">
        <v>791</v>
      </c>
      <c r="N87" s="1" t="s">
        <v>470</v>
      </c>
    </row>
    <row r="88" spans="1:15" customHeight="1" ht="15">
      <c r="A88" s="3" t="s">
        <v>91</v>
      </c>
      <c r="B88" s="3" t="s">
        <v>99</v>
      </c>
      <c r="C88" s="3" t="s">
        <v>103</v>
      </c>
      <c r="D88" s="3"/>
      <c r="E88" s="3"/>
      <c r="F88" s="2" t="s">
        <v>196</v>
      </c>
      <c r="G88" s="2"/>
      <c r="H88" s="1" t="s">
        <v>95</v>
      </c>
      <c r="I88" s="1">
        <v>9745.0</v>
      </c>
      <c r="J88" s="1">
        <v>10.0</v>
      </c>
      <c r="K88" s="1">
        <v>237.0</v>
      </c>
      <c r="L88" s="1" t="s">
        <v>590</v>
      </c>
      <c r="M88" s="1" t="s">
        <v>792</v>
      </c>
      <c r="N88" s="1" t="s">
        <v>382</v>
      </c>
    </row>
    <row r="89" spans="1:15" customHeight="1" ht="15">
      <c r="A89" s="3" t="s">
        <v>91</v>
      </c>
      <c r="B89" s="3" t="s">
        <v>99</v>
      </c>
      <c r="C89" s="3" t="s">
        <v>103</v>
      </c>
      <c r="D89" s="3"/>
      <c r="E89" s="3"/>
      <c r="F89" s="2" t="s">
        <v>197</v>
      </c>
      <c r="G89" s="2"/>
      <c r="H89" s="1" t="s">
        <v>95</v>
      </c>
      <c r="I89" s="1">
        <v>14678.0</v>
      </c>
      <c r="J89" s="1">
        <v>10.0</v>
      </c>
      <c r="K89" s="1">
        <v>457.0</v>
      </c>
      <c r="L89" s="1" t="s">
        <v>591</v>
      </c>
      <c r="M89" s="1" t="s">
        <v>793</v>
      </c>
      <c r="N89" s="1" t="s">
        <v>404</v>
      </c>
    </row>
    <row r="90" spans="1:15" customHeight="1" ht="15">
      <c r="A90" s="3" t="s">
        <v>91</v>
      </c>
      <c r="B90" s="3" t="s">
        <v>99</v>
      </c>
      <c r="C90" s="3" t="s">
        <v>103</v>
      </c>
      <c r="D90" s="3"/>
      <c r="E90" s="3"/>
      <c r="F90" s="2" t="s">
        <v>198</v>
      </c>
      <c r="G90" s="2"/>
      <c r="H90" s="1" t="s">
        <v>95</v>
      </c>
      <c r="I90" s="1">
        <v>12311.0</v>
      </c>
      <c r="J90" s="1">
        <v>6.0</v>
      </c>
      <c r="K90" s="1">
        <v>182.0</v>
      </c>
      <c r="L90" s="1" t="s">
        <v>592</v>
      </c>
      <c r="M90" s="1" t="s">
        <v>794</v>
      </c>
      <c r="N90" s="1" t="s">
        <v>470</v>
      </c>
    </row>
    <row r="91" spans="1:15" customHeight="1" ht="15">
      <c r="A91" s="3" t="s">
        <v>91</v>
      </c>
      <c r="B91" s="3" t="s">
        <v>99</v>
      </c>
      <c r="C91" s="3" t="s">
        <v>103</v>
      </c>
      <c r="D91" s="3"/>
      <c r="E91" s="3"/>
      <c r="F91" s="2" t="s">
        <v>199</v>
      </c>
      <c r="G91" s="2"/>
      <c r="H91" s="1" t="s">
        <v>95</v>
      </c>
      <c r="I91" s="1">
        <v>10865.0</v>
      </c>
      <c r="J91" s="1">
        <v>7.0</v>
      </c>
      <c r="K91" s="1">
        <v>122.0</v>
      </c>
      <c r="L91" s="1" t="s">
        <v>593</v>
      </c>
      <c r="M91" s="1" t="s">
        <v>795</v>
      </c>
      <c r="N91" s="1" t="s">
        <v>482</v>
      </c>
    </row>
    <row r="92" spans="1:15" customHeight="1" ht="15">
      <c r="A92" s="3" t="s">
        <v>91</v>
      </c>
      <c r="B92" s="3" t="s">
        <v>101</v>
      </c>
      <c r="C92" s="3" t="s">
        <v>108</v>
      </c>
      <c r="D92" s="3"/>
      <c r="E92" s="3"/>
      <c r="F92" s="2" t="s">
        <v>200</v>
      </c>
      <c r="G92" s="2"/>
      <c r="H92" s="1" t="s">
        <v>95</v>
      </c>
      <c r="I92" s="1">
        <v>75335.0</v>
      </c>
      <c r="J92" s="1">
        <v>7.0</v>
      </c>
      <c r="K92" s="1">
        <v>930.0</v>
      </c>
      <c r="L92" s="1" t="s">
        <v>594</v>
      </c>
      <c r="M92" s="1" t="s">
        <v>796</v>
      </c>
      <c r="N92" s="1" t="s">
        <v>482</v>
      </c>
    </row>
    <row r="93" spans="1:15" customHeight="1" ht="15">
      <c r="A93" s="3" t="s">
        <v>91</v>
      </c>
      <c r="B93" s="3" t="s">
        <v>101</v>
      </c>
      <c r="C93" s="3" t="s">
        <v>108</v>
      </c>
      <c r="D93" s="3"/>
      <c r="E93" s="3"/>
      <c r="F93" s="2" t="s">
        <v>201</v>
      </c>
      <c r="G93" s="2"/>
      <c r="H93" s="1" t="s">
        <v>95</v>
      </c>
      <c r="I93" s="1">
        <v>95402.0</v>
      </c>
      <c r="J93" s="1">
        <v>7.0</v>
      </c>
      <c r="K93" s="1">
        <v>909.0</v>
      </c>
      <c r="L93" s="1" t="s">
        <v>595</v>
      </c>
      <c r="M93" s="1" t="s">
        <v>797</v>
      </c>
      <c r="N93" s="1" t="s">
        <v>482</v>
      </c>
    </row>
    <row r="94" spans="1:15" customHeight="1" ht="15">
      <c r="A94" s="3" t="s">
        <v>91</v>
      </c>
      <c r="B94" s="3" t="s">
        <v>101</v>
      </c>
      <c r="C94" s="3" t="s">
        <v>108</v>
      </c>
      <c r="D94" s="3"/>
      <c r="E94" s="3"/>
      <c r="F94" s="2" t="s">
        <v>202</v>
      </c>
      <c r="G94" s="2"/>
      <c r="H94" s="1" t="s">
        <v>326</v>
      </c>
      <c r="I94" s="1">
        <v>75278.0</v>
      </c>
      <c r="J94" s="1">
        <v>5.0</v>
      </c>
      <c r="K94" s="1">
        <v>1.0</v>
      </c>
      <c r="L94" s="1" t="s">
        <v>596</v>
      </c>
      <c r="M94" s="1" t="s">
        <v>798</v>
      </c>
      <c r="N94" s="1" t="s">
        <v>922</v>
      </c>
    </row>
    <row r="95" spans="1:15" customHeight="1" ht="15">
      <c r="A95" s="3" t="s">
        <v>91</v>
      </c>
      <c r="B95" s="3" t="s">
        <v>100</v>
      </c>
      <c r="C95" s="3" t="s">
        <v>107</v>
      </c>
      <c r="D95" s="3"/>
      <c r="E95" s="3"/>
      <c r="F95" s="2" t="s">
        <v>203</v>
      </c>
      <c r="G95" s="2"/>
      <c r="H95" s="1" t="s">
        <v>95</v>
      </c>
      <c r="I95" s="1">
        <v>197561.0</v>
      </c>
      <c r="J95" s="1">
        <v>1.0</v>
      </c>
      <c r="K95" s="1">
        <v>0.0</v>
      </c>
      <c r="L95" s="1" t="s">
        <v>597</v>
      </c>
      <c r="M95" s="1" t="s">
        <v>387</v>
      </c>
      <c r="N95" s="1" t="s">
        <v>922</v>
      </c>
    </row>
    <row r="96" spans="1:15" customHeight="1" ht="15">
      <c r="A96" s="3" t="s">
        <v>91</v>
      </c>
      <c r="B96" s="3" t="s">
        <v>100</v>
      </c>
      <c r="C96" s="3" t="s">
        <v>106</v>
      </c>
      <c r="D96" s="3"/>
      <c r="E96" s="3"/>
      <c r="F96" s="2" t="s">
        <v>204</v>
      </c>
      <c r="G96" s="2"/>
      <c r="H96" s="1" t="s">
        <v>95</v>
      </c>
      <c r="I96" s="1">
        <v>101112.0</v>
      </c>
      <c r="J96" s="1">
        <v>1.0</v>
      </c>
      <c r="K96" s="1">
        <v>0.0</v>
      </c>
      <c r="L96" s="1" t="s">
        <v>598</v>
      </c>
      <c r="M96" s="1" t="s">
        <v>387</v>
      </c>
      <c r="N96" s="1" t="s">
        <v>922</v>
      </c>
    </row>
    <row r="97" spans="1:15" customHeight="1" ht="15">
      <c r="A97" s="3" t="s">
        <v>91</v>
      </c>
      <c r="B97" s="3" t="s">
        <v>100</v>
      </c>
      <c r="C97" s="3" t="s">
        <v>106</v>
      </c>
      <c r="D97" s="3"/>
      <c r="E97" s="3"/>
      <c r="F97" s="2" t="s">
        <v>205</v>
      </c>
      <c r="G97" s="2"/>
      <c r="H97" s="1" t="s">
        <v>95</v>
      </c>
      <c r="I97" s="1">
        <v>130024.0</v>
      </c>
      <c r="J97" s="1">
        <v>7.0</v>
      </c>
      <c r="K97" s="1">
        <v>470.0</v>
      </c>
      <c r="L97" s="1" t="s">
        <v>599</v>
      </c>
      <c r="M97" s="1" t="s">
        <v>799</v>
      </c>
      <c r="N97" s="1" t="s">
        <v>482</v>
      </c>
    </row>
    <row r="98" spans="1:15" customHeight="1" ht="15">
      <c r="A98" s="3" t="s">
        <v>91</v>
      </c>
      <c r="B98" s="3" t="s">
        <v>100</v>
      </c>
      <c r="C98" s="3" t="s">
        <v>106</v>
      </c>
      <c r="D98" s="3"/>
      <c r="E98" s="3"/>
      <c r="F98" s="2" t="s">
        <v>206</v>
      </c>
      <c r="G98" s="2"/>
      <c r="H98" s="1" t="s">
        <v>95</v>
      </c>
      <c r="I98" s="1">
        <v>132593.0</v>
      </c>
      <c r="J98" s="1">
        <v>5.0</v>
      </c>
      <c r="K98" s="1">
        <v>205.0</v>
      </c>
      <c r="L98" s="1" t="s">
        <v>600</v>
      </c>
      <c r="M98" s="1" t="s">
        <v>800</v>
      </c>
      <c r="N98" s="1" t="s">
        <v>402</v>
      </c>
    </row>
    <row r="99" spans="1:15" customHeight="1" ht="15">
      <c r="A99" s="3" t="s">
        <v>91</v>
      </c>
      <c r="B99" s="3" t="s">
        <v>100</v>
      </c>
      <c r="C99" s="3" t="s">
        <v>106</v>
      </c>
      <c r="D99" s="3"/>
      <c r="E99" s="3"/>
      <c r="F99" s="2" t="s">
        <v>207</v>
      </c>
      <c r="G99" s="2"/>
      <c r="H99" s="1" t="s">
        <v>95</v>
      </c>
      <c r="I99" s="1">
        <v>95225.0</v>
      </c>
      <c r="J99" s="1">
        <v>3.0</v>
      </c>
      <c r="K99" s="1">
        <v>217.0</v>
      </c>
      <c r="L99" s="1" t="s">
        <v>601</v>
      </c>
      <c r="M99" s="1" t="s">
        <v>801</v>
      </c>
      <c r="N99" s="1" t="s">
        <v>462</v>
      </c>
    </row>
    <row r="100" spans="1:15" customHeight="1" ht="15">
      <c r="A100" s="3" t="s">
        <v>91</v>
      </c>
      <c r="B100" s="3" t="s">
        <v>100</v>
      </c>
      <c r="C100" s="3" t="s">
        <v>106</v>
      </c>
      <c r="D100" s="3"/>
      <c r="E100" s="3"/>
      <c r="F100" s="2" t="s">
        <v>208</v>
      </c>
      <c r="G100" s="2"/>
      <c r="H100" s="1" t="s">
        <v>95</v>
      </c>
      <c r="I100" s="1">
        <v>74634.0</v>
      </c>
      <c r="J100" s="1">
        <v>6.0</v>
      </c>
      <c r="K100" s="1">
        <v>565.0</v>
      </c>
      <c r="L100" s="1" t="s">
        <v>602</v>
      </c>
      <c r="M100" s="1" t="s">
        <v>802</v>
      </c>
      <c r="N100" s="1" t="s">
        <v>469</v>
      </c>
    </row>
    <row r="101" spans="1:15" customHeight="1" ht="15">
      <c r="A101" s="3" t="s">
        <v>91</v>
      </c>
      <c r="B101" s="3" t="s">
        <v>100</v>
      </c>
      <c r="C101" s="3" t="s">
        <v>106</v>
      </c>
      <c r="D101" s="3"/>
      <c r="E101" s="3"/>
      <c r="F101" s="2" t="s">
        <v>209</v>
      </c>
      <c r="G101" s="2"/>
      <c r="H101" s="1" t="s">
        <v>95</v>
      </c>
      <c r="I101" s="1">
        <v>29643.0</v>
      </c>
      <c r="J101" s="1">
        <v>3.0</v>
      </c>
      <c r="K101" s="1">
        <v>50.0</v>
      </c>
      <c r="L101" s="1" t="s">
        <v>603</v>
      </c>
      <c r="M101" s="1" t="s">
        <v>803</v>
      </c>
      <c r="N101" s="1" t="s">
        <v>462</v>
      </c>
    </row>
    <row r="102" spans="1:15" customHeight="1" ht="15">
      <c r="A102" s="3" t="s">
        <v>91</v>
      </c>
      <c r="B102" s="3" t="s">
        <v>101</v>
      </c>
      <c r="C102" s="3" t="s">
        <v>109</v>
      </c>
      <c r="D102" s="3"/>
      <c r="E102" s="3"/>
      <c r="F102" s="2" t="s">
        <v>210</v>
      </c>
      <c r="G102" s="2"/>
      <c r="H102" s="1" t="s">
        <v>95</v>
      </c>
      <c r="I102" s="1">
        <v>69642.0</v>
      </c>
      <c r="J102" s="1">
        <v>5.0</v>
      </c>
      <c r="K102" s="1">
        <v>445.0</v>
      </c>
      <c r="L102" s="1" t="s">
        <v>604</v>
      </c>
      <c r="M102" s="1" t="s">
        <v>804</v>
      </c>
      <c r="N102" s="1" t="s">
        <v>402</v>
      </c>
    </row>
    <row r="103" spans="1:15" customHeight="1" ht="15">
      <c r="A103" s="3" t="s">
        <v>91</v>
      </c>
      <c r="B103" s="3" t="s">
        <v>101</v>
      </c>
      <c r="C103" s="3" t="s">
        <v>109</v>
      </c>
      <c r="D103" s="3"/>
      <c r="E103" s="3"/>
      <c r="F103" s="2" t="s">
        <v>211</v>
      </c>
      <c r="G103" s="2"/>
      <c r="H103" s="1" t="s">
        <v>95</v>
      </c>
      <c r="I103" s="1">
        <v>74903.0</v>
      </c>
      <c r="J103" s="1">
        <v>4.0</v>
      </c>
      <c r="K103" s="1">
        <v>120.0</v>
      </c>
      <c r="L103" s="1" t="s">
        <v>605</v>
      </c>
      <c r="M103" s="1" t="s">
        <v>805</v>
      </c>
      <c r="N103" s="1" t="s">
        <v>921</v>
      </c>
    </row>
    <row r="104" spans="1:15" customHeight="1" ht="15">
      <c r="A104" s="3" t="s">
        <v>91</v>
      </c>
      <c r="B104" s="3" t="s">
        <v>102</v>
      </c>
      <c r="C104" s="3" t="s">
        <v>110</v>
      </c>
      <c r="D104" s="3"/>
      <c r="E104" s="3"/>
      <c r="F104" s="2" t="s">
        <v>212</v>
      </c>
      <c r="G104" s="2"/>
      <c r="H104" s="1" t="s">
        <v>95</v>
      </c>
      <c r="I104" s="1">
        <v>5444.0</v>
      </c>
      <c r="J104" s="1">
        <v>5.0</v>
      </c>
      <c r="K104" s="1">
        <v>30.0</v>
      </c>
      <c r="L104" s="1" t="s">
        <v>606</v>
      </c>
      <c r="M104" s="1" t="s">
        <v>806</v>
      </c>
      <c r="N104" s="1" t="s">
        <v>921</v>
      </c>
    </row>
    <row r="105" spans="1:15" customHeight="1" ht="15">
      <c r="A105" s="3" t="s">
        <v>91</v>
      </c>
      <c r="B105" s="3" t="s">
        <v>102</v>
      </c>
      <c r="C105" s="3" t="s">
        <v>110</v>
      </c>
      <c r="D105" s="3"/>
      <c r="E105" s="3"/>
      <c r="F105" s="2" t="s">
        <v>213</v>
      </c>
      <c r="G105" s="2"/>
      <c r="H105" s="1" t="s">
        <v>95</v>
      </c>
      <c r="I105" s="1">
        <v>6957.0</v>
      </c>
      <c r="J105" s="1">
        <v>6.0</v>
      </c>
      <c r="K105" s="1">
        <v>332.0</v>
      </c>
      <c r="L105" s="1" t="s">
        <v>607</v>
      </c>
      <c r="M105" s="1" t="s">
        <v>807</v>
      </c>
      <c r="N105" s="1" t="s">
        <v>469</v>
      </c>
    </row>
    <row r="106" spans="1:15" customHeight="1" ht="15">
      <c r="A106" s="3" t="s">
        <v>91</v>
      </c>
      <c r="B106" s="3" t="s">
        <v>102</v>
      </c>
      <c r="C106" s="3" t="s">
        <v>110</v>
      </c>
      <c r="D106" s="3"/>
      <c r="E106" s="3"/>
      <c r="F106" s="2" t="s">
        <v>214</v>
      </c>
      <c r="G106" s="2"/>
      <c r="H106" s="1" t="s">
        <v>95</v>
      </c>
      <c r="I106" s="1">
        <v>7624.0</v>
      </c>
      <c r="J106" s="1">
        <v>6.0</v>
      </c>
      <c r="K106" s="1">
        <v>647.0</v>
      </c>
      <c r="L106" s="1" t="s">
        <v>608</v>
      </c>
      <c r="M106" s="1" t="s">
        <v>808</v>
      </c>
      <c r="N106" s="1" t="s">
        <v>469</v>
      </c>
    </row>
    <row r="107" spans="1:15" customHeight="1" ht="15">
      <c r="A107" s="3" t="s">
        <v>91</v>
      </c>
      <c r="B107" s="3" t="s">
        <v>102</v>
      </c>
      <c r="C107" s="3" t="s">
        <v>111</v>
      </c>
      <c r="D107" s="3"/>
      <c r="E107" s="3"/>
      <c r="F107" s="2" t="s">
        <v>215</v>
      </c>
      <c r="G107" s="2"/>
      <c r="H107" s="1" t="s">
        <v>95</v>
      </c>
      <c r="I107" s="1">
        <v>87912.0</v>
      </c>
      <c r="J107" s="1">
        <v>6.0</v>
      </c>
      <c r="K107" s="1">
        <v>1003.0</v>
      </c>
      <c r="L107" s="1" t="s">
        <v>609</v>
      </c>
      <c r="M107" s="1" t="s">
        <v>809</v>
      </c>
      <c r="N107" s="1" t="s">
        <v>469</v>
      </c>
    </row>
    <row r="108" spans="1:15" customHeight="1" ht="15">
      <c r="A108" s="3" t="s">
        <v>91</v>
      </c>
      <c r="B108" s="3" t="s">
        <v>102</v>
      </c>
      <c r="C108" s="3" t="s">
        <v>110</v>
      </c>
      <c r="D108" s="3"/>
      <c r="E108" s="3"/>
      <c r="F108" s="2" t="s">
        <v>216</v>
      </c>
      <c r="G108" s="2"/>
      <c r="H108" s="1" t="s">
        <v>95</v>
      </c>
      <c r="I108" s="1">
        <v>62808.0</v>
      </c>
      <c r="J108" s="1">
        <v>6.0</v>
      </c>
      <c r="K108" s="1">
        <v>499.0</v>
      </c>
      <c r="L108" s="1" t="s">
        <v>610</v>
      </c>
      <c r="M108" s="1" t="s">
        <v>810</v>
      </c>
      <c r="N108" s="1" t="s">
        <v>469</v>
      </c>
    </row>
    <row r="109" spans="1:15" customHeight="1" ht="15">
      <c r="A109" s="3" t="s">
        <v>91</v>
      </c>
      <c r="B109" s="3" t="s">
        <v>102</v>
      </c>
      <c r="C109" s="3" t="s">
        <v>110</v>
      </c>
      <c r="D109" s="3"/>
      <c r="E109" s="3"/>
      <c r="F109" s="2" t="s">
        <v>217</v>
      </c>
      <c r="G109" s="2"/>
      <c r="H109" s="1" t="s">
        <v>95</v>
      </c>
      <c r="I109" s="1">
        <v>10940.0</v>
      </c>
      <c r="J109" s="1">
        <v>6.0</v>
      </c>
      <c r="K109" s="1">
        <v>607.0</v>
      </c>
      <c r="L109" s="1" t="s">
        <v>611</v>
      </c>
      <c r="M109" s="1" t="s">
        <v>811</v>
      </c>
      <c r="N109" s="1" t="s">
        <v>469</v>
      </c>
    </row>
    <row r="110" spans="1:15" customHeight="1" ht="15">
      <c r="A110" s="3" t="s">
        <v>91</v>
      </c>
      <c r="B110" s="3" t="s">
        <v>102</v>
      </c>
      <c r="C110" s="3" t="s">
        <v>110</v>
      </c>
      <c r="D110" s="3"/>
      <c r="E110" s="3"/>
      <c r="F110" s="2" t="s">
        <v>218</v>
      </c>
      <c r="G110" s="2"/>
      <c r="H110" s="1" t="s">
        <v>95</v>
      </c>
      <c r="I110" s="1">
        <v>2028.0</v>
      </c>
      <c r="J110" s="1">
        <v>6.0</v>
      </c>
      <c r="K110" s="1">
        <v>975.0</v>
      </c>
      <c r="L110" s="1" t="s">
        <v>612</v>
      </c>
      <c r="M110" s="1" t="s">
        <v>812</v>
      </c>
      <c r="N110" s="1" t="s">
        <v>469</v>
      </c>
    </row>
    <row r="111" spans="1:15" customHeight="1" ht="15">
      <c r="A111" s="3" t="s">
        <v>91</v>
      </c>
      <c r="B111" s="3" t="s">
        <v>102</v>
      </c>
      <c r="C111" s="3" t="s">
        <v>112</v>
      </c>
      <c r="D111" s="3"/>
      <c r="E111" s="3"/>
      <c r="F111" s="2" t="s">
        <v>219</v>
      </c>
      <c r="G111" s="2"/>
      <c r="H111" s="1" t="s">
        <v>95</v>
      </c>
      <c r="I111" s="1">
        <v>43841.0</v>
      </c>
      <c r="J111" s="1">
        <v>3.0</v>
      </c>
      <c r="K111" s="1">
        <v>293.0</v>
      </c>
      <c r="L111" s="1" t="s">
        <v>613</v>
      </c>
      <c r="M111" s="1" t="s">
        <v>813</v>
      </c>
      <c r="N111" s="1" t="s">
        <v>462</v>
      </c>
    </row>
    <row r="112" spans="1:15" customHeight="1" ht="15">
      <c r="A112" s="3" t="s">
        <v>91</v>
      </c>
      <c r="B112" s="3" t="s">
        <v>101</v>
      </c>
      <c r="C112" s="3" t="s">
        <v>109</v>
      </c>
      <c r="D112" s="3"/>
      <c r="E112" s="3"/>
      <c r="F112" s="2" t="s">
        <v>220</v>
      </c>
      <c r="G112" s="2"/>
      <c r="H112" s="1" t="s">
        <v>95</v>
      </c>
      <c r="I112" s="1">
        <v>99817.0</v>
      </c>
      <c r="J112" s="1">
        <v>5.0</v>
      </c>
      <c r="K112" s="1">
        <v>229.0</v>
      </c>
      <c r="L112" s="1" t="s">
        <v>614</v>
      </c>
      <c r="M112" s="1" t="s">
        <v>814</v>
      </c>
      <c r="N112" s="1" t="s">
        <v>402</v>
      </c>
    </row>
    <row r="113" spans="1:15" customHeight="1" ht="15">
      <c r="A113" s="3" t="s">
        <v>91</v>
      </c>
      <c r="B113" s="3" t="s">
        <v>102</v>
      </c>
      <c r="C113" s="3" t="s">
        <v>110</v>
      </c>
      <c r="D113" s="3"/>
      <c r="E113" s="3"/>
      <c r="F113" s="2" t="s">
        <v>221</v>
      </c>
      <c r="G113" s="2"/>
      <c r="H113" s="1" t="s">
        <v>95</v>
      </c>
      <c r="I113" s="1">
        <v>6414.0</v>
      </c>
      <c r="J113" s="1">
        <v>5.0</v>
      </c>
      <c r="K113" s="1">
        <v>527.0</v>
      </c>
      <c r="L113" s="1" t="s">
        <v>615</v>
      </c>
      <c r="M113" s="1" t="s">
        <v>815</v>
      </c>
      <c r="N113" s="1" t="s">
        <v>470</v>
      </c>
    </row>
    <row r="114" spans="1:15" customHeight="1" ht="15">
      <c r="A114" s="3" t="s">
        <v>91</v>
      </c>
      <c r="B114" s="3" t="s">
        <v>102</v>
      </c>
      <c r="C114" s="3" t="s">
        <v>112</v>
      </c>
      <c r="D114" s="3"/>
      <c r="E114" s="3"/>
      <c r="F114" s="2" t="s">
        <v>222</v>
      </c>
      <c r="G114" s="2"/>
      <c r="H114" s="1" t="s">
        <v>95</v>
      </c>
      <c r="I114" s="1">
        <v>60945.0</v>
      </c>
      <c r="J114" s="1">
        <v>6.0</v>
      </c>
      <c r="K114" s="1">
        <v>883.0</v>
      </c>
      <c r="L114" s="1" t="s">
        <v>616</v>
      </c>
      <c r="M114" s="1" t="s">
        <v>816</v>
      </c>
      <c r="N114" s="1" t="s">
        <v>469</v>
      </c>
    </row>
    <row r="115" spans="1:15" customHeight="1" ht="15">
      <c r="A115" s="3" t="s">
        <v>91</v>
      </c>
      <c r="B115" s="3" t="s">
        <v>102</v>
      </c>
      <c r="C115" s="3" t="s">
        <v>110</v>
      </c>
      <c r="D115" s="3"/>
      <c r="E115" s="3"/>
      <c r="F115" s="2" t="s">
        <v>223</v>
      </c>
      <c r="G115" s="2"/>
      <c r="H115" s="1" t="s">
        <v>95</v>
      </c>
      <c r="I115" s="1">
        <v>53698.0</v>
      </c>
      <c r="J115" s="1">
        <v>3.0</v>
      </c>
      <c r="K115" s="1">
        <v>136.0</v>
      </c>
      <c r="L115" s="1" t="s">
        <v>617</v>
      </c>
      <c r="M115" s="1" t="s">
        <v>817</v>
      </c>
      <c r="N115" s="1" t="s">
        <v>921</v>
      </c>
    </row>
    <row r="116" spans="1:15" customHeight="1" ht="15">
      <c r="A116" s="3" t="s">
        <v>91</v>
      </c>
      <c r="B116" s="3" t="s">
        <v>102</v>
      </c>
      <c r="C116" s="3" t="s">
        <v>111</v>
      </c>
      <c r="D116" s="3"/>
      <c r="E116" s="3"/>
      <c r="F116" s="2" t="s">
        <v>224</v>
      </c>
      <c r="G116" s="2"/>
      <c r="H116" s="1" t="s">
        <v>95</v>
      </c>
      <c r="I116" s="1">
        <v>57059.0</v>
      </c>
      <c r="J116" s="1">
        <v>6.0</v>
      </c>
      <c r="K116" s="1">
        <v>589.0</v>
      </c>
      <c r="L116" s="1" t="s">
        <v>618</v>
      </c>
      <c r="M116" s="1" t="s">
        <v>818</v>
      </c>
      <c r="N116" s="1" t="s">
        <v>469</v>
      </c>
    </row>
    <row r="117" spans="1:15" customHeight="1" ht="15">
      <c r="A117" s="3" t="s">
        <v>91</v>
      </c>
      <c r="B117" s="3" t="s">
        <v>101</v>
      </c>
      <c r="C117" s="3" t="s">
        <v>109</v>
      </c>
      <c r="D117" s="3"/>
      <c r="E117" s="3"/>
      <c r="F117" s="2" t="s">
        <v>225</v>
      </c>
      <c r="G117" s="2"/>
      <c r="H117" s="1" t="s">
        <v>95</v>
      </c>
      <c r="I117" s="1">
        <v>32054.0</v>
      </c>
      <c r="J117" s="1">
        <v>5.0</v>
      </c>
      <c r="K117" s="1">
        <v>477.0</v>
      </c>
      <c r="L117" s="1" t="s">
        <v>619</v>
      </c>
      <c r="M117" s="1" t="s">
        <v>819</v>
      </c>
      <c r="N117" s="1" t="s">
        <v>470</v>
      </c>
    </row>
    <row r="118" spans="1:15" customHeight="1" ht="15">
      <c r="A118" s="3" t="s">
        <v>91</v>
      </c>
      <c r="B118" s="3" t="s">
        <v>102</v>
      </c>
      <c r="C118" s="3" t="s">
        <v>110</v>
      </c>
      <c r="D118" s="3"/>
      <c r="E118" s="3"/>
      <c r="F118" s="2" t="s">
        <v>226</v>
      </c>
      <c r="G118" s="2"/>
      <c r="H118" s="1" t="s">
        <v>95</v>
      </c>
      <c r="I118" s="1">
        <v>72783.0</v>
      </c>
      <c r="J118" s="1">
        <v>6.0</v>
      </c>
      <c r="K118" s="1">
        <v>203.0</v>
      </c>
      <c r="L118" s="1" t="s">
        <v>620</v>
      </c>
      <c r="M118" s="1" t="s">
        <v>820</v>
      </c>
      <c r="N118" s="1" t="s">
        <v>469</v>
      </c>
    </row>
    <row r="119" spans="1:15" customHeight="1" ht="15">
      <c r="A119" s="3" t="s">
        <v>91</v>
      </c>
      <c r="B119" s="3" t="s">
        <v>102</v>
      </c>
      <c r="C119" s="3" t="s">
        <v>112</v>
      </c>
      <c r="D119" s="3"/>
      <c r="E119" s="3"/>
      <c r="F119" s="2" t="s">
        <v>227</v>
      </c>
      <c r="G119" s="2"/>
      <c r="H119" s="1" t="s">
        <v>95</v>
      </c>
      <c r="I119" s="1">
        <v>62484.0</v>
      </c>
      <c r="J119" s="1">
        <v>6.0</v>
      </c>
      <c r="K119" s="1">
        <v>73.0</v>
      </c>
      <c r="L119" s="1" t="s">
        <v>621</v>
      </c>
      <c r="M119" s="1" t="s">
        <v>821</v>
      </c>
      <c r="N119" s="1" t="s">
        <v>462</v>
      </c>
    </row>
    <row r="120" spans="1:15" customHeight="1" ht="15">
      <c r="A120" s="3" t="s">
        <v>91</v>
      </c>
      <c r="B120" s="3" t="s">
        <v>101</v>
      </c>
      <c r="C120" s="3" t="s">
        <v>108</v>
      </c>
      <c r="D120" s="3"/>
      <c r="E120" s="3"/>
      <c r="F120" s="2" t="s">
        <v>228</v>
      </c>
      <c r="G120" s="2"/>
      <c r="H120" s="1" t="s">
        <v>95</v>
      </c>
      <c r="I120" s="1">
        <v>78880.0</v>
      </c>
      <c r="J120" s="1">
        <v>6.0</v>
      </c>
      <c r="K120" s="1">
        <v>857.0</v>
      </c>
      <c r="L120" s="1" t="s">
        <v>622</v>
      </c>
      <c r="M120" s="1" t="s">
        <v>822</v>
      </c>
      <c r="N120" s="1" t="s">
        <v>469</v>
      </c>
    </row>
    <row r="121" spans="1:15" customHeight="1" ht="15">
      <c r="A121" s="3" t="s">
        <v>91</v>
      </c>
      <c r="B121" s="3" t="s">
        <v>102</v>
      </c>
      <c r="C121" s="3" t="s">
        <v>112</v>
      </c>
      <c r="D121" s="3"/>
      <c r="E121" s="3"/>
      <c r="F121" s="2" t="s">
        <v>229</v>
      </c>
      <c r="G121" s="2"/>
      <c r="H121" s="1" t="s">
        <v>95</v>
      </c>
      <c r="I121" s="1">
        <v>152768.0</v>
      </c>
      <c r="J121" s="1">
        <v>2.0</v>
      </c>
      <c r="K121" s="1">
        <v>16.0</v>
      </c>
      <c r="L121" s="1" t="s">
        <v>623</v>
      </c>
      <c r="M121" s="1" t="s">
        <v>823</v>
      </c>
      <c r="N121" s="1" t="s">
        <v>920</v>
      </c>
    </row>
    <row r="122" spans="1:15" customHeight="1" ht="15">
      <c r="A122" s="3" t="s">
        <v>91</v>
      </c>
      <c r="B122" s="3" t="s">
        <v>101</v>
      </c>
      <c r="C122" s="3" t="s">
        <v>108</v>
      </c>
      <c r="D122" s="3"/>
      <c r="E122" s="3"/>
      <c r="F122" s="2" t="s">
        <v>230</v>
      </c>
      <c r="G122" s="2"/>
      <c r="H122" s="1" t="s">
        <v>95</v>
      </c>
      <c r="I122" s="1">
        <v>78676.0</v>
      </c>
      <c r="J122" s="1">
        <v>5.0</v>
      </c>
      <c r="K122" s="1">
        <v>564.0</v>
      </c>
      <c r="L122" s="1" t="s">
        <v>624</v>
      </c>
      <c r="M122" s="1" t="s">
        <v>824</v>
      </c>
      <c r="N122" s="1" t="s">
        <v>470</v>
      </c>
    </row>
    <row r="123" spans="1:15" customHeight="1" ht="15">
      <c r="A123" s="3" t="s">
        <v>91</v>
      </c>
      <c r="B123" s="3" t="s">
        <v>101</v>
      </c>
      <c r="C123" s="3" t="s">
        <v>113</v>
      </c>
      <c r="D123" s="3"/>
      <c r="E123" s="3"/>
      <c r="F123" s="2" t="s">
        <v>231</v>
      </c>
      <c r="G123" s="2"/>
      <c r="H123" s="1" t="s">
        <v>95</v>
      </c>
      <c r="I123" s="1">
        <v>53027.0</v>
      </c>
      <c r="J123" s="1">
        <v>5.0</v>
      </c>
      <c r="K123" s="1">
        <v>656.0</v>
      </c>
      <c r="L123" s="1" t="s">
        <v>625</v>
      </c>
      <c r="M123" s="1" t="s">
        <v>825</v>
      </c>
      <c r="N123" s="1" t="s">
        <v>470</v>
      </c>
    </row>
    <row r="124" spans="1:15" customHeight="1" ht="15">
      <c r="A124" s="3" t="s">
        <v>91</v>
      </c>
      <c r="B124" s="3" t="s">
        <v>101</v>
      </c>
      <c r="C124" s="3" t="s">
        <v>113</v>
      </c>
      <c r="D124" s="3"/>
      <c r="E124" s="3"/>
      <c r="F124" s="2" t="s">
        <v>232</v>
      </c>
      <c r="G124" s="2"/>
      <c r="H124" s="1" t="s">
        <v>95</v>
      </c>
      <c r="I124" s="1">
        <v>69039.0</v>
      </c>
      <c r="J124" s="1">
        <v>5.0</v>
      </c>
      <c r="K124" s="1">
        <v>940.0</v>
      </c>
      <c r="L124" s="1" t="s">
        <v>626</v>
      </c>
      <c r="M124" s="1" t="s">
        <v>826</v>
      </c>
      <c r="N124" s="1" t="s">
        <v>470</v>
      </c>
    </row>
    <row r="125" spans="1:15" customHeight="1" ht="15">
      <c r="A125" s="3" t="s">
        <v>91</v>
      </c>
      <c r="B125" s="3" t="s">
        <v>101</v>
      </c>
      <c r="C125" s="3" t="s">
        <v>113</v>
      </c>
      <c r="D125" s="3"/>
      <c r="E125" s="3"/>
      <c r="F125" s="2" t="s">
        <v>233</v>
      </c>
      <c r="G125" s="2"/>
      <c r="H125" s="1" t="s">
        <v>95</v>
      </c>
      <c r="I125" s="1">
        <v>65395.0</v>
      </c>
      <c r="J125" s="1">
        <v>5.0</v>
      </c>
      <c r="K125" s="1">
        <v>816.0</v>
      </c>
      <c r="L125" s="1" t="s">
        <v>627</v>
      </c>
      <c r="M125" s="1" t="s">
        <v>827</v>
      </c>
      <c r="N125" s="1" t="s">
        <v>470</v>
      </c>
    </row>
    <row r="126" spans="1:15" customHeight="1" ht="15">
      <c r="A126" s="3" t="s">
        <v>91</v>
      </c>
      <c r="B126" s="3" t="s">
        <v>101</v>
      </c>
      <c r="C126" s="3" t="s">
        <v>113</v>
      </c>
      <c r="D126" s="3"/>
      <c r="E126" s="3"/>
      <c r="F126" s="2" t="s">
        <v>234</v>
      </c>
      <c r="G126" s="2"/>
      <c r="H126" s="1" t="s">
        <v>95</v>
      </c>
      <c r="I126" s="1">
        <v>69564.0</v>
      </c>
      <c r="J126" s="1">
        <v>5.0</v>
      </c>
      <c r="K126" s="1">
        <v>656.0</v>
      </c>
      <c r="L126" s="1" t="s">
        <v>628</v>
      </c>
      <c r="M126" s="1" t="s">
        <v>828</v>
      </c>
      <c r="N126" s="1" t="s">
        <v>470</v>
      </c>
    </row>
    <row r="127" spans="1:15" customHeight="1" ht="15">
      <c r="A127" s="3" t="s">
        <v>91</v>
      </c>
      <c r="B127" s="3" t="s">
        <v>101</v>
      </c>
      <c r="C127" s="3" t="s">
        <v>108</v>
      </c>
      <c r="D127" s="3"/>
      <c r="E127" s="3"/>
      <c r="F127" s="2" t="s">
        <v>235</v>
      </c>
      <c r="G127" s="2"/>
      <c r="H127" s="1" t="s">
        <v>95</v>
      </c>
      <c r="I127" s="1">
        <v>77570.0</v>
      </c>
      <c r="J127" s="1">
        <v>4.0</v>
      </c>
      <c r="K127" s="1">
        <v>310.0</v>
      </c>
      <c r="L127" s="1" t="s">
        <v>629</v>
      </c>
      <c r="M127" s="1" t="s">
        <v>829</v>
      </c>
      <c r="N127" s="1" t="s">
        <v>462</v>
      </c>
    </row>
    <row r="128" spans="1:15" customHeight="1" ht="15">
      <c r="A128" s="3" t="s">
        <v>91</v>
      </c>
      <c r="B128" s="3" t="s">
        <v>101</v>
      </c>
      <c r="C128" s="3" t="s">
        <v>109</v>
      </c>
      <c r="D128" s="3"/>
      <c r="E128" s="3"/>
      <c r="F128" s="2" t="s">
        <v>236</v>
      </c>
      <c r="G128" s="2"/>
      <c r="H128" s="1" t="s">
        <v>95</v>
      </c>
      <c r="I128" s="1">
        <v>70826.0</v>
      </c>
      <c r="J128" s="1">
        <v>5.0</v>
      </c>
      <c r="K128" s="1">
        <v>503.0</v>
      </c>
      <c r="L128" s="1" t="s">
        <v>630</v>
      </c>
      <c r="M128" s="1" t="s">
        <v>830</v>
      </c>
      <c r="N128" s="1" t="s">
        <v>470</v>
      </c>
    </row>
    <row r="129" spans="1:15" customHeight="1" ht="15">
      <c r="A129" s="3" t="s">
        <v>91</v>
      </c>
      <c r="B129" s="3" t="s">
        <v>101</v>
      </c>
      <c r="C129" s="3" t="s">
        <v>109</v>
      </c>
      <c r="D129" s="3"/>
      <c r="E129" s="3"/>
      <c r="F129" s="2" t="s">
        <v>237</v>
      </c>
      <c r="G129" s="2"/>
      <c r="H129" s="1" t="s">
        <v>95</v>
      </c>
      <c r="I129" s="1">
        <v>69717.0</v>
      </c>
      <c r="J129" s="1">
        <v>5.0</v>
      </c>
      <c r="K129" s="1">
        <v>780.0</v>
      </c>
      <c r="L129" s="1" t="s">
        <v>631</v>
      </c>
      <c r="M129" s="1" t="s">
        <v>831</v>
      </c>
      <c r="N129" s="1" t="s">
        <v>470</v>
      </c>
    </row>
    <row r="130" spans="1:15" customHeight="1" ht="15">
      <c r="A130" s="3" t="s">
        <v>91</v>
      </c>
      <c r="B130" s="3" t="s">
        <v>102</v>
      </c>
      <c r="C130" s="3" t="s">
        <v>114</v>
      </c>
      <c r="D130" s="3"/>
      <c r="E130" s="3"/>
      <c r="F130" s="2" t="s">
        <v>238</v>
      </c>
      <c r="G130" s="2"/>
      <c r="H130" s="1" t="s">
        <v>95</v>
      </c>
      <c r="I130" s="1">
        <v>125752.0</v>
      </c>
      <c r="J130" s="1">
        <v>5.0</v>
      </c>
      <c r="K130" s="1">
        <v>766.0</v>
      </c>
      <c r="L130" s="1" t="s">
        <v>632</v>
      </c>
      <c r="M130" s="1" t="s">
        <v>832</v>
      </c>
      <c r="N130" s="1" t="s">
        <v>470</v>
      </c>
    </row>
    <row r="131" spans="1:15" customHeight="1" ht="15">
      <c r="A131" s="3" t="s">
        <v>91</v>
      </c>
      <c r="B131" s="3" t="s">
        <v>101</v>
      </c>
      <c r="C131" s="3" t="s">
        <v>108</v>
      </c>
      <c r="D131" s="3"/>
      <c r="E131" s="3"/>
      <c r="F131" s="2" t="s">
        <v>239</v>
      </c>
      <c r="G131" s="2"/>
      <c r="H131" s="1" t="s">
        <v>95</v>
      </c>
      <c r="I131" s="1">
        <v>72496.0</v>
      </c>
      <c r="J131" s="1">
        <v>5.0</v>
      </c>
      <c r="K131" s="1">
        <v>680.0</v>
      </c>
      <c r="L131" s="1" t="s">
        <v>633</v>
      </c>
      <c r="M131" s="1" t="s">
        <v>833</v>
      </c>
      <c r="N131" s="1" t="s">
        <v>470</v>
      </c>
    </row>
    <row r="132" spans="1:15" customHeight="1" ht="15">
      <c r="A132" s="3" t="s">
        <v>91</v>
      </c>
      <c r="B132" s="3" t="s">
        <v>102</v>
      </c>
      <c r="C132" s="3" t="s">
        <v>112</v>
      </c>
      <c r="D132" s="3"/>
      <c r="E132" s="3"/>
      <c r="F132" s="2" t="s">
        <v>240</v>
      </c>
      <c r="G132" s="2"/>
      <c r="H132" s="1" t="s">
        <v>95</v>
      </c>
      <c r="I132" s="1">
        <v>66976.0</v>
      </c>
      <c r="J132" s="1">
        <v>5.0</v>
      </c>
      <c r="K132" s="1">
        <v>210.0</v>
      </c>
      <c r="L132" s="1" t="s">
        <v>634</v>
      </c>
      <c r="M132" s="1" t="s">
        <v>834</v>
      </c>
      <c r="N132" s="1" t="s">
        <v>921</v>
      </c>
    </row>
    <row r="133" spans="1:15" customHeight="1" ht="15">
      <c r="A133" s="3" t="s">
        <v>91</v>
      </c>
      <c r="B133" s="3" t="s">
        <v>102</v>
      </c>
      <c r="C133" s="3" t="s">
        <v>114</v>
      </c>
      <c r="D133" s="3"/>
      <c r="E133" s="3"/>
      <c r="F133" s="2" t="s">
        <v>241</v>
      </c>
      <c r="G133" s="2"/>
      <c r="H133" s="1" t="s">
        <v>95</v>
      </c>
      <c r="I133" s="1">
        <v>92450.0</v>
      </c>
      <c r="J133" s="1">
        <v>5.0</v>
      </c>
      <c r="K133" s="1">
        <v>662.0</v>
      </c>
      <c r="L133" s="1" t="s">
        <v>635</v>
      </c>
      <c r="M133" s="1" t="s">
        <v>835</v>
      </c>
      <c r="N133" s="1" t="s">
        <v>470</v>
      </c>
    </row>
    <row r="134" spans="1:15" customHeight="1" ht="15">
      <c r="A134" s="3" t="s">
        <v>91</v>
      </c>
      <c r="B134" s="3" t="s">
        <v>101</v>
      </c>
      <c r="C134" s="3" t="s">
        <v>108</v>
      </c>
      <c r="D134" s="3"/>
      <c r="E134" s="3"/>
      <c r="F134" s="2" t="s">
        <v>242</v>
      </c>
      <c r="G134" s="2"/>
      <c r="H134" s="1" t="s">
        <v>95</v>
      </c>
      <c r="I134" s="1">
        <v>36103.0</v>
      </c>
      <c r="J134" s="1">
        <v>5.0</v>
      </c>
      <c r="K134" s="1">
        <v>540.0</v>
      </c>
      <c r="L134" s="1" t="s">
        <v>636</v>
      </c>
      <c r="M134" s="1" t="s">
        <v>836</v>
      </c>
      <c r="N134" s="1" t="s">
        <v>470</v>
      </c>
    </row>
    <row r="135" spans="1:15" customHeight="1" ht="15">
      <c r="A135" s="3" t="s">
        <v>91</v>
      </c>
      <c r="B135" s="3" t="s">
        <v>101</v>
      </c>
      <c r="C135" s="3" t="s">
        <v>109</v>
      </c>
      <c r="D135" s="3"/>
      <c r="E135" s="3"/>
      <c r="F135" s="2" t="s">
        <v>243</v>
      </c>
      <c r="G135" s="2"/>
      <c r="H135" s="1" t="s">
        <v>95</v>
      </c>
      <c r="I135" s="1">
        <v>71061.0</v>
      </c>
      <c r="J135" s="1">
        <v>5.0</v>
      </c>
      <c r="K135" s="1">
        <v>689.0</v>
      </c>
      <c r="L135" s="1" t="s">
        <v>637</v>
      </c>
      <c r="M135" s="1" t="s">
        <v>837</v>
      </c>
      <c r="N135" s="1" t="s">
        <v>470</v>
      </c>
    </row>
    <row r="136" spans="1:15" customHeight="1" ht="15">
      <c r="A136" s="3" t="s">
        <v>91</v>
      </c>
      <c r="B136" s="3" t="s">
        <v>102</v>
      </c>
      <c r="C136" s="3" t="s">
        <v>112</v>
      </c>
      <c r="D136" s="3"/>
      <c r="E136" s="3"/>
      <c r="F136" s="2" t="s">
        <v>244</v>
      </c>
      <c r="G136" s="2"/>
      <c r="H136" s="1" t="s">
        <v>326</v>
      </c>
      <c r="I136" s="1">
        <v>92643.0</v>
      </c>
      <c r="J136" s="1">
        <v>0.0</v>
      </c>
      <c r="K136" s="1">
        <v>0.0</v>
      </c>
      <c r="L136" s="1" t="s">
        <v>387</v>
      </c>
      <c r="M136" s="1" t="s">
        <v>387</v>
      </c>
      <c r="N136" s="1" t="s">
        <v>922</v>
      </c>
    </row>
    <row r="137" spans="1:15" customHeight="1" ht="15">
      <c r="A137" s="3" t="s">
        <v>91</v>
      </c>
      <c r="B137" s="3" t="s">
        <v>102</v>
      </c>
      <c r="C137" s="3" t="s">
        <v>110</v>
      </c>
      <c r="D137" s="3"/>
      <c r="E137" s="3"/>
      <c r="F137" s="2" t="s">
        <v>245</v>
      </c>
      <c r="G137" s="2"/>
      <c r="H137" s="1" t="s">
        <v>95</v>
      </c>
      <c r="I137" s="1">
        <v>8763.0</v>
      </c>
      <c r="J137" s="1">
        <v>5.0</v>
      </c>
      <c r="K137" s="1">
        <v>446.0</v>
      </c>
      <c r="L137" s="1" t="s">
        <v>638</v>
      </c>
      <c r="M137" s="1" t="s">
        <v>838</v>
      </c>
      <c r="N137" s="1" t="s">
        <v>470</v>
      </c>
    </row>
    <row r="138" spans="1:15" customHeight="1" ht="15">
      <c r="A138" s="3" t="s">
        <v>91</v>
      </c>
      <c r="B138" s="3" t="s">
        <v>101</v>
      </c>
      <c r="C138" s="3" t="s">
        <v>113</v>
      </c>
      <c r="D138" s="3"/>
      <c r="E138" s="3"/>
      <c r="F138" s="2" t="s">
        <v>246</v>
      </c>
      <c r="G138" s="2"/>
      <c r="H138" s="1" t="s">
        <v>95</v>
      </c>
      <c r="I138" s="1">
        <v>84159.0</v>
      </c>
      <c r="J138" s="1">
        <v>5.0</v>
      </c>
      <c r="K138" s="1">
        <v>789.0</v>
      </c>
      <c r="L138" s="1" t="s">
        <v>639</v>
      </c>
      <c r="M138" s="1" t="s">
        <v>839</v>
      </c>
      <c r="N138" s="1" t="s">
        <v>470</v>
      </c>
    </row>
    <row r="139" spans="1:15" customHeight="1" ht="15">
      <c r="A139" s="3" t="s">
        <v>91</v>
      </c>
      <c r="B139" s="3" t="s">
        <v>101</v>
      </c>
      <c r="C139" s="3" t="s">
        <v>108</v>
      </c>
      <c r="D139" s="3"/>
      <c r="E139" s="3"/>
      <c r="F139" s="2" t="s">
        <v>247</v>
      </c>
      <c r="G139" s="2"/>
      <c r="H139" s="1" t="s">
        <v>95</v>
      </c>
      <c r="I139" s="1">
        <v>54316.0</v>
      </c>
      <c r="J139" s="1">
        <v>5.0</v>
      </c>
      <c r="K139" s="1">
        <v>275.0</v>
      </c>
      <c r="L139" s="1" t="s">
        <v>640</v>
      </c>
      <c r="M139" s="1" t="s">
        <v>840</v>
      </c>
      <c r="N139" s="1" t="s">
        <v>470</v>
      </c>
    </row>
    <row r="140" spans="1:15" customHeight="1" ht="15">
      <c r="A140" s="3" t="s">
        <v>91</v>
      </c>
      <c r="B140" s="3" t="s">
        <v>102</v>
      </c>
      <c r="C140" s="3" t="s">
        <v>110</v>
      </c>
      <c r="D140" s="3"/>
      <c r="E140" s="3"/>
      <c r="F140" s="2" t="s">
        <v>248</v>
      </c>
      <c r="G140" s="2"/>
      <c r="H140" s="1" t="s">
        <v>95</v>
      </c>
      <c r="I140" s="1">
        <v>8289.0</v>
      </c>
      <c r="J140" s="1">
        <v>5.0</v>
      </c>
      <c r="K140" s="1">
        <v>381.0</v>
      </c>
      <c r="L140" s="1" t="s">
        <v>641</v>
      </c>
      <c r="M140" s="1" t="s">
        <v>841</v>
      </c>
      <c r="N140" s="1" t="s">
        <v>470</v>
      </c>
    </row>
    <row r="141" spans="1:15" customHeight="1" ht="15">
      <c r="A141" s="3" t="s">
        <v>91</v>
      </c>
      <c r="B141" s="3" t="s">
        <v>102</v>
      </c>
      <c r="C141" s="3" t="s">
        <v>110</v>
      </c>
      <c r="D141" s="3"/>
      <c r="E141" s="3"/>
      <c r="F141" s="2" t="s">
        <v>249</v>
      </c>
      <c r="G141" s="2"/>
      <c r="H141" s="1" t="s">
        <v>95</v>
      </c>
      <c r="I141" s="1">
        <v>52834.0</v>
      </c>
      <c r="J141" s="1">
        <v>5.0</v>
      </c>
      <c r="K141" s="1">
        <v>71.0</v>
      </c>
      <c r="L141" s="1" t="s">
        <v>642</v>
      </c>
      <c r="M141" s="1" t="s">
        <v>842</v>
      </c>
      <c r="N141" s="1" t="s">
        <v>921</v>
      </c>
    </row>
    <row r="142" spans="1:15" customHeight="1" ht="15">
      <c r="A142" s="3" t="s">
        <v>91</v>
      </c>
      <c r="B142" s="3" t="s">
        <v>101</v>
      </c>
      <c r="C142" s="3" t="s">
        <v>113</v>
      </c>
      <c r="D142" s="3"/>
      <c r="E142" s="3"/>
      <c r="F142" s="2" t="s">
        <v>250</v>
      </c>
      <c r="G142" s="2"/>
      <c r="H142" s="1" t="s">
        <v>95</v>
      </c>
      <c r="I142" s="1">
        <v>65585.0</v>
      </c>
      <c r="J142" s="1">
        <v>5.0</v>
      </c>
      <c r="K142" s="1">
        <v>690.0</v>
      </c>
      <c r="L142" s="1" t="s">
        <v>643</v>
      </c>
      <c r="M142" s="1" t="s">
        <v>843</v>
      </c>
      <c r="N142" s="1" t="s">
        <v>470</v>
      </c>
    </row>
    <row r="143" spans="1:15" customHeight="1" ht="15">
      <c r="A143" s="3" t="s">
        <v>91</v>
      </c>
      <c r="B143" s="3" t="s">
        <v>101</v>
      </c>
      <c r="C143" s="3" t="s">
        <v>113</v>
      </c>
      <c r="D143" s="3"/>
      <c r="E143" s="3"/>
      <c r="F143" s="2" t="s">
        <v>251</v>
      </c>
      <c r="G143" s="2"/>
      <c r="H143" s="1" t="s">
        <v>95</v>
      </c>
      <c r="I143" s="1">
        <v>69560.0</v>
      </c>
      <c r="J143" s="1">
        <v>5.0</v>
      </c>
      <c r="K143" s="1">
        <v>556.0</v>
      </c>
      <c r="L143" s="1" t="s">
        <v>644</v>
      </c>
      <c r="M143" s="1" t="s">
        <v>844</v>
      </c>
      <c r="N143" s="1" t="s">
        <v>470</v>
      </c>
    </row>
    <row r="144" spans="1:15" customHeight="1" ht="15">
      <c r="A144" s="3" t="s">
        <v>91</v>
      </c>
      <c r="B144" s="3" t="s">
        <v>101</v>
      </c>
      <c r="C144" s="3" t="s">
        <v>109</v>
      </c>
      <c r="D144" s="3"/>
      <c r="E144" s="3"/>
      <c r="F144" s="2" t="s">
        <v>252</v>
      </c>
      <c r="G144" s="2"/>
      <c r="H144" s="1" t="s">
        <v>95</v>
      </c>
      <c r="I144" s="1">
        <v>78879.0</v>
      </c>
      <c r="J144" s="1">
        <v>5.0</v>
      </c>
      <c r="K144" s="1">
        <v>679.0</v>
      </c>
      <c r="L144" s="1" t="s">
        <v>645</v>
      </c>
      <c r="M144" s="1" t="s">
        <v>845</v>
      </c>
      <c r="N144" s="1" t="s">
        <v>470</v>
      </c>
    </row>
    <row r="145" spans="1:15" customHeight="1" ht="15">
      <c r="A145" s="3" t="s">
        <v>91</v>
      </c>
      <c r="B145" s="3" t="s">
        <v>101</v>
      </c>
      <c r="C145" s="3" t="s">
        <v>109</v>
      </c>
      <c r="D145" s="3"/>
      <c r="E145" s="3"/>
      <c r="F145" s="2" t="s">
        <v>253</v>
      </c>
      <c r="G145" s="2"/>
      <c r="H145" s="1" t="s">
        <v>95</v>
      </c>
      <c r="I145" s="1">
        <v>82827.0</v>
      </c>
      <c r="J145" s="1">
        <v>5.0</v>
      </c>
      <c r="K145" s="1">
        <v>936.0</v>
      </c>
      <c r="L145" s="1" t="s">
        <v>646</v>
      </c>
      <c r="M145" s="1" t="s">
        <v>846</v>
      </c>
      <c r="N145" s="1" t="s">
        <v>470</v>
      </c>
    </row>
    <row r="146" spans="1:15" customHeight="1" ht="15">
      <c r="A146" s="3" t="s">
        <v>91</v>
      </c>
      <c r="B146" s="3" t="s">
        <v>101</v>
      </c>
      <c r="C146" s="3" t="s">
        <v>115</v>
      </c>
      <c r="D146" s="3"/>
      <c r="E146" s="3"/>
      <c r="F146" s="2" t="s">
        <v>254</v>
      </c>
      <c r="G146" s="2"/>
      <c r="H146" s="1" t="s">
        <v>95</v>
      </c>
      <c r="I146" s="1">
        <v>41600.0</v>
      </c>
      <c r="J146" s="1">
        <v>5.0</v>
      </c>
      <c r="K146" s="1">
        <v>509.0</v>
      </c>
      <c r="L146" s="1" t="s">
        <v>441</v>
      </c>
      <c r="M146" s="1" t="s">
        <v>458</v>
      </c>
      <c r="N146" s="1" t="s">
        <v>470</v>
      </c>
    </row>
    <row r="147" spans="1:15" customHeight="1" ht="15">
      <c r="A147" s="3" t="s">
        <v>91</v>
      </c>
      <c r="B147" s="3" t="s">
        <v>102</v>
      </c>
      <c r="C147" s="3" t="s">
        <v>110</v>
      </c>
      <c r="D147" s="3"/>
      <c r="E147" s="3"/>
      <c r="F147" s="2" t="s">
        <v>255</v>
      </c>
      <c r="G147" s="2"/>
      <c r="H147" s="1" t="s">
        <v>95</v>
      </c>
      <c r="I147" s="1">
        <v>75081.0</v>
      </c>
      <c r="J147" s="1">
        <v>5.0</v>
      </c>
      <c r="K147" s="1">
        <v>498.0</v>
      </c>
      <c r="L147" s="1" t="s">
        <v>647</v>
      </c>
      <c r="M147" s="1" t="s">
        <v>847</v>
      </c>
      <c r="N147" s="1" t="s">
        <v>470</v>
      </c>
    </row>
    <row r="148" spans="1:15" customHeight="1" ht="15">
      <c r="A148" s="3" t="s">
        <v>91</v>
      </c>
      <c r="B148" s="3" t="s">
        <v>102</v>
      </c>
      <c r="C148" s="3" t="s">
        <v>112</v>
      </c>
      <c r="D148" s="3"/>
      <c r="E148" s="3"/>
      <c r="F148" s="2" t="s">
        <v>256</v>
      </c>
      <c r="G148" s="2"/>
      <c r="H148" s="1" t="s">
        <v>95</v>
      </c>
      <c r="I148" s="1">
        <v>61076.0</v>
      </c>
      <c r="J148" s="1">
        <v>5.0</v>
      </c>
      <c r="K148" s="1">
        <v>449.0</v>
      </c>
      <c r="L148" s="1" t="s">
        <v>648</v>
      </c>
      <c r="M148" s="1" t="s">
        <v>848</v>
      </c>
      <c r="N148" s="1" t="s">
        <v>470</v>
      </c>
    </row>
    <row r="149" spans="1:15" customHeight="1" ht="15">
      <c r="A149" s="3" t="s">
        <v>91</v>
      </c>
      <c r="B149" s="3" t="s">
        <v>102</v>
      </c>
      <c r="C149" s="3" t="s">
        <v>112</v>
      </c>
      <c r="D149" s="3"/>
      <c r="E149" s="3"/>
      <c r="F149" s="2" t="s">
        <v>257</v>
      </c>
      <c r="G149" s="2"/>
      <c r="H149" s="1" t="s">
        <v>326</v>
      </c>
      <c r="I149" s="1">
        <v>211556.0</v>
      </c>
      <c r="J149" s="1">
        <v>1.0</v>
      </c>
      <c r="K149" s="1">
        <v>0.0</v>
      </c>
      <c r="L149" s="1" t="s">
        <v>649</v>
      </c>
      <c r="M149" s="1" t="s">
        <v>849</v>
      </c>
      <c r="N149" s="1" t="s">
        <v>922</v>
      </c>
    </row>
    <row r="150" spans="1:15" customHeight="1" ht="15">
      <c r="A150" s="3" t="s">
        <v>91</v>
      </c>
      <c r="B150" s="3" t="s">
        <v>102</v>
      </c>
      <c r="C150" s="3" t="s">
        <v>112</v>
      </c>
      <c r="D150" s="3"/>
      <c r="E150" s="3"/>
      <c r="F150" s="2" t="s">
        <v>258</v>
      </c>
      <c r="G150" s="2"/>
      <c r="H150" s="1" t="s">
        <v>95</v>
      </c>
      <c r="I150" s="1">
        <v>7808.0</v>
      </c>
      <c r="J150" s="1">
        <v>4.0</v>
      </c>
      <c r="K150" s="1">
        <v>85.0</v>
      </c>
      <c r="L150" s="1" t="s">
        <v>650</v>
      </c>
      <c r="M150" s="1" t="s">
        <v>850</v>
      </c>
      <c r="N150" s="1" t="s">
        <v>402</v>
      </c>
    </row>
    <row r="151" spans="1:15" customHeight="1" ht="15">
      <c r="A151" s="3" t="s">
        <v>91</v>
      </c>
      <c r="B151" s="3" t="s">
        <v>101</v>
      </c>
      <c r="C151" s="3" t="s">
        <v>108</v>
      </c>
      <c r="D151" s="3"/>
      <c r="E151" s="3"/>
      <c r="F151" s="2" t="s">
        <v>259</v>
      </c>
      <c r="G151" s="2"/>
      <c r="H151" s="1" t="s">
        <v>95</v>
      </c>
      <c r="I151" s="1">
        <v>60818.0</v>
      </c>
      <c r="J151" s="1">
        <v>4.0</v>
      </c>
      <c r="K151" s="1">
        <v>386.0</v>
      </c>
      <c r="L151" s="1" t="s">
        <v>651</v>
      </c>
      <c r="M151" s="1" t="s">
        <v>851</v>
      </c>
      <c r="N151" s="1" t="s">
        <v>402</v>
      </c>
    </row>
    <row r="152" spans="1:15" customHeight="1" ht="15">
      <c r="A152" s="3" t="s">
        <v>91</v>
      </c>
      <c r="B152" s="3" t="s">
        <v>102</v>
      </c>
      <c r="C152" s="3" t="s">
        <v>110</v>
      </c>
      <c r="D152" s="3"/>
      <c r="E152" s="3"/>
      <c r="F152" s="2" t="s">
        <v>260</v>
      </c>
      <c r="G152" s="2"/>
      <c r="H152" s="1" t="s">
        <v>95</v>
      </c>
      <c r="I152" s="1">
        <v>82487.0</v>
      </c>
      <c r="J152" s="1">
        <v>4.0</v>
      </c>
      <c r="K152" s="1">
        <v>466.0</v>
      </c>
      <c r="L152" s="1" t="s">
        <v>652</v>
      </c>
      <c r="M152" s="1" t="s">
        <v>852</v>
      </c>
      <c r="N152" s="1" t="s">
        <v>402</v>
      </c>
    </row>
    <row r="153" spans="1:15" customHeight="1" ht="15">
      <c r="A153" s="3" t="s">
        <v>91</v>
      </c>
      <c r="B153" s="3" t="s">
        <v>100</v>
      </c>
      <c r="C153" s="3" t="s">
        <v>106</v>
      </c>
      <c r="D153" s="3"/>
      <c r="E153" s="3"/>
      <c r="F153" s="2" t="s">
        <v>261</v>
      </c>
      <c r="G153" s="2"/>
      <c r="H153" s="1" t="s">
        <v>95</v>
      </c>
      <c r="I153" s="1">
        <v>204650.0</v>
      </c>
      <c r="J153" s="1">
        <v>2.0</v>
      </c>
      <c r="K153" s="1">
        <v>165.0</v>
      </c>
      <c r="L153" s="1" t="s">
        <v>653</v>
      </c>
      <c r="M153" s="1" t="s">
        <v>853</v>
      </c>
      <c r="N153" s="1" t="s">
        <v>921</v>
      </c>
    </row>
    <row r="154" spans="1:15" customHeight="1" ht="15">
      <c r="A154" s="3" t="s">
        <v>91</v>
      </c>
      <c r="B154" s="3" t="s">
        <v>92</v>
      </c>
      <c r="C154" s="3" t="s">
        <v>105</v>
      </c>
      <c r="D154" s="3"/>
      <c r="E154" s="3"/>
      <c r="F154" s="2" t="s">
        <v>262</v>
      </c>
      <c r="G154" s="2"/>
      <c r="H154" s="1" t="s">
        <v>95</v>
      </c>
      <c r="I154" s="1">
        <v>10402.0</v>
      </c>
      <c r="J154" s="1">
        <v>1.0</v>
      </c>
      <c r="K154" s="1">
        <v>7.0</v>
      </c>
      <c r="L154" s="1" t="s">
        <v>654</v>
      </c>
      <c r="M154" s="1" t="s">
        <v>387</v>
      </c>
      <c r="N154" s="1" t="s">
        <v>920</v>
      </c>
    </row>
    <row r="155" spans="1:15" customHeight="1" ht="15">
      <c r="A155" s="3" t="s">
        <v>91</v>
      </c>
      <c r="B155" s="3" t="s">
        <v>101</v>
      </c>
      <c r="C155" s="3" t="s">
        <v>108</v>
      </c>
      <c r="D155" s="3"/>
      <c r="E155" s="3"/>
      <c r="F155" s="2" t="s">
        <v>263</v>
      </c>
      <c r="G155" s="2"/>
      <c r="H155" s="1" t="s">
        <v>95</v>
      </c>
      <c r="I155" s="1">
        <v>47611.0</v>
      </c>
      <c r="J155" s="1">
        <v>4.0</v>
      </c>
      <c r="K155" s="1">
        <v>420.0</v>
      </c>
      <c r="L155" s="1" t="s">
        <v>655</v>
      </c>
      <c r="M155" s="1" t="s">
        <v>854</v>
      </c>
      <c r="N155" s="1" t="s">
        <v>402</v>
      </c>
    </row>
    <row r="156" spans="1:15" customHeight="1" ht="15">
      <c r="A156" s="3" t="s">
        <v>91</v>
      </c>
      <c r="B156" s="3" t="s">
        <v>101</v>
      </c>
      <c r="C156" s="3" t="s">
        <v>109</v>
      </c>
      <c r="D156" s="3"/>
      <c r="E156" s="3"/>
      <c r="F156" s="2" t="s">
        <v>264</v>
      </c>
      <c r="G156" s="2"/>
      <c r="H156" s="1" t="s">
        <v>95</v>
      </c>
      <c r="I156" s="1">
        <v>115563.0</v>
      </c>
      <c r="J156" s="1">
        <v>4.0</v>
      </c>
      <c r="K156" s="1">
        <v>371.0</v>
      </c>
      <c r="L156" s="1" t="s">
        <v>656</v>
      </c>
      <c r="M156" s="1" t="s">
        <v>855</v>
      </c>
      <c r="N156" s="1" t="s">
        <v>402</v>
      </c>
    </row>
    <row r="157" spans="1:15" customHeight="1" ht="15">
      <c r="A157" s="3" t="s">
        <v>91</v>
      </c>
      <c r="B157" s="3" t="s">
        <v>101</v>
      </c>
      <c r="C157" s="3" t="s">
        <v>108</v>
      </c>
      <c r="D157" s="3"/>
      <c r="E157" s="3"/>
      <c r="F157" s="2" t="s">
        <v>265</v>
      </c>
      <c r="G157" s="2"/>
      <c r="H157" s="1" t="s">
        <v>95</v>
      </c>
      <c r="I157" s="1">
        <v>34025.0</v>
      </c>
      <c r="J157" s="1">
        <v>4.0</v>
      </c>
      <c r="K157" s="1">
        <v>401.0</v>
      </c>
      <c r="L157" s="1" t="s">
        <v>657</v>
      </c>
      <c r="M157" s="1" t="s">
        <v>856</v>
      </c>
      <c r="N157" s="1" t="s">
        <v>402</v>
      </c>
    </row>
    <row r="158" spans="1:15" customHeight="1" ht="15">
      <c r="A158" s="3" t="s">
        <v>91</v>
      </c>
      <c r="B158" s="3" t="s">
        <v>102</v>
      </c>
      <c r="C158" s="3" t="s">
        <v>110</v>
      </c>
      <c r="D158" s="3"/>
      <c r="E158" s="3"/>
      <c r="F158" s="2" t="s">
        <v>266</v>
      </c>
      <c r="G158" s="2"/>
      <c r="H158" s="1" t="s">
        <v>95</v>
      </c>
      <c r="I158" s="1">
        <v>80113.0</v>
      </c>
      <c r="J158" s="1">
        <v>4.0</v>
      </c>
      <c r="K158" s="1">
        <v>752.0</v>
      </c>
      <c r="L158" s="1" t="s">
        <v>658</v>
      </c>
      <c r="M158" s="1" t="s">
        <v>857</v>
      </c>
      <c r="N158" s="1" t="s">
        <v>402</v>
      </c>
    </row>
    <row r="159" spans="1:15" customHeight="1" ht="15">
      <c r="A159" s="3" t="s">
        <v>91</v>
      </c>
      <c r="B159" s="3" t="s">
        <v>102</v>
      </c>
      <c r="C159" s="3" t="s">
        <v>111</v>
      </c>
      <c r="D159" s="3"/>
      <c r="E159" s="3"/>
      <c r="F159" s="2" t="s">
        <v>267</v>
      </c>
      <c r="G159" s="2"/>
      <c r="H159" s="1" t="s">
        <v>95</v>
      </c>
      <c r="I159" s="1">
        <v>68922.0</v>
      </c>
      <c r="J159" s="1">
        <v>3.0</v>
      </c>
      <c r="K159" s="1">
        <v>104.0</v>
      </c>
      <c r="L159" s="1" t="s">
        <v>659</v>
      </c>
      <c r="M159" s="1" t="s">
        <v>858</v>
      </c>
      <c r="N159" s="1" t="s">
        <v>920</v>
      </c>
    </row>
    <row r="160" spans="1:15" customHeight="1" ht="15">
      <c r="A160" s="3" t="s">
        <v>91</v>
      </c>
      <c r="B160" s="3" t="s">
        <v>101</v>
      </c>
      <c r="C160" s="3" t="s">
        <v>113</v>
      </c>
      <c r="D160" s="3"/>
      <c r="E160" s="3"/>
      <c r="F160" s="2" t="s">
        <v>268</v>
      </c>
      <c r="G160" s="2"/>
      <c r="H160" s="1" t="s">
        <v>95</v>
      </c>
      <c r="I160" s="1">
        <v>72874.0</v>
      </c>
      <c r="J160" s="1">
        <v>4.0</v>
      </c>
      <c r="K160" s="1">
        <v>540.0</v>
      </c>
      <c r="L160" s="1" t="s">
        <v>660</v>
      </c>
      <c r="M160" s="1" t="s">
        <v>859</v>
      </c>
      <c r="N160" s="1" t="s">
        <v>402</v>
      </c>
    </row>
    <row r="161" spans="1:15" customHeight="1" ht="15">
      <c r="A161" s="3" t="s">
        <v>91</v>
      </c>
      <c r="B161" s="3" t="s">
        <v>101</v>
      </c>
      <c r="C161" s="3" t="s">
        <v>108</v>
      </c>
      <c r="D161" s="3"/>
      <c r="E161" s="3"/>
      <c r="F161" s="2" t="s">
        <v>269</v>
      </c>
      <c r="G161" s="2"/>
      <c r="H161" s="1" t="s">
        <v>95</v>
      </c>
      <c r="I161" s="1">
        <v>37797.0</v>
      </c>
      <c r="J161" s="1">
        <v>4.0</v>
      </c>
      <c r="K161" s="1">
        <v>509.0</v>
      </c>
      <c r="L161" s="1" t="s">
        <v>661</v>
      </c>
      <c r="M161" s="1" t="s">
        <v>860</v>
      </c>
      <c r="N161" s="1" t="s">
        <v>402</v>
      </c>
    </row>
    <row r="162" spans="1:15" customHeight="1" ht="15">
      <c r="A162" s="3" t="s">
        <v>91</v>
      </c>
      <c r="B162" s="3" t="s">
        <v>102</v>
      </c>
      <c r="C162" s="3" t="s">
        <v>112</v>
      </c>
      <c r="D162" s="3"/>
      <c r="E162" s="3"/>
      <c r="F162" s="2" t="s">
        <v>270</v>
      </c>
      <c r="G162" s="2"/>
      <c r="H162" s="1" t="s">
        <v>95</v>
      </c>
      <c r="I162" s="1">
        <v>34313.0</v>
      </c>
      <c r="J162" s="1">
        <v>4.0</v>
      </c>
      <c r="K162" s="1">
        <v>540.0</v>
      </c>
      <c r="L162" s="1" t="s">
        <v>662</v>
      </c>
      <c r="M162" s="1" t="s">
        <v>861</v>
      </c>
      <c r="N162" s="1" t="s">
        <v>402</v>
      </c>
    </row>
    <row r="163" spans="1:15" customHeight="1" ht="15">
      <c r="A163" s="3" t="s">
        <v>91</v>
      </c>
      <c r="B163" s="3" t="s">
        <v>102</v>
      </c>
      <c r="C163" s="3" t="s">
        <v>112</v>
      </c>
      <c r="D163" s="3"/>
      <c r="E163" s="3"/>
      <c r="F163" s="2" t="s">
        <v>271</v>
      </c>
      <c r="G163" s="2"/>
      <c r="H163" s="1" t="s">
        <v>95</v>
      </c>
      <c r="I163" s="1">
        <v>62755.0</v>
      </c>
      <c r="J163" s="1">
        <v>4.0</v>
      </c>
      <c r="K163" s="1">
        <v>494.0</v>
      </c>
      <c r="L163" s="1" t="s">
        <v>663</v>
      </c>
      <c r="M163" s="1" t="s">
        <v>862</v>
      </c>
      <c r="N163" s="1" t="s">
        <v>402</v>
      </c>
    </row>
    <row r="164" spans="1:15" customHeight="1" ht="15">
      <c r="A164" s="3" t="s">
        <v>91</v>
      </c>
      <c r="B164" s="3" t="s">
        <v>101</v>
      </c>
      <c r="C164" s="3" t="s">
        <v>108</v>
      </c>
      <c r="D164" s="3"/>
      <c r="E164" s="3"/>
      <c r="F164" s="2" t="s">
        <v>272</v>
      </c>
      <c r="G164" s="2"/>
      <c r="H164" s="1" t="s">
        <v>326</v>
      </c>
      <c r="I164" s="1">
        <v>41312.0</v>
      </c>
      <c r="J164" s="1">
        <v>1.0</v>
      </c>
      <c r="K164" s="1">
        <v>0.0</v>
      </c>
      <c r="L164" s="1" t="s">
        <v>664</v>
      </c>
      <c r="M164" s="1" t="s">
        <v>863</v>
      </c>
      <c r="N164" s="1" t="s">
        <v>922</v>
      </c>
    </row>
    <row r="165" spans="1:15" customHeight="1" ht="15">
      <c r="A165" s="3" t="s">
        <v>91</v>
      </c>
      <c r="B165" s="3" t="s">
        <v>101</v>
      </c>
      <c r="C165" s="3" t="s">
        <v>108</v>
      </c>
      <c r="D165" s="3"/>
      <c r="E165" s="3"/>
      <c r="F165" s="2" t="s">
        <v>273</v>
      </c>
      <c r="G165" s="2"/>
      <c r="H165" s="1" t="s">
        <v>95</v>
      </c>
      <c r="I165" s="1">
        <v>77153.0</v>
      </c>
      <c r="J165" s="1">
        <v>4.0</v>
      </c>
      <c r="K165" s="1">
        <v>477.0</v>
      </c>
      <c r="L165" s="1" t="s">
        <v>665</v>
      </c>
      <c r="M165" s="1" t="s">
        <v>864</v>
      </c>
      <c r="N165" s="1" t="s">
        <v>402</v>
      </c>
    </row>
    <row r="166" spans="1:15" customHeight="1" ht="15">
      <c r="A166" s="3" t="s">
        <v>91</v>
      </c>
      <c r="B166" s="3" t="s">
        <v>101</v>
      </c>
      <c r="C166" s="3" t="s">
        <v>108</v>
      </c>
      <c r="D166" s="3"/>
      <c r="E166" s="3"/>
      <c r="F166" s="2" t="s">
        <v>274</v>
      </c>
      <c r="G166" s="2"/>
      <c r="H166" s="1" t="s">
        <v>95</v>
      </c>
      <c r="I166" s="1">
        <v>46241.0</v>
      </c>
      <c r="J166" s="1">
        <v>4.0</v>
      </c>
      <c r="K166" s="1">
        <v>334.0</v>
      </c>
      <c r="L166" s="1" t="s">
        <v>666</v>
      </c>
      <c r="M166" s="1" t="s">
        <v>865</v>
      </c>
      <c r="N166" s="1" t="s">
        <v>462</v>
      </c>
    </row>
    <row r="167" spans="1:15" customHeight="1" ht="15">
      <c r="A167" s="3" t="s">
        <v>91</v>
      </c>
      <c r="B167" s="3" t="s">
        <v>101</v>
      </c>
      <c r="C167" s="3" t="s">
        <v>108</v>
      </c>
      <c r="D167" s="3"/>
      <c r="E167" s="3"/>
      <c r="F167" s="2" t="s">
        <v>275</v>
      </c>
      <c r="G167" s="2"/>
      <c r="H167" s="1" t="s">
        <v>326</v>
      </c>
      <c r="I167" s="1">
        <v>33242.0</v>
      </c>
      <c r="J167" s="1">
        <v>1.0</v>
      </c>
      <c r="K167" s="1">
        <v>12.0</v>
      </c>
      <c r="L167" s="1" t="s">
        <v>667</v>
      </c>
      <c r="M167" s="1" t="s">
        <v>866</v>
      </c>
      <c r="N167" s="1" t="s">
        <v>920</v>
      </c>
    </row>
    <row r="168" spans="1:15" customHeight="1" ht="15">
      <c r="A168" s="3" t="s">
        <v>91</v>
      </c>
      <c r="B168" s="3" t="s">
        <v>101</v>
      </c>
      <c r="C168" s="3" t="s">
        <v>113</v>
      </c>
      <c r="D168" s="3"/>
      <c r="E168" s="3"/>
      <c r="F168" s="2" t="s">
        <v>276</v>
      </c>
      <c r="G168" s="2"/>
      <c r="H168" s="1" t="s">
        <v>95</v>
      </c>
      <c r="I168" s="1">
        <v>70991.0</v>
      </c>
      <c r="J168" s="1">
        <v>3.0</v>
      </c>
      <c r="K168" s="1">
        <v>1.0</v>
      </c>
      <c r="L168" s="1" t="s">
        <v>668</v>
      </c>
      <c r="M168" s="1" t="s">
        <v>867</v>
      </c>
      <c r="N168" s="1" t="s">
        <v>922</v>
      </c>
    </row>
    <row r="169" spans="1:15" customHeight="1" ht="15">
      <c r="A169" s="3" t="s">
        <v>91</v>
      </c>
      <c r="B169" s="3" t="s">
        <v>102</v>
      </c>
      <c r="C169" s="3"/>
      <c r="D169" s="3"/>
      <c r="E169" s="3"/>
      <c r="F169" s="2" t="s">
        <v>277</v>
      </c>
      <c r="G169" s="2"/>
      <c r="H169" s="1" t="s">
        <v>95</v>
      </c>
      <c r="I169" s="1">
        <v>12755.0</v>
      </c>
      <c r="J169" s="1">
        <v>4.0</v>
      </c>
      <c r="K169" s="1">
        <v>579.0</v>
      </c>
      <c r="L169" s="1" t="s">
        <v>669</v>
      </c>
      <c r="M169" s="1" t="s">
        <v>868</v>
      </c>
      <c r="N169" s="1" t="s">
        <v>402</v>
      </c>
    </row>
    <row r="170" spans="1:15" customHeight="1" ht="15">
      <c r="A170" s="3" t="s">
        <v>91</v>
      </c>
      <c r="B170" s="3" t="s">
        <v>101</v>
      </c>
      <c r="C170" s="3" t="s">
        <v>108</v>
      </c>
      <c r="D170" s="3"/>
      <c r="E170" s="3"/>
      <c r="F170" s="2" t="s">
        <v>278</v>
      </c>
      <c r="G170" s="2"/>
      <c r="H170" s="1" t="s">
        <v>95</v>
      </c>
      <c r="I170" s="1">
        <v>134942.0</v>
      </c>
      <c r="J170" s="1">
        <v>3.0</v>
      </c>
      <c r="K170" s="1">
        <v>268.0</v>
      </c>
      <c r="L170" s="1" t="s">
        <v>670</v>
      </c>
      <c r="M170" s="1" t="s">
        <v>869</v>
      </c>
      <c r="N170" s="1" t="s">
        <v>462</v>
      </c>
    </row>
    <row r="171" spans="1:15" customHeight="1" ht="15">
      <c r="A171" s="3" t="s">
        <v>91</v>
      </c>
      <c r="B171" s="3" t="s">
        <v>101</v>
      </c>
      <c r="C171" s="3" t="s">
        <v>108</v>
      </c>
      <c r="D171" s="3"/>
      <c r="E171" s="3"/>
      <c r="F171" s="2" t="s">
        <v>279</v>
      </c>
      <c r="G171" s="2"/>
      <c r="H171" s="1" t="s">
        <v>95</v>
      </c>
      <c r="I171" s="1">
        <v>78104.0</v>
      </c>
      <c r="J171" s="1">
        <v>2.0</v>
      </c>
      <c r="K171" s="1">
        <v>296.0</v>
      </c>
      <c r="L171" s="1" t="s">
        <v>671</v>
      </c>
      <c r="M171" s="1" t="s">
        <v>870</v>
      </c>
      <c r="N171" s="1" t="s">
        <v>921</v>
      </c>
    </row>
    <row r="172" spans="1:15" customHeight="1" ht="15">
      <c r="A172" s="3" t="s">
        <v>91</v>
      </c>
      <c r="B172" s="3" t="s">
        <v>101</v>
      </c>
      <c r="C172" s="3" t="s">
        <v>113</v>
      </c>
      <c r="D172" s="3"/>
      <c r="E172" s="3"/>
      <c r="F172" s="2" t="s">
        <v>280</v>
      </c>
      <c r="G172" s="2"/>
      <c r="H172" s="1" t="s">
        <v>95</v>
      </c>
      <c r="I172" s="1">
        <v>65825.0</v>
      </c>
      <c r="J172" s="1">
        <v>3.0</v>
      </c>
      <c r="K172" s="1">
        <v>329.0</v>
      </c>
      <c r="L172" s="1" t="s">
        <v>672</v>
      </c>
      <c r="M172" s="1" t="s">
        <v>871</v>
      </c>
      <c r="N172" s="1" t="s">
        <v>462</v>
      </c>
    </row>
    <row r="173" spans="1:15" customHeight="1" ht="15">
      <c r="A173" s="3" t="s">
        <v>91</v>
      </c>
      <c r="B173" s="3" t="s">
        <v>101</v>
      </c>
      <c r="C173" s="3" t="s">
        <v>108</v>
      </c>
      <c r="D173" s="3"/>
      <c r="E173" s="3"/>
      <c r="F173" s="2" t="s">
        <v>281</v>
      </c>
      <c r="G173" s="2"/>
      <c r="H173" s="1" t="s">
        <v>95</v>
      </c>
      <c r="I173" s="1">
        <v>135782.0</v>
      </c>
      <c r="J173" s="1">
        <v>1.0</v>
      </c>
      <c r="K173" s="1">
        <v>0.0</v>
      </c>
      <c r="L173" s="1" t="s">
        <v>673</v>
      </c>
      <c r="M173" s="1" t="s">
        <v>387</v>
      </c>
      <c r="N173" s="1" t="s">
        <v>922</v>
      </c>
    </row>
    <row r="174" spans="1:15" customHeight="1" ht="15">
      <c r="A174" s="3" t="s">
        <v>91</v>
      </c>
      <c r="B174" s="3" t="s">
        <v>101</v>
      </c>
      <c r="C174" s="3" t="s">
        <v>109</v>
      </c>
      <c r="D174" s="3"/>
      <c r="E174" s="3"/>
      <c r="F174" s="2" t="s">
        <v>282</v>
      </c>
      <c r="G174" s="2"/>
      <c r="H174" s="1" t="s">
        <v>95</v>
      </c>
      <c r="I174" s="1">
        <v>126089.0</v>
      </c>
      <c r="J174" s="1">
        <v>0.0</v>
      </c>
      <c r="K174" s="1">
        <v>0.0</v>
      </c>
      <c r="L174" s="1" t="s">
        <v>387</v>
      </c>
      <c r="M174" s="1" t="s">
        <v>387</v>
      </c>
      <c r="N174" s="1" t="s">
        <v>922</v>
      </c>
    </row>
    <row r="175" spans="1:15" customHeight="1" ht="15">
      <c r="A175" s="3" t="s">
        <v>91</v>
      </c>
      <c r="B175" s="3" t="s">
        <v>101</v>
      </c>
      <c r="C175" s="3" t="s">
        <v>113</v>
      </c>
      <c r="D175" s="3"/>
      <c r="E175" s="3"/>
      <c r="F175" s="2" t="s">
        <v>283</v>
      </c>
      <c r="G175" s="2"/>
      <c r="H175" s="1" t="s">
        <v>95</v>
      </c>
      <c r="I175" s="1">
        <v>67478.0</v>
      </c>
      <c r="J175" s="1">
        <v>1.0</v>
      </c>
      <c r="K175" s="1">
        <v>0.0</v>
      </c>
      <c r="L175" s="1" t="s">
        <v>674</v>
      </c>
      <c r="M175" s="1" t="s">
        <v>872</v>
      </c>
      <c r="N175" s="1" t="s">
        <v>922</v>
      </c>
    </row>
    <row r="176" spans="1:15" customHeight="1" ht="15">
      <c r="A176" s="3" t="s">
        <v>91</v>
      </c>
      <c r="B176" s="3" t="s">
        <v>102</v>
      </c>
      <c r="C176" s="3" t="s">
        <v>111</v>
      </c>
      <c r="D176" s="3"/>
      <c r="E176" s="3"/>
      <c r="F176" s="2" t="s">
        <v>284</v>
      </c>
      <c r="G176" s="2"/>
      <c r="H176" s="1" t="s">
        <v>95</v>
      </c>
      <c r="I176" s="1">
        <v>11621.0</v>
      </c>
      <c r="J176" s="1">
        <v>3.0</v>
      </c>
      <c r="K176" s="1">
        <v>442.0</v>
      </c>
      <c r="L176" s="1" t="s">
        <v>675</v>
      </c>
      <c r="M176" s="1" t="s">
        <v>873</v>
      </c>
      <c r="N176" s="1" t="s">
        <v>462</v>
      </c>
    </row>
    <row r="177" spans="1:15" customHeight="1" ht="15">
      <c r="A177" s="3" t="s">
        <v>91</v>
      </c>
      <c r="B177" s="3" t="s">
        <v>102</v>
      </c>
      <c r="C177" s="3" t="s">
        <v>114</v>
      </c>
      <c r="D177" s="3"/>
      <c r="E177" s="3"/>
      <c r="F177" s="2" t="s">
        <v>285</v>
      </c>
      <c r="G177" s="2"/>
      <c r="H177" s="1" t="s">
        <v>95</v>
      </c>
      <c r="I177" s="1">
        <v>76972.0</v>
      </c>
      <c r="J177" s="1">
        <v>3.0</v>
      </c>
      <c r="K177" s="1">
        <v>408.0</v>
      </c>
      <c r="L177" s="1" t="s">
        <v>676</v>
      </c>
      <c r="M177" s="1" t="s">
        <v>874</v>
      </c>
      <c r="N177" s="1" t="s">
        <v>462</v>
      </c>
    </row>
    <row r="178" spans="1:15" customHeight="1" ht="15">
      <c r="A178" s="3" t="s">
        <v>91</v>
      </c>
      <c r="B178" s="3" t="s">
        <v>102</v>
      </c>
      <c r="C178" s="3" t="s">
        <v>114</v>
      </c>
      <c r="D178" s="3"/>
      <c r="E178" s="3"/>
      <c r="F178" s="2" t="s">
        <v>286</v>
      </c>
      <c r="G178" s="2"/>
      <c r="H178" s="1" t="s">
        <v>95</v>
      </c>
      <c r="I178" s="1">
        <v>80424.0</v>
      </c>
      <c r="J178" s="1">
        <v>3.0</v>
      </c>
      <c r="K178" s="1">
        <v>370.0</v>
      </c>
      <c r="L178" s="1" t="s">
        <v>677</v>
      </c>
      <c r="M178" s="1" t="s">
        <v>875</v>
      </c>
      <c r="N178" s="1" t="s">
        <v>462</v>
      </c>
    </row>
    <row r="179" spans="1:15" customHeight="1" ht="15">
      <c r="A179" s="3" t="s">
        <v>91</v>
      </c>
      <c r="B179" s="3" t="s">
        <v>102</v>
      </c>
      <c r="C179" s="3" t="s">
        <v>112</v>
      </c>
      <c r="D179" s="3"/>
      <c r="E179" s="3"/>
      <c r="F179" s="2" t="s">
        <v>287</v>
      </c>
      <c r="G179" s="2"/>
      <c r="H179" s="1" t="s">
        <v>95</v>
      </c>
      <c r="I179" s="1">
        <v>4511.0</v>
      </c>
      <c r="J179" s="1">
        <v>1.0</v>
      </c>
      <c r="K179" s="1">
        <v>22.0</v>
      </c>
      <c r="L179" s="1" t="s">
        <v>678</v>
      </c>
      <c r="M179" s="1" t="s">
        <v>876</v>
      </c>
      <c r="N179" s="1" t="s">
        <v>920</v>
      </c>
    </row>
    <row r="180" spans="1:15" customHeight="1" ht="15">
      <c r="A180" s="3" t="s">
        <v>91</v>
      </c>
      <c r="B180" s="3" t="s">
        <v>102</v>
      </c>
      <c r="C180" s="3" t="s">
        <v>114</v>
      </c>
      <c r="D180" s="3"/>
      <c r="E180" s="3"/>
      <c r="F180" s="2" t="s">
        <v>288</v>
      </c>
      <c r="G180" s="2"/>
      <c r="H180" s="1" t="s">
        <v>95</v>
      </c>
      <c r="I180" s="1">
        <v>74944.0</v>
      </c>
      <c r="J180" s="1">
        <v>3.0</v>
      </c>
      <c r="K180" s="1">
        <v>437.0</v>
      </c>
      <c r="L180" s="1" t="s">
        <v>679</v>
      </c>
      <c r="M180" s="1" t="s">
        <v>877</v>
      </c>
      <c r="N180" s="1" t="s">
        <v>462</v>
      </c>
    </row>
    <row r="181" spans="1:15" customHeight="1" ht="15">
      <c r="A181" s="3" t="s">
        <v>91</v>
      </c>
      <c r="B181" s="3" t="s">
        <v>102</v>
      </c>
      <c r="C181" s="3" t="s">
        <v>114</v>
      </c>
      <c r="D181" s="3"/>
      <c r="E181" s="3"/>
      <c r="F181" s="2" t="s">
        <v>289</v>
      </c>
      <c r="G181" s="2"/>
      <c r="H181" s="1" t="s">
        <v>95</v>
      </c>
      <c r="I181" s="1">
        <v>76078.0</v>
      </c>
      <c r="J181" s="1">
        <v>3.0</v>
      </c>
      <c r="K181" s="1">
        <v>509.0</v>
      </c>
      <c r="L181" s="1" t="s">
        <v>680</v>
      </c>
      <c r="M181" s="1" t="s">
        <v>878</v>
      </c>
      <c r="N181" s="1" t="s">
        <v>462</v>
      </c>
    </row>
    <row r="182" spans="1:15" customHeight="1" ht="15">
      <c r="A182" s="3" t="s">
        <v>91</v>
      </c>
      <c r="B182" s="3" t="s">
        <v>101</v>
      </c>
      <c r="C182" s="3" t="s">
        <v>113</v>
      </c>
      <c r="D182" s="3"/>
      <c r="E182" s="3"/>
      <c r="F182" s="2" t="s">
        <v>290</v>
      </c>
      <c r="G182" s="2"/>
      <c r="H182" s="1" t="s">
        <v>95</v>
      </c>
      <c r="I182" s="1">
        <v>6507.0</v>
      </c>
      <c r="J182" s="1">
        <v>3.0</v>
      </c>
      <c r="K182" s="1">
        <v>325.0</v>
      </c>
      <c r="L182" s="1" t="s">
        <v>681</v>
      </c>
      <c r="M182" s="1" t="s">
        <v>879</v>
      </c>
      <c r="N182" s="1" t="s">
        <v>462</v>
      </c>
    </row>
    <row r="183" spans="1:15" customHeight="1" ht="15">
      <c r="A183" s="3" t="s">
        <v>91</v>
      </c>
      <c r="B183" s="3" t="s">
        <v>102</v>
      </c>
      <c r="C183" s="3" t="s">
        <v>110</v>
      </c>
      <c r="D183" s="3"/>
      <c r="E183" s="3"/>
      <c r="F183" s="2" t="s">
        <v>291</v>
      </c>
      <c r="G183" s="2"/>
      <c r="H183" s="1" t="s">
        <v>95</v>
      </c>
      <c r="I183" s="1">
        <v>78168.0</v>
      </c>
      <c r="J183" s="1">
        <v>3.0</v>
      </c>
      <c r="K183" s="1">
        <v>490.0</v>
      </c>
      <c r="L183" s="1" t="s">
        <v>682</v>
      </c>
      <c r="M183" s="1" t="s">
        <v>880</v>
      </c>
      <c r="N183" s="1" t="s">
        <v>462</v>
      </c>
    </row>
    <row r="184" spans="1:15" customHeight="1" ht="15">
      <c r="A184" s="3" t="s">
        <v>91</v>
      </c>
      <c r="B184" s="3" t="s">
        <v>102</v>
      </c>
      <c r="C184" s="3" t="s">
        <v>111</v>
      </c>
      <c r="D184" s="3"/>
      <c r="E184" s="3"/>
      <c r="F184" s="2" t="s">
        <v>292</v>
      </c>
      <c r="G184" s="2"/>
      <c r="H184" s="1" t="s">
        <v>95</v>
      </c>
      <c r="I184" s="1">
        <v>0.0</v>
      </c>
      <c r="J184" s="1">
        <v>1.0</v>
      </c>
      <c r="K184" s="1">
        <v>0.0</v>
      </c>
      <c r="L184" s="1" t="s">
        <v>683</v>
      </c>
      <c r="M184" s="1" t="s">
        <v>881</v>
      </c>
      <c r="N184" s="1" t="s">
        <v>922</v>
      </c>
    </row>
    <row r="185" spans="1:15" customHeight="1" ht="15">
      <c r="A185" s="3" t="s">
        <v>91</v>
      </c>
      <c r="B185" s="3" t="s">
        <v>102</v>
      </c>
      <c r="C185" s="3" t="s">
        <v>114</v>
      </c>
      <c r="D185" s="3"/>
      <c r="E185" s="3"/>
      <c r="F185" s="2" t="s">
        <v>293</v>
      </c>
      <c r="G185" s="2"/>
      <c r="H185" s="1" t="s">
        <v>95</v>
      </c>
      <c r="I185" s="1">
        <v>81315.0</v>
      </c>
      <c r="J185" s="1">
        <v>2.0</v>
      </c>
      <c r="K185" s="1">
        <v>251.0</v>
      </c>
      <c r="L185" s="1" t="s">
        <v>684</v>
      </c>
      <c r="M185" s="1" t="s">
        <v>882</v>
      </c>
      <c r="N185" s="1" t="s">
        <v>921</v>
      </c>
    </row>
    <row r="186" spans="1:15" customHeight="1" ht="15">
      <c r="A186" s="3" t="s">
        <v>91</v>
      </c>
      <c r="B186" s="3" t="s">
        <v>102</v>
      </c>
      <c r="C186" s="3" t="s">
        <v>114</v>
      </c>
      <c r="D186" s="3"/>
      <c r="E186" s="3"/>
      <c r="F186" s="2" t="s">
        <v>294</v>
      </c>
      <c r="G186" s="2"/>
      <c r="H186" s="1" t="s">
        <v>95</v>
      </c>
      <c r="I186" s="1">
        <v>70830.0</v>
      </c>
      <c r="J186" s="1">
        <v>2.0</v>
      </c>
      <c r="K186" s="1">
        <v>212.0</v>
      </c>
      <c r="L186" s="1" t="s">
        <v>685</v>
      </c>
      <c r="M186" s="1" t="s">
        <v>883</v>
      </c>
      <c r="N186" s="1" t="s">
        <v>921</v>
      </c>
    </row>
    <row r="187" spans="1:15" customHeight="1" ht="15">
      <c r="A187" s="3" t="s">
        <v>91</v>
      </c>
      <c r="B187" s="3" t="s">
        <v>102</v>
      </c>
      <c r="C187" s="3" t="s">
        <v>110</v>
      </c>
      <c r="D187" s="3"/>
      <c r="E187" s="3"/>
      <c r="F187" s="2" t="s">
        <v>295</v>
      </c>
      <c r="G187" s="2"/>
      <c r="H187" s="1" t="s">
        <v>95</v>
      </c>
      <c r="I187" s="1">
        <v>1617.0</v>
      </c>
      <c r="J187" s="1">
        <v>2.0</v>
      </c>
      <c r="K187" s="1">
        <v>123.0</v>
      </c>
      <c r="L187" s="1" t="s">
        <v>686</v>
      </c>
      <c r="M187" s="1" t="s">
        <v>884</v>
      </c>
      <c r="N187" s="1" t="s">
        <v>921</v>
      </c>
    </row>
    <row r="188" spans="1:15" customHeight="1" ht="15">
      <c r="A188" s="3" t="s">
        <v>91</v>
      </c>
      <c r="B188" s="3" t="s">
        <v>102</v>
      </c>
      <c r="C188" s="3" t="s">
        <v>110</v>
      </c>
      <c r="D188" s="3"/>
      <c r="E188" s="3"/>
      <c r="F188" s="2" t="s">
        <v>296</v>
      </c>
      <c r="G188" s="2"/>
      <c r="H188" s="1" t="s">
        <v>95</v>
      </c>
      <c r="I188" s="1">
        <v>73674.0</v>
      </c>
      <c r="J188" s="1">
        <v>2.0</v>
      </c>
      <c r="K188" s="1">
        <v>194.0</v>
      </c>
      <c r="L188" s="1" t="s">
        <v>687</v>
      </c>
      <c r="M188" s="1" t="s">
        <v>885</v>
      </c>
      <c r="N188" s="1" t="s">
        <v>921</v>
      </c>
    </row>
    <row r="189" spans="1:15" customHeight="1" ht="15">
      <c r="A189" s="3" t="s">
        <v>91</v>
      </c>
      <c r="B189" s="3" t="s">
        <v>102</v>
      </c>
      <c r="C189" s="3" t="s">
        <v>112</v>
      </c>
      <c r="D189" s="3"/>
      <c r="E189" s="3"/>
      <c r="F189" s="2" t="s">
        <v>297</v>
      </c>
      <c r="G189" s="2"/>
      <c r="H189" s="1" t="s">
        <v>95</v>
      </c>
      <c r="I189" s="1">
        <v>9314.0</v>
      </c>
      <c r="J189" s="1">
        <v>1.0</v>
      </c>
      <c r="K189" s="1">
        <v>0.0</v>
      </c>
      <c r="L189" s="1" t="s">
        <v>688</v>
      </c>
      <c r="M189" s="1" t="s">
        <v>886</v>
      </c>
      <c r="N189" s="1" t="s">
        <v>922</v>
      </c>
    </row>
    <row r="190" spans="1:15" customHeight="1" ht="15">
      <c r="A190" s="3" t="s">
        <v>91</v>
      </c>
      <c r="B190" s="3" t="s">
        <v>102</v>
      </c>
      <c r="C190" s="3" t="s">
        <v>112</v>
      </c>
      <c r="D190" s="3"/>
      <c r="E190" s="3"/>
      <c r="F190" s="2" t="s">
        <v>298</v>
      </c>
      <c r="G190" s="2"/>
      <c r="H190" s="1" t="s">
        <v>95</v>
      </c>
      <c r="I190" s="1">
        <v>8652.0</v>
      </c>
      <c r="J190" s="1">
        <v>0.0</v>
      </c>
      <c r="K190" s="1">
        <v>0.0</v>
      </c>
      <c r="L190" s="1" t="s">
        <v>387</v>
      </c>
      <c r="M190" s="1" t="s">
        <v>387</v>
      </c>
      <c r="N190" s="1" t="s">
        <v>922</v>
      </c>
    </row>
    <row r="191" spans="1:15" customHeight="1" ht="15">
      <c r="A191" s="3" t="s">
        <v>91</v>
      </c>
      <c r="B191" s="3" t="s">
        <v>102</v>
      </c>
      <c r="C191" s="3" t="s">
        <v>112</v>
      </c>
      <c r="D191" s="3"/>
      <c r="E191" s="3"/>
      <c r="F191" s="2" t="s">
        <v>299</v>
      </c>
      <c r="G191" s="2"/>
      <c r="H191" s="1" t="s">
        <v>95</v>
      </c>
      <c r="I191" s="1">
        <v>12123.0</v>
      </c>
      <c r="J191" s="1">
        <v>2.0</v>
      </c>
      <c r="K191" s="1">
        <v>149.0</v>
      </c>
      <c r="L191" s="1" t="s">
        <v>689</v>
      </c>
      <c r="M191" s="1" t="s">
        <v>887</v>
      </c>
      <c r="N191" s="1" t="s">
        <v>921</v>
      </c>
    </row>
    <row r="192" spans="1:15" customHeight="1" ht="15">
      <c r="A192" s="3" t="s">
        <v>91</v>
      </c>
      <c r="B192" s="3" t="s">
        <v>101</v>
      </c>
      <c r="C192" s="3" t="s">
        <v>113</v>
      </c>
      <c r="D192" s="3"/>
      <c r="E192" s="3"/>
      <c r="F192" s="2" t="s">
        <v>300</v>
      </c>
      <c r="G192" s="2"/>
      <c r="H192" s="1" t="s">
        <v>95</v>
      </c>
      <c r="I192" s="1">
        <v>48569.0</v>
      </c>
      <c r="J192" s="1">
        <v>1.0</v>
      </c>
      <c r="K192" s="1">
        <v>61.0</v>
      </c>
      <c r="L192" s="1" t="s">
        <v>690</v>
      </c>
      <c r="M192" s="1" t="s">
        <v>888</v>
      </c>
      <c r="N192" s="1" t="s">
        <v>920</v>
      </c>
    </row>
    <row r="193" spans="1:15" customHeight="1" ht="15">
      <c r="A193" s="3" t="s">
        <v>91</v>
      </c>
      <c r="B193" s="3" t="s">
        <v>101</v>
      </c>
      <c r="C193" s="3" t="s">
        <v>109</v>
      </c>
      <c r="D193" s="3"/>
      <c r="E193" s="3"/>
      <c r="F193" s="2" t="s">
        <v>301</v>
      </c>
      <c r="G193" s="2"/>
      <c r="H193" s="1" t="s">
        <v>95</v>
      </c>
      <c r="I193" s="1">
        <v>120538.0</v>
      </c>
      <c r="J193" s="1">
        <v>2.0</v>
      </c>
      <c r="K193" s="1">
        <v>88.0</v>
      </c>
      <c r="L193" s="1" t="s">
        <v>691</v>
      </c>
      <c r="M193" s="1" t="s">
        <v>889</v>
      </c>
      <c r="N193" s="1" t="s">
        <v>921</v>
      </c>
    </row>
    <row r="194" spans="1:15" customHeight="1" ht="15">
      <c r="A194" s="3" t="s">
        <v>91</v>
      </c>
      <c r="B194" s="3" t="s">
        <v>101</v>
      </c>
      <c r="C194" s="3" t="s">
        <v>109</v>
      </c>
      <c r="D194" s="3"/>
      <c r="E194" s="3"/>
      <c r="F194" s="2" t="s">
        <v>302</v>
      </c>
      <c r="G194" s="2"/>
      <c r="H194" s="1" t="s">
        <v>95</v>
      </c>
      <c r="I194" s="1">
        <v>168068.0</v>
      </c>
      <c r="J194" s="1">
        <v>1.0</v>
      </c>
      <c r="K194" s="1">
        <v>0.0</v>
      </c>
      <c r="L194" s="1" t="s">
        <v>692</v>
      </c>
      <c r="M194" s="1" t="s">
        <v>387</v>
      </c>
      <c r="N194" s="1" t="s">
        <v>922</v>
      </c>
    </row>
    <row r="195" spans="1:15" customHeight="1" ht="15">
      <c r="A195" s="3" t="s">
        <v>91</v>
      </c>
      <c r="B195" s="3" t="s">
        <v>101</v>
      </c>
      <c r="C195" s="3" t="s">
        <v>109</v>
      </c>
      <c r="D195" s="3"/>
      <c r="E195" s="3"/>
      <c r="F195" s="2" t="s">
        <v>303</v>
      </c>
      <c r="G195" s="2"/>
      <c r="H195" s="1" t="s">
        <v>95</v>
      </c>
      <c r="I195" s="1">
        <v>54843.0</v>
      </c>
      <c r="J195" s="1">
        <v>2.0</v>
      </c>
      <c r="K195" s="1">
        <v>142.0</v>
      </c>
      <c r="L195" s="1" t="s">
        <v>693</v>
      </c>
      <c r="M195" s="1" t="s">
        <v>890</v>
      </c>
      <c r="N195" s="1" t="s">
        <v>921</v>
      </c>
    </row>
    <row r="196" spans="1:15" customHeight="1" ht="15">
      <c r="A196" s="3" t="s">
        <v>91</v>
      </c>
      <c r="B196" s="3" t="s">
        <v>102</v>
      </c>
      <c r="C196" s="3" t="s">
        <v>114</v>
      </c>
      <c r="D196" s="3"/>
      <c r="E196" s="3"/>
      <c r="F196" s="2" t="s">
        <v>304</v>
      </c>
      <c r="G196" s="2"/>
      <c r="H196" s="1" t="s">
        <v>95</v>
      </c>
      <c r="I196" s="1">
        <v>76620.0</v>
      </c>
      <c r="J196" s="1">
        <v>2.0</v>
      </c>
      <c r="K196" s="1">
        <v>1.0</v>
      </c>
      <c r="L196" s="1" t="s">
        <v>694</v>
      </c>
      <c r="M196" s="1" t="s">
        <v>891</v>
      </c>
      <c r="N196" s="1" t="s">
        <v>922</v>
      </c>
    </row>
    <row r="197" spans="1:15" customHeight="1" ht="15">
      <c r="A197" s="3" t="s">
        <v>91</v>
      </c>
      <c r="B197" s="3" t="s">
        <v>101</v>
      </c>
      <c r="C197" s="3" t="s">
        <v>108</v>
      </c>
      <c r="D197" s="3"/>
      <c r="E197" s="3"/>
      <c r="F197" s="2" t="s">
        <v>305</v>
      </c>
      <c r="G197" s="2"/>
      <c r="H197" s="1" t="s">
        <v>95</v>
      </c>
      <c r="I197" s="1">
        <v>153184.0</v>
      </c>
      <c r="J197" s="1">
        <v>2.0</v>
      </c>
      <c r="K197" s="1">
        <v>161.0</v>
      </c>
      <c r="L197" s="1" t="s">
        <v>695</v>
      </c>
      <c r="M197" s="1" t="s">
        <v>892</v>
      </c>
      <c r="N197" s="1" t="s">
        <v>921</v>
      </c>
    </row>
    <row r="198" spans="1:15" customHeight="1" ht="15">
      <c r="A198" s="3" t="s">
        <v>91</v>
      </c>
      <c r="B198" s="3" t="s">
        <v>96</v>
      </c>
      <c r="C198" s="3" t="s">
        <v>97</v>
      </c>
      <c r="D198" s="3"/>
      <c r="E198" s="3"/>
      <c r="F198" s="2" t="s">
        <v>306</v>
      </c>
      <c r="G198" s="2"/>
      <c r="H198" s="1" t="s">
        <v>95</v>
      </c>
      <c r="I198" s="1">
        <v>69150.0</v>
      </c>
      <c r="J198" s="1">
        <v>23.0</v>
      </c>
      <c r="K198" s="1">
        <v>2939.0</v>
      </c>
      <c r="L198" s="1" t="s">
        <v>696</v>
      </c>
      <c r="M198" s="1" t="s">
        <v>893</v>
      </c>
      <c r="N198" s="1" t="s">
        <v>923</v>
      </c>
    </row>
    <row r="199" spans="1:15" customHeight="1" ht="15">
      <c r="A199" s="3" t="s">
        <v>91</v>
      </c>
      <c r="B199" s="3" t="s">
        <v>99</v>
      </c>
      <c r="C199" s="3" t="s">
        <v>116</v>
      </c>
      <c r="D199" s="3"/>
      <c r="E199" s="3"/>
      <c r="F199" s="2" t="s">
        <v>307</v>
      </c>
      <c r="G199" s="2" t="s">
        <v>323</v>
      </c>
      <c r="H199" s="1" t="s">
        <v>95</v>
      </c>
      <c r="I199" s="1">
        <v>40793.0</v>
      </c>
      <c r="J199" s="1">
        <v>20.0</v>
      </c>
      <c r="K199" s="1">
        <v>929.0</v>
      </c>
      <c r="L199" s="1" t="s">
        <v>437</v>
      </c>
      <c r="M199" s="1" t="s">
        <v>454</v>
      </c>
      <c r="N199" s="1" t="s">
        <v>467</v>
      </c>
    </row>
    <row r="200" spans="1:15" customHeight="1" ht="15">
      <c r="A200" s="3" t="s">
        <v>91</v>
      </c>
      <c r="B200" s="3" t="s">
        <v>101</v>
      </c>
      <c r="C200" s="3" t="s">
        <v>108</v>
      </c>
      <c r="D200" s="3"/>
      <c r="E200" s="3"/>
      <c r="F200" s="2" t="s">
        <v>308</v>
      </c>
      <c r="G200" s="2"/>
      <c r="H200" s="1" t="s">
        <v>95</v>
      </c>
      <c r="I200" s="1">
        <v>69990.0</v>
      </c>
      <c r="J200" s="1">
        <v>27.0</v>
      </c>
      <c r="K200" s="1">
        <v>2997.0</v>
      </c>
      <c r="L200" s="1" t="s">
        <v>697</v>
      </c>
      <c r="M200" s="1" t="s">
        <v>894</v>
      </c>
      <c r="N200" s="1" t="s">
        <v>911</v>
      </c>
    </row>
    <row r="201" spans="1:15" customHeight="1" ht="15">
      <c r="A201" s="3" t="s">
        <v>91</v>
      </c>
      <c r="B201" s="3" t="s">
        <v>92</v>
      </c>
      <c r="C201" s="3" t="s">
        <v>117</v>
      </c>
      <c r="D201" s="3"/>
      <c r="E201" s="3"/>
      <c r="F201" s="2" t="s">
        <v>309</v>
      </c>
      <c r="G201" s="2"/>
      <c r="H201" s="1" t="s">
        <v>95</v>
      </c>
      <c r="I201" s="1">
        <v>10484.0</v>
      </c>
      <c r="J201" s="1">
        <v>30.0</v>
      </c>
      <c r="K201" s="1">
        <v>3376.0</v>
      </c>
      <c r="L201" s="1" t="s">
        <v>698</v>
      </c>
      <c r="M201" s="1" t="s">
        <v>895</v>
      </c>
      <c r="N201" s="1" t="s">
        <v>464</v>
      </c>
    </row>
    <row r="202" spans="1:15" customHeight="1" ht="15">
      <c r="A202" s="3" t="s">
        <v>91</v>
      </c>
      <c r="B202" s="3" t="s">
        <v>92</v>
      </c>
      <c r="C202" s="3" t="s">
        <v>117</v>
      </c>
      <c r="D202" s="3"/>
      <c r="E202" s="3"/>
      <c r="F202" s="2" t="s">
        <v>310</v>
      </c>
      <c r="G202" s="2"/>
      <c r="H202" s="1" t="s">
        <v>95</v>
      </c>
      <c r="I202" s="1">
        <v>16570.0</v>
      </c>
      <c r="J202" s="1">
        <v>30.0</v>
      </c>
      <c r="K202" s="1">
        <v>5937.0</v>
      </c>
      <c r="L202" s="1" t="s">
        <v>699</v>
      </c>
      <c r="M202" s="1" t="s">
        <v>896</v>
      </c>
      <c r="N202" s="1" t="s">
        <v>464</v>
      </c>
    </row>
    <row r="203" spans="1:15" customHeight="1" ht="15">
      <c r="A203" s="3" t="s">
        <v>91</v>
      </c>
      <c r="B203" s="3" t="s">
        <v>92</v>
      </c>
      <c r="C203" s="3" t="s">
        <v>117</v>
      </c>
      <c r="D203" s="3"/>
      <c r="E203" s="3"/>
      <c r="F203" s="2" t="s">
        <v>311</v>
      </c>
      <c r="G203" s="2"/>
      <c r="H203" s="1" t="s">
        <v>95</v>
      </c>
      <c r="I203" s="1">
        <v>5225.0</v>
      </c>
      <c r="J203" s="1">
        <v>30.0</v>
      </c>
      <c r="K203" s="1">
        <v>1591.0</v>
      </c>
      <c r="L203" s="1" t="s">
        <v>700</v>
      </c>
      <c r="M203" s="1" t="s">
        <v>897</v>
      </c>
      <c r="N203" s="1" t="s">
        <v>464</v>
      </c>
    </row>
    <row r="204" spans="1:15" customHeight="1" ht="15">
      <c r="A204" s="3" t="s">
        <v>91</v>
      </c>
      <c r="B204" s="3" t="s">
        <v>92</v>
      </c>
      <c r="C204" s="3" t="s">
        <v>117</v>
      </c>
      <c r="D204" s="3"/>
      <c r="E204" s="3"/>
      <c r="F204" s="2" t="s">
        <v>312</v>
      </c>
      <c r="G204" s="2"/>
      <c r="H204" s="1" t="s">
        <v>95</v>
      </c>
      <c r="I204" s="1">
        <v>17762.0</v>
      </c>
      <c r="J204" s="1">
        <v>30.0</v>
      </c>
      <c r="K204" s="1">
        <v>5750.0</v>
      </c>
      <c r="L204" s="1" t="s">
        <v>701</v>
      </c>
      <c r="M204" s="1" t="s">
        <v>898</v>
      </c>
      <c r="N204" s="1" t="s">
        <v>464</v>
      </c>
    </row>
    <row r="205" spans="1:15" customHeight="1" ht="15">
      <c r="A205" s="3" t="s">
        <v>91</v>
      </c>
      <c r="B205" s="3" t="s">
        <v>92</v>
      </c>
      <c r="C205" s="3" t="s">
        <v>117</v>
      </c>
      <c r="D205" s="3"/>
      <c r="E205" s="3"/>
      <c r="F205" s="2" t="s">
        <v>313</v>
      </c>
      <c r="G205" s="2" t="s">
        <v>324</v>
      </c>
      <c r="H205" s="1" t="s">
        <v>95</v>
      </c>
      <c r="I205" s="1">
        <v>6136.0</v>
      </c>
      <c r="J205" s="1">
        <v>30.0</v>
      </c>
      <c r="K205" s="1">
        <v>2426.0</v>
      </c>
      <c r="L205" s="1" t="s">
        <v>702</v>
      </c>
      <c r="M205" s="1" t="s">
        <v>899</v>
      </c>
      <c r="N205" s="1" t="s">
        <v>924</v>
      </c>
    </row>
    <row r="206" spans="1:15" customHeight="1" ht="15">
      <c r="A206" s="3" t="s">
        <v>91</v>
      </c>
      <c r="B206" s="3" t="s">
        <v>92</v>
      </c>
      <c r="C206" s="3" t="s">
        <v>117</v>
      </c>
      <c r="D206" s="3"/>
      <c r="E206" s="3"/>
      <c r="F206" s="2" t="s">
        <v>314</v>
      </c>
      <c r="G206" s="2"/>
      <c r="H206" s="1" t="s">
        <v>95</v>
      </c>
      <c r="I206" s="1">
        <v>15343.0</v>
      </c>
      <c r="J206" s="1">
        <v>30.0</v>
      </c>
      <c r="K206" s="1">
        <v>5020.0</v>
      </c>
      <c r="L206" s="1" t="s">
        <v>703</v>
      </c>
      <c r="M206" s="1" t="s">
        <v>900</v>
      </c>
      <c r="N206" s="1" t="s">
        <v>464</v>
      </c>
    </row>
    <row r="207" spans="1:15" customHeight="1" ht="15">
      <c r="A207" s="3" t="s">
        <v>91</v>
      </c>
      <c r="B207" s="3" t="s">
        <v>92</v>
      </c>
      <c r="C207" s="3" t="s">
        <v>117</v>
      </c>
      <c r="D207" s="3"/>
      <c r="E207" s="3"/>
      <c r="F207" s="2" t="s">
        <v>315</v>
      </c>
      <c r="G207" s="2"/>
      <c r="H207" s="1" t="s">
        <v>95</v>
      </c>
      <c r="I207" s="1">
        <v>5135.0</v>
      </c>
      <c r="J207" s="1">
        <v>8.0</v>
      </c>
      <c r="K207" s="1">
        <v>489.0</v>
      </c>
      <c r="L207" s="1" t="s">
        <v>704</v>
      </c>
      <c r="M207" s="1" t="s">
        <v>901</v>
      </c>
      <c r="N207" s="1" t="s">
        <v>470</v>
      </c>
    </row>
    <row r="208" spans="1:15" customHeight="1" ht="15">
      <c r="A208" s="3" t="s">
        <v>91</v>
      </c>
      <c r="B208" s="3" t="s">
        <v>92</v>
      </c>
      <c r="C208" s="3" t="s">
        <v>117</v>
      </c>
      <c r="D208" s="3"/>
      <c r="E208" s="3"/>
      <c r="F208" s="2" t="s">
        <v>316</v>
      </c>
      <c r="G208" s="2"/>
      <c r="H208" s="1" t="s">
        <v>95</v>
      </c>
      <c r="I208" s="1">
        <v>9044.0</v>
      </c>
      <c r="J208" s="1">
        <v>29.0</v>
      </c>
      <c r="K208" s="1">
        <v>3241.0</v>
      </c>
      <c r="L208" s="1" t="s">
        <v>705</v>
      </c>
      <c r="M208" s="1" t="s">
        <v>902</v>
      </c>
      <c r="N208" s="1" t="s">
        <v>924</v>
      </c>
    </row>
    <row r="209" spans="1:15" customHeight="1" ht="15">
      <c r="A209" s="3" t="s">
        <v>91</v>
      </c>
      <c r="B209" s="3" t="s">
        <v>92</v>
      </c>
      <c r="C209" s="3" t="s">
        <v>117</v>
      </c>
      <c r="D209" s="3"/>
      <c r="E209" s="3"/>
      <c r="F209" s="2" t="s">
        <v>317</v>
      </c>
      <c r="G209" s="2"/>
      <c r="H209" s="1" t="s">
        <v>95</v>
      </c>
      <c r="I209" s="1">
        <v>12733.0</v>
      </c>
      <c r="J209" s="1">
        <v>30.0</v>
      </c>
      <c r="K209" s="1">
        <v>4356.0</v>
      </c>
      <c r="L209" s="1" t="s">
        <v>706</v>
      </c>
      <c r="M209" s="1" t="s">
        <v>903</v>
      </c>
      <c r="N209" s="1" t="s">
        <v>464</v>
      </c>
    </row>
    <row r="210" spans="1:15" customHeight="1" ht="15">
      <c r="A210" s="3" t="s">
        <v>91</v>
      </c>
      <c r="B210" s="3" t="s">
        <v>92</v>
      </c>
      <c r="C210" s="3" t="s">
        <v>117</v>
      </c>
      <c r="D210" s="3"/>
      <c r="E210" s="3"/>
      <c r="F210" s="2" t="s">
        <v>318</v>
      </c>
      <c r="G210" s="2"/>
      <c r="H210" s="1" t="s">
        <v>95</v>
      </c>
      <c r="I210" s="1">
        <v>15515.0</v>
      </c>
      <c r="J210" s="1">
        <v>30.0</v>
      </c>
      <c r="K210" s="1">
        <v>5299.0</v>
      </c>
      <c r="L210" s="1" t="s">
        <v>707</v>
      </c>
      <c r="M210" s="1" t="s">
        <v>904</v>
      </c>
      <c r="N210" s="1" t="s">
        <v>464</v>
      </c>
    </row>
    <row r="211" spans="1:15" customHeight="1" ht="15">
      <c r="A211" s="3" t="s">
        <v>91</v>
      </c>
      <c r="B211" s="3" t="s">
        <v>92</v>
      </c>
      <c r="C211" s="3" t="s">
        <v>117</v>
      </c>
      <c r="D211" s="3"/>
      <c r="E211" s="3"/>
      <c r="F211" s="2" t="s">
        <v>319</v>
      </c>
      <c r="G211" s="2" t="s">
        <v>325</v>
      </c>
      <c r="H211" s="1" t="s">
        <v>95</v>
      </c>
      <c r="I211" s="1">
        <v>6657.0</v>
      </c>
      <c r="J211" s="1">
        <v>30.0</v>
      </c>
      <c r="K211" s="1">
        <v>2084.0</v>
      </c>
      <c r="L211" s="1" t="s">
        <v>708</v>
      </c>
      <c r="M211" s="1" t="s">
        <v>905</v>
      </c>
      <c r="N211" s="1" t="s">
        <v>464</v>
      </c>
    </row>
    <row r="212" spans="1:15" customHeight="1" ht="15">
      <c r="A212" s="3" t="s">
        <v>91</v>
      </c>
      <c r="B212" s="3" t="s">
        <v>92</v>
      </c>
      <c r="C212" s="3" t="s">
        <v>117</v>
      </c>
      <c r="D212" s="3"/>
      <c r="E212" s="3"/>
      <c r="F212" s="2" t="s">
        <v>320</v>
      </c>
      <c r="G212" s="2"/>
      <c r="H212" s="1" t="s">
        <v>95</v>
      </c>
      <c r="I212" s="1">
        <v>9328.0</v>
      </c>
      <c r="J212" s="1">
        <v>30.0</v>
      </c>
      <c r="K212" s="1">
        <v>2702.0</v>
      </c>
      <c r="L212" s="1" t="s">
        <v>709</v>
      </c>
      <c r="M212" s="1" t="s">
        <v>906</v>
      </c>
      <c r="N212" s="1" t="s">
        <v>464</v>
      </c>
    </row>
    <row r="213" spans="1:15" customHeight="1" ht="15">
      <c r="A213" s="3" t="s">
        <v>91</v>
      </c>
      <c r="B213" s="3" t="s">
        <v>92</v>
      </c>
      <c r="C213" s="3" t="s">
        <v>117</v>
      </c>
      <c r="D213" s="3"/>
      <c r="E213" s="3"/>
      <c r="F213" s="2" t="s">
        <v>321</v>
      </c>
      <c r="G213" s="2"/>
      <c r="H213" s="1" t="s">
        <v>95</v>
      </c>
      <c r="I213" s="1">
        <v>10558.0</v>
      </c>
      <c r="J213" s="1">
        <v>24.0</v>
      </c>
      <c r="K213" s="1">
        <v>2348.0</v>
      </c>
      <c r="L213" s="1" t="s">
        <v>710</v>
      </c>
      <c r="M213" s="1" t="s">
        <v>907</v>
      </c>
      <c r="N213" s="1" t="s">
        <v>925</v>
      </c>
    </row>
    <row r="214" spans="1:15" customHeight="1" ht="15">
      <c r="A214" s="3" t="s">
        <v>91</v>
      </c>
      <c r="B214" s="3" t="s">
        <v>92</v>
      </c>
      <c r="C214" s="3" t="s">
        <v>117</v>
      </c>
      <c r="D214" s="3"/>
      <c r="E214" s="3"/>
      <c r="F214" s="2" t="s">
        <v>322</v>
      </c>
      <c r="G214" s="2"/>
      <c r="H214" s="1" t="s">
        <v>95</v>
      </c>
      <c r="I214" s="1">
        <v>7450.0</v>
      </c>
      <c r="J214" s="1">
        <v>30.0</v>
      </c>
      <c r="K214" s="1">
        <v>2744.0</v>
      </c>
      <c r="L214" s="1" t="s">
        <v>711</v>
      </c>
      <c r="M214" s="1" t="s">
        <v>908</v>
      </c>
      <c r="N214" s="1" t="s">
        <v>464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7"/>
  <sheetViews>
    <sheetView tabSelected="0" workbookViewId="0" showGridLines="true" showRowColHeaders="1">
      <selection activeCell="N2" sqref="N2:N427"/>
    </sheetView>
  </sheetViews>
  <sheetFormatPr defaultRowHeight="14.4" outlineLevelRow="0" outlineLevelCol="0"/>
  <cols>
    <col min="1" max="1" width="2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5">
      <c r="A1" t="s">
        <v>383</v>
      </c>
      <c r="B1" t="s">
        <v>407</v>
      </c>
      <c r="C1" t="s">
        <v>471</v>
      </c>
      <c r="D1" t="s">
        <v>483</v>
      </c>
      <c r="E1" t="s">
        <v>505</v>
      </c>
      <c r="F1" s="1" t="s">
        <v>72</v>
      </c>
      <c r="G1" s="1" t="s">
        <v>506</v>
      </c>
      <c r="H1" s="1" t="s">
        <v>74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712</v>
      </c>
      <c r="N1" s="1" t="s">
        <v>381</v>
      </c>
    </row>
    <row r="2" spans="1:15" customHeight="1" ht="15">
      <c r="A2" s="3" t="s">
        <v>91</v>
      </c>
      <c r="B2" s="3" t="s">
        <v>384</v>
      </c>
      <c r="C2" s="3" t="s">
        <v>422</v>
      </c>
      <c r="D2" s="3" t="s">
        <v>476</v>
      </c>
      <c r="E2" s="3" t="s">
        <v>487</v>
      </c>
      <c r="F2" s="2" t="s">
        <v>94</v>
      </c>
      <c r="G2" s="2"/>
      <c r="H2" s="1" t="s">
        <v>95</v>
      </c>
      <c r="I2" s="1">
        <v>30820.0</v>
      </c>
      <c r="J2" s="1">
        <v>30.0</v>
      </c>
      <c r="K2" s="1">
        <v>6044.0</v>
      </c>
      <c r="L2" s="1" t="s">
        <v>434</v>
      </c>
      <c r="M2" s="1" t="s">
        <v>451</v>
      </c>
      <c r="N2" s="1" t="s">
        <v>464</v>
      </c>
    </row>
    <row r="3" spans="1:15" customHeight="1" ht="15">
      <c r="A3" s="3" t="s">
        <v>91</v>
      </c>
      <c r="B3" s="3" t="s">
        <v>384</v>
      </c>
      <c r="C3" s="3" t="s">
        <v>409</v>
      </c>
      <c r="D3" s="3" t="s">
        <v>479</v>
      </c>
      <c r="E3" s="3"/>
      <c r="F3" s="2" t="s">
        <v>94</v>
      </c>
      <c r="G3" s="2"/>
      <c r="H3" s="1" t="s">
        <v>95</v>
      </c>
      <c r="I3" s="1">
        <v>30820.0</v>
      </c>
      <c r="J3" s="1">
        <v>30.0</v>
      </c>
      <c r="K3" s="1">
        <v>6044.0</v>
      </c>
      <c r="L3" s="1" t="s">
        <v>434</v>
      </c>
      <c r="M3" s="1" t="s">
        <v>451</v>
      </c>
      <c r="N3" s="1" t="s">
        <v>464</v>
      </c>
    </row>
    <row r="4" spans="1:15" customHeight="1" ht="15">
      <c r="A4" s="3" t="s">
        <v>91</v>
      </c>
      <c r="B4" s="3" t="s">
        <v>384</v>
      </c>
      <c r="C4" s="3" t="s">
        <v>422</v>
      </c>
      <c r="D4" s="3" t="s">
        <v>476</v>
      </c>
      <c r="E4" s="3" t="s">
        <v>487</v>
      </c>
      <c r="F4" s="2" t="s">
        <v>98</v>
      </c>
      <c r="G4" s="2"/>
      <c r="H4" s="1" t="s">
        <v>95</v>
      </c>
      <c r="I4" s="1">
        <v>24050.0</v>
      </c>
      <c r="J4" s="1">
        <v>22.0</v>
      </c>
      <c r="K4" s="1">
        <v>1208.0</v>
      </c>
      <c r="L4" s="1" t="s">
        <v>511</v>
      </c>
      <c r="M4" s="1" t="s">
        <v>713</v>
      </c>
      <c r="N4" s="1" t="s">
        <v>909</v>
      </c>
    </row>
    <row r="5" spans="1:15" customHeight="1" ht="15">
      <c r="A5" s="3" t="s">
        <v>91</v>
      </c>
      <c r="B5" s="3" t="s">
        <v>384</v>
      </c>
      <c r="C5" s="3" t="s">
        <v>409</v>
      </c>
      <c r="D5" s="3" t="s">
        <v>479</v>
      </c>
      <c r="E5" s="3"/>
      <c r="F5" s="2" t="s">
        <v>98</v>
      </c>
      <c r="G5" s="2"/>
      <c r="H5" s="1" t="s">
        <v>95</v>
      </c>
      <c r="I5" s="1">
        <v>24050.0</v>
      </c>
      <c r="J5" s="1">
        <v>22.0</v>
      </c>
      <c r="K5" s="1">
        <v>1208.0</v>
      </c>
      <c r="L5" s="1" t="s">
        <v>511</v>
      </c>
      <c r="M5" s="1" t="s">
        <v>713</v>
      </c>
      <c r="N5" s="1" t="s">
        <v>909</v>
      </c>
    </row>
    <row r="6" spans="1:15" customHeight="1" ht="15">
      <c r="A6" s="3" t="s">
        <v>91</v>
      </c>
      <c r="B6" s="3" t="s">
        <v>384</v>
      </c>
      <c r="C6" s="3" t="s">
        <v>422</v>
      </c>
      <c r="D6" s="3" t="s">
        <v>476</v>
      </c>
      <c r="E6" s="3" t="s">
        <v>487</v>
      </c>
      <c r="F6" s="2" t="s">
        <v>118</v>
      </c>
      <c r="G6" s="2"/>
      <c r="H6" s="1" t="s">
        <v>95</v>
      </c>
      <c r="I6" s="1">
        <v>7510.0</v>
      </c>
      <c r="J6" s="1">
        <v>20.0</v>
      </c>
      <c r="K6" s="1">
        <v>483.0</v>
      </c>
      <c r="L6" s="1" t="s">
        <v>512</v>
      </c>
      <c r="M6" s="1" t="s">
        <v>714</v>
      </c>
      <c r="N6" s="1" t="s">
        <v>910</v>
      </c>
    </row>
    <row r="7" spans="1:15" customHeight="1" ht="15">
      <c r="A7" s="3" t="s">
        <v>91</v>
      </c>
      <c r="B7" s="3" t="s">
        <v>384</v>
      </c>
      <c r="C7" s="3" t="s">
        <v>409</v>
      </c>
      <c r="D7" s="3" t="s">
        <v>479</v>
      </c>
      <c r="E7" s="3"/>
      <c r="F7" s="2" t="s">
        <v>118</v>
      </c>
      <c r="G7" s="2"/>
      <c r="H7" s="1" t="s">
        <v>95</v>
      </c>
      <c r="I7" s="1">
        <v>7510.0</v>
      </c>
      <c r="J7" s="1">
        <v>20.0</v>
      </c>
      <c r="K7" s="1">
        <v>483.0</v>
      </c>
      <c r="L7" s="1" t="s">
        <v>512</v>
      </c>
      <c r="M7" s="1" t="s">
        <v>714</v>
      </c>
      <c r="N7" s="1" t="s">
        <v>910</v>
      </c>
    </row>
    <row r="8" spans="1:15" customHeight="1" ht="15">
      <c r="A8" s="3" t="s">
        <v>91</v>
      </c>
      <c r="B8" s="3" t="s">
        <v>384</v>
      </c>
      <c r="C8" s="3" t="s">
        <v>422</v>
      </c>
      <c r="D8" s="3" t="s">
        <v>476</v>
      </c>
      <c r="E8" s="3" t="s">
        <v>487</v>
      </c>
      <c r="F8" s="2" t="s">
        <v>119</v>
      </c>
      <c r="G8" s="2"/>
      <c r="H8" s="1" t="s">
        <v>95</v>
      </c>
      <c r="I8" s="1">
        <v>10809.0</v>
      </c>
      <c r="J8" s="1">
        <v>26.0</v>
      </c>
      <c r="K8" s="1">
        <v>860.0</v>
      </c>
      <c r="L8" s="1" t="s">
        <v>513</v>
      </c>
      <c r="M8" s="1" t="s">
        <v>715</v>
      </c>
      <c r="N8" s="1" t="s">
        <v>911</v>
      </c>
    </row>
    <row r="9" spans="1:15" customHeight="1" ht="15">
      <c r="A9" s="3" t="s">
        <v>91</v>
      </c>
      <c r="B9" s="3" t="s">
        <v>384</v>
      </c>
      <c r="C9" s="3" t="s">
        <v>409</v>
      </c>
      <c r="D9" s="3" t="s">
        <v>479</v>
      </c>
      <c r="E9" s="3"/>
      <c r="F9" s="2" t="s">
        <v>119</v>
      </c>
      <c r="G9" s="2"/>
      <c r="H9" s="1" t="s">
        <v>95</v>
      </c>
      <c r="I9" s="1">
        <v>10809.0</v>
      </c>
      <c r="J9" s="1">
        <v>26.0</v>
      </c>
      <c r="K9" s="1">
        <v>860.0</v>
      </c>
      <c r="L9" s="1" t="s">
        <v>513</v>
      </c>
      <c r="M9" s="1" t="s">
        <v>715</v>
      </c>
      <c r="N9" s="1" t="s">
        <v>911</v>
      </c>
    </row>
    <row r="10" spans="1:15" customHeight="1" ht="15">
      <c r="A10" s="3" t="s">
        <v>91</v>
      </c>
      <c r="B10" s="3" t="s">
        <v>384</v>
      </c>
      <c r="C10" s="3" t="s">
        <v>422</v>
      </c>
      <c r="D10" s="3" t="s">
        <v>476</v>
      </c>
      <c r="E10" s="3" t="s">
        <v>487</v>
      </c>
      <c r="F10" s="2" t="s">
        <v>120</v>
      </c>
      <c r="G10" s="2"/>
      <c r="H10" s="1" t="s">
        <v>95</v>
      </c>
      <c r="I10" s="1">
        <v>138492.0</v>
      </c>
      <c r="J10" s="1">
        <v>24.0</v>
      </c>
      <c r="K10" s="1">
        <v>3187.0</v>
      </c>
      <c r="L10" s="1" t="s">
        <v>514</v>
      </c>
      <c r="M10" s="1" t="s">
        <v>716</v>
      </c>
      <c r="N10" s="1" t="s">
        <v>912</v>
      </c>
    </row>
    <row r="11" spans="1:15" customHeight="1" ht="15">
      <c r="A11" s="3" t="s">
        <v>91</v>
      </c>
      <c r="B11" s="3" t="s">
        <v>384</v>
      </c>
      <c r="C11" s="3" t="s">
        <v>422</v>
      </c>
      <c r="D11" s="3" t="s">
        <v>477</v>
      </c>
      <c r="E11" s="3"/>
      <c r="F11" s="2" t="s">
        <v>120</v>
      </c>
      <c r="G11" s="2"/>
      <c r="H11" s="1" t="s">
        <v>95</v>
      </c>
      <c r="I11" s="1">
        <v>138492.0</v>
      </c>
      <c r="J11" s="1">
        <v>24.0</v>
      </c>
      <c r="K11" s="1">
        <v>3187.0</v>
      </c>
      <c r="L11" s="1" t="s">
        <v>514</v>
      </c>
      <c r="M11" s="1" t="s">
        <v>716</v>
      </c>
      <c r="N11" s="1" t="s">
        <v>912</v>
      </c>
    </row>
    <row r="12" spans="1:15" customHeight="1" ht="15">
      <c r="A12" s="3" t="s">
        <v>91</v>
      </c>
      <c r="B12" s="3" t="s">
        <v>384</v>
      </c>
      <c r="C12" s="3" t="s">
        <v>409</v>
      </c>
      <c r="D12" s="3" t="s">
        <v>479</v>
      </c>
      <c r="E12" s="3"/>
      <c r="F12" s="2" t="s">
        <v>120</v>
      </c>
      <c r="G12" s="2"/>
      <c r="H12" s="1" t="s">
        <v>95</v>
      </c>
      <c r="I12" s="1">
        <v>138492.0</v>
      </c>
      <c r="J12" s="1">
        <v>24.0</v>
      </c>
      <c r="K12" s="1">
        <v>3187.0</v>
      </c>
      <c r="L12" s="1" t="s">
        <v>514</v>
      </c>
      <c r="M12" s="1" t="s">
        <v>716</v>
      </c>
      <c r="N12" s="1" t="s">
        <v>912</v>
      </c>
    </row>
    <row r="13" spans="1:15" customHeight="1" ht="15">
      <c r="A13" s="3" t="s">
        <v>91</v>
      </c>
      <c r="B13" s="3" t="s">
        <v>384</v>
      </c>
      <c r="C13" s="3" t="s">
        <v>422</v>
      </c>
      <c r="D13" s="3" t="s">
        <v>476</v>
      </c>
      <c r="E13" s="3" t="s">
        <v>487</v>
      </c>
      <c r="F13" s="2" t="s">
        <v>121</v>
      </c>
      <c r="G13" s="2"/>
      <c r="H13" s="1" t="s">
        <v>95</v>
      </c>
      <c r="I13" s="1">
        <v>20833.0</v>
      </c>
      <c r="J13" s="1">
        <v>20.0</v>
      </c>
      <c r="K13" s="1">
        <v>1701.0</v>
      </c>
      <c r="L13" s="1" t="s">
        <v>515</v>
      </c>
      <c r="M13" s="1" t="s">
        <v>717</v>
      </c>
      <c r="N13" s="1" t="s">
        <v>913</v>
      </c>
    </row>
    <row r="14" spans="1:15" customHeight="1" ht="15">
      <c r="A14" s="3" t="s">
        <v>91</v>
      </c>
      <c r="B14" s="3" t="s">
        <v>384</v>
      </c>
      <c r="C14" s="3" t="s">
        <v>409</v>
      </c>
      <c r="D14" s="3" t="s">
        <v>479</v>
      </c>
      <c r="E14" s="3"/>
      <c r="F14" s="2" t="s">
        <v>121</v>
      </c>
      <c r="G14" s="2"/>
      <c r="H14" s="1" t="s">
        <v>95</v>
      </c>
      <c r="I14" s="1">
        <v>20833.0</v>
      </c>
      <c r="J14" s="1">
        <v>20.0</v>
      </c>
      <c r="K14" s="1">
        <v>1701.0</v>
      </c>
      <c r="L14" s="1" t="s">
        <v>515</v>
      </c>
      <c r="M14" s="1" t="s">
        <v>717</v>
      </c>
      <c r="N14" s="1" t="s">
        <v>913</v>
      </c>
    </row>
    <row r="15" spans="1:15" customHeight="1" ht="15">
      <c r="A15" s="3" t="s">
        <v>91</v>
      </c>
      <c r="B15" s="3" t="s">
        <v>384</v>
      </c>
      <c r="C15" s="3" t="s">
        <v>422</v>
      </c>
      <c r="D15" s="3" t="s">
        <v>476</v>
      </c>
      <c r="E15" s="3" t="s">
        <v>487</v>
      </c>
      <c r="F15" s="2" t="s">
        <v>122</v>
      </c>
      <c r="G15" s="2"/>
      <c r="H15" s="1" t="s">
        <v>95</v>
      </c>
      <c r="I15" s="1">
        <v>21171.0</v>
      </c>
      <c r="J15" s="1">
        <v>22.0</v>
      </c>
      <c r="K15" s="1">
        <v>1042.0</v>
      </c>
      <c r="L15" s="1" t="s">
        <v>516</v>
      </c>
      <c r="M15" s="1" t="s">
        <v>718</v>
      </c>
      <c r="N15" s="1" t="s">
        <v>913</v>
      </c>
    </row>
    <row r="16" spans="1:15" customHeight="1" ht="15">
      <c r="A16" s="3" t="s">
        <v>91</v>
      </c>
      <c r="B16" s="3" t="s">
        <v>384</v>
      </c>
      <c r="C16" s="3" t="s">
        <v>409</v>
      </c>
      <c r="D16" s="3" t="s">
        <v>479</v>
      </c>
      <c r="E16" s="3"/>
      <c r="F16" s="2" t="s">
        <v>122</v>
      </c>
      <c r="G16" s="2"/>
      <c r="H16" s="1" t="s">
        <v>95</v>
      </c>
      <c r="I16" s="1">
        <v>21171.0</v>
      </c>
      <c r="J16" s="1">
        <v>22.0</v>
      </c>
      <c r="K16" s="1">
        <v>1042.0</v>
      </c>
      <c r="L16" s="1" t="s">
        <v>516</v>
      </c>
      <c r="M16" s="1" t="s">
        <v>718</v>
      </c>
      <c r="N16" s="1" t="s">
        <v>913</v>
      </c>
    </row>
    <row r="17" spans="1:15" customHeight="1" ht="15">
      <c r="A17" s="3" t="s">
        <v>91</v>
      </c>
      <c r="B17" s="3" t="s">
        <v>384</v>
      </c>
      <c r="C17" s="3" t="s">
        <v>422</v>
      </c>
      <c r="D17" s="3" t="s">
        <v>476</v>
      </c>
      <c r="E17" s="3" t="s">
        <v>487</v>
      </c>
      <c r="F17" s="2" t="s">
        <v>123</v>
      </c>
      <c r="G17" s="2"/>
      <c r="H17" s="1" t="s">
        <v>95</v>
      </c>
      <c r="I17" s="1">
        <v>18011.0</v>
      </c>
      <c r="J17" s="1">
        <v>22.0</v>
      </c>
      <c r="K17" s="1">
        <v>1337.0</v>
      </c>
      <c r="L17" s="1" t="s">
        <v>517</v>
      </c>
      <c r="M17" s="1" t="s">
        <v>719</v>
      </c>
      <c r="N17" s="1" t="s">
        <v>913</v>
      </c>
    </row>
    <row r="18" spans="1:15" customHeight="1" ht="15">
      <c r="A18" s="3" t="s">
        <v>91</v>
      </c>
      <c r="B18" s="3" t="s">
        <v>384</v>
      </c>
      <c r="C18" s="3" t="s">
        <v>409</v>
      </c>
      <c r="D18" s="3" t="s">
        <v>479</v>
      </c>
      <c r="E18" s="3"/>
      <c r="F18" s="2" t="s">
        <v>123</v>
      </c>
      <c r="G18" s="2"/>
      <c r="H18" s="1" t="s">
        <v>95</v>
      </c>
      <c r="I18" s="1">
        <v>18011.0</v>
      </c>
      <c r="J18" s="1">
        <v>22.0</v>
      </c>
      <c r="K18" s="1">
        <v>1337.0</v>
      </c>
      <c r="L18" s="1" t="s">
        <v>517</v>
      </c>
      <c r="M18" s="1" t="s">
        <v>719</v>
      </c>
      <c r="N18" s="1" t="s">
        <v>913</v>
      </c>
    </row>
    <row r="19" spans="1:15" customHeight="1" ht="15">
      <c r="A19" s="3" t="s">
        <v>91</v>
      </c>
      <c r="B19" s="3" t="s">
        <v>384</v>
      </c>
      <c r="C19" s="3" t="s">
        <v>422</v>
      </c>
      <c r="D19" s="3" t="s">
        <v>476</v>
      </c>
      <c r="E19" s="3" t="s">
        <v>487</v>
      </c>
      <c r="F19" s="2" t="s">
        <v>124</v>
      </c>
      <c r="G19" s="2"/>
      <c r="H19" s="1" t="s">
        <v>95</v>
      </c>
      <c r="I19" s="1">
        <v>18436.0</v>
      </c>
      <c r="J19" s="1">
        <v>21.0</v>
      </c>
      <c r="K19" s="1">
        <v>1167.0</v>
      </c>
      <c r="L19" s="1" t="s">
        <v>518</v>
      </c>
      <c r="M19" s="1" t="s">
        <v>720</v>
      </c>
      <c r="N19" s="1" t="s">
        <v>914</v>
      </c>
    </row>
    <row r="20" spans="1:15" customHeight="1" ht="15">
      <c r="A20" s="3" t="s">
        <v>91</v>
      </c>
      <c r="B20" s="3" t="s">
        <v>384</v>
      </c>
      <c r="C20" s="3" t="s">
        <v>409</v>
      </c>
      <c r="D20" s="3" t="s">
        <v>479</v>
      </c>
      <c r="E20" s="3"/>
      <c r="F20" s="2" t="s">
        <v>124</v>
      </c>
      <c r="G20" s="2"/>
      <c r="H20" s="1" t="s">
        <v>95</v>
      </c>
      <c r="I20" s="1">
        <v>18436.0</v>
      </c>
      <c r="J20" s="1">
        <v>21.0</v>
      </c>
      <c r="K20" s="1">
        <v>1167.0</v>
      </c>
      <c r="L20" s="1" t="s">
        <v>518</v>
      </c>
      <c r="M20" s="1" t="s">
        <v>720</v>
      </c>
      <c r="N20" s="1" t="s">
        <v>914</v>
      </c>
    </row>
    <row r="21" spans="1:15" customHeight="1" ht="15">
      <c r="A21" s="3" t="s">
        <v>91</v>
      </c>
      <c r="B21" s="3" t="s">
        <v>384</v>
      </c>
      <c r="C21" s="3" t="s">
        <v>422</v>
      </c>
      <c r="D21" s="3" t="s">
        <v>476</v>
      </c>
      <c r="E21" s="3" t="s">
        <v>487</v>
      </c>
      <c r="F21" s="2" t="s">
        <v>125</v>
      </c>
      <c r="G21" s="2"/>
      <c r="H21" s="1" t="s">
        <v>95</v>
      </c>
      <c r="I21" s="1">
        <v>168484.0</v>
      </c>
      <c r="J21" s="1">
        <v>9.0</v>
      </c>
      <c r="K21" s="1">
        <v>338.0</v>
      </c>
      <c r="L21" s="1" t="s">
        <v>519</v>
      </c>
      <c r="M21" s="1" t="s">
        <v>721</v>
      </c>
      <c r="N21" s="1" t="s">
        <v>469</v>
      </c>
    </row>
    <row r="22" spans="1:15" customHeight="1" ht="15">
      <c r="A22" s="3" t="s">
        <v>91</v>
      </c>
      <c r="B22" s="3" t="s">
        <v>384</v>
      </c>
      <c r="C22" s="3" t="s">
        <v>409</v>
      </c>
      <c r="D22" s="3" t="s">
        <v>479</v>
      </c>
      <c r="E22" s="3"/>
      <c r="F22" s="2" t="s">
        <v>125</v>
      </c>
      <c r="G22" s="2"/>
      <c r="H22" s="1" t="s">
        <v>95</v>
      </c>
      <c r="I22" s="1">
        <v>168484.0</v>
      </c>
      <c r="J22" s="1">
        <v>9.0</v>
      </c>
      <c r="K22" s="1">
        <v>338.0</v>
      </c>
      <c r="L22" s="1" t="s">
        <v>519</v>
      </c>
      <c r="M22" s="1" t="s">
        <v>721</v>
      </c>
      <c r="N22" s="1" t="s">
        <v>469</v>
      </c>
    </row>
    <row r="23" spans="1:15" customHeight="1" ht="15">
      <c r="A23" s="3" t="s">
        <v>91</v>
      </c>
      <c r="B23" s="3" t="s">
        <v>384</v>
      </c>
      <c r="C23" s="3" t="s">
        <v>422</v>
      </c>
      <c r="D23" s="3" t="s">
        <v>476</v>
      </c>
      <c r="E23" s="3" t="s">
        <v>487</v>
      </c>
      <c r="F23" s="2" t="s">
        <v>126</v>
      </c>
      <c r="G23" s="2"/>
      <c r="H23" s="1" t="s">
        <v>95</v>
      </c>
      <c r="I23" s="1">
        <v>163678.0</v>
      </c>
      <c r="J23" s="1">
        <v>20.0</v>
      </c>
      <c r="K23" s="1">
        <v>1858.0</v>
      </c>
      <c r="L23" s="1" t="s">
        <v>520</v>
      </c>
      <c r="M23" s="1" t="s">
        <v>722</v>
      </c>
      <c r="N23" s="1" t="s">
        <v>910</v>
      </c>
    </row>
    <row r="24" spans="1:15" customHeight="1" ht="15">
      <c r="A24" s="3" t="s">
        <v>91</v>
      </c>
      <c r="B24" s="3" t="s">
        <v>384</v>
      </c>
      <c r="C24" s="3" t="s">
        <v>422</v>
      </c>
      <c r="D24" s="3" t="s">
        <v>477</v>
      </c>
      <c r="E24" s="3"/>
      <c r="F24" s="2" t="s">
        <v>126</v>
      </c>
      <c r="G24" s="2"/>
      <c r="H24" s="1" t="s">
        <v>95</v>
      </c>
      <c r="I24" s="1">
        <v>163678.0</v>
      </c>
      <c r="J24" s="1">
        <v>20.0</v>
      </c>
      <c r="K24" s="1">
        <v>1858.0</v>
      </c>
      <c r="L24" s="1" t="s">
        <v>520</v>
      </c>
      <c r="M24" s="1" t="s">
        <v>722</v>
      </c>
      <c r="N24" s="1" t="s">
        <v>910</v>
      </c>
    </row>
    <row r="25" spans="1:15" customHeight="1" ht="15">
      <c r="A25" s="3" t="s">
        <v>91</v>
      </c>
      <c r="B25" s="3" t="s">
        <v>384</v>
      </c>
      <c r="C25" s="3" t="s">
        <v>409</v>
      </c>
      <c r="D25" s="3" t="s">
        <v>479</v>
      </c>
      <c r="E25" s="3"/>
      <c r="F25" s="2" t="s">
        <v>126</v>
      </c>
      <c r="G25" s="2"/>
      <c r="H25" s="1" t="s">
        <v>95</v>
      </c>
      <c r="I25" s="1">
        <v>163678.0</v>
      </c>
      <c r="J25" s="1">
        <v>20.0</v>
      </c>
      <c r="K25" s="1">
        <v>1858.0</v>
      </c>
      <c r="L25" s="1" t="s">
        <v>520</v>
      </c>
      <c r="M25" s="1" t="s">
        <v>722</v>
      </c>
      <c r="N25" s="1" t="s">
        <v>910</v>
      </c>
    </row>
    <row r="26" spans="1:15" customHeight="1" ht="15">
      <c r="A26" s="3" t="s">
        <v>91</v>
      </c>
      <c r="B26" s="3" t="s">
        <v>384</v>
      </c>
      <c r="C26" s="3" t="s">
        <v>422</v>
      </c>
      <c r="D26" s="3" t="s">
        <v>476</v>
      </c>
      <c r="E26" s="3" t="s">
        <v>487</v>
      </c>
      <c r="F26" s="2" t="s">
        <v>127</v>
      </c>
      <c r="G26" s="2"/>
      <c r="H26" s="1" t="s">
        <v>95</v>
      </c>
      <c r="I26" s="1">
        <v>21065.0</v>
      </c>
      <c r="J26" s="1">
        <v>19.0</v>
      </c>
      <c r="K26" s="1">
        <v>653.0</v>
      </c>
      <c r="L26" s="1" t="s">
        <v>521</v>
      </c>
      <c r="M26" s="1" t="s">
        <v>723</v>
      </c>
      <c r="N26" s="1" t="s">
        <v>915</v>
      </c>
    </row>
    <row r="27" spans="1:15" customHeight="1" ht="15">
      <c r="A27" s="3" t="s">
        <v>91</v>
      </c>
      <c r="B27" s="3" t="s">
        <v>384</v>
      </c>
      <c r="C27" s="3" t="s">
        <v>409</v>
      </c>
      <c r="D27" s="3" t="s">
        <v>479</v>
      </c>
      <c r="E27" s="3"/>
      <c r="F27" s="2" t="s">
        <v>127</v>
      </c>
      <c r="G27" s="2"/>
      <c r="H27" s="1" t="s">
        <v>95</v>
      </c>
      <c r="I27" s="1">
        <v>21065.0</v>
      </c>
      <c r="J27" s="1">
        <v>19.0</v>
      </c>
      <c r="K27" s="1">
        <v>653.0</v>
      </c>
      <c r="L27" s="1" t="s">
        <v>521</v>
      </c>
      <c r="M27" s="1" t="s">
        <v>723</v>
      </c>
      <c r="N27" s="1" t="s">
        <v>915</v>
      </c>
    </row>
    <row r="28" spans="1:15" customHeight="1" ht="15">
      <c r="A28" s="3" t="s">
        <v>91</v>
      </c>
      <c r="B28" s="3" t="s">
        <v>384</v>
      </c>
      <c r="C28" s="3" t="s">
        <v>422</v>
      </c>
      <c r="D28" s="3" t="s">
        <v>476</v>
      </c>
      <c r="E28" s="3" t="s">
        <v>487</v>
      </c>
      <c r="F28" s="2" t="s">
        <v>128</v>
      </c>
      <c r="G28" s="2"/>
      <c r="H28" s="1" t="s">
        <v>95</v>
      </c>
      <c r="I28" s="1">
        <v>15024.0</v>
      </c>
      <c r="J28" s="1">
        <v>18.0</v>
      </c>
      <c r="K28" s="1">
        <v>712.0</v>
      </c>
      <c r="L28" s="1" t="s">
        <v>522</v>
      </c>
      <c r="M28" s="1" t="s">
        <v>724</v>
      </c>
      <c r="N28" s="1" t="s">
        <v>916</v>
      </c>
    </row>
    <row r="29" spans="1:15" customHeight="1" ht="15">
      <c r="A29" s="3" t="s">
        <v>91</v>
      </c>
      <c r="B29" s="3" t="s">
        <v>384</v>
      </c>
      <c r="C29" s="3" t="s">
        <v>409</v>
      </c>
      <c r="D29" s="3" t="s">
        <v>479</v>
      </c>
      <c r="E29" s="3"/>
      <c r="F29" s="2" t="s">
        <v>128</v>
      </c>
      <c r="G29" s="2"/>
      <c r="H29" s="1" t="s">
        <v>95</v>
      </c>
      <c r="I29" s="1">
        <v>15024.0</v>
      </c>
      <c r="J29" s="1">
        <v>18.0</v>
      </c>
      <c r="K29" s="1">
        <v>712.0</v>
      </c>
      <c r="L29" s="1" t="s">
        <v>522</v>
      </c>
      <c r="M29" s="1" t="s">
        <v>724</v>
      </c>
      <c r="N29" s="1" t="s">
        <v>916</v>
      </c>
    </row>
    <row r="30" spans="1:15" customHeight="1" ht="15">
      <c r="A30" s="3" t="s">
        <v>91</v>
      </c>
      <c r="B30" s="3" t="s">
        <v>384</v>
      </c>
      <c r="C30" s="3" t="s">
        <v>422</v>
      </c>
      <c r="D30" s="3" t="s">
        <v>476</v>
      </c>
      <c r="E30" s="3" t="s">
        <v>487</v>
      </c>
      <c r="F30" s="2" t="s">
        <v>129</v>
      </c>
      <c r="G30" s="2"/>
      <c r="H30" s="1" t="s">
        <v>95</v>
      </c>
      <c r="I30" s="1">
        <v>19495.0</v>
      </c>
      <c r="J30" s="1">
        <v>21.0</v>
      </c>
      <c r="K30" s="1">
        <v>1399.0</v>
      </c>
      <c r="L30" s="1" t="s">
        <v>523</v>
      </c>
      <c r="M30" s="1" t="s">
        <v>725</v>
      </c>
      <c r="N30" s="1" t="s">
        <v>910</v>
      </c>
    </row>
    <row r="31" spans="1:15" customHeight="1" ht="15">
      <c r="A31" s="3" t="s">
        <v>91</v>
      </c>
      <c r="B31" s="3" t="s">
        <v>384</v>
      </c>
      <c r="C31" s="3" t="s">
        <v>409</v>
      </c>
      <c r="D31" s="3" t="s">
        <v>479</v>
      </c>
      <c r="E31" s="3"/>
      <c r="F31" s="2" t="s">
        <v>129</v>
      </c>
      <c r="G31" s="2"/>
      <c r="H31" s="1" t="s">
        <v>95</v>
      </c>
      <c r="I31" s="1">
        <v>19495.0</v>
      </c>
      <c r="J31" s="1">
        <v>21.0</v>
      </c>
      <c r="K31" s="1">
        <v>1399.0</v>
      </c>
      <c r="L31" s="1" t="s">
        <v>523</v>
      </c>
      <c r="M31" s="1" t="s">
        <v>725</v>
      </c>
      <c r="N31" s="1" t="s">
        <v>910</v>
      </c>
    </row>
    <row r="32" spans="1:15" customHeight="1" ht="15">
      <c r="A32" s="3" t="s">
        <v>91</v>
      </c>
      <c r="B32" s="3" t="s">
        <v>384</v>
      </c>
      <c r="C32" s="3" t="s">
        <v>422</v>
      </c>
      <c r="D32" s="3" t="s">
        <v>476</v>
      </c>
      <c r="E32" s="3" t="s">
        <v>487</v>
      </c>
      <c r="F32" s="2" t="s">
        <v>130</v>
      </c>
      <c r="G32" s="2"/>
      <c r="H32" s="1" t="s">
        <v>95</v>
      </c>
      <c r="I32" s="1">
        <v>203210.0</v>
      </c>
      <c r="J32" s="1">
        <v>16.0</v>
      </c>
      <c r="K32" s="1">
        <v>493.0</v>
      </c>
      <c r="L32" s="1" t="s">
        <v>524</v>
      </c>
      <c r="M32" s="1" t="s">
        <v>726</v>
      </c>
      <c r="N32" s="1" t="s">
        <v>915</v>
      </c>
    </row>
    <row r="33" spans="1:15" customHeight="1" ht="15">
      <c r="A33" s="3" t="s">
        <v>91</v>
      </c>
      <c r="B33" s="3" t="s">
        <v>384</v>
      </c>
      <c r="C33" s="3" t="s">
        <v>409</v>
      </c>
      <c r="D33" s="3" t="s">
        <v>479</v>
      </c>
      <c r="E33" s="3"/>
      <c r="F33" s="2" t="s">
        <v>130</v>
      </c>
      <c r="G33" s="2"/>
      <c r="H33" s="1" t="s">
        <v>95</v>
      </c>
      <c r="I33" s="1">
        <v>203210.0</v>
      </c>
      <c r="J33" s="1">
        <v>16.0</v>
      </c>
      <c r="K33" s="1">
        <v>493.0</v>
      </c>
      <c r="L33" s="1" t="s">
        <v>524</v>
      </c>
      <c r="M33" s="1" t="s">
        <v>726</v>
      </c>
      <c r="N33" s="1" t="s">
        <v>915</v>
      </c>
    </row>
    <row r="34" spans="1:15" customHeight="1" ht="15">
      <c r="A34" s="3" t="s">
        <v>91</v>
      </c>
      <c r="B34" s="3" t="s">
        <v>384</v>
      </c>
      <c r="C34" s="3" t="s">
        <v>422</v>
      </c>
      <c r="D34" s="3" t="s">
        <v>476</v>
      </c>
      <c r="E34" s="3" t="s">
        <v>487</v>
      </c>
      <c r="F34" s="2" t="s">
        <v>131</v>
      </c>
      <c r="G34" s="2"/>
      <c r="H34" s="1" t="s">
        <v>95</v>
      </c>
      <c r="I34" s="1">
        <v>96440.0</v>
      </c>
      <c r="J34" s="1">
        <v>15.0</v>
      </c>
      <c r="K34" s="1">
        <v>852.0</v>
      </c>
      <c r="L34" s="1" t="s">
        <v>525</v>
      </c>
      <c r="M34" s="1" t="s">
        <v>727</v>
      </c>
      <c r="N34" s="1" t="s">
        <v>916</v>
      </c>
    </row>
    <row r="35" spans="1:15" customHeight="1" ht="15">
      <c r="A35" s="3" t="s">
        <v>91</v>
      </c>
      <c r="B35" s="3" t="s">
        <v>384</v>
      </c>
      <c r="C35" s="3" t="s">
        <v>409</v>
      </c>
      <c r="D35" s="3" t="s">
        <v>479</v>
      </c>
      <c r="E35" s="3"/>
      <c r="F35" s="2" t="s">
        <v>131</v>
      </c>
      <c r="G35" s="2"/>
      <c r="H35" s="1" t="s">
        <v>95</v>
      </c>
      <c r="I35" s="1">
        <v>96440.0</v>
      </c>
      <c r="J35" s="1">
        <v>15.0</v>
      </c>
      <c r="K35" s="1">
        <v>852.0</v>
      </c>
      <c r="L35" s="1" t="s">
        <v>525</v>
      </c>
      <c r="M35" s="1" t="s">
        <v>727</v>
      </c>
      <c r="N35" s="1" t="s">
        <v>916</v>
      </c>
    </row>
    <row r="36" spans="1:15" customHeight="1" ht="15">
      <c r="A36" s="3" t="s">
        <v>91</v>
      </c>
      <c r="B36" s="3" t="s">
        <v>384</v>
      </c>
      <c r="C36" s="3" t="s">
        <v>422</v>
      </c>
      <c r="D36" s="3" t="s">
        <v>476</v>
      </c>
      <c r="E36" s="3" t="s">
        <v>487</v>
      </c>
      <c r="F36" s="2" t="s">
        <v>132</v>
      </c>
      <c r="G36" s="2"/>
      <c r="H36" s="1" t="s">
        <v>95</v>
      </c>
      <c r="I36" s="1">
        <v>13527.0</v>
      </c>
      <c r="J36" s="1">
        <v>13.0</v>
      </c>
      <c r="K36" s="1">
        <v>661.0</v>
      </c>
      <c r="L36" s="1" t="s">
        <v>526</v>
      </c>
      <c r="M36" s="1" t="s">
        <v>728</v>
      </c>
      <c r="N36" s="1" t="s">
        <v>917</v>
      </c>
    </row>
    <row r="37" spans="1:15" customHeight="1" ht="15">
      <c r="A37" s="3" t="s">
        <v>91</v>
      </c>
      <c r="B37" s="3" t="s">
        <v>384</v>
      </c>
      <c r="C37" s="3" t="s">
        <v>409</v>
      </c>
      <c r="D37" s="3" t="s">
        <v>479</v>
      </c>
      <c r="E37" s="3"/>
      <c r="F37" s="2" t="s">
        <v>132</v>
      </c>
      <c r="G37" s="2"/>
      <c r="H37" s="1" t="s">
        <v>95</v>
      </c>
      <c r="I37" s="1">
        <v>13527.0</v>
      </c>
      <c r="J37" s="1">
        <v>13.0</v>
      </c>
      <c r="K37" s="1">
        <v>661.0</v>
      </c>
      <c r="L37" s="1" t="s">
        <v>526</v>
      </c>
      <c r="M37" s="1" t="s">
        <v>728</v>
      </c>
      <c r="N37" s="1" t="s">
        <v>917</v>
      </c>
    </row>
    <row r="38" spans="1:15" customHeight="1" ht="15">
      <c r="A38" s="3" t="s">
        <v>91</v>
      </c>
      <c r="B38" s="3" t="s">
        <v>384</v>
      </c>
      <c r="C38" s="3" t="s">
        <v>422</v>
      </c>
      <c r="D38" s="3" t="s">
        <v>476</v>
      </c>
      <c r="E38" s="3" t="s">
        <v>487</v>
      </c>
      <c r="F38" s="2" t="s">
        <v>133</v>
      </c>
      <c r="G38" s="2"/>
      <c r="H38" s="1" t="s">
        <v>95</v>
      </c>
      <c r="I38" s="1">
        <v>13083.0</v>
      </c>
      <c r="J38" s="1">
        <v>18.0</v>
      </c>
      <c r="K38" s="1">
        <v>1046.0</v>
      </c>
      <c r="L38" s="1" t="s">
        <v>527</v>
      </c>
      <c r="M38" s="1" t="s">
        <v>729</v>
      </c>
      <c r="N38" s="1" t="s">
        <v>467</v>
      </c>
    </row>
    <row r="39" spans="1:15" customHeight="1" ht="15">
      <c r="A39" s="3" t="s">
        <v>91</v>
      </c>
      <c r="B39" s="3" t="s">
        <v>384</v>
      </c>
      <c r="C39" s="3" t="s">
        <v>409</v>
      </c>
      <c r="D39" s="3" t="s">
        <v>479</v>
      </c>
      <c r="E39" s="3"/>
      <c r="F39" s="2" t="s">
        <v>133</v>
      </c>
      <c r="G39" s="2"/>
      <c r="H39" s="1" t="s">
        <v>95</v>
      </c>
      <c r="I39" s="1">
        <v>13083.0</v>
      </c>
      <c r="J39" s="1">
        <v>18.0</v>
      </c>
      <c r="K39" s="1">
        <v>1046.0</v>
      </c>
      <c r="L39" s="1" t="s">
        <v>527</v>
      </c>
      <c r="M39" s="1" t="s">
        <v>729</v>
      </c>
      <c r="N39" s="1" t="s">
        <v>467</v>
      </c>
    </row>
    <row r="40" spans="1:15" customHeight="1" ht="15">
      <c r="A40" s="3" t="s">
        <v>91</v>
      </c>
      <c r="B40" s="3" t="s">
        <v>384</v>
      </c>
      <c r="C40" s="3" t="s">
        <v>422</v>
      </c>
      <c r="D40" s="3" t="s">
        <v>476</v>
      </c>
      <c r="E40" s="3" t="s">
        <v>487</v>
      </c>
      <c r="F40" s="2" t="s">
        <v>134</v>
      </c>
      <c r="G40" s="2"/>
      <c r="H40" s="1" t="s">
        <v>95</v>
      </c>
      <c r="I40" s="1">
        <v>17791.0</v>
      </c>
      <c r="J40" s="1">
        <v>17.0</v>
      </c>
      <c r="K40" s="1">
        <v>858.0</v>
      </c>
      <c r="L40" s="1" t="s">
        <v>528</v>
      </c>
      <c r="M40" s="1" t="s">
        <v>730</v>
      </c>
      <c r="N40" s="1" t="s">
        <v>915</v>
      </c>
    </row>
    <row r="41" spans="1:15" customHeight="1" ht="15">
      <c r="A41" s="3" t="s">
        <v>91</v>
      </c>
      <c r="B41" s="3" t="s">
        <v>384</v>
      </c>
      <c r="C41" s="3" t="s">
        <v>409</v>
      </c>
      <c r="D41" s="3" t="s">
        <v>479</v>
      </c>
      <c r="E41" s="3"/>
      <c r="F41" s="2" t="s">
        <v>134</v>
      </c>
      <c r="G41" s="2"/>
      <c r="H41" s="1" t="s">
        <v>95</v>
      </c>
      <c r="I41" s="1">
        <v>17791.0</v>
      </c>
      <c r="J41" s="1">
        <v>17.0</v>
      </c>
      <c r="K41" s="1">
        <v>858.0</v>
      </c>
      <c r="L41" s="1" t="s">
        <v>528</v>
      </c>
      <c r="M41" s="1" t="s">
        <v>730</v>
      </c>
      <c r="N41" s="1" t="s">
        <v>915</v>
      </c>
    </row>
    <row r="42" spans="1:15" customHeight="1" ht="15">
      <c r="A42" s="3" t="s">
        <v>91</v>
      </c>
      <c r="B42" s="3" t="s">
        <v>384</v>
      </c>
      <c r="C42" s="3" t="s">
        <v>422</v>
      </c>
      <c r="D42" s="3" t="s">
        <v>476</v>
      </c>
      <c r="E42" s="3" t="s">
        <v>487</v>
      </c>
      <c r="F42" s="2" t="s">
        <v>135</v>
      </c>
      <c r="G42" s="2"/>
      <c r="H42" s="1" t="s">
        <v>95</v>
      </c>
      <c r="I42" s="1">
        <v>178134.0</v>
      </c>
      <c r="J42" s="1">
        <v>12.0</v>
      </c>
      <c r="K42" s="1">
        <v>565.0</v>
      </c>
      <c r="L42" s="1" t="s">
        <v>529</v>
      </c>
      <c r="M42" s="1" t="s">
        <v>731</v>
      </c>
      <c r="N42" s="1" t="s">
        <v>404</v>
      </c>
    </row>
    <row r="43" spans="1:15" customHeight="1" ht="15">
      <c r="A43" s="3" t="s">
        <v>91</v>
      </c>
      <c r="B43" s="3" t="s">
        <v>384</v>
      </c>
      <c r="C43" s="3" t="s">
        <v>409</v>
      </c>
      <c r="D43" s="3" t="s">
        <v>479</v>
      </c>
      <c r="E43" s="3"/>
      <c r="F43" s="2" t="s">
        <v>135</v>
      </c>
      <c r="G43" s="2"/>
      <c r="H43" s="1" t="s">
        <v>95</v>
      </c>
      <c r="I43" s="1">
        <v>178134.0</v>
      </c>
      <c r="J43" s="1">
        <v>12.0</v>
      </c>
      <c r="K43" s="1">
        <v>565.0</v>
      </c>
      <c r="L43" s="1" t="s">
        <v>529</v>
      </c>
      <c r="M43" s="1" t="s">
        <v>731</v>
      </c>
      <c r="N43" s="1" t="s">
        <v>404</v>
      </c>
    </row>
    <row r="44" spans="1:15" customHeight="1" ht="15">
      <c r="A44" s="3" t="s">
        <v>91</v>
      </c>
      <c r="B44" s="3" t="s">
        <v>384</v>
      </c>
      <c r="C44" s="3" t="s">
        <v>422</v>
      </c>
      <c r="D44" s="3" t="s">
        <v>476</v>
      </c>
      <c r="E44" s="3" t="s">
        <v>487</v>
      </c>
      <c r="F44" s="2" t="s">
        <v>136</v>
      </c>
      <c r="G44" s="2"/>
      <c r="H44" s="1" t="s">
        <v>95</v>
      </c>
      <c r="I44" s="1">
        <v>21418.0</v>
      </c>
      <c r="J44" s="1">
        <v>13.0</v>
      </c>
      <c r="K44" s="1">
        <v>373.0</v>
      </c>
      <c r="L44" s="1" t="s">
        <v>530</v>
      </c>
      <c r="M44" s="1" t="s">
        <v>732</v>
      </c>
      <c r="N44" s="1" t="s">
        <v>918</v>
      </c>
    </row>
    <row r="45" spans="1:15" customHeight="1" ht="15">
      <c r="A45" s="3" t="s">
        <v>91</v>
      </c>
      <c r="B45" s="3" t="s">
        <v>384</v>
      </c>
      <c r="C45" s="3" t="s">
        <v>409</v>
      </c>
      <c r="D45" s="3" t="s">
        <v>479</v>
      </c>
      <c r="E45" s="3"/>
      <c r="F45" s="2" t="s">
        <v>136</v>
      </c>
      <c r="G45" s="2"/>
      <c r="H45" s="1" t="s">
        <v>95</v>
      </c>
      <c r="I45" s="1">
        <v>21418.0</v>
      </c>
      <c r="J45" s="1">
        <v>13.0</v>
      </c>
      <c r="K45" s="1">
        <v>373.0</v>
      </c>
      <c r="L45" s="1" t="s">
        <v>530</v>
      </c>
      <c r="M45" s="1" t="s">
        <v>732</v>
      </c>
      <c r="N45" s="1" t="s">
        <v>918</v>
      </c>
    </row>
    <row r="46" spans="1:15" customHeight="1" ht="15">
      <c r="A46" s="3" t="s">
        <v>91</v>
      </c>
      <c r="B46" s="3" t="s">
        <v>384</v>
      </c>
      <c r="C46" s="3" t="s">
        <v>422</v>
      </c>
      <c r="D46" s="3" t="s">
        <v>476</v>
      </c>
      <c r="E46" s="3" t="s">
        <v>487</v>
      </c>
      <c r="F46" s="2" t="s">
        <v>137</v>
      </c>
      <c r="G46" s="2"/>
      <c r="H46" s="1" t="s">
        <v>95</v>
      </c>
      <c r="I46" s="1">
        <v>117720.0</v>
      </c>
      <c r="J46" s="1">
        <v>14.0</v>
      </c>
      <c r="K46" s="1">
        <v>512.0</v>
      </c>
      <c r="L46" s="1" t="s">
        <v>531</v>
      </c>
      <c r="M46" s="1" t="s">
        <v>733</v>
      </c>
      <c r="N46" s="1" t="s">
        <v>919</v>
      </c>
    </row>
    <row r="47" spans="1:15" customHeight="1" ht="15">
      <c r="A47" s="3" t="s">
        <v>91</v>
      </c>
      <c r="B47" s="3" t="s">
        <v>384</v>
      </c>
      <c r="C47" s="3" t="s">
        <v>409</v>
      </c>
      <c r="D47" s="3" t="s">
        <v>479</v>
      </c>
      <c r="E47" s="3"/>
      <c r="F47" s="2" t="s">
        <v>137</v>
      </c>
      <c r="G47" s="2"/>
      <c r="H47" s="1" t="s">
        <v>95</v>
      </c>
      <c r="I47" s="1">
        <v>117720.0</v>
      </c>
      <c r="J47" s="1">
        <v>14.0</v>
      </c>
      <c r="K47" s="1">
        <v>512.0</v>
      </c>
      <c r="L47" s="1" t="s">
        <v>531</v>
      </c>
      <c r="M47" s="1" t="s">
        <v>733</v>
      </c>
      <c r="N47" s="1" t="s">
        <v>919</v>
      </c>
    </row>
    <row r="48" spans="1:15" customHeight="1" ht="15">
      <c r="A48" s="3" t="s">
        <v>91</v>
      </c>
      <c r="B48" s="3" t="s">
        <v>384</v>
      </c>
      <c r="C48" s="3" t="s">
        <v>422</v>
      </c>
      <c r="D48" s="3" t="s">
        <v>476</v>
      </c>
      <c r="E48" s="3" t="s">
        <v>487</v>
      </c>
      <c r="F48" s="2" t="s">
        <v>138</v>
      </c>
      <c r="G48" s="2"/>
      <c r="H48" s="1" t="s">
        <v>95</v>
      </c>
      <c r="I48" s="1">
        <v>17532.0</v>
      </c>
      <c r="J48" s="1">
        <v>14.0</v>
      </c>
      <c r="K48" s="1">
        <v>623.0</v>
      </c>
      <c r="L48" s="1" t="s">
        <v>532</v>
      </c>
      <c r="M48" s="1" t="s">
        <v>734</v>
      </c>
      <c r="N48" s="1" t="s">
        <v>404</v>
      </c>
    </row>
    <row r="49" spans="1:15" customHeight="1" ht="15">
      <c r="A49" s="3" t="s">
        <v>91</v>
      </c>
      <c r="B49" s="3" t="s">
        <v>384</v>
      </c>
      <c r="C49" s="3" t="s">
        <v>409</v>
      </c>
      <c r="D49" s="3" t="s">
        <v>479</v>
      </c>
      <c r="E49" s="3"/>
      <c r="F49" s="2" t="s">
        <v>138</v>
      </c>
      <c r="G49" s="2"/>
      <c r="H49" s="1" t="s">
        <v>95</v>
      </c>
      <c r="I49" s="1">
        <v>17532.0</v>
      </c>
      <c r="J49" s="1">
        <v>14.0</v>
      </c>
      <c r="K49" s="1">
        <v>623.0</v>
      </c>
      <c r="L49" s="1" t="s">
        <v>532</v>
      </c>
      <c r="M49" s="1" t="s">
        <v>734</v>
      </c>
      <c r="N49" s="1" t="s">
        <v>404</v>
      </c>
    </row>
    <row r="50" spans="1:15" customHeight="1" ht="15">
      <c r="A50" s="3" t="s">
        <v>91</v>
      </c>
      <c r="B50" s="3" t="s">
        <v>384</v>
      </c>
      <c r="C50" s="3" t="s">
        <v>422</v>
      </c>
      <c r="D50" s="3" t="s">
        <v>476</v>
      </c>
      <c r="E50" s="3" t="s">
        <v>487</v>
      </c>
      <c r="F50" s="2" t="s">
        <v>139</v>
      </c>
      <c r="G50" s="2"/>
      <c r="H50" s="1" t="s">
        <v>95</v>
      </c>
      <c r="I50" s="1">
        <v>13136.0</v>
      </c>
      <c r="J50" s="1">
        <v>14.0</v>
      </c>
      <c r="K50" s="1">
        <v>431.0</v>
      </c>
      <c r="L50" s="1" t="s">
        <v>533</v>
      </c>
      <c r="M50" s="1" t="s">
        <v>735</v>
      </c>
      <c r="N50" s="1" t="s">
        <v>404</v>
      </c>
    </row>
    <row r="51" spans="1:15" customHeight="1" ht="15">
      <c r="A51" s="3" t="s">
        <v>91</v>
      </c>
      <c r="B51" s="3" t="s">
        <v>384</v>
      </c>
      <c r="C51" s="3" t="s">
        <v>409</v>
      </c>
      <c r="D51" s="3" t="s">
        <v>479</v>
      </c>
      <c r="E51" s="3"/>
      <c r="F51" s="2" t="s">
        <v>139</v>
      </c>
      <c r="G51" s="2"/>
      <c r="H51" s="1" t="s">
        <v>95</v>
      </c>
      <c r="I51" s="1">
        <v>13136.0</v>
      </c>
      <c r="J51" s="1">
        <v>14.0</v>
      </c>
      <c r="K51" s="1">
        <v>431.0</v>
      </c>
      <c r="L51" s="1" t="s">
        <v>533</v>
      </c>
      <c r="M51" s="1" t="s">
        <v>735</v>
      </c>
      <c r="N51" s="1" t="s">
        <v>404</v>
      </c>
    </row>
    <row r="52" spans="1:15" customHeight="1" ht="15">
      <c r="A52" s="3" t="s">
        <v>91</v>
      </c>
      <c r="B52" s="3" t="s">
        <v>384</v>
      </c>
      <c r="C52" s="3" t="s">
        <v>422</v>
      </c>
      <c r="D52" s="3" t="s">
        <v>476</v>
      </c>
      <c r="E52" s="3" t="s">
        <v>487</v>
      </c>
      <c r="F52" s="2" t="s">
        <v>140</v>
      </c>
      <c r="G52" s="2"/>
      <c r="H52" s="1" t="s">
        <v>95</v>
      </c>
      <c r="I52" s="1">
        <v>16314.0</v>
      </c>
      <c r="J52" s="1">
        <v>10.0</v>
      </c>
      <c r="K52" s="1">
        <v>426.0</v>
      </c>
      <c r="L52" s="1" t="s">
        <v>534</v>
      </c>
      <c r="M52" s="1" t="s">
        <v>736</v>
      </c>
      <c r="N52" s="1" t="s">
        <v>918</v>
      </c>
    </row>
    <row r="53" spans="1:15" customHeight="1" ht="15">
      <c r="A53" s="3" t="s">
        <v>91</v>
      </c>
      <c r="B53" s="3" t="s">
        <v>384</v>
      </c>
      <c r="C53" s="3" t="s">
        <v>409</v>
      </c>
      <c r="D53" s="3" t="s">
        <v>479</v>
      </c>
      <c r="E53" s="3"/>
      <c r="F53" s="2" t="s">
        <v>140</v>
      </c>
      <c r="G53" s="2"/>
      <c r="H53" s="1" t="s">
        <v>95</v>
      </c>
      <c r="I53" s="1">
        <v>16314.0</v>
      </c>
      <c r="J53" s="1">
        <v>10.0</v>
      </c>
      <c r="K53" s="1">
        <v>426.0</v>
      </c>
      <c r="L53" s="1" t="s">
        <v>534</v>
      </c>
      <c r="M53" s="1" t="s">
        <v>736</v>
      </c>
      <c r="N53" s="1" t="s">
        <v>918</v>
      </c>
    </row>
    <row r="54" spans="1:15" customHeight="1" ht="15">
      <c r="A54" s="3" t="s">
        <v>91</v>
      </c>
      <c r="B54" s="3" t="s">
        <v>384</v>
      </c>
      <c r="C54" s="3" t="s">
        <v>422</v>
      </c>
      <c r="D54" s="3" t="s">
        <v>476</v>
      </c>
      <c r="E54" s="3" t="s">
        <v>487</v>
      </c>
      <c r="F54" s="2" t="s">
        <v>141</v>
      </c>
      <c r="G54" s="2"/>
      <c r="H54" s="1" t="s">
        <v>95</v>
      </c>
      <c r="I54" s="1">
        <v>24510.0</v>
      </c>
      <c r="J54" s="1">
        <v>11.0</v>
      </c>
      <c r="K54" s="1">
        <v>727.0</v>
      </c>
      <c r="L54" s="1" t="s">
        <v>535</v>
      </c>
      <c r="M54" s="1" t="s">
        <v>737</v>
      </c>
      <c r="N54" s="1" t="s">
        <v>404</v>
      </c>
    </row>
    <row r="55" spans="1:15" customHeight="1" ht="15">
      <c r="A55" s="3" t="s">
        <v>91</v>
      </c>
      <c r="B55" s="3" t="s">
        <v>384</v>
      </c>
      <c r="C55" s="3" t="s">
        <v>409</v>
      </c>
      <c r="D55" s="3" t="s">
        <v>479</v>
      </c>
      <c r="E55" s="3"/>
      <c r="F55" s="2" t="s">
        <v>141</v>
      </c>
      <c r="G55" s="2"/>
      <c r="H55" s="1" t="s">
        <v>95</v>
      </c>
      <c r="I55" s="1">
        <v>24510.0</v>
      </c>
      <c r="J55" s="1">
        <v>11.0</v>
      </c>
      <c r="K55" s="1">
        <v>727.0</v>
      </c>
      <c r="L55" s="1" t="s">
        <v>535</v>
      </c>
      <c r="M55" s="1" t="s">
        <v>737</v>
      </c>
      <c r="N55" s="1" t="s">
        <v>404</v>
      </c>
    </row>
    <row r="56" spans="1:15" customHeight="1" ht="15">
      <c r="A56" s="3" t="s">
        <v>91</v>
      </c>
      <c r="B56" s="3" t="s">
        <v>384</v>
      </c>
      <c r="C56" s="3" t="s">
        <v>422</v>
      </c>
      <c r="D56" s="3" t="s">
        <v>476</v>
      </c>
      <c r="E56" s="3" t="s">
        <v>487</v>
      </c>
      <c r="F56" s="2" t="s">
        <v>142</v>
      </c>
      <c r="G56" s="2"/>
      <c r="H56" s="1" t="s">
        <v>95</v>
      </c>
      <c r="I56" s="1">
        <v>76569.0</v>
      </c>
      <c r="J56" s="1">
        <v>13.0</v>
      </c>
      <c r="K56" s="1">
        <v>529.0</v>
      </c>
      <c r="L56" s="1" t="s">
        <v>536</v>
      </c>
      <c r="M56" s="1" t="s">
        <v>738</v>
      </c>
      <c r="N56" s="1" t="s">
        <v>919</v>
      </c>
    </row>
    <row r="57" spans="1:15" customHeight="1" ht="15">
      <c r="A57" s="3" t="s">
        <v>91</v>
      </c>
      <c r="B57" s="3" t="s">
        <v>384</v>
      </c>
      <c r="C57" s="3" t="s">
        <v>409</v>
      </c>
      <c r="D57" s="3" t="s">
        <v>479</v>
      </c>
      <c r="E57" s="3"/>
      <c r="F57" s="2" t="s">
        <v>142</v>
      </c>
      <c r="G57" s="2"/>
      <c r="H57" s="1" t="s">
        <v>95</v>
      </c>
      <c r="I57" s="1">
        <v>76569.0</v>
      </c>
      <c r="J57" s="1">
        <v>13.0</v>
      </c>
      <c r="K57" s="1">
        <v>529.0</v>
      </c>
      <c r="L57" s="1" t="s">
        <v>536</v>
      </c>
      <c r="M57" s="1" t="s">
        <v>738</v>
      </c>
      <c r="N57" s="1" t="s">
        <v>919</v>
      </c>
    </row>
    <row r="58" spans="1:15" customHeight="1" ht="15">
      <c r="A58" s="3" t="s">
        <v>91</v>
      </c>
      <c r="B58" s="3" t="s">
        <v>384</v>
      </c>
      <c r="C58" s="3" t="s">
        <v>422</v>
      </c>
      <c r="D58" s="3" t="s">
        <v>476</v>
      </c>
      <c r="E58" s="3" t="s">
        <v>487</v>
      </c>
      <c r="F58" s="2" t="s">
        <v>143</v>
      </c>
      <c r="G58" s="2"/>
      <c r="H58" s="1" t="s">
        <v>95</v>
      </c>
      <c r="I58" s="1">
        <v>14400.0</v>
      </c>
      <c r="J58" s="1">
        <v>10.0</v>
      </c>
      <c r="K58" s="1">
        <v>460.0</v>
      </c>
      <c r="L58" s="1" t="s">
        <v>537</v>
      </c>
      <c r="M58" s="1" t="s">
        <v>739</v>
      </c>
      <c r="N58" s="1" t="s">
        <v>918</v>
      </c>
    </row>
    <row r="59" spans="1:15" customHeight="1" ht="15">
      <c r="A59" s="3" t="s">
        <v>91</v>
      </c>
      <c r="B59" s="3" t="s">
        <v>384</v>
      </c>
      <c r="C59" s="3" t="s">
        <v>409</v>
      </c>
      <c r="D59" s="3" t="s">
        <v>479</v>
      </c>
      <c r="E59" s="3"/>
      <c r="F59" s="2" t="s">
        <v>143</v>
      </c>
      <c r="G59" s="2"/>
      <c r="H59" s="1" t="s">
        <v>95</v>
      </c>
      <c r="I59" s="1">
        <v>14400.0</v>
      </c>
      <c r="J59" s="1">
        <v>10.0</v>
      </c>
      <c r="K59" s="1">
        <v>460.0</v>
      </c>
      <c r="L59" s="1" t="s">
        <v>537</v>
      </c>
      <c r="M59" s="1" t="s">
        <v>739</v>
      </c>
      <c r="N59" s="1" t="s">
        <v>918</v>
      </c>
    </row>
    <row r="60" spans="1:15" customHeight="1" ht="15">
      <c r="A60" s="3" t="s">
        <v>91</v>
      </c>
      <c r="B60" s="3" t="s">
        <v>384</v>
      </c>
      <c r="C60" s="3" t="s">
        <v>422</v>
      </c>
      <c r="D60" s="3" t="s">
        <v>476</v>
      </c>
      <c r="E60" s="3" t="s">
        <v>487</v>
      </c>
      <c r="F60" s="2" t="s">
        <v>144</v>
      </c>
      <c r="G60" s="2"/>
      <c r="H60" s="1" t="s">
        <v>95</v>
      </c>
      <c r="I60" s="1">
        <v>22609.0</v>
      </c>
      <c r="J60" s="1">
        <v>8.0</v>
      </c>
      <c r="K60" s="1">
        <v>116.0</v>
      </c>
      <c r="L60" s="1" t="s">
        <v>538</v>
      </c>
      <c r="M60" s="1" t="s">
        <v>740</v>
      </c>
      <c r="N60" s="1" t="s">
        <v>482</v>
      </c>
    </row>
    <row r="61" spans="1:15" customHeight="1" ht="15">
      <c r="A61" s="3" t="s">
        <v>91</v>
      </c>
      <c r="B61" s="3" t="s">
        <v>384</v>
      </c>
      <c r="C61" s="3" t="s">
        <v>409</v>
      </c>
      <c r="D61" s="3" t="s">
        <v>479</v>
      </c>
      <c r="E61" s="3"/>
      <c r="F61" s="2" t="s">
        <v>144</v>
      </c>
      <c r="G61" s="2"/>
      <c r="H61" s="1" t="s">
        <v>95</v>
      </c>
      <c r="I61" s="1">
        <v>22609.0</v>
      </c>
      <c r="J61" s="1">
        <v>8.0</v>
      </c>
      <c r="K61" s="1">
        <v>116.0</v>
      </c>
      <c r="L61" s="1" t="s">
        <v>538</v>
      </c>
      <c r="M61" s="1" t="s">
        <v>740</v>
      </c>
      <c r="N61" s="1" t="s">
        <v>482</v>
      </c>
    </row>
    <row r="62" spans="1:15" customHeight="1" ht="15">
      <c r="A62" s="3" t="s">
        <v>91</v>
      </c>
      <c r="B62" s="3" t="s">
        <v>384</v>
      </c>
      <c r="C62" s="3" t="s">
        <v>422</v>
      </c>
      <c r="D62" s="3" t="s">
        <v>476</v>
      </c>
      <c r="E62" s="3" t="s">
        <v>487</v>
      </c>
      <c r="F62" s="2" t="s">
        <v>145</v>
      </c>
      <c r="G62" s="2"/>
      <c r="H62" s="1" t="s">
        <v>95</v>
      </c>
      <c r="I62" s="1">
        <v>13745.0</v>
      </c>
      <c r="J62" s="1">
        <v>10.0</v>
      </c>
      <c r="K62" s="1">
        <v>467.0</v>
      </c>
      <c r="L62" s="1" t="s">
        <v>539</v>
      </c>
      <c r="M62" s="1" t="s">
        <v>741</v>
      </c>
      <c r="N62" s="1" t="s">
        <v>918</v>
      </c>
    </row>
    <row r="63" spans="1:15" customHeight="1" ht="15">
      <c r="A63" s="3" t="s">
        <v>91</v>
      </c>
      <c r="B63" s="3" t="s">
        <v>384</v>
      </c>
      <c r="C63" s="3" t="s">
        <v>409</v>
      </c>
      <c r="D63" s="3" t="s">
        <v>479</v>
      </c>
      <c r="E63" s="3"/>
      <c r="F63" s="2" t="s">
        <v>145</v>
      </c>
      <c r="G63" s="2"/>
      <c r="H63" s="1" t="s">
        <v>95</v>
      </c>
      <c r="I63" s="1">
        <v>13745.0</v>
      </c>
      <c r="J63" s="1">
        <v>10.0</v>
      </c>
      <c r="K63" s="1">
        <v>467.0</v>
      </c>
      <c r="L63" s="1" t="s">
        <v>539</v>
      </c>
      <c r="M63" s="1" t="s">
        <v>741</v>
      </c>
      <c r="N63" s="1" t="s">
        <v>918</v>
      </c>
    </row>
    <row r="64" spans="1:15" customHeight="1" ht="15">
      <c r="A64" s="3" t="s">
        <v>91</v>
      </c>
      <c r="B64" s="3" t="s">
        <v>384</v>
      </c>
      <c r="C64" s="3" t="s">
        <v>422</v>
      </c>
      <c r="D64" s="3" t="s">
        <v>476</v>
      </c>
      <c r="E64" s="3" t="s">
        <v>487</v>
      </c>
      <c r="F64" s="2" t="s">
        <v>146</v>
      </c>
      <c r="G64" s="2"/>
      <c r="H64" s="1" t="s">
        <v>95</v>
      </c>
      <c r="I64" s="1">
        <v>348313.0</v>
      </c>
      <c r="J64" s="1">
        <v>15.0</v>
      </c>
      <c r="K64" s="1">
        <v>332.0</v>
      </c>
      <c r="L64" s="1" t="s">
        <v>540</v>
      </c>
      <c r="M64" s="1" t="s">
        <v>742</v>
      </c>
      <c r="N64" s="1" t="s">
        <v>919</v>
      </c>
    </row>
    <row r="65" spans="1:15" customHeight="1" ht="15">
      <c r="A65" s="3" t="s">
        <v>91</v>
      </c>
      <c r="B65" s="3" t="s">
        <v>384</v>
      </c>
      <c r="C65" s="3" t="s">
        <v>409</v>
      </c>
      <c r="D65" s="3" t="s">
        <v>479</v>
      </c>
      <c r="E65" s="3"/>
      <c r="F65" s="2" t="s">
        <v>146</v>
      </c>
      <c r="G65" s="2"/>
      <c r="H65" s="1" t="s">
        <v>95</v>
      </c>
      <c r="I65" s="1">
        <v>348313.0</v>
      </c>
      <c r="J65" s="1">
        <v>15.0</v>
      </c>
      <c r="K65" s="1">
        <v>332.0</v>
      </c>
      <c r="L65" s="1" t="s">
        <v>540</v>
      </c>
      <c r="M65" s="1" t="s">
        <v>742</v>
      </c>
      <c r="N65" s="1" t="s">
        <v>919</v>
      </c>
    </row>
    <row r="66" spans="1:15" customHeight="1" ht="15">
      <c r="A66" s="3" t="s">
        <v>91</v>
      </c>
      <c r="B66" s="3" t="s">
        <v>384</v>
      </c>
      <c r="C66" s="3" t="s">
        <v>422</v>
      </c>
      <c r="D66" s="3" t="s">
        <v>476</v>
      </c>
      <c r="E66" s="3" t="s">
        <v>487</v>
      </c>
      <c r="F66" s="2" t="s">
        <v>147</v>
      </c>
      <c r="G66" s="2"/>
      <c r="H66" s="1" t="s">
        <v>95</v>
      </c>
      <c r="I66" s="1">
        <v>14296.0</v>
      </c>
      <c r="J66" s="1">
        <v>11.0</v>
      </c>
      <c r="K66" s="1">
        <v>433.0</v>
      </c>
      <c r="L66" s="1" t="s">
        <v>541</v>
      </c>
      <c r="M66" s="1" t="s">
        <v>743</v>
      </c>
      <c r="N66" s="1" t="s">
        <v>404</v>
      </c>
    </row>
    <row r="67" spans="1:15" customHeight="1" ht="15">
      <c r="A67" s="3" t="s">
        <v>91</v>
      </c>
      <c r="B67" s="3" t="s">
        <v>384</v>
      </c>
      <c r="C67" s="3" t="s">
        <v>409</v>
      </c>
      <c r="D67" s="3" t="s">
        <v>479</v>
      </c>
      <c r="E67" s="3"/>
      <c r="F67" s="2" t="s">
        <v>147</v>
      </c>
      <c r="G67" s="2"/>
      <c r="H67" s="1" t="s">
        <v>95</v>
      </c>
      <c r="I67" s="1">
        <v>14296.0</v>
      </c>
      <c r="J67" s="1">
        <v>11.0</v>
      </c>
      <c r="K67" s="1">
        <v>433.0</v>
      </c>
      <c r="L67" s="1" t="s">
        <v>541</v>
      </c>
      <c r="M67" s="1" t="s">
        <v>743</v>
      </c>
      <c r="N67" s="1" t="s">
        <v>404</v>
      </c>
    </row>
    <row r="68" spans="1:15" customHeight="1" ht="15">
      <c r="A68" s="3" t="s">
        <v>91</v>
      </c>
      <c r="B68" s="3" t="s">
        <v>384</v>
      </c>
      <c r="C68" s="3" t="s">
        <v>422</v>
      </c>
      <c r="D68" s="3" t="s">
        <v>476</v>
      </c>
      <c r="E68" s="3" t="s">
        <v>487</v>
      </c>
      <c r="F68" s="2" t="s">
        <v>148</v>
      </c>
      <c r="G68" s="2"/>
      <c r="H68" s="1" t="s">
        <v>95</v>
      </c>
      <c r="I68" s="1">
        <v>25281.0</v>
      </c>
      <c r="J68" s="1">
        <v>12.0</v>
      </c>
      <c r="K68" s="1">
        <v>1334.0</v>
      </c>
      <c r="L68" s="1" t="s">
        <v>542</v>
      </c>
      <c r="M68" s="1" t="s">
        <v>744</v>
      </c>
      <c r="N68" s="1" t="s">
        <v>919</v>
      </c>
    </row>
    <row r="69" spans="1:15" customHeight="1" ht="15">
      <c r="A69" s="3" t="s">
        <v>91</v>
      </c>
      <c r="B69" s="3" t="s">
        <v>384</v>
      </c>
      <c r="C69" s="3" t="s">
        <v>409</v>
      </c>
      <c r="D69" s="3" t="s">
        <v>479</v>
      </c>
      <c r="E69" s="3"/>
      <c r="F69" s="2" t="s">
        <v>148</v>
      </c>
      <c r="G69" s="2"/>
      <c r="H69" s="1" t="s">
        <v>95</v>
      </c>
      <c r="I69" s="1">
        <v>25281.0</v>
      </c>
      <c r="J69" s="1">
        <v>12.0</v>
      </c>
      <c r="K69" s="1">
        <v>1334.0</v>
      </c>
      <c r="L69" s="1" t="s">
        <v>542</v>
      </c>
      <c r="M69" s="1" t="s">
        <v>744</v>
      </c>
      <c r="N69" s="1" t="s">
        <v>919</v>
      </c>
    </row>
    <row r="70" spans="1:15" customHeight="1" ht="15">
      <c r="A70" s="3" t="s">
        <v>91</v>
      </c>
      <c r="B70" s="3" t="s">
        <v>384</v>
      </c>
      <c r="C70" s="3" t="s">
        <v>422</v>
      </c>
      <c r="D70" s="3" t="s">
        <v>476</v>
      </c>
      <c r="E70" s="3" t="s">
        <v>487</v>
      </c>
      <c r="F70" s="2" t="s">
        <v>149</v>
      </c>
      <c r="G70" s="2"/>
      <c r="H70" s="1" t="s">
        <v>95</v>
      </c>
      <c r="I70" s="1">
        <v>183477.0</v>
      </c>
      <c r="J70" s="1">
        <v>10.0</v>
      </c>
      <c r="K70" s="1">
        <v>330.0</v>
      </c>
      <c r="L70" s="1" t="s">
        <v>543</v>
      </c>
      <c r="M70" s="1" t="s">
        <v>745</v>
      </c>
      <c r="N70" s="1" t="s">
        <v>469</v>
      </c>
    </row>
    <row r="71" spans="1:15" customHeight="1" ht="15">
      <c r="A71" s="3" t="s">
        <v>91</v>
      </c>
      <c r="B71" s="3" t="s">
        <v>384</v>
      </c>
      <c r="C71" s="3" t="s">
        <v>409</v>
      </c>
      <c r="D71" s="3" t="s">
        <v>479</v>
      </c>
      <c r="E71" s="3"/>
      <c r="F71" s="2" t="s">
        <v>149</v>
      </c>
      <c r="G71" s="2"/>
      <c r="H71" s="1" t="s">
        <v>95</v>
      </c>
      <c r="I71" s="1">
        <v>183477.0</v>
      </c>
      <c r="J71" s="1">
        <v>10.0</v>
      </c>
      <c r="K71" s="1">
        <v>330.0</v>
      </c>
      <c r="L71" s="1" t="s">
        <v>543</v>
      </c>
      <c r="M71" s="1" t="s">
        <v>745</v>
      </c>
      <c r="N71" s="1" t="s">
        <v>469</v>
      </c>
    </row>
    <row r="72" spans="1:15" customHeight="1" ht="15">
      <c r="A72" s="3" t="s">
        <v>91</v>
      </c>
      <c r="B72" s="3" t="s">
        <v>384</v>
      </c>
      <c r="C72" s="3" t="s">
        <v>422</v>
      </c>
      <c r="D72" s="3" t="s">
        <v>476</v>
      </c>
      <c r="E72" s="3" t="s">
        <v>487</v>
      </c>
      <c r="F72" s="2" t="s">
        <v>150</v>
      </c>
      <c r="G72" s="2"/>
      <c r="H72" s="1" t="s">
        <v>95</v>
      </c>
      <c r="I72" s="1">
        <v>15456.0</v>
      </c>
      <c r="J72" s="1">
        <v>14.0</v>
      </c>
      <c r="K72" s="1">
        <v>378.0</v>
      </c>
      <c r="L72" s="1" t="s">
        <v>544</v>
      </c>
      <c r="M72" s="1" t="s">
        <v>746</v>
      </c>
      <c r="N72" s="1" t="s">
        <v>382</v>
      </c>
    </row>
    <row r="73" spans="1:15" customHeight="1" ht="15">
      <c r="A73" s="3" t="s">
        <v>91</v>
      </c>
      <c r="B73" s="3" t="s">
        <v>384</v>
      </c>
      <c r="C73" s="3" t="s">
        <v>409</v>
      </c>
      <c r="D73" s="3" t="s">
        <v>479</v>
      </c>
      <c r="E73" s="3"/>
      <c r="F73" s="2" t="s">
        <v>150</v>
      </c>
      <c r="G73" s="2"/>
      <c r="H73" s="1" t="s">
        <v>95</v>
      </c>
      <c r="I73" s="1">
        <v>15456.0</v>
      </c>
      <c r="J73" s="1">
        <v>14.0</v>
      </c>
      <c r="K73" s="1">
        <v>378.0</v>
      </c>
      <c r="L73" s="1" t="s">
        <v>544</v>
      </c>
      <c r="M73" s="1" t="s">
        <v>746</v>
      </c>
      <c r="N73" s="1" t="s">
        <v>382</v>
      </c>
    </row>
    <row r="74" spans="1:15" customHeight="1" ht="15">
      <c r="A74" s="3" t="s">
        <v>91</v>
      </c>
      <c r="B74" s="3" t="s">
        <v>384</v>
      </c>
      <c r="C74" s="3" t="s">
        <v>422</v>
      </c>
      <c r="D74" s="3" t="s">
        <v>476</v>
      </c>
      <c r="E74" s="3" t="s">
        <v>487</v>
      </c>
      <c r="F74" s="2" t="s">
        <v>151</v>
      </c>
      <c r="G74" s="2"/>
      <c r="H74" s="1" t="s">
        <v>95</v>
      </c>
      <c r="I74" s="1">
        <v>12945.0</v>
      </c>
      <c r="J74" s="1">
        <v>13.0</v>
      </c>
      <c r="K74" s="1">
        <v>353.0</v>
      </c>
      <c r="L74" s="1" t="s">
        <v>545</v>
      </c>
      <c r="M74" s="1" t="s">
        <v>747</v>
      </c>
      <c r="N74" s="1" t="s">
        <v>404</v>
      </c>
    </row>
    <row r="75" spans="1:15" customHeight="1" ht="15">
      <c r="A75" s="3" t="s">
        <v>91</v>
      </c>
      <c r="B75" s="3" t="s">
        <v>384</v>
      </c>
      <c r="C75" s="3" t="s">
        <v>409</v>
      </c>
      <c r="D75" s="3" t="s">
        <v>479</v>
      </c>
      <c r="E75" s="3"/>
      <c r="F75" s="2" t="s">
        <v>151</v>
      </c>
      <c r="G75" s="2"/>
      <c r="H75" s="1" t="s">
        <v>95</v>
      </c>
      <c r="I75" s="1">
        <v>12945.0</v>
      </c>
      <c r="J75" s="1">
        <v>13.0</v>
      </c>
      <c r="K75" s="1">
        <v>353.0</v>
      </c>
      <c r="L75" s="1" t="s">
        <v>545</v>
      </c>
      <c r="M75" s="1" t="s">
        <v>747</v>
      </c>
      <c r="N75" s="1" t="s">
        <v>404</v>
      </c>
    </row>
    <row r="76" spans="1:15" customHeight="1" ht="15">
      <c r="A76" s="3" t="s">
        <v>91</v>
      </c>
      <c r="B76" s="3" t="s">
        <v>384</v>
      </c>
      <c r="C76" s="3" t="s">
        <v>422</v>
      </c>
      <c r="D76" s="3" t="s">
        <v>476</v>
      </c>
      <c r="E76" s="3" t="s">
        <v>487</v>
      </c>
      <c r="F76" s="2" t="s">
        <v>152</v>
      </c>
      <c r="G76" s="2"/>
      <c r="H76" s="1" t="s">
        <v>95</v>
      </c>
      <c r="I76" s="1">
        <v>14982.0</v>
      </c>
      <c r="J76" s="1">
        <v>6.0</v>
      </c>
      <c r="K76" s="1">
        <v>2.0</v>
      </c>
      <c r="L76" s="1" t="s">
        <v>546</v>
      </c>
      <c r="M76" s="1" t="s">
        <v>748</v>
      </c>
      <c r="N76" s="1" t="s">
        <v>920</v>
      </c>
    </row>
    <row r="77" spans="1:15" customHeight="1" ht="15">
      <c r="A77" s="3" t="s">
        <v>91</v>
      </c>
      <c r="B77" s="3" t="s">
        <v>384</v>
      </c>
      <c r="C77" s="3" t="s">
        <v>409</v>
      </c>
      <c r="D77" s="3" t="s">
        <v>479</v>
      </c>
      <c r="E77" s="3"/>
      <c r="F77" s="2" t="s">
        <v>152</v>
      </c>
      <c r="G77" s="2"/>
      <c r="H77" s="1" t="s">
        <v>95</v>
      </c>
      <c r="I77" s="1">
        <v>14982.0</v>
      </c>
      <c r="J77" s="1">
        <v>6.0</v>
      </c>
      <c r="K77" s="1">
        <v>2.0</v>
      </c>
      <c r="L77" s="1" t="s">
        <v>546</v>
      </c>
      <c r="M77" s="1" t="s">
        <v>748</v>
      </c>
      <c r="N77" s="1" t="s">
        <v>920</v>
      </c>
    </row>
    <row r="78" spans="1:15" customHeight="1" ht="15">
      <c r="A78" s="3" t="s">
        <v>91</v>
      </c>
      <c r="B78" s="3" t="s">
        <v>384</v>
      </c>
      <c r="C78" s="3" t="s">
        <v>422</v>
      </c>
      <c r="D78" s="3" t="s">
        <v>476</v>
      </c>
      <c r="E78" s="3" t="s">
        <v>487</v>
      </c>
      <c r="F78" s="2" t="s">
        <v>153</v>
      </c>
      <c r="G78" s="2"/>
      <c r="H78" s="1" t="s">
        <v>95</v>
      </c>
      <c r="I78" s="1">
        <v>15508.0</v>
      </c>
      <c r="J78" s="1">
        <v>11.0</v>
      </c>
      <c r="K78" s="1">
        <v>411.0</v>
      </c>
      <c r="L78" s="1" t="s">
        <v>547</v>
      </c>
      <c r="M78" s="1" t="s">
        <v>749</v>
      </c>
      <c r="N78" s="1" t="s">
        <v>917</v>
      </c>
    </row>
    <row r="79" spans="1:15" customHeight="1" ht="15">
      <c r="A79" s="3" t="s">
        <v>91</v>
      </c>
      <c r="B79" s="3" t="s">
        <v>384</v>
      </c>
      <c r="C79" s="3" t="s">
        <v>409</v>
      </c>
      <c r="D79" s="3" t="s">
        <v>479</v>
      </c>
      <c r="E79" s="3"/>
      <c r="F79" s="2" t="s">
        <v>153</v>
      </c>
      <c r="G79" s="2"/>
      <c r="H79" s="1" t="s">
        <v>95</v>
      </c>
      <c r="I79" s="1">
        <v>15508.0</v>
      </c>
      <c r="J79" s="1">
        <v>11.0</v>
      </c>
      <c r="K79" s="1">
        <v>411.0</v>
      </c>
      <c r="L79" s="1" t="s">
        <v>547</v>
      </c>
      <c r="M79" s="1" t="s">
        <v>749</v>
      </c>
      <c r="N79" s="1" t="s">
        <v>917</v>
      </c>
    </row>
    <row r="80" spans="1:15" customHeight="1" ht="15">
      <c r="A80" s="3" t="s">
        <v>91</v>
      </c>
      <c r="B80" s="3" t="s">
        <v>384</v>
      </c>
      <c r="C80" s="3" t="s">
        <v>422</v>
      </c>
      <c r="D80" s="3" t="s">
        <v>476</v>
      </c>
      <c r="E80" s="3" t="s">
        <v>487</v>
      </c>
      <c r="F80" s="2" t="s">
        <v>154</v>
      </c>
      <c r="G80" s="2"/>
      <c r="H80" s="1" t="s">
        <v>95</v>
      </c>
      <c r="I80" s="1">
        <v>27075.0</v>
      </c>
      <c r="J80" s="1">
        <v>14.0</v>
      </c>
      <c r="K80" s="1">
        <v>753.0</v>
      </c>
      <c r="L80" s="1" t="s">
        <v>548</v>
      </c>
      <c r="M80" s="1" t="s">
        <v>750</v>
      </c>
      <c r="N80" s="1" t="s">
        <v>915</v>
      </c>
    </row>
    <row r="81" spans="1:15" customHeight="1" ht="15">
      <c r="A81" s="3" t="s">
        <v>91</v>
      </c>
      <c r="B81" s="3" t="s">
        <v>384</v>
      </c>
      <c r="C81" s="3" t="s">
        <v>409</v>
      </c>
      <c r="D81" s="3" t="s">
        <v>479</v>
      </c>
      <c r="E81" s="3"/>
      <c r="F81" s="2" t="s">
        <v>154</v>
      </c>
      <c r="G81" s="2"/>
      <c r="H81" s="1" t="s">
        <v>95</v>
      </c>
      <c r="I81" s="1">
        <v>27075.0</v>
      </c>
      <c r="J81" s="1">
        <v>14.0</v>
      </c>
      <c r="K81" s="1">
        <v>753.0</v>
      </c>
      <c r="L81" s="1" t="s">
        <v>548</v>
      </c>
      <c r="M81" s="1" t="s">
        <v>750</v>
      </c>
      <c r="N81" s="1" t="s">
        <v>915</v>
      </c>
    </row>
    <row r="82" spans="1:15" customHeight="1" ht="15">
      <c r="A82" s="3" t="s">
        <v>91</v>
      </c>
      <c r="B82" s="3" t="s">
        <v>384</v>
      </c>
      <c r="C82" s="3" t="s">
        <v>422</v>
      </c>
      <c r="D82" s="3" t="s">
        <v>476</v>
      </c>
      <c r="E82" s="3" t="s">
        <v>487</v>
      </c>
      <c r="F82" s="2" t="s">
        <v>155</v>
      </c>
      <c r="G82" s="2"/>
      <c r="H82" s="1" t="s">
        <v>95</v>
      </c>
      <c r="I82" s="1">
        <v>10463.0</v>
      </c>
      <c r="J82" s="1">
        <v>11.0</v>
      </c>
      <c r="K82" s="1">
        <v>339.0</v>
      </c>
      <c r="L82" s="1" t="s">
        <v>549</v>
      </c>
      <c r="M82" s="1" t="s">
        <v>751</v>
      </c>
      <c r="N82" s="1" t="s">
        <v>917</v>
      </c>
    </row>
    <row r="83" spans="1:15" customHeight="1" ht="15">
      <c r="A83" s="3" t="s">
        <v>91</v>
      </c>
      <c r="B83" s="3" t="s">
        <v>384</v>
      </c>
      <c r="C83" s="3" t="s">
        <v>409</v>
      </c>
      <c r="D83" s="3" t="s">
        <v>479</v>
      </c>
      <c r="E83" s="3"/>
      <c r="F83" s="2" t="s">
        <v>155</v>
      </c>
      <c r="G83" s="2"/>
      <c r="H83" s="1" t="s">
        <v>95</v>
      </c>
      <c r="I83" s="1">
        <v>10463.0</v>
      </c>
      <c r="J83" s="1">
        <v>11.0</v>
      </c>
      <c r="K83" s="1">
        <v>339.0</v>
      </c>
      <c r="L83" s="1" t="s">
        <v>549</v>
      </c>
      <c r="M83" s="1" t="s">
        <v>751</v>
      </c>
      <c r="N83" s="1" t="s">
        <v>917</v>
      </c>
    </row>
    <row r="84" spans="1:15" customHeight="1" ht="15">
      <c r="A84" s="3" t="s">
        <v>91</v>
      </c>
      <c r="B84" s="3" t="s">
        <v>384</v>
      </c>
      <c r="C84" s="3" t="s">
        <v>422</v>
      </c>
      <c r="D84" s="3" t="s">
        <v>476</v>
      </c>
      <c r="E84" s="3" t="s">
        <v>487</v>
      </c>
      <c r="F84" s="2" t="s">
        <v>156</v>
      </c>
      <c r="G84" s="2"/>
      <c r="H84" s="1" t="s">
        <v>95</v>
      </c>
      <c r="I84" s="1">
        <v>12156.0</v>
      </c>
      <c r="J84" s="1">
        <v>14.0</v>
      </c>
      <c r="K84" s="1">
        <v>493.0</v>
      </c>
      <c r="L84" s="1" t="s">
        <v>550</v>
      </c>
      <c r="M84" s="1" t="s">
        <v>752</v>
      </c>
      <c r="N84" s="1" t="s">
        <v>466</v>
      </c>
    </row>
    <row r="85" spans="1:15" customHeight="1" ht="15">
      <c r="A85" s="3" t="s">
        <v>91</v>
      </c>
      <c r="B85" s="3" t="s">
        <v>384</v>
      </c>
      <c r="C85" s="3" t="s">
        <v>409</v>
      </c>
      <c r="D85" s="3" t="s">
        <v>479</v>
      </c>
      <c r="E85" s="3"/>
      <c r="F85" s="2" t="s">
        <v>156</v>
      </c>
      <c r="G85" s="2"/>
      <c r="H85" s="1" t="s">
        <v>95</v>
      </c>
      <c r="I85" s="1">
        <v>12156.0</v>
      </c>
      <c r="J85" s="1">
        <v>14.0</v>
      </c>
      <c r="K85" s="1">
        <v>493.0</v>
      </c>
      <c r="L85" s="1" t="s">
        <v>550</v>
      </c>
      <c r="M85" s="1" t="s">
        <v>752</v>
      </c>
      <c r="N85" s="1" t="s">
        <v>466</v>
      </c>
    </row>
    <row r="86" spans="1:15" customHeight="1" ht="15">
      <c r="A86" s="3" t="s">
        <v>91</v>
      </c>
      <c r="B86" s="3" t="s">
        <v>384</v>
      </c>
      <c r="C86" s="3" t="s">
        <v>422</v>
      </c>
      <c r="D86" s="3" t="s">
        <v>476</v>
      </c>
      <c r="E86" s="3" t="s">
        <v>487</v>
      </c>
      <c r="F86" s="2" t="s">
        <v>157</v>
      </c>
      <c r="G86" s="2"/>
      <c r="H86" s="1" t="s">
        <v>95</v>
      </c>
      <c r="I86" s="1">
        <v>9200.0</v>
      </c>
      <c r="J86" s="1">
        <v>14.0</v>
      </c>
      <c r="K86" s="1">
        <v>259.0</v>
      </c>
      <c r="L86" s="1" t="s">
        <v>551</v>
      </c>
      <c r="M86" s="1" t="s">
        <v>753</v>
      </c>
      <c r="N86" s="1" t="s">
        <v>382</v>
      </c>
    </row>
    <row r="87" spans="1:15" customHeight="1" ht="15">
      <c r="A87" s="3" t="s">
        <v>91</v>
      </c>
      <c r="B87" s="3" t="s">
        <v>384</v>
      </c>
      <c r="C87" s="3" t="s">
        <v>409</v>
      </c>
      <c r="D87" s="3" t="s">
        <v>479</v>
      </c>
      <c r="E87" s="3"/>
      <c r="F87" s="2" t="s">
        <v>157</v>
      </c>
      <c r="G87" s="2"/>
      <c r="H87" s="1" t="s">
        <v>95</v>
      </c>
      <c r="I87" s="1">
        <v>9200.0</v>
      </c>
      <c r="J87" s="1">
        <v>14.0</v>
      </c>
      <c r="K87" s="1">
        <v>259.0</v>
      </c>
      <c r="L87" s="1" t="s">
        <v>551</v>
      </c>
      <c r="M87" s="1" t="s">
        <v>753</v>
      </c>
      <c r="N87" s="1" t="s">
        <v>382</v>
      </c>
    </row>
    <row r="88" spans="1:15" customHeight="1" ht="15">
      <c r="A88" s="3" t="s">
        <v>91</v>
      </c>
      <c r="B88" s="3" t="s">
        <v>384</v>
      </c>
      <c r="C88" s="3" t="s">
        <v>422</v>
      </c>
      <c r="D88" s="3" t="s">
        <v>476</v>
      </c>
      <c r="E88" s="3" t="s">
        <v>487</v>
      </c>
      <c r="F88" s="2" t="s">
        <v>158</v>
      </c>
      <c r="G88" s="2"/>
      <c r="H88" s="1" t="s">
        <v>95</v>
      </c>
      <c r="I88" s="1">
        <v>9581.0</v>
      </c>
      <c r="J88" s="1">
        <v>6.0</v>
      </c>
      <c r="K88" s="1">
        <v>60.0</v>
      </c>
      <c r="L88" s="1" t="s">
        <v>552</v>
      </c>
      <c r="M88" s="1" t="s">
        <v>754</v>
      </c>
      <c r="N88" s="1" t="s">
        <v>462</v>
      </c>
    </row>
    <row r="89" spans="1:15" customHeight="1" ht="15">
      <c r="A89" s="3" t="s">
        <v>91</v>
      </c>
      <c r="B89" s="3" t="s">
        <v>384</v>
      </c>
      <c r="C89" s="3" t="s">
        <v>409</v>
      </c>
      <c r="D89" s="3" t="s">
        <v>479</v>
      </c>
      <c r="E89" s="3"/>
      <c r="F89" s="2" t="s">
        <v>158</v>
      </c>
      <c r="G89" s="2"/>
      <c r="H89" s="1" t="s">
        <v>95</v>
      </c>
      <c r="I89" s="1">
        <v>9581.0</v>
      </c>
      <c r="J89" s="1">
        <v>6.0</v>
      </c>
      <c r="K89" s="1">
        <v>60.0</v>
      </c>
      <c r="L89" s="1" t="s">
        <v>552</v>
      </c>
      <c r="M89" s="1" t="s">
        <v>754</v>
      </c>
      <c r="N89" s="1" t="s">
        <v>462</v>
      </c>
    </row>
    <row r="90" spans="1:15" customHeight="1" ht="15">
      <c r="A90" s="3" t="s">
        <v>91</v>
      </c>
      <c r="B90" s="3" t="s">
        <v>384</v>
      </c>
      <c r="C90" s="3" t="s">
        <v>422</v>
      </c>
      <c r="D90" s="3" t="s">
        <v>476</v>
      </c>
      <c r="E90" s="3" t="s">
        <v>487</v>
      </c>
      <c r="F90" s="2" t="s">
        <v>159</v>
      </c>
      <c r="G90" s="2"/>
      <c r="H90" s="1" t="s">
        <v>95</v>
      </c>
      <c r="I90" s="1">
        <v>10700.0</v>
      </c>
      <c r="J90" s="1">
        <v>14.0</v>
      </c>
      <c r="K90" s="1">
        <v>506.0</v>
      </c>
      <c r="L90" s="1" t="s">
        <v>553</v>
      </c>
      <c r="M90" s="1" t="s">
        <v>755</v>
      </c>
      <c r="N90" s="1" t="s">
        <v>466</v>
      </c>
    </row>
    <row r="91" spans="1:15" customHeight="1" ht="15">
      <c r="A91" s="3" t="s">
        <v>91</v>
      </c>
      <c r="B91" s="3" t="s">
        <v>384</v>
      </c>
      <c r="C91" s="3" t="s">
        <v>409</v>
      </c>
      <c r="D91" s="3" t="s">
        <v>479</v>
      </c>
      <c r="E91" s="3"/>
      <c r="F91" s="2" t="s">
        <v>159</v>
      </c>
      <c r="G91" s="2"/>
      <c r="H91" s="1" t="s">
        <v>95</v>
      </c>
      <c r="I91" s="1">
        <v>10700.0</v>
      </c>
      <c r="J91" s="1">
        <v>14.0</v>
      </c>
      <c r="K91" s="1">
        <v>506.0</v>
      </c>
      <c r="L91" s="1" t="s">
        <v>553</v>
      </c>
      <c r="M91" s="1" t="s">
        <v>755</v>
      </c>
      <c r="N91" s="1" t="s">
        <v>466</v>
      </c>
    </row>
    <row r="92" spans="1:15" customHeight="1" ht="15">
      <c r="A92" s="3" t="s">
        <v>91</v>
      </c>
      <c r="B92" s="3" t="s">
        <v>384</v>
      </c>
      <c r="C92" s="3" t="s">
        <v>422</v>
      </c>
      <c r="D92" s="3" t="s">
        <v>476</v>
      </c>
      <c r="E92" s="3" t="s">
        <v>489</v>
      </c>
      <c r="F92" s="2" t="s">
        <v>926</v>
      </c>
      <c r="G92" s="2"/>
      <c r="H92" s="1" t="s">
        <v>95</v>
      </c>
      <c r="I92" s="1">
        <v>12092.0</v>
      </c>
      <c r="J92" s="1">
        <v>11.0</v>
      </c>
      <c r="K92" s="1">
        <v>661.0</v>
      </c>
      <c r="L92" s="1" t="s">
        <v>928</v>
      </c>
      <c r="M92" s="1" t="s">
        <v>930</v>
      </c>
      <c r="N92" s="1" t="s">
        <v>404</v>
      </c>
    </row>
    <row r="93" spans="1:15" customHeight="1" ht="15">
      <c r="A93" s="3" t="s">
        <v>91</v>
      </c>
      <c r="B93" s="3" t="s">
        <v>384</v>
      </c>
      <c r="C93" s="3" t="s">
        <v>409</v>
      </c>
      <c r="D93" s="3" t="s">
        <v>479</v>
      </c>
      <c r="E93" s="3"/>
      <c r="F93" s="2" t="s">
        <v>926</v>
      </c>
      <c r="G93" s="2"/>
      <c r="H93" s="1" t="s">
        <v>95</v>
      </c>
      <c r="I93" s="1">
        <v>12092.0</v>
      </c>
      <c r="J93" s="1">
        <v>11.0</v>
      </c>
      <c r="K93" s="1">
        <v>661.0</v>
      </c>
      <c r="L93" s="1" t="s">
        <v>928</v>
      </c>
      <c r="M93" s="1" t="s">
        <v>930</v>
      </c>
      <c r="N93" s="1" t="s">
        <v>404</v>
      </c>
    </row>
    <row r="94" spans="1:15" customHeight="1" ht="15">
      <c r="A94" s="3" t="s">
        <v>91</v>
      </c>
      <c r="B94" s="3" t="s">
        <v>384</v>
      </c>
      <c r="C94" s="3" t="s">
        <v>422</v>
      </c>
      <c r="D94" s="3" t="s">
        <v>476</v>
      </c>
      <c r="E94" s="3" t="s">
        <v>487</v>
      </c>
      <c r="F94" s="2" t="s">
        <v>160</v>
      </c>
      <c r="G94" s="2"/>
      <c r="H94" s="1" t="s">
        <v>95</v>
      </c>
      <c r="I94" s="1">
        <v>29442.0</v>
      </c>
      <c r="J94" s="1">
        <v>5.0</v>
      </c>
      <c r="K94" s="1">
        <v>421.0</v>
      </c>
      <c r="L94" s="1" t="s">
        <v>554</v>
      </c>
      <c r="M94" s="1" t="s">
        <v>756</v>
      </c>
      <c r="N94" s="1" t="s">
        <v>470</v>
      </c>
    </row>
    <row r="95" spans="1:15" customHeight="1" ht="15">
      <c r="A95" s="3" t="s">
        <v>91</v>
      </c>
      <c r="B95" s="3" t="s">
        <v>384</v>
      </c>
      <c r="C95" s="3" t="s">
        <v>409</v>
      </c>
      <c r="D95" s="3" t="s">
        <v>479</v>
      </c>
      <c r="E95" s="3"/>
      <c r="F95" s="2" t="s">
        <v>160</v>
      </c>
      <c r="G95" s="2"/>
      <c r="H95" s="1" t="s">
        <v>95</v>
      </c>
      <c r="I95" s="1">
        <v>29442.0</v>
      </c>
      <c r="J95" s="1">
        <v>5.0</v>
      </c>
      <c r="K95" s="1">
        <v>421.0</v>
      </c>
      <c r="L95" s="1" t="s">
        <v>554</v>
      </c>
      <c r="M95" s="1" t="s">
        <v>756</v>
      </c>
      <c r="N95" s="1" t="s">
        <v>470</v>
      </c>
    </row>
    <row r="96" spans="1:15" customHeight="1" ht="15">
      <c r="A96" s="3" t="s">
        <v>91</v>
      </c>
      <c r="B96" s="3" t="s">
        <v>384</v>
      </c>
      <c r="C96" s="3" t="s">
        <v>422</v>
      </c>
      <c r="D96" s="3" t="s">
        <v>476</v>
      </c>
      <c r="E96" s="3" t="s">
        <v>487</v>
      </c>
      <c r="F96" s="2" t="s">
        <v>161</v>
      </c>
      <c r="G96" s="2"/>
      <c r="H96" s="1" t="s">
        <v>95</v>
      </c>
      <c r="I96" s="1">
        <v>116141.0</v>
      </c>
      <c r="J96" s="1">
        <v>8.0</v>
      </c>
      <c r="K96" s="1">
        <v>745.0</v>
      </c>
      <c r="L96" s="1" t="s">
        <v>555</v>
      </c>
      <c r="M96" s="1" t="s">
        <v>757</v>
      </c>
      <c r="N96" s="1" t="s">
        <v>482</v>
      </c>
    </row>
    <row r="97" spans="1:15" customHeight="1" ht="15">
      <c r="A97" s="3" t="s">
        <v>91</v>
      </c>
      <c r="B97" s="3" t="s">
        <v>384</v>
      </c>
      <c r="C97" s="3" t="s">
        <v>422</v>
      </c>
      <c r="D97" s="3" t="s">
        <v>477</v>
      </c>
      <c r="E97" s="3"/>
      <c r="F97" s="2" t="s">
        <v>161</v>
      </c>
      <c r="G97" s="2"/>
      <c r="H97" s="1" t="s">
        <v>95</v>
      </c>
      <c r="I97" s="1">
        <v>116141.0</v>
      </c>
      <c r="J97" s="1">
        <v>8.0</v>
      </c>
      <c r="K97" s="1">
        <v>745.0</v>
      </c>
      <c r="L97" s="1" t="s">
        <v>555</v>
      </c>
      <c r="M97" s="1" t="s">
        <v>757</v>
      </c>
      <c r="N97" s="1" t="s">
        <v>482</v>
      </c>
    </row>
    <row r="98" spans="1:15" customHeight="1" ht="15">
      <c r="A98" s="3" t="s">
        <v>91</v>
      </c>
      <c r="B98" s="3" t="s">
        <v>384</v>
      </c>
      <c r="C98" s="3" t="s">
        <v>409</v>
      </c>
      <c r="D98" s="3" t="s">
        <v>479</v>
      </c>
      <c r="E98" s="3"/>
      <c r="F98" s="2" t="s">
        <v>161</v>
      </c>
      <c r="G98" s="2"/>
      <c r="H98" s="1" t="s">
        <v>95</v>
      </c>
      <c r="I98" s="1">
        <v>116141.0</v>
      </c>
      <c r="J98" s="1">
        <v>8.0</v>
      </c>
      <c r="K98" s="1">
        <v>745.0</v>
      </c>
      <c r="L98" s="1" t="s">
        <v>555</v>
      </c>
      <c r="M98" s="1" t="s">
        <v>757</v>
      </c>
      <c r="N98" s="1" t="s">
        <v>482</v>
      </c>
    </row>
    <row r="99" spans="1:15" customHeight="1" ht="15">
      <c r="A99" s="3" t="s">
        <v>91</v>
      </c>
      <c r="B99" s="3" t="s">
        <v>384</v>
      </c>
      <c r="C99" s="3" t="s">
        <v>422</v>
      </c>
      <c r="D99" s="3" t="s">
        <v>476</v>
      </c>
      <c r="E99" s="3" t="s">
        <v>487</v>
      </c>
      <c r="F99" s="2" t="s">
        <v>927</v>
      </c>
      <c r="G99" s="2"/>
      <c r="H99" s="1" t="s">
        <v>95</v>
      </c>
      <c r="I99" s="1">
        <v>11371.0</v>
      </c>
      <c r="J99" s="1">
        <v>10.0</v>
      </c>
      <c r="K99" s="1">
        <v>387.0</v>
      </c>
      <c r="L99" s="1" t="s">
        <v>929</v>
      </c>
      <c r="M99" s="1" t="s">
        <v>931</v>
      </c>
      <c r="N99" s="1" t="s">
        <v>404</v>
      </c>
    </row>
    <row r="100" spans="1:15" customHeight="1" ht="15">
      <c r="A100" s="3" t="s">
        <v>91</v>
      </c>
      <c r="B100" s="3" t="s">
        <v>384</v>
      </c>
      <c r="C100" s="3" t="s">
        <v>409</v>
      </c>
      <c r="D100" s="3" t="s">
        <v>479</v>
      </c>
      <c r="E100" s="3"/>
      <c r="F100" s="2" t="s">
        <v>927</v>
      </c>
      <c r="G100" s="2"/>
      <c r="H100" s="1" t="s">
        <v>95</v>
      </c>
      <c r="I100" s="1">
        <v>11371.0</v>
      </c>
      <c r="J100" s="1">
        <v>10.0</v>
      </c>
      <c r="K100" s="1">
        <v>387.0</v>
      </c>
      <c r="L100" s="1" t="s">
        <v>929</v>
      </c>
      <c r="M100" s="1" t="s">
        <v>931</v>
      </c>
      <c r="N100" s="1" t="s">
        <v>404</v>
      </c>
    </row>
    <row r="101" spans="1:15" customHeight="1" ht="15">
      <c r="A101" s="3" t="s">
        <v>91</v>
      </c>
      <c r="B101" s="3" t="s">
        <v>384</v>
      </c>
      <c r="C101" s="3" t="s">
        <v>422</v>
      </c>
      <c r="D101" s="3" t="s">
        <v>476</v>
      </c>
      <c r="E101" s="3" t="s">
        <v>487</v>
      </c>
      <c r="F101" s="2" t="s">
        <v>162</v>
      </c>
      <c r="G101" s="2"/>
      <c r="H101" s="1" t="s">
        <v>95</v>
      </c>
      <c r="I101" s="1">
        <v>11661.0</v>
      </c>
      <c r="J101" s="1">
        <v>12.0</v>
      </c>
      <c r="K101" s="1">
        <v>411.0</v>
      </c>
      <c r="L101" s="1" t="s">
        <v>556</v>
      </c>
      <c r="M101" s="1" t="s">
        <v>758</v>
      </c>
      <c r="N101" s="1" t="s">
        <v>917</v>
      </c>
    </row>
    <row r="102" spans="1:15" customHeight="1" ht="15">
      <c r="A102" s="3" t="s">
        <v>91</v>
      </c>
      <c r="B102" s="3" t="s">
        <v>384</v>
      </c>
      <c r="C102" s="3" t="s">
        <v>409</v>
      </c>
      <c r="D102" s="3" t="s">
        <v>479</v>
      </c>
      <c r="E102" s="3"/>
      <c r="F102" s="2" t="s">
        <v>162</v>
      </c>
      <c r="G102" s="2"/>
      <c r="H102" s="1" t="s">
        <v>95</v>
      </c>
      <c r="I102" s="1">
        <v>11661.0</v>
      </c>
      <c r="J102" s="1">
        <v>12.0</v>
      </c>
      <c r="K102" s="1">
        <v>411.0</v>
      </c>
      <c r="L102" s="1" t="s">
        <v>556</v>
      </c>
      <c r="M102" s="1" t="s">
        <v>758</v>
      </c>
      <c r="N102" s="1" t="s">
        <v>917</v>
      </c>
    </row>
    <row r="103" spans="1:15" customHeight="1" ht="15">
      <c r="A103" s="3" t="s">
        <v>91</v>
      </c>
      <c r="B103" s="3" t="s">
        <v>384</v>
      </c>
      <c r="C103" s="3" t="s">
        <v>422</v>
      </c>
      <c r="D103" s="3" t="s">
        <v>476</v>
      </c>
      <c r="E103" s="3" t="s">
        <v>487</v>
      </c>
      <c r="F103" s="2" t="s">
        <v>163</v>
      </c>
      <c r="G103" s="2"/>
      <c r="H103" s="1" t="s">
        <v>95</v>
      </c>
      <c r="I103" s="1">
        <v>251980.0</v>
      </c>
      <c r="J103" s="1">
        <v>5.0</v>
      </c>
      <c r="K103" s="1">
        <v>226.0</v>
      </c>
      <c r="L103" s="1" t="s">
        <v>557</v>
      </c>
      <c r="M103" s="1" t="s">
        <v>759</v>
      </c>
      <c r="N103" s="1" t="s">
        <v>402</v>
      </c>
    </row>
    <row r="104" spans="1:15" customHeight="1" ht="15">
      <c r="A104" s="3" t="s">
        <v>91</v>
      </c>
      <c r="B104" s="3" t="s">
        <v>384</v>
      </c>
      <c r="C104" s="3" t="s">
        <v>409</v>
      </c>
      <c r="D104" s="3" t="s">
        <v>479</v>
      </c>
      <c r="E104" s="3"/>
      <c r="F104" s="2" t="s">
        <v>163</v>
      </c>
      <c r="G104" s="2"/>
      <c r="H104" s="1" t="s">
        <v>95</v>
      </c>
      <c r="I104" s="1">
        <v>251980.0</v>
      </c>
      <c r="J104" s="1">
        <v>5.0</v>
      </c>
      <c r="K104" s="1">
        <v>226.0</v>
      </c>
      <c r="L104" s="1" t="s">
        <v>557</v>
      </c>
      <c r="M104" s="1" t="s">
        <v>759</v>
      </c>
      <c r="N104" s="1" t="s">
        <v>402</v>
      </c>
    </row>
    <row r="105" spans="1:15" customHeight="1" ht="15">
      <c r="A105" s="3" t="s">
        <v>91</v>
      </c>
      <c r="B105" s="3" t="s">
        <v>384</v>
      </c>
      <c r="C105" s="3" t="s">
        <v>422</v>
      </c>
      <c r="D105" s="3" t="s">
        <v>476</v>
      </c>
      <c r="E105" s="3" t="s">
        <v>487</v>
      </c>
      <c r="F105" s="2" t="s">
        <v>164</v>
      </c>
      <c r="G105" s="2"/>
      <c r="H105" s="1" t="s">
        <v>95</v>
      </c>
      <c r="I105" s="1">
        <v>11108.0</v>
      </c>
      <c r="J105" s="1">
        <v>7.0</v>
      </c>
      <c r="K105" s="1">
        <v>270.0</v>
      </c>
      <c r="L105" s="1" t="s">
        <v>558</v>
      </c>
      <c r="M105" s="1" t="s">
        <v>760</v>
      </c>
      <c r="N105" s="1" t="s">
        <v>469</v>
      </c>
    </row>
    <row r="106" spans="1:15" customHeight="1" ht="15">
      <c r="A106" s="3" t="s">
        <v>91</v>
      </c>
      <c r="B106" s="3" t="s">
        <v>384</v>
      </c>
      <c r="C106" s="3" t="s">
        <v>409</v>
      </c>
      <c r="D106" s="3" t="s">
        <v>479</v>
      </c>
      <c r="E106" s="3"/>
      <c r="F106" s="2" t="s">
        <v>164</v>
      </c>
      <c r="G106" s="2"/>
      <c r="H106" s="1" t="s">
        <v>95</v>
      </c>
      <c r="I106" s="1">
        <v>11108.0</v>
      </c>
      <c r="J106" s="1">
        <v>7.0</v>
      </c>
      <c r="K106" s="1">
        <v>270.0</v>
      </c>
      <c r="L106" s="1" t="s">
        <v>558</v>
      </c>
      <c r="M106" s="1" t="s">
        <v>760</v>
      </c>
      <c r="N106" s="1" t="s">
        <v>469</v>
      </c>
    </row>
    <row r="107" spans="1:15" customHeight="1" ht="15">
      <c r="A107" s="3" t="s">
        <v>91</v>
      </c>
      <c r="B107" s="3" t="s">
        <v>384</v>
      </c>
      <c r="C107" s="3" t="s">
        <v>422</v>
      </c>
      <c r="D107" s="3" t="s">
        <v>476</v>
      </c>
      <c r="E107" s="3" t="s">
        <v>487</v>
      </c>
      <c r="F107" s="2" t="s">
        <v>165</v>
      </c>
      <c r="G107" s="2"/>
      <c r="H107" s="1" t="s">
        <v>95</v>
      </c>
      <c r="I107" s="1">
        <v>13604.0</v>
      </c>
      <c r="J107" s="1">
        <v>12.0</v>
      </c>
      <c r="K107" s="1">
        <v>663.0</v>
      </c>
      <c r="L107" s="1" t="s">
        <v>559</v>
      </c>
      <c r="M107" s="1" t="s">
        <v>761</v>
      </c>
      <c r="N107" s="1" t="s">
        <v>919</v>
      </c>
    </row>
    <row r="108" spans="1:15" customHeight="1" ht="15">
      <c r="A108" s="3" t="s">
        <v>91</v>
      </c>
      <c r="B108" s="3" t="s">
        <v>384</v>
      </c>
      <c r="C108" s="3" t="s">
        <v>409</v>
      </c>
      <c r="D108" s="3" t="s">
        <v>479</v>
      </c>
      <c r="E108" s="3"/>
      <c r="F108" s="2" t="s">
        <v>165</v>
      </c>
      <c r="G108" s="2"/>
      <c r="H108" s="1" t="s">
        <v>95</v>
      </c>
      <c r="I108" s="1">
        <v>13604.0</v>
      </c>
      <c r="J108" s="1">
        <v>12.0</v>
      </c>
      <c r="K108" s="1">
        <v>663.0</v>
      </c>
      <c r="L108" s="1" t="s">
        <v>559</v>
      </c>
      <c r="M108" s="1" t="s">
        <v>761</v>
      </c>
      <c r="N108" s="1" t="s">
        <v>919</v>
      </c>
    </row>
    <row r="109" spans="1:15" customHeight="1" ht="15">
      <c r="A109" s="3" t="s">
        <v>91</v>
      </c>
      <c r="B109" s="3" t="s">
        <v>384</v>
      </c>
      <c r="C109" s="3" t="s">
        <v>422</v>
      </c>
      <c r="D109" s="3" t="s">
        <v>476</v>
      </c>
      <c r="E109" s="3" t="s">
        <v>489</v>
      </c>
      <c r="F109" s="2" t="s">
        <v>166</v>
      </c>
      <c r="G109" s="2"/>
      <c r="H109" s="1" t="s">
        <v>95</v>
      </c>
      <c r="I109" s="1">
        <v>10905.0</v>
      </c>
      <c r="J109" s="1">
        <v>7.0</v>
      </c>
      <c r="K109" s="1">
        <v>244.0</v>
      </c>
      <c r="L109" s="1" t="s">
        <v>560</v>
      </c>
      <c r="M109" s="1" t="s">
        <v>762</v>
      </c>
      <c r="N109" s="1" t="s">
        <v>482</v>
      </c>
    </row>
    <row r="110" spans="1:15" customHeight="1" ht="15">
      <c r="A110" s="3" t="s">
        <v>91</v>
      </c>
      <c r="B110" s="3" t="s">
        <v>384</v>
      </c>
      <c r="C110" s="3" t="s">
        <v>409</v>
      </c>
      <c r="D110" s="3" t="s">
        <v>479</v>
      </c>
      <c r="E110" s="3"/>
      <c r="F110" s="2" t="s">
        <v>166</v>
      </c>
      <c r="G110" s="2"/>
      <c r="H110" s="1" t="s">
        <v>95</v>
      </c>
      <c r="I110" s="1">
        <v>10905.0</v>
      </c>
      <c r="J110" s="1">
        <v>7.0</v>
      </c>
      <c r="K110" s="1">
        <v>244.0</v>
      </c>
      <c r="L110" s="1" t="s">
        <v>560</v>
      </c>
      <c r="M110" s="1" t="s">
        <v>762</v>
      </c>
      <c r="N110" s="1" t="s">
        <v>482</v>
      </c>
    </row>
    <row r="111" spans="1:15" customHeight="1" ht="15">
      <c r="A111" s="3" t="s">
        <v>91</v>
      </c>
      <c r="B111" s="3" t="s">
        <v>384</v>
      </c>
      <c r="C111" s="3" t="s">
        <v>422</v>
      </c>
      <c r="D111" s="3" t="s">
        <v>476</v>
      </c>
      <c r="E111" s="3" t="s">
        <v>489</v>
      </c>
      <c r="F111" s="2" t="s">
        <v>167</v>
      </c>
      <c r="G111" s="2"/>
      <c r="H111" s="1" t="s">
        <v>95</v>
      </c>
      <c r="I111" s="1">
        <v>17528.0</v>
      </c>
      <c r="J111" s="1">
        <v>3.0</v>
      </c>
      <c r="K111" s="1">
        <v>38.0</v>
      </c>
      <c r="L111" s="1" t="s">
        <v>561</v>
      </c>
      <c r="M111" s="1" t="s">
        <v>763</v>
      </c>
      <c r="N111" s="1" t="s">
        <v>921</v>
      </c>
    </row>
    <row r="112" spans="1:15" customHeight="1" ht="15">
      <c r="A112" s="3" t="s">
        <v>91</v>
      </c>
      <c r="B112" s="3" t="s">
        <v>384</v>
      </c>
      <c r="C112" s="3" t="s">
        <v>409</v>
      </c>
      <c r="D112" s="3" t="s">
        <v>479</v>
      </c>
      <c r="E112" s="3"/>
      <c r="F112" s="2" t="s">
        <v>167</v>
      </c>
      <c r="G112" s="2"/>
      <c r="H112" s="1" t="s">
        <v>95</v>
      </c>
      <c r="I112" s="1">
        <v>17528.0</v>
      </c>
      <c r="J112" s="1">
        <v>3.0</v>
      </c>
      <c r="K112" s="1">
        <v>38.0</v>
      </c>
      <c r="L112" s="1" t="s">
        <v>561</v>
      </c>
      <c r="M112" s="1" t="s">
        <v>763</v>
      </c>
      <c r="N112" s="1" t="s">
        <v>921</v>
      </c>
    </row>
    <row r="113" spans="1:15" customHeight="1" ht="15">
      <c r="A113" s="3" t="s">
        <v>91</v>
      </c>
      <c r="B113" s="3" t="s">
        <v>384</v>
      </c>
      <c r="C113" s="3" t="s">
        <v>422</v>
      </c>
      <c r="D113" s="3" t="s">
        <v>476</v>
      </c>
      <c r="E113" s="3" t="s">
        <v>487</v>
      </c>
      <c r="F113" s="2" t="s">
        <v>168</v>
      </c>
      <c r="G113" s="2"/>
      <c r="H113" s="1" t="s">
        <v>95</v>
      </c>
      <c r="I113" s="1">
        <v>136852.0</v>
      </c>
      <c r="J113" s="1">
        <v>7.0</v>
      </c>
      <c r="K113" s="1">
        <v>777.0</v>
      </c>
      <c r="L113" s="1" t="s">
        <v>562</v>
      </c>
      <c r="M113" s="1" t="s">
        <v>764</v>
      </c>
      <c r="N113" s="1" t="s">
        <v>469</v>
      </c>
    </row>
    <row r="114" spans="1:15" customHeight="1" ht="15">
      <c r="A114" s="3" t="s">
        <v>91</v>
      </c>
      <c r="B114" s="3" t="s">
        <v>384</v>
      </c>
      <c r="C114" s="3" t="s">
        <v>422</v>
      </c>
      <c r="D114" s="3" t="s">
        <v>477</v>
      </c>
      <c r="E114" s="3"/>
      <c r="F114" s="2" t="s">
        <v>168</v>
      </c>
      <c r="G114" s="2"/>
      <c r="H114" s="1" t="s">
        <v>95</v>
      </c>
      <c r="I114" s="1">
        <v>136852.0</v>
      </c>
      <c r="J114" s="1">
        <v>7.0</v>
      </c>
      <c r="K114" s="1">
        <v>777.0</v>
      </c>
      <c r="L114" s="1" t="s">
        <v>562</v>
      </c>
      <c r="M114" s="1" t="s">
        <v>764</v>
      </c>
      <c r="N114" s="1" t="s">
        <v>469</v>
      </c>
    </row>
    <row r="115" spans="1:15" customHeight="1" ht="15">
      <c r="A115" s="3" t="s">
        <v>91</v>
      </c>
      <c r="B115" s="3" t="s">
        <v>384</v>
      </c>
      <c r="C115" s="3" t="s">
        <v>409</v>
      </c>
      <c r="D115" s="3" t="s">
        <v>479</v>
      </c>
      <c r="E115" s="3"/>
      <c r="F115" s="2" t="s">
        <v>168</v>
      </c>
      <c r="G115" s="2"/>
      <c r="H115" s="1" t="s">
        <v>95</v>
      </c>
      <c r="I115" s="1">
        <v>136852.0</v>
      </c>
      <c r="J115" s="1">
        <v>7.0</v>
      </c>
      <c r="K115" s="1">
        <v>777.0</v>
      </c>
      <c r="L115" s="1" t="s">
        <v>562</v>
      </c>
      <c r="M115" s="1" t="s">
        <v>764</v>
      </c>
      <c r="N115" s="1" t="s">
        <v>469</v>
      </c>
    </row>
    <row r="116" spans="1:15" customHeight="1" ht="15">
      <c r="A116" s="3" t="s">
        <v>91</v>
      </c>
      <c r="B116" s="3" t="s">
        <v>384</v>
      </c>
      <c r="C116" s="3" t="s">
        <v>422</v>
      </c>
      <c r="D116" s="3" t="s">
        <v>476</v>
      </c>
      <c r="E116" s="3" t="s">
        <v>487</v>
      </c>
      <c r="F116" s="2" t="s">
        <v>169</v>
      </c>
      <c r="G116" s="2"/>
      <c r="H116" s="1" t="s">
        <v>95</v>
      </c>
      <c r="I116" s="1">
        <v>9103.0</v>
      </c>
      <c r="J116" s="1">
        <v>6.0</v>
      </c>
      <c r="K116" s="1">
        <v>156.0</v>
      </c>
      <c r="L116" s="1" t="s">
        <v>563</v>
      </c>
      <c r="M116" s="1" t="s">
        <v>765</v>
      </c>
      <c r="N116" s="1" t="s">
        <v>469</v>
      </c>
    </row>
    <row r="117" spans="1:15" customHeight="1" ht="15">
      <c r="A117" s="3" t="s">
        <v>91</v>
      </c>
      <c r="B117" s="3" t="s">
        <v>384</v>
      </c>
      <c r="C117" s="3" t="s">
        <v>409</v>
      </c>
      <c r="D117" s="3" t="s">
        <v>479</v>
      </c>
      <c r="E117" s="3"/>
      <c r="F117" s="2" t="s">
        <v>169</v>
      </c>
      <c r="G117" s="2"/>
      <c r="H117" s="1" t="s">
        <v>95</v>
      </c>
      <c r="I117" s="1">
        <v>9103.0</v>
      </c>
      <c r="J117" s="1">
        <v>6.0</v>
      </c>
      <c r="K117" s="1">
        <v>156.0</v>
      </c>
      <c r="L117" s="1" t="s">
        <v>563</v>
      </c>
      <c r="M117" s="1" t="s">
        <v>765</v>
      </c>
      <c r="N117" s="1" t="s">
        <v>469</v>
      </c>
    </row>
    <row r="118" spans="1:15" customHeight="1" ht="15">
      <c r="A118" s="3" t="s">
        <v>91</v>
      </c>
      <c r="B118" s="3" t="s">
        <v>384</v>
      </c>
      <c r="C118" s="3" t="s">
        <v>422</v>
      </c>
      <c r="D118" s="3" t="s">
        <v>476</v>
      </c>
      <c r="E118" s="3" t="s">
        <v>487</v>
      </c>
      <c r="F118" s="2" t="s">
        <v>170</v>
      </c>
      <c r="G118" s="2"/>
      <c r="H118" s="1" t="s">
        <v>95</v>
      </c>
      <c r="I118" s="1">
        <v>9263.0</v>
      </c>
      <c r="J118" s="1">
        <v>7.0</v>
      </c>
      <c r="K118" s="1">
        <v>167.0</v>
      </c>
      <c r="L118" s="1" t="s">
        <v>564</v>
      </c>
      <c r="M118" s="1" t="s">
        <v>766</v>
      </c>
      <c r="N118" s="1" t="s">
        <v>482</v>
      </c>
    </row>
    <row r="119" spans="1:15" customHeight="1" ht="15">
      <c r="A119" s="3" t="s">
        <v>91</v>
      </c>
      <c r="B119" s="3" t="s">
        <v>384</v>
      </c>
      <c r="C119" s="3" t="s">
        <v>409</v>
      </c>
      <c r="D119" s="3" t="s">
        <v>479</v>
      </c>
      <c r="E119" s="3"/>
      <c r="F119" s="2" t="s">
        <v>170</v>
      </c>
      <c r="G119" s="2"/>
      <c r="H119" s="1" t="s">
        <v>95</v>
      </c>
      <c r="I119" s="1">
        <v>9263.0</v>
      </c>
      <c r="J119" s="1">
        <v>7.0</v>
      </c>
      <c r="K119" s="1">
        <v>167.0</v>
      </c>
      <c r="L119" s="1" t="s">
        <v>564</v>
      </c>
      <c r="M119" s="1" t="s">
        <v>766</v>
      </c>
      <c r="N119" s="1" t="s">
        <v>482</v>
      </c>
    </row>
    <row r="120" spans="1:15" customHeight="1" ht="15">
      <c r="A120" s="3" t="s">
        <v>91</v>
      </c>
      <c r="B120" s="3" t="s">
        <v>384</v>
      </c>
      <c r="C120" s="3" t="s">
        <v>422</v>
      </c>
      <c r="D120" s="3" t="s">
        <v>476</v>
      </c>
      <c r="E120" s="3" t="s">
        <v>487</v>
      </c>
      <c r="F120" s="2" t="s">
        <v>171</v>
      </c>
      <c r="G120" s="2"/>
      <c r="H120" s="1" t="s">
        <v>95</v>
      </c>
      <c r="I120" s="1">
        <v>8492.0</v>
      </c>
      <c r="J120" s="1">
        <v>7.0</v>
      </c>
      <c r="K120" s="1">
        <v>75.0</v>
      </c>
      <c r="L120" s="1" t="s">
        <v>565</v>
      </c>
      <c r="M120" s="1" t="s">
        <v>767</v>
      </c>
      <c r="N120" s="1" t="s">
        <v>469</v>
      </c>
    </row>
    <row r="121" spans="1:15" customHeight="1" ht="15">
      <c r="A121" s="3" t="s">
        <v>91</v>
      </c>
      <c r="B121" s="3" t="s">
        <v>384</v>
      </c>
      <c r="C121" s="3" t="s">
        <v>409</v>
      </c>
      <c r="D121" s="3" t="s">
        <v>479</v>
      </c>
      <c r="E121" s="3"/>
      <c r="F121" s="2" t="s">
        <v>171</v>
      </c>
      <c r="G121" s="2"/>
      <c r="H121" s="1" t="s">
        <v>95</v>
      </c>
      <c r="I121" s="1">
        <v>8492.0</v>
      </c>
      <c r="J121" s="1">
        <v>7.0</v>
      </c>
      <c r="K121" s="1">
        <v>75.0</v>
      </c>
      <c r="L121" s="1" t="s">
        <v>565</v>
      </c>
      <c r="M121" s="1" t="s">
        <v>767</v>
      </c>
      <c r="N121" s="1" t="s">
        <v>469</v>
      </c>
    </row>
    <row r="122" spans="1:15" customHeight="1" ht="15">
      <c r="A122" s="3" t="s">
        <v>91</v>
      </c>
      <c r="B122" s="3" t="s">
        <v>384</v>
      </c>
      <c r="C122" s="3" t="s">
        <v>422</v>
      </c>
      <c r="D122" s="3" t="s">
        <v>476</v>
      </c>
      <c r="E122" s="3" t="s">
        <v>487</v>
      </c>
      <c r="F122" s="2" t="s">
        <v>172</v>
      </c>
      <c r="G122" s="2"/>
      <c r="H122" s="1" t="s">
        <v>95</v>
      </c>
      <c r="I122" s="1">
        <v>8193.0</v>
      </c>
      <c r="J122" s="1">
        <v>5.0</v>
      </c>
      <c r="K122" s="1">
        <v>115.0</v>
      </c>
      <c r="L122" s="1" t="s">
        <v>566</v>
      </c>
      <c r="M122" s="1" t="s">
        <v>768</v>
      </c>
      <c r="N122" s="1" t="s">
        <v>470</v>
      </c>
    </row>
    <row r="123" spans="1:15" customHeight="1" ht="15">
      <c r="A123" s="3" t="s">
        <v>91</v>
      </c>
      <c r="B123" s="3" t="s">
        <v>384</v>
      </c>
      <c r="C123" s="3" t="s">
        <v>409</v>
      </c>
      <c r="D123" s="3" t="s">
        <v>479</v>
      </c>
      <c r="E123" s="3"/>
      <c r="F123" s="2" t="s">
        <v>172</v>
      </c>
      <c r="G123" s="2"/>
      <c r="H123" s="1" t="s">
        <v>95</v>
      </c>
      <c r="I123" s="1">
        <v>8193.0</v>
      </c>
      <c r="J123" s="1">
        <v>5.0</v>
      </c>
      <c r="K123" s="1">
        <v>115.0</v>
      </c>
      <c r="L123" s="1" t="s">
        <v>566</v>
      </c>
      <c r="M123" s="1" t="s">
        <v>768</v>
      </c>
      <c r="N123" s="1" t="s">
        <v>470</v>
      </c>
    </row>
    <row r="124" spans="1:15" customHeight="1" ht="15">
      <c r="A124" s="3" t="s">
        <v>91</v>
      </c>
      <c r="B124" s="3" t="s">
        <v>384</v>
      </c>
      <c r="C124" s="3" t="s">
        <v>422</v>
      </c>
      <c r="D124" s="3" t="s">
        <v>476</v>
      </c>
      <c r="E124" s="3" t="s">
        <v>487</v>
      </c>
      <c r="F124" s="2" t="s">
        <v>173</v>
      </c>
      <c r="G124" s="2"/>
      <c r="H124" s="1" t="s">
        <v>95</v>
      </c>
      <c r="I124" s="1">
        <v>137878.0</v>
      </c>
      <c r="J124" s="1">
        <v>8.0</v>
      </c>
      <c r="K124" s="1">
        <v>136.0</v>
      </c>
      <c r="L124" s="1" t="s">
        <v>567</v>
      </c>
      <c r="M124" s="1" t="s">
        <v>769</v>
      </c>
      <c r="N124" s="1" t="s">
        <v>482</v>
      </c>
    </row>
    <row r="125" spans="1:15" customHeight="1" ht="15">
      <c r="A125" s="3" t="s">
        <v>91</v>
      </c>
      <c r="B125" s="3" t="s">
        <v>384</v>
      </c>
      <c r="C125" s="3" t="s">
        <v>409</v>
      </c>
      <c r="D125" s="3" t="s">
        <v>479</v>
      </c>
      <c r="E125" s="3"/>
      <c r="F125" s="2" t="s">
        <v>173</v>
      </c>
      <c r="G125" s="2"/>
      <c r="H125" s="1" t="s">
        <v>95</v>
      </c>
      <c r="I125" s="1">
        <v>137878.0</v>
      </c>
      <c r="J125" s="1">
        <v>8.0</v>
      </c>
      <c r="K125" s="1">
        <v>136.0</v>
      </c>
      <c r="L125" s="1" t="s">
        <v>567</v>
      </c>
      <c r="M125" s="1" t="s">
        <v>769</v>
      </c>
      <c r="N125" s="1" t="s">
        <v>482</v>
      </c>
    </row>
    <row r="126" spans="1:15" customHeight="1" ht="15">
      <c r="A126" s="3" t="s">
        <v>91</v>
      </c>
      <c r="B126" s="3" t="s">
        <v>384</v>
      </c>
      <c r="C126" s="3" t="s">
        <v>422</v>
      </c>
      <c r="D126" s="3" t="s">
        <v>476</v>
      </c>
      <c r="E126" s="3" t="s">
        <v>487</v>
      </c>
      <c r="F126" s="2" t="s">
        <v>174</v>
      </c>
      <c r="G126" s="2"/>
      <c r="H126" s="1" t="s">
        <v>95</v>
      </c>
      <c r="I126" s="1">
        <v>178617.0</v>
      </c>
      <c r="J126" s="1">
        <v>8.0</v>
      </c>
      <c r="K126" s="1">
        <v>193.0</v>
      </c>
      <c r="L126" s="1" t="s">
        <v>568</v>
      </c>
      <c r="M126" s="1" t="s">
        <v>770</v>
      </c>
      <c r="N126" s="1" t="s">
        <v>469</v>
      </c>
    </row>
    <row r="127" spans="1:15" customHeight="1" ht="15">
      <c r="A127" s="3" t="s">
        <v>91</v>
      </c>
      <c r="B127" s="3" t="s">
        <v>384</v>
      </c>
      <c r="C127" s="3" t="s">
        <v>409</v>
      </c>
      <c r="D127" s="3" t="s">
        <v>479</v>
      </c>
      <c r="E127" s="3"/>
      <c r="F127" s="2" t="s">
        <v>174</v>
      </c>
      <c r="G127" s="2"/>
      <c r="H127" s="1" t="s">
        <v>95</v>
      </c>
      <c r="I127" s="1">
        <v>178617.0</v>
      </c>
      <c r="J127" s="1">
        <v>8.0</v>
      </c>
      <c r="K127" s="1">
        <v>193.0</v>
      </c>
      <c r="L127" s="1" t="s">
        <v>568</v>
      </c>
      <c r="M127" s="1" t="s">
        <v>770</v>
      </c>
      <c r="N127" s="1" t="s">
        <v>469</v>
      </c>
    </row>
    <row r="128" spans="1:15" customHeight="1" ht="15">
      <c r="A128" s="3" t="s">
        <v>91</v>
      </c>
      <c r="B128" s="3" t="s">
        <v>384</v>
      </c>
      <c r="C128" s="3" t="s">
        <v>422</v>
      </c>
      <c r="D128" s="3" t="s">
        <v>476</v>
      </c>
      <c r="E128" s="3" t="s">
        <v>487</v>
      </c>
      <c r="F128" s="2" t="s">
        <v>175</v>
      </c>
      <c r="G128" s="2"/>
      <c r="H128" s="1" t="s">
        <v>95</v>
      </c>
      <c r="I128" s="1">
        <v>4954.0</v>
      </c>
      <c r="J128" s="1">
        <v>8.0</v>
      </c>
      <c r="K128" s="1">
        <v>151.0</v>
      </c>
      <c r="L128" s="1" t="s">
        <v>569</v>
      </c>
      <c r="M128" s="1" t="s">
        <v>771</v>
      </c>
      <c r="N128" s="1" t="s">
        <v>382</v>
      </c>
    </row>
    <row r="129" spans="1:15" customHeight="1" ht="15">
      <c r="A129" s="3" t="s">
        <v>91</v>
      </c>
      <c r="B129" s="3" t="s">
        <v>384</v>
      </c>
      <c r="C129" s="3" t="s">
        <v>409</v>
      </c>
      <c r="D129" s="3" t="s">
        <v>479</v>
      </c>
      <c r="E129" s="3"/>
      <c r="F129" s="2" t="s">
        <v>175</v>
      </c>
      <c r="G129" s="2"/>
      <c r="H129" s="1" t="s">
        <v>95</v>
      </c>
      <c r="I129" s="1">
        <v>4954.0</v>
      </c>
      <c r="J129" s="1">
        <v>8.0</v>
      </c>
      <c r="K129" s="1">
        <v>151.0</v>
      </c>
      <c r="L129" s="1" t="s">
        <v>569</v>
      </c>
      <c r="M129" s="1" t="s">
        <v>771</v>
      </c>
      <c r="N129" s="1" t="s">
        <v>382</v>
      </c>
    </row>
    <row r="130" spans="1:15" customHeight="1" ht="15">
      <c r="A130" s="3" t="s">
        <v>91</v>
      </c>
      <c r="B130" s="3" t="s">
        <v>384</v>
      </c>
      <c r="C130" s="3" t="s">
        <v>422</v>
      </c>
      <c r="D130" s="3" t="s">
        <v>476</v>
      </c>
      <c r="E130" s="3" t="s">
        <v>487</v>
      </c>
      <c r="F130" s="2" t="s">
        <v>176</v>
      </c>
      <c r="G130" s="2"/>
      <c r="H130" s="1" t="s">
        <v>95</v>
      </c>
      <c r="I130" s="1">
        <v>132986.0</v>
      </c>
      <c r="J130" s="1">
        <v>7.0</v>
      </c>
      <c r="K130" s="1">
        <v>136.0</v>
      </c>
      <c r="L130" s="1" t="s">
        <v>570</v>
      </c>
      <c r="M130" s="1" t="s">
        <v>772</v>
      </c>
      <c r="N130" s="1" t="s">
        <v>469</v>
      </c>
    </row>
    <row r="131" spans="1:15" customHeight="1" ht="15">
      <c r="A131" s="3" t="s">
        <v>91</v>
      </c>
      <c r="B131" s="3" t="s">
        <v>384</v>
      </c>
      <c r="C131" s="3" t="s">
        <v>409</v>
      </c>
      <c r="D131" s="3" t="s">
        <v>479</v>
      </c>
      <c r="E131" s="3"/>
      <c r="F131" s="2" t="s">
        <v>176</v>
      </c>
      <c r="G131" s="2"/>
      <c r="H131" s="1" t="s">
        <v>95</v>
      </c>
      <c r="I131" s="1">
        <v>132986.0</v>
      </c>
      <c r="J131" s="1">
        <v>7.0</v>
      </c>
      <c r="K131" s="1">
        <v>136.0</v>
      </c>
      <c r="L131" s="1" t="s">
        <v>570</v>
      </c>
      <c r="M131" s="1" t="s">
        <v>772</v>
      </c>
      <c r="N131" s="1" t="s">
        <v>469</v>
      </c>
    </row>
    <row r="132" spans="1:15" customHeight="1" ht="15">
      <c r="A132" s="3" t="s">
        <v>91</v>
      </c>
      <c r="B132" s="3" t="s">
        <v>384</v>
      </c>
      <c r="C132" s="3" t="s">
        <v>422</v>
      </c>
      <c r="D132" s="3" t="s">
        <v>476</v>
      </c>
      <c r="E132" s="3" t="s">
        <v>487</v>
      </c>
      <c r="F132" s="2" t="s">
        <v>177</v>
      </c>
      <c r="G132" s="2"/>
      <c r="H132" s="1" t="s">
        <v>95</v>
      </c>
      <c r="I132" s="1">
        <v>202931.0</v>
      </c>
      <c r="J132" s="1">
        <v>7.0</v>
      </c>
      <c r="K132" s="1">
        <v>128.0</v>
      </c>
      <c r="L132" s="1" t="s">
        <v>571</v>
      </c>
      <c r="M132" s="1" t="s">
        <v>773</v>
      </c>
      <c r="N132" s="1" t="s">
        <v>469</v>
      </c>
    </row>
    <row r="133" spans="1:15" customHeight="1" ht="15">
      <c r="A133" s="3" t="s">
        <v>91</v>
      </c>
      <c r="B133" s="3" t="s">
        <v>384</v>
      </c>
      <c r="C133" s="3" t="s">
        <v>409</v>
      </c>
      <c r="D133" s="3" t="s">
        <v>479</v>
      </c>
      <c r="E133" s="3"/>
      <c r="F133" s="2" t="s">
        <v>177</v>
      </c>
      <c r="G133" s="2"/>
      <c r="H133" s="1" t="s">
        <v>95</v>
      </c>
      <c r="I133" s="1">
        <v>202931.0</v>
      </c>
      <c r="J133" s="1">
        <v>7.0</v>
      </c>
      <c r="K133" s="1">
        <v>128.0</v>
      </c>
      <c r="L133" s="1" t="s">
        <v>571</v>
      </c>
      <c r="M133" s="1" t="s">
        <v>773</v>
      </c>
      <c r="N133" s="1" t="s">
        <v>469</v>
      </c>
    </row>
    <row r="134" spans="1:15" customHeight="1" ht="15">
      <c r="A134" s="3" t="s">
        <v>91</v>
      </c>
      <c r="B134" s="3" t="s">
        <v>384</v>
      </c>
      <c r="C134" s="3" t="s">
        <v>422</v>
      </c>
      <c r="D134" s="3" t="s">
        <v>476</v>
      </c>
      <c r="E134" s="3" t="s">
        <v>487</v>
      </c>
      <c r="F134" s="2" t="s">
        <v>178</v>
      </c>
      <c r="G134" s="2"/>
      <c r="H134" s="1" t="s">
        <v>95</v>
      </c>
      <c r="I134" s="1">
        <v>112948.0</v>
      </c>
      <c r="J134" s="1">
        <v>6.0</v>
      </c>
      <c r="K134" s="1">
        <v>96.0</v>
      </c>
      <c r="L134" s="1" t="s">
        <v>572</v>
      </c>
      <c r="M134" s="1" t="s">
        <v>774</v>
      </c>
      <c r="N134" s="1" t="s">
        <v>470</v>
      </c>
    </row>
    <row r="135" spans="1:15" customHeight="1" ht="15">
      <c r="A135" s="3" t="s">
        <v>91</v>
      </c>
      <c r="B135" s="3" t="s">
        <v>384</v>
      </c>
      <c r="C135" s="3" t="s">
        <v>409</v>
      </c>
      <c r="D135" s="3" t="s">
        <v>479</v>
      </c>
      <c r="E135" s="3"/>
      <c r="F135" s="2" t="s">
        <v>178</v>
      </c>
      <c r="G135" s="2"/>
      <c r="H135" s="1" t="s">
        <v>95</v>
      </c>
      <c r="I135" s="1">
        <v>112948.0</v>
      </c>
      <c r="J135" s="1">
        <v>6.0</v>
      </c>
      <c r="K135" s="1">
        <v>96.0</v>
      </c>
      <c r="L135" s="1" t="s">
        <v>572</v>
      </c>
      <c r="M135" s="1" t="s">
        <v>774</v>
      </c>
      <c r="N135" s="1" t="s">
        <v>470</v>
      </c>
    </row>
    <row r="136" spans="1:15" customHeight="1" ht="15">
      <c r="A136" s="3" t="s">
        <v>91</v>
      </c>
      <c r="B136" s="3" t="s">
        <v>384</v>
      </c>
      <c r="C136" s="3" t="s">
        <v>422</v>
      </c>
      <c r="D136" s="3" t="s">
        <v>476</v>
      </c>
      <c r="E136" s="3" t="s">
        <v>487</v>
      </c>
      <c r="F136" s="2" t="s">
        <v>179</v>
      </c>
      <c r="G136" s="2"/>
      <c r="H136" s="1" t="s">
        <v>95</v>
      </c>
      <c r="I136" s="1">
        <v>8915.0</v>
      </c>
      <c r="J136" s="1">
        <v>7.0</v>
      </c>
      <c r="K136" s="1">
        <v>145.0</v>
      </c>
      <c r="L136" s="1" t="s">
        <v>573</v>
      </c>
      <c r="M136" s="1" t="s">
        <v>775</v>
      </c>
      <c r="N136" s="1" t="s">
        <v>469</v>
      </c>
    </row>
    <row r="137" spans="1:15" customHeight="1" ht="15">
      <c r="A137" s="3" t="s">
        <v>91</v>
      </c>
      <c r="B137" s="3" t="s">
        <v>384</v>
      </c>
      <c r="C137" s="3" t="s">
        <v>409</v>
      </c>
      <c r="D137" s="3" t="s">
        <v>479</v>
      </c>
      <c r="E137" s="3"/>
      <c r="F137" s="2" t="s">
        <v>179</v>
      </c>
      <c r="G137" s="2"/>
      <c r="H137" s="1" t="s">
        <v>95</v>
      </c>
      <c r="I137" s="1">
        <v>8915.0</v>
      </c>
      <c r="J137" s="1">
        <v>7.0</v>
      </c>
      <c r="K137" s="1">
        <v>145.0</v>
      </c>
      <c r="L137" s="1" t="s">
        <v>573</v>
      </c>
      <c r="M137" s="1" t="s">
        <v>775</v>
      </c>
      <c r="N137" s="1" t="s">
        <v>469</v>
      </c>
    </row>
    <row r="138" spans="1:15" customHeight="1" ht="15">
      <c r="A138" s="3" t="s">
        <v>91</v>
      </c>
      <c r="B138" s="3" t="s">
        <v>384</v>
      </c>
      <c r="C138" s="3" t="s">
        <v>422</v>
      </c>
      <c r="D138" s="3" t="s">
        <v>476</v>
      </c>
      <c r="E138" s="3" t="s">
        <v>487</v>
      </c>
      <c r="F138" s="2" t="s">
        <v>180</v>
      </c>
      <c r="G138" s="2"/>
      <c r="H138" s="1" t="s">
        <v>95</v>
      </c>
      <c r="I138" s="1">
        <v>8258.0</v>
      </c>
      <c r="J138" s="1">
        <v>6.0</v>
      </c>
      <c r="K138" s="1">
        <v>138.0</v>
      </c>
      <c r="L138" s="1" t="s">
        <v>574</v>
      </c>
      <c r="M138" s="1" t="s">
        <v>776</v>
      </c>
      <c r="N138" s="1" t="s">
        <v>469</v>
      </c>
    </row>
    <row r="139" spans="1:15" customHeight="1" ht="15">
      <c r="A139" s="3" t="s">
        <v>91</v>
      </c>
      <c r="B139" s="3" t="s">
        <v>384</v>
      </c>
      <c r="C139" s="3" t="s">
        <v>409</v>
      </c>
      <c r="D139" s="3" t="s">
        <v>479</v>
      </c>
      <c r="E139" s="3"/>
      <c r="F139" s="2" t="s">
        <v>180</v>
      </c>
      <c r="G139" s="2"/>
      <c r="H139" s="1" t="s">
        <v>95</v>
      </c>
      <c r="I139" s="1">
        <v>8258.0</v>
      </c>
      <c r="J139" s="1">
        <v>6.0</v>
      </c>
      <c r="K139" s="1">
        <v>138.0</v>
      </c>
      <c r="L139" s="1" t="s">
        <v>574</v>
      </c>
      <c r="M139" s="1" t="s">
        <v>776</v>
      </c>
      <c r="N139" s="1" t="s">
        <v>469</v>
      </c>
    </row>
    <row r="140" spans="1:15" customHeight="1" ht="15">
      <c r="A140" s="3" t="s">
        <v>91</v>
      </c>
      <c r="B140" s="3" t="s">
        <v>384</v>
      </c>
      <c r="C140" s="3" t="s">
        <v>422</v>
      </c>
      <c r="D140" s="3" t="s">
        <v>476</v>
      </c>
      <c r="E140" s="3" t="s">
        <v>487</v>
      </c>
      <c r="F140" s="2" t="s">
        <v>181</v>
      </c>
      <c r="G140" s="2"/>
      <c r="H140" s="1" t="s">
        <v>326</v>
      </c>
      <c r="I140" s="1">
        <v>5614.0</v>
      </c>
      <c r="J140" s="1">
        <v>7.0</v>
      </c>
      <c r="K140" s="1">
        <v>125.0</v>
      </c>
      <c r="L140" s="1" t="s">
        <v>575</v>
      </c>
      <c r="M140" s="1" t="s">
        <v>777</v>
      </c>
      <c r="N140" s="1" t="s">
        <v>482</v>
      </c>
    </row>
    <row r="141" spans="1:15" customHeight="1" ht="15">
      <c r="A141" s="3" t="s">
        <v>91</v>
      </c>
      <c r="B141" s="3" t="s">
        <v>384</v>
      </c>
      <c r="C141" s="3" t="s">
        <v>409</v>
      </c>
      <c r="D141" s="3" t="s">
        <v>479</v>
      </c>
      <c r="E141" s="3"/>
      <c r="F141" s="2" t="s">
        <v>181</v>
      </c>
      <c r="G141" s="2"/>
      <c r="H141" s="1" t="s">
        <v>326</v>
      </c>
      <c r="I141" s="1">
        <v>5614.0</v>
      </c>
      <c r="J141" s="1">
        <v>7.0</v>
      </c>
      <c r="K141" s="1">
        <v>125.0</v>
      </c>
      <c r="L141" s="1" t="s">
        <v>575</v>
      </c>
      <c r="M141" s="1" t="s">
        <v>777</v>
      </c>
      <c r="N141" s="1" t="s">
        <v>482</v>
      </c>
    </row>
    <row r="142" spans="1:15" customHeight="1" ht="15">
      <c r="A142" s="3" t="s">
        <v>91</v>
      </c>
      <c r="B142" s="3" t="s">
        <v>384</v>
      </c>
      <c r="C142" s="3" t="s">
        <v>422</v>
      </c>
      <c r="D142" s="3" t="s">
        <v>476</v>
      </c>
      <c r="E142" s="3" t="s">
        <v>487</v>
      </c>
      <c r="F142" s="2" t="s">
        <v>182</v>
      </c>
      <c r="G142" s="2"/>
      <c r="H142" s="1" t="s">
        <v>95</v>
      </c>
      <c r="I142" s="1">
        <v>174346.0</v>
      </c>
      <c r="J142" s="1">
        <v>9.0</v>
      </c>
      <c r="K142" s="1">
        <v>244.0</v>
      </c>
      <c r="L142" s="1" t="s">
        <v>576</v>
      </c>
      <c r="M142" s="1" t="s">
        <v>778</v>
      </c>
      <c r="N142" s="1" t="s">
        <v>918</v>
      </c>
    </row>
    <row r="143" spans="1:15" customHeight="1" ht="15">
      <c r="A143" s="3" t="s">
        <v>91</v>
      </c>
      <c r="B143" s="3" t="s">
        <v>384</v>
      </c>
      <c r="C143" s="3" t="s">
        <v>409</v>
      </c>
      <c r="D143" s="3" t="s">
        <v>479</v>
      </c>
      <c r="E143" s="3"/>
      <c r="F143" s="2" t="s">
        <v>182</v>
      </c>
      <c r="G143" s="2"/>
      <c r="H143" s="1" t="s">
        <v>95</v>
      </c>
      <c r="I143" s="1">
        <v>174346.0</v>
      </c>
      <c r="J143" s="1">
        <v>9.0</v>
      </c>
      <c r="K143" s="1">
        <v>244.0</v>
      </c>
      <c r="L143" s="1" t="s">
        <v>576</v>
      </c>
      <c r="M143" s="1" t="s">
        <v>778</v>
      </c>
      <c r="N143" s="1" t="s">
        <v>918</v>
      </c>
    </row>
    <row r="144" spans="1:15" customHeight="1" ht="15">
      <c r="A144" s="3" t="s">
        <v>91</v>
      </c>
      <c r="B144" s="3" t="s">
        <v>384</v>
      </c>
      <c r="C144" s="3" t="s">
        <v>422</v>
      </c>
      <c r="D144" s="3" t="s">
        <v>476</v>
      </c>
      <c r="E144" s="3" t="s">
        <v>487</v>
      </c>
      <c r="F144" s="2" t="s">
        <v>183</v>
      </c>
      <c r="G144" s="2"/>
      <c r="H144" s="1" t="s">
        <v>95</v>
      </c>
      <c r="I144" s="1">
        <v>110956.0</v>
      </c>
      <c r="J144" s="1">
        <v>8.0</v>
      </c>
      <c r="K144" s="1">
        <v>792.0</v>
      </c>
      <c r="L144" s="1" t="s">
        <v>577</v>
      </c>
      <c r="M144" s="1" t="s">
        <v>779</v>
      </c>
      <c r="N144" s="1" t="s">
        <v>382</v>
      </c>
    </row>
    <row r="145" spans="1:15" customHeight="1" ht="15">
      <c r="A145" s="3" t="s">
        <v>91</v>
      </c>
      <c r="B145" s="3" t="s">
        <v>384</v>
      </c>
      <c r="C145" s="3" t="s">
        <v>422</v>
      </c>
      <c r="D145" s="3" t="s">
        <v>477</v>
      </c>
      <c r="E145" s="3"/>
      <c r="F145" s="2" t="s">
        <v>183</v>
      </c>
      <c r="G145" s="2"/>
      <c r="H145" s="1" t="s">
        <v>95</v>
      </c>
      <c r="I145" s="1">
        <v>110956.0</v>
      </c>
      <c r="J145" s="1">
        <v>8.0</v>
      </c>
      <c r="K145" s="1">
        <v>792.0</v>
      </c>
      <c r="L145" s="1" t="s">
        <v>577</v>
      </c>
      <c r="M145" s="1" t="s">
        <v>779</v>
      </c>
      <c r="N145" s="1" t="s">
        <v>382</v>
      </c>
    </row>
    <row r="146" spans="1:15" customHeight="1" ht="15">
      <c r="A146" s="3" t="s">
        <v>91</v>
      </c>
      <c r="B146" s="3" t="s">
        <v>384</v>
      </c>
      <c r="C146" s="3" t="s">
        <v>409</v>
      </c>
      <c r="D146" s="3" t="s">
        <v>479</v>
      </c>
      <c r="E146" s="3"/>
      <c r="F146" s="2" t="s">
        <v>183</v>
      </c>
      <c r="G146" s="2"/>
      <c r="H146" s="1" t="s">
        <v>95</v>
      </c>
      <c r="I146" s="1">
        <v>110956.0</v>
      </c>
      <c r="J146" s="1">
        <v>8.0</v>
      </c>
      <c r="K146" s="1">
        <v>792.0</v>
      </c>
      <c r="L146" s="1" t="s">
        <v>577</v>
      </c>
      <c r="M146" s="1" t="s">
        <v>779</v>
      </c>
      <c r="N146" s="1" t="s">
        <v>382</v>
      </c>
    </row>
    <row r="147" spans="1:15" customHeight="1" ht="15">
      <c r="A147" s="3" t="s">
        <v>91</v>
      </c>
      <c r="B147" s="3" t="s">
        <v>384</v>
      </c>
      <c r="C147" s="3" t="s">
        <v>422</v>
      </c>
      <c r="D147" s="3" t="s">
        <v>476</v>
      </c>
      <c r="E147" s="3" t="s">
        <v>487</v>
      </c>
      <c r="F147" s="2" t="s">
        <v>184</v>
      </c>
      <c r="G147" s="2"/>
      <c r="H147" s="1" t="s">
        <v>95</v>
      </c>
      <c r="I147" s="1">
        <v>12730.0</v>
      </c>
      <c r="J147" s="1">
        <v>7.0</v>
      </c>
      <c r="K147" s="1">
        <v>119.0</v>
      </c>
      <c r="L147" s="1" t="s">
        <v>578</v>
      </c>
      <c r="M147" s="1" t="s">
        <v>780</v>
      </c>
      <c r="N147" s="1" t="s">
        <v>470</v>
      </c>
    </row>
    <row r="148" spans="1:15" customHeight="1" ht="15">
      <c r="A148" s="3" t="s">
        <v>91</v>
      </c>
      <c r="B148" s="3" t="s">
        <v>384</v>
      </c>
      <c r="C148" s="3" t="s">
        <v>409</v>
      </c>
      <c r="D148" s="3" t="s">
        <v>479</v>
      </c>
      <c r="E148" s="3"/>
      <c r="F148" s="2" t="s">
        <v>184</v>
      </c>
      <c r="G148" s="2"/>
      <c r="H148" s="1" t="s">
        <v>95</v>
      </c>
      <c r="I148" s="1">
        <v>12730.0</v>
      </c>
      <c r="J148" s="1">
        <v>7.0</v>
      </c>
      <c r="K148" s="1">
        <v>119.0</v>
      </c>
      <c r="L148" s="1" t="s">
        <v>578</v>
      </c>
      <c r="M148" s="1" t="s">
        <v>780</v>
      </c>
      <c r="N148" s="1" t="s">
        <v>470</v>
      </c>
    </row>
    <row r="149" spans="1:15" customHeight="1" ht="15">
      <c r="A149" s="3" t="s">
        <v>91</v>
      </c>
      <c r="B149" s="3" t="s">
        <v>384</v>
      </c>
      <c r="C149" s="3" t="s">
        <v>422</v>
      </c>
      <c r="D149" s="3" t="s">
        <v>476</v>
      </c>
      <c r="E149" s="3" t="s">
        <v>487</v>
      </c>
      <c r="F149" s="2" t="s">
        <v>185</v>
      </c>
      <c r="G149" s="2"/>
      <c r="H149" s="1" t="s">
        <v>95</v>
      </c>
      <c r="I149" s="1">
        <v>8361.0</v>
      </c>
      <c r="J149" s="1">
        <v>8.0</v>
      </c>
      <c r="K149" s="1">
        <v>181.0</v>
      </c>
      <c r="L149" s="1" t="s">
        <v>579</v>
      </c>
      <c r="M149" s="1" t="s">
        <v>781</v>
      </c>
      <c r="N149" s="1" t="s">
        <v>482</v>
      </c>
    </row>
    <row r="150" spans="1:15" customHeight="1" ht="15">
      <c r="A150" s="3" t="s">
        <v>91</v>
      </c>
      <c r="B150" s="3" t="s">
        <v>384</v>
      </c>
      <c r="C150" s="3" t="s">
        <v>409</v>
      </c>
      <c r="D150" s="3" t="s">
        <v>479</v>
      </c>
      <c r="E150" s="3"/>
      <c r="F150" s="2" t="s">
        <v>185</v>
      </c>
      <c r="G150" s="2"/>
      <c r="H150" s="1" t="s">
        <v>95</v>
      </c>
      <c r="I150" s="1">
        <v>8361.0</v>
      </c>
      <c r="J150" s="1">
        <v>8.0</v>
      </c>
      <c r="K150" s="1">
        <v>181.0</v>
      </c>
      <c r="L150" s="1" t="s">
        <v>579</v>
      </c>
      <c r="M150" s="1" t="s">
        <v>781</v>
      </c>
      <c r="N150" s="1" t="s">
        <v>482</v>
      </c>
    </row>
    <row r="151" spans="1:15" customHeight="1" ht="15">
      <c r="A151" s="3" t="s">
        <v>91</v>
      </c>
      <c r="B151" s="3" t="s">
        <v>384</v>
      </c>
      <c r="C151" s="3" t="s">
        <v>422</v>
      </c>
      <c r="D151" s="3" t="s">
        <v>476</v>
      </c>
      <c r="E151" s="3" t="s">
        <v>487</v>
      </c>
      <c r="F151" s="2" t="s">
        <v>186</v>
      </c>
      <c r="G151" s="2"/>
      <c r="H151" s="1" t="s">
        <v>95</v>
      </c>
      <c r="I151" s="1">
        <v>17668.0</v>
      </c>
      <c r="J151" s="1">
        <v>10.0</v>
      </c>
      <c r="K151" s="1">
        <v>625.0</v>
      </c>
      <c r="L151" s="1" t="s">
        <v>580</v>
      </c>
      <c r="M151" s="1" t="s">
        <v>782</v>
      </c>
      <c r="N151" s="1" t="s">
        <v>404</v>
      </c>
    </row>
    <row r="152" spans="1:15" customHeight="1" ht="15">
      <c r="A152" s="3" t="s">
        <v>91</v>
      </c>
      <c r="B152" s="3" t="s">
        <v>384</v>
      </c>
      <c r="C152" s="3" t="s">
        <v>409</v>
      </c>
      <c r="D152" s="3" t="s">
        <v>479</v>
      </c>
      <c r="E152" s="3"/>
      <c r="F152" s="2" t="s">
        <v>186</v>
      </c>
      <c r="G152" s="2"/>
      <c r="H152" s="1" t="s">
        <v>95</v>
      </c>
      <c r="I152" s="1">
        <v>17668.0</v>
      </c>
      <c r="J152" s="1">
        <v>10.0</v>
      </c>
      <c r="K152" s="1">
        <v>625.0</v>
      </c>
      <c r="L152" s="1" t="s">
        <v>580</v>
      </c>
      <c r="M152" s="1" t="s">
        <v>782</v>
      </c>
      <c r="N152" s="1" t="s">
        <v>404</v>
      </c>
    </row>
    <row r="153" spans="1:15" customHeight="1" ht="15">
      <c r="A153" s="3" t="s">
        <v>91</v>
      </c>
      <c r="B153" s="3" t="s">
        <v>384</v>
      </c>
      <c r="C153" s="3" t="s">
        <v>422</v>
      </c>
      <c r="D153" s="3" t="s">
        <v>476</v>
      </c>
      <c r="E153" s="3" t="s">
        <v>487</v>
      </c>
      <c r="F153" s="2" t="s">
        <v>187</v>
      </c>
      <c r="G153" s="2"/>
      <c r="H153" s="1" t="s">
        <v>95</v>
      </c>
      <c r="I153" s="1">
        <v>7452.0</v>
      </c>
      <c r="J153" s="1">
        <v>8.0</v>
      </c>
      <c r="K153" s="1">
        <v>206.0</v>
      </c>
      <c r="L153" s="1" t="s">
        <v>581</v>
      </c>
      <c r="M153" s="1" t="s">
        <v>783</v>
      </c>
      <c r="N153" s="1" t="s">
        <v>469</v>
      </c>
    </row>
    <row r="154" spans="1:15" customHeight="1" ht="15">
      <c r="A154" s="3" t="s">
        <v>91</v>
      </c>
      <c r="B154" s="3" t="s">
        <v>384</v>
      </c>
      <c r="C154" s="3" t="s">
        <v>409</v>
      </c>
      <c r="D154" s="3" t="s">
        <v>479</v>
      </c>
      <c r="E154" s="3"/>
      <c r="F154" s="2" t="s">
        <v>187</v>
      </c>
      <c r="G154" s="2"/>
      <c r="H154" s="1" t="s">
        <v>95</v>
      </c>
      <c r="I154" s="1">
        <v>7452.0</v>
      </c>
      <c r="J154" s="1">
        <v>8.0</v>
      </c>
      <c r="K154" s="1">
        <v>206.0</v>
      </c>
      <c r="L154" s="1" t="s">
        <v>581</v>
      </c>
      <c r="M154" s="1" t="s">
        <v>783</v>
      </c>
      <c r="N154" s="1" t="s">
        <v>469</v>
      </c>
    </row>
    <row r="155" spans="1:15" customHeight="1" ht="15">
      <c r="A155" s="3" t="s">
        <v>91</v>
      </c>
      <c r="B155" s="3" t="s">
        <v>384</v>
      </c>
      <c r="C155" s="3" t="s">
        <v>422</v>
      </c>
      <c r="D155" s="3" t="s">
        <v>476</v>
      </c>
      <c r="E155" s="3" t="s">
        <v>487</v>
      </c>
      <c r="F155" s="2" t="s">
        <v>188</v>
      </c>
      <c r="G155" s="2"/>
      <c r="H155" s="1" t="s">
        <v>95</v>
      </c>
      <c r="I155" s="1">
        <v>12522.0</v>
      </c>
      <c r="J155" s="1">
        <v>7.0</v>
      </c>
      <c r="K155" s="1">
        <v>121.0</v>
      </c>
      <c r="L155" s="1" t="s">
        <v>582</v>
      </c>
      <c r="M155" s="1" t="s">
        <v>784</v>
      </c>
      <c r="N155" s="1" t="s">
        <v>482</v>
      </c>
    </row>
    <row r="156" spans="1:15" customHeight="1" ht="15">
      <c r="A156" s="3" t="s">
        <v>91</v>
      </c>
      <c r="B156" s="3" t="s">
        <v>384</v>
      </c>
      <c r="C156" s="3" t="s">
        <v>409</v>
      </c>
      <c r="D156" s="3" t="s">
        <v>479</v>
      </c>
      <c r="E156" s="3"/>
      <c r="F156" s="2" t="s">
        <v>188</v>
      </c>
      <c r="G156" s="2"/>
      <c r="H156" s="1" t="s">
        <v>95</v>
      </c>
      <c r="I156" s="1">
        <v>12522.0</v>
      </c>
      <c r="J156" s="1">
        <v>7.0</v>
      </c>
      <c r="K156" s="1">
        <v>121.0</v>
      </c>
      <c r="L156" s="1" t="s">
        <v>582</v>
      </c>
      <c r="M156" s="1" t="s">
        <v>784</v>
      </c>
      <c r="N156" s="1" t="s">
        <v>482</v>
      </c>
    </row>
    <row r="157" spans="1:15" customHeight="1" ht="15">
      <c r="A157" s="3" t="s">
        <v>91</v>
      </c>
      <c r="B157" s="3" t="s">
        <v>384</v>
      </c>
      <c r="C157" s="3" t="s">
        <v>422</v>
      </c>
      <c r="D157" s="3" t="s">
        <v>476</v>
      </c>
      <c r="E157" s="3" t="s">
        <v>487</v>
      </c>
      <c r="F157" s="2" t="s">
        <v>189</v>
      </c>
      <c r="G157" s="2"/>
      <c r="H157" s="1" t="s">
        <v>95</v>
      </c>
      <c r="I157" s="1">
        <v>9213.0</v>
      </c>
      <c r="J157" s="1">
        <v>8.0</v>
      </c>
      <c r="K157" s="1">
        <v>283.0</v>
      </c>
      <c r="L157" s="1" t="s">
        <v>583</v>
      </c>
      <c r="M157" s="1" t="s">
        <v>785</v>
      </c>
      <c r="N157" s="1" t="s">
        <v>482</v>
      </c>
    </row>
    <row r="158" spans="1:15" customHeight="1" ht="15">
      <c r="A158" s="3" t="s">
        <v>91</v>
      </c>
      <c r="B158" s="3" t="s">
        <v>384</v>
      </c>
      <c r="C158" s="3" t="s">
        <v>409</v>
      </c>
      <c r="D158" s="3" t="s">
        <v>479</v>
      </c>
      <c r="E158" s="3"/>
      <c r="F158" s="2" t="s">
        <v>189</v>
      </c>
      <c r="G158" s="2"/>
      <c r="H158" s="1" t="s">
        <v>95</v>
      </c>
      <c r="I158" s="1">
        <v>9213.0</v>
      </c>
      <c r="J158" s="1">
        <v>8.0</v>
      </c>
      <c r="K158" s="1">
        <v>283.0</v>
      </c>
      <c r="L158" s="1" t="s">
        <v>583</v>
      </c>
      <c r="M158" s="1" t="s">
        <v>785</v>
      </c>
      <c r="N158" s="1" t="s">
        <v>482</v>
      </c>
    </row>
    <row r="159" spans="1:15" customHeight="1" ht="15">
      <c r="A159" s="3" t="s">
        <v>91</v>
      </c>
      <c r="B159" s="3" t="s">
        <v>384</v>
      </c>
      <c r="C159" s="3" t="s">
        <v>422</v>
      </c>
      <c r="D159" s="3" t="s">
        <v>476</v>
      </c>
      <c r="E159" s="3" t="s">
        <v>487</v>
      </c>
      <c r="F159" s="2" t="s">
        <v>190</v>
      </c>
      <c r="G159" s="2"/>
      <c r="H159" s="1" t="s">
        <v>95</v>
      </c>
      <c r="I159" s="1">
        <v>10430.0</v>
      </c>
      <c r="J159" s="1">
        <v>7.0</v>
      </c>
      <c r="K159" s="1">
        <v>118.0</v>
      </c>
      <c r="L159" s="1" t="s">
        <v>584</v>
      </c>
      <c r="M159" s="1" t="s">
        <v>786</v>
      </c>
      <c r="N159" s="1" t="s">
        <v>470</v>
      </c>
    </row>
    <row r="160" spans="1:15" customHeight="1" ht="15">
      <c r="A160" s="3" t="s">
        <v>91</v>
      </c>
      <c r="B160" s="3" t="s">
        <v>384</v>
      </c>
      <c r="C160" s="3" t="s">
        <v>409</v>
      </c>
      <c r="D160" s="3" t="s">
        <v>479</v>
      </c>
      <c r="E160" s="3"/>
      <c r="F160" s="2" t="s">
        <v>190</v>
      </c>
      <c r="G160" s="2"/>
      <c r="H160" s="1" t="s">
        <v>95</v>
      </c>
      <c r="I160" s="1">
        <v>10430.0</v>
      </c>
      <c r="J160" s="1">
        <v>7.0</v>
      </c>
      <c r="K160" s="1">
        <v>118.0</v>
      </c>
      <c r="L160" s="1" t="s">
        <v>584</v>
      </c>
      <c r="M160" s="1" t="s">
        <v>786</v>
      </c>
      <c r="N160" s="1" t="s">
        <v>470</v>
      </c>
    </row>
    <row r="161" spans="1:15" customHeight="1" ht="15">
      <c r="A161" s="3" t="s">
        <v>91</v>
      </c>
      <c r="B161" s="3" t="s">
        <v>384</v>
      </c>
      <c r="C161" s="3" t="s">
        <v>422</v>
      </c>
      <c r="D161" s="3" t="s">
        <v>476</v>
      </c>
      <c r="E161" s="3" t="s">
        <v>487</v>
      </c>
      <c r="F161" s="2" t="s">
        <v>191</v>
      </c>
      <c r="G161" s="2"/>
      <c r="H161" s="1" t="s">
        <v>95</v>
      </c>
      <c r="I161" s="1">
        <v>1627.0</v>
      </c>
      <c r="J161" s="1">
        <v>8.0</v>
      </c>
      <c r="K161" s="1">
        <v>256.0</v>
      </c>
      <c r="L161" s="1" t="s">
        <v>585</v>
      </c>
      <c r="M161" s="1" t="s">
        <v>787</v>
      </c>
      <c r="N161" s="1" t="s">
        <v>482</v>
      </c>
    </row>
    <row r="162" spans="1:15" customHeight="1" ht="15">
      <c r="A162" s="3" t="s">
        <v>91</v>
      </c>
      <c r="B162" s="3" t="s">
        <v>384</v>
      </c>
      <c r="C162" s="3" t="s">
        <v>409</v>
      </c>
      <c r="D162" s="3" t="s">
        <v>479</v>
      </c>
      <c r="E162" s="3"/>
      <c r="F162" s="2" t="s">
        <v>191</v>
      </c>
      <c r="G162" s="2"/>
      <c r="H162" s="1" t="s">
        <v>95</v>
      </c>
      <c r="I162" s="1">
        <v>1627.0</v>
      </c>
      <c r="J162" s="1">
        <v>8.0</v>
      </c>
      <c r="K162" s="1">
        <v>256.0</v>
      </c>
      <c r="L162" s="1" t="s">
        <v>585</v>
      </c>
      <c r="M162" s="1" t="s">
        <v>787</v>
      </c>
      <c r="N162" s="1" t="s">
        <v>482</v>
      </c>
    </row>
    <row r="163" spans="1:15" customHeight="1" ht="15">
      <c r="A163" s="3" t="s">
        <v>91</v>
      </c>
      <c r="B163" s="3" t="s">
        <v>384</v>
      </c>
      <c r="C163" s="3" t="s">
        <v>422</v>
      </c>
      <c r="D163" s="3" t="s">
        <v>476</v>
      </c>
      <c r="E163" s="3" t="s">
        <v>487</v>
      </c>
      <c r="F163" s="2" t="s">
        <v>192</v>
      </c>
      <c r="G163" s="2"/>
      <c r="H163" s="1" t="s">
        <v>95</v>
      </c>
      <c r="I163" s="1">
        <v>15656.0</v>
      </c>
      <c r="J163" s="1">
        <v>7.0</v>
      </c>
      <c r="K163" s="1">
        <v>279.0</v>
      </c>
      <c r="L163" s="1" t="s">
        <v>586</v>
      </c>
      <c r="M163" s="1" t="s">
        <v>788</v>
      </c>
      <c r="N163" s="1" t="s">
        <v>482</v>
      </c>
    </row>
    <row r="164" spans="1:15" customHeight="1" ht="15">
      <c r="A164" s="3" t="s">
        <v>91</v>
      </c>
      <c r="B164" s="3" t="s">
        <v>384</v>
      </c>
      <c r="C164" s="3" t="s">
        <v>409</v>
      </c>
      <c r="D164" s="3" t="s">
        <v>479</v>
      </c>
      <c r="E164" s="3"/>
      <c r="F164" s="2" t="s">
        <v>192</v>
      </c>
      <c r="G164" s="2"/>
      <c r="H164" s="1" t="s">
        <v>95</v>
      </c>
      <c r="I164" s="1">
        <v>15656.0</v>
      </c>
      <c r="J164" s="1">
        <v>7.0</v>
      </c>
      <c r="K164" s="1">
        <v>279.0</v>
      </c>
      <c r="L164" s="1" t="s">
        <v>586</v>
      </c>
      <c r="M164" s="1" t="s">
        <v>788</v>
      </c>
      <c r="N164" s="1" t="s">
        <v>482</v>
      </c>
    </row>
    <row r="165" spans="1:15" customHeight="1" ht="15">
      <c r="A165" s="3" t="s">
        <v>91</v>
      </c>
      <c r="B165" s="3" t="s">
        <v>384</v>
      </c>
      <c r="C165" s="3" t="s">
        <v>422</v>
      </c>
      <c r="D165" s="3" t="s">
        <v>476</v>
      </c>
      <c r="E165" s="3" t="s">
        <v>487</v>
      </c>
      <c r="F165" s="2" t="s">
        <v>193</v>
      </c>
      <c r="G165" s="2"/>
      <c r="H165" s="1" t="s">
        <v>95</v>
      </c>
      <c r="I165" s="1">
        <v>11433.0</v>
      </c>
      <c r="J165" s="1">
        <v>7.0</v>
      </c>
      <c r="K165" s="1">
        <v>240.0</v>
      </c>
      <c r="L165" s="1" t="s">
        <v>587</v>
      </c>
      <c r="M165" s="1" t="s">
        <v>789</v>
      </c>
      <c r="N165" s="1" t="s">
        <v>469</v>
      </c>
    </row>
    <row r="166" spans="1:15" customHeight="1" ht="15">
      <c r="A166" s="3" t="s">
        <v>91</v>
      </c>
      <c r="B166" s="3" t="s">
        <v>384</v>
      </c>
      <c r="C166" s="3" t="s">
        <v>409</v>
      </c>
      <c r="D166" s="3" t="s">
        <v>479</v>
      </c>
      <c r="E166" s="3"/>
      <c r="F166" s="2" t="s">
        <v>193</v>
      </c>
      <c r="G166" s="2"/>
      <c r="H166" s="1" t="s">
        <v>95</v>
      </c>
      <c r="I166" s="1">
        <v>11433.0</v>
      </c>
      <c r="J166" s="1">
        <v>7.0</v>
      </c>
      <c r="K166" s="1">
        <v>240.0</v>
      </c>
      <c r="L166" s="1" t="s">
        <v>587</v>
      </c>
      <c r="M166" s="1" t="s">
        <v>789</v>
      </c>
      <c r="N166" s="1" t="s">
        <v>469</v>
      </c>
    </row>
    <row r="167" spans="1:15" customHeight="1" ht="15">
      <c r="A167" s="3" t="s">
        <v>91</v>
      </c>
      <c r="B167" s="3" t="s">
        <v>384</v>
      </c>
      <c r="C167" s="3" t="s">
        <v>422</v>
      </c>
      <c r="D167" s="3" t="s">
        <v>476</v>
      </c>
      <c r="E167" s="3" t="s">
        <v>487</v>
      </c>
      <c r="F167" s="2" t="s">
        <v>194</v>
      </c>
      <c r="G167" s="2"/>
      <c r="H167" s="1" t="s">
        <v>95</v>
      </c>
      <c r="I167" s="1">
        <v>12694.0</v>
      </c>
      <c r="J167" s="1">
        <v>7.0</v>
      </c>
      <c r="K167" s="1">
        <v>2.0</v>
      </c>
      <c r="L167" s="1" t="s">
        <v>588</v>
      </c>
      <c r="M167" s="1" t="s">
        <v>790</v>
      </c>
      <c r="N167" s="1" t="s">
        <v>920</v>
      </c>
    </row>
    <row r="168" spans="1:15" customHeight="1" ht="15">
      <c r="A168" s="3" t="s">
        <v>91</v>
      </c>
      <c r="B168" s="3" t="s">
        <v>384</v>
      </c>
      <c r="C168" s="3" t="s">
        <v>409</v>
      </c>
      <c r="D168" s="3" t="s">
        <v>479</v>
      </c>
      <c r="E168" s="3"/>
      <c r="F168" s="2" t="s">
        <v>194</v>
      </c>
      <c r="G168" s="2"/>
      <c r="H168" s="1" t="s">
        <v>95</v>
      </c>
      <c r="I168" s="1">
        <v>12694.0</v>
      </c>
      <c r="J168" s="1">
        <v>7.0</v>
      </c>
      <c r="K168" s="1">
        <v>2.0</v>
      </c>
      <c r="L168" s="1" t="s">
        <v>588</v>
      </c>
      <c r="M168" s="1" t="s">
        <v>790</v>
      </c>
      <c r="N168" s="1" t="s">
        <v>920</v>
      </c>
    </row>
    <row r="169" spans="1:15" customHeight="1" ht="15">
      <c r="A169" s="3" t="s">
        <v>91</v>
      </c>
      <c r="B169" s="3" t="s">
        <v>384</v>
      </c>
      <c r="C169" s="3" t="s">
        <v>422</v>
      </c>
      <c r="D169" s="3" t="s">
        <v>476</v>
      </c>
      <c r="E169" s="3" t="s">
        <v>487</v>
      </c>
      <c r="F169" s="2" t="s">
        <v>195</v>
      </c>
      <c r="G169" s="2"/>
      <c r="H169" s="1" t="s">
        <v>95</v>
      </c>
      <c r="I169" s="1">
        <v>11234.0</v>
      </c>
      <c r="J169" s="1">
        <v>7.0</v>
      </c>
      <c r="K169" s="1">
        <v>156.0</v>
      </c>
      <c r="L169" s="1" t="s">
        <v>589</v>
      </c>
      <c r="M169" s="1" t="s">
        <v>791</v>
      </c>
      <c r="N169" s="1" t="s">
        <v>470</v>
      </c>
    </row>
    <row r="170" spans="1:15" customHeight="1" ht="15">
      <c r="A170" s="3" t="s">
        <v>91</v>
      </c>
      <c r="B170" s="3" t="s">
        <v>384</v>
      </c>
      <c r="C170" s="3" t="s">
        <v>409</v>
      </c>
      <c r="D170" s="3" t="s">
        <v>479</v>
      </c>
      <c r="E170" s="3"/>
      <c r="F170" s="2" t="s">
        <v>195</v>
      </c>
      <c r="G170" s="2"/>
      <c r="H170" s="1" t="s">
        <v>95</v>
      </c>
      <c r="I170" s="1">
        <v>11234.0</v>
      </c>
      <c r="J170" s="1">
        <v>7.0</v>
      </c>
      <c r="K170" s="1">
        <v>156.0</v>
      </c>
      <c r="L170" s="1" t="s">
        <v>589</v>
      </c>
      <c r="M170" s="1" t="s">
        <v>791</v>
      </c>
      <c r="N170" s="1" t="s">
        <v>470</v>
      </c>
    </row>
    <row r="171" spans="1:15" customHeight="1" ht="15">
      <c r="A171" s="3" t="s">
        <v>91</v>
      </c>
      <c r="B171" s="3" t="s">
        <v>384</v>
      </c>
      <c r="C171" s="3" t="s">
        <v>422</v>
      </c>
      <c r="D171" s="3" t="s">
        <v>476</v>
      </c>
      <c r="E171" s="3" t="s">
        <v>487</v>
      </c>
      <c r="F171" s="2" t="s">
        <v>196</v>
      </c>
      <c r="G171" s="2"/>
      <c r="H171" s="1" t="s">
        <v>95</v>
      </c>
      <c r="I171" s="1">
        <v>9745.0</v>
      </c>
      <c r="J171" s="1">
        <v>10.0</v>
      </c>
      <c r="K171" s="1">
        <v>237.0</v>
      </c>
      <c r="L171" s="1" t="s">
        <v>590</v>
      </c>
      <c r="M171" s="1" t="s">
        <v>792</v>
      </c>
      <c r="N171" s="1" t="s">
        <v>382</v>
      </c>
    </row>
    <row r="172" spans="1:15" customHeight="1" ht="15">
      <c r="A172" s="3" t="s">
        <v>91</v>
      </c>
      <c r="B172" s="3" t="s">
        <v>384</v>
      </c>
      <c r="C172" s="3" t="s">
        <v>409</v>
      </c>
      <c r="D172" s="3" t="s">
        <v>479</v>
      </c>
      <c r="E172" s="3"/>
      <c r="F172" s="2" t="s">
        <v>196</v>
      </c>
      <c r="G172" s="2"/>
      <c r="H172" s="1" t="s">
        <v>95</v>
      </c>
      <c r="I172" s="1">
        <v>9745.0</v>
      </c>
      <c r="J172" s="1">
        <v>10.0</v>
      </c>
      <c r="K172" s="1">
        <v>237.0</v>
      </c>
      <c r="L172" s="1" t="s">
        <v>590</v>
      </c>
      <c r="M172" s="1" t="s">
        <v>792</v>
      </c>
      <c r="N172" s="1" t="s">
        <v>382</v>
      </c>
    </row>
    <row r="173" spans="1:15" customHeight="1" ht="15">
      <c r="A173" s="3" t="s">
        <v>91</v>
      </c>
      <c r="B173" s="3" t="s">
        <v>384</v>
      </c>
      <c r="C173" s="3" t="s">
        <v>422</v>
      </c>
      <c r="D173" s="3" t="s">
        <v>476</v>
      </c>
      <c r="E173" s="3" t="s">
        <v>487</v>
      </c>
      <c r="F173" s="2" t="s">
        <v>197</v>
      </c>
      <c r="G173" s="2"/>
      <c r="H173" s="1" t="s">
        <v>95</v>
      </c>
      <c r="I173" s="1">
        <v>14678.0</v>
      </c>
      <c r="J173" s="1">
        <v>10.0</v>
      </c>
      <c r="K173" s="1">
        <v>457.0</v>
      </c>
      <c r="L173" s="1" t="s">
        <v>591</v>
      </c>
      <c r="M173" s="1" t="s">
        <v>793</v>
      </c>
      <c r="N173" s="1" t="s">
        <v>404</v>
      </c>
    </row>
    <row r="174" spans="1:15" customHeight="1" ht="15">
      <c r="A174" s="3" t="s">
        <v>91</v>
      </c>
      <c r="B174" s="3" t="s">
        <v>384</v>
      </c>
      <c r="C174" s="3" t="s">
        <v>409</v>
      </c>
      <c r="D174" s="3" t="s">
        <v>479</v>
      </c>
      <c r="E174" s="3"/>
      <c r="F174" s="2" t="s">
        <v>197</v>
      </c>
      <c r="G174" s="2"/>
      <c r="H174" s="1" t="s">
        <v>95</v>
      </c>
      <c r="I174" s="1">
        <v>14678.0</v>
      </c>
      <c r="J174" s="1">
        <v>10.0</v>
      </c>
      <c r="K174" s="1">
        <v>457.0</v>
      </c>
      <c r="L174" s="1" t="s">
        <v>591</v>
      </c>
      <c r="M174" s="1" t="s">
        <v>793</v>
      </c>
      <c r="N174" s="1" t="s">
        <v>404</v>
      </c>
    </row>
    <row r="175" spans="1:15" customHeight="1" ht="15">
      <c r="A175" s="3" t="s">
        <v>91</v>
      </c>
      <c r="B175" s="3" t="s">
        <v>384</v>
      </c>
      <c r="C175" s="3" t="s">
        <v>422</v>
      </c>
      <c r="D175" s="3" t="s">
        <v>476</v>
      </c>
      <c r="E175" s="3" t="s">
        <v>487</v>
      </c>
      <c r="F175" s="2" t="s">
        <v>198</v>
      </c>
      <c r="G175" s="2"/>
      <c r="H175" s="1" t="s">
        <v>95</v>
      </c>
      <c r="I175" s="1">
        <v>12311.0</v>
      </c>
      <c r="J175" s="1">
        <v>6.0</v>
      </c>
      <c r="K175" s="1">
        <v>182.0</v>
      </c>
      <c r="L175" s="1" t="s">
        <v>592</v>
      </c>
      <c r="M175" s="1" t="s">
        <v>794</v>
      </c>
      <c r="N175" s="1" t="s">
        <v>470</v>
      </c>
    </row>
    <row r="176" spans="1:15" customHeight="1" ht="15">
      <c r="A176" s="3" t="s">
        <v>91</v>
      </c>
      <c r="B176" s="3" t="s">
        <v>384</v>
      </c>
      <c r="C176" s="3" t="s">
        <v>409</v>
      </c>
      <c r="D176" s="3" t="s">
        <v>479</v>
      </c>
      <c r="E176" s="3"/>
      <c r="F176" s="2" t="s">
        <v>198</v>
      </c>
      <c r="G176" s="2"/>
      <c r="H176" s="1" t="s">
        <v>95</v>
      </c>
      <c r="I176" s="1">
        <v>12311.0</v>
      </c>
      <c r="J176" s="1">
        <v>6.0</v>
      </c>
      <c r="K176" s="1">
        <v>182.0</v>
      </c>
      <c r="L176" s="1" t="s">
        <v>592</v>
      </c>
      <c r="M176" s="1" t="s">
        <v>794</v>
      </c>
      <c r="N176" s="1" t="s">
        <v>470</v>
      </c>
    </row>
    <row r="177" spans="1:15" customHeight="1" ht="15">
      <c r="A177" s="3" t="s">
        <v>91</v>
      </c>
      <c r="B177" s="3" t="s">
        <v>384</v>
      </c>
      <c r="C177" s="3" t="s">
        <v>422</v>
      </c>
      <c r="D177" s="3" t="s">
        <v>476</v>
      </c>
      <c r="E177" s="3" t="s">
        <v>489</v>
      </c>
      <c r="F177" s="2" t="s">
        <v>199</v>
      </c>
      <c r="G177" s="2"/>
      <c r="H177" s="1" t="s">
        <v>95</v>
      </c>
      <c r="I177" s="1">
        <v>10865.0</v>
      </c>
      <c r="J177" s="1">
        <v>7.0</v>
      </c>
      <c r="K177" s="1">
        <v>122.0</v>
      </c>
      <c r="L177" s="1" t="s">
        <v>593</v>
      </c>
      <c r="M177" s="1" t="s">
        <v>795</v>
      </c>
      <c r="N177" s="1" t="s">
        <v>482</v>
      </c>
    </row>
    <row r="178" spans="1:15" customHeight="1" ht="15">
      <c r="A178" s="3" t="s">
        <v>91</v>
      </c>
      <c r="B178" s="3" t="s">
        <v>384</v>
      </c>
      <c r="C178" s="3" t="s">
        <v>409</v>
      </c>
      <c r="D178" s="3" t="s">
        <v>479</v>
      </c>
      <c r="E178" s="3"/>
      <c r="F178" s="2" t="s">
        <v>199</v>
      </c>
      <c r="G178" s="2"/>
      <c r="H178" s="1" t="s">
        <v>95</v>
      </c>
      <c r="I178" s="1">
        <v>10865.0</v>
      </c>
      <c r="J178" s="1">
        <v>7.0</v>
      </c>
      <c r="K178" s="1">
        <v>122.0</v>
      </c>
      <c r="L178" s="1" t="s">
        <v>593</v>
      </c>
      <c r="M178" s="1" t="s">
        <v>795</v>
      </c>
      <c r="N178" s="1" t="s">
        <v>482</v>
      </c>
    </row>
    <row r="179" spans="1:15" customHeight="1" ht="15">
      <c r="A179" s="3" t="s">
        <v>91</v>
      </c>
      <c r="B179" s="3" t="s">
        <v>384</v>
      </c>
      <c r="C179" s="3" t="s">
        <v>422</v>
      </c>
      <c r="D179" s="3" t="s">
        <v>476</v>
      </c>
      <c r="E179" s="3" t="s">
        <v>487</v>
      </c>
      <c r="F179" s="2" t="s">
        <v>200</v>
      </c>
      <c r="G179" s="2"/>
      <c r="H179" s="1" t="s">
        <v>95</v>
      </c>
      <c r="I179" s="1">
        <v>75335.0</v>
      </c>
      <c r="J179" s="1">
        <v>7.0</v>
      </c>
      <c r="K179" s="1">
        <v>930.0</v>
      </c>
      <c r="L179" s="1" t="s">
        <v>594</v>
      </c>
      <c r="M179" s="1" t="s">
        <v>796</v>
      </c>
      <c r="N179" s="1" t="s">
        <v>482</v>
      </c>
    </row>
    <row r="180" spans="1:15" customHeight="1" ht="15">
      <c r="A180" s="3" t="s">
        <v>91</v>
      </c>
      <c r="B180" s="3" t="s">
        <v>384</v>
      </c>
      <c r="C180" s="3" t="s">
        <v>409</v>
      </c>
      <c r="D180" s="3" t="s">
        <v>479</v>
      </c>
      <c r="E180" s="3"/>
      <c r="F180" s="2" t="s">
        <v>200</v>
      </c>
      <c r="G180" s="2"/>
      <c r="H180" s="1" t="s">
        <v>95</v>
      </c>
      <c r="I180" s="1">
        <v>75335.0</v>
      </c>
      <c r="J180" s="1">
        <v>7.0</v>
      </c>
      <c r="K180" s="1">
        <v>930.0</v>
      </c>
      <c r="L180" s="1" t="s">
        <v>594</v>
      </c>
      <c r="M180" s="1" t="s">
        <v>796</v>
      </c>
      <c r="N180" s="1" t="s">
        <v>482</v>
      </c>
    </row>
    <row r="181" spans="1:15" customHeight="1" ht="15">
      <c r="A181" s="3" t="s">
        <v>91</v>
      </c>
      <c r="B181" s="3" t="s">
        <v>384</v>
      </c>
      <c r="C181" s="3" t="s">
        <v>422</v>
      </c>
      <c r="D181" s="3" t="s">
        <v>476</v>
      </c>
      <c r="E181" s="3" t="s">
        <v>487</v>
      </c>
      <c r="F181" s="2" t="s">
        <v>201</v>
      </c>
      <c r="G181" s="2"/>
      <c r="H181" s="1" t="s">
        <v>95</v>
      </c>
      <c r="I181" s="1">
        <v>95402.0</v>
      </c>
      <c r="J181" s="1">
        <v>7.0</v>
      </c>
      <c r="K181" s="1">
        <v>909.0</v>
      </c>
      <c r="L181" s="1" t="s">
        <v>595</v>
      </c>
      <c r="M181" s="1" t="s">
        <v>797</v>
      </c>
      <c r="N181" s="1" t="s">
        <v>482</v>
      </c>
    </row>
    <row r="182" spans="1:15" customHeight="1" ht="15">
      <c r="A182" s="3" t="s">
        <v>91</v>
      </c>
      <c r="B182" s="3" t="s">
        <v>384</v>
      </c>
      <c r="C182" s="3" t="s">
        <v>409</v>
      </c>
      <c r="D182" s="3" t="s">
        <v>479</v>
      </c>
      <c r="E182" s="3"/>
      <c r="F182" s="2" t="s">
        <v>201</v>
      </c>
      <c r="G182" s="2"/>
      <c r="H182" s="1" t="s">
        <v>95</v>
      </c>
      <c r="I182" s="1">
        <v>95402.0</v>
      </c>
      <c r="J182" s="1">
        <v>7.0</v>
      </c>
      <c r="K182" s="1">
        <v>909.0</v>
      </c>
      <c r="L182" s="1" t="s">
        <v>595</v>
      </c>
      <c r="M182" s="1" t="s">
        <v>797</v>
      </c>
      <c r="N182" s="1" t="s">
        <v>482</v>
      </c>
    </row>
    <row r="183" spans="1:15" customHeight="1" ht="15">
      <c r="A183" s="3" t="s">
        <v>91</v>
      </c>
      <c r="B183" s="3" t="s">
        <v>384</v>
      </c>
      <c r="C183" s="3" t="s">
        <v>422</v>
      </c>
      <c r="D183" s="3" t="s">
        <v>476</v>
      </c>
      <c r="E183" s="3" t="s">
        <v>487</v>
      </c>
      <c r="F183" s="2" t="s">
        <v>202</v>
      </c>
      <c r="G183" s="2"/>
      <c r="H183" s="1" t="s">
        <v>326</v>
      </c>
      <c r="I183" s="1">
        <v>75278.0</v>
      </c>
      <c r="J183" s="1">
        <v>5.0</v>
      </c>
      <c r="K183" s="1">
        <v>1.0</v>
      </c>
      <c r="L183" s="1" t="s">
        <v>596</v>
      </c>
      <c r="M183" s="1" t="s">
        <v>798</v>
      </c>
      <c r="N183" s="1" t="s">
        <v>922</v>
      </c>
    </row>
    <row r="184" spans="1:15" customHeight="1" ht="15">
      <c r="A184" s="3" t="s">
        <v>91</v>
      </c>
      <c r="B184" s="3" t="s">
        <v>384</v>
      </c>
      <c r="C184" s="3" t="s">
        <v>409</v>
      </c>
      <c r="D184" s="3" t="s">
        <v>479</v>
      </c>
      <c r="E184" s="3"/>
      <c r="F184" s="2" t="s">
        <v>202</v>
      </c>
      <c r="G184" s="2"/>
      <c r="H184" s="1" t="s">
        <v>326</v>
      </c>
      <c r="I184" s="1">
        <v>75278.0</v>
      </c>
      <c r="J184" s="1">
        <v>5.0</v>
      </c>
      <c r="K184" s="1">
        <v>1.0</v>
      </c>
      <c r="L184" s="1" t="s">
        <v>596</v>
      </c>
      <c r="M184" s="1" t="s">
        <v>798</v>
      </c>
      <c r="N184" s="1" t="s">
        <v>922</v>
      </c>
    </row>
    <row r="185" spans="1:15" customHeight="1" ht="15">
      <c r="A185" s="3" t="s">
        <v>91</v>
      </c>
      <c r="B185" s="3" t="s">
        <v>384</v>
      </c>
      <c r="C185" s="3" t="s">
        <v>422</v>
      </c>
      <c r="D185" s="3" t="s">
        <v>476</v>
      </c>
      <c r="E185" s="3" t="s">
        <v>487</v>
      </c>
      <c r="F185" s="2" t="s">
        <v>203</v>
      </c>
      <c r="G185" s="2"/>
      <c r="H185" s="1" t="s">
        <v>95</v>
      </c>
      <c r="I185" s="1">
        <v>197561.0</v>
      </c>
      <c r="J185" s="1">
        <v>1.0</v>
      </c>
      <c r="K185" s="1">
        <v>0.0</v>
      </c>
      <c r="L185" s="1" t="s">
        <v>597</v>
      </c>
      <c r="M185" s="1" t="s">
        <v>387</v>
      </c>
      <c r="N185" s="1" t="s">
        <v>922</v>
      </c>
    </row>
    <row r="186" spans="1:15" customHeight="1" ht="15">
      <c r="A186" s="3" t="s">
        <v>91</v>
      </c>
      <c r="B186" s="3" t="s">
        <v>384</v>
      </c>
      <c r="C186" s="3" t="s">
        <v>409</v>
      </c>
      <c r="D186" s="3" t="s">
        <v>479</v>
      </c>
      <c r="E186" s="3"/>
      <c r="F186" s="2" t="s">
        <v>203</v>
      </c>
      <c r="G186" s="2"/>
      <c r="H186" s="1" t="s">
        <v>95</v>
      </c>
      <c r="I186" s="1">
        <v>197561.0</v>
      </c>
      <c r="J186" s="1">
        <v>1.0</v>
      </c>
      <c r="K186" s="1">
        <v>0.0</v>
      </c>
      <c r="L186" s="1" t="s">
        <v>597</v>
      </c>
      <c r="M186" s="1" t="s">
        <v>387</v>
      </c>
      <c r="N186" s="1" t="s">
        <v>922</v>
      </c>
    </row>
    <row r="187" spans="1:15" customHeight="1" ht="15">
      <c r="A187" s="3" t="s">
        <v>91</v>
      </c>
      <c r="B187" s="3" t="s">
        <v>384</v>
      </c>
      <c r="C187" s="3" t="s">
        <v>422</v>
      </c>
      <c r="D187" s="3" t="s">
        <v>476</v>
      </c>
      <c r="E187" s="3" t="s">
        <v>487</v>
      </c>
      <c r="F187" s="2" t="s">
        <v>204</v>
      </c>
      <c r="G187" s="2"/>
      <c r="H187" s="1" t="s">
        <v>95</v>
      </c>
      <c r="I187" s="1">
        <v>101112.0</v>
      </c>
      <c r="J187" s="1">
        <v>1.0</v>
      </c>
      <c r="K187" s="1">
        <v>0.0</v>
      </c>
      <c r="L187" s="1" t="s">
        <v>598</v>
      </c>
      <c r="M187" s="1" t="s">
        <v>387</v>
      </c>
      <c r="N187" s="1" t="s">
        <v>922</v>
      </c>
    </row>
    <row r="188" spans="1:15" customHeight="1" ht="15">
      <c r="A188" s="3" t="s">
        <v>91</v>
      </c>
      <c r="B188" s="3" t="s">
        <v>384</v>
      </c>
      <c r="C188" s="3" t="s">
        <v>422</v>
      </c>
      <c r="D188" s="3" t="s">
        <v>477</v>
      </c>
      <c r="E188" s="3"/>
      <c r="F188" s="2" t="s">
        <v>204</v>
      </c>
      <c r="G188" s="2"/>
      <c r="H188" s="1" t="s">
        <v>95</v>
      </c>
      <c r="I188" s="1">
        <v>101112.0</v>
      </c>
      <c r="J188" s="1">
        <v>1.0</v>
      </c>
      <c r="K188" s="1">
        <v>0.0</v>
      </c>
      <c r="L188" s="1" t="s">
        <v>598</v>
      </c>
      <c r="M188" s="1" t="s">
        <v>387</v>
      </c>
      <c r="N188" s="1" t="s">
        <v>922</v>
      </c>
    </row>
    <row r="189" spans="1:15" customHeight="1" ht="15">
      <c r="A189" s="3" t="s">
        <v>91</v>
      </c>
      <c r="B189" s="3" t="s">
        <v>384</v>
      </c>
      <c r="C189" s="3" t="s">
        <v>409</v>
      </c>
      <c r="D189" s="3" t="s">
        <v>479</v>
      </c>
      <c r="E189" s="3"/>
      <c r="F189" s="2" t="s">
        <v>204</v>
      </c>
      <c r="G189" s="2"/>
      <c r="H189" s="1" t="s">
        <v>95</v>
      </c>
      <c r="I189" s="1">
        <v>101112.0</v>
      </c>
      <c r="J189" s="1">
        <v>1.0</v>
      </c>
      <c r="K189" s="1">
        <v>0.0</v>
      </c>
      <c r="L189" s="1" t="s">
        <v>598</v>
      </c>
      <c r="M189" s="1" t="s">
        <v>387</v>
      </c>
      <c r="N189" s="1" t="s">
        <v>922</v>
      </c>
    </row>
    <row r="190" spans="1:15" customHeight="1" ht="15">
      <c r="A190" s="3" t="s">
        <v>91</v>
      </c>
      <c r="B190" s="3" t="s">
        <v>384</v>
      </c>
      <c r="C190" s="3" t="s">
        <v>422</v>
      </c>
      <c r="D190" s="3" t="s">
        <v>476</v>
      </c>
      <c r="E190" s="3" t="s">
        <v>487</v>
      </c>
      <c r="F190" s="2" t="s">
        <v>205</v>
      </c>
      <c r="G190" s="2"/>
      <c r="H190" s="1" t="s">
        <v>95</v>
      </c>
      <c r="I190" s="1">
        <v>130024.0</v>
      </c>
      <c r="J190" s="1">
        <v>7.0</v>
      </c>
      <c r="K190" s="1">
        <v>470.0</v>
      </c>
      <c r="L190" s="1" t="s">
        <v>599</v>
      </c>
      <c r="M190" s="1" t="s">
        <v>799</v>
      </c>
      <c r="N190" s="1" t="s">
        <v>482</v>
      </c>
    </row>
    <row r="191" spans="1:15" customHeight="1" ht="15">
      <c r="A191" s="3" t="s">
        <v>91</v>
      </c>
      <c r="B191" s="3" t="s">
        <v>384</v>
      </c>
      <c r="C191" s="3" t="s">
        <v>422</v>
      </c>
      <c r="D191" s="3" t="s">
        <v>477</v>
      </c>
      <c r="E191" s="3"/>
      <c r="F191" s="2" t="s">
        <v>205</v>
      </c>
      <c r="G191" s="2"/>
      <c r="H191" s="1" t="s">
        <v>95</v>
      </c>
      <c r="I191" s="1">
        <v>130024.0</v>
      </c>
      <c r="J191" s="1">
        <v>7.0</v>
      </c>
      <c r="K191" s="1">
        <v>470.0</v>
      </c>
      <c r="L191" s="1" t="s">
        <v>599</v>
      </c>
      <c r="M191" s="1" t="s">
        <v>799</v>
      </c>
      <c r="N191" s="1" t="s">
        <v>482</v>
      </c>
    </row>
    <row r="192" spans="1:15" customHeight="1" ht="15">
      <c r="A192" s="3" t="s">
        <v>91</v>
      </c>
      <c r="B192" s="3" t="s">
        <v>384</v>
      </c>
      <c r="C192" s="3" t="s">
        <v>409</v>
      </c>
      <c r="D192" s="3" t="s">
        <v>479</v>
      </c>
      <c r="E192" s="3"/>
      <c r="F192" s="2" t="s">
        <v>205</v>
      </c>
      <c r="G192" s="2"/>
      <c r="H192" s="1" t="s">
        <v>95</v>
      </c>
      <c r="I192" s="1">
        <v>130024.0</v>
      </c>
      <c r="J192" s="1">
        <v>7.0</v>
      </c>
      <c r="K192" s="1">
        <v>470.0</v>
      </c>
      <c r="L192" s="1" t="s">
        <v>599</v>
      </c>
      <c r="M192" s="1" t="s">
        <v>799</v>
      </c>
      <c r="N192" s="1" t="s">
        <v>482</v>
      </c>
    </row>
    <row r="193" spans="1:15" customHeight="1" ht="15">
      <c r="A193" s="3" t="s">
        <v>91</v>
      </c>
      <c r="B193" s="3" t="s">
        <v>384</v>
      </c>
      <c r="C193" s="3" t="s">
        <v>422</v>
      </c>
      <c r="D193" s="3" t="s">
        <v>476</v>
      </c>
      <c r="E193" s="3" t="s">
        <v>487</v>
      </c>
      <c r="F193" s="2" t="s">
        <v>206</v>
      </c>
      <c r="G193" s="2"/>
      <c r="H193" s="1" t="s">
        <v>95</v>
      </c>
      <c r="I193" s="1">
        <v>132593.0</v>
      </c>
      <c r="J193" s="1">
        <v>5.0</v>
      </c>
      <c r="K193" s="1">
        <v>205.0</v>
      </c>
      <c r="L193" s="1" t="s">
        <v>600</v>
      </c>
      <c r="M193" s="1" t="s">
        <v>800</v>
      </c>
      <c r="N193" s="1" t="s">
        <v>402</v>
      </c>
    </row>
    <row r="194" spans="1:15" customHeight="1" ht="15">
      <c r="A194" s="3" t="s">
        <v>91</v>
      </c>
      <c r="B194" s="3" t="s">
        <v>384</v>
      </c>
      <c r="C194" s="3" t="s">
        <v>422</v>
      </c>
      <c r="D194" s="3" t="s">
        <v>477</v>
      </c>
      <c r="E194" s="3"/>
      <c r="F194" s="2" t="s">
        <v>206</v>
      </c>
      <c r="G194" s="2"/>
      <c r="H194" s="1" t="s">
        <v>95</v>
      </c>
      <c r="I194" s="1">
        <v>132593.0</v>
      </c>
      <c r="J194" s="1">
        <v>5.0</v>
      </c>
      <c r="K194" s="1">
        <v>205.0</v>
      </c>
      <c r="L194" s="1" t="s">
        <v>600</v>
      </c>
      <c r="M194" s="1" t="s">
        <v>800</v>
      </c>
      <c r="N194" s="1" t="s">
        <v>402</v>
      </c>
    </row>
    <row r="195" spans="1:15" customHeight="1" ht="15">
      <c r="A195" s="3" t="s">
        <v>91</v>
      </c>
      <c r="B195" s="3" t="s">
        <v>384</v>
      </c>
      <c r="C195" s="3" t="s">
        <v>409</v>
      </c>
      <c r="D195" s="3" t="s">
        <v>479</v>
      </c>
      <c r="E195" s="3"/>
      <c r="F195" s="2" t="s">
        <v>206</v>
      </c>
      <c r="G195" s="2"/>
      <c r="H195" s="1" t="s">
        <v>95</v>
      </c>
      <c r="I195" s="1">
        <v>132593.0</v>
      </c>
      <c r="J195" s="1">
        <v>5.0</v>
      </c>
      <c r="K195" s="1">
        <v>205.0</v>
      </c>
      <c r="L195" s="1" t="s">
        <v>600</v>
      </c>
      <c r="M195" s="1" t="s">
        <v>800</v>
      </c>
      <c r="N195" s="1" t="s">
        <v>402</v>
      </c>
    </row>
    <row r="196" spans="1:15" customHeight="1" ht="15">
      <c r="A196" s="3" t="s">
        <v>91</v>
      </c>
      <c r="B196" s="3" t="s">
        <v>384</v>
      </c>
      <c r="C196" s="3" t="s">
        <v>422</v>
      </c>
      <c r="D196" s="3" t="s">
        <v>476</v>
      </c>
      <c r="E196" s="3" t="s">
        <v>487</v>
      </c>
      <c r="F196" s="2" t="s">
        <v>207</v>
      </c>
      <c r="G196" s="2"/>
      <c r="H196" s="1" t="s">
        <v>95</v>
      </c>
      <c r="I196" s="1">
        <v>95225.0</v>
      </c>
      <c r="J196" s="1">
        <v>3.0</v>
      </c>
      <c r="K196" s="1">
        <v>217.0</v>
      </c>
      <c r="L196" s="1" t="s">
        <v>601</v>
      </c>
      <c r="M196" s="1" t="s">
        <v>801</v>
      </c>
      <c r="N196" s="1" t="s">
        <v>462</v>
      </c>
    </row>
    <row r="197" spans="1:15" customHeight="1" ht="15">
      <c r="A197" s="3" t="s">
        <v>91</v>
      </c>
      <c r="B197" s="3" t="s">
        <v>384</v>
      </c>
      <c r="C197" s="3" t="s">
        <v>422</v>
      </c>
      <c r="D197" s="3" t="s">
        <v>477</v>
      </c>
      <c r="E197" s="3"/>
      <c r="F197" s="2" t="s">
        <v>207</v>
      </c>
      <c r="G197" s="2"/>
      <c r="H197" s="1" t="s">
        <v>95</v>
      </c>
      <c r="I197" s="1">
        <v>95225.0</v>
      </c>
      <c r="J197" s="1">
        <v>3.0</v>
      </c>
      <c r="K197" s="1">
        <v>217.0</v>
      </c>
      <c r="L197" s="1" t="s">
        <v>601</v>
      </c>
      <c r="M197" s="1" t="s">
        <v>801</v>
      </c>
      <c r="N197" s="1" t="s">
        <v>462</v>
      </c>
    </row>
    <row r="198" spans="1:15" customHeight="1" ht="15">
      <c r="A198" s="3" t="s">
        <v>91</v>
      </c>
      <c r="B198" s="3" t="s">
        <v>384</v>
      </c>
      <c r="C198" s="3" t="s">
        <v>409</v>
      </c>
      <c r="D198" s="3" t="s">
        <v>479</v>
      </c>
      <c r="E198" s="3"/>
      <c r="F198" s="2" t="s">
        <v>207</v>
      </c>
      <c r="G198" s="2"/>
      <c r="H198" s="1" t="s">
        <v>95</v>
      </c>
      <c r="I198" s="1">
        <v>95225.0</v>
      </c>
      <c r="J198" s="1">
        <v>3.0</v>
      </c>
      <c r="K198" s="1">
        <v>217.0</v>
      </c>
      <c r="L198" s="1" t="s">
        <v>601</v>
      </c>
      <c r="M198" s="1" t="s">
        <v>801</v>
      </c>
      <c r="N198" s="1" t="s">
        <v>462</v>
      </c>
    </row>
    <row r="199" spans="1:15" customHeight="1" ht="15">
      <c r="A199" s="3" t="s">
        <v>91</v>
      </c>
      <c r="B199" s="3" t="s">
        <v>384</v>
      </c>
      <c r="C199" s="3" t="s">
        <v>422</v>
      </c>
      <c r="D199" s="3" t="s">
        <v>476</v>
      </c>
      <c r="E199" s="3" t="s">
        <v>487</v>
      </c>
      <c r="F199" s="2" t="s">
        <v>208</v>
      </c>
      <c r="G199" s="2"/>
      <c r="H199" s="1" t="s">
        <v>95</v>
      </c>
      <c r="I199" s="1">
        <v>74634.0</v>
      </c>
      <c r="J199" s="1">
        <v>6.0</v>
      </c>
      <c r="K199" s="1">
        <v>565.0</v>
      </c>
      <c r="L199" s="1" t="s">
        <v>602</v>
      </c>
      <c r="M199" s="1" t="s">
        <v>802</v>
      </c>
      <c r="N199" s="1" t="s">
        <v>469</v>
      </c>
    </row>
    <row r="200" spans="1:15" customHeight="1" ht="15">
      <c r="A200" s="3" t="s">
        <v>91</v>
      </c>
      <c r="B200" s="3" t="s">
        <v>384</v>
      </c>
      <c r="C200" s="3" t="s">
        <v>422</v>
      </c>
      <c r="D200" s="3" t="s">
        <v>477</v>
      </c>
      <c r="E200" s="3"/>
      <c r="F200" s="2" t="s">
        <v>208</v>
      </c>
      <c r="G200" s="2"/>
      <c r="H200" s="1" t="s">
        <v>95</v>
      </c>
      <c r="I200" s="1">
        <v>74634.0</v>
      </c>
      <c r="J200" s="1">
        <v>6.0</v>
      </c>
      <c r="K200" s="1">
        <v>565.0</v>
      </c>
      <c r="L200" s="1" t="s">
        <v>602</v>
      </c>
      <c r="M200" s="1" t="s">
        <v>802</v>
      </c>
      <c r="N200" s="1" t="s">
        <v>469</v>
      </c>
    </row>
    <row r="201" spans="1:15" customHeight="1" ht="15">
      <c r="A201" s="3" t="s">
        <v>91</v>
      </c>
      <c r="B201" s="3" t="s">
        <v>384</v>
      </c>
      <c r="C201" s="3" t="s">
        <v>409</v>
      </c>
      <c r="D201" s="3" t="s">
        <v>479</v>
      </c>
      <c r="E201" s="3"/>
      <c r="F201" s="2" t="s">
        <v>208</v>
      </c>
      <c r="G201" s="2"/>
      <c r="H201" s="1" t="s">
        <v>95</v>
      </c>
      <c r="I201" s="1">
        <v>74634.0</v>
      </c>
      <c r="J201" s="1">
        <v>6.0</v>
      </c>
      <c r="K201" s="1">
        <v>565.0</v>
      </c>
      <c r="L201" s="1" t="s">
        <v>602</v>
      </c>
      <c r="M201" s="1" t="s">
        <v>802</v>
      </c>
      <c r="N201" s="1" t="s">
        <v>469</v>
      </c>
    </row>
    <row r="202" spans="1:15" customHeight="1" ht="15">
      <c r="A202" s="3" t="s">
        <v>91</v>
      </c>
      <c r="B202" s="3" t="s">
        <v>384</v>
      </c>
      <c r="C202" s="3" t="s">
        <v>422</v>
      </c>
      <c r="D202" s="3" t="s">
        <v>476</v>
      </c>
      <c r="E202" s="3" t="s">
        <v>487</v>
      </c>
      <c r="F202" s="2" t="s">
        <v>209</v>
      </c>
      <c r="G202" s="2"/>
      <c r="H202" s="1" t="s">
        <v>95</v>
      </c>
      <c r="I202" s="1">
        <v>29643.0</v>
      </c>
      <c r="J202" s="1">
        <v>3.0</v>
      </c>
      <c r="K202" s="1">
        <v>50.0</v>
      </c>
      <c r="L202" s="1" t="s">
        <v>603</v>
      </c>
      <c r="M202" s="1" t="s">
        <v>803</v>
      </c>
      <c r="N202" s="1" t="s">
        <v>462</v>
      </c>
    </row>
    <row r="203" spans="1:15" customHeight="1" ht="15">
      <c r="A203" s="3" t="s">
        <v>91</v>
      </c>
      <c r="B203" s="3" t="s">
        <v>384</v>
      </c>
      <c r="C203" s="3" t="s">
        <v>409</v>
      </c>
      <c r="D203" s="3" t="s">
        <v>479</v>
      </c>
      <c r="E203" s="3"/>
      <c r="F203" s="2" t="s">
        <v>209</v>
      </c>
      <c r="G203" s="2"/>
      <c r="H203" s="1" t="s">
        <v>95</v>
      </c>
      <c r="I203" s="1">
        <v>29643.0</v>
      </c>
      <c r="J203" s="1">
        <v>3.0</v>
      </c>
      <c r="K203" s="1">
        <v>50.0</v>
      </c>
      <c r="L203" s="1" t="s">
        <v>603</v>
      </c>
      <c r="M203" s="1" t="s">
        <v>803</v>
      </c>
      <c r="N203" s="1" t="s">
        <v>462</v>
      </c>
    </row>
    <row r="204" spans="1:15" customHeight="1" ht="15">
      <c r="A204" s="3" t="s">
        <v>91</v>
      </c>
      <c r="B204" s="3" t="s">
        <v>384</v>
      </c>
      <c r="C204" s="3" t="s">
        <v>422</v>
      </c>
      <c r="D204" s="3" t="s">
        <v>476</v>
      </c>
      <c r="E204" s="3" t="s">
        <v>487</v>
      </c>
      <c r="F204" s="2" t="s">
        <v>210</v>
      </c>
      <c r="G204" s="2"/>
      <c r="H204" s="1" t="s">
        <v>95</v>
      </c>
      <c r="I204" s="1">
        <v>69642.0</v>
      </c>
      <c r="J204" s="1">
        <v>5.0</v>
      </c>
      <c r="K204" s="1">
        <v>445.0</v>
      </c>
      <c r="L204" s="1" t="s">
        <v>604</v>
      </c>
      <c r="M204" s="1" t="s">
        <v>804</v>
      </c>
      <c r="N204" s="1" t="s">
        <v>402</v>
      </c>
    </row>
    <row r="205" spans="1:15" customHeight="1" ht="15">
      <c r="A205" s="3" t="s">
        <v>91</v>
      </c>
      <c r="B205" s="3" t="s">
        <v>384</v>
      </c>
      <c r="C205" s="3" t="s">
        <v>409</v>
      </c>
      <c r="D205" s="3" t="s">
        <v>479</v>
      </c>
      <c r="E205" s="3"/>
      <c r="F205" s="2" t="s">
        <v>210</v>
      </c>
      <c r="G205" s="2"/>
      <c r="H205" s="1" t="s">
        <v>95</v>
      </c>
      <c r="I205" s="1">
        <v>69642.0</v>
      </c>
      <c r="J205" s="1">
        <v>5.0</v>
      </c>
      <c r="K205" s="1">
        <v>445.0</v>
      </c>
      <c r="L205" s="1" t="s">
        <v>604</v>
      </c>
      <c r="M205" s="1" t="s">
        <v>804</v>
      </c>
      <c r="N205" s="1" t="s">
        <v>402</v>
      </c>
    </row>
    <row r="206" spans="1:15" customHeight="1" ht="15">
      <c r="A206" s="3" t="s">
        <v>91</v>
      </c>
      <c r="B206" s="3" t="s">
        <v>384</v>
      </c>
      <c r="C206" s="3" t="s">
        <v>422</v>
      </c>
      <c r="D206" s="3" t="s">
        <v>476</v>
      </c>
      <c r="E206" s="3" t="s">
        <v>487</v>
      </c>
      <c r="F206" s="2" t="s">
        <v>211</v>
      </c>
      <c r="G206" s="2"/>
      <c r="H206" s="1" t="s">
        <v>95</v>
      </c>
      <c r="I206" s="1">
        <v>74903.0</v>
      </c>
      <c r="J206" s="1">
        <v>4.0</v>
      </c>
      <c r="K206" s="1">
        <v>120.0</v>
      </c>
      <c r="L206" s="1" t="s">
        <v>605</v>
      </c>
      <c r="M206" s="1" t="s">
        <v>805</v>
      </c>
      <c r="N206" s="1" t="s">
        <v>921</v>
      </c>
    </row>
    <row r="207" spans="1:15" customHeight="1" ht="15">
      <c r="A207" s="3" t="s">
        <v>91</v>
      </c>
      <c r="B207" s="3" t="s">
        <v>384</v>
      </c>
      <c r="C207" s="3" t="s">
        <v>409</v>
      </c>
      <c r="D207" s="3" t="s">
        <v>479</v>
      </c>
      <c r="E207" s="3"/>
      <c r="F207" s="2" t="s">
        <v>211</v>
      </c>
      <c r="G207" s="2"/>
      <c r="H207" s="1" t="s">
        <v>95</v>
      </c>
      <c r="I207" s="1">
        <v>74903.0</v>
      </c>
      <c r="J207" s="1">
        <v>4.0</v>
      </c>
      <c r="K207" s="1">
        <v>120.0</v>
      </c>
      <c r="L207" s="1" t="s">
        <v>605</v>
      </c>
      <c r="M207" s="1" t="s">
        <v>805</v>
      </c>
      <c r="N207" s="1" t="s">
        <v>921</v>
      </c>
    </row>
    <row r="208" spans="1:15" customHeight="1" ht="15">
      <c r="A208" s="3" t="s">
        <v>91</v>
      </c>
      <c r="B208" s="3" t="s">
        <v>384</v>
      </c>
      <c r="C208" s="3" t="s">
        <v>422</v>
      </c>
      <c r="D208" s="3" t="s">
        <v>476</v>
      </c>
      <c r="E208" s="3" t="s">
        <v>487</v>
      </c>
      <c r="F208" s="2" t="s">
        <v>212</v>
      </c>
      <c r="G208" s="2"/>
      <c r="H208" s="1" t="s">
        <v>95</v>
      </c>
      <c r="I208" s="1">
        <v>5444.0</v>
      </c>
      <c r="J208" s="1">
        <v>5.0</v>
      </c>
      <c r="K208" s="1">
        <v>30.0</v>
      </c>
      <c r="L208" s="1" t="s">
        <v>606</v>
      </c>
      <c r="M208" s="1" t="s">
        <v>806</v>
      </c>
      <c r="N208" s="1" t="s">
        <v>921</v>
      </c>
    </row>
    <row r="209" spans="1:15" customHeight="1" ht="15">
      <c r="A209" s="3" t="s">
        <v>91</v>
      </c>
      <c r="B209" s="3" t="s">
        <v>384</v>
      </c>
      <c r="C209" s="3" t="s">
        <v>409</v>
      </c>
      <c r="D209" s="3" t="s">
        <v>479</v>
      </c>
      <c r="E209" s="3"/>
      <c r="F209" s="2" t="s">
        <v>212</v>
      </c>
      <c r="G209" s="2"/>
      <c r="H209" s="1" t="s">
        <v>95</v>
      </c>
      <c r="I209" s="1">
        <v>5444.0</v>
      </c>
      <c r="J209" s="1">
        <v>5.0</v>
      </c>
      <c r="K209" s="1">
        <v>30.0</v>
      </c>
      <c r="L209" s="1" t="s">
        <v>606</v>
      </c>
      <c r="M209" s="1" t="s">
        <v>806</v>
      </c>
      <c r="N209" s="1" t="s">
        <v>921</v>
      </c>
    </row>
    <row r="210" spans="1:15" customHeight="1" ht="15">
      <c r="A210" s="3" t="s">
        <v>91</v>
      </c>
      <c r="B210" s="3" t="s">
        <v>384</v>
      </c>
      <c r="C210" s="3" t="s">
        <v>422</v>
      </c>
      <c r="D210" s="3" t="s">
        <v>476</v>
      </c>
      <c r="E210" s="3" t="s">
        <v>487</v>
      </c>
      <c r="F210" s="2" t="s">
        <v>213</v>
      </c>
      <c r="G210" s="2"/>
      <c r="H210" s="1" t="s">
        <v>95</v>
      </c>
      <c r="I210" s="1">
        <v>6957.0</v>
      </c>
      <c r="J210" s="1">
        <v>6.0</v>
      </c>
      <c r="K210" s="1">
        <v>332.0</v>
      </c>
      <c r="L210" s="1" t="s">
        <v>607</v>
      </c>
      <c r="M210" s="1" t="s">
        <v>807</v>
      </c>
      <c r="N210" s="1" t="s">
        <v>469</v>
      </c>
    </row>
    <row r="211" spans="1:15" customHeight="1" ht="15">
      <c r="A211" s="3" t="s">
        <v>91</v>
      </c>
      <c r="B211" s="3" t="s">
        <v>384</v>
      </c>
      <c r="C211" s="3" t="s">
        <v>409</v>
      </c>
      <c r="D211" s="3" t="s">
        <v>479</v>
      </c>
      <c r="E211" s="3"/>
      <c r="F211" s="2" t="s">
        <v>213</v>
      </c>
      <c r="G211" s="2"/>
      <c r="H211" s="1" t="s">
        <v>95</v>
      </c>
      <c r="I211" s="1">
        <v>6957.0</v>
      </c>
      <c r="J211" s="1">
        <v>6.0</v>
      </c>
      <c r="K211" s="1">
        <v>332.0</v>
      </c>
      <c r="L211" s="1" t="s">
        <v>607</v>
      </c>
      <c r="M211" s="1" t="s">
        <v>807</v>
      </c>
      <c r="N211" s="1" t="s">
        <v>469</v>
      </c>
    </row>
    <row r="212" spans="1:15" customHeight="1" ht="15">
      <c r="A212" s="3" t="s">
        <v>91</v>
      </c>
      <c r="B212" s="3" t="s">
        <v>384</v>
      </c>
      <c r="C212" s="3" t="s">
        <v>422</v>
      </c>
      <c r="D212" s="3" t="s">
        <v>476</v>
      </c>
      <c r="E212" s="3" t="s">
        <v>487</v>
      </c>
      <c r="F212" s="2" t="s">
        <v>214</v>
      </c>
      <c r="G212" s="2"/>
      <c r="H212" s="1" t="s">
        <v>95</v>
      </c>
      <c r="I212" s="1">
        <v>7624.0</v>
      </c>
      <c r="J212" s="1">
        <v>6.0</v>
      </c>
      <c r="K212" s="1">
        <v>647.0</v>
      </c>
      <c r="L212" s="1" t="s">
        <v>608</v>
      </c>
      <c r="M212" s="1" t="s">
        <v>808</v>
      </c>
      <c r="N212" s="1" t="s">
        <v>469</v>
      </c>
    </row>
    <row r="213" spans="1:15" customHeight="1" ht="15">
      <c r="A213" s="3" t="s">
        <v>91</v>
      </c>
      <c r="B213" s="3" t="s">
        <v>384</v>
      </c>
      <c r="C213" s="3" t="s">
        <v>409</v>
      </c>
      <c r="D213" s="3" t="s">
        <v>479</v>
      </c>
      <c r="E213" s="3"/>
      <c r="F213" s="2" t="s">
        <v>214</v>
      </c>
      <c r="G213" s="2"/>
      <c r="H213" s="1" t="s">
        <v>95</v>
      </c>
      <c r="I213" s="1">
        <v>7624.0</v>
      </c>
      <c r="J213" s="1">
        <v>6.0</v>
      </c>
      <c r="K213" s="1">
        <v>647.0</v>
      </c>
      <c r="L213" s="1" t="s">
        <v>608</v>
      </c>
      <c r="M213" s="1" t="s">
        <v>808</v>
      </c>
      <c r="N213" s="1" t="s">
        <v>469</v>
      </c>
    </row>
    <row r="214" spans="1:15" customHeight="1" ht="15">
      <c r="A214" s="3" t="s">
        <v>91</v>
      </c>
      <c r="B214" s="3" t="s">
        <v>384</v>
      </c>
      <c r="C214" s="3" t="s">
        <v>422</v>
      </c>
      <c r="D214" s="3" t="s">
        <v>476</v>
      </c>
      <c r="E214" s="3" t="s">
        <v>487</v>
      </c>
      <c r="F214" s="2" t="s">
        <v>215</v>
      </c>
      <c r="G214" s="2"/>
      <c r="H214" s="1" t="s">
        <v>95</v>
      </c>
      <c r="I214" s="1">
        <v>87912.0</v>
      </c>
      <c r="J214" s="1">
        <v>6.0</v>
      </c>
      <c r="K214" s="1">
        <v>1003.0</v>
      </c>
      <c r="L214" s="1" t="s">
        <v>609</v>
      </c>
      <c r="M214" s="1" t="s">
        <v>809</v>
      </c>
      <c r="N214" s="1" t="s">
        <v>469</v>
      </c>
    </row>
    <row r="215" spans="1:15" customHeight="1" ht="15">
      <c r="A215" s="3" t="s">
        <v>91</v>
      </c>
      <c r="B215" s="3" t="s">
        <v>384</v>
      </c>
      <c r="C215" s="3" t="s">
        <v>409</v>
      </c>
      <c r="D215" s="3" t="s">
        <v>479</v>
      </c>
      <c r="E215" s="3"/>
      <c r="F215" s="2" t="s">
        <v>215</v>
      </c>
      <c r="G215" s="2"/>
      <c r="H215" s="1" t="s">
        <v>95</v>
      </c>
      <c r="I215" s="1">
        <v>87912.0</v>
      </c>
      <c r="J215" s="1">
        <v>6.0</v>
      </c>
      <c r="K215" s="1">
        <v>1003.0</v>
      </c>
      <c r="L215" s="1" t="s">
        <v>609</v>
      </c>
      <c r="M215" s="1" t="s">
        <v>809</v>
      </c>
      <c r="N215" s="1" t="s">
        <v>469</v>
      </c>
    </row>
    <row r="216" spans="1:15" customHeight="1" ht="15">
      <c r="A216" s="3" t="s">
        <v>91</v>
      </c>
      <c r="B216" s="3" t="s">
        <v>384</v>
      </c>
      <c r="C216" s="3" t="s">
        <v>422</v>
      </c>
      <c r="D216" s="3" t="s">
        <v>476</v>
      </c>
      <c r="E216" s="3" t="s">
        <v>487</v>
      </c>
      <c r="F216" s="2" t="s">
        <v>216</v>
      </c>
      <c r="G216" s="2"/>
      <c r="H216" s="1" t="s">
        <v>95</v>
      </c>
      <c r="I216" s="1">
        <v>62808.0</v>
      </c>
      <c r="J216" s="1">
        <v>6.0</v>
      </c>
      <c r="K216" s="1">
        <v>499.0</v>
      </c>
      <c r="L216" s="1" t="s">
        <v>610</v>
      </c>
      <c r="M216" s="1" t="s">
        <v>810</v>
      </c>
      <c r="N216" s="1" t="s">
        <v>469</v>
      </c>
    </row>
    <row r="217" spans="1:15" customHeight="1" ht="15">
      <c r="A217" s="3" t="s">
        <v>91</v>
      </c>
      <c r="B217" s="3" t="s">
        <v>384</v>
      </c>
      <c r="C217" s="3" t="s">
        <v>409</v>
      </c>
      <c r="D217" s="3" t="s">
        <v>479</v>
      </c>
      <c r="E217" s="3"/>
      <c r="F217" s="2" t="s">
        <v>216</v>
      </c>
      <c r="G217" s="2"/>
      <c r="H217" s="1" t="s">
        <v>95</v>
      </c>
      <c r="I217" s="1">
        <v>62808.0</v>
      </c>
      <c r="J217" s="1">
        <v>6.0</v>
      </c>
      <c r="K217" s="1">
        <v>499.0</v>
      </c>
      <c r="L217" s="1" t="s">
        <v>610</v>
      </c>
      <c r="M217" s="1" t="s">
        <v>810</v>
      </c>
      <c r="N217" s="1" t="s">
        <v>469</v>
      </c>
    </row>
    <row r="218" spans="1:15" customHeight="1" ht="15">
      <c r="A218" s="3" t="s">
        <v>91</v>
      </c>
      <c r="B218" s="3" t="s">
        <v>384</v>
      </c>
      <c r="C218" s="3" t="s">
        <v>422</v>
      </c>
      <c r="D218" s="3" t="s">
        <v>476</v>
      </c>
      <c r="E218" s="3" t="s">
        <v>487</v>
      </c>
      <c r="F218" s="2" t="s">
        <v>217</v>
      </c>
      <c r="G218" s="2"/>
      <c r="H218" s="1" t="s">
        <v>95</v>
      </c>
      <c r="I218" s="1">
        <v>10940.0</v>
      </c>
      <c r="J218" s="1">
        <v>6.0</v>
      </c>
      <c r="K218" s="1">
        <v>607.0</v>
      </c>
      <c r="L218" s="1" t="s">
        <v>611</v>
      </c>
      <c r="M218" s="1" t="s">
        <v>811</v>
      </c>
      <c r="N218" s="1" t="s">
        <v>469</v>
      </c>
    </row>
    <row r="219" spans="1:15" customHeight="1" ht="15">
      <c r="A219" s="3" t="s">
        <v>91</v>
      </c>
      <c r="B219" s="3" t="s">
        <v>384</v>
      </c>
      <c r="C219" s="3" t="s">
        <v>409</v>
      </c>
      <c r="D219" s="3" t="s">
        <v>479</v>
      </c>
      <c r="E219" s="3"/>
      <c r="F219" s="2" t="s">
        <v>217</v>
      </c>
      <c r="G219" s="2"/>
      <c r="H219" s="1" t="s">
        <v>95</v>
      </c>
      <c r="I219" s="1">
        <v>10940.0</v>
      </c>
      <c r="J219" s="1">
        <v>6.0</v>
      </c>
      <c r="K219" s="1">
        <v>607.0</v>
      </c>
      <c r="L219" s="1" t="s">
        <v>611</v>
      </c>
      <c r="M219" s="1" t="s">
        <v>811</v>
      </c>
      <c r="N219" s="1" t="s">
        <v>469</v>
      </c>
    </row>
    <row r="220" spans="1:15" customHeight="1" ht="15">
      <c r="A220" s="3" t="s">
        <v>91</v>
      </c>
      <c r="B220" s="3" t="s">
        <v>384</v>
      </c>
      <c r="C220" s="3" t="s">
        <v>422</v>
      </c>
      <c r="D220" s="3" t="s">
        <v>476</v>
      </c>
      <c r="E220" s="3" t="s">
        <v>487</v>
      </c>
      <c r="F220" s="2" t="s">
        <v>218</v>
      </c>
      <c r="G220" s="2"/>
      <c r="H220" s="1" t="s">
        <v>95</v>
      </c>
      <c r="I220" s="1">
        <v>2028.0</v>
      </c>
      <c r="J220" s="1">
        <v>6.0</v>
      </c>
      <c r="K220" s="1">
        <v>975.0</v>
      </c>
      <c r="L220" s="1" t="s">
        <v>612</v>
      </c>
      <c r="M220" s="1" t="s">
        <v>812</v>
      </c>
      <c r="N220" s="1" t="s">
        <v>469</v>
      </c>
    </row>
    <row r="221" spans="1:15" customHeight="1" ht="15">
      <c r="A221" s="3" t="s">
        <v>91</v>
      </c>
      <c r="B221" s="3" t="s">
        <v>384</v>
      </c>
      <c r="C221" s="3" t="s">
        <v>422</v>
      </c>
      <c r="D221" s="3" t="s">
        <v>477</v>
      </c>
      <c r="E221" s="3"/>
      <c r="F221" s="2" t="s">
        <v>218</v>
      </c>
      <c r="G221" s="2"/>
      <c r="H221" s="1" t="s">
        <v>95</v>
      </c>
      <c r="I221" s="1">
        <v>2028.0</v>
      </c>
      <c r="J221" s="1">
        <v>6.0</v>
      </c>
      <c r="K221" s="1">
        <v>975.0</v>
      </c>
      <c r="L221" s="1" t="s">
        <v>612</v>
      </c>
      <c r="M221" s="1" t="s">
        <v>812</v>
      </c>
      <c r="N221" s="1" t="s">
        <v>469</v>
      </c>
    </row>
    <row r="222" spans="1:15" customHeight="1" ht="15">
      <c r="A222" s="3" t="s">
        <v>91</v>
      </c>
      <c r="B222" s="3" t="s">
        <v>384</v>
      </c>
      <c r="C222" s="3" t="s">
        <v>409</v>
      </c>
      <c r="D222" s="3" t="s">
        <v>479</v>
      </c>
      <c r="E222" s="3"/>
      <c r="F222" s="2" t="s">
        <v>218</v>
      </c>
      <c r="G222" s="2"/>
      <c r="H222" s="1" t="s">
        <v>95</v>
      </c>
      <c r="I222" s="1">
        <v>2028.0</v>
      </c>
      <c r="J222" s="1">
        <v>6.0</v>
      </c>
      <c r="K222" s="1">
        <v>975.0</v>
      </c>
      <c r="L222" s="1" t="s">
        <v>612</v>
      </c>
      <c r="M222" s="1" t="s">
        <v>812</v>
      </c>
      <c r="N222" s="1" t="s">
        <v>469</v>
      </c>
    </row>
    <row r="223" spans="1:15" customHeight="1" ht="15">
      <c r="A223" s="3" t="s">
        <v>91</v>
      </c>
      <c r="B223" s="3" t="s">
        <v>384</v>
      </c>
      <c r="C223" s="3" t="s">
        <v>422</v>
      </c>
      <c r="D223" s="3" t="s">
        <v>476</v>
      </c>
      <c r="E223" s="3" t="s">
        <v>487</v>
      </c>
      <c r="F223" s="2" t="s">
        <v>219</v>
      </c>
      <c r="G223" s="2"/>
      <c r="H223" s="1" t="s">
        <v>95</v>
      </c>
      <c r="I223" s="1">
        <v>43841.0</v>
      </c>
      <c r="J223" s="1">
        <v>3.0</v>
      </c>
      <c r="K223" s="1">
        <v>293.0</v>
      </c>
      <c r="L223" s="1" t="s">
        <v>613</v>
      </c>
      <c r="M223" s="1" t="s">
        <v>813</v>
      </c>
      <c r="N223" s="1" t="s">
        <v>462</v>
      </c>
    </row>
    <row r="224" spans="1:15" customHeight="1" ht="15">
      <c r="A224" s="3" t="s">
        <v>91</v>
      </c>
      <c r="B224" s="3" t="s">
        <v>384</v>
      </c>
      <c r="C224" s="3" t="s">
        <v>409</v>
      </c>
      <c r="D224" s="3" t="s">
        <v>479</v>
      </c>
      <c r="E224" s="3"/>
      <c r="F224" s="2" t="s">
        <v>219</v>
      </c>
      <c r="G224" s="2"/>
      <c r="H224" s="1" t="s">
        <v>95</v>
      </c>
      <c r="I224" s="1">
        <v>43841.0</v>
      </c>
      <c r="J224" s="1">
        <v>3.0</v>
      </c>
      <c r="K224" s="1">
        <v>293.0</v>
      </c>
      <c r="L224" s="1" t="s">
        <v>613</v>
      </c>
      <c r="M224" s="1" t="s">
        <v>813</v>
      </c>
      <c r="N224" s="1" t="s">
        <v>462</v>
      </c>
    </row>
    <row r="225" spans="1:15" customHeight="1" ht="15">
      <c r="A225" s="3" t="s">
        <v>91</v>
      </c>
      <c r="B225" s="3" t="s">
        <v>384</v>
      </c>
      <c r="C225" s="3" t="s">
        <v>422</v>
      </c>
      <c r="D225" s="3" t="s">
        <v>476</v>
      </c>
      <c r="E225" s="3" t="s">
        <v>487</v>
      </c>
      <c r="F225" s="2" t="s">
        <v>220</v>
      </c>
      <c r="G225" s="2"/>
      <c r="H225" s="1" t="s">
        <v>95</v>
      </c>
      <c r="I225" s="1">
        <v>99817.0</v>
      </c>
      <c r="J225" s="1">
        <v>5.0</v>
      </c>
      <c r="K225" s="1">
        <v>229.0</v>
      </c>
      <c r="L225" s="1" t="s">
        <v>614</v>
      </c>
      <c r="M225" s="1" t="s">
        <v>814</v>
      </c>
      <c r="N225" s="1" t="s">
        <v>402</v>
      </c>
    </row>
    <row r="226" spans="1:15" customHeight="1" ht="15">
      <c r="A226" s="3" t="s">
        <v>91</v>
      </c>
      <c r="B226" s="3" t="s">
        <v>384</v>
      </c>
      <c r="C226" s="3" t="s">
        <v>409</v>
      </c>
      <c r="D226" s="3" t="s">
        <v>479</v>
      </c>
      <c r="E226" s="3"/>
      <c r="F226" s="2" t="s">
        <v>220</v>
      </c>
      <c r="G226" s="2"/>
      <c r="H226" s="1" t="s">
        <v>95</v>
      </c>
      <c r="I226" s="1">
        <v>99817.0</v>
      </c>
      <c r="J226" s="1">
        <v>5.0</v>
      </c>
      <c r="K226" s="1">
        <v>229.0</v>
      </c>
      <c r="L226" s="1" t="s">
        <v>614</v>
      </c>
      <c r="M226" s="1" t="s">
        <v>814</v>
      </c>
      <c r="N226" s="1" t="s">
        <v>402</v>
      </c>
    </row>
    <row r="227" spans="1:15" customHeight="1" ht="15">
      <c r="A227" s="3" t="s">
        <v>91</v>
      </c>
      <c r="B227" s="3" t="s">
        <v>384</v>
      </c>
      <c r="C227" s="3" t="s">
        <v>422</v>
      </c>
      <c r="D227" s="3" t="s">
        <v>476</v>
      </c>
      <c r="E227" s="3" t="s">
        <v>487</v>
      </c>
      <c r="F227" s="2" t="s">
        <v>221</v>
      </c>
      <c r="G227" s="2"/>
      <c r="H227" s="1" t="s">
        <v>95</v>
      </c>
      <c r="I227" s="1">
        <v>6414.0</v>
      </c>
      <c r="J227" s="1">
        <v>5.0</v>
      </c>
      <c r="K227" s="1">
        <v>527.0</v>
      </c>
      <c r="L227" s="1" t="s">
        <v>615</v>
      </c>
      <c r="M227" s="1" t="s">
        <v>815</v>
      </c>
      <c r="N227" s="1" t="s">
        <v>470</v>
      </c>
    </row>
    <row r="228" spans="1:15" customHeight="1" ht="15">
      <c r="A228" s="3" t="s">
        <v>91</v>
      </c>
      <c r="B228" s="3" t="s">
        <v>384</v>
      </c>
      <c r="C228" s="3" t="s">
        <v>409</v>
      </c>
      <c r="D228" s="3" t="s">
        <v>479</v>
      </c>
      <c r="E228" s="3"/>
      <c r="F228" s="2" t="s">
        <v>221</v>
      </c>
      <c r="G228" s="2"/>
      <c r="H228" s="1" t="s">
        <v>95</v>
      </c>
      <c r="I228" s="1">
        <v>6414.0</v>
      </c>
      <c r="J228" s="1">
        <v>5.0</v>
      </c>
      <c r="K228" s="1">
        <v>527.0</v>
      </c>
      <c r="L228" s="1" t="s">
        <v>615</v>
      </c>
      <c r="M228" s="1" t="s">
        <v>815</v>
      </c>
      <c r="N228" s="1" t="s">
        <v>470</v>
      </c>
    </row>
    <row r="229" spans="1:15" customHeight="1" ht="15">
      <c r="A229" s="3" t="s">
        <v>91</v>
      </c>
      <c r="B229" s="3" t="s">
        <v>384</v>
      </c>
      <c r="C229" s="3" t="s">
        <v>422</v>
      </c>
      <c r="D229" s="3" t="s">
        <v>476</v>
      </c>
      <c r="E229" s="3" t="s">
        <v>487</v>
      </c>
      <c r="F229" s="2" t="s">
        <v>222</v>
      </c>
      <c r="G229" s="2"/>
      <c r="H229" s="1" t="s">
        <v>95</v>
      </c>
      <c r="I229" s="1">
        <v>60945.0</v>
      </c>
      <c r="J229" s="1">
        <v>6.0</v>
      </c>
      <c r="K229" s="1">
        <v>883.0</v>
      </c>
      <c r="L229" s="1" t="s">
        <v>616</v>
      </c>
      <c r="M229" s="1" t="s">
        <v>816</v>
      </c>
      <c r="N229" s="1" t="s">
        <v>469</v>
      </c>
    </row>
    <row r="230" spans="1:15" customHeight="1" ht="15">
      <c r="A230" s="3" t="s">
        <v>91</v>
      </c>
      <c r="B230" s="3" t="s">
        <v>384</v>
      </c>
      <c r="C230" s="3" t="s">
        <v>409</v>
      </c>
      <c r="D230" s="3" t="s">
        <v>479</v>
      </c>
      <c r="E230" s="3"/>
      <c r="F230" s="2" t="s">
        <v>222</v>
      </c>
      <c r="G230" s="2"/>
      <c r="H230" s="1" t="s">
        <v>95</v>
      </c>
      <c r="I230" s="1">
        <v>60945.0</v>
      </c>
      <c r="J230" s="1">
        <v>6.0</v>
      </c>
      <c r="K230" s="1">
        <v>883.0</v>
      </c>
      <c r="L230" s="1" t="s">
        <v>616</v>
      </c>
      <c r="M230" s="1" t="s">
        <v>816</v>
      </c>
      <c r="N230" s="1" t="s">
        <v>469</v>
      </c>
    </row>
    <row r="231" spans="1:15" customHeight="1" ht="15">
      <c r="A231" s="3" t="s">
        <v>91</v>
      </c>
      <c r="B231" s="3" t="s">
        <v>384</v>
      </c>
      <c r="C231" s="3" t="s">
        <v>422</v>
      </c>
      <c r="D231" s="3" t="s">
        <v>476</v>
      </c>
      <c r="E231" s="3" t="s">
        <v>487</v>
      </c>
      <c r="F231" s="2" t="s">
        <v>223</v>
      </c>
      <c r="G231" s="2"/>
      <c r="H231" s="1" t="s">
        <v>95</v>
      </c>
      <c r="I231" s="1">
        <v>53698.0</v>
      </c>
      <c r="J231" s="1">
        <v>3.0</v>
      </c>
      <c r="K231" s="1">
        <v>136.0</v>
      </c>
      <c r="L231" s="1" t="s">
        <v>617</v>
      </c>
      <c r="M231" s="1" t="s">
        <v>817</v>
      </c>
      <c r="N231" s="1" t="s">
        <v>921</v>
      </c>
    </row>
    <row r="232" spans="1:15" customHeight="1" ht="15">
      <c r="A232" s="3" t="s">
        <v>91</v>
      </c>
      <c r="B232" s="3" t="s">
        <v>384</v>
      </c>
      <c r="C232" s="3" t="s">
        <v>409</v>
      </c>
      <c r="D232" s="3" t="s">
        <v>479</v>
      </c>
      <c r="E232" s="3"/>
      <c r="F232" s="2" t="s">
        <v>223</v>
      </c>
      <c r="G232" s="2"/>
      <c r="H232" s="1" t="s">
        <v>95</v>
      </c>
      <c r="I232" s="1">
        <v>53698.0</v>
      </c>
      <c r="J232" s="1">
        <v>3.0</v>
      </c>
      <c r="K232" s="1">
        <v>136.0</v>
      </c>
      <c r="L232" s="1" t="s">
        <v>617</v>
      </c>
      <c r="M232" s="1" t="s">
        <v>817</v>
      </c>
      <c r="N232" s="1" t="s">
        <v>921</v>
      </c>
    </row>
    <row r="233" spans="1:15" customHeight="1" ht="15">
      <c r="A233" s="3" t="s">
        <v>91</v>
      </c>
      <c r="B233" s="3" t="s">
        <v>384</v>
      </c>
      <c r="C233" s="3" t="s">
        <v>422</v>
      </c>
      <c r="D233" s="3" t="s">
        <v>476</v>
      </c>
      <c r="E233" s="3" t="s">
        <v>487</v>
      </c>
      <c r="F233" s="2" t="s">
        <v>224</v>
      </c>
      <c r="G233" s="2"/>
      <c r="H233" s="1" t="s">
        <v>95</v>
      </c>
      <c r="I233" s="1">
        <v>57059.0</v>
      </c>
      <c r="J233" s="1">
        <v>6.0</v>
      </c>
      <c r="K233" s="1">
        <v>589.0</v>
      </c>
      <c r="L233" s="1" t="s">
        <v>618</v>
      </c>
      <c r="M233" s="1" t="s">
        <v>818</v>
      </c>
      <c r="N233" s="1" t="s">
        <v>469</v>
      </c>
    </row>
    <row r="234" spans="1:15" customHeight="1" ht="15">
      <c r="A234" s="3" t="s">
        <v>91</v>
      </c>
      <c r="B234" s="3" t="s">
        <v>384</v>
      </c>
      <c r="C234" s="3" t="s">
        <v>409</v>
      </c>
      <c r="D234" s="3" t="s">
        <v>479</v>
      </c>
      <c r="E234" s="3"/>
      <c r="F234" s="2" t="s">
        <v>224</v>
      </c>
      <c r="G234" s="2"/>
      <c r="H234" s="1" t="s">
        <v>95</v>
      </c>
      <c r="I234" s="1">
        <v>57059.0</v>
      </c>
      <c r="J234" s="1">
        <v>6.0</v>
      </c>
      <c r="K234" s="1">
        <v>589.0</v>
      </c>
      <c r="L234" s="1" t="s">
        <v>618</v>
      </c>
      <c r="M234" s="1" t="s">
        <v>818</v>
      </c>
      <c r="N234" s="1" t="s">
        <v>469</v>
      </c>
    </row>
    <row r="235" spans="1:15" customHeight="1" ht="15">
      <c r="A235" s="3" t="s">
        <v>91</v>
      </c>
      <c r="B235" s="3" t="s">
        <v>384</v>
      </c>
      <c r="C235" s="3" t="s">
        <v>422</v>
      </c>
      <c r="D235" s="3" t="s">
        <v>476</v>
      </c>
      <c r="E235" s="3" t="s">
        <v>487</v>
      </c>
      <c r="F235" s="2" t="s">
        <v>225</v>
      </c>
      <c r="G235" s="2"/>
      <c r="H235" s="1" t="s">
        <v>95</v>
      </c>
      <c r="I235" s="1">
        <v>32054.0</v>
      </c>
      <c r="J235" s="1">
        <v>5.0</v>
      </c>
      <c r="K235" s="1">
        <v>477.0</v>
      </c>
      <c r="L235" s="1" t="s">
        <v>619</v>
      </c>
      <c r="M235" s="1" t="s">
        <v>819</v>
      </c>
      <c r="N235" s="1" t="s">
        <v>470</v>
      </c>
    </row>
    <row r="236" spans="1:15" customHeight="1" ht="15">
      <c r="A236" s="3" t="s">
        <v>91</v>
      </c>
      <c r="B236" s="3" t="s">
        <v>384</v>
      </c>
      <c r="C236" s="3" t="s">
        <v>409</v>
      </c>
      <c r="D236" s="3" t="s">
        <v>479</v>
      </c>
      <c r="E236" s="3"/>
      <c r="F236" s="2" t="s">
        <v>225</v>
      </c>
      <c r="G236" s="2"/>
      <c r="H236" s="1" t="s">
        <v>95</v>
      </c>
      <c r="I236" s="1">
        <v>32054.0</v>
      </c>
      <c r="J236" s="1">
        <v>5.0</v>
      </c>
      <c r="K236" s="1">
        <v>477.0</v>
      </c>
      <c r="L236" s="1" t="s">
        <v>619</v>
      </c>
      <c r="M236" s="1" t="s">
        <v>819</v>
      </c>
      <c r="N236" s="1" t="s">
        <v>470</v>
      </c>
    </row>
    <row r="237" spans="1:15" customHeight="1" ht="15">
      <c r="A237" s="3" t="s">
        <v>91</v>
      </c>
      <c r="B237" s="3" t="s">
        <v>384</v>
      </c>
      <c r="C237" s="3" t="s">
        <v>422</v>
      </c>
      <c r="D237" s="3" t="s">
        <v>476</v>
      </c>
      <c r="E237" s="3" t="s">
        <v>487</v>
      </c>
      <c r="F237" s="2" t="s">
        <v>226</v>
      </c>
      <c r="G237" s="2"/>
      <c r="H237" s="1" t="s">
        <v>95</v>
      </c>
      <c r="I237" s="1">
        <v>72783.0</v>
      </c>
      <c r="J237" s="1">
        <v>6.0</v>
      </c>
      <c r="K237" s="1">
        <v>203.0</v>
      </c>
      <c r="L237" s="1" t="s">
        <v>620</v>
      </c>
      <c r="M237" s="1" t="s">
        <v>820</v>
      </c>
      <c r="N237" s="1" t="s">
        <v>469</v>
      </c>
    </row>
    <row r="238" spans="1:15" customHeight="1" ht="15">
      <c r="A238" s="3" t="s">
        <v>91</v>
      </c>
      <c r="B238" s="3" t="s">
        <v>384</v>
      </c>
      <c r="C238" s="3" t="s">
        <v>409</v>
      </c>
      <c r="D238" s="3" t="s">
        <v>479</v>
      </c>
      <c r="E238" s="3"/>
      <c r="F238" s="2" t="s">
        <v>226</v>
      </c>
      <c r="G238" s="2"/>
      <c r="H238" s="1" t="s">
        <v>95</v>
      </c>
      <c r="I238" s="1">
        <v>72783.0</v>
      </c>
      <c r="J238" s="1">
        <v>6.0</v>
      </c>
      <c r="K238" s="1">
        <v>203.0</v>
      </c>
      <c r="L238" s="1" t="s">
        <v>620</v>
      </c>
      <c r="M238" s="1" t="s">
        <v>820</v>
      </c>
      <c r="N238" s="1" t="s">
        <v>469</v>
      </c>
    </row>
    <row r="239" spans="1:15" customHeight="1" ht="15">
      <c r="A239" s="3" t="s">
        <v>91</v>
      </c>
      <c r="B239" s="3" t="s">
        <v>384</v>
      </c>
      <c r="C239" s="3" t="s">
        <v>422</v>
      </c>
      <c r="D239" s="3" t="s">
        <v>476</v>
      </c>
      <c r="E239" s="3" t="s">
        <v>487</v>
      </c>
      <c r="F239" s="2" t="s">
        <v>227</v>
      </c>
      <c r="G239" s="2"/>
      <c r="H239" s="1" t="s">
        <v>95</v>
      </c>
      <c r="I239" s="1">
        <v>62484.0</v>
      </c>
      <c r="J239" s="1">
        <v>6.0</v>
      </c>
      <c r="K239" s="1">
        <v>73.0</v>
      </c>
      <c r="L239" s="1" t="s">
        <v>621</v>
      </c>
      <c r="M239" s="1" t="s">
        <v>821</v>
      </c>
      <c r="N239" s="1" t="s">
        <v>462</v>
      </c>
    </row>
    <row r="240" spans="1:15" customHeight="1" ht="15">
      <c r="A240" s="3" t="s">
        <v>91</v>
      </c>
      <c r="B240" s="3" t="s">
        <v>384</v>
      </c>
      <c r="C240" s="3" t="s">
        <v>409</v>
      </c>
      <c r="D240" s="3" t="s">
        <v>479</v>
      </c>
      <c r="E240" s="3"/>
      <c r="F240" s="2" t="s">
        <v>227</v>
      </c>
      <c r="G240" s="2"/>
      <c r="H240" s="1" t="s">
        <v>95</v>
      </c>
      <c r="I240" s="1">
        <v>62484.0</v>
      </c>
      <c r="J240" s="1">
        <v>6.0</v>
      </c>
      <c r="K240" s="1">
        <v>73.0</v>
      </c>
      <c r="L240" s="1" t="s">
        <v>621</v>
      </c>
      <c r="M240" s="1" t="s">
        <v>821</v>
      </c>
      <c r="N240" s="1" t="s">
        <v>462</v>
      </c>
    </row>
    <row r="241" spans="1:15" customHeight="1" ht="15">
      <c r="A241" s="3" t="s">
        <v>91</v>
      </c>
      <c r="B241" s="3" t="s">
        <v>384</v>
      </c>
      <c r="C241" s="3" t="s">
        <v>422</v>
      </c>
      <c r="D241" s="3" t="s">
        <v>476</v>
      </c>
      <c r="E241" s="3" t="s">
        <v>487</v>
      </c>
      <c r="F241" s="2" t="s">
        <v>228</v>
      </c>
      <c r="G241" s="2"/>
      <c r="H241" s="1" t="s">
        <v>95</v>
      </c>
      <c r="I241" s="1">
        <v>78880.0</v>
      </c>
      <c r="J241" s="1">
        <v>6.0</v>
      </c>
      <c r="K241" s="1">
        <v>857.0</v>
      </c>
      <c r="L241" s="1" t="s">
        <v>622</v>
      </c>
      <c r="M241" s="1" t="s">
        <v>822</v>
      </c>
      <c r="N241" s="1" t="s">
        <v>469</v>
      </c>
    </row>
    <row r="242" spans="1:15" customHeight="1" ht="15">
      <c r="A242" s="3" t="s">
        <v>91</v>
      </c>
      <c r="B242" s="3" t="s">
        <v>384</v>
      </c>
      <c r="C242" s="3" t="s">
        <v>409</v>
      </c>
      <c r="D242" s="3" t="s">
        <v>479</v>
      </c>
      <c r="E242" s="3"/>
      <c r="F242" s="2" t="s">
        <v>228</v>
      </c>
      <c r="G242" s="2"/>
      <c r="H242" s="1" t="s">
        <v>95</v>
      </c>
      <c r="I242" s="1">
        <v>78880.0</v>
      </c>
      <c r="J242" s="1">
        <v>6.0</v>
      </c>
      <c r="K242" s="1">
        <v>857.0</v>
      </c>
      <c r="L242" s="1" t="s">
        <v>622</v>
      </c>
      <c r="M242" s="1" t="s">
        <v>822</v>
      </c>
      <c r="N242" s="1" t="s">
        <v>469</v>
      </c>
    </row>
    <row r="243" spans="1:15" customHeight="1" ht="15">
      <c r="A243" s="3" t="s">
        <v>91</v>
      </c>
      <c r="B243" s="3" t="s">
        <v>384</v>
      </c>
      <c r="C243" s="3" t="s">
        <v>422</v>
      </c>
      <c r="D243" s="3" t="s">
        <v>476</v>
      </c>
      <c r="E243" s="3" t="s">
        <v>487</v>
      </c>
      <c r="F243" s="2" t="s">
        <v>229</v>
      </c>
      <c r="G243" s="2"/>
      <c r="H243" s="1" t="s">
        <v>95</v>
      </c>
      <c r="I243" s="1">
        <v>152768.0</v>
      </c>
      <c r="J243" s="1">
        <v>2.0</v>
      </c>
      <c r="K243" s="1">
        <v>16.0</v>
      </c>
      <c r="L243" s="1" t="s">
        <v>623</v>
      </c>
      <c r="M243" s="1" t="s">
        <v>823</v>
      </c>
      <c r="N243" s="1" t="s">
        <v>920</v>
      </c>
    </row>
    <row r="244" spans="1:15" customHeight="1" ht="15">
      <c r="A244" s="3" t="s">
        <v>91</v>
      </c>
      <c r="B244" s="3" t="s">
        <v>384</v>
      </c>
      <c r="C244" s="3" t="s">
        <v>409</v>
      </c>
      <c r="D244" s="3" t="s">
        <v>479</v>
      </c>
      <c r="E244" s="3"/>
      <c r="F244" s="2" t="s">
        <v>229</v>
      </c>
      <c r="G244" s="2"/>
      <c r="H244" s="1" t="s">
        <v>95</v>
      </c>
      <c r="I244" s="1">
        <v>152768.0</v>
      </c>
      <c r="J244" s="1">
        <v>2.0</v>
      </c>
      <c r="K244" s="1">
        <v>16.0</v>
      </c>
      <c r="L244" s="1" t="s">
        <v>623</v>
      </c>
      <c r="M244" s="1" t="s">
        <v>823</v>
      </c>
      <c r="N244" s="1" t="s">
        <v>920</v>
      </c>
    </row>
    <row r="245" spans="1:15" customHeight="1" ht="15">
      <c r="A245" s="3" t="s">
        <v>91</v>
      </c>
      <c r="B245" s="3" t="s">
        <v>384</v>
      </c>
      <c r="C245" s="3" t="s">
        <v>422</v>
      </c>
      <c r="D245" s="3" t="s">
        <v>476</v>
      </c>
      <c r="E245" s="3" t="s">
        <v>487</v>
      </c>
      <c r="F245" s="2" t="s">
        <v>230</v>
      </c>
      <c r="G245" s="2"/>
      <c r="H245" s="1" t="s">
        <v>95</v>
      </c>
      <c r="I245" s="1">
        <v>78676.0</v>
      </c>
      <c r="J245" s="1">
        <v>5.0</v>
      </c>
      <c r="K245" s="1">
        <v>564.0</v>
      </c>
      <c r="L245" s="1" t="s">
        <v>624</v>
      </c>
      <c r="M245" s="1" t="s">
        <v>824</v>
      </c>
      <c r="N245" s="1" t="s">
        <v>470</v>
      </c>
    </row>
    <row r="246" spans="1:15" customHeight="1" ht="15">
      <c r="A246" s="3" t="s">
        <v>91</v>
      </c>
      <c r="B246" s="3" t="s">
        <v>384</v>
      </c>
      <c r="C246" s="3" t="s">
        <v>409</v>
      </c>
      <c r="D246" s="3" t="s">
        <v>479</v>
      </c>
      <c r="E246" s="3"/>
      <c r="F246" s="2" t="s">
        <v>230</v>
      </c>
      <c r="G246" s="2"/>
      <c r="H246" s="1" t="s">
        <v>95</v>
      </c>
      <c r="I246" s="1">
        <v>78676.0</v>
      </c>
      <c r="J246" s="1">
        <v>5.0</v>
      </c>
      <c r="K246" s="1">
        <v>564.0</v>
      </c>
      <c r="L246" s="1" t="s">
        <v>624</v>
      </c>
      <c r="M246" s="1" t="s">
        <v>824</v>
      </c>
      <c r="N246" s="1" t="s">
        <v>470</v>
      </c>
    </row>
    <row r="247" spans="1:15" customHeight="1" ht="15">
      <c r="A247" s="3" t="s">
        <v>91</v>
      </c>
      <c r="B247" s="3" t="s">
        <v>384</v>
      </c>
      <c r="C247" s="3" t="s">
        <v>422</v>
      </c>
      <c r="D247" s="3" t="s">
        <v>476</v>
      </c>
      <c r="E247" s="3" t="s">
        <v>487</v>
      </c>
      <c r="F247" s="2" t="s">
        <v>231</v>
      </c>
      <c r="G247" s="2"/>
      <c r="H247" s="1" t="s">
        <v>95</v>
      </c>
      <c r="I247" s="1">
        <v>53027.0</v>
      </c>
      <c r="J247" s="1">
        <v>5.0</v>
      </c>
      <c r="K247" s="1">
        <v>656.0</v>
      </c>
      <c r="L247" s="1" t="s">
        <v>625</v>
      </c>
      <c r="M247" s="1" t="s">
        <v>825</v>
      </c>
      <c r="N247" s="1" t="s">
        <v>470</v>
      </c>
    </row>
    <row r="248" spans="1:15" customHeight="1" ht="15">
      <c r="A248" s="3" t="s">
        <v>91</v>
      </c>
      <c r="B248" s="3" t="s">
        <v>384</v>
      </c>
      <c r="C248" s="3" t="s">
        <v>409</v>
      </c>
      <c r="D248" s="3" t="s">
        <v>479</v>
      </c>
      <c r="E248" s="3"/>
      <c r="F248" s="2" t="s">
        <v>231</v>
      </c>
      <c r="G248" s="2"/>
      <c r="H248" s="1" t="s">
        <v>95</v>
      </c>
      <c r="I248" s="1">
        <v>53027.0</v>
      </c>
      <c r="J248" s="1">
        <v>5.0</v>
      </c>
      <c r="K248" s="1">
        <v>656.0</v>
      </c>
      <c r="L248" s="1" t="s">
        <v>625</v>
      </c>
      <c r="M248" s="1" t="s">
        <v>825</v>
      </c>
      <c r="N248" s="1" t="s">
        <v>470</v>
      </c>
    </row>
    <row r="249" spans="1:15" customHeight="1" ht="15">
      <c r="A249" s="3" t="s">
        <v>91</v>
      </c>
      <c r="B249" s="3" t="s">
        <v>384</v>
      </c>
      <c r="C249" s="3" t="s">
        <v>422</v>
      </c>
      <c r="D249" s="3" t="s">
        <v>476</v>
      </c>
      <c r="E249" s="3" t="s">
        <v>487</v>
      </c>
      <c r="F249" s="2" t="s">
        <v>232</v>
      </c>
      <c r="G249" s="2"/>
      <c r="H249" s="1" t="s">
        <v>95</v>
      </c>
      <c r="I249" s="1">
        <v>69039.0</v>
      </c>
      <c r="J249" s="1">
        <v>5.0</v>
      </c>
      <c r="K249" s="1">
        <v>940.0</v>
      </c>
      <c r="L249" s="1" t="s">
        <v>626</v>
      </c>
      <c r="M249" s="1" t="s">
        <v>826</v>
      </c>
      <c r="N249" s="1" t="s">
        <v>470</v>
      </c>
    </row>
    <row r="250" spans="1:15" customHeight="1" ht="15">
      <c r="A250" s="3" t="s">
        <v>91</v>
      </c>
      <c r="B250" s="3" t="s">
        <v>384</v>
      </c>
      <c r="C250" s="3" t="s">
        <v>409</v>
      </c>
      <c r="D250" s="3" t="s">
        <v>479</v>
      </c>
      <c r="E250" s="3"/>
      <c r="F250" s="2" t="s">
        <v>232</v>
      </c>
      <c r="G250" s="2"/>
      <c r="H250" s="1" t="s">
        <v>95</v>
      </c>
      <c r="I250" s="1">
        <v>69039.0</v>
      </c>
      <c r="J250" s="1">
        <v>5.0</v>
      </c>
      <c r="K250" s="1">
        <v>940.0</v>
      </c>
      <c r="L250" s="1" t="s">
        <v>626</v>
      </c>
      <c r="M250" s="1" t="s">
        <v>826</v>
      </c>
      <c r="N250" s="1" t="s">
        <v>470</v>
      </c>
    </row>
    <row r="251" spans="1:15" customHeight="1" ht="15">
      <c r="A251" s="3" t="s">
        <v>91</v>
      </c>
      <c r="B251" s="3" t="s">
        <v>384</v>
      </c>
      <c r="C251" s="3" t="s">
        <v>422</v>
      </c>
      <c r="D251" s="3" t="s">
        <v>476</v>
      </c>
      <c r="E251" s="3" t="s">
        <v>487</v>
      </c>
      <c r="F251" s="2" t="s">
        <v>233</v>
      </c>
      <c r="G251" s="2"/>
      <c r="H251" s="1" t="s">
        <v>95</v>
      </c>
      <c r="I251" s="1">
        <v>65395.0</v>
      </c>
      <c r="J251" s="1">
        <v>5.0</v>
      </c>
      <c r="K251" s="1">
        <v>816.0</v>
      </c>
      <c r="L251" s="1" t="s">
        <v>627</v>
      </c>
      <c r="M251" s="1" t="s">
        <v>827</v>
      </c>
      <c r="N251" s="1" t="s">
        <v>470</v>
      </c>
    </row>
    <row r="252" spans="1:15" customHeight="1" ht="15">
      <c r="A252" s="3" t="s">
        <v>91</v>
      </c>
      <c r="B252" s="3" t="s">
        <v>384</v>
      </c>
      <c r="C252" s="3" t="s">
        <v>409</v>
      </c>
      <c r="D252" s="3" t="s">
        <v>479</v>
      </c>
      <c r="E252" s="3"/>
      <c r="F252" s="2" t="s">
        <v>233</v>
      </c>
      <c r="G252" s="2"/>
      <c r="H252" s="1" t="s">
        <v>95</v>
      </c>
      <c r="I252" s="1">
        <v>65395.0</v>
      </c>
      <c r="J252" s="1">
        <v>5.0</v>
      </c>
      <c r="K252" s="1">
        <v>816.0</v>
      </c>
      <c r="L252" s="1" t="s">
        <v>627</v>
      </c>
      <c r="M252" s="1" t="s">
        <v>827</v>
      </c>
      <c r="N252" s="1" t="s">
        <v>470</v>
      </c>
    </row>
    <row r="253" spans="1:15" customHeight="1" ht="15">
      <c r="A253" s="3" t="s">
        <v>91</v>
      </c>
      <c r="B253" s="3" t="s">
        <v>384</v>
      </c>
      <c r="C253" s="3" t="s">
        <v>422</v>
      </c>
      <c r="D253" s="3" t="s">
        <v>476</v>
      </c>
      <c r="E253" s="3" t="s">
        <v>487</v>
      </c>
      <c r="F253" s="2" t="s">
        <v>234</v>
      </c>
      <c r="G253" s="2"/>
      <c r="H253" s="1" t="s">
        <v>95</v>
      </c>
      <c r="I253" s="1">
        <v>69564.0</v>
      </c>
      <c r="J253" s="1">
        <v>5.0</v>
      </c>
      <c r="K253" s="1">
        <v>656.0</v>
      </c>
      <c r="L253" s="1" t="s">
        <v>628</v>
      </c>
      <c r="M253" s="1" t="s">
        <v>828</v>
      </c>
      <c r="N253" s="1" t="s">
        <v>470</v>
      </c>
    </row>
    <row r="254" spans="1:15" customHeight="1" ht="15">
      <c r="A254" s="3" t="s">
        <v>91</v>
      </c>
      <c r="B254" s="3" t="s">
        <v>384</v>
      </c>
      <c r="C254" s="3" t="s">
        <v>409</v>
      </c>
      <c r="D254" s="3" t="s">
        <v>479</v>
      </c>
      <c r="E254" s="3"/>
      <c r="F254" s="2" t="s">
        <v>234</v>
      </c>
      <c r="G254" s="2"/>
      <c r="H254" s="1" t="s">
        <v>95</v>
      </c>
      <c r="I254" s="1">
        <v>69564.0</v>
      </c>
      <c r="J254" s="1">
        <v>5.0</v>
      </c>
      <c r="K254" s="1">
        <v>656.0</v>
      </c>
      <c r="L254" s="1" t="s">
        <v>628</v>
      </c>
      <c r="M254" s="1" t="s">
        <v>828</v>
      </c>
      <c r="N254" s="1" t="s">
        <v>470</v>
      </c>
    </row>
    <row r="255" spans="1:15" customHeight="1" ht="15">
      <c r="A255" s="3" t="s">
        <v>91</v>
      </c>
      <c r="B255" s="3" t="s">
        <v>384</v>
      </c>
      <c r="C255" s="3" t="s">
        <v>422</v>
      </c>
      <c r="D255" s="3" t="s">
        <v>476</v>
      </c>
      <c r="E255" s="3" t="s">
        <v>487</v>
      </c>
      <c r="F255" s="2" t="s">
        <v>235</v>
      </c>
      <c r="G255" s="2"/>
      <c r="H255" s="1" t="s">
        <v>95</v>
      </c>
      <c r="I255" s="1">
        <v>77570.0</v>
      </c>
      <c r="J255" s="1">
        <v>4.0</v>
      </c>
      <c r="K255" s="1">
        <v>310.0</v>
      </c>
      <c r="L255" s="1" t="s">
        <v>629</v>
      </c>
      <c r="M255" s="1" t="s">
        <v>829</v>
      </c>
      <c r="N255" s="1" t="s">
        <v>462</v>
      </c>
    </row>
    <row r="256" spans="1:15" customHeight="1" ht="15">
      <c r="A256" s="3" t="s">
        <v>91</v>
      </c>
      <c r="B256" s="3" t="s">
        <v>384</v>
      </c>
      <c r="C256" s="3" t="s">
        <v>409</v>
      </c>
      <c r="D256" s="3" t="s">
        <v>479</v>
      </c>
      <c r="E256" s="3"/>
      <c r="F256" s="2" t="s">
        <v>235</v>
      </c>
      <c r="G256" s="2"/>
      <c r="H256" s="1" t="s">
        <v>95</v>
      </c>
      <c r="I256" s="1">
        <v>77570.0</v>
      </c>
      <c r="J256" s="1">
        <v>4.0</v>
      </c>
      <c r="K256" s="1">
        <v>310.0</v>
      </c>
      <c r="L256" s="1" t="s">
        <v>629</v>
      </c>
      <c r="M256" s="1" t="s">
        <v>829</v>
      </c>
      <c r="N256" s="1" t="s">
        <v>462</v>
      </c>
    </row>
    <row r="257" spans="1:15" customHeight="1" ht="15">
      <c r="A257" s="3" t="s">
        <v>91</v>
      </c>
      <c r="B257" s="3" t="s">
        <v>384</v>
      </c>
      <c r="C257" s="3" t="s">
        <v>422</v>
      </c>
      <c r="D257" s="3" t="s">
        <v>476</v>
      </c>
      <c r="E257" s="3" t="s">
        <v>487</v>
      </c>
      <c r="F257" s="2" t="s">
        <v>236</v>
      </c>
      <c r="G257" s="2"/>
      <c r="H257" s="1" t="s">
        <v>95</v>
      </c>
      <c r="I257" s="1">
        <v>70826.0</v>
      </c>
      <c r="J257" s="1">
        <v>5.0</v>
      </c>
      <c r="K257" s="1">
        <v>503.0</v>
      </c>
      <c r="L257" s="1" t="s">
        <v>630</v>
      </c>
      <c r="M257" s="1" t="s">
        <v>830</v>
      </c>
      <c r="N257" s="1" t="s">
        <v>470</v>
      </c>
    </row>
    <row r="258" spans="1:15" customHeight="1" ht="15">
      <c r="A258" s="3" t="s">
        <v>91</v>
      </c>
      <c r="B258" s="3" t="s">
        <v>384</v>
      </c>
      <c r="C258" s="3" t="s">
        <v>409</v>
      </c>
      <c r="D258" s="3" t="s">
        <v>479</v>
      </c>
      <c r="E258" s="3"/>
      <c r="F258" s="2" t="s">
        <v>236</v>
      </c>
      <c r="G258" s="2"/>
      <c r="H258" s="1" t="s">
        <v>95</v>
      </c>
      <c r="I258" s="1">
        <v>70826.0</v>
      </c>
      <c r="J258" s="1">
        <v>5.0</v>
      </c>
      <c r="K258" s="1">
        <v>503.0</v>
      </c>
      <c r="L258" s="1" t="s">
        <v>630</v>
      </c>
      <c r="M258" s="1" t="s">
        <v>830</v>
      </c>
      <c r="N258" s="1" t="s">
        <v>470</v>
      </c>
    </row>
    <row r="259" spans="1:15" customHeight="1" ht="15">
      <c r="A259" s="3" t="s">
        <v>91</v>
      </c>
      <c r="B259" s="3" t="s">
        <v>384</v>
      </c>
      <c r="C259" s="3" t="s">
        <v>422</v>
      </c>
      <c r="D259" s="3" t="s">
        <v>476</v>
      </c>
      <c r="E259" s="3" t="s">
        <v>487</v>
      </c>
      <c r="F259" s="2" t="s">
        <v>237</v>
      </c>
      <c r="G259" s="2"/>
      <c r="H259" s="1" t="s">
        <v>95</v>
      </c>
      <c r="I259" s="1">
        <v>69717.0</v>
      </c>
      <c r="J259" s="1">
        <v>5.0</v>
      </c>
      <c r="K259" s="1">
        <v>780.0</v>
      </c>
      <c r="L259" s="1" t="s">
        <v>631</v>
      </c>
      <c r="M259" s="1" t="s">
        <v>831</v>
      </c>
      <c r="N259" s="1" t="s">
        <v>470</v>
      </c>
    </row>
    <row r="260" spans="1:15" customHeight="1" ht="15">
      <c r="A260" s="3" t="s">
        <v>91</v>
      </c>
      <c r="B260" s="3" t="s">
        <v>384</v>
      </c>
      <c r="C260" s="3" t="s">
        <v>409</v>
      </c>
      <c r="D260" s="3" t="s">
        <v>479</v>
      </c>
      <c r="E260" s="3"/>
      <c r="F260" s="2" t="s">
        <v>237</v>
      </c>
      <c r="G260" s="2"/>
      <c r="H260" s="1" t="s">
        <v>95</v>
      </c>
      <c r="I260" s="1">
        <v>69717.0</v>
      </c>
      <c r="J260" s="1">
        <v>5.0</v>
      </c>
      <c r="K260" s="1">
        <v>780.0</v>
      </c>
      <c r="L260" s="1" t="s">
        <v>631</v>
      </c>
      <c r="M260" s="1" t="s">
        <v>831</v>
      </c>
      <c r="N260" s="1" t="s">
        <v>470</v>
      </c>
    </row>
    <row r="261" spans="1:15" customHeight="1" ht="15">
      <c r="A261" s="3" t="s">
        <v>91</v>
      </c>
      <c r="B261" s="3" t="s">
        <v>384</v>
      </c>
      <c r="C261" s="3" t="s">
        <v>422</v>
      </c>
      <c r="D261" s="3" t="s">
        <v>476</v>
      </c>
      <c r="E261" s="3" t="s">
        <v>487</v>
      </c>
      <c r="F261" s="2" t="s">
        <v>238</v>
      </c>
      <c r="G261" s="2"/>
      <c r="H261" s="1" t="s">
        <v>95</v>
      </c>
      <c r="I261" s="1">
        <v>125752.0</v>
      </c>
      <c r="J261" s="1">
        <v>5.0</v>
      </c>
      <c r="K261" s="1">
        <v>766.0</v>
      </c>
      <c r="L261" s="1" t="s">
        <v>632</v>
      </c>
      <c r="M261" s="1" t="s">
        <v>832</v>
      </c>
      <c r="N261" s="1" t="s">
        <v>470</v>
      </c>
    </row>
    <row r="262" spans="1:15" customHeight="1" ht="15">
      <c r="A262" s="3" t="s">
        <v>91</v>
      </c>
      <c r="B262" s="3" t="s">
        <v>384</v>
      </c>
      <c r="C262" s="3" t="s">
        <v>409</v>
      </c>
      <c r="D262" s="3" t="s">
        <v>479</v>
      </c>
      <c r="E262" s="3"/>
      <c r="F262" s="2" t="s">
        <v>238</v>
      </c>
      <c r="G262" s="2"/>
      <c r="H262" s="1" t="s">
        <v>95</v>
      </c>
      <c r="I262" s="1">
        <v>125752.0</v>
      </c>
      <c r="J262" s="1">
        <v>5.0</v>
      </c>
      <c r="K262" s="1">
        <v>766.0</v>
      </c>
      <c r="L262" s="1" t="s">
        <v>632</v>
      </c>
      <c r="M262" s="1" t="s">
        <v>832</v>
      </c>
      <c r="N262" s="1" t="s">
        <v>470</v>
      </c>
    </row>
    <row r="263" spans="1:15" customHeight="1" ht="15">
      <c r="A263" s="3" t="s">
        <v>91</v>
      </c>
      <c r="B263" s="3" t="s">
        <v>384</v>
      </c>
      <c r="C263" s="3" t="s">
        <v>422</v>
      </c>
      <c r="D263" s="3" t="s">
        <v>476</v>
      </c>
      <c r="E263" s="3" t="s">
        <v>487</v>
      </c>
      <c r="F263" s="2" t="s">
        <v>239</v>
      </c>
      <c r="G263" s="2"/>
      <c r="H263" s="1" t="s">
        <v>95</v>
      </c>
      <c r="I263" s="1">
        <v>72496.0</v>
      </c>
      <c r="J263" s="1">
        <v>5.0</v>
      </c>
      <c r="K263" s="1">
        <v>680.0</v>
      </c>
      <c r="L263" s="1" t="s">
        <v>633</v>
      </c>
      <c r="M263" s="1" t="s">
        <v>833</v>
      </c>
      <c r="N263" s="1" t="s">
        <v>470</v>
      </c>
    </row>
    <row r="264" spans="1:15" customHeight="1" ht="15">
      <c r="A264" s="3" t="s">
        <v>91</v>
      </c>
      <c r="B264" s="3" t="s">
        <v>384</v>
      </c>
      <c r="C264" s="3" t="s">
        <v>409</v>
      </c>
      <c r="D264" s="3" t="s">
        <v>479</v>
      </c>
      <c r="E264" s="3"/>
      <c r="F264" s="2" t="s">
        <v>239</v>
      </c>
      <c r="G264" s="2"/>
      <c r="H264" s="1" t="s">
        <v>95</v>
      </c>
      <c r="I264" s="1">
        <v>72496.0</v>
      </c>
      <c r="J264" s="1">
        <v>5.0</v>
      </c>
      <c r="K264" s="1">
        <v>680.0</v>
      </c>
      <c r="L264" s="1" t="s">
        <v>633</v>
      </c>
      <c r="M264" s="1" t="s">
        <v>833</v>
      </c>
      <c r="N264" s="1" t="s">
        <v>470</v>
      </c>
    </row>
    <row r="265" spans="1:15" customHeight="1" ht="15">
      <c r="A265" s="3" t="s">
        <v>91</v>
      </c>
      <c r="B265" s="3" t="s">
        <v>384</v>
      </c>
      <c r="C265" s="3" t="s">
        <v>422</v>
      </c>
      <c r="D265" s="3" t="s">
        <v>476</v>
      </c>
      <c r="E265" s="3" t="s">
        <v>487</v>
      </c>
      <c r="F265" s="2" t="s">
        <v>240</v>
      </c>
      <c r="G265" s="2"/>
      <c r="H265" s="1" t="s">
        <v>95</v>
      </c>
      <c r="I265" s="1">
        <v>66976.0</v>
      </c>
      <c r="J265" s="1">
        <v>5.0</v>
      </c>
      <c r="K265" s="1">
        <v>210.0</v>
      </c>
      <c r="L265" s="1" t="s">
        <v>634</v>
      </c>
      <c r="M265" s="1" t="s">
        <v>834</v>
      </c>
      <c r="N265" s="1" t="s">
        <v>921</v>
      </c>
    </row>
    <row r="266" spans="1:15" customHeight="1" ht="15">
      <c r="A266" s="3" t="s">
        <v>91</v>
      </c>
      <c r="B266" s="3" t="s">
        <v>384</v>
      </c>
      <c r="C266" s="3" t="s">
        <v>409</v>
      </c>
      <c r="D266" s="3" t="s">
        <v>479</v>
      </c>
      <c r="E266" s="3"/>
      <c r="F266" s="2" t="s">
        <v>240</v>
      </c>
      <c r="G266" s="2"/>
      <c r="H266" s="1" t="s">
        <v>95</v>
      </c>
      <c r="I266" s="1">
        <v>66976.0</v>
      </c>
      <c r="J266" s="1">
        <v>5.0</v>
      </c>
      <c r="K266" s="1">
        <v>210.0</v>
      </c>
      <c r="L266" s="1" t="s">
        <v>634</v>
      </c>
      <c r="M266" s="1" t="s">
        <v>834</v>
      </c>
      <c r="N266" s="1" t="s">
        <v>921</v>
      </c>
    </row>
    <row r="267" spans="1:15" customHeight="1" ht="15">
      <c r="A267" s="3" t="s">
        <v>91</v>
      </c>
      <c r="B267" s="3" t="s">
        <v>384</v>
      </c>
      <c r="C267" s="3" t="s">
        <v>422</v>
      </c>
      <c r="D267" s="3" t="s">
        <v>476</v>
      </c>
      <c r="E267" s="3" t="s">
        <v>487</v>
      </c>
      <c r="F267" s="2" t="s">
        <v>241</v>
      </c>
      <c r="G267" s="2"/>
      <c r="H267" s="1" t="s">
        <v>95</v>
      </c>
      <c r="I267" s="1">
        <v>92450.0</v>
      </c>
      <c r="J267" s="1">
        <v>5.0</v>
      </c>
      <c r="K267" s="1">
        <v>662.0</v>
      </c>
      <c r="L267" s="1" t="s">
        <v>635</v>
      </c>
      <c r="M267" s="1" t="s">
        <v>835</v>
      </c>
      <c r="N267" s="1" t="s">
        <v>470</v>
      </c>
    </row>
    <row r="268" spans="1:15" customHeight="1" ht="15">
      <c r="A268" s="3" t="s">
        <v>91</v>
      </c>
      <c r="B268" s="3" t="s">
        <v>384</v>
      </c>
      <c r="C268" s="3" t="s">
        <v>409</v>
      </c>
      <c r="D268" s="3" t="s">
        <v>479</v>
      </c>
      <c r="E268" s="3"/>
      <c r="F268" s="2" t="s">
        <v>241</v>
      </c>
      <c r="G268" s="2"/>
      <c r="H268" s="1" t="s">
        <v>95</v>
      </c>
      <c r="I268" s="1">
        <v>92450.0</v>
      </c>
      <c r="J268" s="1">
        <v>5.0</v>
      </c>
      <c r="K268" s="1">
        <v>662.0</v>
      </c>
      <c r="L268" s="1" t="s">
        <v>635</v>
      </c>
      <c r="M268" s="1" t="s">
        <v>835</v>
      </c>
      <c r="N268" s="1" t="s">
        <v>470</v>
      </c>
    </row>
    <row r="269" spans="1:15" customHeight="1" ht="15">
      <c r="A269" s="3" t="s">
        <v>91</v>
      </c>
      <c r="B269" s="3" t="s">
        <v>384</v>
      </c>
      <c r="C269" s="3" t="s">
        <v>422</v>
      </c>
      <c r="D269" s="3" t="s">
        <v>476</v>
      </c>
      <c r="E269" s="3" t="s">
        <v>487</v>
      </c>
      <c r="F269" s="2" t="s">
        <v>242</v>
      </c>
      <c r="G269" s="2"/>
      <c r="H269" s="1" t="s">
        <v>95</v>
      </c>
      <c r="I269" s="1">
        <v>36103.0</v>
      </c>
      <c r="J269" s="1">
        <v>5.0</v>
      </c>
      <c r="K269" s="1">
        <v>540.0</v>
      </c>
      <c r="L269" s="1" t="s">
        <v>636</v>
      </c>
      <c r="M269" s="1" t="s">
        <v>836</v>
      </c>
      <c r="N269" s="1" t="s">
        <v>470</v>
      </c>
    </row>
    <row r="270" spans="1:15" customHeight="1" ht="15">
      <c r="A270" s="3" t="s">
        <v>91</v>
      </c>
      <c r="B270" s="3" t="s">
        <v>384</v>
      </c>
      <c r="C270" s="3" t="s">
        <v>409</v>
      </c>
      <c r="D270" s="3" t="s">
        <v>479</v>
      </c>
      <c r="E270" s="3"/>
      <c r="F270" s="2" t="s">
        <v>242</v>
      </c>
      <c r="G270" s="2"/>
      <c r="H270" s="1" t="s">
        <v>95</v>
      </c>
      <c r="I270" s="1">
        <v>36103.0</v>
      </c>
      <c r="J270" s="1">
        <v>5.0</v>
      </c>
      <c r="K270" s="1">
        <v>540.0</v>
      </c>
      <c r="L270" s="1" t="s">
        <v>636</v>
      </c>
      <c r="M270" s="1" t="s">
        <v>836</v>
      </c>
      <c r="N270" s="1" t="s">
        <v>470</v>
      </c>
    </row>
    <row r="271" spans="1:15" customHeight="1" ht="15">
      <c r="A271" s="3" t="s">
        <v>91</v>
      </c>
      <c r="B271" s="3" t="s">
        <v>384</v>
      </c>
      <c r="C271" s="3" t="s">
        <v>422</v>
      </c>
      <c r="D271" s="3" t="s">
        <v>476</v>
      </c>
      <c r="E271" s="3" t="s">
        <v>487</v>
      </c>
      <c r="F271" s="2" t="s">
        <v>243</v>
      </c>
      <c r="G271" s="2"/>
      <c r="H271" s="1" t="s">
        <v>95</v>
      </c>
      <c r="I271" s="1">
        <v>71061.0</v>
      </c>
      <c r="J271" s="1">
        <v>5.0</v>
      </c>
      <c r="K271" s="1">
        <v>689.0</v>
      </c>
      <c r="L271" s="1" t="s">
        <v>637</v>
      </c>
      <c r="M271" s="1" t="s">
        <v>837</v>
      </c>
      <c r="N271" s="1" t="s">
        <v>470</v>
      </c>
    </row>
    <row r="272" spans="1:15" customHeight="1" ht="15">
      <c r="A272" s="3" t="s">
        <v>91</v>
      </c>
      <c r="B272" s="3" t="s">
        <v>384</v>
      </c>
      <c r="C272" s="3" t="s">
        <v>409</v>
      </c>
      <c r="D272" s="3" t="s">
        <v>479</v>
      </c>
      <c r="E272" s="3"/>
      <c r="F272" s="2" t="s">
        <v>243</v>
      </c>
      <c r="G272" s="2"/>
      <c r="H272" s="1" t="s">
        <v>95</v>
      </c>
      <c r="I272" s="1">
        <v>71061.0</v>
      </c>
      <c r="J272" s="1">
        <v>5.0</v>
      </c>
      <c r="K272" s="1">
        <v>689.0</v>
      </c>
      <c r="L272" s="1" t="s">
        <v>637</v>
      </c>
      <c r="M272" s="1" t="s">
        <v>837</v>
      </c>
      <c r="N272" s="1" t="s">
        <v>470</v>
      </c>
    </row>
    <row r="273" spans="1:15" customHeight="1" ht="15">
      <c r="A273" s="3" t="s">
        <v>91</v>
      </c>
      <c r="B273" s="3" t="s">
        <v>384</v>
      </c>
      <c r="C273" s="3" t="s">
        <v>422</v>
      </c>
      <c r="D273" s="3" t="s">
        <v>476</v>
      </c>
      <c r="E273" s="3" t="s">
        <v>487</v>
      </c>
      <c r="F273" s="2" t="s">
        <v>244</v>
      </c>
      <c r="G273" s="2"/>
      <c r="H273" s="1" t="s">
        <v>326</v>
      </c>
      <c r="I273" s="1">
        <v>92643.0</v>
      </c>
      <c r="J273" s="1">
        <v>0.0</v>
      </c>
      <c r="K273" s="1">
        <v>0.0</v>
      </c>
      <c r="L273" s="1" t="s">
        <v>387</v>
      </c>
      <c r="M273" s="1" t="s">
        <v>387</v>
      </c>
      <c r="N273" s="1" t="s">
        <v>922</v>
      </c>
    </row>
    <row r="274" spans="1:15" customHeight="1" ht="15">
      <c r="A274" s="3" t="s">
        <v>91</v>
      </c>
      <c r="B274" s="3" t="s">
        <v>384</v>
      </c>
      <c r="C274" s="3" t="s">
        <v>409</v>
      </c>
      <c r="D274" s="3" t="s">
        <v>479</v>
      </c>
      <c r="E274" s="3"/>
      <c r="F274" s="2" t="s">
        <v>244</v>
      </c>
      <c r="G274" s="2"/>
      <c r="H274" s="1" t="s">
        <v>326</v>
      </c>
      <c r="I274" s="1">
        <v>92643.0</v>
      </c>
      <c r="J274" s="1">
        <v>0.0</v>
      </c>
      <c r="K274" s="1">
        <v>0.0</v>
      </c>
      <c r="L274" s="1" t="s">
        <v>387</v>
      </c>
      <c r="M274" s="1" t="s">
        <v>387</v>
      </c>
      <c r="N274" s="1" t="s">
        <v>922</v>
      </c>
    </row>
    <row r="275" spans="1:15" customHeight="1" ht="15">
      <c r="A275" s="3" t="s">
        <v>91</v>
      </c>
      <c r="B275" s="3" t="s">
        <v>384</v>
      </c>
      <c r="C275" s="3" t="s">
        <v>422</v>
      </c>
      <c r="D275" s="3" t="s">
        <v>476</v>
      </c>
      <c r="E275" s="3" t="s">
        <v>487</v>
      </c>
      <c r="F275" s="2" t="s">
        <v>245</v>
      </c>
      <c r="G275" s="2"/>
      <c r="H275" s="1" t="s">
        <v>95</v>
      </c>
      <c r="I275" s="1">
        <v>8763.0</v>
      </c>
      <c r="J275" s="1">
        <v>5.0</v>
      </c>
      <c r="K275" s="1">
        <v>446.0</v>
      </c>
      <c r="L275" s="1" t="s">
        <v>638</v>
      </c>
      <c r="M275" s="1" t="s">
        <v>838</v>
      </c>
      <c r="N275" s="1" t="s">
        <v>470</v>
      </c>
    </row>
    <row r="276" spans="1:15" customHeight="1" ht="15">
      <c r="A276" s="3" t="s">
        <v>91</v>
      </c>
      <c r="B276" s="3" t="s">
        <v>384</v>
      </c>
      <c r="C276" s="3" t="s">
        <v>409</v>
      </c>
      <c r="D276" s="3" t="s">
        <v>479</v>
      </c>
      <c r="E276" s="3"/>
      <c r="F276" s="2" t="s">
        <v>245</v>
      </c>
      <c r="G276" s="2"/>
      <c r="H276" s="1" t="s">
        <v>95</v>
      </c>
      <c r="I276" s="1">
        <v>8763.0</v>
      </c>
      <c r="J276" s="1">
        <v>5.0</v>
      </c>
      <c r="K276" s="1">
        <v>446.0</v>
      </c>
      <c r="L276" s="1" t="s">
        <v>638</v>
      </c>
      <c r="M276" s="1" t="s">
        <v>838</v>
      </c>
      <c r="N276" s="1" t="s">
        <v>470</v>
      </c>
    </row>
    <row r="277" spans="1:15" customHeight="1" ht="15">
      <c r="A277" s="3" t="s">
        <v>91</v>
      </c>
      <c r="B277" s="3" t="s">
        <v>384</v>
      </c>
      <c r="C277" s="3" t="s">
        <v>422</v>
      </c>
      <c r="D277" s="3" t="s">
        <v>476</v>
      </c>
      <c r="E277" s="3" t="s">
        <v>487</v>
      </c>
      <c r="F277" s="2" t="s">
        <v>246</v>
      </c>
      <c r="G277" s="2"/>
      <c r="H277" s="1" t="s">
        <v>95</v>
      </c>
      <c r="I277" s="1">
        <v>84159.0</v>
      </c>
      <c r="J277" s="1">
        <v>5.0</v>
      </c>
      <c r="K277" s="1">
        <v>789.0</v>
      </c>
      <c r="L277" s="1" t="s">
        <v>639</v>
      </c>
      <c r="M277" s="1" t="s">
        <v>839</v>
      </c>
      <c r="N277" s="1" t="s">
        <v>470</v>
      </c>
    </row>
    <row r="278" spans="1:15" customHeight="1" ht="15">
      <c r="A278" s="3" t="s">
        <v>91</v>
      </c>
      <c r="B278" s="3" t="s">
        <v>384</v>
      </c>
      <c r="C278" s="3" t="s">
        <v>409</v>
      </c>
      <c r="D278" s="3" t="s">
        <v>479</v>
      </c>
      <c r="E278" s="3"/>
      <c r="F278" s="2" t="s">
        <v>246</v>
      </c>
      <c r="G278" s="2"/>
      <c r="H278" s="1" t="s">
        <v>95</v>
      </c>
      <c r="I278" s="1">
        <v>84159.0</v>
      </c>
      <c r="J278" s="1">
        <v>5.0</v>
      </c>
      <c r="K278" s="1">
        <v>789.0</v>
      </c>
      <c r="L278" s="1" t="s">
        <v>639</v>
      </c>
      <c r="M278" s="1" t="s">
        <v>839</v>
      </c>
      <c r="N278" s="1" t="s">
        <v>470</v>
      </c>
    </row>
    <row r="279" spans="1:15" customHeight="1" ht="15">
      <c r="A279" s="3" t="s">
        <v>91</v>
      </c>
      <c r="B279" s="3" t="s">
        <v>384</v>
      </c>
      <c r="C279" s="3" t="s">
        <v>422</v>
      </c>
      <c r="D279" s="3" t="s">
        <v>476</v>
      </c>
      <c r="E279" s="3" t="s">
        <v>487</v>
      </c>
      <c r="F279" s="2" t="s">
        <v>247</v>
      </c>
      <c r="G279" s="2"/>
      <c r="H279" s="1" t="s">
        <v>95</v>
      </c>
      <c r="I279" s="1">
        <v>54316.0</v>
      </c>
      <c r="J279" s="1">
        <v>5.0</v>
      </c>
      <c r="K279" s="1">
        <v>275.0</v>
      </c>
      <c r="L279" s="1" t="s">
        <v>640</v>
      </c>
      <c r="M279" s="1" t="s">
        <v>840</v>
      </c>
      <c r="N279" s="1" t="s">
        <v>470</v>
      </c>
    </row>
    <row r="280" spans="1:15" customHeight="1" ht="15">
      <c r="A280" s="3" t="s">
        <v>91</v>
      </c>
      <c r="B280" s="3" t="s">
        <v>384</v>
      </c>
      <c r="C280" s="3" t="s">
        <v>409</v>
      </c>
      <c r="D280" s="3" t="s">
        <v>479</v>
      </c>
      <c r="E280" s="3"/>
      <c r="F280" s="2" t="s">
        <v>247</v>
      </c>
      <c r="G280" s="2"/>
      <c r="H280" s="1" t="s">
        <v>95</v>
      </c>
      <c r="I280" s="1">
        <v>54316.0</v>
      </c>
      <c r="J280" s="1">
        <v>5.0</v>
      </c>
      <c r="K280" s="1">
        <v>275.0</v>
      </c>
      <c r="L280" s="1" t="s">
        <v>640</v>
      </c>
      <c r="M280" s="1" t="s">
        <v>840</v>
      </c>
      <c r="N280" s="1" t="s">
        <v>470</v>
      </c>
    </row>
    <row r="281" spans="1:15" customHeight="1" ht="15">
      <c r="A281" s="3" t="s">
        <v>91</v>
      </c>
      <c r="B281" s="3" t="s">
        <v>384</v>
      </c>
      <c r="C281" s="3" t="s">
        <v>422</v>
      </c>
      <c r="D281" s="3" t="s">
        <v>476</v>
      </c>
      <c r="E281" s="3" t="s">
        <v>487</v>
      </c>
      <c r="F281" s="2" t="s">
        <v>248</v>
      </c>
      <c r="G281" s="2"/>
      <c r="H281" s="1" t="s">
        <v>95</v>
      </c>
      <c r="I281" s="1">
        <v>8289.0</v>
      </c>
      <c r="J281" s="1">
        <v>5.0</v>
      </c>
      <c r="K281" s="1">
        <v>381.0</v>
      </c>
      <c r="L281" s="1" t="s">
        <v>641</v>
      </c>
      <c r="M281" s="1" t="s">
        <v>841</v>
      </c>
      <c r="N281" s="1" t="s">
        <v>470</v>
      </c>
    </row>
    <row r="282" spans="1:15" customHeight="1" ht="15">
      <c r="A282" s="3" t="s">
        <v>91</v>
      </c>
      <c r="B282" s="3" t="s">
        <v>384</v>
      </c>
      <c r="C282" s="3" t="s">
        <v>409</v>
      </c>
      <c r="D282" s="3" t="s">
        <v>479</v>
      </c>
      <c r="E282" s="3"/>
      <c r="F282" s="2" t="s">
        <v>248</v>
      </c>
      <c r="G282" s="2"/>
      <c r="H282" s="1" t="s">
        <v>95</v>
      </c>
      <c r="I282" s="1">
        <v>8289.0</v>
      </c>
      <c r="J282" s="1">
        <v>5.0</v>
      </c>
      <c r="K282" s="1">
        <v>381.0</v>
      </c>
      <c r="L282" s="1" t="s">
        <v>641</v>
      </c>
      <c r="M282" s="1" t="s">
        <v>841</v>
      </c>
      <c r="N282" s="1" t="s">
        <v>470</v>
      </c>
    </row>
    <row r="283" spans="1:15" customHeight="1" ht="15">
      <c r="A283" s="3" t="s">
        <v>91</v>
      </c>
      <c r="B283" s="3" t="s">
        <v>384</v>
      </c>
      <c r="C283" s="3" t="s">
        <v>422</v>
      </c>
      <c r="D283" s="3" t="s">
        <v>476</v>
      </c>
      <c r="E283" s="3" t="s">
        <v>487</v>
      </c>
      <c r="F283" s="2" t="s">
        <v>249</v>
      </c>
      <c r="G283" s="2"/>
      <c r="H283" s="1" t="s">
        <v>95</v>
      </c>
      <c r="I283" s="1">
        <v>52834.0</v>
      </c>
      <c r="J283" s="1">
        <v>5.0</v>
      </c>
      <c r="K283" s="1">
        <v>71.0</v>
      </c>
      <c r="L283" s="1" t="s">
        <v>642</v>
      </c>
      <c r="M283" s="1" t="s">
        <v>842</v>
      </c>
      <c r="N283" s="1" t="s">
        <v>921</v>
      </c>
    </row>
    <row r="284" spans="1:15" customHeight="1" ht="15">
      <c r="A284" s="3" t="s">
        <v>91</v>
      </c>
      <c r="B284" s="3" t="s">
        <v>384</v>
      </c>
      <c r="C284" s="3" t="s">
        <v>409</v>
      </c>
      <c r="D284" s="3" t="s">
        <v>479</v>
      </c>
      <c r="E284" s="3"/>
      <c r="F284" s="2" t="s">
        <v>249</v>
      </c>
      <c r="G284" s="2"/>
      <c r="H284" s="1" t="s">
        <v>95</v>
      </c>
      <c r="I284" s="1">
        <v>52834.0</v>
      </c>
      <c r="J284" s="1">
        <v>5.0</v>
      </c>
      <c r="K284" s="1">
        <v>71.0</v>
      </c>
      <c r="L284" s="1" t="s">
        <v>642</v>
      </c>
      <c r="M284" s="1" t="s">
        <v>842</v>
      </c>
      <c r="N284" s="1" t="s">
        <v>921</v>
      </c>
    </row>
    <row r="285" spans="1:15" customHeight="1" ht="15">
      <c r="A285" s="3" t="s">
        <v>91</v>
      </c>
      <c r="B285" s="3" t="s">
        <v>384</v>
      </c>
      <c r="C285" s="3" t="s">
        <v>422</v>
      </c>
      <c r="D285" s="3" t="s">
        <v>476</v>
      </c>
      <c r="E285" s="3" t="s">
        <v>487</v>
      </c>
      <c r="F285" s="2" t="s">
        <v>250</v>
      </c>
      <c r="G285" s="2"/>
      <c r="H285" s="1" t="s">
        <v>95</v>
      </c>
      <c r="I285" s="1">
        <v>65585.0</v>
      </c>
      <c r="J285" s="1">
        <v>5.0</v>
      </c>
      <c r="K285" s="1">
        <v>690.0</v>
      </c>
      <c r="L285" s="1" t="s">
        <v>643</v>
      </c>
      <c r="M285" s="1" t="s">
        <v>843</v>
      </c>
      <c r="N285" s="1" t="s">
        <v>470</v>
      </c>
    </row>
    <row r="286" spans="1:15" customHeight="1" ht="15">
      <c r="A286" s="3" t="s">
        <v>91</v>
      </c>
      <c r="B286" s="3" t="s">
        <v>384</v>
      </c>
      <c r="C286" s="3" t="s">
        <v>409</v>
      </c>
      <c r="D286" s="3" t="s">
        <v>479</v>
      </c>
      <c r="E286" s="3"/>
      <c r="F286" s="2" t="s">
        <v>250</v>
      </c>
      <c r="G286" s="2"/>
      <c r="H286" s="1" t="s">
        <v>95</v>
      </c>
      <c r="I286" s="1">
        <v>65585.0</v>
      </c>
      <c r="J286" s="1">
        <v>5.0</v>
      </c>
      <c r="K286" s="1">
        <v>690.0</v>
      </c>
      <c r="L286" s="1" t="s">
        <v>643</v>
      </c>
      <c r="M286" s="1" t="s">
        <v>843</v>
      </c>
      <c r="N286" s="1" t="s">
        <v>470</v>
      </c>
    </row>
    <row r="287" spans="1:15" customHeight="1" ht="15">
      <c r="A287" s="3" t="s">
        <v>91</v>
      </c>
      <c r="B287" s="3" t="s">
        <v>384</v>
      </c>
      <c r="C287" s="3" t="s">
        <v>422</v>
      </c>
      <c r="D287" s="3" t="s">
        <v>476</v>
      </c>
      <c r="E287" s="3" t="s">
        <v>487</v>
      </c>
      <c r="F287" s="2" t="s">
        <v>251</v>
      </c>
      <c r="G287" s="2"/>
      <c r="H287" s="1" t="s">
        <v>95</v>
      </c>
      <c r="I287" s="1">
        <v>69560.0</v>
      </c>
      <c r="J287" s="1">
        <v>5.0</v>
      </c>
      <c r="K287" s="1">
        <v>556.0</v>
      </c>
      <c r="L287" s="1" t="s">
        <v>644</v>
      </c>
      <c r="M287" s="1" t="s">
        <v>844</v>
      </c>
      <c r="N287" s="1" t="s">
        <v>470</v>
      </c>
    </row>
    <row r="288" spans="1:15" customHeight="1" ht="15">
      <c r="A288" s="3" t="s">
        <v>91</v>
      </c>
      <c r="B288" s="3" t="s">
        <v>384</v>
      </c>
      <c r="C288" s="3" t="s">
        <v>409</v>
      </c>
      <c r="D288" s="3" t="s">
        <v>479</v>
      </c>
      <c r="E288" s="3"/>
      <c r="F288" s="2" t="s">
        <v>251</v>
      </c>
      <c r="G288" s="2"/>
      <c r="H288" s="1" t="s">
        <v>95</v>
      </c>
      <c r="I288" s="1">
        <v>69560.0</v>
      </c>
      <c r="J288" s="1">
        <v>5.0</v>
      </c>
      <c r="K288" s="1">
        <v>556.0</v>
      </c>
      <c r="L288" s="1" t="s">
        <v>644</v>
      </c>
      <c r="M288" s="1" t="s">
        <v>844</v>
      </c>
      <c r="N288" s="1" t="s">
        <v>470</v>
      </c>
    </row>
    <row r="289" spans="1:15" customHeight="1" ht="15">
      <c r="A289" s="3" t="s">
        <v>91</v>
      </c>
      <c r="B289" s="3" t="s">
        <v>384</v>
      </c>
      <c r="C289" s="3" t="s">
        <v>422</v>
      </c>
      <c r="D289" s="3" t="s">
        <v>476</v>
      </c>
      <c r="E289" s="3" t="s">
        <v>487</v>
      </c>
      <c r="F289" s="2" t="s">
        <v>252</v>
      </c>
      <c r="G289" s="2"/>
      <c r="H289" s="1" t="s">
        <v>95</v>
      </c>
      <c r="I289" s="1">
        <v>78879.0</v>
      </c>
      <c r="J289" s="1">
        <v>5.0</v>
      </c>
      <c r="K289" s="1">
        <v>679.0</v>
      </c>
      <c r="L289" s="1" t="s">
        <v>645</v>
      </c>
      <c r="M289" s="1" t="s">
        <v>845</v>
      </c>
      <c r="N289" s="1" t="s">
        <v>470</v>
      </c>
    </row>
    <row r="290" spans="1:15" customHeight="1" ht="15">
      <c r="A290" s="3" t="s">
        <v>91</v>
      </c>
      <c r="B290" s="3" t="s">
        <v>384</v>
      </c>
      <c r="C290" s="3" t="s">
        <v>409</v>
      </c>
      <c r="D290" s="3" t="s">
        <v>479</v>
      </c>
      <c r="E290" s="3"/>
      <c r="F290" s="2" t="s">
        <v>252</v>
      </c>
      <c r="G290" s="2"/>
      <c r="H290" s="1" t="s">
        <v>95</v>
      </c>
      <c r="I290" s="1">
        <v>78879.0</v>
      </c>
      <c r="J290" s="1">
        <v>5.0</v>
      </c>
      <c r="K290" s="1">
        <v>679.0</v>
      </c>
      <c r="L290" s="1" t="s">
        <v>645</v>
      </c>
      <c r="M290" s="1" t="s">
        <v>845</v>
      </c>
      <c r="N290" s="1" t="s">
        <v>470</v>
      </c>
    </row>
    <row r="291" spans="1:15" customHeight="1" ht="15">
      <c r="A291" s="3" t="s">
        <v>91</v>
      </c>
      <c r="B291" s="3" t="s">
        <v>384</v>
      </c>
      <c r="C291" s="3" t="s">
        <v>422</v>
      </c>
      <c r="D291" s="3" t="s">
        <v>476</v>
      </c>
      <c r="E291" s="3" t="s">
        <v>487</v>
      </c>
      <c r="F291" s="2" t="s">
        <v>253</v>
      </c>
      <c r="G291" s="2"/>
      <c r="H291" s="1" t="s">
        <v>95</v>
      </c>
      <c r="I291" s="1">
        <v>82827.0</v>
      </c>
      <c r="J291" s="1">
        <v>5.0</v>
      </c>
      <c r="K291" s="1">
        <v>936.0</v>
      </c>
      <c r="L291" s="1" t="s">
        <v>646</v>
      </c>
      <c r="M291" s="1" t="s">
        <v>846</v>
      </c>
      <c r="N291" s="1" t="s">
        <v>470</v>
      </c>
    </row>
    <row r="292" spans="1:15" customHeight="1" ht="15">
      <c r="A292" s="3" t="s">
        <v>91</v>
      </c>
      <c r="B292" s="3" t="s">
        <v>384</v>
      </c>
      <c r="C292" s="3" t="s">
        <v>409</v>
      </c>
      <c r="D292" s="3" t="s">
        <v>479</v>
      </c>
      <c r="E292" s="3"/>
      <c r="F292" s="2" t="s">
        <v>253</v>
      </c>
      <c r="G292" s="2"/>
      <c r="H292" s="1" t="s">
        <v>95</v>
      </c>
      <c r="I292" s="1">
        <v>82827.0</v>
      </c>
      <c r="J292" s="1">
        <v>5.0</v>
      </c>
      <c r="K292" s="1">
        <v>936.0</v>
      </c>
      <c r="L292" s="1" t="s">
        <v>646</v>
      </c>
      <c r="M292" s="1" t="s">
        <v>846</v>
      </c>
      <c r="N292" s="1" t="s">
        <v>470</v>
      </c>
    </row>
    <row r="293" spans="1:15" customHeight="1" ht="15">
      <c r="A293" s="3" t="s">
        <v>91</v>
      </c>
      <c r="B293" s="3" t="s">
        <v>384</v>
      </c>
      <c r="C293" s="3" t="s">
        <v>422</v>
      </c>
      <c r="D293" s="3" t="s">
        <v>476</v>
      </c>
      <c r="E293" s="3" t="s">
        <v>487</v>
      </c>
      <c r="F293" s="2" t="s">
        <v>254</v>
      </c>
      <c r="G293" s="2"/>
      <c r="H293" s="1" t="s">
        <v>95</v>
      </c>
      <c r="I293" s="1">
        <v>41600.0</v>
      </c>
      <c r="J293" s="1">
        <v>5.0</v>
      </c>
      <c r="K293" s="1">
        <v>509.0</v>
      </c>
      <c r="L293" s="1" t="s">
        <v>441</v>
      </c>
      <c r="M293" s="1" t="s">
        <v>458</v>
      </c>
      <c r="N293" s="1" t="s">
        <v>470</v>
      </c>
    </row>
    <row r="294" spans="1:15" customHeight="1" ht="15">
      <c r="A294" s="3" t="s">
        <v>91</v>
      </c>
      <c r="B294" s="3" t="s">
        <v>384</v>
      </c>
      <c r="C294" s="3" t="s">
        <v>409</v>
      </c>
      <c r="D294" s="3" t="s">
        <v>479</v>
      </c>
      <c r="E294" s="3"/>
      <c r="F294" s="2" t="s">
        <v>254</v>
      </c>
      <c r="G294" s="2"/>
      <c r="H294" s="1" t="s">
        <v>95</v>
      </c>
      <c r="I294" s="1">
        <v>41600.0</v>
      </c>
      <c r="J294" s="1">
        <v>5.0</v>
      </c>
      <c r="K294" s="1">
        <v>509.0</v>
      </c>
      <c r="L294" s="1" t="s">
        <v>441</v>
      </c>
      <c r="M294" s="1" t="s">
        <v>458</v>
      </c>
      <c r="N294" s="1" t="s">
        <v>470</v>
      </c>
    </row>
    <row r="295" spans="1:15" customHeight="1" ht="15">
      <c r="A295" s="3" t="s">
        <v>91</v>
      </c>
      <c r="B295" s="3" t="s">
        <v>384</v>
      </c>
      <c r="C295" s="3" t="s">
        <v>422</v>
      </c>
      <c r="D295" s="3" t="s">
        <v>476</v>
      </c>
      <c r="E295" s="3" t="s">
        <v>487</v>
      </c>
      <c r="F295" s="2" t="s">
        <v>255</v>
      </c>
      <c r="G295" s="2"/>
      <c r="H295" s="1" t="s">
        <v>95</v>
      </c>
      <c r="I295" s="1">
        <v>75081.0</v>
      </c>
      <c r="J295" s="1">
        <v>5.0</v>
      </c>
      <c r="K295" s="1">
        <v>498.0</v>
      </c>
      <c r="L295" s="1" t="s">
        <v>647</v>
      </c>
      <c r="M295" s="1" t="s">
        <v>847</v>
      </c>
      <c r="N295" s="1" t="s">
        <v>470</v>
      </c>
    </row>
    <row r="296" spans="1:15" customHeight="1" ht="15">
      <c r="A296" s="3" t="s">
        <v>91</v>
      </c>
      <c r="B296" s="3" t="s">
        <v>384</v>
      </c>
      <c r="C296" s="3" t="s">
        <v>409</v>
      </c>
      <c r="D296" s="3" t="s">
        <v>479</v>
      </c>
      <c r="E296" s="3"/>
      <c r="F296" s="2" t="s">
        <v>255</v>
      </c>
      <c r="G296" s="2"/>
      <c r="H296" s="1" t="s">
        <v>95</v>
      </c>
      <c r="I296" s="1">
        <v>75081.0</v>
      </c>
      <c r="J296" s="1">
        <v>5.0</v>
      </c>
      <c r="K296" s="1">
        <v>498.0</v>
      </c>
      <c r="L296" s="1" t="s">
        <v>647</v>
      </c>
      <c r="M296" s="1" t="s">
        <v>847</v>
      </c>
      <c r="N296" s="1" t="s">
        <v>470</v>
      </c>
    </row>
    <row r="297" spans="1:15" customHeight="1" ht="15">
      <c r="A297" s="3" t="s">
        <v>91</v>
      </c>
      <c r="B297" s="3" t="s">
        <v>384</v>
      </c>
      <c r="C297" s="3" t="s">
        <v>422</v>
      </c>
      <c r="D297" s="3" t="s">
        <v>476</v>
      </c>
      <c r="E297" s="3" t="s">
        <v>487</v>
      </c>
      <c r="F297" s="2" t="s">
        <v>256</v>
      </c>
      <c r="G297" s="2"/>
      <c r="H297" s="1" t="s">
        <v>95</v>
      </c>
      <c r="I297" s="1">
        <v>61076.0</v>
      </c>
      <c r="J297" s="1">
        <v>5.0</v>
      </c>
      <c r="K297" s="1">
        <v>449.0</v>
      </c>
      <c r="L297" s="1" t="s">
        <v>648</v>
      </c>
      <c r="M297" s="1" t="s">
        <v>848</v>
      </c>
      <c r="N297" s="1" t="s">
        <v>470</v>
      </c>
    </row>
    <row r="298" spans="1:15" customHeight="1" ht="15">
      <c r="A298" s="3" t="s">
        <v>91</v>
      </c>
      <c r="B298" s="3" t="s">
        <v>384</v>
      </c>
      <c r="C298" s="3" t="s">
        <v>409</v>
      </c>
      <c r="D298" s="3" t="s">
        <v>479</v>
      </c>
      <c r="E298" s="3"/>
      <c r="F298" s="2" t="s">
        <v>256</v>
      </c>
      <c r="G298" s="2"/>
      <c r="H298" s="1" t="s">
        <v>95</v>
      </c>
      <c r="I298" s="1">
        <v>61076.0</v>
      </c>
      <c r="J298" s="1">
        <v>5.0</v>
      </c>
      <c r="K298" s="1">
        <v>449.0</v>
      </c>
      <c r="L298" s="1" t="s">
        <v>648</v>
      </c>
      <c r="M298" s="1" t="s">
        <v>848</v>
      </c>
      <c r="N298" s="1" t="s">
        <v>470</v>
      </c>
    </row>
    <row r="299" spans="1:15" customHeight="1" ht="15">
      <c r="A299" s="3" t="s">
        <v>91</v>
      </c>
      <c r="B299" s="3" t="s">
        <v>384</v>
      </c>
      <c r="C299" s="3" t="s">
        <v>422</v>
      </c>
      <c r="D299" s="3" t="s">
        <v>476</v>
      </c>
      <c r="E299" s="3" t="s">
        <v>487</v>
      </c>
      <c r="F299" s="2" t="s">
        <v>257</v>
      </c>
      <c r="G299" s="2"/>
      <c r="H299" s="1" t="s">
        <v>326</v>
      </c>
      <c r="I299" s="1">
        <v>211556.0</v>
      </c>
      <c r="J299" s="1">
        <v>1.0</v>
      </c>
      <c r="K299" s="1">
        <v>0.0</v>
      </c>
      <c r="L299" s="1" t="s">
        <v>649</v>
      </c>
      <c r="M299" s="1" t="s">
        <v>849</v>
      </c>
      <c r="N299" s="1" t="s">
        <v>922</v>
      </c>
    </row>
    <row r="300" spans="1:15" customHeight="1" ht="15">
      <c r="A300" s="3" t="s">
        <v>91</v>
      </c>
      <c r="B300" s="3" t="s">
        <v>384</v>
      </c>
      <c r="C300" s="3" t="s">
        <v>409</v>
      </c>
      <c r="D300" s="3" t="s">
        <v>479</v>
      </c>
      <c r="E300" s="3"/>
      <c r="F300" s="2" t="s">
        <v>257</v>
      </c>
      <c r="G300" s="2"/>
      <c r="H300" s="1" t="s">
        <v>326</v>
      </c>
      <c r="I300" s="1">
        <v>211556.0</v>
      </c>
      <c r="J300" s="1">
        <v>1.0</v>
      </c>
      <c r="K300" s="1">
        <v>0.0</v>
      </c>
      <c r="L300" s="1" t="s">
        <v>649</v>
      </c>
      <c r="M300" s="1" t="s">
        <v>849</v>
      </c>
      <c r="N300" s="1" t="s">
        <v>922</v>
      </c>
    </row>
    <row r="301" spans="1:15" customHeight="1" ht="15">
      <c r="A301" s="3" t="s">
        <v>91</v>
      </c>
      <c r="B301" s="3" t="s">
        <v>384</v>
      </c>
      <c r="C301" s="3" t="s">
        <v>422</v>
      </c>
      <c r="D301" s="3" t="s">
        <v>476</v>
      </c>
      <c r="E301" s="3" t="s">
        <v>487</v>
      </c>
      <c r="F301" s="2" t="s">
        <v>258</v>
      </c>
      <c r="G301" s="2"/>
      <c r="H301" s="1" t="s">
        <v>95</v>
      </c>
      <c r="I301" s="1">
        <v>7808.0</v>
      </c>
      <c r="J301" s="1">
        <v>4.0</v>
      </c>
      <c r="K301" s="1">
        <v>85.0</v>
      </c>
      <c r="L301" s="1" t="s">
        <v>650</v>
      </c>
      <c r="M301" s="1" t="s">
        <v>850</v>
      </c>
      <c r="N301" s="1" t="s">
        <v>402</v>
      </c>
    </row>
    <row r="302" spans="1:15" customHeight="1" ht="15">
      <c r="A302" s="3" t="s">
        <v>91</v>
      </c>
      <c r="B302" s="3" t="s">
        <v>384</v>
      </c>
      <c r="C302" s="3" t="s">
        <v>422</v>
      </c>
      <c r="D302" s="3" t="s">
        <v>477</v>
      </c>
      <c r="E302" s="3"/>
      <c r="F302" s="2" t="s">
        <v>258</v>
      </c>
      <c r="G302" s="2"/>
      <c r="H302" s="1" t="s">
        <v>95</v>
      </c>
      <c r="I302" s="1">
        <v>7808.0</v>
      </c>
      <c r="J302" s="1">
        <v>4.0</v>
      </c>
      <c r="K302" s="1">
        <v>85.0</v>
      </c>
      <c r="L302" s="1" t="s">
        <v>650</v>
      </c>
      <c r="M302" s="1" t="s">
        <v>850</v>
      </c>
      <c r="N302" s="1" t="s">
        <v>402</v>
      </c>
    </row>
    <row r="303" spans="1:15" customHeight="1" ht="15">
      <c r="A303" s="3" t="s">
        <v>91</v>
      </c>
      <c r="B303" s="3" t="s">
        <v>384</v>
      </c>
      <c r="C303" s="3" t="s">
        <v>409</v>
      </c>
      <c r="D303" s="3" t="s">
        <v>479</v>
      </c>
      <c r="E303" s="3"/>
      <c r="F303" s="2" t="s">
        <v>258</v>
      </c>
      <c r="G303" s="2"/>
      <c r="H303" s="1" t="s">
        <v>95</v>
      </c>
      <c r="I303" s="1">
        <v>7808.0</v>
      </c>
      <c r="J303" s="1">
        <v>4.0</v>
      </c>
      <c r="K303" s="1">
        <v>85.0</v>
      </c>
      <c r="L303" s="1" t="s">
        <v>650</v>
      </c>
      <c r="M303" s="1" t="s">
        <v>850</v>
      </c>
      <c r="N303" s="1" t="s">
        <v>402</v>
      </c>
    </row>
    <row r="304" spans="1:15" customHeight="1" ht="15">
      <c r="A304" s="3" t="s">
        <v>91</v>
      </c>
      <c r="B304" s="3" t="s">
        <v>384</v>
      </c>
      <c r="C304" s="3" t="s">
        <v>422</v>
      </c>
      <c r="D304" s="3" t="s">
        <v>476</v>
      </c>
      <c r="E304" s="3" t="s">
        <v>487</v>
      </c>
      <c r="F304" s="2" t="s">
        <v>259</v>
      </c>
      <c r="G304" s="2"/>
      <c r="H304" s="1" t="s">
        <v>95</v>
      </c>
      <c r="I304" s="1">
        <v>60818.0</v>
      </c>
      <c r="J304" s="1">
        <v>4.0</v>
      </c>
      <c r="K304" s="1">
        <v>386.0</v>
      </c>
      <c r="L304" s="1" t="s">
        <v>651</v>
      </c>
      <c r="M304" s="1" t="s">
        <v>851</v>
      </c>
      <c r="N304" s="1" t="s">
        <v>402</v>
      </c>
    </row>
    <row r="305" spans="1:15" customHeight="1" ht="15">
      <c r="A305" s="3" t="s">
        <v>91</v>
      </c>
      <c r="B305" s="3" t="s">
        <v>384</v>
      </c>
      <c r="C305" s="3" t="s">
        <v>409</v>
      </c>
      <c r="D305" s="3" t="s">
        <v>479</v>
      </c>
      <c r="E305" s="3"/>
      <c r="F305" s="2" t="s">
        <v>259</v>
      </c>
      <c r="G305" s="2"/>
      <c r="H305" s="1" t="s">
        <v>95</v>
      </c>
      <c r="I305" s="1">
        <v>60818.0</v>
      </c>
      <c r="J305" s="1">
        <v>4.0</v>
      </c>
      <c r="K305" s="1">
        <v>386.0</v>
      </c>
      <c r="L305" s="1" t="s">
        <v>651</v>
      </c>
      <c r="M305" s="1" t="s">
        <v>851</v>
      </c>
      <c r="N305" s="1" t="s">
        <v>402</v>
      </c>
    </row>
    <row r="306" spans="1:15" customHeight="1" ht="15">
      <c r="A306" s="3" t="s">
        <v>91</v>
      </c>
      <c r="B306" s="3" t="s">
        <v>384</v>
      </c>
      <c r="C306" s="3" t="s">
        <v>422</v>
      </c>
      <c r="D306" s="3" t="s">
        <v>476</v>
      </c>
      <c r="E306" s="3" t="s">
        <v>487</v>
      </c>
      <c r="F306" s="2" t="s">
        <v>260</v>
      </c>
      <c r="G306" s="2"/>
      <c r="H306" s="1" t="s">
        <v>95</v>
      </c>
      <c r="I306" s="1">
        <v>82487.0</v>
      </c>
      <c r="J306" s="1">
        <v>4.0</v>
      </c>
      <c r="K306" s="1">
        <v>466.0</v>
      </c>
      <c r="L306" s="1" t="s">
        <v>652</v>
      </c>
      <c r="M306" s="1" t="s">
        <v>852</v>
      </c>
      <c r="N306" s="1" t="s">
        <v>402</v>
      </c>
    </row>
    <row r="307" spans="1:15" customHeight="1" ht="15">
      <c r="A307" s="3" t="s">
        <v>91</v>
      </c>
      <c r="B307" s="3" t="s">
        <v>384</v>
      </c>
      <c r="C307" s="3" t="s">
        <v>409</v>
      </c>
      <c r="D307" s="3" t="s">
        <v>479</v>
      </c>
      <c r="E307" s="3"/>
      <c r="F307" s="2" t="s">
        <v>260</v>
      </c>
      <c r="G307" s="2"/>
      <c r="H307" s="1" t="s">
        <v>95</v>
      </c>
      <c r="I307" s="1">
        <v>82487.0</v>
      </c>
      <c r="J307" s="1">
        <v>4.0</v>
      </c>
      <c r="K307" s="1">
        <v>466.0</v>
      </c>
      <c r="L307" s="1" t="s">
        <v>652</v>
      </c>
      <c r="M307" s="1" t="s">
        <v>852</v>
      </c>
      <c r="N307" s="1" t="s">
        <v>402</v>
      </c>
    </row>
    <row r="308" spans="1:15" customHeight="1" ht="15">
      <c r="A308" s="3" t="s">
        <v>91</v>
      </c>
      <c r="B308" s="3" t="s">
        <v>384</v>
      </c>
      <c r="C308" s="3" t="s">
        <v>422</v>
      </c>
      <c r="D308" s="3" t="s">
        <v>476</v>
      </c>
      <c r="E308" s="3" t="s">
        <v>487</v>
      </c>
      <c r="F308" s="2" t="s">
        <v>261</v>
      </c>
      <c r="G308" s="2"/>
      <c r="H308" s="1" t="s">
        <v>95</v>
      </c>
      <c r="I308" s="1">
        <v>204650.0</v>
      </c>
      <c r="J308" s="1">
        <v>2.0</v>
      </c>
      <c r="K308" s="1">
        <v>165.0</v>
      </c>
      <c r="L308" s="1" t="s">
        <v>653</v>
      </c>
      <c r="M308" s="1" t="s">
        <v>853</v>
      </c>
      <c r="N308" s="1" t="s">
        <v>921</v>
      </c>
    </row>
    <row r="309" spans="1:15" customHeight="1" ht="15">
      <c r="A309" s="3" t="s">
        <v>91</v>
      </c>
      <c r="B309" s="3" t="s">
        <v>384</v>
      </c>
      <c r="C309" s="3" t="s">
        <v>409</v>
      </c>
      <c r="D309" s="3" t="s">
        <v>479</v>
      </c>
      <c r="E309" s="3"/>
      <c r="F309" s="2" t="s">
        <v>261</v>
      </c>
      <c r="G309" s="2"/>
      <c r="H309" s="1" t="s">
        <v>95</v>
      </c>
      <c r="I309" s="1">
        <v>204650.0</v>
      </c>
      <c r="J309" s="1">
        <v>2.0</v>
      </c>
      <c r="K309" s="1">
        <v>165.0</v>
      </c>
      <c r="L309" s="1" t="s">
        <v>653</v>
      </c>
      <c r="M309" s="1" t="s">
        <v>853</v>
      </c>
      <c r="N309" s="1" t="s">
        <v>921</v>
      </c>
    </row>
    <row r="310" spans="1:15" customHeight="1" ht="15">
      <c r="A310" s="3" t="s">
        <v>91</v>
      </c>
      <c r="B310" s="3" t="s">
        <v>384</v>
      </c>
      <c r="C310" s="3" t="s">
        <v>409</v>
      </c>
      <c r="D310" s="3" t="s">
        <v>479</v>
      </c>
      <c r="E310" s="3"/>
      <c r="F310" s="2" t="s">
        <v>262</v>
      </c>
      <c r="G310" s="2"/>
      <c r="H310" s="1" t="s">
        <v>95</v>
      </c>
      <c r="I310" s="1">
        <v>10402.0</v>
      </c>
      <c r="J310" s="1">
        <v>1.0</v>
      </c>
      <c r="K310" s="1">
        <v>7.0</v>
      </c>
      <c r="L310" s="1" t="s">
        <v>654</v>
      </c>
      <c r="M310" s="1" t="s">
        <v>387</v>
      </c>
      <c r="N310" s="1" t="s">
        <v>920</v>
      </c>
    </row>
    <row r="311" spans="1:15" customHeight="1" ht="15">
      <c r="A311" s="3" t="s">
        <v>91</v>
      </c>
      <c r="B311" s="3" t="s">
        <v>384</v>
      </c>
      <c r="C311" s="3" t="s">
        <v>422</v>
      </c>
      <c r="D311" s="3" t="s">
        <v>476</v>
      </c>
      <c r="E311" s="3" t="s">
        <v>487</v>
      </c>
      <c r="F311" s="2" t="s">
        <v>263</v>
      </c>
      <c r="G311" s="2"/>
      <c r="H311" s="1" t="s">
        <v>95</v>
      </c>
      <c r="I311" s="1">
        <v>47611.0</v>
      </c>
      <c r="J311" s="1">
        <v>4.0</v>
      </c>
      <c r="K311" s="1">
        <v>420.0</v>
      </c>
      <c r="L311" s="1" t="s">
        <v>655</v>
      </c>
      <c r="M311" s="1" t="s">
        <v>854</v>
      </c>
      <c r="N311" s="1" t="s">
        <v>402</v>
      </c>
    </row>
    <row r="312" spans="1:15" customHeight="1" ht="15">
      <c r="A312" s="3" t="s">
        <v>91</v>
      </c>
      <c r="B312" s="3" t="s">
        <v>384</v>
      </c>
      <c r="C312" s="3" t="s">
        <v>409</v>
      </c>
      <c r="D312" s="3" t="s">
        <v>479</v>
      </c>
      <c r="E312" s="3"/>
      <c r="F312" s="2" t="s">
        <v>263</v>
      </c>
      <c r="G312" s="2"/>
      <c r="H312" s="1" t="s">
        <v>95</v>
      </c>
      <c r="I312" s="1">
        <v>47611.0</v>
      </c>
      <c r="J312" s="1">
        <v>4.0</v>
      </c>
      <c r="K312" s="1">
        <v>420.0</v>
      </c>
      <c r="L312" s="1" t="s">
        <v>655</v>
      </c>
      <c r="M312" s="1" t="s">
        <v>854</v>
      </c>
      <c r="N312" s="1" t="s">
        <v>402</v>
      </c>
    </row>
    <row r="313" spans="1:15" customHeight="1" ht="15">
      <c r="A313" s="3" t="s">
        <v>91</v>
      </c>
      <c r="B313" s="3" t="s">
        <v>384</v>
      </c>
      <c r="C313" s="3" t="s">
        <v>422</v>
      </c>
      <c r="D313" s="3" t="s">
        <v>476</v>
      </c>
      <c r="E313" s="3" t="s">
        <v>487</v>
      </c>
      <c r="F313" s="2" t="s">
        <v>264</v>
      </c>
      <c r="G313" s="2"/>
      <c r="H313" s="1" t="s">
        <v>95</v>
      </c>
      <c r="I313" s="1">
        <v>115563.0</v>
      </c>
      <c r="J313" s="1">
        <v>4.0</v>
      </c>
      <c r="K313" s="1">
        <v>371.0</v>
      </c>
      <c r="L313" s="1" t="s">
        <v>656</v>
      </c>
      <c r="M313" s="1" t="s">
        <v>855</v>
      </c>
      <c r="N313" s="1" t="s">
        <v>402</v>
      </c>
    </row>
    <row r="314" spans="1:15" customHeight="1" ht="15">
      <c r="A314" s="3" t="s">
        <v>91</v>
      </c>
      <c r="B314" s="3" t="s">
        <v>384</v>
      </c>
      <c r="C314" s="3" t="s">
        <v>422</v>
      </c>
      <c r="D314" s="3" t="s">
        <v>477</v>
      </c>
      <c r="E314" s="3"/>
      <c r="F314" s="2" t="s">
        <v>264</v>
      </c>
      <c r="G314" s="2"/>
      <c r="H314" s="1" t="s">
        <v>95</v>
      </c>
      <c r="I314" s="1">
        <v>115563.0</v>
      </c>
      <c r="J314" s="1">
        <v>4.0</v>
      </c>
      <c r="K314" s="1">
        <v>371.0</v>
      </c>
      <c r="L314" s="1" t="s">
        <v>656</v>
      </c>
      <c r="M314" s="1" t="s">
        <v>855</v>
      </c>
      <c r="N314" s="1" t="s">
        <v>402</v>
      </c>
    </row>
    <row r="315" spans="1:15" customHeight="1" ht="15">
      <c r="A315" s="3" t="s">
        <v>91</v>
      </c>
      <c r="B315" s="3" t="s">
        <v>384</v>
      </c>
      <c r="C315" s="3" t="s">
        <v>409</v>
      </c>
      <c r="D315" s="3" t="s">
        <v>479</v>
      </c>
      <c r="E315" s="3"/>
      <c r="F315" s="2" t="s">
        <v>264</v>
      </c>
      <c r="G315" s="2"/>
      <c r="H315" s="1" t="s">
        <v>95</v>
      </c>
      <c r="I315" s="1">
        <v>115563.0</v>
      </c>
      <c r="J315" s="1">
        <v>4.0</v>
      </c>
      <c r="K315" s="1">
        <v>371.0</v>
      </c>
      <c r="L315" s="1" t="s">
        <v>656</v>
      </c>
      <c r="M315" s="1" t="s">
        <v>855</v>
      </c>
      <c r="N315" s="1" t="s">
        <v>402</v>
      </c>
    </row>
    <row r="316" spans="1:15" customHeight="1" ht="15">
      <c r="A316" s="3" t="s">
        <v>91</v>
      </c>
      <c r="B316" s="3" t="s">
        <v>384</v>
      </c>
      <c r="C316" s="3" t="s">
        <v>422</v>
      </c>
      <c r="D316" s="3" t="s">
        <v>476</v>
      </c>
      <c r="E316" s="3" t="s">
        <v>487</v>
      </c>
      <c r="F316" s="2" t="s">
        <v>265</v>
      </c>
      <c r="G316" s="2"/>
      <c r="H316" s="1" t="s">
        <v>95</v>
      </c>
      <c r="I316" s="1">
        <v>34025.0</v>
      </c>
      <c r="J316" s="1">
        <v>4.0</v>
      </c>
      <c r="K316" s="1">
        <v>401.0</v>
      </c>
      <c r="L316" s="1" t="s">
        <v>657</v>
      </c>
      <c r="M316" s="1" t="s">
        <v>856</v>
      </c>
      <c r="N316" s="1" t="s">
        <v>402</v>
      </c>
    </row>
    <row r="317" spans="1:15" customHeight="1" ht="15">
      <c r="A317" s="3" t="s">
        <v>91</v>
      </c>
      <c r="B317" s="3" t="s">
        <v>384</v>
      </c>
      <c r="C317" s="3" t="s">
        <v>409</v>
      </c>
      <c r="D317" s="3" t="s">
        <v>479</v>
      </c>
      <c r="E317" s="3"/>
      <c r="F317" s="2" t="s">
        <v>265</v>
      </c>
      <c r="G317" s="2"/>
      <c r="H317" s="1" t="s">
        <v>95</v>
      </c>
      <c r="I317" s="1">
        <v>34025.0</v>
      </c>
      <c r="J317" s="1">
        <v>4.0</v>
      </c>
      <c r="K317" s="1">
        <v>401.0</v>
      </c>
      <c r="L317" s="1" t="s">
        <v>657</v>
      </c>
      <c r="M317" s="1" t="s">
        <v>856</v>
      </c>
      <c r="N317" s="1" t="s">
        <v>402</v>
      </c>
    </row>
    <row r="318" spans="1:15" customHeight="1" ht="15">
      <c r="A318" s="3" t="s">
        <v>91</v>
      </c>
      <c r="B318" s="3" t="s">
        <v>384</v>
      </c>
      <c r="C318" s="3" t="s">
        <v>422</v>
      </c>
      <c r="D318" s="3" t="s">
        <v>476</v>
      </c>
      <c r="E318" s="3" t="s">
        <v>487</v>
      </c>
      <c r="F318" s="2" t="s">
        <v>266</v>
      </c>
      <c r="G318" s="2"/>
      <c r="H318" s="1" t="s">
        <v>95</v>
      </c>
      <c r="I318" s="1">
        <v>80113.0</v>
      </c>
      <c r="J318" s="1">
        <v>4.0</v>
      </c>
      <c r="K318" s="1">
        <v>752.0</v>
      </c>
      <c r="L318" s="1" t="s">
        <v>658</v>
      </c>
      <c r="M318" s="1" t="s">
        <v>857</v>
      </c>
      <c r="N318" s="1" t="s">
        <v>402</v>
      </c>
    </row>
    <row r="319" spans="1:15" customHeight="1" ht="15">
      <c r="A319" s="3" t="s">
        <v>91</v>
      </c>
      <c r="B319" s="3" t="s">
        <v>384</v>
      </c>
      <c r="C319" s="3" t="s">
        <v>409</v>
      </c>
      <c r="D319" s="3" t="s">
        <v>479</v>
      </c>
      <c r="E319" s="3"/>
      <c r="F319" s="2" t="s">
        <v>266</v>
      </c>
      <c r="G319" s="2"/>
      <c r="H319" s="1" t="s">
        <v>95</v>
      </c>
      <c r="I319" s="1">
        <v>80113.0</v>
      </c>
      <c r="J319" s="1">
        <v>4.0</v>
      </c>
      <c r="K319" s="1">
        <v>752.0</v>
      </c>
      <c r="L319" s="1" t="s">
        <v>658</v>
      </c>
      <c r="M319" s="1" t="s">
        <v>857</v>
      </c>
      <c r="N319" s="1" t="s">
        <v>402</v>
      </c>
    </row>
    <row r="320" spans="1:15" customHeight="1" ht="15">
      <c r="A320" s="3" t="s">
        <v>91</v>
      </c>
      <c r="B320" s="3" t="s">
        <v>384</v>
      </c>
      <c r="C320" s="3" t="s">
        <v>422</v>
      </c>
      <c r="D320" s="3" t="s">
        <v>476</v>
      </c>
      <c r="E320" s="3" t="s">
        <v>489</v>
      </c>
      <c r="F320" s="2" t="s">
        <v>267</v>
      </c>
      <c r="G320" s="2"/>
      <c r="H320" s="1" t="s">
        <v>95</v>
      </c>
      <c r="I320" s="1">
        <v>68922.0</v>
      </c>
      <c r="J320" s="1">
        <v>3.0</v>
      </c>
      <c r="K320" s="1">
        <v>104.0</v>
      </c>
      <c r="L320" s="1" t="s">
        <v>659</v>
      </c>
      <c r="M320" s="1" t="s">
        <v>858</v>
      </c>
      <c r="N320" s="1" t="s">
        <v>920</v>
      </c>
    </row>
    <row r="321" spans="1:15" customHeight="1" ht="15">
      <c r="A321" s="3" t="s">
        <v>91</v>
      </c>
      <c r="B321" s="3" t="s">
        <v>384</v>
      </c>
      <c r="C321" s="3" t="s">
        <v>409</v>
      </c>
      <c r="D321" s="3" t="s">
        <v>479</v>
      </c>
      <c r="E321" s="3"/>
      <c r="F321" s="2" t="s">
        <v>267</v>
      </c>
      <c r="G321" s="2"/>
      <c r="H321" s="1" t="s">
        <v>95</v>
      </c>
      <c r="I321" s="1">
        <v>68922.0</v>
      </c>
      <c r="J321" s="1">
        <v>3.0</v>
      </c>
      <c r="K321" s="1">
        <v>104.0</v>
      </c>
      <c r="L321" s="1" t="s">
        <v>659</v>
      </c>
      <c r="M321" s="1" t="s">
        <v>858</v>
      </c>
      <c r="N321" s="1" t="s">
        <v>920</v>
      </c>
    </row>
    <row r="322" spans="1:15" customHeight="1" ht="15">
      <c r="A322" s="3" t="s">
        <v>91</v>
      </c>
      <c r="B322" s="3" t="s">
        <v>384</v>
      </c>
      <c r="C322" s="3" t="s">
        <v>422</v>
      </c>
      <c r="D322" s="3" t="s">
        <v>476</v>
      </c>
      <c r="E322" s="3" t="s">
        <v>487</v>
      </c>
      <c r="F322" s="2" t="s">
        <v>268</v>
      </c>
      <c r="G322" s="2"/>
      <c r="H322" s="1" t="s">
        <v>95</v>
      </c>
      <c r="I322" s="1">
        <v>72874.0</v>
      </c>
      <c r="J322" s="1">
        <v>4.0</v>
      </c>
      <c r="K322" s="1">
        <v>540.0</v>
      </c>
      <c r="L322" s="1" t="s">
        <v>660</v>
      </c>
      <c r="M322" s="1" t="s">
        <v>859</v>
      </c>
      <c r="N322" s="1" t="s">
        <v>402</v>
      </c>
    </row>
    <row r="323" spans="1:15" customHeight="1" ht="15">
      <c r="A323" s="3" t="s">
        <v>91</v>
      </c>
      <c r="B323" s="3" t="s">
        <v>384</v>
      </c>
      <c r="C323" s="3" t="s">
        <v>409</v>
      </c>
      <c r="D323" s="3" t="s">
        <v>479</v>
      </c>
      <c r="E323" s="3"/>
      <c r="F323" s="2" t="s">
        <v>268</v>
      </c>
      <c r="G323" s="2"/>
      <c r="H323" s="1" t="s">
        <v>95</v>
      </c>
      <c r="I323" s="1">
        <v>72874.0</v>
      </c>
      <c r="J323" s="1">
        <v>4.0</v>
      </c>
      <c r="K323" s="1">
        <v>540.0</v>
      </c>
      <c r="L323" s="1" t="s">
        <v>660</v>
      </c>
      <c r="M323" s="1" t="s">
        <v>859</v>
      </c>
      <c r="N323" s="1" t="s">
        <v>402</v>
      </c>
    </row>
    <row r="324" spans="1:15" customHeight="1" ht="15">
      <c r="A324" s="3" t="s">
        <v>91</v>
      </c>
      <c r="B324" s="3" t="s">
        <v>384</v>
      </c>
      <c r="C324" s="3" t="s">
        <v>422</v>
      </c>
      <c r="D324" s="3" t="s">
        <v>476</v>
      </c>
      <c r="E324" s="3" t="s">
        <v>487</v>
      </c>
      <c r="F324" s="2" t="s">
        <v>269</v>
      </c>
      <c r="G324" s="2"/>
      <c r="H324" s="1" t="s">
        <v>95</v>
      </c>
      <c r="I324" s="1">
        <v>37797.0</v>
      </c>
      <c r="J324" s="1">
        <v>4.0</v>
      </c>
      <c r="K324" s="1">
        <v>509.0</v>
      </c>
      <c r="L324" s="1" t="s">
        <v>661</v>
      </c>
      <c r="M324" s="1" t="s">
        <v>860</v>
      </c>
      <c r="N324" s="1" t="s">
        <v>402</v>
      </c>
    </row>
    <row r="325" spans="1:15" customHeight="1" ht="15">
      <c r="A325" s="3" t="s">
        <v>91</v>
      </c>
      <c r="B325" s="3" t="s">
        <v>384</v>
      </c>
      <c r="C325" s="3" t="s">
        <v>422</v>
      </c>
      <c r="D325" s="3" t="s">
        <v>477</v>
      </c>
      <c r="E325" s="3"/>
      <c r="F325" s="2" t="s">
        <v>269</v>
      </c>
      <c r="G325" s="2"/>
      <c r="H325" s="1" t="s">
        <v>95</v>
      </c>
      <c r="I325" s="1">
        <v>37797.0</v>
      </c>
      <c r="J325" s="1">
        <v>4.0</v>
      </c>
      <c r="K325" s="1">
        <v>509.0</v>
      </c>
      <c r="L325" s="1" t="s">
        <v>661</v>
      </c>
      <c r="M325" s="1" t="s">
        <v>860</v>
      </c>
      <c r="N325" s="1" t="s">
        <v>402</v>
      </c>
    </row>
    <row r="326" spans="1:15" customHeight="1" ht="15">
      <c r="A326" s="3" t="s">
        <v>91</v>
      </c>
      <c r="B326" s="3" t="s">
        <v>384</v>
      </c>
      <c r="C326" s="3" t="s">
        <v>409</v>
      </c>
      <c r="D326" s="3" t="s">
        <v>479</v>
      </c>
      <c r="E326" s="3"/>
      <c r="F326" s="2" t="s">
        <v>269</v>
      </c>
      <c r="G326" s="2"/>
      <c r="H326" s="1" t="s">
        <v>95</v>
      </c>
      <c r="I326" s="1">
        <v>37797.0</v>
      </c>
      <c r="J326" s="1">
        <v>4.0</v>
      </c>
      <c r="K326" s="1">
        <v>509.0</v>
      </c>
      <c r="L326" s="1" t="s">
        <v>661</v>
      </c>
      <c r="M326" s="1" t="s">
        <v>860</v>
      </c>
      <c r="N326" s="1" t="s">
        <v>402</v>
      </c>
    </row>
    <row r="327" spans="1:15" customHeight="1" ht="15">
      <c r="A327" s="3" t="s">
        <v>91</v>
      </c>
      <c r="B327" s="3" t="s">
        <v>384</v>
      </c>
      <c r="C327" s="3" t="s">
        <v>422</v>
      </c>
      <c r="D327" s="3" t="s">
        <v>476</v>
      </c>
      <c r="E327" s="3" t="s">
        <v>487</v>
      </c>
      <c r="F327" s="2" t="s">
        <v>270</v>
      </c>
      <c r="G327" s="2"/>
      <c r="H327" s="1" t="s">
        <v>95</v>
      </c>
      <c r="I327" s="1">
        <v>34313.0</v>
      </c>
      <c r="J327" s="1">
        <v>4.0</v>
      </c>
      <c r="K327" s="1">
        <v>540.0</v>
      </c>
      <c r="L327" s="1" t="s">
        <v>662</v>
      </c>
      <c r="M327" s="1" t="s">
        <v>861</v>
      </c>
      <c r="N327" s="1" t="s">
        <v>402</v>
      </c>
    </row>
    <row r="328" spans="1:15" customHeight="1" ht="15">
      <c r="A328" s="3" t="s">
        <v>91</v>
      </c>
      <c r="B328" s="3" t="s">
        <v>384</v>
      </c>
      <c r="C328" s="3" t="s">
        <v>409</v>
      </c>
      <c r="D328" s="3" t="s">
        <v>479</v>
      </c>
      <c r="E328" s="3"/>
      <c r="F328" s="2" t="s">
        <v>270</v>
      </c>
      <c r="G328" s="2"/>
      <c r="H328" s="1" t="s">
        <v>95</v>
      </c>
      <c r="I328" s="1">
        <v>34313.0</v>
      </c>
      <c r="J328" s="1">
        <v>4.0</v>
      </c>
      <c r="K328" s="1">
        <v>540.0</v>
      </c>
      <c r="L328" s="1" t="s">
        <v>662</v>
      </c>
      <c r="M328" s="1" t="s">
        <v>861</v>
      </c>
      <c r="N328" s="1" t="s">
        <v>402</v>
      </c>
    </row>
    <row r="329" spans="1:15" customHeight="1" ht="15">
      <c r="A329" s="3" t="s">
        <v>91</v>
      </c>
      <c r="B329" s="3" t="s">
        <v>384</v>
      </c>
      <c r="C329" s="3" t="s">
        <v>422</v>
      </c>
      <c r="D329" s="3" t="s">
        <v>476</v>
      </c>
      <c r="E329" s="3" t="s">
        <v>487</v>
      </c>
      <c r="F329" s="2" t="s">
        <v>271</v>
      </c>
      <c r="G329" s="2"/>
      <c r="H329" s="1" t="s">
        <v>95</v>
      </c>
      <c r="I329" s="1">
        <v>62755.0</v>
      </c>
      <c r="J329" s="1">
        <v>4.0</v>
      </c>
      <c r="K329" s="1">
        <v>494.0</v>
      </c>
      <c r="L329" s="1" t="s">
        <v>663</v>
      </c>
      <c r="M329" s="1" t="s">
        <v>862</v>
      </c>
      <c r="N329" s="1" t="s">
        <v>402</v>
      </c>
    </row>
    <row r="330" spans="1:15" customHeight="1" ht="15">
      <c r="A330" s="3" t="s">
        <v>91</v>
      </c>
      <c r="B330" s="3" t="s">
        <v>384</v>
      </c>
      <c r="C330" s="3" t="s">
        <v>409</v>
      </c>
      <c r="D330" s="3" t="s">
        <v>479</v>
      </c>
      <c r="E330" s="3"/>
      <c r="F330" s="2" t="s">
        <v>271</v>
      </c>
      <c r="G330" s="2"/>
      <c r="H330" s="1" t="s">
        <v>95</v>
      </c>
      <c r="I330" s="1">
        <v>62755.0</v>
      </c>
      <c r="J330" s="1">
        <v>4.0</v>
      </c>
      <c r="K330" s="1">
        <v>494.0</v>
      </c>
      <c r="L330" s="1" t="s">
        <v>663</v>
      </c>
      <c r="M330" s="1" t="s">
        <v>862</v>
      </c>
      <c r="N330" s="1" t="s">
        <v>402</v>
      </c>
    </row>
    <row r="331" spans="1:15" customHeight="1" ht="15">
      <c r="A331" s="3" t="s">
        <v>91</v>
      </c>
      <c r="B331" s="3" t="s">
        <v>384</v>
      </c>
      <c r="C331" s="3" t="s">
        <v>422</v>
      </c>
      <c r="D331" s="3" t="s">
        <v>476</v>
      </c>
      <c r="E331" s="3" t="s">
        <v>487</v>
      </c>
      <c r="F331" s="2" t="s">
        <v>272</v>
      </c>
      <c r="G331" s="2"/>
      <c r="H331" s="1" t="s">
        <v>326</v>
      </c>
      <c r="I331" s="1">
        <v>41312.0</v>
      </c>
      <c r="J331" s="1">
        <v>1.0</v>
      </c>
      <c r="K331" s="1">
        <v>0.0</v>
      </c>
      <c r="L331" s="1" t="s">
        <v>664</v>
      </c>
      <c r="M331" s="1" t="s">
        <v>863</v>
      </c>
      <c r="N331" s="1" t="s">
        <v>922</v>
      </c>
    </row>
    <row r="332" spans="1:15" customHeight="1" ht="15">
      <c r="A332" s="3" t="s">
        <v>91</v>
      </c>
      <c r="B332" s="3" t="s">
        <v>384</v>
      </c>
      <c r="C332" s="3" t="s">
        <v>422</v>
      </c>
      <c r="D332" s="3" t="s">
        <v>477</v>
      </c>
      <c r="E332" s="3"/>
      <c r="F332" s="2" t="s">
        <v>272</v>
      </c>
      <c r="G332" s="2"/>
      <c r="H332" s="1" t="s">
        <v>326</v>
      </c>
      <c r="I332" s="1">
        <v>41312.0</v>
      </c>
      <c r="J332" s="1">
        <v>1.0</v>
      </c>
      <c r="K332" s="1">
        <v>0.0</v>
      </c>
      <c r="L332" s="1" t="s">
        <v>664</v>
      </c>
      <c r="M332" s="1" t="s">
        <v>863</v>
      </c>
      <c r="N332" s="1" t="s">
        <v>922</v>
      </c>
    </row>
    <row r="333" spans="1:15" customHeight="1" ht="15">
      <c r="A333" s="3" t="s">
        <v>91</v>
      </c>
      <c r="B333" s="3" t="s">
        <v>384</v>
      </c>
      <c r="C333" s="3" t="s">
        <v>409</v>
      </c>
      <c r="D333" s="3" t="s">
        <v>479</v>
      </c>
      <c r="E333" s="3"/>
      <c r="F333" s="2" t="s">
        <v>272</v>
      </c>
      <c r="G333" s="2"/>
      <c r="H333" s="1" t="s">
        <v>326</v>
      </c>
      <c r="I333" s="1">
        <v>41312.0</v>
      </c>
      <c r="J333" s="1">
        <v>1.0</v>
      </c>
      <c r="K333" s="1">
        <v>0.0</v>
      </c>
      <c r="L333" s="1" t="s">
        <v>664</v>
      </c>
      <c r="M333" s="1" t="s">
        <v>863</v>
      </c>
      <c r="N333" s="1" t="s">
        <v>922</v>
      </c>
    </row>
    <row r="334" spans="1:15" customHeight="1" ht="15">
      <c r="A334" s="3" t="s">
        <v>91</v>
      </c>
      <c r="B334" s="3" t="s">
        <v>384</v>
      </c>
      <c r="C334" s="3" t="s">
        <v>422</v>
      </c>
      <c r="D334" s="3" t="s">
        <v>476</v>
      </c>
      <c r="E334" s="3" t="s">
        <v>487</v>
      </c>
      <c r="F334" s="2" t="s">
        <v>273</v>
      </c>
      <c r="G334" s="2"/>
      <c r="H334" s="1" t="s">
        <v>95</v>
      </c>
      <c r="I334" s="1">
        <v>77153.0</v>
      </c>
      <c r="J334" s="1">
        <v>4.0</v>
      </c>
      <c r="K334" s="1">
        <v>477.0</v>
      </c>
      <c r="L334" s="1" t="s">
        <v>665</v>
      </c>
      <c r="M334" s="1" t="s">
        <v>864</v>
      </c>
      <c r="N334" s="1" t="s">
        <v>402</v>
      </c>
    </row>
    <row r="335" spans="1:15" customHeight="1" ht="15">
      <c r="A335" s="3" t="s">
        <v>91</v>
      </c>
      <c r="B335" s="3" t="s">
        <v>384</v>
      </c>
      <c r="C335" s="3" t="s">
        <v>409</v>
      </c>
      <c r="D335" s="3" t="s">
        <v>479</v>
      </c>
      <c r="E335" s="3"/>
      <c r="F335" s="2" t="s">
        <v>273</v>
      </c>
      <c r="G335" s="2"/>
      <c r="H335" s="1" t="s">
        <v>95</v>
      </c>
      <c r="I335" s="1">
        <v>77153.0</v>
      </c>
      <c r="J335" s="1">
        <v>4.0</v>
      </c>
      <c r="K335" s="1">
        <v>477.0</v>
      </c>
      <c r="L335" s="1" t="s">
        <v>665</v>
      </c>
      <c r="M335" s="1" t="s">
        <v>864</v>
      </c>
      <c r="N335" s="1" t="s">
        <v>402</v>
      </c>
    </row>
    <row r="336" spans="1:15" customHeight="1" ht="15">
      <c r="A336" s="3" t="s">
        <v>91</v>
      </c>
      <c r="B336" s="3" t="s">
        <v>384</v>
      </c>
      <c r="C336" s="3" t="s">
        <v>422</v>
      </c>
      <c r="D336" s="3" t="s">
        <v>476</v>
      </c>
      <c r="E336" s="3" t="s">
        <v>487</v>
      </c>
      <c r="F336" s="2" t="s">
        <v>274</v>
      </c>
      <c r="G336" s="2"/>
      <c r="H336" s="1" t="s">
        <v>95</v>
      </c>
      <c r="I336" s="1">
        <v>46241.0</v>
      </c>
      <c r="J336" s="1">
        <v>4.0</v>
      </c>
      <c r="K336" s="1">
        <v>334.0</v>
      </c>
      <c r="L336" s="1" t="s">
        <v>666</v>
      </c>
      <c r="M336" s="1" t="s">
        <v>865</v>
      </c>
      <c r="N336" s="1" t="s">
        <v>462</v>
      </c>
    </row>
    <row r="337" spans="1:15" customHeight="1" ht="15">
      <c r="A337" s="3" t="s">
        <v>91</v>
      </c>
      <c r="B337" s="3" t="s">
        <v>384</v>
      </c>
      <c r="C337" s="3" t="s">
        <v>409</v>
      </c>
      <c r="D337" s="3" t="s">
        <v>479</v>
      </c>
      <c r="E337" s="3"/>
      <c r="F337" s="2" t="s">
        <v>274</v>
      </c>
      <c r="G337" s="2"/>
      <c r="H337" s="1" t="s">
        <v>95</v>
      </c>
      <c r="I337" s="1">
        <v>46241.0</v>
      </c>
      <c r="J337" s="1">
        <v>4.0</v>
      </c>
      <c r="K337" s="1">
        <v>334.0</v>
      </c>
      <c r="L337" s="1" t="s">
        <v>666</v>
      </c>
      <c r="M337" s="1" t="s">
        <v>865</v>
      </c>
      <c r="N337" s="1" t="s">
        <v>462</v>
      </c>
    </row>
    <row r="338" spans="1:15" customHeight="1" ht="15">
      <c r="A338" s="3" t="s">
        <v>91</v>
      </c>
      <c r="B338" s="3" t="s">
        <v>384</v>
      </c>
      <c r="C338" s="3" t="s">
        <v>422</v>
      </c>
      <c r="D338" s="3" t="s">
        <v>476</v>
      </c>
      <c r="E338" s="3" t="s">
        <v>487</v>
      </c>
      <c r="F338" s="2" t="s">
        <v>275</v>
      </c>
      <c r="G338" s="2"/>
      <c r="H338" s="1" t="s">
        <v>326</v>
      </c>
      <c r="I338" s="1">
        <v>33242.0</v>
      </c>
      <c r="J338" s="1">
        <v>1.0</v>
      </c>
      <c r="K338" s="1">
        <v>12.0</v>
      </c>
      <c r="L338" s="1" t="s">
        <v>667</v>
      </c>
      <c r="M338" s="1" t="s">
        <v>866</v>
      </c>
      <c r="N338" s="1" t="s">
        <v>920</v>
      </c>
    </row>
    <row r="339" spans="1:15" customHeight="1" ht="15">
      <c r="A339" s="3" t="s">
        <v>91</v>
      </c>
      <c r="B339" s="3" t="s">
        <v>384</v>
      </c>
      <c r="C339" s="3" t="s">
        <v>409</v>
      </c>
      <c r="D339" s="3" t="s">
        <v>479</v>
      </c>
      <c r="E339" s="3"/>
      <c r="F339" s="2" t="s">
        <v>275</v>
      </c>
      <c r="G339" s="2"/>
      <c r="H339" s="1" t="s">
        <v>326</v>
      </c>
      <c r="I339" s="1">
        <v>33242.0</v>
      </c>
      <c r="J339" s="1">
        <v>1.0</v>
      </c>
      <c r="K339" s="1">
        <v>12.0</v>
      </c>
      <c r="L339" s="1" t="s">
        <v>667</v>
      </c>
      <c r="M339" s="1" t="s">
        <v>866</v>
      </c>
      <c r="N339" s="1" t="s">
        <v>920</v>
      </c>
    </row>
    <row r="340" spans="1:15" customHeight="1" ht="15">
      <c r="A340" s="3" t="s">
        <v>91</v>
      </c>
      <c r="B340" s="3" t="s">
        <v>384</v>
      </c>
      <c r="C340" s="3" t="s">
        <v>422</v>
      </c>
      <c r="D340" s="3" t="s">
        <v>476</v>
      </c>
      <c r="E340" s="3" t="s">
        <v>487</v>
      </c>
      <c r="F340" s="2" t="s">
        <v>276</v>
      </c>
      <c r="G340" s="2"/>
      <c r="H340" s="1" t="s">
        <v>95</v>
      </c>
      <c r="I340" s="1">
        <v>70991.0</v>
      </c>
      <c r="J340" s="1">
        <v>3.0</v>
      </c>
      <c r="K340" s="1">
        <v>1.0</v>
      </c>
      <c r="L340" s="1" t="s">
        <v>668</v>
      </c>
      <c r="M340" s="1" t="s">
        <v>867</v>
      </c>
      <c r="N340" s="1" t="s">
        <v>922</v>
      </c>
    </row>
    <row r="341" spans="1:15" customHeight="1" ht="15">
      <c r="A341" s="3" t="s">
        <v>91</v>
      </c>
      <c r="B341" s="3" t="s">
        <v>384</v>
      </c>
      <c r="C341" s="3" t="s">
        <v>409</v>
      </c>
      <c r="D341" s="3" t="s">
        <v>479</v>
      </c>
      <c r="E341" s="3"/>
      <c r="F341" s="2" t="s">
        <v>276</v>
      </c>
      <c r="G341" s="2"/>
      <c r="H341" s="1" t="s">
        <v>95</v>
      </c>
      <c r="I341" s="1">
        <v>70991.0</v>
      </c>
      <c r="J341" s="1">
        <v>3.0</v>
      </c>
      <c r="K341" s="1">
        <v>1.0</v>
      </c>
      <c r="L341" s="1" t="s">
        <v>668</v>
      </c>
      <c r="M341" s="1" t="s">
        <v>867</v>
      </c>
      <c r="N341" s="1" t="s">
        <v>922</v>
      </c>
    </row>
    <row r="342" spans="1:15" customHeight="1" ht="15">
      <c r="A342" s="3" t="s">
        <v>91</v>
      </c>
      <c r="B342" s="3" t="s">
        <v>384</v>
      </c>
      <c r="C342" s="3" t="s">
        <v>422</v>
      </c>
      <c r="D342" s="3" t="s">
        <v>476</v>
      </c>
      <c r="E342" s="3" t="s">
        <v>487</v>
      </c>
      <c r="F342" s="2" t="s">
        <v>277</v>
      </c>
      <c r="G342" s="2"/>
      <c r="H342" s="1" t="s">
        <v>95</v>
      </c>
      <c r="I342" s="1">
        <v>12755.0</v>
      </c>
      <c r="J342" s="1">
        <v>4.0</v>
      </c>
      <c r="K342" s="1">
        <v>579.0</v>
      </c>
      <c r="L342" s="1" t="s">
        <v>669</v>
      </c>
      <c r="M342" s="1" t="s">
        <v>868</v>
      </c>
      <c r="N342" s="1" t="s">
        <v>402</v>
      </c>
    </row>
    <row r="343" spans="1:15" customHeight="1" ht="15">
      <c r="A343" s="3" t="s">
        <v>91</v>
      </c>
      <c r="B343" s="3" t="s">
        <v>384</v>
      </c>
      <c r="C343" s="3" t="s">
        <v>409</v>
      </c>
      <c r="D343" s="3" t="s">
        <v>479</v>
      </c>
      <c r="E343" s="3"/>
      <c r="F343" s="2" t="s">
        <v>277</v>
      </c>
      <c r="G343" s="2"/>
      <c r="H343" s="1" t="s">
        <v>95</v>
      </c>
      <c r="I343" s="1">
        <v>12755.0</v>
      </c>
      <c r="J343" s="1">
        <v>4.0</v>
      </c>
      <c r="K343" s="1">
        <v>579.0</v>
      </c>
      <c r="L343" s="1" t="s">
        <v>669</v>
      </c>
      <c r="M343" s="1" t="s">
        <v>868</v>
      </c>
      <c r="N343" s="1" t="s">
        <v>402</v>
      </c>
    </row>
    <row r="344" spans="1:15" customHeight="1" ht="15">
      <c r="A344" s="3" t="s">
        <v>91</v>
      </c>
      <c r="B344" s="3" t="s">
        <v>384</v>
      </c>
      <c r="C344" s="3" t="s">
        <v>422</v>
      </c>
      <c r="D344" s="3" t="s">
        <v>476</v>
      </c>
      <c r="E344" s="3" t="s">
        <v>487</v>
      </c>
      <c r="F344" s="2" t="s">
        <v>278</v>
      </c>
      <c r="G344" s="2"/>
      <c r="H344" s="1" t="s">
        <v>95</v>
      </c>
      <c r="I344" s="1">
        <v>134942.0</v>
      </c>
      <c r="J344" s="1">
        <v>3.0</v>
      </c>
      <c r="K344" s="1">
        <v>268.0</v>
      </c>
      <c r="L344" s="1" t="s">
        <v>670</v>
      </c>
      <c r="M344" s="1" t="s">
        <v>869</v>
      </c>
      <c r="N344" s="1" t="s">
        <v>462</v>
      </c>
    </row>
    <row r="345" spans="1:15" customHeight="1" ht="15">
      <c r="A345" s="3" t="s">
        <v>91</v>
      </c>
      <c r="B345" s="3" t="s">
        <v>384</v>
      </c>
      <c r="C345" s="3" t="s">
        <v>409</v>
      </c>
      <c r="D345" s="3" t="s">
        <v>479</v>
      </c>
      <c r="E345" s="3"/>
      <c r="F345" s="2" t="s">
        <v>278</v>
      </c>
      <c r="G345" s="2"/>
      <c r="H345" s="1" t="s">
        <v>95</v>
      </c>
      <c r="I345" s="1">
        <v>134942.0</v>
      </c>
      <c r="J345" s="1">
        <v>3.0</v>
      </c>
      <c r="K345" s="1">
        <v>268.0</v>
      </c>
      <c r="L345" s="1" t="s">
        <v>670</v>
      </c>
      <c r="M345" s="1" t="s">
        <v>869</v>
      </c>
      <c r="N345" s="1" t="s">
        <v>462</v>
      </c>
    </row>
    <row r="346" spans="1:15" customHeight="1" ht="15">
      <c r="A346" s="3" t="s">
        <v>91</v>
      </c>
      <c r="B346" s="3" t="s">
        <v>384</v>
      </c>
      <c r="C346" s="3" t="s">
        <v>422</v>
      </c>
      <c r="D346" s="3" t="s">
        <v>476</v>
      </c>
      <c r="E346" s="3" t="s">
        <v>487</v>
      </c>
      <c r="F346" s="2" t="s">
        <v>279</v>
      </c>
      <c r="G346" s="2"/>
      <c r="H346" s="1" t="s">
        <v>95</v>
      </c>
      <c r="I346" s="1">
        <v>78104.0</v>
      </c>
      <c r="J346" s="1">
        <v>2.0</v>
      </c>
      <c r="K346" s="1">
        <v>296.0</v>
      </c>
      <c r="L346" s="1" t="s">
        <v>671</v>
      </c>
      <c r="M346" s="1" t="s">
        <v>870</v>
      </c>
      <c r="N346" s="1" t="s">
        <v>921</v>
      </c>
    </row>
    <row r="347" spans="1:15" customHeight="1" ht="15">
      <c r="A347" s="3" t="s">
        <v>91</v>
      </c>
      <c r="B347" s="3" t="s">
        <v>384</v>
      </c>
      <c r="C347" s="3" t="s">
        <v>409</v>
      </c>
      <c r="D347" s="3" t="s">
        <v>479</v>
      </c>
      <c r="E347" s="3"/>
      <c r="F347" s="2" t="s">
        <v>279</v>
      </c>
      <c r="G347" s="2"/>
      <c r="H347" s="1" t="s">
        <v>95</v>
      </c>
      <c r="I347" s="1">
        <v>78104.0</v>
      </c>
      <c r="J347" s="1">
        <v>2.0</v>
      </c>
      <c r="K347" s="1">
        <v>296.0</v>
      </c>
      <c r="L347" s="1" t="s">
        <v>671</v>
      </c>
      <c r="M347" s="1" t="s">
        <v>870</v>
      </c>
      <c r="N347" s="1" t="s">
        <v>921</v>
      </c>
    </row>
    <row r="348" spans="1:15" customHeight="1" ht="15">
      <c r="A348" s="3" t="s">
        <v>91</v>
      </c>
      <c r="B348" s="3" t="s">
        <v>384</v>
      </c>
      <c r="C348" s="3" t="s">
        <v>409</v>
      </c>
      <c r="D348" s="3" t="s">
        <v>479</v>
      </c>
      <c r="E348" s="3"/>
      <c r="F348" s="2" t="s">
        <v>280</v>
      </c>
      <c r="G348" s="2"/>
      <c r="H348" s="1" t="s">
        <v>95</v>
      </c>
      <c r="I348" s="1">
        <v>65825.0</v>
      </c>
      <c r="J348" s="1">
        <v>3.0</v>
      </c>
      <c r="K348" s="1">
        <v>329.0</v>
      </c>
      <c r="L348" s="1" t="s">
        <v>672</v>
      </c>
      <c r="M348" s="1" t="s">
        <v>871</v>
      </c>
      <c r="N348" s="1" t="s">
        <v>462</v>
      </c>
    </row>
    <row r="349" spans="1:15" customHeight="1" ht="15">
      <c r="A349" s="3" t="s">
        <v>91</v>
      </c>
      <c r="B349" s="3" t="s">
        <v>384</v>
      </c>
      <c r="C349" s="3" t="s">
        <v>409</v>
      </c>
      <c r="D349" s="3" t="s">
        <v>479</v>
      </c>
      <c r="E349" s="3"/>
      <c r="F349" s="2" t="s">
        <v>281</v>
      </c>
      <c r="G349" s="2"/>
      <c r="H349" s="1" t="s">
        <v>95</v>
      </c>
      <c r="I349" s="1">
        <v>135782.0</v>
      </c>
      <c r="J349" s="1">
        <v>1.0</v>
      </c>
      <c r="K349" s="1">
        <v>0.0</v>
      </c>
      <c r="L349" s="1" t="s">
        <v>673</v>
      </c>
      <c r="M349" s="1" t="s">
        <v>387</v>
      </c>
      <c r="N349" s="1" t="s">
        <v>922</v>
      </c>
    </row>
    <row r="350" spans="1:15" customHeight="1" ht="15">
      <c r="A350" s="3" t="s">
        <v>91</v>
      </c>
      <c r="B350" s="3" t="s">
        <v>384</v>
      </c>
      <c r="C350" s="3" t="s">
        <v>409</v>
      </c>
      <c r="D350" s="3" t="s">
        <v>479</v>
      </c>
      <c r="E350" s="3"/>
      <c r="F350" s="2" t="s">
        <v>282</v>
      </c>
      <c r="G350" s="2"/>
      <c r="H350" s="1" t="s">
        <v>95</v>
      </c>
      <c r="I350" s="1">
        <v>126089.0</v>
      </c>
      <c r="J350" s="1">
        <v>0.0</v>
      </c>
      <c r="K350" s="1">
        <v>0.0</v>
      </c>
      <c r="L350" s="1" t="s">
        <v>387</v>
      </c>
      <c r="M350" s="1" t="s">
        <v>387</v>
      </c>
      <c r="N350" s="1" t="s">
        <v>922</v>
      </c>
    </row>
    <row r="351" spans="1:15" customHeight="1" ht="15">
      <c r="A351" s="3" t="s">
        <v>91</v>
      </c>
      <c r="B351" s="3" t="s">
        <v>384</v>
      </c>
      <c r="C351" s="3" t="s">
        <v>422</v>
      </c>
      <c r="D351" s="3" t="s">
        <v>476</v>
      </c>
      <c r="E351" s="3" t="s">
        <v>487</v>
      </c>
      <c r="F351" s="2" t="s">
        <v>283</v>
      </c>
      <c r="G351" s="2"/>
      <c r="H351" s="1" t="s">
        <v>95</v>
      </c>
      <c r="I351" s="1">
        <v>67478.0</v>
      </c>
      <c r="J351" s="1">
        <v>1.0</v>
      </c>
      <c r="K351" s="1">
        <v>0.0</v>
      </c>
      <c r="L351" s="1" t="s">
        <v>674</v>
      </c>
      <c r="M351" s="1" t="s">
        <v>872</v>
      </c>
      <c r="N351" s="1" t="s">
        <v>922</v>
      </c>
    </row>
    <row r="352" spans="1:15" customHeight="1" ht="15">
      <c r="A352" s="3" t="s">
        <v>91</v>
      </c>
      <c r="B352" s="3" t="s">
        <v>384</v>
      </c>
      <c r="C352" s="3" t="s">
        <v>409</v>
      </c>
      <c r="D352" s="3" t="s">
        <v>479</v>
      </c>
      <c r="E352" s="3"/>
      <c r="F352" s="2" t="s">
        <v>283</v>
      </c>
      <c r="G352" s="2"/>
      <c r="H352" s="1" t="s">
        <v>95</v>
      </c>
      <c r="I352" s="1">
        <v>67478.0</v>
      </c>
      <c r="J352" s="1">
        <v>1.0</v>
      </c>
      <c r="K352" s="1">
        <v>0.0</v>
      </c>
      <c r="L352" s="1" t="s">
        <v>674</v>
      </c>
      <c r="M352" s="1" t="s">
        <v>872</v>
      </c>
      <c r="N352" s="1" t="s">
        <v>922</v>
      </c>
    </row>
    <row r="353" spans="1:15" customHeight="1" ht="15">
      <c r="A353" s="3" t="s">
        <v>91</v>
      </c>
      <c r="B353" s="3" t="s">
        <v>384</v>
      </c>
      <c r="C353" s="3" t="s">
        <v>422</v>
      </c>
      <c r="D353" s="3" t="s">
        <v>476</v>
      </c>
      <c r="E353" s="3" t="s">
        <v>487</v>
      </c>
      <c r="F353" s="2" t="s">
        <v>284</v>
      </c>
      <c r="G353" s="2"/>
      <c r="H353" s="1" t="s">
        <v>95</v>
      </c>
      <c r="I353" s="1">
        <v>11621.0</v>
      </c>
      <c r="J353" s="1">
        <v>3.0</v>
      </c>
      <c r="K353" s="1">
        <v>442.0</v>
      </c>
      <c r="L353" s="1" t="s">
        <v>675</v>
      </c>
      <c r="M353" s="1" t="s">
        <v>873</v>
      </c>
      <c r="N353" s="1" t="s">
        <v>462</v>
      </c>
    </row>
    <row r="354" spans="1:15" customHeight="1" ht="15">
      <c r="A354" s="3" t="s">
        <v>91</v>
      </c>
      <c r="B354" s="3" t="s">
        <v>384</v>
      </c>
      <c r="C354" s="3" t="s">
        <v>409</v>
      </c>
      <c r="D354" s="3" t="s">
        <v>479</v>
      </c>
      <c r="E354" s="3"/>
      <c r="F354" s="2" t="s">
        <v>284</v>
      </c>
      <c r="G354" s="2"/>
      <c r="H354" s="1" t="s">
        <v>95</v>
      </c>
      <c r="I354" s="1">
        <v>11621.0</v>
      </c>
      <c r="J354" s="1">
        <v>3.0</v>
      </c>
      <c r="K354" s="1">
        <v>442.0</v>
      </c>
      <c r="L354" s="1" t="s">
        <v>675</v>
      </c>
      <c r="M354" s="1" t="s">
        <v>873</v>
      </c>
      <c r="N354" s="1" t="s">
        <v>462</v>
      </c>
    </row>
    <row r="355" spans="1:15" customHeight="1" ht="15">
      <c r="A355" s="3" t="s">
        <v>91</v>
      </c>
      <c r="B355" s="3" t="s">
        <v>384</v>
      </c>
      <c r="C355" s="3" t="s">
        <v>422</v>
      </c>
      <c r="D355" s="3" t="s">
        <v>476</v>
      </c>
      <c r="E355" s="3" t="s">
        <v>487</v>
      </c>
      <c r="F355" s="2" t="s">
        <v>285</v>
      </c>
      <c r="G355" s="2"/>
      <c r="H355" s="1" t="s">
        <v>95</v>
      </c>
      <c r="I355" s="1">
        <v>76972.0</v>
      </c>
      <c r="J355" s="1">
        <v>3.0</v>
      </c>
      <c r="K355" s="1">
        <v>408.0</v>
      </c>
      <c r="L355" s="1" t="s">
        <v>676</v>
      </c>
      <c r="M355" s="1" t="s">
        <v>874</v>
      </c>
      <c r="N355" s="1" t="s">
        <v>462</v>
      </c>
    </row>
    <row r="356" spans="1:15" customHeight="1" ht="15">
      <c r="A356" s="3" t="s">
        <v>91</v>
      </c>
      <c r="B356" s="3" t="s">
        <v>384</v>
      </c>
      <c r="C356" s="3" t="s">
        <v>409</v>
      </c>
      <c r="D356" s="3" t="s">
        <v>479</v>
      </c>
      <c r="E356" s="3"/>
      <c r="F356" s="2" t="s">
        <v>285</v>
      </c>
      <c r="G356" s="2"/>
      <c r="H356" s="1" t="s">
        <v>95</v>
      </c>
      <c r="I356" s="1">
        <v>76972.0</v>
      </c>
      <c r="J356" s="1">
        <v>3.0</v>
      </c>
      <c r="K356" s="1">
        <v>408.0</v>
      </c>
      <c r="L356" s="1" t="s">
        <v>676</v>
      </c>
      <c r="M356" s="1" t="s">
        <v>874</v>
      </c>
      <c r="N356" s="1" t="s">
        <v>462</v>
      </c>
    </row>
    <row r="357" spans="1:15" customHeight="1" ht="15">
      <c r="A357" s="3" t="s">
        <v>91</v>
      </c>
      <c r="B357" s="3" t="s">
        <v>384</v>
      </c>
      <c r="C357" s="3" t="s">
        <v>422</v>
      </c>
      <c r="D357" s="3" t="s">
        <v>476</v>
      </c>
      <c r="E357" s="3" t="s">
        <v>487</v>
      </c>
      <c r="F357" s="2" t="s">
        <v>286</v>
      </c>
      <c r="G357" s="2"/>
      <c r="H357" s="1" t="s">
        <v>95</v>
      </c>
      <c r="I357" s="1">
        <v>80424.0</v>
      </c>
      <c r="J357" s="1">
        <v>3.0</v>
      </c>
      <c r="K357" s="1">
        <v>370.0</v>
      </c>
      <c r="L357" s="1" t="s">
        <v>677</v>
      </c>
      <c r="M357" s="1" t="s">
        <v>875</v>
      </c>
      <c r="N357" s="1" t="s">
        <v>462</v>
      </c>
    </row>
    <row r="358" spans="1:15" customHeight="1" ht="15">
      <c r="A358" s="3" t="s">
        <v>91</v>
      </c>
      <c r="B358" s="3" t="s">
        <v>384</v>
      </c>
      <c r="C358" s="3" t="s">
        <v>409</v>
      </c>
      <c r="D358" s="3" t="s">
        <v>479</v>
      </c>
      <c r="E358" s="3"/>
      <c r="F358" s="2" t="s">
        <v>286</v>
      </c>
      <c r="G358" s="2"/>
      <c r="H358" s="1" t="s">
        <v>95</v>
      </c>
      <c r="I358" s="1">
        <v>80424.0</v>
      </c>
      <c r="J358" s="1">
        <v>3.0</v>
      </c>
      <c r="K358" s="1">
        <v>370.0</v>
      </c>
      <c r="L358" s="1" t="s">
        <v>677</v>
      </c>
      <c r="M358" s="1" t="s">
        <v>875</v>
      </c>
      <c r="N358" s="1" t="s">
        <v>462</v>
      </c>
    </row>
    <row r="359" spans="1:15" customHeight="1" ht="15">
      <c r="A359" s="3" t="s">
        <v>91</v>
      </c>
      <c r="B359" s="3" t="s">
        <v>384</v>
      </c>
      <c r="C359" s="3" t="s">
        <v>409</v>
      </c>
      <c r="D359" s="3" t="s">
        <v>479</v>
      </c>
      <c r="E359" s="3"/>
      <c r="F359" s="2" t="s">
        <v>287</v>
      </c>
      <c r="G359" s="2"/>
      <c r="H359" s="1" t="s">
        <v>95</v>
      </c>
      <c r="I359" s="1">
        <v>4511.0</v>
      </c>
      <c r="J359" s="1">
        <v>1.0</v>
      </c>
      <c r="K359" s="1">
        <v>22.0</v>
      </c>
      <c r="L359" s="1" t="s">
        <v>678</v>
      </c>
      <c r="M359" s="1" t="s">
        <v>876</v>
      </c>
      <c r="N359" s="1" t="s">
        <v>920</v>
      </c>
    </row>
    <row r="360" spans="1:15" customHeight="1" ht="15">
      <c r="A360" s="3" t="s">
        <v>91</v>
      </c>
      <c r="B360" s="3" t="s">
        <v>384</v>
      </c>
      <c r="C360" s="3" t="s">
        <v>422</v>
      </c>
      <c r="D360" s="3" t="s">
        <v>476</v>
      </c>
      <c r="E360" s="3" t="s">
        <v>487</v>
      </c>
      <c r="F360" s="2" t="s">
        <v>288</v>
      </c>
      <c r="G360" s="2"/>
      <c r="H360" s="1" t="s">
        <v>95</v>
      </c>
      <c r="I360" s="1">
        <v>74944.0</v>
      </c>
      <c r="J360" s="1">
        <v>3.0</v>
      </c>
      <c r="K360" s="1">
        <v>437.0</v>
      </c>
      <c r="L360" s="1" t="s">
        <v>679</v>
      </c>
      <c r="M360" s="1" t="s">
        <v>877</v>
      </c>
      <c r="N360" s="1" t="s">
        <v>462</v>
      </c>
    </row>
    <row r="361" spans="1:15" customHeight="1" ht="15">
      <c r="A361" s="3" t="s">
        <v>91</v>
      </c>
      <c r="B361" s="3" t="s">
        <v>384</v>
      </c>
      <c r="C361" s="3" t="s">
        <v>409</v>
      </c>
      <c r="D361" s="3" t="s">
        <v>479</v>
      </c>
      <c r="E361" s="3"/>
      <c r="F361" s="2" t="s">
        <v>288</v>
      </c>
      <c r="G361" s="2"/>
      <c r="H361" s="1" t="s">
        <v>95</v>
      </c>
      <c r="I361" s="1">
        <v>74944.0</v>
      </c>
      <c r="J361" s="1">
        <v>3.0</v>
      </c>
      <c r="K361" s="1">
        <v>437.0</v>
      </c>
      <c r="L361" s="1" t="s">
        <v>679</v>
      </c>
      <c r="M361" s="1" t="s">
        <v>877</v>
      </c>
      <c r="N361" s="1" t="s">
        <v>462</v>
      </c>
    </row>
    <row r="362" spans="1:15" customHeight="1" ht="15">
      <c r="A362" s="3" t="s">
        <v>91</v>
      </c>
      <c r="B362" s="3" t="s">
        <v>384</v>
      </c>
      <c r="C362" s="3" t="s">
        <v>422</v>
      </c>
      <c r="D362" s="3" t="s">
        <v>476</v>
      </c>
      <c r="E362" s="3" t="s">
        <v>487</v>
      </c>
      <c r="F362" s="2" t="s">
        <v>289</v>
      </c>
      <c r="G362" s="2"/>
      <c r="H362" s="1" t="s">
        <v>95</v>
      </c>
      <c r="I362" s="1">
        <v>76078.0</v>
      </c>
      <c r="J362" s="1">
        <v>3.0</v>
      </c>
      <c r="K362" s="1">
        <v>509.0</v>
      </c>
      <c r="L362" s="1" t="s">
        <v>680</v>
      </c>
      <c r="M362" s="1" t="s">
        <v>878</v>
      </c>
      <c r="N362" s="1" t="s">
        <v>462</v>
      </c>
    </row>
    <row r="363" spans="1:15" customHeight="1" ht="15">
      <c r="A363" s="3" t="s">
        <v>91</v>
      </c>
      <c r="B363" s="3" t="s">
        <v>384</v>
      </c>
      <c r="C363" s="3" t="s">
        <v>409</v>
      </c>
      <c r="D363" s="3" t="s">
        <v>479</v>
      </c>
      <c r="E363" s="3"/>
      <c r="F363" s="2" t="s">
        <v>289</v>
      </c>
      <c r="G363" s="2"/>
      <c r="H363" s="1" t="s">
        <v>95</v>
      </c>
      <c r="I363" s="1">
        <v>76078.0</v>
      </c>
      <c r="J363" s="1">
        <v>3.0</v>
      </c>
      <c r="K363" s="1">
        <v>509.0</v>
      </c>
      <c r="L363" s="1" t="s">
        <v>680</v>
      </c>
      <c r="M363" s="1" t="s">
        <v>878</v>
      </c>
      <c r="N363" s="1" t="s">
        <v>462</v>
      </c>
    </row>
    <row r="364" spans="1:15" customHeight="1" ht="15">
      <c r="A364" s="3" t="s">
        <v>91</v>
      </c>
      <c r="B364" s="3" t="s">
        <v>384</v>
      </c>
      <c r="C364" s="3" t="s">
        <v>422</v>
      </c>
      <c r="D364" s="3" t="s">
        <v>476</v>
      </c>
      <c r="E364" s="3" t="s">
        <v>487</v>
      </c>
      <c r="F364" s="2" t="s">
        <v>290</v>
      </c>
      <c r="G364" s="2"/>
      <c r="H364" s="1" t="s">
        <v>95</v>
      </c>
      <c r="I364" s="1">
        <v>6507.0</v>
      </c>
      <c r="J364" s="1">
        <v>3.0</v>
      </c>
      <c r="K364" s="1">
        <v>325.0</v>
      </c>
      <c r="L364" s="1" t="s">
        <v>681</v>
      </c>
      <c r="M364" s="1" t="s">
        <v>879</v>
      </c>
      <c r="N364" s="1" t="s">
        <v>462</v>
      </c>
    </row>
    <row r="365" spans="1:15" customHeight="1" ht="15">
      <c r="A365" s="3" t="s">
        <v>91</v>
      </c>
      <c r="B365" s="3" t="s">
        <v>384</v>
      </c>
      <c r="C365" s="3" t="s">
        <v>409</v>
      </c>
      <c r="D365" s="3" t="s">
        <v>479</v>
      </c>
      <c r="E365" s="3"/>
      <c r="F365" s="2" t="s">
        <v>290</v>
      </c>
      <c r="G365" s="2"/>
      <c r="H365" s="1" t="s">
        <v>95</v>
      </c>
      <c r="I365" s="1">
        <v>6507.0</v>
      </c>
      <c r="J365" s="1">
        <v>3.0</v>
      </c>
      <c r="K365" s="1">
        <v>325.0</v>
      </c>
      <c r="L365" s="1" t="s">
        <v>681</v>
      </c>
      <c r="M365" s="1" t="s">
        <v>879</v>
      </c>
      <c r="N365" s="1" t="s">
        <v>462</v>
      </c>
    </row>
    <row r="366" spans="1:15" customHeight="1" ht="15">
      <c r="A366" s="3" t="s">
        <v>91</v>
      </c>
      <c r="B366" s="3" t="s">
        <v>384</v>
      </c>
      <c r="C366" s="3" t="s">
        <v>422</v>
      </c>
      <c r="D366" s="3" t="s">
        <v>476</v>
      </c>
      <c r="E366" s="3" t="s">
        <v>487</v>
      </c>
      <c r="F366" s="2" t="s">
        <v>291</v>
      </c>
      <c r="G366" s="2"/>
      <c r="H366" s="1" t="s">
        <v>95</v>
      </c>
      <c r="I366" s="1">
        <v>78168.0</v>
      </c>
      <c r="J366" s="1">
        <v>3.0</v>
      </c>
      <c r="K366" s="1">
        <v>490.0</v>
      </c>
      <c r="L366" s="1" t="s">
        <v>682</v>
      </c>
      <c r="M366" s="1" t="s">
        <v>880</v>
      </c>
      <c r="N366" s="1" t="s">
        <v>462</v>
      </c>
    </row>
    <row r="367" spans="1:15" customHeight="1" ht="15">
      <c r="A367" s="3" t="s">
        <v>91</v>
      </c>
      <c r="B367" s="3" t="s">
        <v>384</v>
      </c>
      <c r="C367" s="3" t="s">
        <v>409</v>
      </c>
      <c r="D367" s="3" t="s">
        <v>479</v>
      </c>
      <c r="E367" s="3"/>
      <c r="F367" s="2" t="s">
        <v>291</v>
      </c>
      <c r="G367" s="2"/>
      <c r="H367" s="1" t="s">
        <v>95</v>
      </c>
      <c r="I367" s="1">
        <v>78168.0</v>
      </c>
      <c r="J367" s="1">
        <v>3.0</v>
      </c>
      <c r="K367" s="1">
        <v>490.0</v>
      </c>
      <c r="L367" s="1" t="s">
        <v>682</v>
      </c>
      <c r="M367" s="1" t="s">
        <v>880</v>
      </c>
      <c r="N367" s="1" t="s">
        <v>462</v>
      </c>
    </row>
    <row r="368" spans="1:15" customHeight="1" ht="15">
      <c r="A368" s="3" t="s">
        <v>91</v>
      </c>
      <c r="B368" s="3" t="s">
        <v>384</v>
      </c>
      <c r="C368" s="3" t="s">
        <v>422</v>
      </c>
      <c r="D368" s="3" t="s">
        <v>476</v>
      </c>
      <c r="E368" s="3" t="s">
        <v>487</v>
      </c>
      <c r="F368" s="2" t="s">
        <v>292</v>
      </c>
      <c r="G368" s="2"/>
      <c r="H368" s="1" t="s">
        <v>95</v>
      </c>
      <c r="I368" s="1">
        <v>0.0</v>
      </c>
      <c r="J368" s="1">
        <v>1.0</v>
      </c>
      <c r="K368" s="1">
        <v>0.0</v>
      </c>
      <c r="L368" s="1" t="s">
        <v>683</v>
      </c>
      <c r="M368" s="1" t="s">
        <v>881</v>
      </c>
      <c r="N368" s="1" t="s">
        <v>922</v>
      </c>
    </row>
    <row r="369" spans="1:15" customHeight="1" ht="15">
      <c r="A369" s="3" t="s">
        <v>91</v>
      </c>
      <c r="B369" s="3" t="s">
        <v>384</v>
      </c>
      <c r="C369" s="3" t="s">
        <v>409</v>
      </c>
      <c r="D369" s="3" t="s">
        <v>479</v>
      </c>
      <c r="E369" s="3"/>
      <c r="F369" s="2" t="s">
        <v>292</v>
      </c>
      <c r="G369" s="2"/>
      <c r="H369" s="1" t="s">
        <v>95</v>
      </c>
      <c r="I369" s="1">
        <v>0.0</v>
      </c>
      <c r="J369" s="1">
        <v>1.0</v>
      </c>
      <c r="K369" s="1">
        <v>0.0</v>
      </c>
      <c r="L369" s="1" t="s">
        <v>683</v>
      </c>
      <c r="M369" s="1" t="s">
        <v>881</v>
      </c>
      <c r="N369" s="1" t="s">
        <v>922</v>
      </c>
    </row>
    <row r="370" spans="1:15" customHeight="1" ht="15">
      <c r="A370" s="3" t="s">
        <v>91</v>
      </c>
      <c r="B370" s="3" t="s">
        <v>384</v>
      </c>
      <c r="C370" s="3" t="s">
        <v>422</v>
      </c>
      <c r="D370" s="3" t="s">
        <v>476</v>
      </c>
      <c r="E370" s="3" t="s">
        <v>487</v>
      </c>
      <c r="F370" s="2" t="s">
        <v>293</v>
      </c>
      <c r="G370" s="2"/>
      <c r="H370" s="1" t="s">
        <v>95</v>
      </c>
      <c r="I370" s="1">
        <v>81315.0</v>
      </c>
      <c r="J370" s="1">
        <v>2.0</v>
      </c>
      <c r="K370" s="1">
        <v>251.0</v>
      </c>
      <c r="L370" s="1" t="s">
        <v>684</v>
      </c>
      <c r="M370" s="1" t="s">
        <v>882</v>
      </c>
      <c r="N370" s="1" t="s">
        <v>921</v>
      </c>
    </row>
    <row r="371" spans="1:15" customHeight="1" ht="15">
      <c r="A371" s="3" t="s">
        <v>91</v>
      </c>
      <c r="B371" s="3" t="s">
        <v>384</v>
      </c>
      <c r="C371" s="3" t="s">
        <v>409</v>
      </c>
      <c r="D371" s="3" t="s">
        <v>479</v>
      </c>
      <c r="E371" s="3"/>
      <c r="F371" s="2" t="s">
        <v>293</v>
      </c>
      <c r="G371" s="2"/>
      <c r="H371" s="1" t="s">
        <v>95</v>
      </c>
      <c r="I371" s="1">
        <v>81315.0</v>
      </c>
      <c r="J371" s="1">
        <v>2.0</v>
      </c>
      <c r="K371" s="1">
        <v>251.0</v>
      </c>
      <c r="L371" s="1" t="s">
        <v>684</v>
      </c>
      <c r="M371" s="1" t="s">
        <v>882</v>
      </c>
      <c r="N371" s="1" t="s">
        <v>921</v>
      </c>
    </row>
    <row r="372" spans="1:15" customHeight="1" ht="15">
      <c r="A372" s="3" t="s">
        <v>91</v>
      </c>
      <c r="B372" s="3" t="s">
        <v>384</v>
      </c>
      <c r="C372" s="3" t="s">
        <v>422</v>
      </c>
      <c r="D372" s="3" t="s">
        <v>476</v>
      </c>
      <c r="E372" s="3" t="s">
        <v>487</v>
      </c>
      <c r="F372" s="2" t="s">
        <v>294</v>
      </c>
      <c r="G372" s="2"/>
      <c r="H372" s="1" t="s">
        <v>95</v>
      </c>
      <c r="I372" s="1">
        <v>70830.0</v>
      </c>
      <c r="J372" s="1">
        <v>2.0</v>
      </c>
      <c r="K372" s="1">
        <v>212.0</v>
      </c>
      <c r="L372" s="1" t="s">
        <v>685</v>
      </c>
      <c r="M372" s="1" t="s">
        <v>883</v>
      </c>
      <c r="N372" s="1" t="s">
        <v>921</v>
      </c>
    </row>
    <row r="373" spans="1:15" customHeight="1" ht="15">
      <c r="A373" s="3" t="s">
        <v>91</v>
      </c>
      <c r="B373" s="3" t="s">
        <v>384</v>
      </c>
      <c r="C373" s="3" t="s">
        <v>409</v>
      </c>
      <c r="D373" s="3" t="s">
        <v>479</v>
      </c>
      <c r="E373" s="3"/>
      <c r="F373" s="2" t="s">
        <v>294</v>
      </c>
      <c r="G373" s="2"/>
      <c r="H373" s="1" t="s">
        <v>95</v>
      </c>
      <c r="I373" s="1">
        <v>70830.0</v>
      </c>
      <c r="J373" s="1">
        <v>2.0</v>
      </c>
      <c r="K373" s="1">
        <v>212.0</v>
      </c>
      <c r="L373" s="1" t="s">
        <v>685</v>
      </c>
      <c r="M373" s="1" t="s">
        <v>883</v>
      </c>
      <c r="N373" s="1" t="s">
        <v>921</v>
      </c>
    </row>
    <row r="374" spans="1:15" customHeight="1" ht="15">
      <c r="A374" s="3" t="s">
        <v>91</v>
      </c>
      <c r="B374" s="3" t="s">
        <v>384</v>
      </c>
      <c r="C374" s="3" t="s">
        <v>409</v>
      </c>
      <c r="D374" s="3" t="s">
        <v>479</v>
      </c>
      <c r="E374" s="3"/>
      <c r="F374" s="2" t="s">
        <v>295</v>
      </c>
      <c r="G374" s="2"/>
      <c r="H374" s="1" t="s">
        <v>95</v>
      </c>
      <c r="I374" s="1">
        <v>1617.0</v>
      </c>
      <c r="J374" s="1">
        <v>2.0</v>
      </c>
      <c r="K374" s="1">
        <v>123.0</v>
      </c>
      <c r="L374" s="1" t="s">
        <v>686</v>
      </c>
      <c r="M374" s="1" t="s">
        <v>884</v>
      </c>
      <c r="N374" s="1" t="s">
        <v>921</v>
      </c>
    </row>
    <row r="375" spans="1:15" customHeight="1" ht="15">
      <c r="A375" s="3" t="s">
        <v>91</v>
      </c>
      <c r="B375" s="3" t="s">
        <v>384</v>
      </c>
      <c r="C375" s="3" t="s">
        <v>422</v>
      </c>
      <c r="D375" s="3" t="s">
        <v>476</v>
      </c>
      <c r="E375" s="3" t="s">
        <v>487</v>
      </c>
      <c r="F375" s="2" t="s">
        <v>296</v>
      </c>
      <c r="G375" s="2"/>
      <c r="H375" s="1" t="s">
        <v>95</v>
      </c>
      <c r="I375" s="1">
        <v>73674.0</v>
      </c>
      <c r="J375" s="1">
        <v>2.0</v>
      </c>
      <c r="K375" s="1">
        <v>194.0</v>
      </c>
      <c r="L375" s="1" t="s">
        <v>687</v>
      </c>
      <c r="M375" s="1" t="s">
        <v>885</v>
      </c>
      <c r="N375" s="1" t="s">
        <v>921</v>
      </c>
    </row>
    <row r="376" spans="1:15" customHeight="1" ht="15">
      <c r="A376" s="3" t="s">
        <v>91</v>
      </c>
      <c r="B376" s="3" t="s">
        <v>384</v>
      </c>
      <c r="C376" s="3" t="s">
        <v>409</v>
      </c>
      <c r="D376" s="3" t="s">
        <v>479</v>
      </c>
      <c r="E376" s="3"/>
      <c r="F376" s="2" t="s">
        <v>296</v>
      </c>
      <c r="G376" s="2"/>
      <c r="H376" s="1" t="s">
        <v>95</v>
      </c>
      <c r="I376" s="1">
        <v>73674.0</v>
      </c>
      <c r="J376" s="1">
        <v>2.0</v>
      </c>
      <c r="K376" s="1">
        <v>194.0</v>
      </c>
      <c r="L376" s="1" t="s">
        <v>687</v>
      </c>
      <c r="M376" s="1" t="s">
        <v>885</v>
      </c>
      <c r="N376" s="1" t="s">
        <v>921</v>
      </c>
    </row>
    <row r="377" spans="1:15" customHeight="1" ht="15">
      <c r="A377" s="3" t="s">
        <v>91</v>
      </c>
      <c r="B377" s="3" t="s">
        <v>384</v>
      </c>
      <c r="C377" s="3" t="s">
        <v>422</v>
      </c>
      <c r="D377" s="3" t="s">
        <v>476</v>
      </c>
      <c r="E377" s="3" t="s">
        <v>487</v>
      </c>
      <c r="F377" s="2" t="s">
        <v>297</v>
      </c>
      <c r="G377" s="2"/>
      <c r="H377" s="1" t="s">
        <v>95</v>
      </c>
      <c r="I377" s="1">
        <v>9314.0</v>
      </c>
      <c r="J377" s="1">
        <v>1.0</v>
      </c>
      <c r="K377" s="1">
        <v>0.0</v>
      </c>
      <c r="L377" s="1" t="s">
        <v>688</v>
      </c>
      <c r="M377" s="1" t="s">
        <v>886</v>
      </c>
      <c r="N377" s="1" t="s">
        <v>922</v>
      </c>
    </row>
    <row r="378" spans="1:15" customHeight="1" ht="15">
      <c r="A378" s="3" t="s">
        <v>91</v>
      </c>
      <c r="B378" s="3" t="s">
        <v>384</v>
      </c>
      <c r="C378" s="3" t="s">
        <v>409</v>
      </c>
      <c r="D378" s="3" t="s">
        <v>479</v>
      </c>
      <c r="E378" s="3"/>
      <c r="F378" s="2" t="s">
        <v>297</v>
      </c>
      <c r="G378" s="2"/>
      <c r="H378" s="1" t="s">
        <v>95</v>
      </c>
      <c r="I378" s="1">
        <v>9314.0</v>
      </c>
      <c r="J378" s="1">
        <v>1.0</v>
      </c>
      <c r="K378" s="1">
        <v>0.0</v>
      </c>
      <c r="L378" s="1" t="s">
        <v>688</v>
      </c>
      <c r="M378" s="1" t="s">
        <v>886</v>
      </c>
      <c r="N378" s="1" t="s">
        <v>922</v>
      </c>
    </row>
    <row r="379" spans="1:15" customHeight="1" ht="15">
      <c r="A379" s="3" t="s">
        <v>91</v>
      </c>
      <c r="B379" s="3" t="s">
        <v>384</v>
      </c>
      <c r="C379" s="3" t="s">
        <v>422</v>
      </c>
      <c r="D379" s="3" t="s">
        <v>476</v>
      </c>
      <c r="E379" s="3" t="s">
        <v>487</v>
      </c>
      <c r="F379" s="2" t="s">
        <v>298</v>
      </c>
      <c r="G379" s="2"/>
      <c r="H379" s="1" t="s">
        <v>95</v>
      </c>
      <c r="I379" s="1">
        <v>8652.0</v>
      </c>
      <c r="J379" s="1">
        <v>0.0</v>
      </c>
      <c r="K379" s="1">
        <v>0.0</v>
      </c>
      <c r="L379" s="1" t="s">
        <v>387</v>
      </c>
      <c r="M379" s="1" t="s">
        <v>387</v>
      </c>
      <c r="N379" s="1" t="s">
        <v>922</v>
      </c>
    </row>
    <row r="380" spans="1:15" customHeight="1" ht="15">
      <c r="A380" s="3" t="s">
        <v>91</v>
      </c>
      <c r="B380" s="3" t="s">
        <v>384</v>
      </c>
      <c r="C380" s="3" t="s">
        <v>409</v>
      </c>
      <c r="D380" s="3" t="s">
        <v>479</v>
      </c>
      <c r="E380" s="3"/>
      <c r="F380" s="2" t="s">
        <v>298</v>
      </c>
      <c r="G380" s="2"/>
      <c r="H380" s="1" t="s">
        <v>95</v>
      </c>
      <c r="I380" s="1">
        <v>8652.0</v>
      </c>
      <c r="J380" s="1">
        <v>0.0</v>
      </c>
      <c r="K380" s="1">
        <v>0.0</v>
      </c>
      <c r="L380" s="1" t="s">
        <v>387</v>
      </c>
      <c r="M380" s="1" t="s">
        <v>387</v>
      </c>
      <c r="N380" s="1" t="s">
        <v>922</v>
      </c>
    </row>
    <row r="381" spans="1:15" customHeight="1" ht="15">
      <c r="A381" s="3" t="s">
        <v>91</v>
      </c>
      <c r="B381" s="3" t="s">
        <v>384</v>
      </c>
      <c r="C381" s="3" t="s">
        <v>409</v>
      </c>
      <c r="D381" s="3" t="s">
        <v>479</v>
      </c>
      <c r="E381" s="3"/>
      <c r="F381" s="2" t="s">
        <v>299</v>
      </c>
      <c r="G381" s="2"/>
      <c r="H381" s="1" t="s">
        <v>95</v>
      </c>
      <c r="I381" s="1">
        <v>12123.0</v>
      </c>
      <c r="J381" s="1">
        <v>2.0</v>
      </c>
      <c r="K381" s="1">
        <v>149.0</v>
      </c>
      <c r="L381" s="1" t="s">
        <v>689</v>
      </c>
      <c r="M381" s="1" t="s">
        <v>887</v>
      </c>
      <c r="N381" s="1" t="s">
        <v>921</v>
      </c>
    </row>
    <row r="382" spans="1:15" customHeight="1" ht="15">
      <c r="A382" s="3" t="s">
        <v>91</v>
      </c>
      <c r="B382" s="3" t="s">
        <v>384</v>
      </c>
      <c r="C382" s="3" t="s">
        <v>422</v>
      </c>
      <c r="D382" s="3" t="s">
        <v>476</v>
      </c>
      <c r="E382" s="3" t="s">
        <v>487</v>
      </c>
      <c r="F382" s="2" t="s">
        <v>300</v>
      </c>
      <c r="G382" s="2"/>
      <c r="H382" s="1" t="s">
        <v>95</v>
      </c>
      <c r="I382" s="1">
        <v>48569.0</v>
      </c>
      <c r="J382" s="1">
        <v>1.0</v>
      </c>
      <c r="K382" s="1">
        <v>61.0</v>
      </c>
      <c r="L382" s="1" t="s">
        <v>690</v>
      </c>
      <c r="M382" s="1" t="s">
        <v>888</v>
      </c>
      <c r="N382" s="1" t="s">
        <v>920</v>
      </c>
    </row>
    <row r="383" spans="1:15" customHeight="1" ht="15">
      <c r="A383" s="3" t="s">
        <v>91</v>
      </c>
      <c r="B383" s="3" t="s">
        <v>384</v>
      </c>
      <c r="C383" s="3" t="s">
        <v>409</v>
      </c>
      <c r="D383" s="3" t="s">
        <v>479</v>
      </c>
      <c r="E383" s="3"/>
      <c r="F383" s="2" t="s">
        <v>300</v>
      </c>
      <c r="G383" s="2"/>
      <c r="H383" s="1" t="s">
        <v>95</v>
      </c>
      <c r="I383" s="1">
        <v>48569.0</v>
      </c>
      <c r="J383" s="1">
        <v>1.0</v>
      </c>
      <c r="K383" s="1">
        <v>61.0</v>
      </c>
      <c r="L383" s="1" t="s">
        <v>690</v>
      </c>
      <c r="M383" s="1" t="s">
        <v>888</v>
      </c>
      <c r="N383" s="1" t="s">
        <v>920</v>
      </c>
    </row>
    <row r="384" spans="1:15" customHeight="1" ht="15">
      <c r="A384" s="3" t="s">
        <v>91</v>
      </c>
      <c r="B384" s="3" t="s">
        <v>384</v>
      </c>
      <c r="C384" s="3" t="s">
        <v>422</v>
      </c>
      <c r="D384" s="3" t="s">
        <v>476</v>
      </c>
      <c r="E384" s="3" t="s">
        <v>487</v>
      </c>
      <c r="F384" s="2" t="s">
        <v>301</v>
      </c>
      <c r="G384" s="2"/>
      <c r="H384" s="1" t="s">
        <v>95</v>
      </c>
      <c r="I384" s="1">
        <v>120538.0</v>
      </c>
      <c r="J384" s="1">
        <v>2.0</v>
      </c>
      <c r="K384" s="1">
        <v>88.0</v>
      </c>
      <c r="L384" s="1" t="s">
        <v>691</v>
      </c>
      <c r="M384" s="1" t="s">
        <v>889</v>
      </c>
      <c r="N384" s="1" t="s">
        <v>921</v>
      </c>
    </row>
    <row r="385" spans="1:15" customHeight="1" ht="15">
      <c r="A385" s="3" t="s">
        <v>91</v>
      </c>
      <c r="B385" s="3" t="s">
        <v>384</v>
      </c>
      <c r="C385" s="3" t="s">
        <v>409</v>
      </c>
      <c r="D385" s="3" t="s">
        <v>479</v>
      </c>
      <c r="E385" s="3"/>
      <c r="F385" s="2" t="s">
        <v>301</v>
      </c>
      <c r="G385" s="2"/>
      <c r="H385" s="1" t="s">
        <v>95</v>
      </c>
      <c r="I385" s="1">
        <v>120538.0</v>
      </c>
      <c r="J385" s="1">
        <v>2.0</v>
      </c>
      <c r="K385" s="1">
        <v>88.0</v>
      </c>
      <c r="L385" s="1" t="s">
        <v>691</v>
      </c>
      <c r="M385" s="1" t="s">
        <v>889</v>
      </c>
      <c r="N385" s="1" t="s">
        <v>921</v>
      </c>
    </row>
    <row r="386" spans="1:15" customHeight="1" ht="15">
      <c r="A386" s="3" t="s">
        <v>91</v>
      </c>
      <c r="B386" s="3" t="s">
        <v>384</v>
      </c>
      <c r="C386" s="3" t="s">
        <v>422</v>
      </c>
      <c r="D386" s="3" t="s">
        <v>476</v>
      </c>
      <c r="E386" s="3" t="s">
        <v>487</v>
      </c>
      <c r="F386" s="2" t="s">
        <v>302</v>
      </c>
      <c r="G386" s="2"/>
      <c r="H386" s="1" t="s">
        <v>95</v>
      </c>
      <c r="I386" s="1">
        <v>168068.0</v>
      </c>
      <c r="J386" s="1">
        <v>1.0</v>
      </c>
      <c r="K386" s="1">
        <v>0.0</v>
      </c>
      <c r="L386" s="1" t="s">
        <v>692</v>
      </c>
      <c r="M386" s="1" t="s">
        <v>387</v>
      </c>
      <c r="N386" s="1" t="s">
        <v>922</v>
      </c>
    </row>
    <row r="387" spans="1:15" customHeight="1" ht="15">
      <c r="A387" s="3" t="s">
        <v>91</v>
      </c>
      <c r="B387" s="3" t="s">
        <v>384</v>
      </c>
      <c r="C387" s="3" t="s">
        <v>409</v>
      </c>
      <c r="D387" s="3" t="s">
        <v>479</v>
      </c>
      <c r="E387" s="3"/>
      <c r="F387" s="2" t="s">
        <v>302</v>
      </c>
      <c r="G387" s="2"/>
      <c r="H387" s="1" t="s">
        <v>95</v>
      </c>
      <c r="I387" s="1">
        <v>168068.0</v>
      </c>
      <c r="J387" s="1">
        <v>1.0</v>
      </c>
      <c r="K387" s="1">
        <v>0.0</v>
      </c>
      <c r="L387" s="1" t="s">
        <v>692</v>
      </c>
      <c r="M387" s="1" t="s">
        <v>387</v>
      </c>
      <c r="N387" s="1" t="s">
        <v>922</v>
      </c>
    </row>
    <row r="388" spans="1:15" customHeight="1" ht="15">
      <c r="A388" s="3" t="s">
        <v>91</v>
      </c>
      <c r="B388" s="3" t="s">
        <v>384</v>
      </c>
      <c r="C388" s="3" t="s">
        <v>422</v>
      </c>
      <c r="D388" s="3" t="s">
        <v>476</v>
      </c>
      <c r="E388" s="3" t="s">
        <v>487</v>
      </c>
      <c r="F388" s="2" t="s">
        <v>303</v>
      </c>
      <c r="G388" s="2"/>
      <c r="H388" s="1" t="s">
        <v>95</v>
      </c>
      <c r="I388" s="1">
        <v>54843.0</v>
      </c>
      <c r="J388" s="1">
        <v>2.0</v>
      </c>
      <c r="K388" s="1">
        <v>142.0</v>
      </c>
      <c r="L388" s="1" t="s">
        <v>693</v>
      </c>
      <c r="M388" s="1" t="s">
        <v>890</v>
      </c>
      <c r="N388" s="1" t="s">
        <v>921</v>
      </c>
    </row>
    <row r="389" spans="1:15" customHeight="1" ht="15">
      <c r="A389" s="3" t="s">
        <v>91</v>
      </c>
      <c r="B389" s="3" t="s">
        <v>384</v>
      </c>
      <c r="C389" s="3" t="s">
        <v>409</v>
      </c>
      <c r="D389" s="3" t="s">
        <v>479</v>
      </c>
      <c r="E389" s="3"/>
      <c r="F389" s="2" t="s">
        <v>303</v>
      </c>
      <c r="G389" s="2"/>
      <c r="H389" s="1" t="s">
        <v>95</v>
      </c>
      <c r="I389" s="1">
        <v>54843.0</v>
      </c>
      <c r="J389" s="1">
        <v>2.0</v>
      </c>
      <c r="K389" s="1">
        <v>142.0</v>
      </c>
      <c r="L389" s="1" t="s">
        <v>693</v>
      </c>
      <c r="M389" s="1" t="s">
        <v>890</v>
      </c>
      <c r="N389" s="1" t="s">
        <v>921</v>
      </c>
    </row>
    <row r="390" spans="1:15" customHeight="1" ht="15">
      <c r="A390" s="3" t="s">
        <v>91</v>
      </c>
      <c r="B390" s="3" t="s">
        <v>384</v>
      </c>
      <c r="C390" s="3" t="s">
        <v>422</v>
      </c>
      <c r="D390" s="3" t="s">
        <v>476</v>
      </c>
      <c r="E390" s="3" t="s">
        <v>487</v>
      </c>
      <c r="F390" s="2" t="s">
        <v>304</v>
      </c>
      <c r="G390" s="2"/>
      <c r="H390" s="1" t="s">
        <v>95</v>
      </c>
      <c r="I390" s="1">
        <v>76620.0</v>
      </c>
      <c r="J390" s="1">
        <v>2.0</v>
      </c>
      <c r="K390" s="1">
        <v>1.0</v>
      </c>
      <c r="L390" s="1" t="s">
        <v>694</v>
      </c>
      <c r="M390" s="1" t="s">
        <v>891</v>
      </c>
      <c r="N390" s="1" t="s">
        <v>922</v>
      </c>
    </row>
    <row r="391" spans="1:15" customHeight="1" ht="15">
      <c r="A391" s="3" t="s">
        <v>91</v>
      </c>
      <c r="B391" s="3" t="s">
        <v>384</v>
      </c>
      <c r="C391" s="3" t="s">
        <v>409</v>
      </c>
      <c r="D391" s="3" t="s">
        <v>479</v>
      </c>
      <c r="E391" s="3"/>
      <c r="F391" s="2" t="s">
        <v>304</v>
      </c>
      <c r="G391" s="2"/>
      <c r="H391" s="1" t="s">
        <v>95</v>
      </c>
      <c r="I391" s="1">
        <v>76620.0</v>
      </c>
      <c r="J391" s="1">
        <v>2.0</v>
      </c>
      <c r="K391" s="1">
        <v>1.0</v>
      </c>
      <c r="L391" s="1" t="s">
        <v>694</v>
      </c>
      <c r="M391" s="1" t="s">
        <v>891</v>
      </c>
      <c r="N391" s="1" t="s">
        <v>922</v>
      </c>
    </row>
    <row r="392" spans="1:15" customHeight="1" ht="15">
      <c r="A392" s="3" t="s">
        <v>91</v>
      </c>
      <c r="B392" s="3" t="s">
        <v>384</v>
      </c>
      <c r="C392" s="3" t="s">
        <v>422</v>
      </c>
      <c r="D392" s="3" t="s">
        <v>476</v>
      </c>
      <c r="E392" s="3" t="s">
        <v>487</v>
      </c>
      <c r="F392" s="2" t="s">
        <v>305</v>
      </c>
      <c r="G392" s="2"/>
      <c r="H392" s="1" t="s">
        <v>95</v>
      </c>
      <c r="I392" s="1">
        <v>153184.0</v>
      </c>
      <c r="J392" s="1">
        <v>2.0</v>
      </c>
      <c r="K392" s="1">
        <v>161.0</v>
      </c>
      <c r="L392" s="1" t="s">
        <v>695</v>
      </c>
      <c r="M392" s="1" t="s">
        <v>892</v>
      </c>
      <c r="N392" s="1" t="s">
        <v>921</v>
      </c>
    </row>
    <row r="393" spans="1:15" customHeight="1" ht="15">
      <c r="A393" s="3" t="s">
        <v>91</v>
      </c>
      <c r="B393" s="3" t="s">
        <v>384</v>
      </c>
      <c r="C393" s="3" t="s">
        <v>409</v>
      </c>
      <c r="D393" s="3" t="s">
        <v>479</v>
      </c>
      <c r="E393" s="3"/>
      <c r="F393" s="2" t="s">
        <v>305</v>
      </c>
      <c r="G393" s="2"/>
      <c r="H393" s="1" t="s">
        <v>95</v>
      </c>
      <c r="I393" s="1">
        <v>153184.0</v>
      </c>
      <c r="J393" s="1">
        <v>2.0</v>
      </c>
      <c r="K393" s="1">
        <v>161.0</v>
      </c>
      <c r="L393" s="1" t="s">
        <v>695</v>
      </c>
      <c r="M393" s="1" t="s">
        <v>892</v>
      </c>
      <c r="N393" s="1" t="s">
        <v>921</v>
      </c>
    </row>
    <row r="394" spans="1:15" customHeight="1" ht="15">
      <c r="A394" s="3" t="s">
        <v>91</v>
      </c>
      <c r="B394" s="3" t="s">
        <v>384</v>
      </c>
      <c r="C394" s="3" t="s">
        <v>422</v>
      </c>
      <c r="D394" s="3" t="s">
        <v>476</v>
      </c>
      <c r="E394" s="3" t="s">
        <v>487</v>
      </c>
      <c r="F394" s="2" t="s">
        <v>306</v>
      </c>
      <c r="G394" s="2"/>
      <c r="H394" s="1" t="s">
        <v>95</v>
      </c>
      <c r="I394" s="1">
        <v>69150.0</v>
      </c>
      <c r="J394" s="1">
        <v>23.0</v>
      </c>
      <c r="K394" s="1">
        <v>2939.0</v>
      </c>
      <c r="L394" s="1" t="s">
        <v>696</v>
      </c>
      <c r="M394" s="1" t="s">
        <v>893</v>
      </c>
      <c r="N394" s="1" t="s">
        <v>923</v>
      </c>
    </row>
    <row r="395" spans="1:15" customHeight="1" ht="15">
      <c r="A395" s="3" t="s">
        <v>91</v>
      </c>
      <c r="B395" s="3" t="s">
        <v>384</v>
      </c>
      <c r="C395" s="3" t="s">
        <v>409</v>
      </c>
      <c r="D395" s="3" t="s">
        <v>479</v>
      </c>
      <c r="E395" s="3"/>
      <c r="F395" s="2" t="s">
        <v>306</v>
      </c>
      <c r="G395" s="2"/>
      <c r="H395" s="1" t="s">
        <v>95</v>
      </c>
      <c r="I395" s="1">
        <v>69150.0</v>
      </c>
      <c r="J395" s="1">
        <v>23.0</v>
      </c>
      <c r="K395" s="1">
        <v>2939.0</v>
      </c>
      <c r="L395" s="1" t="s">
        <v>696</v>
      </c>
      <c r="M395" s="1" t="s">
        <v>893</v>
      </c>
      <c r="N395" s="1" t="s">
        <v>923</v>
      </c>
    </row>
    <row r="396" spans="1:15" customHeight="1" ht="15">
      <c r="A396" s="3" t="s">
        <v>91</v>
      </c>
      <c r="B396" s="3" t="s">
        <v>384</v>
      </c>
      <c r="C396" s="3" t="s">
        <v>422</v>
      </c>
      <c r="D396" s="3" t="s">
        <v>476</v>
      </c>
      <c r="E396" s="3" t="s">
        <v>487</v>
      </c>
      <c r="F396" s="2" t="s">
        <v>307</v>
      </c>
      <c r="G396" s="2" t="s">
        <v>323</v>
      </c>
      <c r="H396" s="1" t="s">
        <v>95</v>
      </c>
      <c r="I396" s="1">
        <v>40793.0</v>
      </c>
      <c r="J396" s="1">
        <v>20.0</v>
      </c>
      <c r="K396" s="1">
        <v>929.0</v>
      </c>
      <c r="L396" s="1" t="s">
        <v>437</v>
      </c>
      <c r="M396" s="1" t="s">
        <v>454</v>
      </c>
      <c r="N396" s="1" t="s">
        <v>467</v>
      </c>
    </row>
    <row r="397" spans="1:15" customHeight="1" ht="15">
      <c r="A397" s="3" t="s">
        <v>91</v>
      </c>
      <c r="B397" s="3" t="s">
        <v>384</v>
      </c>
      <c r="C397" s="3" t="s">
        <v>409</v>
      </c>
      <c r="D397" s="3" t="s">
        <v>479</v>
      </c>
      <c r="E397" s="3"/>
      <c r="F397" s="2" t="s">
        <v>307</v>
      </c>
      <c r="G397" s="2" t="s">
        <v>323</v>
      </c>
      <c r="H397" s="1" t="s">
        <v>95</v>
      </c>
      <c r="I397" s="1">
        <v>40793.0</v>
      </c>
      <c r="J397" s="1">
        <v>20.0</v>
      </c>
      <c r="K397" s="1">
        <v>929.0</v>
      </c>
      <c r="L397" s="1" t="s">
        <v>437</v>
      </c>
      <c r="M397" s="1" t="s">
        <v>454</v>
      </c>
      <c r="N397" s="1" t="s">
        <v>467</v>
      </c>
    </row>
    <row r="398" spans="1:15" customHeight="1" ht="15">
      <c r="A398" s="3" t="s">
        <v>91</v>
      </c>
      <c r="B398" s="3" t="s">
        <v>384</v>
      </c>
      <c r="C398" s="3" t="s">
        <v>422</v>
      </c>
      <c r="D398" s="3" t="s">
        <v>476</v>
      </c>
      <c r="E398" s="3" t="s">
        <v>487</v>
      </c>
      <c r="F398" s="2" t="s">
        <v>308</v>
      </c>
      <c r="G398" s="2"/>
      <c r="H398" s="1" t="s">
        <v>95</v>
      </c>
      <c r="I398" s="1">
        <v>69990.0</v>
      </c>
      <c r="J398" s="1">
        <v>27.0</v>
      </c>
      <c r="K398" s="1">
        <v>2997.0</v>
      </c>
      <c r="L398" s="1" t="s">
        <v>697</v>
      </c>
      <c r="M398" s="1" t="s">
        <v>894</v>
      </c>
      <c r="N398" s="1" t="s">
        <v>911</v>
      </c>
    </row>
    <row r="399" spans="1:15" customHeight="1" ht="15">
      <c r="A399" s="3" t="s">
        <v>91</v>
      </c>
      <c r="B399" s="3" t="s">
        <v>384</v>
      </c>
      <c r="C399" s="3" t="s">
        <v>409</v>
      </c>
      <c r="D399" s="3" t="s">
        <v>479</v>
      </c>
      <c r="E399" s="3"/>
      <c r="F399" s="2" t="s">
        <v>308</v>
      </c>
      <c r="G399" s="2"/>
      <c r="H399" s="1" t="s">
        <v>95</v>
      </c>
      <c r="I399" s="1">
        <v>69990.0</v>
      </c>
      <c r="J399" s="1">
        <v>27.0</v>
      </c>
      <c r="K399" s="1">
        <v>2997.0</v>
      </c>
      <c r="L399" s="1" t="s">
        <v>697</v>
      </c>
      <c r="M399" s="1" t="s">
        <v>894</v>
      </c>
      <c r="N399" s="1" t="s">
        <v>911</v>
      </c>
    </row>
    <row r="400" spans="1:15" customHeight="1" ht="15">
      <c r="A400" s="3" t="s">
        <v>91</v>
      </c>
      <c r="B400" s="3" t="s">
        <v>384</v>
      </c>
      <c r="C400" s="3" t="s">
        <v>422</v>
      </c>
      <c r="D400" s="3" t="s">
        <v>476</v>
      </c>
      <c r="E400" s="3" t="s">
        <v>487</v>
      </c>
      <c r="F400" s="2" t="s">
        <v>309</v>
      </c>
      <c r="G400" s="2"/>
      <c r="H400" s="1" t="s">
        <v>95</v>
      </c>
      <c r="I400" s="1">
        <v>10484.0</v>
      </c>
      <c r="J400" s="1">
        <v>30.0</v>
      </c>
      <c r="K400" s="1">
        <v>3376.0</v>
      </c>
      <c r="L400" s="1" t="s">
        <v>698</v>
      </c>
      <c r="M400" s="1" t="s">
        <v>895</v>
      </c>
      <c r="N400" s="1" t="s">
        <v>464</v>
      </c>
    </row>
    <row r="401" spans="1:15" customHeight="1" ht="15">
      <c r="A401" s="3" t="s">
        <v>91</v>
      </c>
      <c r="B401" s="3" t="s">
        <v>384</v>
      </c>
      <c r="C401" s="3" t="s">
        <v>409</v>
      </c>
      <c r="D401" s="3" t="s">
        <v>479</v>
      </c>
      <c r="E401" s="3"/>
      <c r="F401" s="2" t="s">
        <v>309</v>
      </c>
      <c r="G401" s="2"/>
      <c r="H401" s="1" t="s">
        <v>95</v>
      </c>
      <c r="I401" s="1">
        <v>10484.0</v>
      </c>
      <c r="J401" s="1">
        <v>30.0</v>
      </c>
      <c r="K401" s="1">
        <v>3376.0</v>
      </c>
      <c r="L401" s="1" t="s">
        <v>698</v>
      </c>
      <c r="M401" s="1" t="s">
        <v>895</v>
      </c>
      <c r="N401" s="1" t="s">
        <v>464</v>
      </c>
    </row>
    <row r="402" spans="1:15" customHeight="1" ht="15">
      <c r="A402" s="3" t="s">
        <v>91</v>
      </c>
      <c r="B402" s="3" t="s">
        <v>384</v>
      </c>
      <c r="C402" s="3" t="s">
        <v>422</v>
      </c>
      <c r="D402" s="3" t="s">
        <v>476</v>
      </c>
      <c r="E402" s="3" t="s">
        <v>487</v>
      </c>
      <c r="F402" s="2" t="s">
        <v>310</v>
      </c>
      <c r="G402" s="2"/>
      <c r="H402" s="1" t="s">
        <v>95</v>
      </c>
      <c r="I402" s="1">
        <v>16570.0</v>
      </c>
      <c r="J402" s="1">
        <v>30.0</v>
      </c>
      <c r="K402" s="1">
        <v>5937.0</v>
      </c>
      <c r="L402" s="1" t="s">
        <v>699</v>
      </c>
      <c r="M402" s="1" t="s">
        <v>896</v>
      </c>
      <c r="N402" s="1" t="s">
        <v>464</v>
      </c>
    </row>
    <row r="403" spans="1:15" customHeight="1" ht="15">
      <c r="A403" s="3" t="s">
        <v>91</v>
      </c>
      <c r="B403" s="3" t="s">
        <v>384</v>
      </c>
      <c r="C403" s="3" t="s">
        <v>409</v>
      </c>
      <c r="D403" s="3" t="s">
        <v>479</v>
      </c>
      <c r="E403" s="3"/>
      <c r="F403" s="2" t="s">
        <v>310</v>
      </c>
      <c r="G403" s="2"/>
      <c r="H403" s="1" t="s">
        <v>95</v>
      </c>
      <c r="I403" s="1">
        <v>16570.0</v>
      </c>
      <c r="J403" s="1">
        <v>30.0</v>
      </c>
      <c r="K403" s="1">
        <v>5937.0</v>
      </c>
      <c r="L403" s="1" t="s">
        <v>699</v>
      </c>
      <c r="M403" s="1" t="s">
        <v>896</v>
      </c>
      <c r="N403" s="1" t="s">
        <v>464</v>
      </c>
    </row>
    <row r="404" spans="1:15" customHeight="1" ht="15">
      <c r="A404" s="3" t="s">
        <v>91</v>
      </c>
      <c r="B404" s="3" t="s">
        <v>384</v>
      </c>
      <c r="C404" s="3" t="s">
        <v>422</v>
      </c>
      <c r="D404" s="3" t="s">
        <v>476</v>
      </c>
      <c r="E404" s="3" t="s">
        <v>487</v>
      </c>
      <c r="F404" s="2" t="s">
        <v>311</v>
      </c>
      <c r="G404" s="2"/>
      <c r="H404" s="1" t="s">
        <v>95</v>
      </c>
      <c r="I404" s="1">
        <v>5225.0</v>
      </c>
      <c r="J404" s="1">
        <v>30.0</v>
      </c>
      <c r="K404" s="1">
        <v>1591.0</v>
      </c>
      <c r="L404" s="1" t="s">
        <v>700</v>
      </c>
      <c r="M404" s="1" t="s">
        <v>897</v>
      </c>
      <c r="N404" s="1" t="s">
        <v>464</v>
      </c>
    </row>
    <row r="405" spans="1:15" customHeight="1" ht="15">
      <c r="A405" s="3" t="s">
        <v>91</v>
      </c>
      <c r="B405" s="3" t="s">
        <v>384</v>
      </c>
      <c r="C405" s="3" t="s">
        <v>409</v>
      </c>
      <c r="D405" s="3" t="s">
        <v>479</v>
      </c>
      <c r="E405" s="3"/>
      <c r="F405" s="2" t="s">
        <v>311</v>
      </c>
      <c r="G405" s="2"/>
      <c r="H405" s="1" t="s">
        <v>95</v>
      </c>
      <c r="I405" s="1">
        <v>5225.0</v>
      </c>
      <c r="J405" s="1">
        <v>30.0</v>
      </c>
      <c r="K405" s="1">
        <v>1591.0</v>
      </c>
      <c r="L405" s="1" t="s">
        <v>700</v>
      </c>
      <c r="M405" s="1" t="s">
        <v>897</v>
      </c>
      <c r="N405" s="1" t="s">
        <v>464</v>
      </c>
    </row>
    <row r="406" spans="1:15" customHeight="1" ht="15">
      <c r="A406" s="3" t="s">
        <v>91</v>
      </c>
      <c r="B406" s="3" t="s">
        <v>384</v>
      </c>
      <c r="C406" s="3" t="s">
        <v>422</v>
      </c>
      <c r="D406" s="3" t="s">
        <v>476</v>
      </c>
      <c r="E406" s="3" t="s">
        <v>487</v>
      </c>
      <c r="F406" s="2" t="s">
        <v>312</v>
      </c>
      <c r="G406" s="2"/>
      <c r="H406" s="1" t="s">
        <v>95</v>
      </c>
      <c r="I406" s="1">
        <v>17762.0</v>
      </c>
      <c r="J406" s="1">
        <v>30.0</v>
      </c>
      <c r="K406" s="1">
        <v>5750.0</v>
      </c>
      <c r="L406" s="1" t="s">
        <v>701</v>
      </c>
      <c r="M406" s="1" t="s">
        <v>898</v>
      </c>
      <c r="N406" s="1" t="s">
        <v>464</v>
      </c>
    </row>
    <row r="407" spans="1:15" customHeight="1" ht="15">
      <c r="A407" s="3" t="s">
        <v>91</v>
      </c>
      <c r="B407" s="3" t="s">
        <v>384</v>
      </c>
      <c r="C407" s="3" t="s">
        <v>409</v>
      </c>
      <c r="D407" s="3" t="s">
        <v>479</v>
      </c>
      <c r="E407" s="3"/>
      <c r="F407" s="2" t="s">
        <v>312</v>
      </c>
      <c r="G407" s="2"/>
      <c r="H407" s="1" t="s">
        <v>95</v>
      </c>
      <c r="I407" s="1">
        <v>17762.0</v>
      </c>
      <c r="J407" s="1">
        <v>30.0</v>
      </c>
      <c r="K407" s="1">
        <v>5750.0</v>
      </c>
      <c r="L407" s="1" t="s">
        <v>701</v>
      </c>
      <c r="M407" s="1" t="s">
        <v>898</v>
      </c>
      <c r="N407" s="1" t="s">
        <v>464</v>
      </c>
    </row>
    <row r="408" spans="1:15" customHeight="1" ht="15">
      <c r="A408" s="3" t="s">
        <v>91</v>
      </c>
      <c r="B408" s="3" t="s">
        <v>384</v>
      </c>
      <c r="C408" s="3" t="s">
        <v>422</v>
      </c>
      <c r="D408" s="3" t="s">
        <v>476</v>
      </c>
      <c r="E408" s="3" t="s">
        <v>487</v>
      </c>
      <c r="F408" s="2" t="s">
        <v>313</v>
      </c>
      <c r="G408" s="2" t="s">
        <v>324</v>
      </c>
      <c r="H408" s="1" t="s">
        <v>95</v>
      </c>
      <c r="I408" s="1">
        <v>6136.0</v>
      </c>
      <c r="J408" s="1">
        <v>30.0</v>
      </c>
      <c r="K408" s="1">
        <v>2426.0</v>
      </c>
      <c r="L408" s="1" t="s">
        <v>702</v>
      </c>
      <c r="M408" s="1" t="s">
        <v>899</v>
      </c>
      <c r="N408" s="1" t="s">
        <v>924</v>
      </c>
    </row>
    <row r="409" spans="1:15" customHeight="1" ht="15">
      <c r="A409" s="3" t="s">
        <v>91</v>
      </c>
      <c r="B409" s="3" t="s">
        <v>384</v>
      </c>
      <c r="C409" s="3" t="s">
        <v>409</v>
      </c>
      <c r="D409" s="3" t="s">
        <v>479</v>
      </c>
      <c r="E409" s="3"/>
      <c r="F409" s="2" t="s">
        <v>313</v>
      </c>
      <c r="G409" s="2" t="s">
        <v>324</v>
      </c>
      <c r="H409" s="1" t="s">
        <v>95</v>
      </c>
      <c r="I409" s="1">
        <v>6136.0</v>
      </c>
      <c r="J409" s="1">
        <v>30.0</v>
      </c>
      <c r="K409" s="1">
        <v>2426.0</v>
      </c>
      <c r="L409" s="1" t="s">
        <v>702</v>
      </c>
      <c r="M409" s="1" t="s">
        <v>899</v>
      </c>
      <c r="N409" s="1" t="s">
        <v>924</v>
      </c>
    </row>
    <row r="410" spans="1:15" customHeight="1" ht="15">
      <c r="A410" s="3" t="s">
        <v>91</v>
      </c>
      <c r="B410" s="3" t="s">
        <v>384</v>
      </c>
      <c r="C410" s="3" t="s">
        <v>422</v>
      </c>
      <c r="D410" s="3" t="s">
        <v>476</v>
      </c>
      <c r="E410" s="3" t="s">
        <v>487</v>
      </c>
      <c r="F410" s="2" t="s">
        <v>314</v>
      </c>
      <c r="G410" s="2"/>
      <c r="H410" s="1" t="s">
        <v>95</v>
      </c>
      <c r="I410" s="1">
        <v>15343.0</v>
      </c>
      <c r="J410" s="1">
        <v>30.0</v>
      </c>
      <c r="K410" s="1">
        <v>5020.0</v>
      </c>
      <c r="L410" s="1" t="s">
        <v>703</v>
      </c>
      <c r="M410" s="1" t="s">
        <v>900</v>
      </c>
      <c r="N410" s="1" t="s">
        <v>464</v>
      </c>
    </row>
    <row r="411" spans="1:15" customHeight="1" ht="15">
      <c r="A411" s="3" t="s">
        <v>91</v>
      </c>
      <c r="B411" s="3" t="s">
        <v>384</v>
      </c>
      <c r="C411" s="3" t="s">
        <v>409</v>
      </c>
      <c r="D411" s="3" t="s">
        <v>479</v>
      </c>
      <c r="E411" s="3"/>
      <c r="F411" s="2" t="s">
        <v>314</v>
      </c>
      <c r="G411" s="2"/>
      <c r="H411" s="1" t="s">
        <v>95</v>
      </c>
      <c r="I411" s="1">
        <v>15343.0</v>
      </c>
      <c r="J411" s="1">
        <v>30.0</v>
      </c>
      <c r="K411" s="1">
        <v>5020.0</v>
      </c>
      <c r="L411" s="1" t="s">
        <v>703</v>
      </c>
      <c r="M411" s="1" t="s">
        <v>900</v>
      </c>
      <c r="N411" s="1" t="s">
        <v>464</v>
      </c>
    </row>
    <row r="412" spans="1:15" customHeight="1" ht="15">
      <c r="A412" s="3" t="s">
        <v>91</v>
      </c>
      <c r="B412" s="3" t="s">
        <v>384</v>
      </c>
      <c r="C412" s="3" t="s">
        <v>422</v>
      </c>
      <c r="D412" s="3" t="s">
        <v>476</v>
      </c>
      <c r="E412" s="3" t="s">
        <v>487</v>
      </c>
      <c r="F412" s="2" t="s">
        <v>315</v>
      </c>
      <c r="G412" s="2"/>
      <c r="H412" s="1" t="s">
        <v>95</v>
      </c>
      <c r="I412" s="1">
        <v>5135.0</v>
      </c>
      <c r="J412" s="1">
        <v>8.0</v>
      </c>
      <c r="K412" s="1">
        <v>489.0</v>
      </c>
      <c r="L412" s="1" t="s">
        <v>704</v>
      </c>
      <c r="M412" s="1" t="s">
        <v>901</v>
      </c>
      <c r="N412" s="1" t="s">
        <v>470</v>
      </c>
    </row>
    <row r="413" spans="1:15" customHeight="1" ht="15">
      <c r="A413" s="3" t="s">
        <v>91</v>
      </c>
      <c r="B413" s="3" t="s">
        <v>384</v>
      </c>
      <c r="C413" s="3" t="s">
        <v>409</v>
      </c>
      <c r="D413" s="3" t="s">
        <v>479</v>
      </c>
      <c r="E413" s="3"/>
      <c r="F413" s="2" t="s">
        <v>315</v>
      </c>
      <c r="G413" s="2"/>
      <c r="H413" s="1" t="s">
        <v>95</v>
      </c>
      <c r="I413" s="1">
        <v>5135.0</v>
      </c>
      <c r="J413" s="1">
        <v>8.0</v>
      </c>
      <c r="K413" s="1">
        <v>489.0</v>
      </c>
      <c r="L413" s="1" t="s">
        <v>704</v>
      </c>
      <c r="M413" s="1" t="s">
        <v>901</v>
      </c>
      <c r="N413" s="1" t="s">
        <v>470</v>
      </c>
    </row>
    <row r="414" spans="1:15" customHeight="1" ht="15">
      <c r="A414" s="3" t="s">
        <v>91</v>
      </c>
      <c r="B414" s="3" t="s">
        <v>384</v>
      </c>
      <c r="C414" s="3" t="s">
        <v>422</v>
      </c>
      <c r="D414" s="3" t="s">
        <v>476</v>
      </c>
      <c r="E414" s="3" t="s">
        <v>487</v>
      </c>
      <c r="F414" s="2" t="s">
        <v>316</v>
      </c>
      <c r="G414" s="2"/>
      <c r="H414" s="1" t="s">
        <v>95</v>
      </c>
      <c r="I414" s="1">
        <v>9044.0</v>
      </c>
      <c r="J414" s="1">
        <v>29.0</v>
      </c>
      <c r="K414" s="1">
        <v>3241.0</v>
      </c>
      <c r="L414" s="1" t="s">
        <v>705</v>
      </c>
      <c r="M414" s="1" t="s">
        <v>902</v>
      </c>
      <c r="N414" s="1" t="s">
        <v>924</v>
      </c>
    </row>
    <row r="415" spans="1:15" customHeight="1" ht="15">
      <c r="A415" s="3" t="s">
        <v>91</v>
      </c>
      <c r="B415" s="3" t="s">
        <v>384</v>
      </c>
      <c r="C415" s="3" t="s">
        <v>409</v>
      </c>
      <c r="D415" s="3" t="s">
        <v>479</v>
      </c>
      <c r="E415" s="3"/>
      <c r="F415" s="2" t="s">
        <v>316</v>
      </c>
      <c r="G415" s="2"/>
      <c r="H415" s="1" t="s">
        <v>95</v>
      </c>
      <c r="I415" s="1">
        <v>9044.0</v>
      </c>
      <c r="J415" s="1">
        <v>29.0</v>
      </c>
      <c r="K415" s="1">
        <v>3241.0</v>
      </c>
      <c r="L415" s="1" t="s">
        <v>705</v>
      </c>
      <c r="M415" s="1" t="s">
        <v>902</v>
      </c>
      <c r="N415" s="1" t="s">
        <v>924</v>
      </c>
    </row>
    <row r="416" spans="1:15" customHeight="1" ht="15">
      <c r="A416" s="3" t="s">
        <v>91</v>
      </c>
      <c r="B416" s="3" t="s">
        <v>384</v>
      </c>
      <c r="C416" s="3" t="s">
        <v>422</v>
      </c>
      <c r="D416" s="3" t="s">
        <v>476</v>
      </c>
      <c r="E416" s="3" t="s">
        <v>487</v>
      </c>
      <c r="F416" s="2" t="s">
        <v>317</v>
      </c>
      <c r="G416" s="2"/>
      <c r="H416" s="1" t="s">
        <v>95</v>
      </c>
      <c r="I416" s="1">
        <v>12733.0</v>
      </c>
      <c r="J416" s="1">
        <v>30.0</v>
      </c>
      <c r="K416" s="1">
        <v>4356.0</v>
      </c>
      <c r="L416" s="1" t="s">
        <v>706</v>
      </c>
      <c r="M416" s="1" t="s">
        <v>903</v>
      </c>
      <c r="N416" s="1" t="s">
        <v>464</v>
      </c>
    </row>
    <row r="417" spans="1:15" customHeight="1" ht="15">
      <c r="A417" s="3" t="s">
        <v>91</v>
      </c>
      <c r="B417" s="3" t="s">
        <v>384</v>
      </c>
      <c r="C417" s="3" t="s">
        <v>409</v>
      </c>
      <c r="D417" s="3" t="s">
        <v>479</v>
      </c>
      <c r="E417" s="3"/>
      <c r="F417" s="2" t="s">
        <v>317</v>
      </c>
      <c r="G417" s="2"/>
      <c r="H417" s="1" t="s">
        <v>95</v>
      </c>
      <c r="I417" s="1">
        <v>12733.0</v>
      </c>
      <c r="J417" s="1">
        <v>30.0</v>
      </c>
      <c r="K417" s="1">
        <v>4356.0</v>
      </c>
      <c r="L417" s="1" t="s">
        <v>706</v>
      </c>
      <c r="M417" s="1" t="s">
        <v>903</v>
      </c>
      <c r="N417" s="1" t="s">
        <v>464</v>
      </c>
    </row>
    <row r="418" spans="1:15" customHeight="1" ht="15">
      <c r="A418" s="3" t="s">
        <v>91</v>
      </c>
      <c r="B418" s="3" t="s">
        <v>384</v>
      </c>
      <c r="C418" s="3" t="s">
        <v>422</v>
      </c>
      <c r="D418" s="3" t="s">
        <v>476</v>
      </c>
      <c r="E418" s="3" t="s">
        <v>487</v>
      </c>
      <c r="F418" s="2" t="s">
        <v>318</v>
      </c>
      <c r="G418" s="2"/>
      <c r="H418" s="1" t="s">
        <v>95</v>
      </c>
      <c r="I418" s="1">
        <v>15515.0</v>
      </c>
      <c r="J418" s="1">
        <v>30.0</v>
      </c>
      <c r="K418" s="1">
        <v>5299.0</v>
      </c>
      <c r="L418" s="1" t="s">
        <v>707</v>
      </c>
      <c r="M418" s="1" t="s">
        <v>904</v>
      </c>
      <c r="N418" s="1" t="s">
        <v>464</v>
      </c>
    </row>
    <row r="419" spans="1:15" customHeight="1" ht="15">
      <c r="A419" s="3" t="s">
        <v>91</v>
      </c>
      <c r="B419" s="3" t="s">
        <v>384</v>
      </c>
      <c r="C419" s="3" t="s">
        <v>409</v>
      </c>
      <c r="D419" s="3" t="s">
        <v>479</v>
      </c>
      <c r="E419" s="3"/>
      <c r="F419" s="2" t="s">
        <v>318</v>
      </c>
      <c r="G419" s="2"/>
      <c r="H419" s="1" t="s">
        <v>95</v>
      </c>
      <c r="I419" s="1">
        <v>15515.0</v>
      </c>
      <c r="J419" s="1">
        <v>30.0</v>
      </c>
      <c r="K419" s="1">
        <v>5299.0</v>
      </c>
      <c r="L419" s="1" t="s">
        <v>707</v>
      </c>
      <c r="M419" s="1" t="s">
        <v>904</v>
      </c>
      <c r="N419" s="1" t="s">
        <v>464</v>
      </c>
    </row>
    <row r="420" spans="1:15" customHeight="1" ht="15">
      <c r="A420" s="3" t="s">
        <v>91</v>
      </c>
      <c r="B420" s="3" t="s">
        <v>384</v>
      </c>
      <c r="C420" s="3" t="s">
        <v>422</v>
      </c>
      <c r="D420" s="3" t="s">
        <v>476</v>
      </c>
      <c r="E420" s="3" t="s">
        <v>487</v>
      </c>
      <c r="F420" s="2" t="s">
        <v>319</v>
      </c>
      <c r="G420" s="2" t="s">
        <v>325</v>
      </c>
      <c r="H420" s="1" t="s">
        <v>95</v>
      </c>
      <c r="I420" s="1">
        <v>6657.0</v>
      </c>
      <c r="J420" s="1">
        <v>30.0</v>
      </c>
      <c r="K420" s="1">
        <v>2084.0</v>
      </c>
      <c r="L420" s="1" t="s">
        <v>708</v>
      </c>
      <c r="M420" s="1" t="s">
        <v>905</v>
      </c>
      <c r="N420" s="1" t="s">
        <v>464</v>
      </c>
    </row>
    <row r="421" spans="1:15" customHeight="1" ht="15">
      <c r="A421" s="3" t="s">
        <v>91</v>
      </c>
      <c r="B421" s="3" t="s">
        <v>384</v>
      </c>
      <c r="C421" s="3" t="s">
        <v>409</v>
      </c>
      <c r="D421" s="3" t="s">
        <v>479</v>
      </c>
      <c r="E421" s="3"/>
      <c r="F421" s="2" t="s">
        <v>319</v>
      </c>
      <c r="G421" s="2" t="s">
        <v>325</v>
      </c>
      <c r="H421" s="1" t="s">
        <v>95</v>
      </c>
      <c r="I421" s="1">
        <v>6657.0</v>
      </c>
      <c r="J421" s="1">
        <v>30.0</v>
      </c>
      <c r="K421" s="1">
        <v>2084.0</v>
      </c>
      <c r="L421" s="1" t="s">
        <v>708</v>
      </c>
      <c r="M421" s="1" t="s">
        <v>905</v>
      </c>
      <c r="N421" s="1" t="s">
        <v>464</v>
      </c>
    </row>
    <row r="422" spans="1:15" customHeight="1" ht="15">
      <c r="A422" s="3" t="s">
        <v>91</v>
      </c>
      <c r="B422" s="3" t="s">
        <v>384</v>
      </c>
      <c r="C422" s="3" t="s">
        <v>422</v>
      </c>
      <c r="D422" s="3" t="s">
        <v>476</v>
      </c>
      <c r="E422" s="3" t="s">
        <v>487</v>
      </c>
      <c r="F422" s="2" t="s">
        <v>320</v>
      </c>
      <c r="G422" s="2"/>
      <c r="H422" s="1" t="s">
        <v>95</v>
      </c>
      <c r="I422" s="1">
        <v>9328.0</v>
      </c>
      <c r="J422" s="1">
        <v>30.0</v>
      </c>
      <c r="K422" s="1">
        <v>2702.0</v>
      </c>
      <c r="L422" s="1" t="s">
        <v>709</v>
      </c>
      <c r="M422" s="1" t="s">
        <v>906</v>
      </c>
      <c r="N422" s="1" t="s">
        <v>464</v>
      </c>
    </row>
    <row r="423" spans="1:15" customHeight="1" ht="15">
      <c r="A423" s="3" t="s">
        <v>91</v>
      </c>
      <c r="B423" s="3" t="s">
        <v>384</v>
      </c>
      <c r="C423" s="3" t="s">
        <v>409</v>
      </c>
      <c r="D423" s="3" t="s">
        <v>479</v>
      </c>
      <c r="E423" s="3"/>
      <c r="F423" s="2" t="s">
        <v>320</v>
      </c>
      <c r="G423" s="2"/>
      <c r="H423" s="1" t="s">
        <v>95</v>
      </c>
      <c r="I423" s="1">
        <v>9328.0</v>
      </c>
      <c r="J423" s="1">
        <v>30.0</v>
      </c>
      <c r="K423" s="1">
        <v>2702.0</v>
      </c>
      <c r="L423" s="1" t="s">
        <v>709</v>
      </c>
      <c r="M423" s="1" t="s">
        <v>906</v>
      </c>
      <c r="N423" s="1" t="s">
        <v>464</v>
      </c>
    </row>
    <row r="424" spans="1:15" customHeight="1" ht="15">
      <c r="A424" s="3" t="s">
        <v>91</v>
      </c>
      <c r="B424" s="3" t="s">
        <v>384</v>
      </c>
      <c r="C424" s="3" t="s">
        <v>422</v>
      </c>
      <c r="D424" s="3" t="s">
        <v>476</v>
      </c>
      <c r="E424" s="3" t="s">
        <v>487</v>
      </c>
      <c r="F424" s="2" t="s">
        <v>321</v>
      </c>
      <c r="G424" s="2"/>
      <c r="H424" s="1" t="s">
        <v>95</v>
      </c>
      <c r="I424" s="1">
        <v>10558.0</v>
      </c>
      <c r="J424" s="1">
        <v>24.0</v>
      </c>
      <c r="K424" s="1">
        <v>2348.0</v>
      </c>
      <c r="L424" s="1" t="s">
        <v>710</v>
      </c>
      <c r="M424" s="1" t="s">
        <v>907</v>
      </c>
      <c r="N424" s="1" t="s">
        <v>925</v>
      </c>
    </row>
    <row r="425" spans="1:15" customHeight="1" ht="15">
      <c r="A425" s="3" t="s">
        <v>91</v>
      </c>
      <c r="B425" s="3" t="s">
        <v>384</v>
      </c>
      <c r="C425" s="3" t="s">
        <v>409</v>
      </c>
      <c r="D425" s="3" t="s">
        <v>479</v>
      </c>
      <c r="E425" s="3"/>
      <c r="F425" s="2" t="s">
        <v>321</v>
      </c>
      <c r="G425" s="2"/>
      <c r="H425" s="1" t="s">
        <v>95</v>
      </c>
      <c r="I425" s="1">
        <v>10558.0</v>
      </c>
      <c r="J425" s="1">
        <v>24.0</v>
      </c>
      <c r="K425" s="1">
        <v>2348.0</v>
      </c>
      <c r="L425" s="1" t="s">
        <v>710</v>
      </c>
      <c r="M425" s="1" t="s">
        <v>907</v>
      </c>
      <c r="N425" s="1" t="s">
        <v>925</v>
      </c>
    </row>
    <row r="426" spans="1:15" customHeight="1" ht="15">
      <c r="A426" s="3" t="s">
        <v>91</v>
      </c>
      <c r="B426" s="3" t="s">
        <v>384</v>
      </c>
      <c r="C426" s="3" t="s">
        <v>422</v>
      </c>
      <c r="D426" s="3" t="s">
        <v>476</v>
      </c>
      <c r="E426" s="3" t="s">
        <v>487</v>
      </c>
      <c r="F426" s="2" t="s">
        <v>322</v>
      </c>
      <c r="G426" s="2"/>
      <c r="H426" s="1" t="s">
        <v>95</v>
      </c>
      <c r="I426" s="1">
        <v>7450.0</v>
      </c>
      <c r="J426" s="1">
        <v>30.0</v>
      </c>
      <c r="K426" s="1">
        <v>2744.0</v>
      </c>
      <c r="L426" s="1" t="s">
        <v>711</v>
      </c>
      <c r="M426" s="1" t="s">
        <v>908</v>
      </c>
      <c r="N426" s="1" t="s">
        <v>464</v>
      </c>
    </row>
    <row r="427" spans="1:15" customHeight="1" ht="15">
      <c r="A427" s="3" t="s">
        <v>91</v>
      </c>
      <c r="B427" s="3" t="s">
        <v>384</v>
      </c>
      <c r="C427" s="3" t="s">
        <v>409</v>
      </c>
      <c r="D427" s="3" t="s">
        <v>479</v>
      </c>
      <c r="E427" s="3"/>
      <c r="F427" s="2" t="s">
        <v>322</v>
      </c>
      <c r="G427" s="2"/>
      <c r="H427" s="1" t="s">
        <v>95</v>
      </c>
      <c r="I427" s="1">
        <v>7450.0</v>
      </c>
      <c r="J427" s="1">
        <v>30.0</v>
      </c>
      <c r="K427" s="1">
        <v>2744.0</v>
      </c>
      <c r="L427" s="1" t="s">
        <v>711</v>
      </c>
      <c r="M427" s="1" t="s">
        <v>908</v>
      </c>
      <c r="N427" s="1" t="s">
        <v>464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Reporte</vt:lpstr>
      <vt:lpstr>parámetros</vt:lpstr>
      <vt:lpstr>Grupo 1</vt:lpstr>
      <vt:lpstr>Grupo 2</vt:lpstr>
      <vt:lpstr>Grupo 3</vt:lpstr>
      <vt:lpstr>Grupo 4</vt:lpstr>
      <vt:lpstr>Grupo 5</vt:lpstr>
      <vt:lpstr>data</vt:lpstr>
      <vt:lpstr>Preinstalado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2026-06-30T15:14:03+00:00</dcterms:created>
  <dcterms:modified xsi:type="dcterms:W3CDTF">2026-06-30T15:14:03+00:00</dcterms:modified>
  <dc:title>Untitled Spreadsheet</dc:title>
  <dc:description/>
  <dc:subject/>
  <cp:keywords/>
  <cp:category/>
</cp:coreProperties>
</file>