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indows\SystemTemp\"/>
    </mc:Choice>
  </mc:AlternateContent>
  <xr:revisionPtr revIDLastSave="0" documentId="13_ncr:1_{66306A06-455F-47C7-A65B-2740B2E41AE5}" xr6:coauthVersionLast="47" xr6:coauthVersionMax="47" xr10:uidLastSave="{00000000-0000-0000-0000-000000000000}"/>
  <bookViews>
    <workbookView xWindow="-60" yWindow="-60" windowWidth="15480" windowHeight="11640" tabRatio="500" firstSheet="1" activeTab="2" xr2:uid="{00000000-000D-0000-FFFF-FFFF00000000}"/>
  </bookViews>
  <sheets>
    <sheet name="Data" sheetId="1" state="hidden" r:id="rId1"/>
    <sheet name="Report" sheetId="2" r:id="rId2"/>
    <sheet name="Summary" sheetId="3" r:id="rId3"/>
    <sheet name="Languages" sheetId="4" state="hidden" r:id="rId4"/>
  </sheets>
  <definedNames>
    <definedName name="_xlnm._FilterDatabase" localSheetId="1" hidden="1">Report!$A$13:$O$13</definedName>
    <definedName name="AllData">Report!$A$13:$P$1943</definedName>
  </definedNames>
  <calcPr calcId="191029"/>
  <pivotCaches>
    <pivotCache cacheId="25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B11" i="3" l="1"/>
  <c r="B10" i="3"/>
  <c r="B9" i="3"/>
  <c r="B6" i="3"/>
  <c r="B7" i="3" s="1"/>
  <c r="B5" i="3"/>
  <c r="A2" i="3"/>
  <c r="C1" i="3"/>
  <c r="P1943" i="2"/>
  <c r="N1943" i="2"/>
  <c r="O1943" i="2" s="1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A1943" i="2"/>
  <c r="P1942" i="2"/>
  <c r="N1942" i="2"/>
  <c r="O1942" i="2" s="1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A1942" i="2"/>
  <c r="P1941" i="2"/>
  <c r="N1941" i="2"/>
  <c r="O1941" i="2" s="1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A1941" i="2"/>
  <c r="P1940" i="2"/>
  <c r="N1940" i="2"/>
  <c r="O1940" i="2" s="1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A1940" i="2"/>
  <c r="P1939" i="2"/>
  <c r="N1939" i="2"/>
  <c r="O1939" i="2" s="1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A1939" i="2"/>
  <c r="P1938" i="2"/>
  <c r="N1938" i="2"/>
  <c r="O1938" i="2" s="1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A1938" i="2"/>
  <c r="P1937" i="2"/>
  <c r="N1937" i="2"/>
  <c r="O1937" i="2" s="1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A1937" i="2"/>
  <c r="P1936" i="2"/>
  <c r="N1936" i="2"/>
  <c r="O1936" i="2" s="1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A1936" i="2"/>
  <c r="P1935" i="2"/>
  <c r="N1935" i="2"/>
  <c r="O1935" i="2" s="1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A1935" i="2"/>
  <c r="P1934" i="2"/>
  <c r="N1934" i="2"/>
  <c r="O1934" i="2" s="1"/>
  <c r="M1934" i="2"/>
  <c r="L1934" i="2"/>
  <c r="K1934" i="2"/>
  <c r="J1934" i="2"/>
  <c r="I1934" i="2"/>
  <c r="H1934" i="2"/>
  <c r="G1934" i="2"/>
  <c r="F1934" i="2"/>
  <c r="E1934" i="2"/>
  <c r="D1934" i="2"/>
  <c r="C1934" i="2"/>
  <c r="B1934" i="2"/>
  <c r="A1934" i="2"/>
  <c r="P1933" i="2"/>
  <c r="N1933" i="2"/>
  <c r="O1933" i="2" s="1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A1933" i="2"/>
  <c r="P1932" i="2"/>
  <c r="N1932" i="2"/>
  <c r="O1932" i="2" s="1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A1932" i="2"/>
  <c r="P1931" i="2"/>
  <c r="N1931" i="2"/>
  <c r="O1931" i="2" s="1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A1931" i="2"/>
  <c r="P1930" i="2"/>
  <c r="N1930" i="2"/>
  <c r="O1930" i="2" s="1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A1930" i="2"/>
  <c r="P1929" i="2"/>
  <c r="N1929" i="2"/>
  <c r="O1929" i="2" s="1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A1929" i="2"/>
  <c r="P1928" i="2"/>
  <c r="N1928" i="2"/>
  <c r="O1928" i="2" s="1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A1928" i="2"/>
  <c r="P1927" i="2"/>
  <c r="N1927" i="2"/>
  <c r="O1927" i="2" s="1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A1927" i="2"/>
  <c r="P1926" i="2"/>
  <c r="N1926" i="2"/>
  <c r="O1926" i="2" s="1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A1926" i="2"/>
  <c r="P1925" i="2"/>
  <c r="N1925" i="2"/>
  <c r="O1925" i="2" s="1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A1925" i="2"/>
  <c r="P1924" i="2"/>
  <c r="N1924" i="2"/>
  <c r="O1924" i="2" s="1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A1924" i="2"/>
  <c r="P1923" i="2"/>
  <c r="N1923" i="2"/>
  <c r="O1923" i="2" s="1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A1923" i="2"/>
  <c r="P1922" i="2"/>
  <c r="N1922" i="2"/>
  <c r="O1922" i="2" s="1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A1922" i="2"/>
  <c r="P1921" i="2"/>
  <c r="N1921" i="2"/>
  <c r="O1921" i="2" s="1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A1921" i="2"/>
  <c r="P1920" i="2"/>
  <c r="N1920" i="2"/>
  <c r="O1920" i="2" s="1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A1920" i="2"/>
  <c r="P1919" i="2"/>
  <c r="N1919" i="2"/>
  <c r="O1919" i="2" s="1"/>
  <c r="M1919" i="2"/>
  <c r="L1919" i="2"/>
  <c r="K1919" i="2"/>
  <c r="J1919" i="2"/>
  <c r="I1919" i="2"/>
  <c r="H1919" i="2"/>
  <c r="G1919" i="2"/>
  <c r="F1919" i="2"/>
  <c r="E1919" i="2"/>
  <c r="D1919" i="2"/>
  <c r="C1919" i="2"/>
  <c r="B1919" i="2"/>
  <c r="A1919" i="2"/>
  <c r="P1918" i="2"/>
  <c r="N1918" i="2"/>
  <c r="O1918" i="2" s="1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A1918" i="2"/>
  <c r="P1917" i="2"/>
  <c r="N1917" i="2"/>
  <c r="O1917" i="2" s="1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A1917" i="2"/>
  <c r="P1916" i="2"/>
  <c r="N1916" i="2"/>
  <c r="O1916" i="2" s="1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A1916" i="2"/>
  <c r="P1915" i="2"/>
  <c r="N1915" i="2"/>
  <c r="O1915" i="2" s="1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A1915" i="2"/>
  <c r="P1914" i="2"/>
  <c r="N1914" i="2"/>
  <c r="O1914" i="2" s="1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A1914" i="2"/>
  <c r="P1913" i="2"/>
  <c r="N1913" i="2"/>
  <c r="O1913" i="2" s="1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A1913" i="2"/>
  <c r="P1912" i="2"/>
  <c r="N1912" i="2"/>
  <c r="O1912" i="2" s="1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A1912" i="2"/>
  <c r="P1911" i="2"/>
  <c r="N1911" i="2"/>
  <c r="O1911" i="2" s="1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A1911" i="2"/>
  <c r="P1910" i="2"/>
  <c r="N1910" i="2"/>
  <c r="O1910" i="2" s="1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A1910" i="2"/>
  <c r="P1909" i="2"/>
  <c r="N1909" i="2"/>
  <c r="O1909" i="2" s="1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A1909" i="2"/>
  <c r="P1908" i="2"/>
  <c r="N1908" i="2"/>
  <c r="O1908" i="2" s="1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A1908" i="2"/>
  <c r="P1907" i="2"/>
  <c r="N1907" i="2"/>
  <c r="O1907" i="2" s="1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A1907" i="2"/>
  <c r="P1906" i="2"/>
  <c r="N1906" i="2"/>
  <c r="O1906" i="2" s="1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A1906" i="2"/>
  <c r="P1905" i="2"/>
  <c r="N1905" i="2"/>
  <c r="O1905" i="2" s="1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A1905" i="2"/>
  <c r="P1904" i="2"/>
  <c r="N1904" i="2"/>
  <c r="O1904" i="2" s="1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A1904" i="2"/>
  <c r="P1903" i="2"/>
  <c r="N1903" i="2"/>
  <c r="O1903" i="2" s="1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A1903" i="2"/>
  <c r="P1902" i="2"/>
  <c r="N1902" i="2"/>
  <c r="O1902" i="2" s="1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A1902" i="2"/>
  <c r="P1901" i="2"/>
  <c r="N1901" i="2"/>
  <c r="O1901" i="2" s="1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A1901" i="2"/>
  <c r="P1900" i="2"/>
  <c r="N1900" i="2"/>
  <c r="O1900" i="2" s="1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A1900" i="2"/>
  <c r="P1899" i="2"/>
  <c r="N1899" i="2"/>
  <c r="O1899" i="2" s="1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A1899" i="2"/>
  <c r="P1898" i="2"/>
  <c r="N1898" i="2"/>
  <c r="O1898" i="2" s="1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A1898" i="2"/>
  <c r="P1897" i="2"/>
  <c r="N1897" i="2"/>
  <c r="O1897" i="2" s="1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A1897" i="2"/>
  <c r="P1896" i="2"/>
  <c r="N1896" i="2"/>
  <c r="O1896" i="2" s="1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A1896" i="2"/>
  <c r="P1895" i="2"/>
  <c r="N1895" i="2"/>
  <c r="O1895" i="2" s="1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A1895" i="2"/>
  <c r="P1894" i="2"/>
  <c r="N1894" i="2"/>
  <c r="O1894" i="2" s="1"/>
  <c r="M1894" i="2"/>
  <c r="L1894" i="2"/>
  <c r="K1894" i="2"/>
  <c r="J1894" i="2"/>
  <c r="I1894" i="2"/>
  <c r="H1894" i="2"/>
  <c r="G1894" i="2"/>
  <c r="F1894" i="2"/>
  <c r="E1894" i="2"/>
  <c r="D1894" i="2"/>
  <c r="C1894" i="2"/>
  <c r="B1894" i="2"/>
  <c r="A1894" i="2"/>
  <c r="P1893" i="2"/>
  <c r="N1893" i="2"/>
  <c r="O1893" i="2" s="1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A1893" i="2"/>
  <c r="P1892" i="2"/>
  <c r="N1892" i="2"/>
  <c r="O1892" i="2" s="1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A1892" i="2"/>
  <c r="P1891" i="2"/>
  <c r="N1891" i="2"/>
  <c r="O1891" i="2" s="1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A1891" i="2"/>
  <c r="P1890" i="2"/>
  <c r="N1890" i="2"/>
  <c r="O1890" i="2" s="1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A1890" i="2"/>
  <c r="P1889" i="2"/>
  <c r="N1889" i="2"/>
  <c r="O1889" i="2" s="1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A1889" i="2"/>
  <c r="P1888" i="2"/>
  <c r="N1888" i="2"/>
  <c r="O1888" i="2" s="1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A1888" i="2"/>
  <c r="P1887" i="2"/>
  <c r="N1887" i="2"/>
  <c r="O1887" i="2" s="1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A1887" i="2"/>
  <c r="P1886" i="2"/>
  <c r="N1886" i="2"/>
  <c r="O1886" i="2" s="1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A1886" i="2"/>
  <c r="P1885" i="2"/>
  <c r="N1885" i="2"/>
  <c r="O1885" i="2" s="1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A1885" i="2"/>
  <c r="P1884" i="2"/>
  <c r="N1884" i="2"/>
  <c r="O1884" i="2" s="1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A1884" i="2"/>
  <c r="P1883" i="2"/>
  <c r="N1883" i="2"/>
  <c r="O1883" i="2" s="1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A1883" i="2"/>
  <c r="P1882" i="2"/>
  <c r="N1882" i="2"/>
  <c r="O1882" i="2" s="1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A1882" i="2"/>
  <c r="P1881" i="2"/>
  <c r="N1881" i="2"/>
  <c r="O1881" i="2" s="1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A1881" i="2"/>
  <c r="P1880" i="2"/>
  <c r="N1880" i="2"/>
  <c r="O1880" i="2" s="1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A1880" i="2"/>
  <c r="P1879" i="2"/>
  <c r="N1879" i="2"/>
  <c r="O1879" i="2" s="1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A1879" i="2"/>
  <c r="P1878" i="2"/>
  <c r="N1878" i="2"/>
  <c r="O1878" i="2" s="1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A1878" i="2"/>
  <c r="P1877" i="2"/>
  <c r="N1877" i="2"/>
  <c r="O1877" i="2" s="1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A1877" i="2"/>
  <c r="P1876" i="2"/>
  <c r="N1876" i="2"/>
  <c r="O1876" i="2" s="1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A1876" i="2"/>
  <c r="P1875" i="2"/>
  <c r="N1875" i="2"/>
  <c r="O1875" i="2" s="1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A1875" i="2"/>
  <c r="P1874" i="2"/>
  <c r="N1874" i="2"/>
  <c r="O1874" i="2" s="1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A1874" i="2"/>
  <c r="P1873" i="2"/>
  <c r="N1873" i="2"/>
  <c r="O1873" i="2" s="1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A1873" i="2"/>
  <c r="P1872" i="2"/>
  <c r="N1872" i="2"/>
  <c r="O1872" i="2" s="1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A1872" i="2"/>
  <c r="P1871" i="2"/>
  <c r="N1871" i="2"/>
  <c r="O1871" i="2" s="1"/>
  <c r="M1871" i="2"/>
  <c r="L1871" i="2"/>
  <c r="K1871" i="2"/>
  <c r="J1871" i="2"/>
  <c r="I1871" i="2"/>
  <c r="H1871" i="2"/>
  <c r="G1871" i="2"/>
  <c r="F1871" i="2"/>
  <c r="E1871" i="2"/>
  <c r="D1871" i="2"/>
  <c r="C1871" i="2"/>
  <c r="B1871" i="2"/>
  <c r="A1871" i="2"/>
  <c r="P1870" i="2"/>
  <c r="N1870" i="2"/>
  <c r="O1870" i="2" s="1"/>
  <c r="M1870" i="2"/>
  <c r="L1870" i="2"/>
  <c r="K1870" i="2"/>
  <c r="J1870" i="2"/>
  <c r="I1870" i="2"/>
  <c r="H1870" i="2"/>
  <c r="G1870" i="2"/>
  <c r="F1870" i="2"/>
  <c r="E1870" i="2"/>
  <c r="D1870" i="2"/>
  <c r="C1870" i="2"/>
  <c r="B1870" i="2"/>
  <c r="A1870" i="2"/>
  <c r="P1869" i="2"/>
  <c r="N1869" i="2"/>
  <c r="O1869" i="2" s="1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A1869" i="2"/>
  <c r="P1868" i="2"/>
  <c r="N1868" i="2"/>
  <c r="O1868" i="2" s="1"/>
  <c r="M1868" i="2"/>
  <c r="L1868" i="2"/>
  <c r="K1868" i="2"/>
  <c r="J1868" i="2"/>
  <c r="I1868" i="2"/>
  <c r="H1868" i="2"/>
  <c r="G1868" i="2"/>
  <c r="F1868" i="2"/>
  <c r="E1868" i="2"/>
  <c r="D1868" i="2"/>
  <c r="C1868" i="2"/>
  <c r="B1868" i="2"/>
  <c r="A1868" i="2"/>
  <c r="P1867" i="2"/>
  <c r="N1867" i="2"/>
  <c r="O1867" i="2" s="1"/>
  <c r="M1867" i="2"/>
  <c r="L1867" i="2"/>
  <c r="K1867" i="2"/>
  <c r="J1867" i="2"/>
  <c r="I1867" i="2"/>
  <c r="H1867" i="2"/>
  <c r="G1867" i="2"/>
  <c r="F1867" i="2"/>
  <c r="E1867" i="2"/>
  <c r="D1867" i="2"/>
  <c r="C1867" i="2"/>
  <c r="B1867" i="2"/>
  <c r="A1867" i="2"/>
  <c r="P1866" i="2"/>
  <c r="N1866" i="2"/>
  <c r="O1866" i="2" s="1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A1866" i="2"/>
  <c r="P1865" i="2"/>
  <c r="N1865" i="2"/>
  <c r="O1865" i="2" s="1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A1865" i="2"/>
  <c r="P1864" i="2"/>
  <c r="N1864" i="2"/>
  <c r="O1864" i="2" s="1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A1864" i="2"/>
  <c r="P1863" i="2"/>
  <c r="N1863" i="2"/>
  <c r="O1863" i="2" s="1"/>
  <c r="M1863" i="2"/>
  <c r="L1863" i="2"/>
  <c r="K1863" i="2"/>
  <c r="J1863" i="2"/>
  <c r="I1863" i="2"/>
  <c r="H1863" i="2"/>
  <c r="G1863" i="2"/>
  <c r="F1863" i="2"/>
  <c r="E1863" i="2"/>
  <c r="D1863" i="2"/>
  <c r="C1863" i="2"/>
  <c r="B1863" i="2"/>
  <c r="A1863" i="2"/>
  <c r="P1862" i="2"/>
  <c r="N1862" i="2"/>
  <c r="O1862" i="2" s="1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A1862" i="2"/>
  <c r="P1861" i="2"/>
  <c r="N1861" i="2"/>
  <c r="O1861" i="2" s="1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A1861" i="2"/>
  <c r="P1860" i="2"/>
  <c r="N1860" i="2"/>
  <c r="O1860" i="2" s="1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A1860" i="2"/>
  <c r="P1859" i="2"/>
  <c r="N1859" i="2"/>
  <c r="O1859" i="2" s="1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A1859" i="2"/>
  <c r="P1858" i="2"/>
  <c r="O1858" i="2"/>
  <c r="N1858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A1858" i="2"/>
  <c r="P1857" i="2"/>
  <c r="O1857" i="2"/>
  <c r="N1857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A1857" i="2"/>
  <c r="P1856" i="2"/>
  <c r="O1856" i="2"/>
  <c r="N1856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A1856" i="2"/>
  <c r="P1855" i="2"/>
  <c r="O1855" i="2"/>
  <c r="N1855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A1855" i="2"/>
  <c r="P1854" i="2"/>
  <c r="O1854" i="2"/>
  <c r="N1854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A1854" i="2"/>
  <c r="P1853" i="2"/>
  <c r="O1853" i="2"/>
  <c r="N1853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A1853" i="2"/>
  <c r="P1852" i="2"/>
  <c r="O1852" i="2"/>
  <c r="N1852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A1852" i="2"/>
  <c r="P1851" i="2"/>
  <c r="O1851" i="2"/>
  <c r="N1851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A1851" i="2"/>
  <c r="P1850" i="2"/>
  <c r="O1850" i="2"/>
  <c r="N1850" i="2"/>
  <c r="M1850" i="2"/>
  <c r="L1850" i="2"/>
  <c r="K1850" i="2"/>
  <c r="J1850" i="2"/>
  <c r="I1850" i="2"/>
  <c r="H1850" i="2"/>
  <c r="G1850" i="2"/>
  <c r="F1850" i="2"/>
  <c r="E1850" i="2"/>
  <c r="D1850" i="2"/>
  <c r="C1850" i="2"/>
  <c r="B1850" i="2"/>
  <c r="A1850" i="2"/>
  <c r="P1849" i="2"/>
  <c r="O1849" i="2"/>
  <c r="N1849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A1849" i="2"/>
  <c r="P1848" i="2"/>
  <c r="O1848" i="2"/>
  <c r="N1848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A1848" i="2"/>
  <c r="P1847" i="2"/>
  <c r="O1847" i="2"/>
  <c r="N1847" i="2"/>
  <c r="M1847" i="2"/>
  <c r="L1847" i="2"/>
  <c r="K1847" i="2"/>
  <c r="J1847" i="2"/>
  <c r="I1847" i="2"/>
  <c r="H1847" i="2"/>
  <c r="G1847" i="2"/>
  <c r="F1847" i="2"/>
  <c r="E1847" i="2"/>
  <c r="D1847" i="2"/>
  <c r="C1847" i="2"/>
  <c r="B1847" i="2"/>
  <c r="A1847" i="2"/>
  <c r="P1846" i="2"/>
  <c r="O1846" i="2"/>
  <c r="N1846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A1846" i="2"/>
  <c r="P1845" i="2"/>
  <c r="O1845" i="2"/>
  <c r="N1845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A1845" i="2"/>
  <c r="P1844" i="2"/>
  <c r="O1844" i="2"/>
  <c r="N1844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A1844" i="2"/>
  <c r="P1843" i="2"/>
  <c r="O1843" i="2"/>
  <c r="N1843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A1843" i="2"/>
  <c r="P1842" i="2"/>
  <c r="O1842" i="2"/>
  <c r="N1842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A1842" i="2"/>
  <c r="P1841" i="2"/>
  <c r="O1841" i="2"/>
  <c r="N1841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A1841" i="2"/>
  <c r="P1840" i="2"/>
  <c r="O1840" i="2"/>
  <c r="N1840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A1840" i="2"/>
  <c r="P1839" i="2"/>
  <c r="O1839" i="2"/>
  <c r="N1839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A1839" i="2"/>
  <c r="P1838" i="2"/>
  <c r="O1838" i="2"/>
  <c r="N1838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A1838" i="2"/>
  <c r="P1837" i="2"/>
  <c r="O1837" i="2"/>
  <c r="N1837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A1837" i="2"/>
  <c r="P1836" i="2"/>
  <c r="O1836" i="2"/>
  <c r="N1836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A1836" i="2"/>
  <c r="P1835" i="2"/>
  <c r="O1835" i="2"/>
  <c r="N1835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A1835" i="2"/>
  <c r="P1834" i="2"/>
  <c r="O1834" i="2"/>
  <c r="N1834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A1834" i="2"/>
  <c r="P1833" i="2"/>
  <c r="O1833" i="2"/>
  <c r="N1833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A1833" i="2"/>
  <c r="P1832" i="2"/>
  <c r="O1832" i="2"/>
  <c r="N1832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A1832" i="2"/>
  <c r="P1831" i="2"/>
  <c r="O1831" i="2"/>
  <c r="N1831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A1831" i="2"/>
  <c r="P1830" i="2"/>
  <c r="O1830" i="2"/>
  <c r="N1830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A1830" i="2"/>
  <c r="P1829" i="2"/>
  <c r="O1829" i="2"/>
  <c r="N1829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A1829" i="2"/>
  <c r="P1828" i="2"/>
  <c r="O1828" i="2"/>
  <c r="N1828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A1828" i="2"/>
  <c r="P1827" i="2"/>
  <c r="O1827" i="2"/>
  <c r="N1827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A1827" i="2"/>
  <c r="P1826" i="2"/>
  <c r="O1826" i="2"/>
  <c r="N1826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A1826" i="2"/>
  <c r="P1825" i="2"/>
  <c r="O1825" i="2"/>
  <c r="N1825" i="2"/>
  <c r="M1825" i="2"/>
  <c r="L1825" i="2"/>
  <c r="K1825" i="2"/>
  <c r="J1825" i="2"/>
  <c r="I1825" i="2"/>
  <c r="H1825" i="2"/>
  <c r="G1825" i="2"/>
  <c r="F1825" i="2"/>
  <c r="E1825" i="2"/>
  <c r="D1825" i="2"/>
  <c r="C1825" i="2"/>
  <c r="B1825" i="2"/>
  <c r="A1825" i="2"/>
  <c r="P1824" i="2"/>
  <c r="O1824" i="2"/>
  <c r="N1824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A1824" i="2"/>
  <c r="P1823" i="2"/>
  <c r="O1823" i="2"/>
  <c r="N1823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A1823" i="2"/>
  <c r="P1822" i="2"/>
  <c r="O1822" i="2"/>
  <c r="N1822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A1822" i="2"/>
  <c r="P1821" i="2"/>
  <c r="O1821" i="2"/>
  <c r="N1821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A1821" i="2"/>
  <c r="P1820" i="2"/>
  <c r="O1820" i="2"/>
  <c r="N1820" i="2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A1820" i="2"/>
  <c r="P1819" i="2"/>
  <c r="O1819" i="2"/>
  <c r="N1819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A1819" i="2"/>
  <c r="P1818" i="2"/>
  <c r="O1818" i="2"/>
  <c r="N1818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A1818" i="2"/>
  <c r="P1817" i="2"/>
  <c r="O1817" i="2"/>
  <c r="N1817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A1817" i="2"/>
  <c r="P1816" i="2"/>
  <c r="O1816" i="2"/>
  <c r="N1816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A1816" i="2"/>
  <c r="P1815" i="2"/>
  <c r="O1815" i="2"/>
  <c r="N1815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A1815" i="2"/>
  <c r="P1814" i="2"/>
  <c r="O1814" i="2"/>
  <c r="N1814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A1814" i="2"/>
  <c r="P1813" i="2"/>
  <c r="O1813" i="2"/>
  <c r="N1813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A1813" i="2"/>
  <c r="P1812" i="2"/>
  <c r="O1812" i="2"/>
  <c r="N1812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A1812" i="2"/>
  <c r="P1811" i="2"/>
  <c r="O1811" i="2"/>
  <c r="N1811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A1811" i="2"/>
  <c r="P1810" i="2"/>
  <c r="O1810" i="2"/>
  <c r="N1810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A1810" i="2"/>
  <c r="P1809" i="2"/>
  <c r="O1809" i="2"/>
  <c r="N1809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A1809" i="2"/>
  <c r="P1808" i="2"/>
  <c r="O1808" i="2"/>
  <c r="N1808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A1808" i="2"/>
  <c r="P1807" i="2"/>
  <c r="O1807" i="2"/>
  <c r="N1807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A1807" i="2"/>
  <c r="P1806" i="2"/>
  <c r="O1806" i="2"/>
  <c r="N1806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A1806" i="2"/>
  <c r="P1805" i="2"/>
  <c r="O1805" i="2"/>
  <c r="N1805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A1805" i="2"/>
  <c r="P1804" i="2"/>
  <c r="O1804" i="2"/>
  <c r="N1804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A1804" i="2"/>
  <c r="P1803" i="2"/>
  <c r="O1803" i="2"/>
  <c r="N1803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A1803" i="2"/>
  <c r="P1802" i="2"/>
  <c r="O1802" i="2"/>
  <c r="N1802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A1802" i="2"/>
  <c r="P1801" i="2"/>
  <c r="O1801" i="2"/>
  <c r="N1801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A1801" i="2"/>
  <c r="P1800" i="2"/>
  <c r="O1800" i="2"/>
  <c r="N1800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A1800" i="2"/>
  <c r="P1799" i="2"/>
  <c r="O1799" i="2"/>
  <c r="N1799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A1799" i="2"/>
  <c r="P1798" i="2"/>
  <c r="O1798" i="2"/>
  <c r="N1798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A1798" i="2"/>
  <c r="P1797" i="2"/>
  <c r="O1797" i="2"/>
  <c r="N1797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A1797" i="2"/>
  <c r="P1796" i="2"/>
  <c r="O1796" i="2"/>
  <c r="N1796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A1796" i="2"/>
  <c r="P1795" i="2"/>
  <c r="O1795" i="2"/>
  <c r="N1795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A1795" i="2"/>
  <c r="P1794" i="2"/>
  <c r="O1794" i="2"/>
  <c r="N1794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A1794" i="2"/>
  <c r="P1793" i="2"/>
  <c r="O1793" i="2"/>
  <c r="N1793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A1793" i="2"/>
  <c r="P1792" i="2"/>
  <c r="O1792" i="2"/>
  <c r="N1792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A1792" i="2"/>
  <c r="P1791" i="2"/>
  <c r="O1791" i="2"/>
  <c r="N1791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A1791" i="2"/>
  <c r="P1790" i="2"/>
  <c r="O1790" i="2"/>
  <c r="N1790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A1790" i="2"/>
  <c r="P1789" i="2"/>
  <c r="O1789" i="2"/>
  <c r="N1789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A1789" i="2"/>
  <c r="P1788" i="2"/>
  <c r="O1788" i="2"/>
  <c r="N1788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A1788" i="2"/>
  <c r="P1787" i="2"/>
  <c r="O1787" i="2"/>
  <c r="N1787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A1787" i="2"/>
  <c r="P1786" i="2"/>
  <c r="O1786" i="2"/>
  <c r="N1786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A1786" i="2"/>
  <c r="P1785" i="2"/>
  <c r="O1785" i="2"/>
  <c r="N1785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A1785" i="2"/>
  <c r="P1784" i="2"/>
  <c r="O1784" i="2"/>
  <c r="N1784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A1784" i="2"/>
  <c r="P1783" i="2"/>
  <c r="O1783" i="2"/>
  <c r="N1783" i="2"/>
  <c r="M1783" i="2"/>
  <c r="L1783" i="2"/>
  <c r="K1783" i="2"/>
  <c r="J1783" i="2"/>
  <c r="I1783" i="2"/>
  <c r="H1783" i="2"/>
  <c r="G1783" i="2"/>
  <c r="F1783" i="2"/>
  <c r="E1783" i="2"/>
  <c r="D1783" i="2"/>
  <c r="C1783" i="2"/>
  <c r="B1783" i="2"/>
  <c r="A1783" i="2"/>
  <c r="P1782" i="2"/>
  <c r="O1782" i="2"/>
  <c r="N1782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A1782" i="2"/>
  <c r="P1781" i="2"/>
  <c r="O1781" i="2"/>
  <c r="N1781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A1781" i="2"/>
  <c r="P1780" i="2"/>
  <c r="O1780" i="2"/>
  <c r="N1780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A1780" i="2"/>
  <c r="P1779" i="2"/>
  <c r="O1779" i="2"/>
  <c r="N1779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A1779" i="2"/>
  <c r="P1778" i="2"/>
  <c r="O1778" i="2"/>
  <c r="N1778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A1778" i="2"/>
  <c r="P1777" i="2"/>
  <c r="O1777" i="2"/>
  <c r="N1777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A1777" i="2"/>
  <c r="P1776" i="2"/>
  <c r="O1776" i="2"/>
  <c r="N1776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A1776" i="2"/>
  <c r="P1775" i="2"/>
  <c r="O1775" i="2"/>
  <c r="N1775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A1775" i="2"/>
  <c r="P1774" i="2"/>
  <c r="O1774" i="2"/>
  <c r="N1774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A1774" i="2"/>
  <c r="P1773" i="2"/>
  <c r="O1773" i="2"/>
  <c r="N1773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A1773" i="2"/>
  <c r="P1772" i="2"/>
  <c r="O1772" i="2"/>
  <c r="N1772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A1772" i="2"/>
  <c r="P1771" i="2"/>
  <c r="O1771" i="2"/>
  <c r="N1771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A1771" i="2"/>
  <c r="P1770" i="2"/>
  <c r="O1770" i="2"/>
  <c r="N1770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A1770" i="2"/>
  <c r="P1769" i="2"/>
  <c r="O1769" i="2"/>
  <c r="N1769" i="2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A1769" i="2"/>
  <c r="P1768" i="2"/>
  <c r="O1768" i="2"/>
  <c r="N1768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A1768" i="2"/>
  <c r="P1767" i="2"/>
  <c r="O1767" i="2"/>
  <c r="N1767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A1767" i="2"/>
  <c r="P1766" i="2"/>
  <c r="O1766" i="2"/>
  <c r="N1766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A1766" i="2"/>
  <c r="P1765" i="2"/>
  <c r="O1765" i="2"/>
  <c r="N1765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A1765" i="2"/>
  <c r="P1764" i="2"/>
  <c r="O1764" i="2"/>
  <c r="N1764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A1764" i="2"/>
  <c r="P1763" i="2"/>
  <c r="O1763" i="2"/>
  <c r="N1763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A1763" i="2"/>
  <c r="P1762" i="2"/>
  <c r="O1762" i="2"/>
  <c r="N1762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A1762" i="2"/>
  <c r="P1761" i="2"/>
  <c r="O1761" i="2"/>
  <c r="N1761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A1761" i="2"/>
  <c r="P1760" i="2"/>
  <c r="O1760" i="2"/>
  <c r="N1760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A1760" i="2"/>
  <c r="P1759" i="2"/>
  <c r="O1759" i="2"/>
  <c r="N1759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A1759" i="2"/>
  <c r="P1758" i="2"/>
  <c r="O1758" i="2"/>
  <c r="N1758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A1758" i="2"/>
  <c r="P1757" i="2"/>
  <c r="O1757" i="2"/>
  <c r="N1757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A1757" i="2"/>
  <c r="P1756" i="2"/>
  <c r="O1756" i="2"/>
  <c r="N1756" i="2"/>
  <c r="M1756" i="2"/>
  <c r="L1756" i="2"/>
  <c r="K1756" i="2"/>
  <c r="J1756" i="2"/>
  <c r="I1756" i="2"/>
  <c r="H1756" i="2"/>
  <c r="G1756" i="2"/>
  <c r="F1756" i="2"/>
  <c r="E1756" i="2"/>
  <c r="D1756" i="2"/>
  <c r="C1756" i="2"/>
  <c r="B1756" i="2"/>
  <c r="A1756" i="2"/>
  <c r="P1755" i="2"/>
  <c r="O1755" i="2"/>
  <c r="N1755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A1755" i="2"/>
  <c r="P1754" i="2"/>
  <c r="O1754" i="2"/>
  <c r="N1754" i="2"/>
  <c r="M1754" i="2"/>
  <c r="L1754" i="2"/>
  <c r="K1754" i="2"/>
  <c r="J1754" i="2"/>
  <c r="I1754" i="2"/>
  <c r="H1754" i="2"/>
  <c r="G1754" i="2"/>
  <c r="F1754" i="2"/>
  <c r="E1754" i="2"/>
  <c r="D1754" i="2"/>
  <c r="C1754" i="2"/>
  <c r="B1754" i="2"/>
  <c r="A1754" i="2"/>
  <c r="P1753" i="2"/>
  <c r="O1753" i="2"/>
  <c r="N1753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A1753" i="2"/>
  <c r="P1752" i="2"/>
  <c r="O1752" i="2"/>
  <c r="N1752" i="2"/>
  <c r="M1752" i="2"/>
  <c r="L1752" i="2"/>
  <c r="K1752" i="2"/>
  <c r="J1752" i="2"/>
  <c r="I1752" i="2"/>
  <c r="H1752" i="2"/>
  <c r="G1752" i="2"/>
  <c r="F1752" i="2"/>
  <c r="E1752" i="2"/>
  <c r="D1752" i="2"/>
  <c r="C1752" i="2"/>
  <c r="B1752" i="2"/>
  <c r="A1752" i="2"/>
  <c r="P1751" i="2"/>
  <c r="O1751" i="2"/>
  <c r="N1751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A1751" i="2"/>
  <c r="P1750" i="2"/>
  <c r="O1750" i="2"/>
  <c r="N1750" i="2"/>
  <c r="M1750" i="2"/>
  <c r="L1750" i="2"/>
  <c r="K1750" i="2"/>
  <c r="J1750" i="2"/>
  <c r="I1750" i="2"/>
  <c r="H1750" i="2"/>
  <c r="G1750" i="2"/>
  <c r="F1750" i="2"/>
  <c r="E1750" i="2"/>
  <c r="D1750" i="2"/>
  <c r="C1750" i="2"/>
  <c r="B1750" i="2"/>
  <c r="A1750" i="2"/>
  <c r="P1749" i="2"/>
  <c r="O1749" i="2"/>
  <c r="N1749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A1749" i="2"/>
  <c r="P1748" i="2"/>
  <c r="O1748" i="2"/>
  <c r="N1748" i="2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A1748" i="2"/>
  <c r="P1747" i="2"/>
  <c r="O1747" i="2"/>
  <c r="N1747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A1747" i="2"/>
  <c r="P1746" i="2"/>
  <c r="O1746" i="2"/>
  <c r="N1746" i="2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A1746" i="2"/>
  <c r="P1745" i="2"/>
  <c r="O1745" i="2"/>
  <c r="N1745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A1745" i="2"/>
  <c r="P1744" i="2"/>
  <c r="O1744" i="2"/>
  <c r="N1744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A1744" i="2"/>
  <c r="P1743" i="2"/>
  <c r="O1743" i="2"/>
  <c r="N1743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A1743" i="2"/>
  <c r="P1742" i="2"/>
  <c r="O1742" i="2"/>
  <c r="N1742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A1742" i="2"/>
  <c r="P1741" i="2"/>
  <c r="O1741" i="2"/>
  <c r="N1741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A1741" i="2"/>
  <c r="P1740" i="2"/>
  <c r="O1740" i="2"/>
  <c r="N1740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A1740" i="2"/>
  <c r="P1739" i="2"/>
  <c r="O1739" i="2"/>
  <c r="N1739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A1739" i="2"/>
  <c r="P1738" i="2"/>
  <c r="O1738" i="2"/>
  <c r="N1738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A1738" i="2"/>
  <c r="P1737" i="2"/>
  <c r="O1737" i="2"/>
  <c r="N1737" i="2"/>
  <c r="M1737" i="2"/>
  <c r="L1737" i="2"/>
  <c r="K1737" i="2"/>
  <c r="J1737" i="2"/>
  <c r="I1737" i="2"/>
  <c r="H1737" i="2"/>
  <c r="G1737" i="2"/>
  <c r="F1737" i="2"/>
  <c r="E1737" i="2"/>
  <c r="D1737" i="2"/>
  <c r="C1737" i="2"/>
  <c r="B1737" i="2"/>
  <c r="A1737" i="2"/>
  <c r="P1736" i="2"/>
  <c r="O1736" i="2"/>
  <c r="N1736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A1736" i="2"/>
  <c r="P1735" i="2"/>
  <c r="O1735" i="2"/>
  <c r="N1735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A1735" i="2"/>
  <c r="P1734" i="2"/>
  <c r="O1734" i="2"/>
  <c r="N1734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A1734" i="2"/>
  <c r="P1733" i="2"/>
  <c r="O1733" i="2"/>
  <c r="N1733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A1733" i="2"/>
  <c r="P1732" i="2"/>
  <c r="O1732" i="2"/>
  <c r="N1732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A1732" i="2"/>
  <c r="P1731" i="2"/>
  <c r="O1731" i="2"/>
  <c r="N1731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A1731" i="2"/>
  <c r="P1730" i="2"/>
  <c r="O1730" i="2"/>
  <c r="N1730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A1730" i="2"/>
  <c r="P1729" i="2"/>
  <c r="O1729" i="2"/>
  <c r="N1729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A1729" i="2"/>
  <c r="P1728" i="2"/>
  <c r="O1728" i="2"/>
  <c r="N1728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A1728" i="2"/>
  <c r="P1727" i="2"/>
  <c r="O1727" i="2"/>
  <c r="N1727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A1727" i="2"/>
  <c r="P1726" i="2"/>
  <c r="O1726" i="2"/>
  <c r="N1726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A1726" i="2"/>
  <c r="P1725" i="2"/>
  <c r="O1725" i="2"/>
  <c r="N1725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A1725" i="2"/>
  <c r="P1724" i="2"/>
  <c r="O1724" i="2"/>
  <c r="N1724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A1724" i="2"/>
  <c r="P1723" i="2"/>
  <c r="O1723" i="2"/>
  <c r="N1723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A1723" i="2"/>
  <c r="P1722" i="2"/>
  <c r="O1722" i="2"/>
  <c r="N1722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A1722" i="2"/>
  <c r="P1721" i="2"/>
  <c r="O1721" i="2"/>
  <c r="N1721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A1721" i="2"/>
  <c r="P1720" i="2"/>
  <c r="O1720" i="2"/>
  <c r="N1720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A1720" i="2"/>
  <c r="P1719" i="2"/>
  <c r="O1719" i="2"/>
  <c r="N1719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A1719" i="2"/>
  <c r="P1718" i="2"/>
  <c r="O1718" i="2"/>
  <c r="N1718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A1718" i="2"/>
  <c r="P1717" i="2"/>
  <c r="O1717" i="2"/>
  <c r="N1717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A1717" i="2"/>
  <c r="P1716" i="2"/>
  <c r="O1716" i="2"/>
  <c r="N1716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A1716" i="2"/>
  <c r="P1715" i="2"/>
  <c r="O1715" i="2"/>
  <c r="N1715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A1715" i="2"/>
  <c r="P1714" i="2"/>
  <c r="O1714" i="2"/>
  <c r="N1714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A1714" i="2"/>
  <c r="P1713" i="2"/>
  <c r="O1713" i="2"/>
  <c r="N1713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A1713" i="2"/>
  <c r="P1712" i="2"/>
  <c r="O1712" i="2"/>
  <c r="N1712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A1712" i="2"/>
  <c r="P1711" i="2"/>
  <c r="O1711" i="2"/>
  <c r="N1711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A1711" i="2"/>
  <c r="P1710" i="2"/>
  <c r="O1710" i="2"/>
  <c r="N1710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A1710" i="2"/>
  <c r="P1709" i="2"/>
  <c r="O1709" i="2"/>
  <c r="N1709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A1709" i="2"/>
  <c r="P1708" i="2"/>
  <c r="O1708" i="2"/>
  <c r="N1708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A1708" i="2"/>
  <c r="P1707" i="2"/>
  <c r="O1707" i="2"/>
  <c r="N1707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A1707" i="2"/>
  <c r="P1706" i="2"/>
  <c r="O1706" i="2"/>
  <c r="N1706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A1706" i="2"/>
  <c r="P1705" i="2"/>
  <c r="O1705" i="2"/>
  <c r="N1705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A1705" i="2"/>
  <c r="P1704" i="2"/>
  <c r="O1704" i="2"/>
  <c r="N1704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A1704" i="2"/>
  <c r="P1703" i="2"/>
  <c r="O1703" i="2"/>
  <c r="N1703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A1703" i="2"/>
  <c r="P1702" i="2"/>
  <c r="O1702" i="2"/>
  <c r="N1702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A1702" i="2"/>
  <c r="P1701" i="2"/>
  <c r="O1701" i="2"/>
  <c r="N1701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A1701" i="2"/>
  <c r="P1700" i="2"/>
  <c r="O1700" i="2"/>
  <c r="N1700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A1700" i="2"/>
  <c r="P1699" i="2"/>
  <c r="O1699" i="2"/>
  <c r="N1699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A1699" i="2"/>
  <c r="P1698" i="2"/>
  <c r="O1698" i="2"/>
  <c r="N1698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A1698" i="2"/>
  <c r="P1697" i="2"/>
  <c r="O1697" i="2"/>
  <c r="N1697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A1697" i="2"/>
  <c r="P1696" i="2"/>
  <c r="O1696" i="2"/>
  <c r="N1696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A1696" i="2"/>
  <c r="P1695" i="2"/>
  <c r="O1695" i="2"/>
  <c r="N1695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A1695" i="2"/>
  <c r="P1694" i="2"/>
  <c r="O1694" i="2"/>
  <c r="N1694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A1694" i="2"/>
  <c r="P1693" i="2"/>
  <c r="O1693" i="2"/>
  <c r="N1693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A1693" i="2"/>
  <c r="P1692" i="2"/>
  <c r="O1692" i="2"/>
  <c r="N1692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A1692" i="2"/>
  <c r="P1691" i="2"/>
  <c r="O1691" i="2"/>
  <c r="N1691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A1691" i="2"/>
  <c r="P1690" i="2"/>
  <c r="O1690" i="2"/>
  <c r="N1690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A1690" i="2"/>
  <c r="P1689" i="2"/>
  <c r="O1689" i="2"/>
  <c r="N1689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A1689" i="2"/>
  <c r="P1688" i="2"/>
  <c r="O1688" i="2"/>
  <c r="N1688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A1688" i="2"/>
  <c r="P1687" i="2"/>
  <c r="O1687" i="2"/>
  <c r="N1687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A1687" i="2"/>
  <c r="P1686" i="2"/>
  <c r="O1686" i="2"/>
  <c r="N1686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A1686" i="2"/>
  <c r="P1685" i="2"/>
  <c r="O1685" i="2"/>
  <c r="N1685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A1685" i="2"/>
  <c r="P1684" i="2"/>
  <c r="O1684" i="2"/>
  <c r="N1684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A1684" i="2"/>
  <c r="P1683" i="2"/>
  <c r="O1683" i="2"/>
  <c r="N1683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A1683" i="2"/>
  <c r="P1682" i="2"/>
  <c r="O1682" i="2"/>
  <c r="N1682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A1682" i="2"/>
  <c r="P1681" i="2"/>
  <c r="O1681" i="2"/>
  <c r="N1681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A1681" i="2"/>
  <c r="P1680" i="2"/>
  <c r="O1680" i="2"/>
  <c r="N1680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A1680" i="2"/>
  <c r="P1679" i="2"/>
  <c r="O1679" i="2"/>
  <c r="N1679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A1679" i="2"/>
  <c r="P1678" i="2"/>
  <c r="O1678" i="2"/>
  <c r="N1678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A1678" i="2"/>
  <c r="P1677" i="2"/>
  <c r="O1677" i="2"/>
  <c r="N1677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A1677" i="2"/>
  <c r="P1676" i="2"/>
  <c r="O1676" i="2"/>
  <c r="N1676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A1676" i="2"/>
  <c r="P1675" i="2"/>
  <c r="O1675" i="2"/>
  <c r="N1675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A1675" i="2"/>
  <c r="P1674" i="2"/>
  <c r="O1674" i="2"/>
  <c r="N1674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A1674" i="2"/>
  <c r="P1673" i="2"/>
  <c r="O1673" i="2"/>
  <c r="N1673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A1673" i="2"/>
  <c r="P1672" i="2"/>
  <c r="O1672" i="2"/>
  <c r="N1672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A1672" i="2"/>
  <c r="P1671" i="2"/>
  <c r="O1671" i="2"/>
  <c r="N1671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A1671" i="2"/>
  <c r="P1670" i="2"/>
  <c r="O1670" i="2"/>
  <c r="N1670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A1670" i="2"/>
  <c r="P1669" i="2"/>
  <c r="O1669" i="2"/>
  <c r="N1669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A1669" i="2"/>
  <c r="P1668" i="2"/>
  <c r="O1668" i="2"/>
  <c r="N1668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A1668" i="2"/>
  <c r="P1667" i="2"/>
  <c r="O1667" i="2"/>
  <c r="N1667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A1667" i="2"/>
  <c r="P1666" i="2"/>
  <c r="O1666" i="2"/>
  <c r="N1666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A1666" i="2"/>
  <c r="P1665" i="2"/>
  <c r="O1665" i="2"/>
  <c r="N1665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A1665" i="2"/>
  <c r="P1664" i="2"/>
  <c r="O1664" i="2"/>
  <c r="N1664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A1664" i="2"/>
  <c r="P1663" i="2"/>
  <c r="O1663" i="2"/>
  <c r="N1663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A1663" i="2"/>
  <c r="P1662" i="2"/>
  <c r="O1662" i="2"/>
  <c r="N1662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A1662" i="2"/>
  <c r="P1661" i="2"/>
  <c r="O1661" i="2"/>
  <c r="N1661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A1661" i="2"/>
  <c r="P1660" i="2"/>
  <c r="O1660" i="2"/>
  <c r="N1660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A1660" i="2"/>
  <c r="P1659" i="2"/>
  <c r="O1659" i="2"/>
  <c r="N1659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A1659" i="2"/>
  <c r="P1658" i="2"/>
  <c r="O1658" i="2"/>
  <c r="N1658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A1658" i="2"/>
  <c r="P1657" i="2"/>
  <c r="O1657" i="2"/>
  <c r="N1657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A1657" i="2"/>
  <c r="P1656" i="2"/>
  <c r="O1656" i="2"/>
  <c r="N1656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A1656" i="2"/>
  <c r="P1655" i="2"/>
  <c r="O1655" i="2"/>
  <c r="N1655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A1655" i="2"/>
  <c r="P1654" i="2"/>
  <c r="O1654" i="2"/>
  <c r="N1654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A1654" i="2"/>
  <c r="P1653" i="2"/>
  <c r="O1653" i="2"/>
  <c r="N1653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A1653" i="2"/>
  <c r="P1652" i="2"/>
  <c r="O1652" i="2"/>
  <c r="N1652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A1652" i="2"/>
  <c r="P1651" i="2"/>
  <c r="O1651" i="2"/>
  <c r="N1651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A1651" i="2"/>
  <c r="P1650" i="2"/>
  <c r="O1650" i="2"/>
  <c r="N1650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A1650" i="2"/>
  <c r="P1649" i="2"/>
  <c r="O1649" i="2"/>
  <c r="N1649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A1649" i="2"/>
  <c r="P1648" i="2"/>
  <c r="O1648" i="2"/>
  <c r="N1648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A1648" i="2"/>
  <c r="P1647" i="2"/>
  <c r="O1647" i="2"/>
  <c r="N1647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A1647" i="2"/>
  <c r="P1646" i="2"/>
  <c r="O1646" i="2"/>
  <c r="N1646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A1646" i="2"/>
  <c r="P1645" i="2"/>
  <c r="O1645" i="2"/>
  <c r="N1645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A1645" i="2"/>
  <c r="P1644" i="2"/>
  <c r="O1644" i="2"/>
  <c r="N1644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A1644" i="2"/>
  <c r="P1643" i="2"/>
  <c r="O1643" i="2"/>
  <c r="N1643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A1643" i="2"/>
  <c r="P1642" i="2"/>
  <c r="O1642" i="2"/>
  <c r="N1642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A1642" i="2"/>
  <c r="P1641" i="2"/>
  <c r="O1641" i="2"/>
  <c r="N1641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A1641" i="2"/>
  <c r="P1640" i="2"/>
  <c r="O1640" i="2"/>
  <c r="N1640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A1640" i="2"/>
  <c r="P1639" i="2"/>
  <c r="O1639" i="2"/>
  <c r="N1639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A1639" i="2"/>
  <c r="P1638" i="2"/>
  <c r="O1638" i="2"/>
  <c r="N1638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A1638" i="2"/>
  <c r="P1637" i="2"/>
  <c r="O1637" i="2"/>
  <c r="N1637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A1637" i="2"/>
  <c r="P1636" i="2"/>
  <c r="O1636" i="2"/>
  <c r="N1636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A1636" i="2"/>
  <c r="P1635" i="2"/>
  <c r="O1635" i="2"/>
  <c r="N1635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A1635" i="2"/>
  <c r="P1634" i="2"/>
  <c r="O1634" i="2"/>
  <c r="N1634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A1634" i="2"/>
  <c r="P1633" i="2"/>
  <c r="O1633" i="2"/>
  <c r="N1633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A1633" i="2"/>
  <c r="P1632" i="2"/>
  <c r="O1632" i="2"/>
  <c r="N1632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A1632" i="2"/>
  <c r="P1631" i="2"/>
  <c r="O1631" i="2"/>
  <c r="N1631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A1631" i="2"/>
  <c r="P1630" i="2"/>
  <c r="O1630" i="2"/>
  <c r="N1630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A1630" i="2"/>
  <c r="P1629" i="2"/>
  <c r="O1629" i="2"/>
  <c r="N1629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A1629" i="2"/>
  <c r="P1628" i="2"/>
  <c r="O1628" i="2"/>
  <c r="N1628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A1628" i="2"/>
  <c r="P1627" i="2"/>
  <c r="O1627" i="2"/>
  <c r="N1627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A1627" i="2"/>
  <c r="P1626" i="2"/>
  <c r="O1626" i="2"/>
  <c r="N1626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A1626" i="2"/>
  <c r="P1625" i="2"/>
  <c r="O1625" i="2"/>
  <c r="N1625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A1625" i="2"/>
  <c r="P1624" i="2"/>
  <c r="O1624" i="2"/>
  <c r="N1624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A1624" i="2"/>
  <c r="P1623" i="2"/>
  <c r="O1623" i="2"/>
  <c r="N1623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A1623" i="2"/>
  <c r="P1622" i="2"/>
  <c r="O1622" i="2"/>
  <c r="N1622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A1622" i="2"/>
  <c r="P1621" i="2"/>
  <c r="O1621" i="2"/>
  <c r="N1621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A1621" i="2"/>
  <c r="P1620" i="2"/>
  <c r="O1620" i="2"/>
  <c r="N1620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A1620" i="2"/>
  <c r="P1619" i="2"/>
  <c r="O1619" i="2"/>
  <c r="N1619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A1619" i="2"/>
  <c r="P1618" i="2"/>
  <c r="O1618" i="2"/>
  <c r="N1618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A1618" i="2"/>
  <c r="P1617" i="2"/>
  <c r="O1617" i="2"/>
  <c r="N1617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A1617" i="2"/>
  <c r="P1616" i="2"/>
  <c r="O1616" i="2"/>
  <c r="N1616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A1616" i="2"/>
  <c r="P1615" i="2"/>
  <c r="O1615" i="2"/>
  <c r="N1615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A1615" i="2"/>
  <c r="P1614" i="2"/>
  <c r="O1614" i="2"/>
  <c r="N1614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A1614" i="2"/>
  <c r="P1613" i="2"/>
  <c r="O1613" i="2"/>
  <c r="N1613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A1613" i="2"/>
  <c r="P1612" i="2"/>
  <c r="O1612" i="2"/>
  <c r="N1612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A1612" i="2"/>
  <c r="P1611" i="2"/>
  <c r="O1611" i="2"/>
  <c r="N1611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A1611" i="2"/>
  <c r="P1610" i="2"/>
  <c r="O1610" i="2"/>
  <c r="N1610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A1610" i="2"/>
  <c r="P1609" i="2"/>
  <c r="O1609" i="2"/>
  <c r="N1609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A1609" i="2"/>
  <c r="P1608" i="2"/>
  <c r="O1608" i="2"/>
  <c r="N1608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A1608" i="2"/>
  <c r="P1607" i="2"/>
  <c r="O1607" i="2"/>
  <c r="N1607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A1607" i="2"/>
  <c r="P1606" i="2"/>
  <c r="O1606" i="2"/>
  <c r="N1606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A1606" i="2"/>
  <c r="P1605" i="2"/>
  <c r="O1605" i="2"/>
  <c r="N1605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A1605" i="2"/>
  <c r="P1604" i="2"/>
  <c r="O1604" i="2"/>
  <c r="N1604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A1604" i="2"/>
  <c r="P1603" i="2"/>
  <c r="O1603" i="2"/>
  <c r="N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A1603" i="2"/>
  <c r="P1602" i="2"/>
  <c r="O1602" i="2"/>
  <c r="N1602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A1602" i="2"/>
  <c r="P1601" i="2"/>
  <c r="O1601" i="2"/>
  <c r="N1601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A1601" i="2"/>
  <c r="P1600" i="2"/>
  <c r="O1600" i="2"/>
  <c r="N1600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A1600" i="2"/>
  <c r="P1599" i="2"/>
  <c r="O1599" i="2"/>
  <c r="N1599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A1599" i="2"/>
  <c r="P1598" i="2"/>
  <c r="O1598" i="2"/>
  <c r="N1598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A1598" i="2"/>
  <c r="P1597" i="2"/>
  <c r="O1597" i="2"/>
  <c r="N1597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A1597" i="2"/>
  <c r="P1596" i="2"/>
  <c r="O1596" i="2"/>
  <c r="N1596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A1596" i="2"/>
  <c r="P1595" i="2"/>
  <c r="O1595" i="2"/>
  <c r="N1595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A1595" i="2"/>
  <c r="P1594" i="2"/>
  <c r="O1594" i="2"/>
  <c r="N1594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A1594" i="2"/>
  <c r="P1593" i="2"/>
  <c r="O1593" i="2"/>
  <c r="N1593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A1593" i="2"/>
  <c r="P1592" i="2"/>
  <c r="O1592" i="2"/>
  <c r="N1592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A1592" i="2"/>
  <c r="P1591" i="2"/>
  <c r="O1591" i="2"/>
  <c r="N1591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A1591" i="2"/>
  <c r="P1590" i="2"/>
  <c r="O1590" i="2"/>
  <c r="N1590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A1590" i="2"/>
  <c r="P1589" i="2"/>
  <c r="O1589" i="2"/>
  <c r="N1589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A1589" i="2"/>
  <c r="P1588" i="2"/>
  <c r="O1588" i="2"/>
  <c r="N1588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A1588" i="2"/>
  <c r="P1587" i="2"/>
  <c r="O1587" i="2"/>
  <c r="N1587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A1587" i="2"/>
  <c r="P1586" i="2"/>
  <c r="O1586" i="2"/>
  <c r="N1586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A1586" i="2"/>
  <c r="P1585" i="2"/>
  <c r="O1585" i="2"/>
  <c r="N1585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A1585" i="2"/>
  <c r="P1584" i="2"/>
  <c r="O1584" i="2"/>
  <c r="N1584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A1584" i="2"/>
  <c r="P1583" i="2"/>
  <c r="O1583" i="2"/>
  <c r="N1583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A1583" i="2"/>
  <c r="P1582" i="2"/>
  <c r="O1582" i="2"/>
  <c r="N1582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A1582" i="2"/>
  <c r="P1581" i="2"/>
  <c r="O1581" i="2"/>
  <c r="N1581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A1581" i="2"/>
  <c r="P1580" i="2"/>
  <c r="O1580" i="2"/>
  <c r="N1580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A1580" i="2"/>
  <c r="P1579" i="2"/>
  <c r="O1579" i="2"/>
  <c r="N1579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A1579" i="2"/>
  <c r="P1578" i="2"/>
  <c r="O1578" i="2"/>
  <c r="N1578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A1578" i="2"/>
  <c r="P1577" i="2"/>
  <c r="O1577" i="2"/>
  <c r="N1577" i="2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A1577" i="2"/>
  <c r="P1576" i="2"/>
  <c r="O1576" i="2"/>
  <c r="N1576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A1576" i="2"/>
  <c r="P1575" i="2"/>
  <c r="O1575" i="2"/>
  <c r="N1575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A1575" i="2"/>
  <c r="P1574" i="2"/>
  <c r="O1574" i="2"/>
  <c r="N1574" i="2"/>
  <c r="M1574" i="2"/>
  <c r="L1574" i="2"/>
  <c r="K1574" i="2"/>
  <c r="J1574" i="2"/>
  <c r="I1574" i="2"/>
  <c r="H1574" i="2"/>
  <c r="G1574" i="2"/>
  <c r="F1574" i="2"/>
  <c r="E1574" i="2"/>
  <c r="D1574" i="2"/>
  <c r="C1574" i="2"/>
  <c r="B1574" i="2"/>
  <c r="A1574" i="2"/>
  <c r="P1573" i="2"/>
  <c r="O1573" i="2"/>
  <c r="N1573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A1573" i="2"/>
  <c r="P1572" i="2"/>
  <c r="O1572" i="2"/>
  <c r="N1572" i="2"/>
  <c r="M1572" i="2"/>
  <c r="L1572" i="2"/>
  <c r="K1572" i="2"/>
  <c r="J1572" i="2"/>
  <c r="I1572" i="2"/>
  <c r="H1572" i="2"/>
  <c r="G1572" i="2"/>
  <c r="F1572" i="2"/>
  <c r="E1572" i="2"/>
  <c r="D1572" i="2"/>
  <c r="C1572" i="2"/>
  <c r="B1572" i="2"/>
  <c r="A1572" i="2"/>
  <c r="P1571" i="2"/>
  <c r="O1571" i="2"/>
  <c r="N1571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A1571" i="2"/>
  <c r="P1570" i="2"/>
  <c r="O1570" i="2"/>
  <c r="N1570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A1570" i="2"/>
  <c r="P1569" i="2"/>
  <c r="O1569" i="2"/>
  <c r="N1569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A1569" i="2"/>
  <c r="P1568" i="2"/>
  <c r="O1568" i="2"/>
  <c r="N1568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A1568" i="2"/>
  <c r="P1567" i="2"/>
  <c r="O1567" i="2"/>
  <c r="N1567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A1567" i="2"/>
  <c r="P1566" i="2"/>
  <c r="O1566" i="2"/>
  <c r="N1566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A1566" i="2"/>
  <c r="P1565" i="2"/>
  <c r="O1565" i="2"/>
  <c r="N1565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A1565" i="2"/>
  <c r="P1564" i="2"/>
  <c r="O1564" i="2"/>
  <c r="N1564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A1564" i="2"/>
  <c r="P1563" i="2"/>
  <c r="O1563" i="2"/>
  <c r="N1563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A1563" i="2"/>
  <c r="P1562" i="2"/>
  <c r="O1562" i="2"/>
  <c r="N1562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A1562" i="2"/>
  <c r="P1561" i="2"/>
  <c r="O1561" i="2"/>
  <c r="N1561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A1561" i="2"/>
  <c r="P1560" i="2"/>
  <c r="O1560" i="2"/>
  <c r="N1560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A1560" i="2"/>
  <c r="P1559" i="2"/>
  <c r="O1559" i="2"/>
  <c r="N1559" i="2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A1559" i="2"/>
  <c r="P1558" i="2"/>
  <c r="O1558" i="2"/>
  <c r="N1558" i="2"/>
  <c r="M1558" i="2"/>
  <c r="L1558" i="2"/>
  <c r="K1558" i="2"/>
  <c r="J1558" i="2"/>
  <c r="I1558" i="2"/>
  <c r="H1558" i="2"/>
  <c r="G1558" i="2"/>
  <c r="F1558" i="2"/>
  <c r="E1558" i="2"/>
  <c r="D1558" i="2"/>
  <c r="C1558" i="2"/>
  <c r="B1558" i="2"/>
  <c r="A1558" i="2"/>
  <c r="P1557" i="2"/>
  <c r="O1557" i="2"/>
  <c r="N1557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A1557" i="2"/>
  <c r="P1556" i="2"/>
  <c r="O1556" i="2"/>
  <c r="N1556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A1556" i="2"/>
  <c r="P1555" i="2"/>
  <c r="O1555" i="2"/>
  <c r="N1555" i="2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A1555" i="2"/>
  <c r="P1554" i="2"/>
  <c r="O1554" i="2"/>
  <c r="N1554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A1554" i="2"/>
  <c r="P1553" i="2"/>
  <c r="O1553" i="2"/>
  <c r="N1553" i="2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A1553" i="2"/>
  <c r="P1552" i="2"/>
  <c r="O1552" i="2"/>
  <c r="N1552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A1552" i="2"/>
  <c r="P1551" i="2"/>
  <c r="O1551" i="2"/>
  <c r="N1551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A1551" i="2"/>
  <c r="P1550" i="2"/>
  <c r="O1550" i="2"/>
  <c r="N1550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A1550" i="2"/>
  <c r="P1549" i="2"/>
  <c r="O1549" i="2"/>
  <c r="N1549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A1549" i="2"/>
  <c r="P1548" i="2"/>
  <c r="O1548" i="2"/>
  <c r="N1548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A1548" i="2"/>
  <c r="P1547" i="2"/>
  <c r="O1547" i="2"/>
  <c r="N1547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A1547" i="2"/>
  <c r="P1546" i="2"/>
  <c r="O1546" i="2"/>
  <c r="N1546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A1546" i="2"/>
  <c r="P1545" i="2"/>
  <c r="O1545" i="2"/>
  <c r="N1545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A1545" i="2"/>
  <c r="P1544" i="2"/>
  <c r="O1544" i="2"/>
  <c r="N1544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A1544" i="2"/>
  <c r="P1543" i="2"/>
  <c r="O1543" i="2"/>
  <c r="N1543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A1543" i="2"/>
  <c r="P1542" i="2"/>
  <c r="O1542" i="2"/>
  <c r="N1542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A1542" i="2"/>
  <c r="P1541" i="2"/>
  <c r="O1541" i="2"/>
  <c r="N1541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A1541" i="2"/>
  <c r="P1540" i="2"/>
  <c r="O1540" i="2"/>
  <c r="N1540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A1540" i="2"/>
  <c r="P1539" i="2"/>
  <c r="O1539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A1539" i="2"/>
  <c r="P1538" i="2"/>
  <c r="O1538" i="2"/>
  <c r="N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A1538" i="2"/>
  <c r="P1537" i="2"/>
  <c r="O1537" i="2"/>
  <c r="N1537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A1537" i="2"/>
  <c r="P1536" i="2"/>
  <c r="O1536" i="2"/>
  <c r="N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A1536" i="2"/>
  <c r="P1535" i="2"/>
  <c r="O1535" i="2"/>
  <c r="N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A1535" i="2"/>
  <c r="P1534" i="2"/>
  <c r="O1534" i="2"/>
  <c r="N1534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A1534" i="2"/>
  <c r="P1533" i="2"/>
  <c r="O1533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A1533" i="2"/>
  <c r="P1532" i="2"/>
  <c r="O1532" i="2"/>
  <c r="N1532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A1532" i="2"/>
  <c r="P1531" i="2"/>
  <c r="O1531" i="2"/>
  <c r="N1531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A1531" i="2"/>
  <c r="P1530" i="2"/>
  <c r="O1530" i="2"/>
  <c r="N1530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A1530" i="2"/>
  <c r="P1529" i="2"/>
  <c r="O1529" i="2"/>
  <c r="N1529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A1529" i="2"/>
  <c r="P1528" i="2"/>
  <c r="O1528" i="2"/>
  <c r="N1528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A1528" i="2"/>
  <c r="P1527" i="2"/>
  <c r="O1527" i="2"/>
  <c r="N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A1527" i="2"/>
  <c r="P1526" i="2"/>
  <c r="O1526" i="2"/>
  <c r="N1526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A1526" i="2"/>
  <c r="P1525" i="2"/>
  <c r="O1525" i="2"/>
  <c r="N1525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A1525" i="2"/>
  <c r="P1524" i="2"/>
  <c r="O1524" i="2"/>
  <c r="N1524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A1524" i="2"/>
  <c r="P1523" i="2"/>
  <c r="O1523" i="2"/>
  <c r="N1523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A1523" i="2"/>
  <c r="P1522" i="2"/>
  <c r="O1522" i="2"/>
  <c r="N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A1522" i="2"/>
  <c r="P1521" i="2"/>
  <c r="O1521" i="2"/>
  <c r="N1521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A1521" i="2"/>
  <c r="P1520" i="2"/>
  <c r="O1520" i="2"/>
  <c r="N1520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A1520" i="2"/>
  <c r="P1519" i="2"/>
  <c r="O1519" i="2"/>
  <c r="N1519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A1519" i="2"/>
  <c r="P1518" i="2"/>
  <c r="O1518" i="2"/>
  <c r="N1518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A1518" i="2"/>
  <c r="P1517" i="2"/>
  <c r="O1517" i="2"/>
  <c r="N1517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A1517" i="2"/>
  <c r="P1516" i="2"/>
  <c r="O1516" i="2"/>
  <c r="N1516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A1516" i="2"/>
  <c r="P1515" i="2"/>
  <c r="O1515" i="2"/>
  <c r="N1515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A1515" i="2"/>
  <c r="P1514" i="2"/>
  <c r="O1514" i="2"/>
  <c r="N1514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A1514" i="2"/>
  <c r="P1513" i="2"/>
  <c r="O1513" i="2"/>
  <c r="N1513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A1513" i="2"/>
  <c r="P1512" i="2"/>
  <c r="O1512" i="2"/>
  <c r="N1512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A1512" i="2"/>
  <c r="P1511" i="2"/>
  <c r="O1511" i="2"/>
  <c r="N1511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A1511" i="2"/>
  <c r="P1510" i="2"/>
  <c r="O1510" i="2"/>
  <c r="N1510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A1510" i="2"/>
  <c r="P1509" i="2"/>
  <c r="O1509" i="2"/>
  <c r="N1509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A1509" i="2"/>
  <c r="P1508" i="2"/>
  <c r="O1508" i="2"/>
  <c r="N1508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A1508" i="2"/>
  <c r="P1507" i="2"/>
  <c r="O1507" i="2"/>
  <c r="N1507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A1507" i="2"/>
  <c r="P1506" i="2"/>
  <c r="O1506" i="2"/>
  <c r="N1506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A1506" i="2"/>
  <c r="P1505" i="2"/>
  <c r="O1505" i="2"/>
  <c r="N1505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A1505" i="2"/>
  <c r="P1504" i="2"/>
  <c r="O1504" i="2"/>
  <c r="N1504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A1504" i="2"/>
  <c r="P1503" i="2"/>
  <c r="O1503" i="2"/>
  <c r="N1503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A1503" i="2"/>
  <c r="P1502" i="2"/>
  <c r="O1502" i="2"/>
  <c r="N1502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A1502" i="2"/>
  <c r="P1501" i="2"/>
  <c r="O1501" i="2"/>
  <c r="N1501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A1501" i="2"/>
  <c r="P1500" i="2"/>
  <c r="O1500" i="2"/>
  <c r="N1500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A1500" i="2"/>
  <c r="P1499" i="2"/>
  <c r="O1499" i="2"/>
  <c r="N1499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A1499" i="2"/>
  <c r="P1498" i="2"/>
  <c r="O1498" i="2"/>
  <c r="N1498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A1498" i="2"/>
  <c r="P1497" i="2"/>
  <c r="O1497" i="2"/>
  <c r="N1497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A1497" i="2"/>
  <c r="P1496" i="2"/>
  <c r="O1496" i="2"/>
  <c r="N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A1496" i="2"/>
  <c r="P1495" i="2"/>
  <c r="O1495" i="2"/>
  <c r="N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A1495" i="2"/>
  <c r="P1494" i="2"/>
  <c r="O1494" i="2"/>
  <c r="N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A1494" i="2"/>
  <c r="P1493" i="2"/>
  <c r="O1493" i="2"/>
  <c r="N1493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A1493" i="2"/>
  <c r="P1492" i="2"/>
  <c r="O1492" i="2"/>
  <c r="N1492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A1492" i="2"/>
  <c r="P1491" i="2"/>
  <c r="O1491" i="2"/>
  <c r="N1491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A1491" i="2"/>
  <c r="P1490" i="2"/>
  <c r="O1490" i="2"/>
  <c r="N1490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A1490" i="2"/>
  <c r="P1489" i="2"/>
  <c r="O1489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A1489" i="2"/>
  <c r="P1488" i="2"/>
  <c r="O1488" i="2"/>
  <c r="N1488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A1488" i="2"/>
  <c r="P1487" i="2"/>
  <c r="O1487" i="2"/>
  <c r="N1487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A1487" i="2"/>
  <c r="P1486" i="2"/>
  <c r="O1486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A1486" i="2"/>
  <c r="P1485" i="2"/>
  <c r="O1485" i="2"/>
  <c r="N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A1485" i="2"/>
  <c r="P1484" i="2"/>
  <c r="O1484" i="2"/>
  <c r="N1484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A1484" i="2"/>
  <c r="P1483" i="2"/>
  <c r="O1483" i="2"/>
  <c r="N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A1483" i="2"/>
  <c r="P1482" i="2"/>
  <c r="O1482" i="2"/>
  <c r="N1482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A1482" i="2"/>
  <c r="P1481" i="2"/>
  <c r="O1481" i="2"/>
  <c r="N1481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A1481" i="2"/>
  <c r="P1480" i="2"/>
  <c r="O1480" i="2"/>
  <c r="N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A1480" i="2"/>
  <c r="P1479" i="2"/>
  <c r="O1479" i="2"/>
  <c r="N1479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A1479" i="2"/>
  <c r="P1478" i="2"/>
  <c r="O1478" i="2"/>
  <c r="N1478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A1478" i="2"/>
  <c r="P1477" i="2"/>
  <c r="O1477" i="2"/>
  <c r="N1477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A1477" i="2"/>
  <c r="P1476" i="2"/>
  <c r="O1476" i="2"/>
  <c r="N1476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A1476" i="2"/>
  <c r="P1475" i="2"/>
  <c r="O1475" i="2"/>
  <c r="N1475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A1475" i="2"/>
  <c r="P1474" i="2"/>
  <c r="O1474" i="2"/>
  <c r="N1474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A1474" i="2"/>
  <c r="P1473" i="2"/>
  <c r="O1473" i="2"/>
  <c r="N1473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A1473" i="2"/>
  <c r="P1472" i="2"/>
  <c r="O1472" i="2"/>
  <c r="N1472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A1472" i="2"/>
  <c r="P1471" i="2"/>
  <c r="O1471" i="2"/>
  <c r="N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A1471" i="2"/>
  <c r="P1470" i="2"/>
  <c r="O1470" i="2"/>
  <c r="N1470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A1470" i="2"/>
  <c r="P1469" i="2"/>
  <c r="O1469" i="2"/>
  <c r="N1469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A1469" i="2"/>
  <c r="P1468" i="2"/>
  <c r="O1468" i="2"/>
  <c r="N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A1468" i="2"/>
  <c r="P1467" i="2"/>
  <c r="O1467" i="2"/>
  <c r="N1467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A1467" i="2"/>
  <c r="P1466" i="2"/>
  <c r="O1466" i="2"/>
  <c r="N1466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A1466" i="2"/>
  <c r="P1465" i="2"/>
  <c r="O1465" i="2"/>
  <c r="N1465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A1465" i="2"/>
  <c r="P1464" i="2"/>
  <c r="O1464" i="2"/>
  <c r="N1464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A1464" i="2"/>
  <c r="P1463" i="2"/>
  <c r="O1463" i="2"/>
  <c r="N1463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A1463" i="2"/>
  <c r="P1462" i="2"/>
  <c r="O1462" i="2"/>
  <c r="N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A1462" i="2"/>
  <c r="P1461" i="2"/>
  <c r="O1461" i="2"/>
  <c r="N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A1461" i="2"/>
  <c r="P1460" i="2"/>
  <c r="O1460" i="2"/>
  <c r="N1460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A1460" i="2"/>
  <c r="P1459" i="2"/>
  <c r="O1459" i="2"/>
  <c r="N1459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A1459" i="2"/>
  <c r="P1458" i="2"/>
  <c r="O1458" i="2"/>
  <c r="N1458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A1458" i="2"/>
  <c r="P1457" i="2"/>
  <c r="O1457" i="2"/>
  <c r="N1457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A1457" i="2"/>
  <c r="P1456" i="2"/>
  <c r="O1456" i="2"/>
  <c r="N1456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A1456" i="2"/>
  <c r="P1455" i="2"/>
  <c r="O1455" i="2"/>
  <c r="N1455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A1455" i="2"/>
  <c r="P1454" i="2"/>
  <c r="O1454" i="2"/>
  <c r="N1454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A1454" i="2"/>
  <c r="P1453" i="2"/>
  <c r="O1453" i="2"/>
  <c r="N1453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A1453" i="2"/>
  <c r="P1452" i="2"/>
  <c r="O1452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A1452" i="2"/>
  <c r="P1451" i="2"/>
  <c r="O1451" i="2"/>
  <c r="N1451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A1451" i="2"/>
  <c r="P1450" i="2"/>
  <c r="O1450" i="2"/>
  <c r="N1450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A1450" i="2"/>
  <c r="P1449" i="2"/>
  <c r="O1449" i="2"/>
  <c r="N1449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A1449" i="2"/>
  <c r="P1448" i="2"/>
  <c r="O1448" i="2"/>
  <c r="N1448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A1448" i="2"/>
  <c r="P1447" i="2"/>
  <c r="O1447" i="2"/>
  <c r="N1447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A1447" i="2"/>
  <c r="P1446" i="2"/>
  <c r="O1446" i="2"/>
  <c r="N1446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A1446" i="2"/>
  <c r="P1445" i="2"/>
  <c r="O1445" i="2"/>
  <c r="N1445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A1445" i="2"/>
  <c r="P1444" i="2"/>
  <c r="O1444" i="2"/>
  <c r="N1444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A1444" i="2"/>
  <c r="P1443" i="2"/>
  <c r="O1443" i="2"/>
  <c r="N1443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A1443" i="2"/>
  <c r="P1442" i="2"/>
  <c r="O1442" i="2"/>
  <c r="N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A1442" i="2"/>
  <c r="P1441" i="2"/>
  <c r="O1441" i="2"/>
  <c r="N1441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A1441" i="2"/>
  <c r="P1440" i="2"/>
  <c r="O1440" i="2"/>
  <c r="N1440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A1440" i="2"/>
  <c r="P1439" i="2"/>
  <c r="O1439" i="2"/>
  <c r="N1439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A1439" i="2"/>
  <c r="P1438" i="2"/>
  <c r="O1438" i="2"/>
  <c r="N1438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A1438" i="2"/>
  <c r="P1437" i="2"/>
  <c r="O1437" i="2"/>
  <c r="N1437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A1437" i="2"/>
  <c r="P1436" i="2"/>
  <c r="O1436" i="2"/>
  <c r="N1436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A1436" i="2"/>
  <c r="P1435" i="2"/>
  <c r="O1435" i="2"/>
  <c r="N1435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A1435" i="2"/>
  <c r="P1434" i="2"/>
  <c r="O1434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A1434" i="2"/>
  <c r="P1433" i="2"/>
  <c r="O1433" i="2"/>
  <c r="N1433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A1433" i="2"/>
  <c r="P1432" i="2"/>
  <c r="O1432" i="2"/>
  <c r="N1432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A1432" i="2"/>
  <c r="P1431" i="2"/>
  <c r="O1431" i="2"/>
  <c r="N1431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A1431" i="2"/>
  <c r="P1430" i="2"/>
  <c r="O1430" i="2"/>
  <c r="N1430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A1430" i="2"/>
  <c r="P1429" i="2"/>
  <c r="O1429" i="2"/>
  <c r="N1429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A1429" i="2"/>
  <c r="P1428" i="2"/>
  <c r="O1428" i="2"/>
  <c r="N1428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A1428" i="2"/>
  <c r="P1427" i="2"/>
  <c r="O1427" i="2"/>
  <c r="N1427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A1427" i="2"/>
  <c r="P1426" i="2"/>
  <c r="O1426" i="2"/>
  <c r="N1426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A1426" i="2"/>
  <c r="P1425" i="2"/>
  <c r="O1425" i="2"/>
  <c r="N1425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A1425" i="2"/>
  <c r="P1424" i="2"/>
  <c r="O1424" i="2"/>
  <c r="N1424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A1424" i="2"/>
  <c r="P1423" i="2"/>
  <c r="O1423" i="2"/>
  <c r="N1423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A1423" i="2"/>
  <c r="P1422" i="2"/>
  <c r="O1422" i="2"/>
  <c r="N1422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A1422" i="2"/>
  <c r="P1421" i="2"/>
  <c r="O1421" i="2"/>
  <c r="N1421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A1421" i="2"/>
  <c r="P1420" i="2"/>
  <c r="O1420" i="2"/>
  <c r="N1420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A1420" i="2"/>
  <c r="P1419" i="2"/>
  <c r="O1419" i="2"/>
  <c r="N1419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A1419" i="2"/>
  <c r="P1418" i="2"/>
  <c r="O1418" i="2"/>
  <c r="N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A1418" i="2"/>
  <c r="P1417" i="2"/>
  <c r="O1417" i="2"/>
  <c r="N1417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A1417" i="2"/>
  <c r="P1416" i="2"/>
  <c r="O1416" i="2"/>
  <c r="N1416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A1416" i="2"/>
  <c r="P1415" i="2"/>
  <c r="O1415" i="2"/>
  <c r="N1415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A1415" i="2"/>
  <c r="P1414" i="2"/>
  <c r="O1414" i="2"/>
  <c r="N1414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A1414" i="2"/>
  <c r="P1413" i="2"/>
  <c r="O1413" i="2"/>
  <c r="N1413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A1413" i="2"/>
  <c r="P1412" i="2"/>
  <c r="O1412" i="2"/>
  <c r="N1412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A1412" i="2"/>
  <c r="P1411" i="2"/>
  <c r="O1411" i="2"/>
  <c r="N1411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A1411" i="2"/>
  <c r="P1410" i="2"/>
  <c r="O1410" i="2"/>
  <c r="N1410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A1410" i="2"/>
  <c r="P1409" i="2"/>
  <c r="O1409" i="2"/>
  <c r="N1409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A1409" i="2"/>
  <c r="P1408" i="2"/>
  <c r="O1408" i="2"/>
  <c r="N1408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A1408" i="2"/>
  <c r="P1407" i="2"/>
  <c r="O1407" i="2"/>
  <c r="N1407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A1407" i="2"/>
  <c r="P1406" i="2"/>
  <c r="O1406" i="2"/>
  <c r="N1406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A1406" i="2"/>
  <c r="P1405" i="2"/>
  <c r="O1405" i="2"/>
  <c r="N1405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A1405" i="2"/>
  <c r="P1404" i="2"/>
  <c r="O1404" i="2"/>
  <c r="N1404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A1404" i="2"/>
  <c r="P1403" i="2"/>
  <c r="O1403" i="2"/>
  <c r="N1403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A1403" i="2"/>
  <c r="P1402" i="2"/>
  <c r="O1402" i="2"/>
  <c r="N1402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A1402" i="2"/>
  <c r="P1401" i="2"/>
  <c r="O1401" i="2"/>
  <c r="N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A1401" i="2"/>
  <c r="P1400" i="2"/>
  <c r="O1400" i="2"/>
  <c r="N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A1400" i="2"/>
  <c r="P1399" i="2"/>
  <c r="O1399" i="2"/>
  <c r="N1399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A1399" i="2"/>
  <c r="P1398" i="2"/>
  <c r="O1398" i="2"/>
  <c r="N1398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A1398" i="2"/>
  <c r="P1397" i="2"/>
  <c r="O1397" i="2"/>
  <c r="N1397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A1397" i="2"/>
  <c r="P1396" i="2"/>
  <c r="O1396" i="2"/>
  <c r="N1396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A1396" i="2"/>
  <c r="P1395" i="2"/>
  <c r="O1395" i="2"/>
  <c r="N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A1395" i="2"/>
  <c r="P1394" i="2"/>
  <c r="O1394" i="2"/>
  <c r="N1394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A1394" i="2"/>
  <c r="P1393" i="2"/>
  <c r="O1393" i="2"/>
  <c r="N1393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A1393" i="2"/>
  <c r="P1392" i="2"/>
  <c r="O1392" i="2"/>
  <c r="N1392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A1392" i="2"/>
  <c r="P1391" i="2"/>
  <c r="O1391" i="2"/>
  <c r="N1391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A1391" i="2"/>
  <c r="P1390" i="2"/>
  <c r="O1390" i="2"/>
  <c r="N1390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A1390" i="2"/>
  <c r="P1389" i="2"/>
  <c r="O1389" i="2"/>
  <c r="N1389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A1389" i="2"/>
  <c r="P1388" i="2"/>
  <c r="O1388" i="2"/>
  <c r="N1388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A1388" i="2"/>
  <c r="P1387" i="2"/>
  <c r="O1387" i="2"/>
  <c r="N1387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A1387" i="2"/>
  <c r="P1386" i="2"/>
  <c r="O1386" i="2"/>
  <c r="N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A1386" i="2"/>
  <c r="P1385" i="2"/>
  <c r="O1385" i="2"/>
  <c r="N1385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A1385" i="2"/>
  <c r="P1384" i="2"/>
  <c r="O1384" i="2"/>
  <c r="N1384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A1384" i="2"/>
  <c r="P1383" i="2"/>
  <c r="O1383" i="2"/>
  <c r="N1383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A1383" i="2"/>
  <c r="P1382" i="2"/>
  <c r="O1382" i="2"/>
  <c r="N1382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A1382" i="2"/>
  <c r="P1381" i="2"/>
  <c r="O1381" i="2"/>
  <c r="N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A1381" i="2"/>
  <c r="P1380" i="2"/>
  <c r="O1380" i="2"/>
  <c r="N1380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A1380" i="2"/>
  <c r="P1379" i="2"/>
  <c r="O1379" i="2"/>
  <c r="N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A1379" i="2"/>
  <c r="P1378" i="2"/>
  <c r="O1378" i="2"/>
  <c r="N1378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A1378" i="2"/>
  <c r="P1377" i="2"/>
  <c r="O1377" i="2"/>
  <c r="N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A1377" i="2"/>
  <c r="P1376" i="2"/>
  <c r="O1376" i="2"/>
  <c r="N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A1376" i="2"/>
  <c r="P1375" i="2"/>
  <c r="O1375" i="2"/>
  <c r="N1375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A1375" i="2"/>
  <c r="P1374" i="2"/>
  <c r="O1374" i="2"/>
  <c r="N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A1374" i="2"/>
  <c r="P1373" i="2"/>
  <c r="O1373" i="2"/>
  <c r="N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A1373" i="2"/>
  <c r="P1372" i="2"/>
  <c r="O1372" i="2"/>
  <c r="N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A1372" i="2"/>
  <c r="P1371" i="2"/>
  <c r="O1371" i="2"/>
  <c r="N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A1371" i="2"/>
  <c r="P1370" i="2"/>
  <c r="O1370" i="2"/>
  <c r="N1370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A1370" i="2"/>
  <c r="P1369" i="2"/>
  <c r="O1369" i="2"/>
  <c r="N1369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A1369" i="2"/>
  <c r="P1368" i="2"/>
  <c r="O1368" i="2"/>
  <c r="N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A1368" i="2"/>
  <c r="P1367" i="2"/>
  <c r="O1367" i="2"/>
  <c r="N1367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A1367" i="2"/>
  <c r="P1366" i="2"/>
  <c r="O1366" i="2"/>
  <c r="N1366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A1366" i="2"/>
  <c r="P1365" i="2"/>
  <c r="O1365" i="2"/>
  <c r="N1365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A1365" i="2"/>
  <c r="P1364" i="2"/>
  <c r="O1364" i="2"/>
  <c r="N1364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A1364" i="2"/>
  <c r="P1363" i="2"/>
  <c r="O1363" i="2"/>
  <c r="N1363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A1363" i="2"/>
  <c r="P1362" i="2"/>
  <c r="O1362" i="2"/>
  <c r="N1362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A1362" i="2"/>
  <c r="P1361" i="2"/>
  <c r="O1361" i="2"/>
  <c r="N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A1361" i="2"/>
  <c r="P1360" i="2"/>
  <c r="O1360" i="2"/>
  <c r="N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A1360" i="2"/>
  <c r="P1359" i="2"/>
  <c r="O1359" i="2"/>
  <c r="N1359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A1359" i="2"/>
  <c r="P1358" i="2"/>
  <c r="O1358" i="2"/>
  <c r="N1358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A1358" i="2"/>
  <c r="P1357" i="2"/>
  <c r="O1357" i="2"/>
  <c r="N1357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A1357" i="2"/>
  <c r="P1356" i="2"/>
  <c r="O1356" i="2"/>
  <c r="N1356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A1356" i="2"/>
  <c r="P1355" i="2"/>
  <c r="O1355" i="2"/>
  <c r="N1355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A1355" i="2"/>
  <c r="P1354" i="2"/>
  <c r="O1354" i="2"/>
  <c r="N1354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A1354" i="2"/>
  <c r="P1353" i="2"/>
  <c r="O1353" i="2"/>
  <c r="N1353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A1353" i="2"/>
  <c r="P1352" i="2"/>
  <c r="O1352" i="2"/>
  <c r="N1352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A1352" i="2"/>
  <c r="P1351" i="2"/>
  <c r="O1351" i="2"/>
  <c r="N1351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A1351" i="2"/>
  <c r="P1350" i="2"/>
  <c r="O1350" i="2"/>
  <c r="N1350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A1350" i="2"/>
  <c r="P1349" i="2"/>
  <c r="O1349" i="2"/>
  <c r="N1349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A1349" i="2"/>
  <c r="P1348" i="2"/>
  <c r="O1348" i="2"/>
  <c r="N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A1348" i="2"/>
  <c r="P1347" i="2"/>
  <c r="O1347" i="2"/>
  <c r="N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A1347" i="2"/>
  <c r="P1346" i="2"/>
  <c r="O1346" i="2"/>
  <c r="N1346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A1346" i="2"/>
  <c r="P1345" i="2"/>
  <c r="O1345" i="2"/>
  <c r="N1345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A1345" i="2"/>
  <c r="P1344" i="2"/>
  <c r="O1344" i="2"/>
  <c r="N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A1344" i="2"/>
  <c r="P1343" i="2"/>
  <c r="O1343" i="2"/>
  <c r="N1343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A1343" i="2"/>
  <c r="P1342" i="2"/>
  <c r="O1342" i="2"/>
  <c r="N1342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A1342" i="2"/>
  <c r="P1341" i="2"/>
  <c r="O1341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A1341" i="2"/>
  <c r="P1340" i="2"/>
  <c r="O1340" i="2"/>
  <c r="N1340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A1340" i="2"/>
  <c r="P1339" i="2"/>
  <c r="O1339" i="2"/>
  <c r="N1339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A1339" i="2"/>
  <c r="P1338" i="2"/>
  <c r="O1338" i="2"/>
  <c r="N1338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A1338" i="2"/>
  <c r="P1337" i="2"/>
  <c r="O1337" i="2"/>
  <c r="N1337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A1337" i="2"/>
  <c r="P1336" i="2"/>
  <c r="O1336" i="2"/>
  <c r="N1336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A1336" i="2"/>
  <c r="P1335" i="2"/>
  <c r="O1335" i="2"/>
  <c r="N1335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A1335" i="2"/>
  <c r="P1334" i="2"/>
  <c r="O1334" i="2"/>
  <c r="N1334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A1334" i="2"/>
  <c r="P1333" i="2"/>
  <c r="O1333" i="2"/>
  <c r="N1333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A1333" i="2"/>
  <c r="P1332" i="2"/>
  <c r="O1332" i="2"/>
  <c r="N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A1332" i="2"/>
  <c r="P1331" i="2"/>
  <c r="O1331" i="2"/>
  <c r="N1331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A1331" i="2"/>
  <c r="P1330" i="2"/>
  <c r="O1330" i="2"/>
  <c r="N1330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A1330" i="2"/>
  <c r="P1329" i="2"/>
  <c r="O1329" i="2"/>
  <c r="N1329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A1329" i="2"/>
  <c r="P1328" i="2"/>
  <c r="O1328" i="2"/>
  <c r="N1328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A1328" i="2"/>
  <c r="P1327" i="2"/>
  <c r="O1327" i="2"/>
  <c r="N1327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A1327" i="2"/>
  <c r="P1326" i="2"/>
  <c r="O1326" i="2"/>
  <c r="N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A1326" i="2"/>
  <c r="P1325" i="2"/>
  <c r="O1325" i="2"/>
  <c r="N1325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A1325" i="2"/>
  <c r="P1324" i="2"/>
  <c r="O1324" i="2"/>
  <c r="N1324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A1324" i="2"/>
  <c r="P1323" i="2"/>
  <c r="O1323" i="2"/>
  <c r="N1323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A1323" i="2"/>
  <c r="P1322" i="2"/>
  <c r="O1322" i="2"/>
  <c r="N1322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A1322" i="2"/>
  <c r="P1321" i="2"/>
  <c r="O1321" i="2"/>
  <c r="N1321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A1321" i="2"/>
  <c r="P1320" i="2"/>
  <c r="O1320" i="2"/>
  <c r="N1320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A1320" i="2"/>
  <c r="P1319" i="2"/>
  <c r="O1319" i="2"/>
  <c r="N1319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A1319" i="2"/>
  <c r="P1318" i="2"/>
  <c r="O1318" i="2"/>
  <c r="N1318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A1318" i="2"/>
  <c r="P1317" i="2"/>
  <c r="O1317" i="2"/>
  <c r="N1317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A1317" i="2"/>
  <c r="P1316" i="2"/>
  <c r="O1316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A1316" i="2"/>
  <c r="P1315" i="2"/>
  <c r="O1315" i="2"/>
  <c r="N1315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A1315" i="2"/>
  <c r="P1314" i="2"/>
  <c r="O1314" i="2"/>
  <c r="N1314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A1314" i="2"/>
  <c r="P1313" i="2"/>
  <c r="O1313" i="2"/>
  <c r="N1313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A1313" i="2"/>
  <c r="P1312" i="2"/>
  <c r="O1312" i="2"/>
  <c r="N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A1312" i="2"/>
  <c r="P1311" i="2"/>
  <c r="O1311" i="2"/>
  <c r="N1311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A1311" i="2"/>
  <c r="P1310" i="2"/>
  <c r="O1310" i="2"/>
  <c r="N1310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A1310" i="2"/>
  <c r="P1309" i="2"/>
  <c r="O1309" i="2"/>
  <c r="N1309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A1309" i="2"/>
  <c r="P1308" i="2"/>
  <c r="O1308" i="2"/>
  <c r="N1308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A1308" i="2"/>
  <c r="P1307" i="2"/>
  <c r="O1307" i="2"/>
  <c r="N1307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A1307" i="2"/>
  <c r="P1306" i="2"/>
  <c r="O1306" i="2"/>
  <c r="N1306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A1306" i="2"/>
  <c r="P1305" i="2"/>
  <c r="O1305" i="2"/>
  <c r="N1305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A1305" i="2"/>
  <c r="P1304" i="2"/>
  <c r="O1304" i="2"/>
  <c r="N1304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A1304" i="2"/>
  <c r="P1303" i="2"/>
  <c r="O1303" i="2"/>
  <c r="N1303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A1303" i="2"/>
  <c r="P1302" i="2"/>
  <c r="O1302" i="2"/>
  <c r="N1302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A1302" i="2"/>
  <c r="P1301" i="2"/>
  <c r="O1301" i="2"/>
  <c r="N1301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A1301" i="2"/>
  <c r="P1300" i="2"/>
  <c r="O1300" i="2"/>
  <c r="N1300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A1300" i="2"/>
  <c r="P1299" i="2"/>
  <c r="O1299" i="2"/>
  <c r="N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A1299" i="2"/>
  <c r="P1298" i="2"/>
  <c r="O1298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A1298" i="2"/>
  <c r="P1297" i="2"/>
  <c r="O1297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A1297" i="2"/>
  <c r="P1296" i="2"/>
  <c r="O1296" i="2"/>
  <c r="N1296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A1296" i="2"/>
  <c r="P1295" i="2"/>
  <c r="O1295" i="2"/>
  <c r="N1295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A1295" i="2"/>
  <c r="P1294" i="2"/>
  <c r="O1294" i="2"/>
  <c r="N1294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A1294" i="2"/>
  <c r="P1293" i="2"/>
  <c r="O1293" i="2"/>
  <c r="N1293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A1293" i="2"/>
  <c r="P1292" i="2"/>
  <c r="O1292" i="2"/>
  <c r="N1292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A1292" i="2"/>
  <c r="P1291" i="2"/>
  <c r="O1291" i="2"/>
  <c r="N1291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A1291" i="2"/>
  <c r="P1290" i="2"/>
  <c r="O1290" i="2"/>
  <c r="N1290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A1290" i="2"/>
  <c r="P1289" i="2"/>
  <c r="O1289" i="2"/>
  <c r="N1289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A1289" i="2"/>
  <c r="P1288" i="2"/>
  <c r="O1288" i="2"/>
  <c r="N1288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A1288" i="2"/>
  <c r="P1287" i="2"/>
  <c r="O1287" i="2"/>
  <c r="N1287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A1287" i="2"/>
  <c r="P1286" i="2"/>
  <c r="O1286" i="2"/>
  <c r="N1286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A1286" i="2"/>
  <c r="P1285" i="2"/>
  <c r="O1285" i="2"/>
  <c r="N1285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A1285" i="2"/>
  <c r="P1284" i="2"/>
  <c r="O1284" i="2"/>
  <c r="N1284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A1284" i="2"/>
  <c r="P1283" i="2"/>
  <c r="O1283" i="2"/>
  <c r="N1283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A1283" i="2"/>
  <c r="P1282" i="2"/>
  <c r="O1282" i="2"/>
  <c r="N1282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A1282" i="2"/>
  <c r="P1281" i="2"/>
  <c r="O1281" i="2"/>
  <c r="N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A1281" i="2"/>
  <c r="P1280" i="2"/>
  <c r="O1280" i="2"/>
  <c r="N1280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A1280" i="2"/>
  <c r="P1279" i="2"/>
  <c r="O1279" i="2"/>
  <c r="N1279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A1279" i="2"/>
  <c r="P1278" i="2"/>
  <c r="O1278" i="2"/>
  <c r="N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A1278" i="2"/>
  <c r="P1277" i="2"/>
  <c r="O1277" i="2"/>
  <c r="N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A1277" i="2"/>
  <c r="P1276" i="2"/>
  <c r="O1276" i="2"/>
  <c r="N1276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A1276" i="2"/>
  <c r="P1275" i="2"/>
  <c r="O1275" i="2"/>
  <c r="N1275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A1275" i="2"/>
  <c r="P1274" i="2"/>
  <c r="O1274" i="2"/>
  <c r="N1274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A1274" i="2"/>
  <c r="P1273" i="2"/>
  <c r="O1273" i="2"/>
  <c r="N1273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A1273" i="2"/>
  <c r="P1272" i="2"/>
  <c r="O1272" i="2"/>
  <c r="N1272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A1272" i="2"/>
  <c r="P1271" i="2"/>
  <c r="O1271" i="2"/>
  <c r="N1271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A1271" i="2"/>
  <c r="P1270" i="2"/>
  <c r="O1270" i="2"/>
  <c r="N1270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A1270" i="2"/>
  <c r="P1269" i="2"/>
  <c r="O1269" i="2"/>
  <c r="N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A1269" i="2"/>
  <c r="P1268" i="2"/>
  <c r="O1268" i="2"/>
  <c r="N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A1268" i="2"/>
  <c r="P1267" i="2"/>
  <c r="O1267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A1267" i="2"/>
  <c r="P1266" i="2"/>
  <c r="O1266" i="2"/>
  <c r="N1266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A1266" i="2"/>
  <c r="P1265" i="2"/>
  <c r="O1265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A1265" i="2"/>
  <c r="P1264" i="2"/>
  <c r="O1264" i="2"/>
  <c r="N1264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A1264" i="2"/>
  <c r="P1263" i="2"/>
  <c r="O1263" i="2"/>
  <c r="N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A1263" i="2"/>
  <c r="P1262" i="2"/>
  <c r="O1262" i="2"/>
  <c r="N1262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A1262" i="2"/>
  <c r="P1261" i="2"/>
  <c r="O1261" i="2"/>
  <c r="N1261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A1261" i="2"/>
  <c r="P1260" i="2"/>
  <c r="O1260" i="2"/>
  <c r="N1260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A1260" i="2"/>
  <c r="P1259" i="2"/>
  <c r="O1259" i="2"/>
  <c r="N1259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A1259" i="2"/>
  <c r="P1258" i="2"/>
  <c r="O1258" i="2"/>
  <c r="N1258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A1258" i="2"/>
  <c r="P1257" i="2"/>
  <c r="O1257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A1257" i="2"/>
  <c r="P1256" i="2"/>
  <c r="O1256" i="2"/>
  <c r="N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A1256" i="2"/>
  <c r="P1255" i="2"/>
  <c r="O1255" i="2"/>
  <c r="N1255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A1255" i="2"/>
  <c r="P1254" i="2"/>
  <c r="O1254" i="2"/>
  <c r="N1254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A1254" i="2"/>
  <c r="P1253" i="2"/>
  <c r="O1253" i="2"/>
  <c r="N1253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A1253" i="2"/>
  <c r="P1252" i="2"/>
  <c r="O1252" i="2"/>
  <c r="N1252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A1252" i="2"/>
  <c r="P1251" i="2"/>
  <c r="O1251" i="2"/>
  <c r="N1251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A1251" i="2"/>
  <c r="P1250" i="2"/>
  <c r="O1250" i="2"/>
  <c r="N1250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A1250" i="2"/>
  <c r="P1249" i="2"/>
  <c r="O1249" i="2"/>
  <c r="N1249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A1249" i="2"/>
  <c r="P1248" i="2"/>
  <c r="O1248" i="2"/>
  <c r="N1248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A1248" i="2"/>
  <c r="P1247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A1247" i="2"/>
  <c r="P1246" i="2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A1246" i="2"/>
  <c r="P1245" i="2"/>
  <c r="O1245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A1245" i="2"/>
  <c r="P1244" i="2"/>
  <c r="O1244" i="2"/>
  <c r="N1244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A1244" i="2"/>
  <c r="P1243" i="2"/>
  <c r="O1243" i="2"/>
  <c r="N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A1243" i="2"/>
  <c r="P1242" i="2"/>
  <c r="O1242" i="2"/>
  <c r="N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A1242" i="2"/>
  <c r="P1241" i="2"/>
  <c r="O1241" i="2"/>
  <c r="N1241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A1241" i="2"/>
  <c r="P1240" i="2"/>
  <c r="O1240" i="2"/>
  <c r="N1240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A1240" i="2"/>
  <c r="P1239" i="2"/>
  <c r="O1239" i="2"/>
  <c r="N1239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A1239" i="2"/>
  <c r="P1238" i="2"/>
  <c r="O1238" i="2"/>
  <c r="N1238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A1238" i="2"/>
  <c r="P1237" i="2"/>
  <c r="O1237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A1237" i="2"/>
  <c r="P1236" i="2"/>
  <c r="O1236" i="2"/>
  <c r="N1236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A1236" i="2"/>
  <c r="P1235" i="2"/>
  <c r="O1235" i="2"/>
  <c r="N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A1235" i="2"/>
  <c r="P1234" i="2"/>
  <c r="O1234" i="2"/>
  <c r="N1234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A1234" i="2"/>
  <c r="P1233" i="2"/>
  <c r="O1233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P1232" i="2"/>
  <c r="O1232" i="2"/>
  <c r="N1232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A1232" i="2"/>
  <c r="P1231" i="2"/>
  <c r="O1231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A1231" i="2"/>
  <c r="P1230" i="2"/>
  <c r="O1230" i="2"/>
  <c r="N1230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A1230" i="2"/>
  <c r="P1229" i="2"/>
  <c r="O1229" i="2"/>
  <c r="N1229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A1229" i="2"/>
  <c r="P1228" i="2"/>
  <c r="O1228" i="2"/>
  <c r="N1228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A1228" i="2"/>
  <c r="P1227" i="2"/>
  <c r="O1227" i="2"/>
  <c r="N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A1227" i="2"/>
  <c r="P1226" i="2"/>
  <c r="O1226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A1226" i="2"/>
  <c r="P1225" i="2"/>
  <c r="O1225" i="2"/>
  <c r="N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A1225" i="2"/>
  <c r="P1224" i="2"/>
  <c r="O1224" i="2"/>
  <c r="N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A1224" i="2"/>
  <c r="P1223" i="2"/>
  <c r="O1223" i="2"/>
  <c r="N1223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A1223" i="2"/>
  <c r="P1222" i="2"/>
  <c r="O1222" i="2"/>
  <c r="N1222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A1222" i="2"/>
  <c r="P1221" i="2"/>
  <c r="O1221" i="2"/>
  <c r="N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A1221" i="2"/>
  <c r="P1220" i="2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A1220" i="2"/>
  <c r="P1219" i="2"/>
  <c r="O1219" i="2"/>
  <c r="N1219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A1219" i="2"/>
  <c r="P1218" i="2"/>
  <c r="O1218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A1218" i="2"/>
  <c r="P1217" i="2"/>
  <c r="O1217" i="2"/>
  <c r="N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A1217" i="2"/>
  <c r="P1216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A1216" i="2"/>
  <c r="P1215" i="2"/>
  <c r="O1215" i="2"/>
  <c r="N1215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A1215" i="2"/>
  <c r="P1214" i="2"/>
  <c r="O1214" i="2"/>
  <c r="N1214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A1214" i="2"/>
  <c r="P1213" i="2"/>
  <c r="O1213" i="2"/>
  <c r="N1213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A1213" i="2"/>
  <c r="P1212" i="2"/>
  <c r="O1212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A1212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A1211" i="2"/>
  <c r="P1210" i="2"/>
  <c r="O1210" i="2"/>
  <c r="N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A1210" i="2"/>
  <c r="P1209" i="2"/>
  <c r="O1209" i="2"/>
  <c r="N1209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A1209" i="2"/>
  <c r="P1208" i="2"/>
  <c r="O1208" i="2"/>
  <c r="N1208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A1208" i="2"/>
  <c r="P1207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A1207" i="2"/>
  <c r="P1206" i="2"/>
  <c r="O1206" i="2"/>
  <c r="N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A1206" i="2"/>
  <c r="P1205" i="2"/>
  <c r="O1205" i="2"/>
  <c r="N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A1205" i="2"/>
  <c r="P1204" i="2"/>
  <c r="O1204" i="2"/>
  <c r="N1204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A1204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A1203" i="2"/>
  <c r="P1202" i="2"/>
  <c r="O1202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A1202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A1201" i="2"/>
  <c r="P1200" i="2"/>
  <c r="O1200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P1199" i="2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A1198" i="2"/>
  <c r="P1197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P1196" i="2"/>
  <c r="O1196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P1195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P1194" i="2"/>
  <c r="O1194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P1191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P1190" i="2"/>
  <c r="O1190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P1189" i="2"/>
  <c r="O1189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A1189" i="2"/>
  <c r="P1188" i="2"/>
  <c r="O1188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P1187" i="2"/>
  <c r="O1187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P1186" i="2"/>
  <c r="O1186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P1185" i="2"/>
  <c r="O1185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P1184" i="2"/>
  <c r="O1184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A1181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P1179" i="2"/>
  <c r="O1179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P1178" i="2"/>
  <c r="O1178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A1178" i="2"/>
  <c r="P1177" i="2"/>
  <c r="O1177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P1176" i="2"/>
  <c r="O1176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P1174" i="2"/>
  <c r="O1174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P1173" i="2"/>
  <c r="O1173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P1171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P1169" i="2"/>
  <c r="O1169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P1168" i="2"/>
  <c r="O1168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P1167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P1166" i="2"/>
  <c r="O1166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P1165" i="2"/>
  <c r="O1165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A1165" i="2"/>
  <c r="P1164" i="2"/>
  <c r="O1164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A1164" i="2"/>
  <c r="P1163" i="2"/>
  <c r="O1163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P1162" i="2"/>
  <c r="O1162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P1161" i="2"/>
  <c r="O1161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A1161" i="2"/>
  <c r="P1160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P1158" i="2"/>
  <c r="O1158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A1158" i="2"/>
  <c r="P1157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P1156" i="2"/>
  <c r="O1156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P1155" i="2"/>
  <c r="O1155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P1154" i="2"/>
  <c r="O1154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A1154" i="2"/>
  <c r="P1153" i="2"/>
  <c r="O1153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A1153" i="2"/>
  <c r="P1152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P1151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P1150" i="2"/>
  <c r="O1150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P1149" i="2"/>
  <c r="O1149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P1148" i="2"/>
  <c r="O1148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A1148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P1145" i="2"/>
  <c r="O1145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P1144" i="2"/>
  <c r="O1144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A1144" i="2"/>
  <c r="P1143" i="2"/>
  <c r="O1143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A1143" i="2"/>
  <c r="P1142" i="2"/>
  <c r="O1142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P1141" i="2"/>
  <c r="O1141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A1141" i="2"/>
  <c r="P1140" i="2"/>
  <c r="O1140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A1140" i="2"/>
  <c r="P1139" i="2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A1139" i="2"/>
  <c r="P1138" i="2"/>
  <c r="O1138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A1138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P1136" i="2"/>
  <c r="O1136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A1136" i="2"/>
  <c r="P1135" i="2"/>
  <c r="O1135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A1135" i="2"/>
  <c r="P1134" i="2"/>
  <c r="O1134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A1134" i="2"/>
  <c r="P1133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P1132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P1130" i="2"/>
  <c r="O1130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P1129" i="2"/>
  <c r="O1129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P1128" i="2"/>
  <c r="O1128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A1128" i="2"/>
  <c r="P1127" i="2"/>
  <c r="O1127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A1127" i="2"/>
  <c r="P1126" i="2"/>
  <c r="O1126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A1126" i="2"/>
  <c r="P1125" i="2"/>
  <c r="O1125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A1125" i="2"/>
  <c r="P1124" i="2"/>
  <c r="O1124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A1124" i="2"/>
  <c r="P1123" i="2"/>
  <c r="O1123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A1123" i="2"/>
  <c r="P1122" i="2"/>
  <c r="O1122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A1122" i="2"/>
  <c r="P1121" i="2"/>
  <c r="O1121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A1121" i="2"/>
  <c r="P1120" i="2"/>
  <c r="O1120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A1120" i="2"/>
  <c r="P1119" i="2"/>
  <c r="O1119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A1119" i="2"/>
  <c r="P1118" i="2"/>
  <c r="O1118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P1117" i="2"/>
  <c r="O1117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A1117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A1116" i="2"/>
  <c r="P1115" i="2"/>
  <c r="O1115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A1115" i="2"/>
  <c r="P1114" i="2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P1113" i="2"/>
  <c r="O1113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A1113" i="2"/>
  <c r="P1112" i="2"/>
  <c r="O1112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P1111" i="2"/>
  <c r="O1111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A1111" i="2"/>
  <c r="P1110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P1109" i="2"/>
  <c r="O1109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A1109" i="2"/>
  <c r="P1108" i="2"/>
  <c r="O1108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A1108" i="2"/>
  <c r="P1107" i="2"/>
  <c r="O1107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A1107" i="2"/>
  <c r="P1106" i="2"/>
  <c r="O1106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A1106" i="2"/>
  <c r="P1105" i="2"/>
  <c r="O1105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A1105" i="2"/>
  <c r="P1104" i="2"/>
  <c r="O1104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A1104" i="2"/>
  <c r="P1103" i="2"/>
  <c r="O1103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A1103" i="2"/>
  <c r="P1102" i="2"/>
  <c r="O1102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A1102" i="2"/>
  <c r="P1101" i="2"/>
  <c r="O1101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A1101" i="2"/>
  <c r="P1100" i="2"/>
  <c r="O1100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P1099" i="2"/>
  <c r="O1099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P1098" i="2"/>
  <c r="O1098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A1098" i="2"/>
  <c r="P1097" i="2"/>
  <c r="O1097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A1097" i="2"/>
  <c r="P1096" i="2"/>
  <c r="O1096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A1096" i="2"/>
  <c r="P1095" i="2"/>
  <c r="O1095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A1095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A1094" i="2"/>
  <c r="P1093" i="2"/>
  <c r="O1093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A1093" i="2"/>
  <c r="P1092" i="2"/>
  <c r="O1092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P1091" i="2"/>
  <c r="O1091" i="2"/>
  <c r="N1091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A1091" i="2"/>
  <c r="P1090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P1089" i="2"/>
  <c r="O1089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P1088" i="2"/>
  <c r="O1088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A1088" i="2"/>
  <c r="P1087" i="2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A1087" i="2"/>
  <c r="P1086" i="2"/>
  <c r="O1086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A1086" i="2"/>
  <c r="P1085" i="2"/>
  <c r="O1085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A1085" i="2"/>
  <c r="P1084" i="2"/>
  <c r="O1084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A1084" i="2"/>
  <c r="P1083" i="2"/>
  <c r="O1083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A1083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P1081" i="2"/>
  <c r="O1081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A1081" i="2"/>
  <c r="P1080" i="2"/>
  <c r="O1080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P1079" i="2"/>
  <c r="O1079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P1078" i="2"/>
  <c r="O1078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A1078" i="2"/>
  <c r="P1077" i="2"/>
  <c r="O1077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P1076" i="2"/>
  <c r="O1076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A1076" i="2"/>
  <c r="P1075" i="2"/>
  <c r="O1075" i="2"/>
  <c r="N1075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A1075" i="2"/>
  <c r="P1074" i="2"/>
  <c r="O1074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P1073" i="2"/>
  <c r="O1073" i="2"/>
  <c r="N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A1073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P1071" i="2"/>
  <c r="O1071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A1071" i="2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P1069" i="2"/>
  <c r="O1069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A1069" i="2"/>
  <c r="P1068" i="2"/>
  <c r="O1068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A1068" i="2"/>
  <c r="P1067" i="2"/>
  <c r="O1067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P1066" i="2"/>
  <c r="O1066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P1065" i="2"/>
  <c r="O1065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P1064" i="2"/>
  <c r="O1064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P1063" i="2"/>
  <c r="O1063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A1063" i="2"/>
  <c r="P1062" i="2"/>
  <c r="O1062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P1061" i="2"/>
  <c r="O1061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A1061" i="2"/>
  <c r="P1060" i="2"/>
  <c r="O1060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A1060" i="2"/>
  <c r="P1059" i="2"/>
  <c r="O1059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P1057" i="2"/>
  <c r="O1057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A1057" i="2"/>
  <c r="P1056" i="2"/>
  <c r="O1056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A1056" i="2"/>
  <c r="P1055" i="2"/>
  <c r="O1055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P1054" i="2"/>
  <c r="O1054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P1053" i="2"/>
  <c r="O1053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A1053" i="2"/>
  <c r="P1052" i="2"/>
  <c r="O1052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A1052" i="2"/>
  <c r="P1051" i="2"/>
  <c r="O1051" i="2"/>
  <c r="N1051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A1051" i="2"/>
  <c r="P1050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A1050" i="2"/>
  <c r="P1049" i="2"/>
  <c r="O1049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P1048" i="2"/>
  <c r="O1048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A1048" i="2"/>
  <c r="P1047" i="2"/>
  <c r="O1047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A1047" i="2"/>
  <c r="P1046" i="2"/>
  <c r="O1046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P1045" i="2"/>
  <c r="O1045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A1045" i="2"/>
  <c r="P1044" i="2"/>
  <c r="O1044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P1043" i="2"/>
  <c r="O1043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A1043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P1041" i="2"/>
  <c r="O1041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P1040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P1039" i="2"/>
  <c r="O1039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P1038" i="2"/>
  <c r="O1038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A1038" i="2"/>
  <c r="P1037" i="2"/>
  <c r="O1037" i="2"/>
  <c r="N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A1037" i="2"/>
  <c r="P1036" i="2"/>
  <c r="O1036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P1035" i="2"/>
  <c r="O1035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A1035" i="2"/>
  <c r="P1034" i="2"/>
  <c r="O1034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P1033" i="2"/>
  <c r="O1033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P1032" i="2"/>
  <c r="O1032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A1032" i="2"/>
  <c r="P1031" i="2"/>
  <c r="O1031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A1031" i="2"/>
  <c r="P1030" i="2"/>
  <c r="O1030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P1029" i="2"/>
  <c r="O1029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A1029" i="2"/>
  <c r="P1028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P1027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P1026" i="2"/>
  <c r="O1026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P1024" i="2"/>
  <c r="O1024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P1023" i="2"/>
  <c r="O1023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P1022" i="2"/>
  <c r="O1022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A1022" i="2"/>
  <c r="P1021" i="2"/>
  <c r="O1021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A1021" i="2"/>
  <c r="P1020" i="2"/>
  <c r="O1020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A1020" i="2"/>
  <c r="P1019" i="2"/>
  <c r="O1019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P1018" i="2"/>
  <c r="O1018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P1017" i="2"/>
  <c r="O1017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A1017" i="2"/>
  <c r="P1016" i="2"/>
  <c r="O1016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P1015" i="2"/>
  <c r="O1015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P1012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P1010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P1009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795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P346" i="2"/>
  <c r="N346" i="2"/>
  <c r="O346" i="2" s="1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P345" i="2"/>
  <c r="N345" i="2"/>
  <c r="O345" i="2" s="1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P342" i="2"/>
  <c r="N342" i="2"/>
  <c r="O342" i="2" s="1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P341" i="2"/>
  <c r="N341" i="2"/>
  <c r="O341" i="2" s="1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P340" i="2"/>
  <c r="N340" i="2"/>
  <c r="O340" i="2" s="1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P339" i="2"/>
  <c r="N339" i="2"/>
  <c r="O339" i="2" s="1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P338" i="2"/>
  <c r="N338" i="2"/>
  <c r="O338" i="2" s="1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P337" i="2"/>
  <c r="N337" i="2"/>
  <c r="O337" i="2" s="1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P336" i="2"/>
  <c r="N336" i="2"/>
  <c r="O336" i="2" s="1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P335" i="2"/>
  <c r="N335" i="2"/>
  <c r="O335" i="2" s="1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P334" i="2"/>
  <c r="N334" i="2"/>
  <c r="O334" i="2" s="1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P333" i="2"/>
  <c r="N333" i="2"/>
  <c r="O333" i="2" s="1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P332" i="2"/>
  <c r="N332" i="2"/>
  <c r="O332" i="2" s="1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P331" i="2"/>
  <c r="N331" i="2"/>
  <c r="O331" i="2" s="1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P330" i="2"/>
  <c r="N330" i="2"/>
  <c r="O330" i="2" s="1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P329" i="2"/>
  <c r="N329" i="2"/>
  <c r="O329" i="2" s="1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P328" i="2"/>
  <c r="N328" i="2"/>
  <c r="O328" i="2" s="1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P327" i="2"/>
  <c r="N327" i="2"/>
  <c r="O327" i="2" s="1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P326" i="2"/>
  <c r="N326" i="2"/>
  <c r="O326" i="2" s="1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P325" i="2"/>
  <c r="N325" i="2"/>
  <c r="O325" i="2" s="1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P324" i="2"/>
  <c r="N324" i="2"/>
  <c r="O324" i="2" s="1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P323" i="2"/>
  <c r="N323" i="2"/>
  <c r="O323" i="2" s="1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P322" i="2"/>
  <c r="N322" i="2"/>
  <c r="O322" i="2" s="1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P321" i="2"/>
  <c r="N321" i="2"/>
  <c r="O321" i="2" s="1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P320" i="2"/>
  <c r="N320" i="2"/>
  <c r="O320" i="2" s="1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P319" i="2"/>
  <c r="N319" i="2"/>
  <c r="O319" i="2" s="1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P318" i="2"/>
  <c r="N318" i="2"/>
  <c r="O318" i="2" s="1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P317" i="2"/>
  <c r="N317" i="2"/>
  <c r="O317" i="2" s="1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P316" i="2"/>
  <c r="N316" i="2"/>
  <c r="O316" i="2" s="1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P315" i="2"/>
  <c r="N315" i="2"/>
  <c r="O315" i="2" s="1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P314" i="2"/>
  <c r="N314" i="2"/>
  <c r="O314" i="2" s="1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P313" i="2"/>
  <c r="N313" i="2"/>
  <c r="O313" i="2" s="1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P312" i="2"/>
  <c r="N312" i="2"/>
  <c r="O312" i="2" s="1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P311" i="2"/>
  <c r="N311" i="2"/>
  <c r="O311" i="2" s="1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P310" i="2"/>
  <c r="N310" i="2"/>
  <c r="O310" i="2" s="1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P309" i="2"/>
  <c r="N309" i="2"/>
  <c r="O309" i="2" s="1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P308" i="2"/>
  <c r="N308" i="2"/>
  <c r="O308" i="2" s="1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P307" i="2"/>
  <c r="N307" i="2"/>
  <c r="O307" i="2" s="1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P306" i="2"/>
  <c r="N306" i="2"/>
  <c r="O306" i="2" s="1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P305" i="2"/>
  <c r="N305" i="2"/>
  <c r="O305" i="2" s="1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P304" i="2"/>
  <c r="N304" i="2"/>
  <c r="O304" i="2" s="1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P303" i="2"/>
  <c r="N303" i="2"/>
  <c r="O303" i="2" s="1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P302" i="2"/>
  <c r="N302" i="2"/>
  <c r="O302" i="2" s="1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P301" i="2"/>
  <c r="N301" i="2"/>
  <c r="O301" i="2" s="1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P300" i="2"/>
  <c r="N300" i="2"/>
  <c r="O300" i="2" s="1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P299" i="2"/>
  <c r="N299" i="2"/>
  <c r="O299" i="2" s="1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P298" i="2"/>
  <c r="N298" i="2"/>
  <c r="O298" i="2" s="1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P297" i="2"/>
  <c r="N297" i="2"/>
  <c r="O297" i="2" s="1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P296" i="2"/>
  <c r="N296" i="2"/>
  <c r="O296" i="2" s="1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P295" i="2"/>
  <c r="N295" i="2"/>
  <c r="O295" i="2" s="1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P294" i="2"/>
  <c r="N294" i="2"/>
  <c r="O294" i="2" s="1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P293" i="2"/>
  <c r="N293" i="2"/>
  <c r="O293" i="2" s="1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P292" i="2"/>
  <c r="N292" i="2"/>
  <c r="O292" i="2" s="1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P291" i="2"/>
  <c r="N291" i="2"/>
  <c r="O291" i="2" s="1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P290" i="2"/>
  <c r="N290" i="2"/>
  <c r="O290" i="2" s="1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P289" i="2"/>
  <c r="N289" i="2"/>
  <c r="O289" i="2" s="1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P288" i="2"/>
  <c r="N288" i="2"/>
  <c r="O288" i="2" s="1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P287" i="2"/>
  <c r="N287" i="2"/>
  <c r="O287" i="2" s="1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P286" i="2"/>
  <c r="N286" i="2"/>
  <c r="O286" i="2" s="1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P285" i="2"/>
  <c r="N285" i="2"/>
  <c r="O285" i="2" s="1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P284" i="2"/>
  <c r="N284" i="2"/>
  <c r="O284" i="2" s="1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P283" i="2"/>
  <c r="N283" i="2"/>
  <c r="O283" i="2" s="1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P282" i="2"/>
  <c r="N282" i="2"/>
  <c r="O282" i="2" s="1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P281" i="2"/>
  <c r="N281" i="2"/>
  <c r="O281" i="2" s="1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P280" i="2"/>
  <c r="N280" i="2"/>
  <c r="O280" i="2" s="1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P279" i="2"/>
  <c r="N279" i="2"/>
  <c r="O279" i="2" s="1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P278" i="2"/>
  <c r="N278" i="2"/>
  <c r="O278" i="2" s="1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P277" i="2"/>
  <c r="N277" i="2"/>
  <c r="O277" i="2" s="1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P276" i="2"/>
  <c r="N276" i="2"/>
  <c r="O276" i="2" s="1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P275" i="2"/>
  <c r="N275" i="2"/>
  <c r="O275" i="2" s="1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P274" i="2"/>
  <c r="N274" i="2"/>
  <c r="O274" i="2" s="1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P273" i="2"/>
  <c r="N273" i="2"/>
  <c r="O273" i="2" s="1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P272" i="2"/>
  <c r="N272" i="2"/>
  <c r="O272" i="2" s="1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P271" i="2"/>
  <c r="N271" i="2"/>
  <c r="O271" i="2" s="1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P270" i="2"/>
  <c r="N270" i="2"/>
  <c r="O270" i="2" s="1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P269" i="2"/>
  <c r="N269" i="2"/>
  <c r="O269" i="2" s="1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P268" i="2"/>
  <c r="N268" i="2"/>
  <c r="O268" i="2" s="1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P267" i="2"/>
  <c r="N267" i="2"/>
  <c r="O267" i="2" s="1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P266" i="2"/>
  <c r="N266" i="2"/>
  <c r="O266" i="2" s="1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P265" i="2"/>
  <c r="N265" i="2"/>
  <c r="O265" i="2" s="1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P264" i="2"/>
  <c r="N264" i="2"/>
  <c r="O264" i="2" s="1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P263" i="2"/>
  <c r="N263" i="2"/>
  <c r="O263" i="2" s="1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P262" i="2"/>
  <c r="N262" i="2"/>
  <c r="O262" i="2" s="1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P261" i="2"/>
  <c r="N261" i="2"/>
  <c r="O261" i="2" s="1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P260" i="2"/>
  <c r="N260" i="2"/>
  <c r="O260" i="2" s="1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P259" i="2"/>
  <c r="N259" i="2"/>
  <c r="O259" i="2" s="1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P258" i="2"/>
  <c r="N258" i="2"/>
  <c r="O258" i="2" s="1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P257" i="2"/>
  <c r="N257" i="2"/>
  <c r="O257" i="2" s="1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P256" i="2"/>
  <c r="N256" i="2"/>
  <c r="O256" i="2" s="1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P255" i="2"/>
  <c r="N255" i="2"/>
  <c r="O255" i="2" s="1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P254" i="2"/>
  <c r="N254" i="2"/>
  <c r="O254" i="2" s="1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P253" i="2"/>
  <c r="N253" i="2"/>
  <c r="O253" i="2" s="1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P252" i="2"/>
  <c r="N252" i="2"/>
  <c r="O252" i="2" s="1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P251" i="2"/>
  <c r="N251" i="2"/>
  <c r="O251" i="2" s="1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P250" i="2"/>
  <c r="N250" i="2"/>
  <c r="O250" i="2" s="1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P249" i="2"/>
  <c r="N249" i="2"/>
  <c r="O249" i="2" s="1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P248" i="2"/>
  <c r="N248" i="2"/>
  <c r="O248" i="2" s="1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P247" i="2"/>
  <c r="N247" i="2"/>
  <c r="O247" i="2" s="1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P246" i="2"/>
  <c r="N246" i="2"/>
  <c r="O246" i="2" s="1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P245" i="2"/>
  <c r="N245" i="2"/>
  <c r="O245" i="2" s="1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P244" i="2"/>
  <c r="N244" i="2"/>
  <c r="O244" i="2" s="1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P243" i="2"/>
  <c r="N243" i="2"/>
  <c r="O243" i="2" s="1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P242" i="2"/>
  <c r="N242" i="2"/>
  <c r="O242" i="2" s="1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P241" i="2"/>
  <c r="N241" i="2"/>
  <c r="O241" i="2" s="1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P240" i="2"/>
  <c r="N240" i="2"/>
  <c r="O240" i="2" s="1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P239" i="2"/>
  <c r="N239" i="2"/>
  <c r="O239" i="2" s="1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P238" i="2"/>
  <c r="N238" i="2"/>
  <c r="O238" i="2" s="1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P237" i="2"/>
  <c r="N237" i="2"/>
  <c r="O237" i="2" s="1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P236" i="2"/>
  <c r="N236" i="2"/>
  <c r="O236" i="2" s="1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P235" i="2"/>
  <c r="N235" i="2"/>
  <c r="O235" i="2" s="1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P234" i="2"/>
  <c r="N234" i="2"/>
  <c r="O234" i="2" s="1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P233" i="2"/>
  <c r="N233" i="2"/>
  <c r="O233" i="2" s="1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P232" i="2"/>
  <c r="N232" i="2"/>
  <c r="O232" i="2" s="1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P231" i="2"/>
  <c r="N231" i="2"/>
  <c r="O231" i="2" s="1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P230" i="2"/>
  <c r="N230" i="2"/>
  <c r="O230" i="2" s="1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P229" i="2"/>
  <c r="N229" i="2"/>
  <c r="O229" i="2" s="1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P228" i="2"/>
  <c r="N228" i="2"/>
  <c r="O228" i="2" s="1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P227" i="2"/>
  <c r="N227" i="2"/>
  <c r="O227" i="2" s="1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P226" i="2"/>
  <c r="N226" i="2"/>
  <c r="O226" i="2" s="1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P225" i="2"/>
  <c r="N225" i="2"/>
  <c r="O225" i="2" s="1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P224" i="2"/>
  <c r="N224" i="2"/>
  <c r="O224" i="2" s="1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P223" i="2"/>
  <c r="N223" i="2"/>
  <c r="O223" i="2" s="1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P222" i="2"/>
  <c r="N222" i="2"/>
  <c r="O222" i="2" s="1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P221" i="2"/>
  <c r="N221" i="2"/>
  <c r="O221" i="2" s="1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P220" i="2"/>
  <c r="N220" i="2"/>
  <c r="O220" i="2" s="1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P219" i="2"/>
  <c r="N219" i="2"/>
  <c r="O219" i="2" s="1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P218" i="2"/>
  <c r="N218" i="2"/>
  <c r="O218" i="2" s="1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P217" i="2"/>
  <c r="N217" i="2"/>
  <c r="O217" i="2" s="1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P216" i="2"/>
  <c r="N216" i="2"/>
  <c r="O216" i="2" s="1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P215" i="2"/>
  <c r="N215" i="2"/>
  <c r="O215" i="2" s="1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P214" i="2"/>
  <c r="N214" i="2"/>
  <c r="O214" i="2" s="1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P213" i="2"/>
  <c r="N213" i="2"/>
  <c r="O213" i="2" s="1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P212" i="2"/>
  <c r="N212" i="2"/>
  <c r="O212" i="2" s="1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P211" i="2"/>
  <c r="N211" i="2"/>
  <c r="O211" i="2" s="1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P210" i="2"/>
  <c r="N210" i="2"/>
  <c r="O210" i="2" s="1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P209" i="2"/>
  <c r="N209" i="2"/>
  <c r="O209" i="2" s="1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P208" i="2"/>
  <c r="N208" i="2"/>
  <c r="O208" i="2" s="1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P207" i="2"/>
  <c r="N207" i="2"/>
  <c r="O207" i="2" s="1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P206" i="2"/>
  <c r="N206" i="2"/>
  <c r="O206" i="2" s="1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P205" i="2"/>
  <c r="N205" i="2"/>
  <c r="O205" i="2" s="1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P204" i="2"/>
  <c r="N204" i="2"/>
  <c r="O204" i="2" s="1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P203" i="2"/>
  <c r="N203" i="2"/>
  <c r="O203" i="2" s="1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P202" i="2"/>
  <c r="N202" i="2"/>
  <c r="O202" i="2" s="1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P201" i="2"/>
  <c r="N201" i="2"/>
  <c r="O201" i="2" s="1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P200" i="2"/>
  <c r="N200" i="2"/>
  <c r="O200" i="2" s="1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P199" i="2"/>
  <c r="N199" i="2"/>
  <c r="O199" i="2" s="1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P198" i="2"/>
  <c r="N198" i="2"/>
  <c r="O198" i="2" s="1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P197" i="2"/>
  <c r="N197" i="2"/>
  <c r="O197" i="2" s="1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P195" i="2"/>
  <c r="N195" i="2"/>
  <c r="O195" i="2" s="1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P194" i="2"/>
  <c r="N194" i="2"/>
  <c r="O194" i="2" s="1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P193" i="2"/>
  <c r="N193" i="2"/>
  <c r="O193" i="2" s="1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P192" i="2"/>
  <c r="N192" i="2"/>
  <c r="O192" i="2" s="1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P191" i="2"/>
  <c r="N191" i="2"/>
  <c r="O191" i="2" s="1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P190" i="2"/>
  <c r="N190" i="2"/>
  <c r="O190" i="2" s="1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P189" i="2"/>
  <c r="N189" i="2"/>
  <c r="O189" i="2" s="1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P188" i="2"/>
  <c r="N188" i="2"/>
  <c r="O188" i="2" s="1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P187" i="2"/>
  <c r="N187" i="2"/>
  <c r="O187" i="2" s="1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P186" i="2"/>
  <c r="N186" i="2"/>
  <c r="O186" i="2" s="1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P185" i="2"/>
  <c r="N185" i="2"/>
  <c r="O185" i="2" s="1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P184" i="2"/>
  <c r="N184" i="2"/>
  <c r="O184" i="2" s="1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P183" i="2"/>
  <c r="N183" i="2"/>
  <c r="O183" i="2" s="1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P182" i="2"/>
  <c r="N182" i="2"/>
  <c r="O182" i="2" s="1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P181" i="2"/>
  <c r="N181" i="2"/>
  <c r="O181" i="2" s="1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P179" i="2"/>
  <c r="N179" i="2"/>
  <c r="O179" i="2" s="1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P178" i="2"/>
  <c r="N178" i="2"/>
  <c r="O178" i="2" s="1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P177" i="2"/>
  <c r="N177" i="2"/>
  <c r="O177" i="2" s="1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P176" i="2"/>
  <c r="N176" i="2"/>
  <c r="O176" i="2" s="1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P175" i="2"/>
  <c r="N175" i="2"/>
  <c r="O175" i="2" s="1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P174" i="2"/>
  <c r="N174" i="2"/>
  <c r="O174" i="2" s="1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P173" i="2"/>
  <c r="N173" i="2"/>
  <c r="O173" i="2" s="1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P172" i="2"/>
  <c r="N172" i="2"/>
  <c r="O172" i="2" s="1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P171" i="2"/>
  <c r="N171" i="2"/>
  <c r="O171" i="2" s="1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P170" i="2"/>
  <c r="N170" i="2"/>
  <c r="O170" i="2" s="1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P169" i="2"/>
  <c r="N169" i="2"/>
  <c r="O169" i="2" s="1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P168" i="2"/>
  <c r="N168" i="2"/>
  <c r="O168" i="2" s="1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P167" i="2"/>
  <c r="N167" i="2"/>
  <c r="O167" i="2" s="1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P166" i="2"/>
  <c r="N166" i="2"/>
  <c r="O166" i="2" s="1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P165" i="2"/>
  <c r="N165" i="2"/>
  <c r="O165" i="2" s="1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P164" i="2"/>
  <c r="N164" i="2"/>
  <c r="O164" i="2" s="1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P163" i="2"/>
  <c r="N163" i="2"/>
  <c r="O163" i="2" s="1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P162" i="2"/>
  <c r="N162" i="2"/>
  <c r="O162" i="2" s="1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P161" i="2"/>
  <c r="N161" i="2"/>
  <c r="O161" i="2" s="1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P160" i="2"/>
  <c r="N160" i="2"/>
  <c r="O160" i="2" s="1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P159" i="2"/>
  <c r="N159" i="2"/>
  <c r="O159" i="2" s="1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P158" i="2"/>
  <c r="N158" i="2"/>
  <c r="O158" i="2" s="1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P157" i="2"/>
  <c r="N157" i="2"/>
  <c r="O157" i="2" s="1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P156" i="2"/>
  <c r="N156" i="2"/>
  <c r="O156" i="2" s="1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P155" i="2"/>
  <c r="N155" i="2"/>
  <c r="O155" i="2" s="1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P154" i="2"/>
  <c r="N154" i="2"/>
  <c r="O154" i="2" s="1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P153" i="2"/>
  <c r="N153" i="2"/>
  <c r="O153" i="2" s="1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P152" i="2"/>
  <c r="N152" i="2"/>
  <c r="O152" i="2" s="1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P151" i="2"/>
  <c r="N151" i="2"/>
  <c r="O151" i="2" s="1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P150" i="2"/>
  <c r="N150" i="2"/>
  <c r="O150" i="2" s="1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P149" i="2"/>
  <c r="N149" i="2"/>
  <c r="O149" i="2" s="1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P148" i="2"/>
  <c r="N148" i="2"/>
  <c r="O148" i="2" s="1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P147" i="2"/>
  <c r="N147" i="2"/>
  <c r="O147" i="2" s="1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P146" i="2"/>
  <c r="N146" i="2"/>
  <c r="O146" i="2" s="1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P145" i="2"/>
  <c r="N145" i="2"/>
  <c r="O145" i="2" s="1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P144" i="2"/>
  <c r="N144" i="2"/>
  <c r="O144" i="2" s="1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P143" i="2"/>
  <c r="N143" i="2"/>
  <c r="O143" i="2" s="1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P142" i="2"/>
  <c r="N142" i="2"/>
  <c r="O142" i="2" s="1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P141" i="2"/>
  <c r="N141" i="2"/>
  <c r="O141" i="2" s="1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P140" i="2"/>
  <c r="N140" i="2"/>
  <c r="O140" i="2" s="1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P139" i="2"/>
  <c r="N139" i="2"/>
  <c r="O139" i="2" s="1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P138" i="2"/>
  <c r="N138" i="2"/>
  <c r="O138" i="2" s="1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P137" i="2"/>
  <c r="N137" i="2"/>
  <c r="O137" i="2" s="1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P136" i="2"/>
  <c r="N136" i="2"/>
  <c r="O136" i="2" s="1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P135" i="2"/>
  <c r="N135" i="2"/>
  <c r="O135" i="2" s="1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P134" i="2"/>
  <c r="N134" i="2"/>
  <c r="O134" i="2" s="1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P133" i="2"/>
  <c r="N133" i="2"/>
  <c r="O133" i="2" s="1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P132" i="2"/>
  <c r="N132" i="2"/>
  <c r="O132" i="2" s="1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P131" i="2"/>
  <c r="N131" i="2"/>
  <c r="O131" i="2" s="1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P130" i="2"/>
  <c r="N130" i="2"/>
  <c r="O130" i="2" s="1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P129" i="2"/>
  <c r="N129" i="2"/>
  <c r="O129" i="2" s="1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P128" i="2"/>
  <c r="N128" i="2"/>
  <c r="O128" i="2" s="1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P127" i="2"/>
  <c r="N127" i="2"/>
  <c r="O127" i="2" s="1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P126" i="2"/>
  <c r="N126" i="2"/>
  <c r="O126" i="2" s="1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P125" i="2"/>
  <c r="N125" i="2"/>
  <c r="O125" i="2" s="1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P124" i="2"/>
  <c r="N124" i="2"/>
  <c r="O124" i="2" s="1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P123" i="2"/>
  <c r="N123" i="2"/>
  <c r="O123" i="2" s="1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P122" i="2"/>
  <c r="N122" i="2"/>
  <c r="O122" i="2" s="1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P121" i="2"/>
  <c r="N121" i="2"/>
  <c r="O121" i="2" s="1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P120" i="2"/>
  <c r="N120" i="2"/>
  <c r="O120" i="2" s="1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P119" i="2"/>
  <c r="N119" i="2"/>
  <c r="O119" i="2" s="1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P118" i="2"/>
  <c r="N118" i="2"/>
  <c r="O118" i="2" s="1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P117" i="2"/>
  <c r="N117" i="2"/>
  <c r="O117" i="2" s="1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P116" i="2"/>
  <c r="N116" i="2"/>
  <c r="O116" i="2" s="1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P115" i="2"/>
  <c r="N115" i="2"/>
  <c r="O115" i="2" s="1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P114" i="2"/>
  <c r="N114" i="2"/>
  <c r="O114" i="2" s="1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P113" i="2"/>
  <c r="N113" i="2"/>
  <c r="O113" i="2" s="1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P112" i="2"/>
  <c r="N112" i="2"/>
  <c r="O112" i="2" s="1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P111" i="2"/>
  <c r="N111" i="2"/>
  <c r="O111" i="2" s="1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P110" i="2"/>
  <c r="N110" i="2"/>
  <c r="O110" i="2" s="1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P109" i="2"/>
  <c r="N109" i="2"/>
  <c r="O109" i="2" s="1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P108" i="2"/>
  <c r="N108" i="2"/>
  <c r="O108" i="2" s="1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P107" i="2"/>
  <c r="N107" i="2"/>
  <c r="O107" i="2" s="1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P106" i="2"/>
  <c r="N106" i="2"/>
  <c r="O106" i="2" s="1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P105" i="2"/>
  <c r="N105" i="2"/>
  <c r="O105" i="2" s="1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P104" i="2"/>
  <c r="N104" i="2"/>
  <c r="O104" i="2" s="1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P103" i="2"/>
  <c r="N103" i="2"/>
  <c r="O103" i="2" s="1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P102" i="2"/>
  <c r="N102" i="2"/>
  <c r="O102" i="2" s="1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P101" i="2"/>
  <c r="N101" i="2"/>
  <c r="O101" i="2" s="1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P100" i="2"/>
  <c r="N100" i="2"/>
  <c r="O100" i="2" s="1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P99" i="2"/>
  <c r="N99" i="2"/>
  <c r="O99" i="2" s="1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P98" i="2"/>
  <c r="N98" i="2"/>
  <c r="O98" i="2" s="1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P97" i="2"/>
  <c r="N97" i="2"/>
  <c r="O97" i="2" s="1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P96" i="2"/>
  <c r="N96" i="2"/>
  <c r="O96" i="2" s="1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P95" i="2"/>
  <c r="N95" i="2"/>
  <c r="O95" i="2" s="1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P94" i="2"/>
  <c r="N94" i="2"/>
  <c r="O94" i="2" s="1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P93" i="2"/>
  <c r="N93" i="2"/>
  <c r="O93" i="2" s="1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P92" i="2"/>
  <c r="N92" i="2"/>
  <c r="O92" i="2" s="1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P91" i="2"/>
  <c r="N91" i="2"/>
  <c r="O91" i="2" s="1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P90" i="2"/>
  <c r="N90" i="2"/>
  <c r="O90" i="2" s="1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P89" i="2"/>
  <c r="N89" i="2"/>
  <c r="O89" i="2" s="1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P88" i="2"/>
  <c r="N88" i="2"/>
  <c r="O88" i="2" s="1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P87" i="2"/>
  <c r="N87" i="2"/>
  <c r="O87" i="2" s="1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P86" i="2"/>
  <c r="N86" i="2"/>
  <c r="O86" i="2" s="1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P85" i="2"/>
  <c r="N85" i="2"/>
  <c r="O85" i="2" s="1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P84" i="2"/>
  <c r="N84" i="2"/>
  <c r="O84" i="2" s="1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P83" i="2"/>
  <c r="N83" i="2"/>
  <c r="O83" i="2" s="1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P82" i="2"/>
  <c r="N82" i="2"/>
  <c r="O82" i="2" s="1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P81" i="2"/>
  <c r="N81" i="2"/>
  <c r="O81" i="2" s="1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P80" i="2"/>
  <c r="N80" i="2"/>
  <c r="O80" i="2" s="1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P79" i="2"/>
  <c r="N79" i="2"/>
  <c r="O79" i="2" s="1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P78" i="2"/>
  <c r="N78" i="2"/>
  <c r="O78" i="2" s="1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P77" i="2"/>
  <c r="N77" i="2"/>
  <c r="O77" i="2" s="1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P76" i="2"/>
  <c r="N76" i="2"/>
  <c r="O76" i="2" s="1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P75" i="2"/>
  <c r="N75" i="2"/>
  <c r="O75" i="2" s="1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P74" i="2"/>
  <c r="N74" i="2"/>
  <c r="O74" i="2" s="1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P73" i="2"/>
  <c r="N73" i="2"/>
  <c r="O73" i="2" s="1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P72" i="2"/>
  <c r="N72" i="2"/>
  <c r="O72" i="2" s="1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P71" i="2"/>
  <c r="N71" i="2"/>
  <c r="O71" i="2" s="1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P70" i="2"/>
  <c r="N70" i="2"/>
  <c r="O70" i="2" s="1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P69" i="2"/>
  <c r="N69" i="2"/>
  <c r="O69" i="2" s="1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P68" i="2"/>
  <c r="N68" i="2"/>
  <c r="O68" i="2" s="1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P67" i="2"/>
  <c r="N67" i="2"/>
  <c r="O67" i="2" s="1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P66" i="2"/>
  <c r="N66" i="2"/>
  <c r="O66" i="2" s="1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P65" i="2"/>
  <c r="N65" i="2"/>
  <c r="O65" i="2" s="1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P64" i="2"/>
  <c r="N64" i="2"/>
  <c r="O64" i="2" s="1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P63" i="2"/>
  <c r="N63" i="2"/>
  <c r="O63" i="2" s="1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P62" i="2"/>
  <c r="N62" i="2"/>
  <c r="O62" i="2" s="1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P61" i="2"/>
  <c r="N61" i="2"/>
  <c r="O61" i="2" s="1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P60" i="2"/>
  <c r="N60" i="2"/>
  <c r="O60" i="2" s="1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P59" i="2"/>
  <c r="N59" i="2"/>
  <c r="O59" i="2" s="1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P58" i="2"/>
  <c r="N58" i="2"/>
  <c r="O58" i="2" s="1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P57" i="2"/>
  <c r="N57" i="2"/>
  <c r="O57" i="2" s="1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P56" i="2"/>
  <c r="N56" i="2"/>
  <c r="O56" i="2" s="1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P55" i="2"/>
  <c r="N55" i="2"/>
  <c r="O55" i="2" s="1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P54" i="2"/>
  <c r="N54" i="2"/>
  <c r="O54" i="2" s="1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P53" i="2"/>
  <c r="N53" i="2"/>
  <c r="O53" i="2" s="1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P52" i="2"/>
  <c r="N52" i="2"/>
  <c r="O52" i="2" s="1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P51" i="2"/>
  <c r="N51" i="2"/>
  <c r="O51" i="2" s="1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P50" i="2"/>
  <c r="N50" i="2"/>
  <c r="O50" i="2" s="1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P49" i="2"/>
  <c r="N49" i="2"/>
  <c r="O49" i="2" s="1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P48" i="2"/>
  <c r="N48" i="2"/>
  <c r="O48" i="2" s="1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P47" i="2"/>
  <c r="N47" i="2"/>
  <c r="O47" i="2" s="1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P46" i="2"/>
  <c r="N46" i="2"/>
  <c r="O46" i="2" s="1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P45" i="2"/>
  <c r="N45" i="2"/>
  <c r="O45" i="2" s="1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P44" i="2"/>
  <c r="N44" i="2"/>
  <c r="O44" i="2" s="1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P43" i="2"/>
  <c r="N43" i="2"/>
  <c r="O43" i="2" s="1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P42" i="2"/>
  <c r="N42" i="2"/>
  <c r="O42" i="2" s="1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P41" i="2"/>
  <c r="N41" i="2"/>
  <c r="O41" i="2" s="1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P40" i="2"/>
  <c r="N40" i="2"/>
  <c r="O40" i="2" s="1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P39" i="2"/>
  <c r="N39" i="2"/>
  <c r="O39" i="2" s="1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P38" i="2"/>
  <c r="N38" i="2"/>
  <c r="O38" i="2" s="1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P37" i="2"/>
  <c r="N37" i="2"/>
  <c r="O37" i="2" s="1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P36" i="2"/>
  <c r="N36" i="2"/>
  <c r="O36" i="2" s="1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P35" i="2"/>
  <c r="N35" i="2"/>
  <c r="O35" i="2" s="1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P34" i="2"/>
  <c r="N34" i="2"/>
  <c r="O34" i="2" s="1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P33" i="2"/>
  <c r="N33" i="2"/>
  <c r="O33" i="2" s="1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P32" i="2"/>
  <c r="N32" i="2"/>
  <c r="O32" i="2" s="1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P31" i="2"/>
  <c r="N31" i="2"/>
  <c r="O31" i="2" s="1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P30" i="2"/>
  <c r="N30" i="2"/>
  <c r="O30" i="2" s="1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P29" i="2"/>
  <c r="N29" i="2"/>
  <c r="O29" i="2" s="1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P28" i="2"/>
  <c r="N28" i="2"/>
  <c r="O28" i="2" s="1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P27" i="2"/>
  <c r="N27" i="2"/>
  <c r="O27" i="2" s="1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P26" i="2"/>
  <c r="N26" i="2"/>
  <c r="O26" i="2" s="1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P25" i="2"/>
  <c r="N25" i="2"/>
  <c r="O25" i="2" s="1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P24" i="2"/>
  <c r="N24" i="2"/>
  <c r="O24" i="2" s="1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P23" i="2"/>
  <c r="N23" i="2"/>
  <c r="O23" i="2" s="1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P22" i="2"/>
  <c r="N22" i="2"/>
  <c r="O22" i="2" s="1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P21" i="2"/>
  <c r="N21" i="2"/>
  <c r="O21" i="2" s="1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P20" i="2"/>
  <c r="N20" i="2"/>
  <c r="O20" i="2" s="1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P19" i="2"/>
  <c r="N19" i="2"/>
  <c r="O19" i="2" s="1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P18" i="2"/>
  <c r="N18" i="2"/>
  <c r="O18" i="2" s="1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P17" i="2"/>
  <c r="N17" i="2"/>
  <c r="O17" i="2" s="1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P16" i="2"/>
  <c r="N16" i="2"/>
  <c r="O16" i="2" s="1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P15" i="2"/>
  <c r="N15" i="2"/>
  <c r="O15" i="2" s="1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P14" i="2"/>
  <c r="N14" i="2"/>
  <c r="O14" i="2" s="1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11" i="2"/>
  <c r="B10" i="2"/>
  <c r="B9" i="2"/>
  <c r="B6" i="2"/>
  <c r="B7" i="2" s="1"/>
  <c r="B5" i="2"/>
  <c r="A2" i="2"/>
  <c r="C1" i="2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"/>
          </rPr>
          <t>ExceptionsDetail.25</t>
        </r>
      </text>
    </comment>
  </commentList>
</comments>
</file>

<file path=xl/sharedStrings.xml><?xml version="1.0" encoding="utf-8"?>
<sst xmlns="http://schemas.openxmlformats.org/spreadsheetml/2006/main" count="24458" uniqueCount="1345">
  <si>
    <t>CompanyName</t>
  </si>
  <si>
    <t>RunDate</t>
  </si>
  <si>
    <t>FromDate</t>
  </si>
  <si>
    <t>ToDate</t>
  </si>
  <si>
    <t>TimeZone</t>
  </si>
  <si>
    <t>DistanceUnit</t>
  </si>
  <si>
    <t>km</t>
  </si>
  <si>
    <t>SpeedUnit</t>
  </si>
  <si>
    <t>km/h</t>
  </si>
  <si>
    <t>SendReport</t>
  </si>
  <si>
    <t>LastModifiedUser</t>
  </si>
  <si>
    <t>Language</t>
  </si>
  <si>
    <t>.Device.DeviceName</t>
  </si>
  <si>
    <t>.Device.DeviceId</t>
  </si>
  <si>
    <t>.Device.DeviceComment</t>
  </si>
  <si>
    <t>.Device.DeviceGroup</t>
  </si>
  <si>
    <t>.Driver.UserFirstName</t>
  </si>
  <si>
    <t>.Driver.UserLastName</t>
  </si>
  <si>
    <t>.Driver.UserName</t>
  </si>
  <si>
    <t>.Driver.UserId</t>
  </si>
  <si>
    <t>.Driver.UserComment</t>
  </si>
  <si>
    <t>.Driver.DriverGroup</t>
  </si>
  <si>
    <t>.ExceptionRule.ExceptionRuleName</t>
  </si>
  <si>
    <t>ExceptionDetailLongitude</t>
  </si>
  <si>
    <t>ExceptionDetailLatitude</t>
  </si>
  <si>
    <t>ExceptionDetailLocation</t>
  </si>
  <si>
    <t>Location.ZoneZoneTypes</t>
  </si>
  <si>
    <t>Location.ZoneExternalReference</t>
  </si>
  <si>
    <t>ExceptionDetailStartTime</t>
  </si>
  <si>
    <t>ExceptionDuration</t>
  </si>
  <si>
    <t>ExceptionDistance</t>
  </si>
  <si>
    <t>ExceptionDetailExtraInfo</t>
  </si>
  <si>
    <t>ExceptionDetailDetails</t>
  </si>
  <si>
    <t>ExceptionStatus</t>
  </si>
  <si>
    <t>**Exceptions Detail Report</t>
  </si>
  <si>
    <t>Date</t>
  </si>
  <si>
    <t>**From</t>
  </si>
  <si>
    <t>**To</t>
  </si>
  <si>
    <t>**Time Zone</t>
  </si>
  <si>
    <t>**Distance Unit</t>
  </si>
  <si>
    <t>**Speed Unit</t>
  </si>
  <si>
    <t>**Device</t>
  </si>
  <si>
    <t>**Device Group</t>
  </si>
  <si>
    <t>**First Name</t>
  </si>
  <si>
    <t>**Last Name</t>
  </si>
  <si>
    <t>**Driver</t>
  </si>
  <si>
    <t>**Driver Group</t>
  </si>
  <si>
    <t>**Rule</t>
  </si>
  <si>
    <t>**Location</t>
  </si>
  <si>
    <t>**Location Zone Types</t>
  </si>
  <si>
    <t>**Date</t>
  </si>
  <si>
    <t>**Start Time</t>
  </si>
  <si>
    <t>**Extra Info</t>
  </si>
  <si>
    <t>**Details</t>
  </si>
  <si>
    <t>**Status</t>
  </si>
  <si>
    <t>Data</t>
  </si>
  <si>
    <t>English</t>
  </si>
  <si>
    <t>Spanish</t>
  </si>
  <si>
    <t>German</t>
  </si>
  <si>
    <t>Japanese</t>
  </si>
  <si>
    <t>Polish</t>
  </si>
  <si>
    <t>Portuguese-Brazil</t>
  </si>
  <si>
    <t>Dutch</t>
  </si>
  <si>
    <t>Italian</t>
  </si>
  <si>
    <t>Simplified Chinese</t>
  </si>
  <si>
    <t>Thai</t>
  </si>
  <si>
    <t>Indonesian</t>
  </si>
  <si>
    <t>Czech</t>
  </si>
  <si>
    <t>Swedish</t>
  </si>
  <si>
    <t>Dispositif</t>
  </si>
  <si>
    <t>Dispositivo</t>
  </si>
  <si>
    <t>Gerät</t>
  </si>
  <si>
    <t>デバイス</t>
  </si>
  <si>
    <t>Urzadzenie</t>
  </si>
  <si>
    <t>Apparaat</t>
  </si>
  <si>
    <t>设备</t>
  </si>
  <si>
    <t>อุปกรณ์</t>
  </si>
  <si>
    <t>Perangkat</t>
  </si>
  <si>
    <t>Zařízení</t>
  </si>
  <si>
    <t>Enhet</t>
  </si>
  <si>
    <t>Prénom</t>
  </si>
  <si>
    <t>Nombre</t>
  </si>
  <si>
    <t>Vorname</t>
  </si>
  <si>
    <t>ファーストネー</t>
  </si>
  <si>
    <t>Imie</t>
  </si>
  <si>
    <t>Nome</t>
  </si>
  <si>
    <t>Voornaam</t>
  </si>
  <si>
    <t>名字</t>
  </si>
  <si>
    <t>ชื่อ</t>
  </si>
  <si>
    <t>Nama Depan</t>
  </si>
  <si>
    <t>Křestní jméno</t>
  </si>
  <si>
    <t>Förnamn</t>
  </si>
  <si>
    <t>Nom de famille</t>
  </si>
  <si>
    <t>Apellido</t>
  </si>
  <si>
    <t>Nachname</t>
  </si>
  <si>
    <t>ラストネーム</t>
  </si>
  <si>
    <t>Nazwisko</t>
  </si>
  <si>
    <t>Sobrenome</t>
  </si>
  <si>
    <t>Achternaam</t>
  </si>
  <si>
    <t>Cognome</t>
  </si>
  <si>
    <t>姓氏</t>
  </si>
  <si>
    <t>นามสกุล</t>
  </si>
  <si>
    <t>Nama belakang</t>
  </si>
  <si>
    <t>Příjmení</t>
  </si>
  <si>
    <t>Efternamn</t>
  </si>
  <si>
    <t>Groupe de dispositifs</t>
  </si>
  <si>
    <t>Grupo de dispositivos</t>
  </si>
  <si>
    <t>Gerätegruppe</t>
  </si>
  <si>
    <t>デバイスグループ</t>
  </si>
  <si>
    <t>Grupa urzadzen</t>
  </si>
  <si>
    <t>Grupo de dispositivo</t>
  </si>
  <si>
    <t>Apparaatgroep</t>
  </si>
  <si>
    <t>Gruppo di dispositivi</t>
  </si>
  <si>
    <t>设备的组名</t>
  </si>
  <si>
    <t>กลุ่มอุปกรณ์</t>
  </si>
  <si>
    <t>Grup Perangkat</t>
  </si>
  <si>
    <t>Skupina zařízení</t>
  </si>
  <si>
    <t>Enhetsgrupp</t>
  </si>
  <si>
    <t>Conducteur</t>
  </si>
  <si>
    <t>Conductor</t>
  </si>
  <si>
    <t>Fahrer</t>
  </si>
  <si>
    <t>ドライバー</t>
  </si>
  <si>
    <t>Kierowca</t>
  </si>
  <si>
    <t>Motorista</t>
  </si>
  <si>
    <t>Chauffeur</t>
  </si>
  <si>
    <t>Conducente</t>
  </si>
  <si>
    <t>驾驶员</t>
  </si>
  <si>
    <t>ผู้ขับ</t>
  </si>
  <si>
    <t>Pengemudi</t>
  </si>
  <si>
    <t>Řidič</t>
  </si>
  <si>
    <t>Förare</t>
  </si>
  <si>
    <t>Groupe de chauffeurs</t>
  </si>
  <si>
    <t>Grupo de conductores</t>
  </si>
  <si>
    <t>Fahrergruppe</t>
  </si>
  <si>
    <t>ドライバーグループ</t>
  </si>
  <si>
    <t>Grupa kierowców</t>
  </si>
  <si>
    <t>Grupo de motorista</t>
  </si>
  <si>
    <t>Chauffeursgroep</t>
  </si>
  <si>
    <t>Gruppo di conducenti</t>
  </si>
  <si>
    <t>驾驶员组</t>
  </si>
  <si>
    <t>กลุ่มผู้ขับ</t>
  </si>
  <si>
    <t>Grup Pengemudi</t>
  </si>
  <si>
    <t>Skupina řidičů</t>
  </si>
  <si>
    <t>Förargrupp</t>
  </si>
  <si>
    <t>Règle</t>
  </si>
  <si>
    <t>Regla</t>
  </si>
  <si>
    <t>Regel</t>
  </si>
  <si>
    <t>ルール</t>
  </si>
  <si>
    <t>Regula</t>
  </si>
  <si>
    <t>Regra</t>
  </si>
  <si>
    <t>Regola</t>
  </si>
  <si>
    <t>规则</t>
  </si>
  <si>
    <t>กฎ</t>
  </si>
  <si>
    <t>Aturan</t>
  </si>
  <si>
    <t>Pravidlo</t>
  </si>
  <si>
    <t>Emplacement</t>
  </si>
  <si>
    <t>Ubicación</t>
  </si>
  <si>
    <t>Ort</t>
  </si>
  <si>
    <t>位置</t>
  </si>
  <si>
    <t>Lokalizacja</t>
  </si>
  <si>
    <t>Localização</t>
  </si>
  <si>
    <t>Locatie</t>
  </si>
  <si>
    <t>Ubicazione</t>
  </si>
  <si>
    <t>ตำแหน่งที่ตั้ง</t>
  </si>
  <si>
    <t>Lokasi</t>
  </si>
  <si>
    <t>Poloha</t>
  </si>
  <si>
    <t>Plats</t>
  </si>
  <si>
    <t>Types de zones de localisation</t>
  </si>
  <si>
    <t>Tipos de zonas de la ubicación</t>
  </si>
  <si>
    <t>Standortzonentyp</t>
  </si>
  <si>
    <t>場所ゾーンタイプ</t>
  </si>
  <si>
    <t>Typy stref lokalizacji</t>
  </si>
  <si>
    <t>Tipos de zona de localização</t>
  </si>
  <si>
    <t>Types locatiezone</t>
  </si>
  <si>
    <t>Tipi di zone delle ubicazioni</t>
  </si>
  <si>
    <t>位置区域类型</t>
  </si>
  <si>
    <t>ประเภทโซนของตำแหน่งที่ตั้ง</t>
  </si>
  <si>
    <t>Location Zone Types</t>
  </si>
  <si>
    <t>Typy zón polohy</t>
  </si>
  <si>
    <t>Platszontyper</t>
  </si>
  <si>
    <t>Fecha</t>
  </si>
  <si>
    <t>Datum</t>
  </si>
  <si>
    <t>データ</t>
  </si>
  <si>
    <t>日期</t>
  </si>
  <si>
    <t>วันที่</t>
  </si>
  <si>
    <t>Tanggal</t>
  </si>
  <si>
    <t>Heure de départ</t>
  </si>
  <si>
    <t>Hora de inicio</t>
  </si>
  <si>
    <t>Startzeit</t>
  </si>
  <si>
    <t>開始時間</t>
  </si>
  <si>
    <t>Godzina rozpoczecia</t>
  </si>
  <si>
    <t>Hora de início</t>
  </si>
  <si>
    <t>Starttijd</t>
  </si>
  <si>
    <t>Ora iniziale</t>
  </si>
  <si>
    <t>开始时间</t>
  </si>
  <si>
    <t>เวลาเริ่มต้น</t>
  </si>
  <si>
    <t>Waktu Mulai</t>
  </si>
  <si>
    <t>Čas začátku</t>
  </si>
  <si>
    <t>Starttid</t>
  </si>
  <si>
    <t>durée</t>
  </si>
  <si>
    <t>duración</t>
  </si>
  <si>
    <t>Dauer</t>
  </si>
  <si>
    <t>期間</t>
  </si>
  <si>
    <t>Czas trwania</t>
  </si>
  <si>
    <t>duração</t>
  </si>
  <si>
    <t>duur</t>
  </si>
  <si>
    <t>durata</t>
  </si>
  <si>
    <t>时长</t>
  </si>
  <si>
    <t>ระยะเวลา</t>
  </si>
  <si>
    <t>Durasi</t>
  </si>
  <si>
    <t>doba trvání</t>
  </si>
  <si>
    <t>varaktighet</t>
  </si>
  <si>
    <t>Distance</t>
  </si>
  <si>
    <t>Distancia</t>
  </si>
  <si>
    <t>Entfernung</t>
  </si>
  <si>
    <t>距離</t>
  </si>
  <si>
    <t>Odleglosc</t>
  </si>
  <si>
    <t>Distância</t>
  </si>
  <si>
    <t>Afstand</t>
  </si>
  <si>
    <t>Distanza</t>
  </si>
  <si>
    <t>距离</t>
  </si>
  <si>
    <t>ระยะทาง</t>
  </si>
  <si>
    <t>Jarak</t>
  </si>
  <si>
    <t>Vzdálenost</t>
  </si>
  <si>
    <t>Distans</t>
  </si>
  <si>
    <t>Autres infos</t>
  </si>
  <si>
    <t>Información adicional</t>
  </si>
  <si>
    <t>Zusatzinformationen</t>
  </si>
  <si>
    <t>追加情報</t>
  </si>
  <si>
    <t>Informacje dodatkowe</t>
  </si>
  <si>
    <t>Informações extras</t>
  </si>
  <si>
    <t>Extra info</t>
  </si>
  <si>
    <t>Informazioni aggiuntive</t>
  </si>
  <si>
    <t>额外信息</t>
  </si>
  <si>
    <t>ข้อมูลเพิ่มเติม</t>
  </si>
  <si>
    <t>Info Ekstra</t>
  </si>
  <si>
    <t>Další informace</t>
  </si>
  <si>
    <t>Détails</t>
  </si>
  <si>
    <t>Detalles</t>
  </si>
  <si>
    <t>Details</t>
  </si>
  <si>
    <t>詳細</t>
  </si>
  <si>
    <t>Szczególy</t>
  </si>
  <si>
    <t>Detalhes</t>
  </si>
  <si>
    <t>Dettagli</t>
  </si>
  <si>
    <t>详细信息</t>
  </si>
  <si>
    <t>รายละเอียด</t>
  </si>
  <si>
    <t>Detail</t>
  </si>
  <si>
    <t>Podrobnosti</t>
  </si>
  <si>
    <t>Detaljer</t>
  </si>
  <si>
    <t>Rapport d’exceptions détaillé</t>
  </si>
  <si>
    <t>Reporte detallado sobre las excepciones</t>
  </si>
  <si>
    <t>Bericht Ausnahmeneinzelheiten</t>
  </si>
  <si>
    <t>例外事項（例外ルール）詳細レポート</t>
  </si>
  <si>
    <t>Raport szczególowy wyjatków</t>
  </si>
  <si>
    <t>Relatório detalhado das exceções</t>
  </si>
  <si>
    <t>Rapport Uitzonderingendetails</t>
  </si>
  <si>
    <t>Report dei dettagli sulle eccezioni</t>
  </si>
  <si>
    <t>异常情况详细报告</t>
  </si>
  <si>
    <t>รายงานรายละเอียดความผิดปกติ</t>
  </si>
  <si>
    <t>Laporan Detail Pengecualian</t>
  </si>
  <si>
    <t>Podrobný výkaz o výjimkách</t>
  </si>
  <si>
    <t>Detaljrapport för undantag</t>
  </si>
  <si>
    <t>**Created</t>
  </si>
  <si>
    <t>Créé</t>
  </si>
  <si>
    <t>Creado</t>
  </si>
  <si>
    <t>Angelegt</t>
  </si>
  <si>
    <t>作成済</t>
  </si>
  <si>
    <t>Utworzono</t>
  </si>
  <si>
    <t>Criado em</t>
  </si>
  <si>
    <t>Aangemaakt</t>
  </si>
  <si>
    <t>Creato</t>
  </si>
  <si>
    <t>创建日期</t>
  </si>
  <si>
    <t>สร้างแล้ว</t>
  </si>
  <si>
    <t>Dibuat</t>
  </si>
  <si>
    <t>Vytvořeno</t>
  </si>
  <si>
    <t>Skapad</t>
  </si>
  <si>
    <t>À partir de</t>
  </si>
  <si>
    <t>De</t>
  </si>
  <si>
    <t>Von</t>
  </si>
  <si>
    <t>から</t>
  </si>
  <si>
    <t>Od</t>
  </si>
  <si>
    <t>Van</t>
  </si>
  <si>
    <t>Da</t>
  </si>
  <si>
    <t>自</t>
  </si>
  <si>
    <t>จาก</t>
  </si>
  <si>
    <t>Dari</t>
  </si>
  <si>
    <t>Från</t>
  </si>
  <si>
    <t>Pour</t>
  </si>
  <si>
    <t>Para</t>
  </si>
  <si>
    <t>An</t>
  </si>
  <si>
    <t>へ</t>
  </si>
  <si>
    <t>Do</t>
  </si>
  <si>
    <t>Aan</t>
  </si>
  <si>
    <t>A</t>
  </si>
  <si>
    <t>至</t>
  </si>
  <si>
    <t>ถึง</t>
  </si>
  <si>
    <t>Hingga</t>
  </si>
  <si>
    <t>Do/pro</t>
  </si>
  <si>
    <t>Till</t>
  </si>
  <si>
    <t>Unité de distance</t>
  </si>
  <si>
    <t>Unidad de distancia</t>
  </si>
  <si>
    <t>Entfernungseinheit</t>
  </si>
  <si>
    <t>距離の単位</t>
  </si>
  <si>
    <t>Jednostka odleglosci</t>
  </si>
  <si>
    <t>Unidade de distância</t>
  </si>
  <si>
    <t>Afstandseenheid</t>
  </si>
  <si>
    <t>Unità di distanza</t>
  </si>
  <si>
    <t>距离单位</t>
  </si>
  <si>
    <t>หน่วยระยะทาง</t>
  </si>
  <si>
    <t>Satuan Jarak</t>
  </si>
  <si>
    <t>Jednotka vzdálenosti</t>
  </si>
  <si>
    <t>Distansenhet</t>
  </si>
  <si>
    <t>Unité de vitesse</t>
  </si>
  <si>
    <t>Unidad de velocidad</t>
  </si>
  <si>
    <t>Geschwindigkeitseinheit</t>
  </si>
  <si>
    <t>速度単位</t>
  </si>
  <si>
    <t>Unidade de velocidade</t>
  </si>
  <si>
    <t>Snelheidseenheid</t>
  </si>
  <si>
    <t>速度单位</t>
  </si>
  <si>
    <t>หน่วยความเร็ว</t>
  </si>
  <si>
    <t>Jednotka rychlosti</t>
  </si>
  <si>
    <t>Hastighetsenhet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</si>
  <si>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</si>
  <si>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</si>
  <si>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</si>
  <si>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</si>
  <si>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</si>
  <si>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</si>
  <si>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</si>
  <si>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</si>
  <si>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</si>
  <si>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โซนเวลา</t>
  </si>
  <si>
    <t>Zona Waktu</t>
  </si>
  <si>
    <t>Časové pásmo</t>
  </si>
  <si>
    <t>Tidszon</t>
  </si>
  <si>
    <t>Turkish</t>
  </si>
  <si>
    <t>Aygıt</t>
  </si>
  <si>
    <t>Ad</t>
  </si>
  <si>
    <t>Soyadı</t>
  </si>
  <si>
    <t>Aygıt Grubu</t>
  </si>
  <si>
    <t>Sürücü</t>
  </si>
  <si>
    <t>Sürücü Grubu</t>
  </si>
  <si>
    <t>Kural</t>
  </si>
  <si>
    <t>Konum</t>
  </si>
  <si>
    <t>Konum Alan Türleri</t>
  </si>
  <si>
    <t>Tarih</t>
  </si>
  <si>
    <t>Başlangıç Saati</t>
  </si>
  <si>
    <t>Süre</t>
  </si>
  <si>
    <t>Mesafe</t>
  </si>
  <si>
    <t>Ekstra Bilgi</t>
  </si>
  <si>
    <t>Ayrıntılar</t>
  </si>
  <si>
    <t>Kural Dışı Durum Ayrıntılı Raporu</t>
  </si>
  <si>
    <t>Oluşturuldu</t>
  </si>
  <si>
    <t>Gönderen</t>
  </si>
  <si>
    <t>Alıcı</t>
  </si>
  <si>
    <t>Mesafe Birimi</t>
  </si>
  <si>
    <t>Hız Birimi</t>
  </si>
  <si>
    <t>Saat Dilimi</t>
  </si>
  <si>
    <t>Durum</t>
  </si>
  <si>
    <t>**Days</t>
  </si>
  <si>
    <t>Statut</t>
  </si>
  <si>
    <t>Estado</t>
  </si>
  <si>
    <t>Status</t>
  </si>
  <si>
    <t>ステータス</t>
  </si>
  <si>
    <t>Stato</t>
  </si>
  <si>
    <t>状态</t>
  </si>
  <si>
    <t>สถานะ</t>
  </si>
  <si>
    <t>Stav</t>
  </si>
  <si>
    <t>Jours</t>
  </si>
  <si>
    <t>Días</t>
  </si>
  <si>
    <t>Tage</t>
  </si>
  <si>
    <t>日</t>
  </si>
  <si>
    <t>Dni</t>
  </si>
  <si>
    <t>Dias</t>
  </si>
  <si>
    <t>Dagen</t>
  </si>
  <si>
    <t>Giorni</t>
  </si>
  <si>
    <t>วัน</t>
  </si>
  <si>
    <t>Hari</t>
  </si>
  <si>
    <t>Dny</t>
  </si>
  <si>
    <t>Dagar</t>
  </si>
  <si>
    <t>Gün</t>
  </si>
  <si>
    <t>Values</t>
  </si>
  <si>
    <t>Grand Total</t>
  </si>
  <si>
    <t>Malay</t>
  </si>
  <si>
    <t>Peranti</t>
  </si>
  <si>
    <t>Nama pertama</t>
  </si>
  <si>
    <t>Nama keluarga</t>
  </si>
  <si>
    <t>Kumpulan Peranti</t>
  </si>
  <si>
    <t>Pemandu</t>
  </si>
  <si>
    <t>Kumpulan Pemandu</t>
  </si>
  <si>
    <t>Peraturan</t>
  </si>
  <si>
    <t>Jenis Zon Lokasi</t>
  </si>
  <si>
    <t>Tarikh</t>
  </si>
  <si>
    <t>Masa Mula</t>
  </si>
  <si>
    <t>tempoh</t>
  </si>
  <si>
    <t>Maklumat Tambahan</t>
  </si>
  <si>
    <t>Butiran</t>
  </si>
  <si>
    <t>Laporan Butiran Pengecualian</t>
  </si>
  <si>
    <t>Dicipta</t>
  </si>
  <si>
    <t>Daripada</t>
  </si>
  <si>
    <t>Ke</t>
  </si>
  <si>
    <t>Unit Jarak</t>
  </si>
  <si>
    <t>Unit Kelajuan</t>
  </si>
  <si>
    <t>Zon Waktu</t>
  </si>
  <si>
    <t>**Duration</t>
  </si>
  <si>
    <t>**Distance</t>
  </si>
  <si>
    <t>French France</t>
  </si>
  <si>
    <t>Boîtier</t>
  </si>
  <si>
    <t>Groupe de boîtiers</t>
  </si>
  <si>
    <t>Groupe de conducteurs</t>
  </si>
  <si>
    <t>Type de zone de l’emplacement</t>
  </si>
  <si>
    <t>Heure de début</t>
  </si>
  <si>
    <t>Infos supplémentaires</t>
  </si>
  <si>
    <t>Rapport détaillé des irrégularités</t>
  </si>
  <si>
    <t>À partir du</t>
  </si>
  <si>
    <t>À</t>
  </si>
  <si>
    <t>État</t>
  </si>
  <si>
    <t>French Canada</t>
  </si>
  <si>
    <t>天数</t>
  </si>
  <si>
    <t>Jednostka prędkości</t>
  </si>
  <si>
    <t>Unità di misura della velocità</t>
  </si>
  <si>
    <t>Satuan Kecepatan</t>
  </si>
  <si>
    <t>.Device.DeviceGroup|Company Group</t>
  </si>
  <si>
    <t>.Driver.DriverGroup|Company Group</t>
  </si>
  <si>
    <t>Korean</t>
  </si>
  <si>
    <t>장치</t>
  </si>
  <si>
    <t>이름</t>
  </si>
  <si>
    <t>성</t>
  </si>
  <si>
    <t>장치 그룹</t>
  </si>
  <si>
    <t>운전자</t>
  </si>
  <si>
    <t>운전자 그룹</t>
  </si>
  <si>
    <t>규칙</t>
  </si>
  <si>
    <t>위치</t>
  </si>
  <si>
    <t>위치 구역 유형</t>
  </si>
  <si>
    <t>날짜</t>
  </si>
  <si>
    <t>시작 시간</t>
  </si>
  <si>
    <t>지속 시간</t>
  </si>
  <si>
    <t>거리</t>
  </si>
  <si>
    <t>추가 정보</t>
  </si>
  <si>
    <t>세부 정보</t>
  </si>
  <si>
    <t>제외 상세 보고서</t>
  </si>
  <si>
    <t>생성됨</t>
  </si>
  <si>
    <t>시작</t>
  </si>
  <si>
    <t>대상</t>
  </si>
  <si>
    <t>거리 단위</t>
  </si>
  <si>
    <t>속도 단위</t>
  </si>
  <si>
    <t>시간대</t>
  </si>
  <si>
    <t>상태</t>
  </si>
  <si>
    <t>일</t>
  </si>
  <si>
    <t>Traditional Chinese</t>
  </si>
  <si>
    <t>裝置</t>
  </si>
  <si>
    <t>裝置群組</t>
  </si>
  <si>
    <t>駕駛</t>
  </si>
  <si>
    <t>駕駛群組</t>
  </si>
  <si>
    <t>規則</t>
  </si>
  <si>
    <t>位置區域類型</t>
  </si>
  <si>
    <t>持續時間</t>
  </si>
  <si>
    <t>額外資訊</t>
  </si>
  <si>
    <t>詳細資訊</t>
  </si>
  <si>
    <t>例外詳細資訊報告</t>
  </si>
  <si>
    <t>已建立</t>
  </si>
  <si>
    <t>從</t>
  </si>
  <si>
    <t>距離單位</t>
  </si>
  <si>
    <t>速度單位</t>
  </si>
  <si>
    <t>時區</t>
  </si>
  <si>
    <t>狀態</t>
  </si>
  <si>
    <t>天</t>
  </si>
  <si>
    <t>Danish</t>
  </si>
  <si>
    <t>Finnish</t>
  </si>
  <si>
    <t>Hungarian</t>
  </si>
  <si>
    <t>Norwegian</t>
  </si>
  <si>
    <t>Slovak</t>
  </si>
  <si>
    <t>Enhed</t>
  </si>
  <si>
    <t>Laite</t>
  </si>
  <si>
    <t>Készülék</t>
  </si>
  <si>
    <t>Zariadenie</t>
  </si>
  <si>
    <t>Fornavn</t>
  </si>
  <si>
    <t>Etunimi</t>
  </si>
  <si>
    <t>Keresztnév</t>
  </si>
  <si>
    <t>Krstné meno</t>
  </si>
  <si>
    <t>Efternavn</t>
  </si>
  <si>
    <t>Sukunimi</t>
  </si>
  <si>
    <t>Vezetéknév</t>
  </si>
  <si>
    <t>Etternavn</t>
  </si>
  <si>
    <t>Priezvisko</t>
  </si>
  <si>
    <t>Enhedsgruppe</t>
  </si>
  <si>
    <t>Laiteryhmä</t>
  </si>
  <si>
    <t>Készülékcsoport</t>
  </si>
  <si>
    <t>Enhetsgruppe</t>
  </si>
  <si>
    <t>Skupina zariadení</t>
  </si>
  <si>
    <t>Fører</t>
  </si>
  <si>
    <t>Kuljettaja</t>
  </si>
  <si>
    <t>Vezető</t>
  </si>
  <si>
    <t>Vodič</t>
  </si>
  <si>
    <t>Førergruppe</t>
  </si>
  <si>
    <t>Kuljettajaryhmä</t>
  </si>
  <si>
    <t>Vezetőcsoport</t>
  </si>
  <si>
    <t>Skupina vodičov</t>
  </si>
  <si>
    <t>Sääntö</t>
  </si>
  <si>
    <t>Szabály</t>
  </si>
  <si>
    <t>Placering</t>
  </si>
  <si>
    <t>Sijainti</t>
  </si>
  <si>
    <t>Hely</t>
  </si>
  <si>
    <t>Plassering</t>
  </si>
  <si>
    <t>Placeringszonetyper</t>
  </si>
  <si>
    <t>Sijaintivyöhyketyypit</t>
  </si>
  <si>
    <t>Helyzónatípusok</t>
  </si>
  <si>
    <t>Typer plasseringssone</t>
  </si>
  <si>
    <t>Dato</t>
  </si>
  <si>
    <t>Päivämäärä</t>
  </si>
  <si>
    <t>Dátum</t>
  </si>
  <si>
    <t>Starttidspunkt</t>
  </si>
  <si>
    <t>Alkamisaika</t>
  </si>
  <si>
    <t>Kezdés ideje</t>
  </si>
  <si>
    <t>Čas začiatku</t>
  </si>
  <si>
    <t>Varighed</t>
  </si>
  <si>
    <t>Kesto</t>
  </si>
  <si>
    <t>Időtartam</t>
  </si>
  <si>
    <t>Varighet</t>
  </si>
  <si>
    <t>Trvanie</t>
  </si>
  <si>
    <t>Matka</t>
  </si>
  <si>
    <t>Távolság</t>
  </si>
  <si>
    <t>Avstand</t>
  </si>
  <si>
    <t>Vzdialenosť</t>
  </si>
  <si>
    <t>Ekstra info</t>
  </si>
  <si>
    <t>Lisätietoja</t>
  </si>
  <si>
    <t>Kiegészítő infó</t>
  </si>
  <si>
    <t>Ďalšie informácie</t>
  </si>
  <si>
    <t>Tarkemmat tiedot</t>
  </si>
  <si>
    <t>Részletek</t>
  </si>
  <si>
    <t>Detaljeret rapport over undtagelser</t>
  </si>
  <si>
    <t>Poikkeuksien tarkka raportti</t>
  </si>
  <si>
    <t>Kivételek részletes jelentése</t>
  </si>
  <si>
    <t>Detaljert rapport om unntak</t>
  </si>
  <si>
    <t>Podrobný výkaz výnimiek</t>
  </si>
  <si>
    <t>Oprettet</t>
  </si>
  <si>
    <t>Luotu</t>
  </si>
  <si>
    <t>Létrehozva</t>
  </si>
  <si>
    <t>Opprettet</t>
  </si>
  <si>
    <t>Vytvorené</t>
  </si>
  <si>
    <t>Fra</t>
  </si>
  <si>
    <t>Alku</t>
  </si>
  <si>
    <t>Feladó</t>
  </si>
  <si>
    <t>Z</t>
  </si>
  <si>
    <t>Til</t>
  </si>
  <si>
    <t>Kohde</t>
  </si>
  <si>
    <t>Címzett</t>
  </si>
  <si>
    <t>Afstandsenhed</t>
  </si>
  <si>
    <t>Matkan mittayksikkö</t>
  </si>
  <si>
    <t>Távolság mértékegysége</t>
  </si>
  <si>
    <t>Avstandsenhet</t>
  </si>
  <si>
    <t>Jednotka vzdialenosti</t>
  </si>
  <si>
    <t>Enhed for hastighed</t>
  </si>
  <si>
    <t>Nopeusyksikkö</t>
  </si>
  <si>
    <t>Sebesség mértékegység</t>
  </si>
  <si>
    <t>Jednotka rýchlosti</t>
  </si>
  <si>
    <t>Tidszone</t>
  </si>
  <si>
    <t>Aikavyöhyke</t>
  </si>
  <si>
    <t>Időzóna</t>
  </si>
  <si>
    <t>Tidssone</t>
  </si>
  <si>
    <t>Tila</t>
  </si>
  <si>
    <t>Állapot</t>
  </si>
  <si>
    <t>Dage</t>
  </si>
  <si>
    <t>Päivät</t>
  </si>
  <si>
    <t>Napok</t>
  </si>
  <si>
    <t>Dager</t>
  </si>
  <si>
    <t>Portuguese-Portugal</t>
  </si>
  <si>
    <t>Romanian</t>
  </si>
  <si>
    <t>Dispozitiv</t>
  </si>
  <si>
    <t>Nome próprio</t>
  </si>
  <si>
    <t>Prenume</t>
  </si>
  <si>
    <t>Apelido</t>
  </si>
  <si>
    <t>Nume de familie</t>
  </si>
  <si>
    <t>Grupo do dispositivo</t>
  </si>
  <si>
    <t>Grup de dispozitive</t>
  </si>
  <si>
    <t>Condutor</t>
  </si>
  <si>
    <t>Pilot</t>
  </si>
  <si>
    <t>Grupo de condutores</t>
  </si>
  <si>
    <t>Grupul de piloți</t>
  </si>
  <si>
    <t>Conducere</t>
  </si>
  <si>
    <t>Localizare</t>
  </si>
  <si>
    <t>Tipuri de zone de localizare</t>
  </si>
  <si>
    <t>Ora de început</t>
  </si>
  <si>
    <t>Duração</t>
  </si>
  <si>
    <t>Durata</t>
  </si>
  <si>
    <t>Distanță</t>
  </si>
  <si>
    <t>Informação extra</t>
  </si>
  <si>
    <t>Detalii</t>
  </si>
  <si>
    <t>Relatório Detalhes de exceções</t>
  </si>
  <si>
    <t>Raportul detaliat despre excepții</t>
  </si>
  <si>
    <t>Criado</t>
  </si>
  <si>
    <t>Creat</t>
  </si>
  <si>
    <t>De la</t>
  </si>
  <si>
    <t>Către</t>
  </si>
  <si>
    <t>Unitate de distanță</t>
  </si>
  <si>
    <t>Unitate de viteză</t>
  </si>
  <si>
    <t>Fuso horário</t>
  </si>
  <si>
    <t>Fon orar</t>
  </si>
  <si>
    <t>Zile</t>
  </si>
  <si>
    <t>Informații suplimentare</t>
  </si>
  <si>
    <t>MAGNEX GROUP</t>
  </si>
  <si>
    <t>America/Bogota</t>
  </si>
  <si>
    <t>**&lt;No User&gt;</t>
  </si>
  <si>
    <t>es</t>
  </si>
  <si>
    <t>NPV257</t>
  </si>
  <si>
    <t>b65</t>
  </si>
  <si>
    <t>Vehicle, Diesel, ENE 6234 OPEX SOT-SOC</t>
  </si>
  <si>
    <t>Diesel, ENE 6234 OPEX SOT-SOC, Vehicle</t>
  </si>
  <si>
    <t>Andres Felipe</t>
  </si>
  <si>
    <t>Micolta</t>
  </si>
  <si>
    <t>andres.micolta@magnexgroup.com</t>
  </si>
  <si>
    <t>b8F</t>
  </si>
  <si>
    <t>encargado Flota Enel OpeX Caqueza y Medina</t>
  </si>
  <si>
    <t>ENEL</t>
  </si>
  <si>
    <t>Tiempo en ralentí</t>
  </si>
  <si>
    <t>San Pedro de Jagua - Medina #1-09, Medina, Cundinamarca, Colombia</t>
  </si>
  <si>
    <t>Ignición: 1.00</t>
  </si>
  <si>
    <t>Válido</t>
  </si>
  <si>
    <t>Jose Yezith</t>
  </si>
  <si>
    <t>Córdoba Leon</t>
  </si>
  <si>
    <t>yezith.spj@hotmail.com</t>
  </si>
  <si>
    <t>b1C9</t>
  </si>
  <si>
    <t>ENE 6234 OPEX SOT-SOC</t>
  </si>
  <si>
    <t>San Pedro Jagua, Cundinamarca, Colombia</t>
  </si>
  <si>
    <t>Paratebueno, Cundinamarca, Colombia</t>
  </si>
  <si>
    <t>Frenado brusco (nuevo)</t>
  </si>
  <si>
    <t>San Pedro de Jagua - Medina, Medina, Cundinamarca, Colombia</t>
  </si>
  <si>
    <t>Clase de vehículo para métricas de seguridad: Otra clase (no estandarizada), Velocidad máxima: 14 kmh,  Ignición: 1</t>
  </si>
  <si>
    <t>Clase de vehículo para métricas de seguridad: Otra clase (no estandarizada), Velocidad máxima: 8 kmh,  Ignición: 1</t>
  </si>
  <si>
    <t>San Pedro de Jagua - Medina #3-87, Medina, Cundinamarca, Colombia</t>
  </si>
  <si>
    <t>NPY484</t>
  </si>
  <si>
    <t>b76</t>
  </si>
  <si>
    <t>Vehicle, Diesel, Cabinas</t>
  </si>
  <si>
    <t>Cabinas, Diesel, Vehicle</t>
  </si>
  <si>
    <t>Engine Fault Exception</t>
  </si>
  <si>
    <t>Equipo liviano - Cerrejón, Cerrejon Cerca 1: taller liviano, Maicao, La Guajira, Colombia</t>
  </si>
  <si>
    <t>Cliente, Vel Max 60 Km/h</t>
  </si>
  <si>
    <t>Cerrejon</t>
  </si>
  <si>
    <t>Fallo de dispositivo telemático: Se eliminó toda la energía y se reinició el dispositivo</t>
  </si>
  <si>
    <t>Cerrejon Cerca 1, Coexito - indutrónica - Cerrejón: 49M9+5C, Maicao, La Guajira, Colombia</t>
  </si>
  <si>
    <t>Vel Max 60 Km/h, Cliente</t>
  </si>
  <si>
    <t>Exceso Velocidad 60 Km/h</t>
  </si>
  <si>
    <t>Cerrejon Cerca 1: A Taller de Equipo Liviano, Maicao, La Guajira, Colombia</t>
  </si>
  <si>
    <t>Vel Max 60 Km/h</t>
  </si>
  <si>
    <t>Velocidad máxima: 61 kmh</t>
  </si>
  <si>
    <t>Exceso Velocidad 10 Km/h</t>
  </si>
  <si>
    <t>Papa 1 -Cerrejon, Cerrejon Cerca 1, Acceso Garita P1: Cra. 2, Maicao, La Guajira, Colombia</t>
  </si>
  <si>
    <t>Vel Max 10 Km/h, Vel Max 60 Km/h, Cliente</t>
  </si>
  <si>
    <t>Cerrejon, Cerrejon</t>
  </si>
  <si>
    <t>Velocidad máxima: 23 kmh</t>
  </si>
  <si>
    <t>NPY672</t>
  </si>
  <si>
    <t>b26</t>
  </si>
  <si>
    <t>Vehicle, Diesel, GMA CENTRO</t>
  </si>
  <si>
    <t>Diesel, GMA CENTRO, Vehicle</t>
  </si>
  <si>
    <t>Cra. 22 #76-20, Barrancabermeja, Santander, Colombia</t>
  </si>
  <si>
    <t>Fallo de dispositivo telemático: El dispositivo telemático está desconectado</t>
  </si>
  <si>
    <t>Exceso de velocidad (nuevo)</t>
  </si>
  <si>
    <t>Tv. 29 # 63-31, Barrancabermeja, Santander, Colombia</t>
  </si>
  <si>
    <t>Velocidad máxima: 42 kmh (Velocidad máxima en carretera: 30 kmh)</t>
  </si>
  <si>
    <t>Tv. 29 #612, Barrancabermeja, Santander, Colombia</t>
  </si>
  <si>
    <t>CI. 60 # 35-95, Barrancabermeja, Santander, Colombia</t>
  </si>
  <si>
    <t>Velocidad máxima: 41 kmh (Velocidad máxima en carretera: 30 kmh)</t>
  </si>
  <si>
    <t>BODEGA BARRANCA: Cra. 30 #24, Barrancabermeja, Santander, Colombia</t>
  </si>
  <si>
    <t>Vel Max 10 Km/h</t>
  </si>
  <si>
    <t>Velocidad máxima: 10 kmh</t>
  </si>
  <si>
    <t>BODEGA BARRANCA: Cra. 30 # 75-135, Barrancabermeja, Santander, Colombia</t>
  </si>
  <si>
    <t>Velocidad máxima: 14 kmh</t>
  </si>
  <si>
    <t>Cra. 31 #63-03, Barrancabermeja, Santander, Colombia</t>
  </si>
  <si>
    <t>Velocidad máxima: 39 kmh (Velocidad máxima en carretera: 30 kmh)</t>
  </si>
  <si>
    <t>Cra. 61 # 42D-42, Barrancabermeja, Santander, Colombia</t>
  </si>
  <si>
    <t>45, San Alberto, Cesar, Colombia</t>
  </si>
  <si>
    <t>Clase de vehículo para métricas de seguridad: Otra clase (no estandarizada), Velocidad máxima: 28 kmh,  Ignición: 1</t>
  </si>
  <si>
    <t>NPY686</t>
  </si>
  <si>
    <t>b123</t>
  </si>
  <si>
    <t>Giro brusco (nuevo)</t>
  </si>
  <si>
    <t>Cl. 49 # 25-91, Barrancabermeja, Santander, Colombia</t>
  </si>
  <si>
    <t>Clase de vehículo para métricas de seguridad: Otra clase (no estandarizada), Velocidad máxima: 22 kmh,  Ignición: 1</t>
  </si>
  <si>
    <t>Cl. 36 # 35-25, Barrancabermeja, Santander, Colombia</t>
  </si>
  <si>
    <t>Velocidad máxima: 88 kmh (Velocidad máxima en carretera: 60 kmh)</t>
  </si>
  <si>
    <t>Cl. 37 # 54-41, Barrancabermeja, Santander, Colombia</t>
  </si>
  <si>
    <t>Velocidad máxima: 83 kmh (Velocidad máxima en carretera: 30 kmh)</t>
  </si>
  <si>
    <t>Cl. 37 # 62-63, Barrancabermeja, Santander, Colombia</t>
  </si>
  <si>
    <t>Velocidad máxima: 100 kmh (Velocidad máxima en carretera: 60 kmh)</t>
  </si>
  <si>
    <t>Cl. 37 # 64-29, Barrancabermeja, Santander, Colombia</t>
  </si>
  <si>
    <t>Clase de vehículo para métricas de seguridad: Otra clase (no estandarizada), Velocidad máxima: 43 kmh,  Ignición: 1</t>
  </si>
  <si>
    <t>Giro brusco</t>
  </si>
  <si>
    <t>Barrancabermeja-Troncal Magdalena, Barrancabermeja, Santander, Colombia</t>
  </si>
  <si>
    <t>Velocidad máxima: 76 kmh Aceleración de lado a lado: 0.52 g-force, Ignición: 1.00</t>
  </si>
  <si>
    <t>Clase de vehículo para métricas de seguridad: Otra clase (no estandarizada), Velocidad máxima: 73 kmh,  Ignición: 1</t>
  </si>
  <si>
    <t>Velocidad máxima: 77 kmh (Velocidad máxima en carretera: 60 kmh)</t>
  </si>
  <si>
    <t>Velocidad máxima: 77 kmh Aceleración de lado a lado: -0.55 g-force, Ignición: 1.00</t>
  </si>
  <si>
    <t>Clase de vehículo para métricas de seguridad: Otra clase (no estandarizada), Velocidad máxima: 71 kmh,  Ignición: 1</t>
  </si>
  <si>
    <t>Barrancabermeja-Troncal Magdalena #3164, Barrancabermeja, Santander, Colombia</t>
  </si>
  <si>
    <t>Velocidad máxima: 37 kmh (Velocidad máxima en carretera: 30 kmh)</t>
  </si>
  <si>
    <t>Velocidad máxima: 74 kmh (Velocidad máxima en carretera: 30 kmh)</t>
  </si>
  <si>
    <t>Rotonda, Barrancabermeja, Santander, Colombia</t>
  </si>
  <si>
    <t>W6MQ+8Q, Barrancabermeja, Santander, Colombia</t>
  </si>
  <si>
    <t>X67G+G6, Barrancabermeja, Santander, Colombia</t>
  </si>
  <si>
    <t>Velocidad máxima: 59 kmh (Velocidad máxima en carretera: 30 kmh)</t>
  </si>
  <si>
    <t>Velocidad máxima: 46 kmh (Velocidad máxima en carretera: 30 kmh)</t>
  </si>
  <si>
    <t>Velocidad máxima: 57 kmh (Velocidad máxima en carretera: 30 kmh)</t>
  </si>
  <si>
    <t>Cl. 51 # 15-70, Barrancabermeja, Santander, Colombia</t>
  </si>
  <si>
    <t>NPY798</t>
  </si>
  <si>
    <t>b13B</t>
  </si>
  <si>
    <t>Vehicle, Diesel, ENE 6053 Zona III CAPEX SOT-SOC</t>
  </si>
  <si>
    <t>Diesel, ENE 6053 Zona III CAPEX SOT-SOC, Vehicle</t>
  </si>
  <si>
    <t>Av. de los Comuneros #1500, Bogotá, Colombia</t>
  </si>
  <si>
    <t>Velocidad máxima: 48 kmh (Velocidad máxima en carretera: 30 kmh)</t>
  </si>
  <si>
    <t>Cl. 1d Bis # 4-43, Santa Fé, Bogotá, D.C., Bogotá, Bogotá, D.C., Colombia</t>
  </si>
  <si>
    <t>Cra. 9 # 6A-34, La Candelaria, Bogotá, D.C., Bogotá, Bogotá, D.C., Colombia</t>
  </si>
  <si>
    <t>Velocidad máxima: 53 kmh (Velocidad máxima en carretera: 30 kmh)</t>
  </si>
  <si>
    <t>Cl. 11 #19A-33, Bogotá, Colombia</t>
  </si>
  <si>
    <t>Kr 13 #25-16, Bogotá, Colombia</t>
  </si>
  <si>
    <t>Cra. 7 #26, La Candelaria, Bogotá, Colombia</t>
  </si>
  <si>
    <t>PKU060</t>
  </si>
  <si>
    <t>bA9</t>
  </si>
  <si>
    <t>Vehicle, Diesel, Frontera Energy Col 2679</t>
  </si>
  <si>
    <t>Diesel, Frontera Energy Col 2679, Vehicle</t>
  </si>
  <si>
    <t>ECOPETROL RUBIALES- Quifa - CAÑO SUR, Puerto Triunfo - Estacion Policia, PUESTRO CONTROL QUIFA: Puerto Gaitan - Rubiales, Puerto Gaitán, Meta, Colombia</t>
  </si>
  <si>
    <t>Cliente, Vel Max 40 Km/h, Vel Max 30 Km/h, Vel Max 10 Km/h</t>
  </si>
  <si>
    <t>Rubiales, Rubiales</t>
  </si>
  <si>
    <t>Velocidad máxima: 20 kmh</t>
  </si>
  <si>
    <t>CAMPAMENTO QUIFA, ECOPETROL RUBIALES- Quifa - CAÑO SUR, Puerto Gaitan - Rubiales, Puerto Gaitán, Meta, Colombia, Campamento Quifa - CMA: Ent. CAMPAMENTO, Puerto Gaitán, Meta, Colombia</t>
  </si>
  <si>
    <t>Vel Max 10 Km/h, Cliente, Vel Max 40 Km/h, Centro de servicios del proveedor</t>
  </si>
  <si>
    <t>Velocidad máxima: 11 kmh</t>
  </si>
  <si>
    <t>Velocidad máxima: 16 kmh</t>
  </si>
  <si>
    <t>CAMPAMENTO QUIFA, ECOPETROL RUBIALES- Quifa - CAÑO SUR, Campamento Quifa - CMA: Ent. CAMPAMENTO, Puerto Gaitán, Meta, Colombia</t>
  </si>
  <si>
    <t>Vel Max 10 Km/h, Cliente, Vel Max 40 Km/h</t>
  </si>
  <si>
    <t>Velocidad máxima: 12 kmh</t>
  </si>
  <si>
    <t>CAMPAMENTO QUIFA, ECOPETROL RUBIALES- Quifa - CAÑO SUR, Puerto Gaitan - Rubiales, Puerto Gaitán, Meta, Colombia: Ent. CAMPAMENTO, Puerto Gaitán, Meta, Colombia</t>
  </si>
  <si>
    <t>Rubiales</t>
  </si>
  <si>
    <t>Velocidad máxima: 13 kmh</t>
  </si>
  <si>
    <t>Velocidad máxima: 25 kmh</t>
  </si>
  <si>
    <t>Aceleración brusca</t>
  </si>
  <si>
    <t>ECOPETROL RUBIALES- Quifa - CAÑO SUR, Puerto Triunfo - Estacion Policia: Puerto Gaitan - Rubiales, Puerto Gaitán, Meta, Colombia</t>
  </si>
  <si>
    <t>Cliente, Vel Max 40 Km/h, Vel Max 30 Km/h</t>
  </si>
  <si>
    <t>Velocidad máxima: 8 kmh Aceleración hacia delante o frenado: 0.44 g-force, Ignición: 1.00</t>
  </si>
  <si>
    <t>Velocidad máxima: 18 kmh Aceleración de lado a lado: -0.47 g-force, Ignición: 1.00</t>
  </si>
  <si>
    <t>Velocidad máxima: 22 kmh</t>
  </si>
  <si>
    <t>CAMPAMENTO QUIFA, ECOPETROL RUBIALES- Quifa - CAÑO SUR, Puerto Gaitan - Rubiales, Puerto Gaitán, Meta, Colombia, Puerto Triunfo - Estacion Policia: Ent. CAMPAMENTO, Puerto Gaitán, Meta, Colombia</t>
  </si>
  <si>
    <t>Vel Max 10 Km/h, Cliente, Vel Max 40 Km/h, Centro de servicios del proveedor, Vel Max 30 Km/h</t>
  </si>
  <si>
    <t>Velocidad máxima: 18 kmh</t>
  </si>
  <si>
    <t>ECOPETROL RUBIALES- Quifa - CAÑO SUR: Puerto Gaitan - Rubiales, Puerto Gaitán, Meta, Colombia</t>
  </si>
  <si>
    <t>Cliente, Vel Max 40 Km/h</t>
  </si>
  <si>
    <t>Clase de vehículo para métricas de seguridad: Otra clase (no estandarizada), Velocidad máxima: 21 kmh,  Ignición: 1</t>
  </si>
  <si>
    <t>ECOPETROL RUBIALES- Quifa - CAÑO SUR, BATERIA 4: Rb 4 324 126 129 195 14 325 316 143 217 1 26 523 256 28, Meta, 502057, Colombia</t>
  </si>
  <si>
    <t>Cliente, Vel Max 40 Km/h, Vel Max 10 Km/h</t>
  </si>
  <si>
    <t>ECOPETROL RUBIALES- Quifa - CAÑO SUR, BATERIA 4: Rb 4, Puerto Gaitán, Meta, Colombia</t>
  </si>
  <si>
    <t>ECOPETROL RUBIALES- Quifa - CAÑO SUR, BATERIA 4: Vía Sin Nombre, Puerto Gaitán, Meta, Colombia</t>
  </si>
  <si>
    <t>ECOPETROL RUBIALES- Quifa - CAÑO SUR, BATERIA 4: Rb 4 324 126 129 195 14 325 316 143 217 1 26 523 256 28, Puerto Gaitán, Meta, Colombia</t>
  </si>
  <si>
    <t>Velocidad máxima: 24 kmh</t>
  </si>
  <si>
    <t>Velocidad máxima: 26 kmh</t>
  </si>
  <si>
    <t>Velocidad máxima: 17 kmh</t>
  </si>
  <si>
    <t>Velocidad máxima: 4 kmh Aceleración de lado a lado: -0.57 g-force, Ignición: 1.00</t>
  </si>
  <si>
    <t>Uso del cinturón de seguridad</t>
  </si>
  <si>
    <t>Velocidad máxima: 24 kmh Cinturón de seguridad del conductor (1. Desabrochado): 1.00</t>
  </si>
  <si>
    <t>Clase de vehículo para métricas de seguridad: Otra clase (no estandarizada), Velocidad máxima: 15 kmh,  Ignición: 1</t>
  </si>
  <si>
    <t>Exceso Velocidad 40 Km/h</t>
  </si>
  <si>
    <t>Velocidad máxima: 41 kmh</t>
  </si>
  <si>
    <t>CAMPAMENTO QUIFA, ECOPETROL RUBIALES- Quifa - CAÑO SUR, Puerto Triunfo - Estacion Policia: Puerto Gaitan - Rubiales, Puerto Gaitán, Meta, Colombia</t>
  </si>
  <si>
    <t>Vel Max 10 Km/h, Cliente, Vel Max 40 Km/h, Vel Max 30 Km/h</t>
  </si>
  <si>
    <t>Velocidad máxima: 21 kmh</t>
  </si>
  <si>
    <t>Exceso Velocidad 30 Km/h</t>
  </si>
  <si>
    <t>Velocidad máxima: 31 kmh</t>
  </si>
  <si>
    <t>PKU069</t>
  </si>
  <si>
    <t>bB1</t>
  </si>
  <si>
    <t>Luis Enrique</t>
  </si>
  <si>
    <t>Chala</t>
  </si>
  <si>
    <t>enriquemono_20@hotmail.com</t>
  </si>
  <si>
    <t>b162</t>
  </si>
  <si>
    <t>CAMPAMENTO QUIFA, ECOPETROL RUBIALES- Quifa - CAÑO SUR, Puerto Gaitan - Rubiales, Puerto Gaitán, Meta, Colombia, Puerto Triunfo - Estacion Policia: Puerto Gaitan - Rubiales, Puerto Gaitán, Meta, Colombia</t>
  </si>
  <si>
    <t>Velocidad máxima: 15 kmh</t>
  </si>
  <si>
    <t>ECOPETROL RUBIALES- Quifa - CAÑO SUR: Rb 4 324 126 129 195 14 325 316 143 217 1 26 523 256 28, Meta, 502057, Colombia</t>
  </si>
  <si>
    <t>ECOPETROL RUBIALES- Quifa - CAÑO SUR: Rb 280 320 4 324 126 129 195 14 325 316 143 217 1 26 523 256 28, Puerto Gaitán, Meta, Colombia</t>
  </si>
  <si>
    <t>Velocidad máxima: 42 kmh</t>
  </si>
  <si>
    <t>Velocidad máxima: 13 kmh Aceleración de lado a lado: -0.48 g-force, Ignición: 1.00</t>
  </si>
  <si>
    <t>ECOPETROL RUBIALES- Quifa - CAÑO SUR: Qf 12 48 36 79 Dw1, Puerto Gaitán, Meta, Colombia</t>
  </si>
  <si>
    <t>Velocidad máxima: 27 kmh Aceleración de lado a lado: -0.49 g-force, Ignición: 1.00</t>
  </si>
  <si>
    <t>Velocidad máxima: 44 kmh</t>
  </si>
  <si>
    <t>ECOPETROL RUBIALES- Quifa - CAÑO SUR: Qf 48 36 79 Dw1, Puerto Gaitán, Meta, Colombia</t>
  </si>
  <si>
    <t>Velocidad máxima: 37 kmh</t>
  </si>
  <si>
    <t>Velocidad máxima: 33 kmh</t>
  </si>
  <si>
    <t>Velocidad máxima: 13 kmh Aceleración de lado a lado: 0.47 g-force, Ignición: 1.00</t>
  </si>
  <si>
    <t>Velocidad máxima: 29 kmh</t>
  </si>
  <si>
    <t>Velocidad máxima: 35 kmh</t>
  </si>
  <si>
    <t>ECOPETROL RUBIALES- Quifa - CAÑO SUR, Puerto Triunfo - Estacion Policia: Km 128 +500, Lavadero De Autos EL OASIS, Puerto Gaitan - Rubiales, Puerto Gaitán, Meta, Colombia</t>
  </si>
  <si>
    <t>ECOPETROL RUBIALES- Quifa - CAÑO SUR, Puerto Triunfo - Estacion Policia: vereda puerto triunfo Km 129+300 vía rubiales, Puerto Gaitán, Meta, Colombia</t>
  </si>
  <si>
    <t>Velocidad máxima: 13 kmh Aceleración de lado a lado: 0.49 g-force, Ignición: 1.00</t>
  </si>
  <si>
    <t>Velocidad máxima: 15 kmh Aceleración de lado a lado: -0.56 g-force, Ignición: 1.00</t>
  </si>
  <si>
    <t>Velocidad máxima: 28 kmh</t>
  </si>
  <si>
    <t>Velocidad máxima: 12 kmh Cinturón de seguridad del conductor (1. Desabrochado): 1.00</t>
  </si>
  <si>
    <t>Velocidad máxima: 13 kmh Cinturón de seguridad del conductor (1. Desabrochado): 1.00</t>
  </si>
  <si>
    <t>PKU239</t>
  </si>
  <si>
    <t>bB3</t>
  </si>
  <si>
    <t>Mtto 5.000 Realizado.</t>
  </si>
  <si>
    <t>ECOPETROL RUBIALES- Quifa - CAÑO SUR: Vía Sin Nombre, Puerto Gaitán, Meta, Colombia</t>
  </si>
  <si>
    <t>Velocidad máxima: 21 kmh Cinturón de seguridad del conductor (1. Desabrochado): 1.00</t>
  </si>
  <si>
    <t>ECOPETROL RUBIALES- Quifa - CAÑO SUR, Campamento Quifa - CMA: Vía Sin Nombre, Puerto Gaitán, Meta, Colombia</t>
  </si>
  <si>
    <t>Velocidad máxima: 39 kmh</t>
  </si>
  <si>
    <t>Velocidad máxima: 31 kmh (Velocidad máxima en carretera: 7 kmh)</t>
  </si>
  <si>
    <t>ECOPETROL RUBIALES- Quifa - CAÑO SUR, Centralizado de combustible Quifa: Vía Sin Nombre, Puerto Gaitán, Meta, Colombia</t>
  </si>
  <si>
    <t>Velocidad máxima: 29 kmh (Velocidad máxima en carretera: 7 kmh)</t>
  </si>
  <si>
    <t>ECOPETROL RUBIALES- Quifa - CAÑO SUR, Puerto Gaitan - Rubiales, Puerto Gaitán, Meta, Colombia, Puerto Triunfo - Estacion Policia: Puerto Gaitan - Rubiales, Puerto Gaitán, Meta, Colombia</t>
  </si>
  <si>
    <t>Cliente, Vel Max 40 Km/h, Centro de servicios del proveedor, Vel Max 30 Km/h</t>
  </si>
  <si>
    <t>ECOPETROL RUBIALES- Quifa - CAÑO SUR: Qf 12, Puerto Gaitán, Meta, Colombia</t>
  </si>
  <si>
    <t>Velocidad máxima: 33 kmh Cinturón de seguridad del conductor (1. Desabrochado): 1.00</t>
  </si>
  <si>
    <t>Velocidad máxima: 15 kmh Aceleración de lado a lado: 0.50 g-force, Ignición: 1.00</t>
  </si>
  <si>
    <t>Velocidad máxima: 41 kmh Cinturón de seguridad del conductor (1. Desabrochado): 1.00</t>
  </si>
  <si>
    <t>Velocidad máxima: 32 kmh</t>
  </si>
  <si>
    <t>Velocidad máxima: 41 kmh (Velocidad máxima en carretera: 7 kmh)</t>
  </si>
  <si>
    <t>Velocidad máxima: 18 kmh Cinturón de seguridad del conductor (1. Desabrochado): 1.00</t>
  </si>
  <si>
    <t>Velocidad máxima: 35 kmh (Velocidad máxima en carretera: 7 kmh)</t>
  </si>
  <si>
    <t>Clase de vehículo para métricas de seguridad: Otra clase (no estandarizada), Velocidad máxima: 18 kmh,  Ignición: 1</t>
  </si>
  <si>
    <t>Velocidad máxima: 20 kmh Cinturón de seguridad del conductor (1. Desabrochado): 1.00</t>
  </si>
  <si>
    <t>Velocidad máxima: 11 kmh Cinturón de seguridad del conductor (1. Desabrochado): 1.00</t>
  </si>
  <si>
    <t>Velocidad máxima: 14 kmh Cinturón de seguridad del conductor (1. Desabrochado): 1.00</t>
  </si>
  <si>
    <t>Velocidad máxima: 11 kmh Aceleración hacia delante o frenado: 0.45 g-force, Ignición: 1.00</t>
  </si>
  <si>
    <t>ECOPETROL RUBIALES- Quifa - CAÑO SUR: Rb 320 4 324 126 129 195 14 325 316 143 217 1 26 523 256 28, Puerto Gaitán, Meta, Colombia</t>
  </si>
  <si>
    <t>ECOPETROL RUBIALES- Quifa - CAÑO SUR: Rb 4 324 126 129 195 14 325 316 143 217 1 26 523 256 28, Puerto Gaitán, Meta, Colombia</t>
  </si>
  <si>
    <t>Velocidad máxima: 26 kmh Cinturón de seguridad del conductor (1. Desabrochado): 1.00</t>
  </si>
  <si>
    <t>Velocidad máxima: 15 kmh Cinturón de seguridad del conductor (1. Desabrochado): 1.00</t>
  </si>
  <si>
    <t>Velocidad máxima: 22 kmh Cinturón de seguridad del conductor (1. Desabrochado): 1.00</t>
  </si>
  <si>
    <t>Velocidad máxima: 7 kmh Aceleración de lado a lado: 0.50 g-force, Ignición: 1.00</t>
  </si>
  <si>
    <t>Velocidad máxima: 16 kmh Cinturón de seguridad del conductor (1. Desabrochado): 1.00</t>
  </si>
  <si>
    <t>ECOPETROL RUBIALES- Quifa - CAÑO SUR: Rb 280, Puerto Gaitán, Meta, Colombia</t>
  </si>
  <si>
    <t>Velocidad máxima: 11 kmh Ignición: 1.00 , Aceleración de lado a lado: 0.48 g-force</t>
  </si>
  <si>
    <t>Velocidad máxima: 9 kmh Ignición: 1.00 , Aceleración de lado a lado: -0.52 g-force</t>
  </si>
  <si>
    <t>Velocidad máxima: 30 kmh</t>
  </si>
  <si>
    <t>CAMPAMENTO QUIFA, ECOPETROL RUBIALES- Quifa - CAÑO SUR, Puerto Gaitan - Rubiales, Puerto Gaitán, Meta, Colombia, Campamento Quifa - CMA: Puerto Gaitan - Rubiales, Puerto Gaitán, Meta, Colombia</t>
  </si>
  <si>
    <t>Velocidad máxima: 28 kmh (Velocidad máxima en carretera: 7 kmh)</t>
  </si>
  <si>
    <t>Velocidad máxima: 12 kmh Aceleración de lado a lado: -0.60 g-force, Ignición: 1.00</t>
  </si>
  <si>
    <t>Velocidad máxima: 14 kmh Aceleración de lado a lado: -0.50 g-force, Ignición: 1.00</t>
  </si>
  <si>
    <t>Velocidad máxima: 14 kmh Aceleración de lado a lado: -0.61 g-force, Ignición: 1.00</t>
  </si>
  <si>
    <t>Velocidad máxima: 26 kmh (Velocidad máxima en carretera: 7 kmh)</t>
  </si>
  <si>
    <t>ECOPETROL RUBIALES- Quifa - CAÑO SUR, Campamento Quifa - CMA: Puerto Gaitan - Rubiales, Puerto Gaitán, Meta, Colombia</t>
  </si>
  <si>
    <t>Presión del riel de combustible/sistema - banco demasiado alto 1</t>
  </si>
  <si>
    <t>La luz de advertencia del vehículo está encendida</t>
  </si>
  <si>
    <t>Alerta de problema en el motor</t>
  </si>
  <si>
    <t>Velocidad máxima: 13 kmh (Velocidad máxima en carretera: 7 kmh)</t>
  </si>
  <si>
    <t>ECOPETROL RUBIALES- Quifa - CAÑO SUR: Vía QF-578, Puerto Gaitán, Meta, Colombia</t>
  </si>
  <si>
    <t>PKU249</t>
  </si>
  <si>
    <t>bB2</t>
  </si>
  <si>
    <t>Velocidad máxima: 47 kmh</t>
  </si>
  <si>
    <t>Velocidad máxima: 34 kmh</t>
  </si>
  <si>
    <t>Velocidad máxima: 36 kmh</t>
  </si>
  <si>
    <t>Velocidad máxima: 40 kmh</t>
  </si>
  <si>
    <t>ECOPETROL RUBIALES- Quifa - CAÑO SUR: Via QF- 85, Puerto Gaitán, Meta, Colombia</t>
  </si>
  <si>
    <t>Velocidad máxima: 43 kmh</t>
  </si>
  <si>
    <t>Velocidad máxima: 45 kmh</t>
  </si>
  <si>
    <t>Velocidad máxima: 46 kmh</t>
  </si>
  <si>
    <t>Velocidad máxima: 27 kmh</t>
  </si>
  <si>
    <t>Velocidad máxima: 38 kmh</t>
  </si>
  <si>
    <t>Velocidad máxima: 12 kmh Aceleración de lado a lado: -0.48 g-force, Ignición: 1.00</t>
  </si>
  <si>
    <t>Velocidad máxima: 49 kmh</t>
  </si>
  <si>
    <t>CAMPAMENTO QUIFA, ECOPETROL RUBIALES- Quifa - CAÑO SUR, Campamento Quifa - CMA: Puerto Gaitan - Rubiales, Puerto Gaitán, Meta, Colombia</t>
  </si>
  <si>
    <t>Velocidad máxima: 24 kmh (Velocidad máxima en carretera: 7 kmh)</t>
  </si>
  <si>
    <t>ECOPETROL RUBIALES- Quifa - CAÑO SUR: Via QF-149, Puerto Gaitán, Meta, Colombia</t>
  </si>
  <si>
    <t>Velocidad máxima: 40 kmh (Velocidad máxima en carretera: 7 kmh)</t>
  </si>
  <si>
    <t>PKU269</t>
  </si>
  <si>
    <t>bB0</t>
  </si>
  <si>
    <t>Mtto 5000 Km Realizado</t>
  </si>
  <si>
    <t>Velocidad máxima: 18 kmh (Velocidad máxima en carretera: 7 kmh)</t>
  </si>
  <si>
    <t>Velocidad máxima: 20 kmh (Velocidad máxima en carretera: 7 kmh)</t>
  </si>
  <si>
    <t>Velocidad máxima: 12 kmh Aceleración de lado a lado: -0.56 g-force, Ignición: 1.00</t>
  </si>
  <si>
    <t>Velocidad máxima: 19 kmh</t>
  </si>
  <si>
    <t>Velocidad máxima: 22 kmh (Velocidad máxima en carretera: 7 kmh)</t>
  </si>
  <si>
    <t>Velocidad máxima: 14 kmh Aceleración de lado a lado: 0.50 g-force, Ignición: 1.00</t>
  </si>
  <si>
    <t>Velocidad máxima: 15 kmh (Velocidad máxima en carretera: 7 kmh)</t>
  </si>
  <si>
    <t>ECOPETROL RUBIALES- Quifa - CAÑO SUR: Rb 443 358, Puerto Gaitán, Meta, Colombia</t>
  </si>
  <si>
    <t>PKU280</t>
  </si>
  <si>
    <t>bAD</t>
  </si>
  <si>
    <t>Velocidad máxima: 8 kmh Aceleración de lado a lado: -0.52 g-force, Ignición: 1.00</t>
  </si>
  <si>
    <t>ECOPETROL RUBIALES- Quifa - CAÑO SUR: Alto Neblinas, Puerto Gaitán, Meta, Colombia</t>
  </si>
  <si>
    <t>Velocidad máxima: 25 kmh Aceleración de lado a lado: -0.64 g-force, Ignición: 1.00</t>
  </si>
  <si>
    <t>Velocidad máxima: 24 kmh Aceleración de lado a lado: -0.51 g-force, Ignición: 1.00</t>
  </si>
  <si>
    <t>Exceso Velocidad 20 Km/h</t>
  </si>
  <si>
    <t>ECOPETROL RUBIALES- Quifa - CAÑO SUR, Mito 1 frente: Vía Sin Nombre, Puerto Gaitán, Meta, Colombia</t>
  </si>
  <si>
    <t>Cliente, Vel Max 40 Km/h, Vel Max 20 Km/h</t>
  </si>
  <si>
    <t>Velocidad máxima: 21 kmh Aceleración de lado a lado: 0.49 g-force, Ignición: 1.00</t>
  </si>
  <si>
    <t>Frenado brusco</t>
  </si>
  <si>
    <t>Velocidad máxima: 34 kmh Aceleración hacia delante o frenado: -7.36 g-force, Ignición: 1.00</t>
  </si>
  <si>
    <t>Velocidad máxima: 34 kmh Aceleración de lado a lado: -0.66 g-force, Ignición: 1.00</t>
  </si>
  <si>
    <t>Posible colisión (heredado)</t>
  </si>
  <si>
    <t>Aceleración hacia delante o frenado: -7.36 g-force, Aceleración de lado a lado: -0.62 g-force</t>
  </si>
  <si>
    <t>Velocidad máxima: 34 kmh Aceleración de lado a lado: 2.49 g-force, Ignición: 1.00</t>
  </si>
  <si>
    <t>Velocidad máxima: 33 kmh Aceleración hacia delante o frenado: 1.21 g-force, Ignición: 1.00</t>
  </si>
  <si>
    <t>Velocidad máxima: 33 kmh Aceleración de lado a lado: -0.63 g-force, Ignición: 1.00</t>
  </si>
  <si>
    <t>Velocidad máxima: 33 kmh Aceleración hacia delante o frenado: -1.00 g-force, Ignición: 1.00</t>
  </si>
  <si>
    <t>Alerta: Se excedió el límite de aceleración para colisiones</t>
  </si>
  <si>
    <t>Velocidad máxima: 32 kmh Aceleración hacia delante o frenado: 0.64 g-force, Ignición: 1.00</t>
  </si>
  <si>
    <t>Velocidad máxima: 31 kmh Aceleración de lado a lado: -0.63 g-force, Ignición: 1.00</t>
  </si>
  <si>
    <t>Velocidad máxima: 27 kmh Aceleración hacia delante o frenado: -0.69 g-force, Ignición: 1.00</t>
  </si>
  <si>
    <t>Velocidad máxima: 19 kmh Aceleración hacia delante o frenado: -0.63 g-force, Ignición: 1.00</t>
  </si>
  <si>
    <t>Velocidad máxima: 18 kmh Aceleración de lado a lado: 0.54 g-force, Ignición: 1.00</t>
  </si>
  <si>
    <t>PKU307</t>
  </si>
  <si>
    <t>bAE</t>
  </si>
  <si>
    <t>Saul</t>
  </si>
  <si>
    <t>Mejia</t>
  </si>
  <si>
    <t>Saul.mejia@magnexgroup.com</t>
  </si>
  <si>
    <t>bC9</t>
  </si>
  <si>
    <t>ARL</t>
  </si>
  <si>
    <t>Company Group</t>
  </si>
  <si>
    <t>ECOPETROL RUBIALES- Quifa - CAÑO SUR, VEREDA PORVENIR: Resguardo Indígena, Puerto Gaitán, Meta, Colombia</t>
  </si>
  <si>
    <t>ECOPETROL RUBIALES- Quifa - CAÑO SUR, VEREDA BUENOS AIRES: 6789, Puerto Gaitán, Meta, Colombia</t>
  </si>
  <si>
    <t>ECOPETROL RUBIALES- Quifa - CAÑO SUR, VEREDA BUENOS AIRES: Rb 445 84 115 363, Puerto Gaitán, Meta, Colombia</t>
  </si>
  <si>
    <t>ECOPETROL RUBIALES- Quifa - CAÑO SUR, VEREDA BUENOS AIRES: Panadería Canaima, Puerto Gaitán, Meta, Colombia</t>
  </si>
  <si>
    <t>ECOPETROL RUBIALES- Quifa - CAÑO SUR, CAMPAMENTO ARRAYANES: Campamento Manacacias, Puerto Gaitán, Meta, Colombia</t>
  </si>
  <si>
    <t>ECOPETROL RUBIALES- Quifa - CAÑO SUR, CAMPAMENTO ARRAYANES: Paradero Arrayanes, Puerto Gaitán, Meta, Colombia</t>
  </si>
  <si>
    <t>ECOPETROL RUBIALES- Quifa - CAÑO SUR, CAMPAMENTO ARRAYANES: Vía Arrayanes, Puerto Gaitán, Meta, Colombia</t>
  </si>
  <si>
    <t>ECOPETROL RUBIALES- Quifa - CAÑO SUR: Vía La Culebra, Puerto Gaitán, Meta, Colombia</t>
  </si>
  <si>
    <t>ECOPETROL RUBIALES- Quifa - CAÑO SUR: Hato San Fernando, Puerto Gaitán, Meta, Colombia</t>
  </si>
  <si>
    <t>ECOPETROL RUBIALES- Quifa - CAÑO SUR, Zona Accidentalidad: Alto Neblinas, Puerto Gaitán, Meta, Colombia</t>
  </si>
  <si>
    <t>Velocidad máxima: 15 kmh Aceleración de lado a lado: -0.55 g-force, Ignición: 1.00</t>
  </si>
  <si>
    <t>PUERTO GAITAN-CAMPO RUBIALES: Alto Neblinas, Puerto Gaitán, Meta, Colombia</t>
  </si>
  <si>
    <t>Vel Max 50 Km/h, Cliente</t>
  </si>
  <si>
    <t>Clase de vehículo para métricas de seguridad: Otra clase (no estandarizada), Velocidad máxima: 26 kmh,  Ignición: 1</t>
  </si>
  <si>
    <t>Velocidad máxima: 18 kmh Aceleración de lado a lado: 0.48 g-force, Ignición: 1.00</t>
  </si>
  <si>
    <t>Clase de vehículo para métricas de seguridad: Otra clase (no estandarizada), Velocidad máxima: 23 kmh,  Ignición: 1</t>
  </si>
  <si>
    <t>Velocidad máxima: 35 kmh Cinturón de seguridad del conductor (1. Desabrochado): 1.00</t>
  </si>
  <si>
    <t>Velocidad máxima: 26 kmh Aceleración de lado a lado: -0.70 g-force, Ignición: 1.00</t>
  </si>
  <si>
    <t>Velocidad máxima: 26 kmh Aceleración de lado a lado: -0.52 g-force, Ignición: 1.00</t>
  </si>
  <si>
    <t>PMV840</t>
  </si>
  <si>
    <t>b13A</t>
  </si>
  <si>
    <t>Cra. 52 # 13-65, Puente Aranda, Bogotá, D.C., Bogotá, Bogotá, D.C., Colombia</t>
  </si>
  <si>
    <t>Velocidad máxima: 14 kmh Aceleración hacia delante o frenado: 0.46 g-force, Ignición: 1.00</t>
  </si>
  <si>
    <t>Base Zona 3 Enel: Cra. 65b # 13-60, Puente Aranda, Bogotá, D.C., Bogotá, Bogotá, D.C., Colombia</t>
  </si>
  <si>
    <t>QLO286</t>
  </si>
  <si>
    <t>b1</t>
  </si>
  <si>
    <t>Vehicle, Diesel, ECP 1107 Rubiales Serv. Integrales</t>
  </si>
  <si>
    <t>Diesel, ECP 1107 Rubiales Serv. Integrales, Vehicle</t>
  </si>
  <si>
    <t>ECOPETROL RUBIALES- Quifa - CAÑO SUR, CPF 2: Vía CPF 2, Puerto Gaitán, Meta, Colombia</t>
  </si>
  <si>
    <t>ECOPETROL RUBIALES- Quifa - CAÑO SUR, CAMPAMENTO ARRAYANES: Cluster 47, Puerto Gaitán, Meta, Colombia</t>
  </si>
  <si>
    <t>ECOPETROL RUBIALES- Quifa - CAÑO SUR, OFICINAS ECOPETROL ARRAYANES, CAMPAMENTO ARRAYANES: Round Point Arrayanes, Paradero Arrayanes, Puerto Gaitán, Meta, Colombia</t>
  </si>
  <si>
    <t>Cliente, Vel Max 40 Km/h, Vel Max 10 Km/h, Vel Max 20 Km/h</t>
  </si>
  <si>
    <t>Rubiales, Rubiales, Rubiales</t>
  </si>
  <si>
    <t>ECOPETROL RUBIALES- Quifa - CAÑO SUR, OFICINAS ECOPETROL ARRAYANES, CAMPAMENTO ARRAYANES: Puerto Gaitan - Rubiales, Puerto Gaitán, Meta, Colombia</t>
  </si>
  <si>
    <t>ECOPETROL RUBIALES- Quifa - CAÑO SUR, OFICINAS ECOPETROL ARRAYANES, CAMPAMENTO ARRAYANES: Paradero Arrayanes, Puerto Gaitán, Meta, Colombia</t>
  </si>
  <si>
    <t>ECOPETROL RUBIALES- Quifa - CAÑO SUR, CAMPAMENTO ARRAYANES: Hotel Pacific Rubiales, Puerto Gaitán, Meta, Colombia</t>
  </si>
  <si>
    <t>ECOPETROL RUBIALES- Quifa - CAÑO SUR: Batería 3, Puerto Gaitán, Meta, Colombia</t>
  </si>
  <si>
    <t>Aceleración brusca (nuevo)</t>
  </si>
  <si>
    <t>Clase de vehículo para métricas de seguridad: Otra clase (no estandarizada), Velocidad máxima: 3 kmh,  Ignición: 1</t>
  </si>
  <si>
    <t>ECOPETROL RUBIALES- Quifa - CAÑO SUR: Arrayanes, Puerto Gaitán, Meta, Colombia</t>
  </si>
  <si>
    <t>ECOPETROL RUBIALES- Quifa - CAÑO SUR: Cluster 30 Rb 30 62 63 64, Puerto Gaitán, Meta, Colombia</t>
  </si>
  <si>
    <t>ECOPETROL RUBIALES- Quifa - CAÑO SUR: Rb 140, Puerto Gaitán, Meta, Colombia</t>
  </si>
  <si>
    <t>Clase de vehículo para métricas de seguridad: Otra clase (no estandarizada), Velocidad máxima: 32 kmh,  Ignición: 1</t>
  </si>
  <si>
    <t>ECOPETROL RUBIALES- Quifa - CAÑO SUR: Cluster 39 Rb 140, Puerto Gaitán, Meta, Colombia</t>
  </si>
  <si>
    <t>ECOPETROL RUBIALES- Quifa - CAÑO SUR: Panadería Canaima, Puerto Gaitán, Meta, Colombia</t>
  </si>
  <si>
    <t>ECOPETROL RUBIALES- Quifa - CAÑO SUR, VEREDA BUENOS AIRES</t>
  </si>
  <si>
    <t>ECOPETROL RUBIALES- Quifa - CAÑO SUR, VEREDA BUENOS AIRES: Finca San Pedro, Puerto Gaitán, Meta, Colombia</t>
  </si>
  <si>
    <t>ECOPETROL RUBIALES- Quifa - CAÑO SUR, VEREDA BUENOS AIRES: Rb 162, Puerto Gaitán, Meta, Colombia</t>
  </si>
  <si>
    <t>ECOPETROL RUBIALES- Quifa - CAÑO SUR, VEREDA BUENOS AIRES: Rb 162 6, Puerto Gaitán, Meta, Colombia</t>
  </si>
  <si>
    <t>ECOPETROL RUBIALES- Quifa - CAÑO SUR: Rb 162 6, Puerto Gaitán, Meta, Colombia</t>
  </si>
  <si>
    <t>ECOPETROL RUBIALES- Quifa - CAÑO SUR, VEREDA BUENOS AIRES: Arrayanes, Puerto Gaitán, Meta, Colombia</t>
  </si>
  <si>
    <t>ECOPETROL RUBIALES- Quifa - CAÑO SUR: Rb 80, Puerto Gaitán, Meta, Colombia</t>
  </si>
  <si>
    <t>Clase de vehículo para métricas de seguridad: Otra clase (no estandarizada), Velocidad máxima: 1 kmh,  Ignición: 1</t>
  </si>
  <si>
    <t>ECOPETROL RUBIALES- Quifa - CAÑO SUR: Rb 294 Finca Los Barraganes Pad 6, Puerto Gaitán, Meta, Colombia</t>
  </si>
  <si>
    <t>Velocidad máxima: 48 kmh</t>
  </si>
  <si>
    <t>Clase de vehículo para métricas de seguridad: Otra clase (no estandarizada), Velocidad máxima: 0 kmh,  Ignición: 1</t>
  </si>
  <si>
    <t>ECOPETROL RUBIALES- Quifa - CAÑO SUR: Rb 534 Finca La Pradera, Puerto Gaitán, Meta, Colombia</t>
  </si>
  <si>
    <t>ECOPETROL RUBIALES- Quifa - CAÑO SUR: Rb 18 534, Puerto Gaitán, Meta, Colombia</t>
  </si>
  <si>
    <t>Clase de vehículo para métricas de seguridad: Otra clase (no estandarizada), Velocidad máxima: 4 kmh,  Ignición: 1</t>
  </si>
  <si>
    <t>Clase de vehículo para métricas de seguridad: Otra clase (no estandarizada), Velocidad máxima: 9 kmh,  Ignición: 1</t>
  </si>
  <si>
    <t>Clase de vehículo para métricas de seguridad: Otra clase (no estandarizada), Velocidad máxima: 7 kmh,  Ignición: 1</t>
  </si>
  <si>
    <t>Clase de vehículo para métricas de seguridad: Otra clase (no estandarizada), Velocidad máxima: 34 kmh,  Ignición: 1</t>
  </si>
  <si>
    <t>Clase de vehículo para métricas de seguridad: Otra clase (no estandarizada), Velocidad máxima: 6 kmh,  Ignición: 1</t>
  </si>
  <si>
    <t>Clase de vehículo para métricas de seguridad: Otra clase (no estandarizada), Velocidad máxima: 35 kmh,  Ignición: 1</t>
  </si>
  <si>
    <t>Clase de vehículo para métricas de seguridad: Otra clase (no estandarizada), Velocidad máxima: 24 kmh,  Ignición: 1</t>
  </si>
  <si>
    <t>ECOPETROL RUBIALES- Quifa - CAÑO SUR: Rb 445 84 115 363, Puerto Gaitán, Meta, Colombia</t>
  </si>
  <si>
    <t>ECOPETROL RUBIALES- Quifa - CAÑO SUR: 818282 Vereda Rubiales, Puerto Gaitán, Meta, Colombia</t>
  </si>
  <si>
    <t>ECOPETROL RUBIALES- Quifa - CAÑO SUR: Rb 233, Puerto Gaitán, Meta, Colombia</t>
  </si>
  <si>
    <t>Clase de vehículo para métricas de seguridad: Otra clase (no estandarizada), Velocidad máxima: 27 kmh,  Ignición: 1</t>
  </si>
  <si>
    <t>ECOPETROL RUBIALES- Quifa - CAÑO SUR: Rb 445, Puerto Gaitán, Meta, Colombia</t>
  </si>
  <si>
    <t>ECOPETROL RUBIALES- Quifa - CAÑO SUR: Rb 84 115 363, Puerto Gaitán, Meta, Colombia</t>
  </si>
  <si>
    <t>Velocidad máxima: 50 kmh</t>
  </si>
  <si>
    <t>ECOPETROL RUBIALES- Quifa - CAÑO SUR: Rb 115 363, Puerto Gaitán, Meta, Colombia</t>
  </si>
  <si>
    <t>ECOPETROL RUBIALES- Quifa - CAÑO SUR: Rb 115, Puerto Gaitán, Meta, Colombia</t>
  </si>
  <si>
    <t>ECOPETROL RUBIALES- Quifa - CAÑO SUR: Rb 363, Puerto Gaitán, Meta, Colombia</t>
  </si>
  <si>
    <t>ECOPETROL RUBIALES- Quifa - CAÑO SUR, VEREDA PORVENIR: 67MCQJ8P+7H, El Porvenir, Puerto Gaitán, Meta, Colombia</t>
  </si>
  <si>
    <t>ECOPETROL RUBIALES- Quifa - CAÑO SUR: Resguardo Indígena, Puerto Gaitán, Meta, Colombia</t>
  </si>
  <si>
    <t>Clase de vehículo para métricas de seguridad: Otra clase (no estandarizada), Velocidad máxima: 5 kmh,  Ignición: 1</t>
  </si>
  <si>
    <t>ECOPETROL RUBIALES- Quifa - CAÑO SUR, VEREDA BUENOS AIRES: Km. 169, Sector Buenos Aires, Escuela Nueva Rubiales, Puerto Gaitán, Meta, Colombia</t>
  </si>
  <si>
    <t>ECOPETROL RUBIALES- Quifa - CAÑO SUR: Rb 141, Puerto Gaitán, Meta, Colombia</t>
  </si>
  <si>
    <t>Velocidad máxima: 53 kmh</t>
  </si>
  <si>
    <t>Velocidad máxima: 52 kmh</t>
  </si>
  <si>
    <t>ECOPETROL RUBIALES- Quifa - CAÑO SUR: Piscina 06 05 04 02 03 08 Rb 92 352 293 287 239 291, Puerto Gaitán, Meta, Colombia</t>
  </si>
  <si>
    <t>Clase de vehículo para métricas de seguridad: Otra clase (no estandarizada), Velocidad máxima: 31 kmh,  Ignición: 1</t>
  </si>
  <si>
    <t>ECOPETROL RUBIALES- Quifa - CAÑO SUR: Piscina 06 05 04 02 03 08 Rb 286 90 92 352 293 287 239 291, Puerto Gaitán, Meta, Colombia</t>
  </si>
  <si>
    <t>ECOPETROL RUBIALES- Quifa - CAÑO SUR: Piscina 06 05 04 02 03 08 Rb 286 90 92 352 293 287 239 291, Meta, 502057, Colombia</t>
  </si>
  <si>
    <t>ECOPETROL RUBIALES- Quifa - CAÑO SUR: Rb 286 90, Puerto Gaitán, Meta, Colombia</t>
  </si>
  <si>
    <t>ECOPETROL RUBIALES- Quifa - CAÑO SUR: Vía a RB-1052, Puerto Gaitán, Meta, Colombia</t>
  </si>
  <si>
    <t>ECOPETROL RUBIALES- Quifa - CAÑO SUR: Rb 90, Puerto Gaitán, Meta, Colombia</t>
  </si>
  <si>
    <t>ECOPETROL RUBIALES- Quifa - CAÑO SUR, CAMPAMENTO MI LLANURA: Rb 90, Puerto Gaitán, Meta, Colombia</t>
  </si>
  <si>
    <t>ECOPETROL RUBIALES- Quifa - CAÑO SUR: Rb 92, Puerto Gaitán, Meta, Colombia</t>
  </si>
  <si>
    <t>ECOPETROL RUBIALES- Quifa - CAÑO SUR: Piscina 06 05 04 02 03 08 Rb 352 293 287 239 291, Puerto Gaitán, Meta, Colombia</t>
  </si>
  <si>
    <t>ECOPETROL RUBIALES- Quifa - CAÑO SUR: Rb 287 239 291, Puerto Gaitán, Meta, Colombia</t>
  </si>
  <si>
    <t>ECOPETROL RUBIALES- Quifa - CAÑO SUR: Rb 239 291, Puerto Gaitán, Meta, Colombia</t>
  </si>
  <si>
    <t>ECOPETROL RUBIALES- Quifa - CAÑO SUR: Cluster 41 Rb 111 Pco 13, Puerto Gaitán, Meta, Colombia</t>
  </si>
  <si>
    <t>ECOPETROL RUBIALES- Quifa - CAÑO SUR: Cluster 41, Puerto Gaitán, Meta, Colombia</t>
  </si>
  <si>
    <t>ECOPETROL RUBIALES- Quifa - CAÑO SUR: Rb 111 Pco 13, Puerto Gaitán, Meta, Colombia</t>
  </si>
  <si>
    <t>ECOPETROL RUBIALES- Quifa - CAÑO SUR: Pco 13, Puerto Gaitán, Meta, Colombia</t>
  </si>
  <si>
    <t>ECOPETROL RUBIALES- Quifa - CAÑO SUR: Vía a RB-561, Puerto Gaitán, Meta, Colombia</t>
  </si>
  <si>
    <t>ECOPETROL RUBIALES- Quifa - CAÑO SUR: Vía a RB-741, Puerto Gaitán, Meta, Colombia</t>
  </si>
  <si>
    <t>Clase de vehículo para métricas de seguridad: Otra clase (no estandarizada), Velocidad máxima: 19 kmh,  Ignición: 1</t>
  </si>
  <si>
    <t>ECOPETROL RUBIALES- Quifa - CAÑO SUR: Campamento Manacacias, Puerto Gaitán, Meta, Colombia</t>
  </si>
  <si>
    <t>ECOPETROL RUBIALES- Quifa - CAÑO SUR: Vía Arrayanes, Puerto Gaitán, Meta, Colombia</t>
  </si>
  <si>
    <t>ECOPETROL RUBIALES- Quifa - CAÑO SUR, CPF 2: CCO CPF2, Puerto Gaitán, Meta, Colombia</t>
  </si>
  <si>
    <t>ECOPETROL RUBIALES- Quifa - CAÑO SUR: Vía Campamento Proyectos, Puerto Gaitán, Meta, Colombia</t>
  </si>
  <si>
    <t>ECOPETROL RUBIALES- Quifa - CAÑO SUR, EDS RUBIALES: Comedor Base Antigua, Puerto Gaitán, Meta, Colombia</t>
  </si>
  <si>
    <t>ECOPETROL RUBIALES- Quifa - CAÑO SUR, EDS RUBIALES - BATERIA 1: Vía Surtidor De Combustible, Puerto Gaitán, Meta, Colombia</t>
  </si>
  <si>
    <t>Velocidad máxima: 10 kmh Cinturón de seguridad del conductor (1. Desabrochado): 1.00</t>
  </si>
  <si>
    <t>Velocidad máxima: 28 kmh Cinturón de seguridad del conductor (1. Desabrochado): 1.00</t>
  </si>
  <si>
    <t>ECOPETROL RUBIALES- Quifa - CAÑO SUR: Rb 239, Puerto Gaitán, Meta, Colombia</t>
  </si>
  <si>
    <t>Clase de vehículo para métricas de seguridad: Otra clase (no estandarizada), Velocidad máxima: 17 kmh,  Ignición: 1</t>
  </si>
  <si>
    <t>Velocidad máxima: 16 kmh Aceleración de lado a lado: -0.48 g-force, Ignición: 1.00</t>
  </si>
  <si>
    <t>Velocidad máxima: 12 kmh Aceleración de lado a lado: 0.55 g-force, Ignición: 1.00</t>
  </si>
  <si>
    <t>ECOPETROL RUBIALES- Quifa - CAÑO SUR: Rb 84, Puerto Gaitán, Meta, Colombia</t>
  </si>
  <si>
    <t>Velocidad máxima: 17 kmh Cinturón de seguridad del conductor (1. Desabrochado): 1.00</t>
  </si>
  <si>
    <t>QLT513</t>
  </si>
  <si>
    <t>bAB</t>
  </si>
  <si>
    <t>Luis Felipe</t>
  </si>
  <si>
    <t>Gomez Perdomo</t>
  </si>
  <si>
    <t>luis.gomez@magnexgroup.com</t>
  </si>
  <si>
    <t>QLT519</t>
  </si>
  <si>
    <t>bAF</t>
  </si>
  <si>
    <t>QLT528</t>
  </si>
  <si>
    <t>bB4</t>
  </si>
  <si>
    <t>Velocidad máxima: 32 kmh (Velocidad máxima en carretera: 7 kmh)</t>
  </si>
  <si>
    <t>Velocidad máxima: 36 kmh (Velocidad máxima en carretera: 7 kmh)</t>
  </si>
  <si>
    <t>CAMPAMENTO QUIFA, ECOPETROL RUBIALES- Quifa - CAÑO SUR: Puerto Gaitan - Rubiales, Puerto Gaitán, Meta, Colombia</t>
  </si>
  <si>
    <t>CAMPAMENTO QUIFA, ECOPETROL RUBIALES- Quifa - CAÑO SUR: Ent. CAMPAMENTO, Puerto Gaitán, Meta, Colombia</t>
  </si>
  <si>
    <t>Velocidad máxima: 30 kmh (Velocidad máxima en carretera: 7 kmh)</t>
  </si>
  <si>
    <t>Velocidad máxima: 32 kmh Aceleración de lado a lado: -0.48 g-force, Ignición: 1.00</t>
  </si>
  <si>
    <t>Clase de vehículo para métricas de seguridad: Otra clase (no estandarizada), Velocidad máxima: 20 kmh,  Ignición: 1</t>
  </si>
  <si>
    <t>ECOPETROL RUBIALES- Quifa - CAÑO SUR, Puerto Triunfo - Estacion Policia: Vía La Primera Vara, Puerto Gaitán, Meta, Colombia</t>
  </si>
  <si>
    <t>Velocidad máxima: 40 kmh Ignición: 1.00 , Aceleración de lado a lado: -0.59 g-force</t>
  </si>
  <si>
    <t>Velocidad máxima: 40 kmh Ignición: 1.00 , Aceleración de lado a lado: -0.50 g-force</t>
  </si>
  <si>
    <t>ECOPETROL RUBIALES- Quifa - CAÑO SUR: VIA QF-148, Puerto Gaitán, Meta, Colombia</t>
  </si>
  <si>
    <t>Velocidad máxima: 51 kmh</t>
  </si>
  <si>
    <t>ECOPETROL RUBIALES- Quifa - CAÑO SUR, Puerto Triunfo - Estacion Policia: Km 129, Puerto Gaitan - Rubiales, Puerto Gaitán, Meta, Colombia</t>
  </si>
  <si>
    <t>Clase de vehículo para métricas de seguridad: Otra clase (no estandarizada), Velocidad máxima: 25 kmh,  Ignición: 1</t>
  </si>
  <si>
    <t>QLT538</t>
  </si>
  <si>
    <t>bAC</t>
  </si>
  <si>
    <t>enviar a taller por la 553 que ya debe estar lista</t>
  </si>
  <si>
    <t>Velocidad máxima: 27 kmh (Velocidad máxima en carretera: 7 kmh)</t>
  </si>
  <si>
    <t>Velocidad máxima: 21 kmh (Velocidad máxima en carretera: 7 kmh)</t>
  </si>
  <si>
    <t>ECOPETROL RUBIALES- Quifa - CAÑO SUR, PUESTRO CONTROL QUIFA: Puerto Gaitan - Rubiales, Puerto Gaitán, Meta, Colombia</t>
  </si>
  <si>
    <t>ECOPETROL RUBIALES- Quifa - CAÑO SUR: Vía a QF-306, Puerto Gaitán, Meta, Colombia</t>
  </si>
  <si>
    <t>Velocidad máxima: 14 kmh (Velocidad máxima en carretera: 7 kmh)</t>
  </si>
  <si>
    <t>Velocidad máxima: 17 kmh (Velocidad máxima en carretera: 7 kmh)</t>
  </si>
  <si>
    <t>Velocidad máxima: 25 kmh (Velocidad máxima en carretera: 7 kmh)</t>
  </si>
  <si>
    <t>Velocidad máxima: 19 kmh (Velocidad máxima en carretera: 7 kmh)</t>
  </si>
  <si>
    <t>QLT551</t>
  </si>
  <si>
    <t>bA7</t>
  </si>
  <si>
    <t>Velocidad máxima: 14 kmh Aceleración de lado a lado: -0.48 g-force, Ignición: 1.00</t>
  </si>
  <si>
    <t>ECOPETROL RUBIALES- Quifa - CAÑO SUR, Puerto Triunfo - Estacion Policia: Puerto Gaitan - Rubiales #Km 129, Puerto Gaitán, Meta, Colombia</t>
  </si>
  <si>
    <t>Velocidad máxima: 18 kmh Aceleración de lado a lado: -0.48 g-force, Ignición: 1.00</t>
  </si>
  <si>
    <t>Velocidad máxima: 7 kmh Aceleración de lado a lado: -0.48 g-force, Ignición: 1.00</t>
  </si>
  <si>
    <t>Velocidad máxima: 14 kmh Aceleración de lado a lado: 0.48 g-force, Ignición: 1.00</t>
  </si>
  <si>
    <t>ECOPETROL RUBIALES- Quifa - CAÑO SUR: Via Quifa 13, Puerto Gaitán, Meta, Colombia</t>
  </si>
  <si>
    <t>Velocidad máxima: 15 kmh Aceleración de lado a lado: -0.47 g-force, Ignición: 1.00</t>
  </si>
  <si>
    <t>Velocidad máxima: 11 kmh Aceleración de lado a lado: -0.49 g-force, Ignición: 1.00</t>
  </si>
  <si>
    <t>QLT553</t>
  </si>
  <si>
    <t>bA8</t>
  </si>
  <si>
    <t>Mtto 5000 Km Realizado a 5290.</t>
  </si>
  <si>
    <t>ECOPETROL RUBIALES- Quifa - CAÑO SUR: Qf 78, Puerto Gaitán, Meta, Colombia</t>
  </si>
  <si>
    <t>Velocidad máxima: 17 kmh Aceleración de lado a lado: 0.57 g-force, Ignición: 1.00</t>
  </si>
  <si>
    <t>Velocidad máxima: 16 kmh Aceleración de lado a lado: -0.52 g-force, Ignición: 1.00</t>
  </si>
  <si>
    <t>Velocidad máxima: 17 kmh Aceleración de lado a lado: -0.47 g-force, Ignición: 1.00</t>
  </si>
  <si>
    <t>ECOPETROL RUBIALES- Quifa - CAÑO SUR: Qf 045, Puerto Gaitán, Meta, Colombia</t>
  </si>
  <si>
    <t>Velocidad máxima: 14 kmh Aceleración de lado a lado: 0.54 g-force, Ignición: 1.00</t>
  </si>
  <si>
    <t>Velocidad máxima: 12 kmh Aceleración de lado a lado: -0.49 g-force, Ignición: 1.00</t>
  </si>
  <si>
    <t>Velocidad máxima: 26 kmh Aceleración de lado a lado: -0.48 g-force, Ignición: 1.00</t>
  </si>
  <si>
    <t>ECOPETROL RUBIALES- Quifa - CAÑO SUR: Qf 045 120x Pwa 127 Qf 78, Puerto Gaitán, Meta, Colombia</t>
  </si>
  <si>
    <t>ECOPETROL RUBIALES- Quifa - CAÑO SUR: VIA QF-393H, Puerto Gaitán, Meta, Colombia</t>
  </si>
  <si>
    <t>Velocidad máxima: 23 kmh Cinturón de seguridad del conductor (1. Desabrochado): 1.00</t>
  </si>
  <si>
    <t>Velocidad máxima: 9 kmh Aceleración de lado a lado: -0.48 g-force, Ignición: 1.00</t>
  </si>
  <si>
    <t>Velocidad máxima: 16 kmh Aceleración de lado a lado: -0.66 g-force, Ignición: 1.00</t>
  </si>
  <si>
    <t>Velocidad máxima: 16 kmh (Velocidad máxima en carretera: 7 kmh)</t>
  </si>
  <si>
    <t>Velocidad máxima: 12 kmh (Velocidad máxima en carretera: 7 kmh)</t>
  </si>
  <si>
    <t>QLT576</t>
  </si>
  <si>
    <t>bAA</t>
  </si>
  <si>
    <t>Mtto 5000 Km Realizado a 4965</t>
  </si>
  <si>
    <t>ECOPETROL RUBIALES- Quifa - CAÑO SUR: Pwa 127 Qf 78, Puerto Gaitán, Meta, Colombia</t>
  </si>
  <si>
    <t>Velocidad máxima: 12 kmh Ignición: 1.00 , Aceleración de lado a lado: 0.50 g-force</t>
  </si>
  <si>
    <t>ECOPETROL RUBIALES- Quifa - CAÑO SUR: QF-392, Puerto Gaitán, Meta, Colombia</t>
  </si>
  <si>
    <t>Velocidad máxima: 19 kmh Aceleración de lado a lado: -0.52 g-force, Ignición: 1.00</t>
  </si>
  <si>
    <t>Velocidad máxima: 6 kmh Aceleración de lado a lado: 0.49 g-force, Ignición: 1.00</t>
  </si>
  <si>
    <t>Velocidad máxima: 15 kmh Ignición: 1.00 , Aceleración de lado a lado: -0.50 g-force</t>
  </si>
  <si>
    <t>ECOPETROL RUBIALES- Quifa - CAÑO SUR: Vía Quifa17 a Vara, Puerto Gaitán, Meta, Colombia</t>
  </si>
  <si>
    <t>Velocidad máxima: 16 kmh Aceleración de lado a lado: -0.57 g-force, Ignición: 1.00</t>
  </si>
  <si>
    <t>Velocidad máxima: 16 kmh Aceleración de lado a lado: -0.50 g-force, Ignición: 1.00</t>
  </si>
  <si>
    <t>Velocidad máxima: 9 kmh Aceleración de lado a lado: -0.47 g-force, Ignición: 1.00</t>
  </si>
  <si>
    <t>Velocidad máxima: 19 kmh Aceleración de lado a lado: -0.70 g-force, Ignición: 1.00</t>
  </si>
  <si>
    <t>Velocidad máxima: 18 kmh Aceleración de lado a lado: -0.56 g-force, Ignición: 1.00</t>
  </si>
  <si>
    <t>Velocidad máxima: 14 kmh Ignición: 1.00 , Aceleración de lado a lado: -0.59 g-force</t>
  </si>
  <si>
    <t>ECOPETROL RUBIALES- Quifa - CAÑO SUR: Qf 53, Puerto Gaitán, Meta, Colombia</t>
  </si>
  <si>
    <t>ECOPETROL RUBIALES- Quifa - CAÑO SUR: Rb 222 273 150 278 277 360 446 453 454 447, Puerto Gaitán, Meta, Colombia</t>
  </si>
  <si>
    <t>Tiempo en ralentí (Ignición: 1.00)</t>
  </si>
  <si>
    <t>Frenado brusco (nuevo) (Clase de vehículo para métricas de seguridad: Otra clase (no estandarizada), Velocidad máxima: 14 kmh,  Ignición: 1)</t>
  </si>
  <si>
    <t>Frenado brusco (nuevo) (Clase de vehículo para métricas de seguridad: Otra clase (no estandarizada), Velocidad máxima: 8 kmh,  Ignición: 1)</t>
  </si>
  <si>
    <t>Engine Fault Exception (Fallo de dispositivo telemático: Se eliminó toda la energía y se reinició el dispositivo)</t>
  </si>
  <si>
    <t>Exceso Velocidad 60 Km/h (Velocidad máxima: 61 kmh)</t>
  </si>
  <si>
    <t>Exceso Velocidad 10 Km/h (Velocidad máxima: 23 kmh)</t>
  </si>
  <si>
    <t>Frenado brusco (nuevo) (Clase de vehículo para métricas de seguridad: Otra clase (no estandarizada), Velocidad máxima: 28 kmh,  Ignición: 1)</t>
  </si>
  <si>
    <t>Engine Fault Exception (Fallo de dispositivo telemático: El dispositivo telemático está desconectado)</t>
  </si>
  <si>
    <t>Exceso Velocidad 10 Km/h (Velocidad máxima: 10 kmh)</t>
  </si>
  <si>
    <t>Exceso Velocidad 10 Km/h (Velocidad máxima: 14 kmh)</t>
  </si>
  <si>
    <t>Exceso de velocidad (nuevo) (Velocidad máxima: 42 kmh (Velocidad máxima en carretera: 30 kmh))</t>
  </si>
  <si>
    <t>Exceso de velocidad (nuevo) (Velocidad máxima: 41 kmh (Velocidad máxima en carretera: 30 kmh))</t>
  </si>
  <si>
    <t>Exceso de velocidad (nuevo) (Velocidad máxima: 39 kmh (Velocidad máxima en carretera: 30 kmh))</t>
  </si>
  <si>
    <t>Exceso de velocidad (nuevo) (Velocidad máxima: 88 kmh (Velocidad máxima en carretera: 60 kmh))</t>
  </si>
  <si>
    <t>Exceso de velocidad (nuevo) (Velocidad máxima: 83 kmh (Velocidad máxima en carretera: 30 kmh))</t>
  </si>
  <si>
    <t>Exceso de velocidad (nuevo) (Velocidad máxima: 100 kmh (Velocidad máxima en carretera: 60 kmh))</t>
  </si>
  <si>
    <t>Exceso de velocidad (nuevo) (Velocidad máxima: 77 kmh (Velocidad máxima en carretera: 60 kmh))</t>
  </si>
  <si>
    <t>Exceso de velocidad (nuevo) (Velocidad máxima: 37 kmh (Velocidad máxima en carretera: 30 kmh))</t>
  </si>
  <si>
    <t>Exceso de velocidad (nuevo) (Velocidad máxima: 74 kmh (Velocidad máxima en carretera: 30 kmh))</t>
  </si>
  <si>
    <t>Exceso de velocidad (nuevo) (Velocidad máxima: 59 kmh (Velocidad máxima en carretera: 30 kmh))</t>
  </si>
  <si>
    <t>Exceso de velocidad (nuevo) (Velocidad máxima: 46 kmh (Velocidad máxima en carretera: 30 kmh))</t>
  </si>
  <si>
    <t>Exceso de velocidad (nuevo) (Velocidad máxima: 57 kmh (Velocidad máxima en carretera: 30 kmh))</t>
  </si>
  <si>
    <t>Giro brusco (nuevo) (Clase de vehículo para métricas de seguridad: Otra clase (no estandarizada), Velocidad máxima: 22 kmh,  Ignición: 1)</t>
  </si>
  <si>
    <t>Giro brusco (nuevo) (Clase de vehículo para métricas de seguridad: Otra clase (no estandarizada), Velocidad máxima: 43 kmh,  Ignición: 1)</t>
  </si>
  <si>
    <t>Giro brusco (nuevo) (Clase de vehículo para métricas de seguridad: Otra clase (no estandarizada), Velocidad máxima: 73 kmh,  Ignición: 1)</t>
  </si>
  <si>
    <t>Giro brusco (nuevo) (Clase de vehículo para métricas de seguridad: Otra clase (no estandarizada), Velocidad máxima: 71 kmh,  Ignición: 1)</t>
  </si>
  <si>
    <t>Giro brusco (Velocidad máxima: 76 kmh Aceleración de lado a lado: 0.52 g-force, Ignición: 1.00)</t>
  </si>
  <si>
    <t>Giro brusco (Velocidad máxima: 77 kmh Aceleración de lado a lado: -0.55 g-force, Ignición: 1.00)</t>
  </si>
  <si>
    <t>Exceso de velocidad (nuevo) (Velocidad máxima: 48 kmh (Velocidad máxima en carretera: 30 kmh))</t>
  </si>
  <si>
    <t>Exceso de velocidad (nuevo) (Velocidad máxima: 53 kmh (Velocidad máxima en carretera: 30 kmh))</t>
  </si>
  <si>
    <t>Frenado brusco (nuevo) (Clase de vehículo para métricas de seguridad: Otra clase (no estandarizada), Velocidad máxima: 21 kmh,  Ignición: 1)</t>
  </si>
  <si>
    <t>Frenado brusco (nuevo) (Clase de vehículo para métricas de seguridad: Otra clase (no estandarizada), Velocidad máxima: 15 kmh,  Ignición: 1)</t>
  </si>
  <si>
    <t>Exceso Velocidad 10 Km/h (Velocidad máxima: 20 kmh)</t>
  </si>
  <si>
    <t>Exceso Velocidad 10 Km/h (Velocidad máxima: 11 kmh)</t>
  </si>
  <si>
    <t>Exceso Velocidad 10 Km/h (Velocidad máxima: 16 kmh)</t>
  </si>
  <si>
    <t>Exceso Velocidad 10 Km/h (Velocidad máxima: 12 kmh)</t>
  </si>
  <si>
    <t>Exceso Velocidad 10 Km/h (Velocidad máxima: 13 kmh)</t>
  </si>
  <si>
    <t>Exceso Velocidad 10 Km/h (Velocidad máxima: 25 kmh)</t>
  </si>
  <si>
    <t>Exceso Velocidad 10 Km/h (Velocidad máxima: 22 kmh)</t>
  </si>
  <si>
    <t>Exceso Velocidad 10 Km/h (Velocidad máxima: 18 kmh)</t>
  </si>
  <si>
    <t>Exceso Velocidad 10 Km/h (Velocidad máxima: 24 kmh)</t>
  </si>
  <si>
    <t>Exceso Velocidad 10 Km/h (Velocidad máxima: 26 kmh)</t>
  </si>
  <si>
    <t>Exceso Velocidad 10 Km/h (Velocidad máxima: 17 kmh)</t>
  </si>
  <si>
    <t>Exceso Velocidad 10 Km/h (Velocidad máxima: 21 kmh)</t>
  </si>
  <si>
    <t>Giro brusco (Velocidad máxima: 18 kmh Aceleración de lado a lado: -0.47 g-force, Ignición: 1.00)</t>
  </si>
  <si>
    <t>Giro brusco (Velocidad máxima: 4 kmh Aceleración de lado a lado: -0.57 g-force, Ignición: 1.00)</t>
  </si>
  <si>
    <t>Aceleración brusca (Velocidad máxima: 8 kmh Aceleración hacia delante o frenado: 0.44 g-force, Ignición: 1.00)</t>
  </si>
  <si>
    <t>Uso del cinturón de seguridad (Velocidad máxima: 24 kmh Cinturón de seguridad del conductor (1. Desabrochado): 1.00)</t>
  </si>
  <si>
    <t>Exceso Velocidad 40 Km/h (Velocidad máxima: 41 kmh)</t>
  </si>
  <si>
    <t>Exceso Velocidad 30 Km/h (Velocidad máxima: 31 kmh)</t>
  </si>
  <si>
    <t>Exceso Velocidad 10 Km/h (Velocidad máxima: 15 kmh)</t>
  </si>
  <si>
    <t>Exceso Velocidad 10 Km/h (Velocidad máxima: 29 kmh)</t>
  </si>
  <si>
    <t>Exceso Velocidad 10 Km/h (Velocidad máxima: 28 kmh)</t>
  </si>
  <si>
    <t>Giro brusco (Velocidad máxima: 13 kmh Aceleración de lado a lado: -0.48 g-force, Ignición: 1.00)</t>
  </si>
  <si>
    <t>Giro brusco (Velocidad máxima: 27 kmh Aceleración de lado a lado: -0.49 g-force, Ignición: 1.00)</t>
  </si>
  <si>
    <t>Giro brusco (Velocidad máxima: 13 kmh Aceleración de lado a lado: 0.47 g-force, Ignición: 1.00)</t>
  </si>
  <si>
    <t>Giro brusco (Velocidad máxima: 13 kmh Aceleración de lado a lado: 0.49 g-force, Ignición: 1.00)</t>
  </si>
  <si>
    <t>Giro brusco (Velocidad máxima: 15 kmh Aceleración de lado a lado: -0.56 g-force, Ignición: 1.00)</t>
  </si>
  <si>
    <t>Uso del cinturón de seguridad (Velocidad máxima: 12 kmh Cinturón de seguridad del conductor (1. Desabrochado): 1.00)</t>
  </si>
  <si>
    <t>Uso del cinturón de seguridad (Velocidad máxima: 13 kmh Cinturón de seguridad del conductor (1. Desabrochado): 1.00)</t>
  </si>
  <si>
    <t>Exceso Velocidad 40 Km/h (Velocidad máxima: 42 kmh)</t>
  </si>
  <si>
    <t>Exceso Velocidad 40 Km/h (Velocidad máxima: 44 kmh)</t>
  </si>
  <si>
    <t>Exceso Velocidad 30 Km/h (Velocidad máxima: 37 kmh)</t>
  </si>
  <si>
    <t>Exceso Velocidad 30 Km/h (Velocidad máxima: 33 kmh)</t>
  </si>
  <si>
    <t>Exceso Velocidad 30 Km/h (Velocidad máxima: 35 kmh)</t>
  </si>
  <si>
    <t>Frenado brusco (nuevo) (Clase de vehículo para métricas de seguridad: Otra clase (no estandarizada), Velocidad máxima: 18 kmh,  Ignición: 1)</t>
  </si>
  <si>
    <t>Engine Fault Exception (Presión del riel de combustible/sistema - banco demasiado alto 1)</t>
  </si>
  <si>
    <t>Engine Fault Exception (La luz de advertencia del vehículo está encendida)</t>
  </si>
  <si>
    <t>Exceso Velocidad 10 Km/h (Velocidad máxima: 32 kmh)</t>
  </si>
  <si>
    <t>Exceso Velocidad 10 Km/h (Velocidad máxima: 30 kmh)</t>
  </si>
  <si>
    <t>Exceso de velocidad (nuevo) (Velocidad máxima: 31 kmh (Velocidad máxima en carretera: 7 kmh))</t>
  </si>
  <si>
    <t>Exceso de velocidad (nuevo) (Velocidad máxima: 29 kmh (Velocidad máxima en carretera: 7 kmh))</t>
  </si>
  <si>
    <t>Exceso de velocidad (nuevo) (Velocidad máxima: 41 kmh (Velocidad máxima en carretera: 7 kmh))</t>
  </si>
  <si>
    <t>Exceso de velocidad (nuevo) (Velocidad máxima: 35 kmh (Velocidad máxima en carretera: 7 kmh))</t>
  </si>
  <si>
    <t>Exceso de velocidad (nuevo) (Velocidad máxima: 28 kmh (Velocidad máxima en carretera: 7 kmh))</t>
  </si>
  <si>
    <t>Exceso de velocidad (nuevo) (Velocidad máxima: 26 kmh (Velocidad máxima en carretera: 7 kmh))</t>
  </si>
  <si>
    <t>Exceso de velocidad (nuevo) (Velocidad máxima: 13 kmh (Velocidad máxima en carretera: 7 kmh))</t>
  </si>
  <si>
    <t>Giro brusco (Velocidad máxima: 15 kmh Aceleración de lado a lado: 0.50 g-force, Ignición: 1.00)</t>
  </si>
  <si>
    <t>Giro brusco (Velocidad máxima: 7 kmh Aceleración de lado a lado: 0.50 g-force, Ignición: 1.00)</t>
  </si>
  <si>
    <t>Giro brusco (Velocidad máxima: 11 kmh Ignición: 1.00 , Aceleración de lado a lado: 0.48 g-force)</t>
  </si>
  <si>
    <t>Giro brusco (Velocidad máxima: 9 kmh Ignición: 1.00 , Aceleración de lado a lado: -0.52 g-force)</t>
  </si>
  <si>
    <t>Giro brusco (Velocidad máxima: 12 kmh Aceleración de lado a lado: -0.60 g-force, Ignición: 1.00)</t>
  </si>
  <si>
    <t>Giro brusco (Velocidad máxima: 14 kmh Aceleración de lado a lado: -0.50 g-force, Ignición: 1.00)</t>
  </si>
  <si>
    <t>Giro brusco (Velocidad máxima: 14 kmh Aceleración de lado a lado: -0.61 g-force, Ignición: 1.00)</t>
  </si>
  <si>
    <t>Aceleración brusca (Velocidad máxima: 11 kmh Aceleración hacia delante o frenado: 0.45 g-force, Ignición: 1.00)</t>
  </si>
  <si>
    <t>Uso del cinturón de seguridad (Velocidad máxima: 21 kmh Cinturón de seguridad del conductor (1. Desabrochado): 1.00)</t>
  </si>
  <si>
    <t>Uso del cinturón de seguridad (Velocidad máxima: 33 kmh Cinturón de seguridad del conductor (1. Desabrochado): 1.00)</t>
  </si>
  <si>
    <t>Uso del cinturón de seguridad (Velocidad máxima: 41 kmh Cinturón de seguridad del conductor (1. Desabrochado): 1.00)</t>
  </si>
  <si>
    <t>Uso del cinturón de seguridad (Velocidad máxima: 18 kmh Cinturón de seguridad del conductor (1. Desabrochado): 1.00)</t>
  </si>
  <si>
    <t>Uso del cinturón de seguridad (Velocidad máxima: 20 kmh Cinturón de seguridad del conductor (1. Desabrochado): 1.00)</t>
  </si>
  <si>
    <t>Uso del cinturón de seguridad (Velocidad máxima: 11 kmh Cinturón de seguridad del conductor (1. Desabrochado): 1.00)</t>
  </si>
  <si>
    <t>Uso del cinturón de seguridad (Velocidad máxima: 14 kmh Cinturón de seguridad del conductor (1. Desabrochado): 1.00)</t>
  </si>
  <si>
    <t>Uso del cinturón de seguridad (Velocidad máxima: 26 kmh Cinturón de seguridad del conductor (1. Desabrochado): 1.00)</t>
  </si>
  <si>
    <t>Uso del cinturón de seguridad (Velocidad máxima: 15 kmh Cinturón de seguridad del conductor (1. Desabrochado): 1.00)</t>
  </si>
  <si>
    <t>Uso del cinturón de seguridad (Velocidad máxima: 22 kmh Cinturón de seguridad del conductor (1. Desabrochado): 1.00)</t>
  </si>
  <si>
    <t>Uso del cinturón de seguridad (Velocidad máxima: 16 kmh Cinturón de seguridad del conductor (1. Desabrochado): 1.00)</t>
  </si>
  <si>
    <t>Exceso Velocidad 30 Km/h (Velocidad máxima: 39 kmh)</t>
  </si>
  <si>
    <t>Alerta de problema en el motor (La luz de advertencia del vehículo está encendida)</t>
  </si>
  <si>
    <t>Exceso Velocidad 10 Km/h (Velocidad máxima: 33 kmh)</t>
  </si>
  <si>
    <t>Exceso Velocidad 10 Km/h (Velocidad máxima: 27 kmh)</t>
  </si>
  <si>
    <t>Exceso Velocidad 10 Km/h (Velocidad máxima: 38 kmh)</t>
  </si>
  <si>
    <t>Exceso Velocidad 10 Km/h (Velocidad máxima: 37 kmh)</t>
  </si>
  <si>
    <t>Exceso de velocidad (nuevo) (Velocidad máxima: 24 kmh (Velocidad máxima en carretera: 7 kmh))</t>
  </si>
  <si>
    <t>Exceso de velocidad (nuevo) (Velocidad máxima: 40 kmh (Velocidad máxima en carretera: 7 kmh))</t>
  </si>
  <si>
    <t>Giro brusco (Velocidad máxima: 12 kmh Aceleración de lado a lado: -0.48 g-force, Ignición: 1.00)</t>
  </si>
  <si>
    <t>Exceso Velocidad 40 Km/h (Velocidad máxima: 47 kmh)</t>
  </si>
  <si>
    <t>Exceso Velocidad 40 Km/h (Velocidad máxima: 43 kmh)</t>
  </si>
  <si>
    <t>Exceso Velocidad 40 Km/h (Velocidad máxima: 45 kmh)</t>
  </si>
  <si>
    <t>Exceso Velocidad 40 Km/h (Velocidad máxima: 46 kmh)</t>
  </si>
  <si>
    <t>Exceso Velocidad 40 Km/h (Velocidad máxima: 49 kmh)</t>
  </si>
  <si>
    <t>Exceso Velocidad 30 Km/h (Velocidad máxima: 47 kmh)</t>
  </si>
  <si>
    <t>Exceso Velocidad 30 Km/h (Velocidad máxima: 34 kmh)</t>
  </si>
  <si>
    <t>Exceso Velocidad 30 Km/h (Velocidad máxima: 36 kmh)</t>
  </si>
  <si>
    <t>Exceso Velocidad 30 Km/h (Velocidad máxima: 32 kmh)</t>
  </si>
  <si>
    <t>Exceso Velocidad 30 Km/h (Velocidad máxima: 40 kmh)</t>
  </si>
  <si>
    <t>Exceso Velocidad 30 Km/h (Velocidad máxima: 45 kmh)</t>
  </si>
  <si>
    <t>Exceso Velocidad 30 Km/h (Velocidad máxima: 41 kmh)</t>
  </si>
  <si>
    <t>Exceso Velocidad 30 Km/h (Velocidad máxima: 38 kmh)</t>
  </si>
  <si>
    <t>Exceso Velocidad 30 Km/h (Velocidad máxima: 42 kmh)</t>
  </si>
  <si>
    <t>Exceso Velocidad 30 Km/h (Velocidad máxima: 43 kmh)</t>
  </si>
  <si>
    <t>Exceso Velocidad 10 Km/h (Velocidad máxima: 19 kmh)</t>
  </si>
  <si>
    <t>Exceso Velocidad 10 Km/h (Velocidad máxima: 31 kmh)</t>
  </si>
  <si>
    <t>Exceso de velocidad (nuevo) (Velocidad máxima: 18 kmh (Velocidad máxima en carretera: 7 kmh))</t>
  </si>
  <si>
    <t>Exceso de velocidad (nuevo) (Velocidad máxima: 20 kmh (Velocidad máxima en carretera: 7 kmh))</t>
  </si>
  <si>
    <t>Exceso de velocidad (nuevo) (Velocidad máxima: 22 kmh (Velocidad máxima en carretera: 7 kmh))</t>
  </si>
  <si>
    <t>Exceso de velocidad (nuevo) (Velocidad máxima: 15 kmh (Velocidad máxima en carretera: 7 kmh))</t>
  </si>
  <si>
    <t>Giro brusco (Velocidad máxima: 12 kmh Aceleración de lado a lado: -0.56 g-force, Ignición: 1.00)</t>
  </si>
  <si>
    <t>Giro brusco (Velocidad máxima: 14 kmh Aceleración de lado a lado: 0.50 g-force, Ignición: 1.00)</t>
  </si>
  <si>
    <t>Engine Fault Exception (Alerta: Se excedió el límite de aceleración para colisiones)</t>
  </si>
  <si>
    <t>Giro brusco (Velocidad máxima: 8 kmh Aceleración de lado a lado: -0.52 g-force, Ignición: 1.00)</t>
  </si>
  <si>
    <t>Giro brusco (Velocidad máxima: 25 kmh Aceleración de lado a lado: -0.64 g-force, Ignición: 1.00)</t>
  </si>
  <si>
    <t>Giro brusco (Velocidad máxima: 24 kmh Aceleración de lado a lado: -0.51 g-force, Ignición: 1.00)</t>
  </si>
  <si>
    <t>Giro brusco (Velocidad máxima: 21 kmh Aceleración de lado a lado: 0.49 g-force, Ignición: 1.00)</t>
  </si>
  <si>
    <t>Giro brusco (Velocidad máxima: 34 kmh Aceleración de lado a lado: -0.66 g-force, Ignición: 1.00)</t>
  </si>
  <si>
    <t>Giro brusco (Velocidad máxima: 34 kmh Aceleración de lado a lado: 2.49 g-force, Ignición: 1.00)</t>
  </si>
  <si>
    <t>Giro brusco (Velocidad máxima: 33 kmh Aceleración de lado a lado: -0.63 g-force, Ignición: 1.00)</t>
  </si>
  <si>
    <t>Giro brusco (Velocidad máxima: 31 kmh Aceleración de lado a lado: -0.63 g-force, Ignición: 1.00)</t>
  </si>
  <si>
    <t>Giro brusco (Velocidad máxima: 18 kmh Aceleración de lado a lado: 0.54 g-force, Ignición: 1.00)</t>
  </si>
  <si>
    <t>Aceleración brusca (Velocidad máxima: 33 kmh Aceleración hacia delante o frenado: 1.21 g-force, Ignición: 1.00)</t>
  </si>
  <si>
    <t>Aceleración brusca (Velocidad máxima: 32 kmh Aceleración hacia delante o frenado: 0.64 g-force, Ignición: 1.00)</t>
  </si>
  <si>
    <t>Exceso Velocidad 20 Km/h (Velocidad máxima: 33 kmh)</t>
  </si>
  <si>
    <t>Exceso Velocidad 20 Km/h (Velocidad máxima: 28 kmh)</t>
  </si>
  <si>
    <t>Exceso Velocidad 20 Km/h (Velocidad máxima: 26 kmh)</t>
  </si>
  <si>
    <t>Exceso Velocidad 20 Km/h (Velocidad máxima: 37 kmh)</t>
  </si>
  <si>
    <t>Frenado brusco (Velocidad máxima: 34 kmh Aceleración hacia delante o frenado: -7.36 g-force, Ignición: 1.00)</t>
  </si>
  <si>
    <t>Frenado brusco (Velocidad máxima: 33 kmh Aceleración hacia delante o frenado: -1.00 g-force, Ignición: 1.00)</t>
  </si>
  <si>
    <t>Frenado brusco (Velocidad máxima: 27 kmh Aceleración hacia delante o frenado: -0.69 g-force, Ignición: 1.00)</t>
  </si>
  <si>
    <t>Frenado brusco (Velocidad máxima: 19 kmh Aceleración hacia delante o frenado: -0.63 g-force, Ignición: 1.00)</t>
  </si>
  <si>
    <t>Posible colisión (heredado) (Aceleración hacia delante o frenado: -7.36 g-force, Aceleración de lado a lado: -0.62 g-force)</t>
  </si>
  <si>
    <t>Frenado brusco (nuevo) (Clase de vehículo para métricas de seguridad: Otra clase (no estandarizada), Velocidad máxima: 26 kmh,  Ignición: 1)</t>
  </si>
  <si>
    <t>Frenado brusco (nuevo) (Clase de vehículo para métricas de seguridad: Otra clase (no estandarizada), Velocidad máxima: 23 kmh,  Ignición: 1)</t>
  </si>
  <si>
    <t>Giro brusco (Velocidad máxima: 15 kmh Aceleración de lado a lado: -0.55 g-force, Ignición: 1.00)</t>
  </si>
  <si>
    <t>Giro brusco (Velocidad máxima: 18 kmh Aceleración de lado a lado: 0.48 g-force, Ignición: 1.00)</t>
  </si>
  <si>
    <t>Giro brusco (Velocidad máxima: 26 kmh Aceleración de lado a lado: -0.70 g-force, Ignición: 1.00)</t>
  </si>
  <si>
    <t>Giro brusco (Velocidad máxima: 26 kmh Aceleración de lado a lado: -0.52 g-force, Ignición: 1.00)</t>
  </si>
  <si>
    <t>Uso del cinturón de seguridad (Velocidad máxima: 35 kmh Cinturón de seguridad del conductor (1. Desabrochado): 1.00)</t>
  </si>
  <si>
    <t>Exceso Velocidad 20 Km/h (Velocidad máxima: 22 kmh)</t>
  </si>
  <si>
    <t>Exceso Velocidad 20 Km/h (Velocidad máxima: 24 kmh)</t>
  </si>
  <si>
    <t>Exceso Velocidad 20 Km/h (Velocidad máxima: 31 kmh)</t>
  </si>
  <si>
    <t>Aceleración brusca (Velocidad máxima: 14 kmh Aceleración hacia delante o frenado: 0.46 g-force, Ignición: 1.00)</t>
  </si>
  <si>
    <t>Frenado brusco (nuevo) (Clase de vehículo para métricas de seguridad: Otra clase (no estandarizada), Velocidad máxima: 32 kmh,  Ignición: 1)</t>
  </si>
  <si>
    <t>Frenado brusco (nuevo) (Clase de vehículo para métricas de seguridad: Otra clase (no estandarizada), Velocidad máxima: 34 kmh,  Ignición: 1)</t>
  </si>
  <si>
    <t>Frenado brusco (nuevo) (Clase de vehículo para métricas de seguridad: Otra clase (no estandarizada), Velocidad máxima: 35 kmh,  Ignición: 1)</t>
  </si>
  <si>
    <t>Frenado brusco (nuevo) (Clase de vehículo para métricas de seguridad: Otra clase (no estandarizada), Velocidad máxima: 22 kmh,  Ignición: 1)</t>
  </si>
  <si>
    <t>Frenado brusco (nuevo) (Clase de vehículo para métricas de seguridad: Otra clase (no estandarizada), Velocidad máxima: 24 kmh,  Ignición: 1)</t>
  </si>
  <si>
    <t>Frenado brusco (nuevo) (Clase de vehículo para métricas de seguridad: Otra clase (no estandarizada), Velocidad máxima: 27 kmh,  Ignición: 1)</t>
  </si>
  <si>
    <t>Frenado brusco (nuevo) (Clase de vehículo para métricas de seguridad: Otra clase (no estandarizada), Velocidad máxima: 4 kmh,  Ignición: 1)</t>
  </si>
  <si>
    <t>Frenado brusco (nuevo) (Clase de vehículo para métricas de seguridad: Otra clase (no estandarizada), Velocidad máxima: 17 kmh,  Ignición: 1)</t>
  </si>
  <si>
    <t>Giro brusco (nuevo) (Clase de vehículo para métricas de seguridad: Otra clase (no estandarizada), Velocidad máxima: 9 kmh,  Ignición: 1)</t>
  </si>
  <si>
    <t>Giro brusco (nuevo) (Clase de vehículo para métricas de seguridad: Otra clase (no estandarizada), Velocidad máxima: 34 kmh,  Ignición: 1)</t>
  </si>
  <si>
    <t>Giro brusco (nuevo) (Clase de vehículo para métricas de seguridad: Otra clase (no estandarizada), Velocidad máxima: 31 kmh,  Ignición: 1)</t>
  </si>
  <si>
    <t>Giro brusco (nuevo) (Clase de vehículo para métricas de seguridad: Otra clase (no estandarizada), Velocidad máxima: 24 kmh,  Ignición: 1)</t>
  </si>
  <si>
    <t>Giro brusco (nuevo) (Clase de vehículo para métricas de seguridad: Otra clase (no estandarizada), Velocidad máxima: 19 kmh,  Ignición: 1)</t>
  </si>
  <si>
    <t>Giro brusco (nuevo) (Clase de vehículo para métricas de seguridad: Otra clase (no estandarizada), Velocidad máxima: 26 kmh,  Ignición: 1)</t>
  </si>
  <si>
    <t>Giro brusco (Velocidad máxima: 16 kmh Aceleración de lado a lado: -0.48 g-force, Ignición: 1.00)</t>
  </si>
  <si>
    <t>Giro brusco (Velocidad máxima: 12 kmh Aceleración de lado a lado: 0.55 g-force, Ignición: 1.00)</t>
  </si>
  <si>
    <t>Uso del cinturón de seguridad (Velocidad máxima: 10 kmh Cinturón de seguridad del conductor (1. Desabrochado): 1.00)</t>
  </si>
  <si>
    <t>Uso del cinturón de seguridad (Velocidad máxima: 28 kmh Cinturón de seguridad del conductor (1. Desabrochado): 1.00)</t>
  </si>
  <si>
    <t>Uso del cinturón de seguridad (Velocidad máxima: 17 kmh Cinturón de seguridad del conductor (1. Desabrochado): 1.00)</t>
  </si>
  <si>
    <t>Exceso Velocidad 40 Km/h (Velocidad máxima: 48 kmh)</t>
  </si>
  <si>
    <t>Exceso Velocidad 40 Km/h (Velocidad máxima: 50 kmh)</t>
  </si>
  <si>
    <t>Exceso Velocidad 40 Km/h (Velocidad máxima: 53 kmh)</t>
  </si>
  <si>
    <t>Exceso Velocidad 40 Km/h (Velocidad máxima: 52 kmh)</t>
  </si>
  <si>
    <t>Exceso Velocidad 20 Km/h (Velocidad máxima: 42 kmh)</t>
  </si>
  <si>
    <t>Exceso Velocidad 20 Km/h (Velocidad máxima: 39 kmh)</t>
  </si>
  <si>
    <t>Exceso Velocidad 20 Km/h (Velocidad máxima: 41 kmh)</t>
  </si>
  <si>
    <t>Exceso Velocidad 20 Km/h (Velocidad máxima: 44 kmh)</t>
  </si>
  <si>
    <t>Exceso Velocidad 20 Km/h (Velocidad máxima: 29 kmh)</t>
  </si>
  <si>
    <t>Exceso Velocidad 20 Km/h (Velocidad máxima: 35 kmh)</t>
  </si>
  <si>
    <t>Exceso Velocidad 20 Km/h (Velocidad máxima: 32 kmh)</t>
  </si>
  <si>
    <t>Exceso Velocidad 20 Km/h (Velocidad máxima: 38 kmh)</t>
  </si>
  <si>
    <t>Exceso Velocidad 20 Km/h (Velocidad máxima: 27 kmh)</t>
  </si>
  <si>
    <t>Aceleración brusca (nuevo) (Clase de vehículo para métricas de seguridad: Otra clase (no estandarizada), Velocidad máxima: 3 kmh,  Ignición: 1)</t>
  </si>
  <si>
    <t>Aceleración brusca (nuevo) (Clase de vehículo para métricas de seguridad: Otra clase (no estandarizada), Velocidad máxima: 8 kmh,  Ignición: 1)</t>
  </si>
  <si>
    <t>Aceleración brusca (nuevo) (Clase de vehículo para métricas de seguridad: Otra clase (no estandarizada), Velocidad máxima: 1 kmh,  Ignición: 1)</t>
  </si>
  <si>
    <t>Aceleración brusca (nuevo) (Clase de vehículo para métricas de seguridad: Otra clase (no estandarizada), Velocidad máxima: 0 kmh,  Ignición: 1)</t>
  </si>
  <si>
    <t>Aceleración brusca (nuevo) (Clase de vehículo para métricas de seguridad: Otra clase (no estandarizada), Velocidad máxima: 4 kmh,  Ignición: 1)</t>
  </si>
  <si>
    <t>Aceleración brusca (nuevo) (Clase de vehículo para métricas de seguridad: Otra clase (no estandarizada), Velocidad máxima: 7 kmh,  Ignición: 1)</t>
  </si>
  <si>
    <t>Aceleración brusca (nuevo) (Clase de vehículo para métricas de seguridad: Otra clase (no estandarizada), Velocidad máxima: 6 kmh,  Ignición: 1)</t>
  </si>
  <si>
    <t>Aceleración brusca (nuevo) (Clase de vehículo para métricas de seguridad: Otra clase (no estandarizada), Velocidad máxima: 5 kmh,  Ignición: 1)</t>
  </si>
  <si>
    <t>Frenado brusco (nuevo) (Clase de vehículo para métricas de seguridad: Otra clase (no estandarizada), Velocidad máxima: 20 kmh,  Ignición: 1)</t>
  </si>
  <si>
    <t>Frenado brusco (nuevo) (Clase de vehículo para métricas de seguridad: Otra clase (no estandarizada), Velocidad máxima: 25 kmh,  Ignición: 1)</t>
  </si>
  <si>
    <t>Exceso Velocidad 10 Km/h (Velocidad máxima: 34 kmh)</t>
  </si>
  <si>
    <t>Exceso de velocidad (nuevo) (Velocidad máxima: 32 kmh (Velocidad máxima en carretera: 7 kmh))</t>
  </si>
  <si>
    <t>Exceso de velocidad (nuevo) (Velocidad máxima: 36 kmh (Velocidad máxima en carretera: 7 kmh))</t>
  </si>
  <si>
    <t>Exceso de velocidad (nuevo) (Velocidad máxima: 30 kmh (Velocidad máxima en carretera: 7 kmh))</t>
  </si>
  <si>
    <t>Giro brusco (Velocidad máxima: 32 kmh Aceleración de lado a lado: -0.48 g-force, Ignición: 1.00)</t>
  </si>
  <si>
    <t>Giro brusco (Velocidad máxima: 40 kmh Ignición: 1.00 , Aceleración de lado a lado: -0.59 g-force)</t>
  </si>
  <si>
    <t>Giro brusco (Velocidad máxima: 40 kmh Ignición: 1.00 , Aceleración de lado a lado: -0.50 g-force)</t>
  </si>
  <si>
    <t>Exceso Velocidad 40 Km/h (Velocidad máxima: 51 kmh)</t>
  </si>
  <si>
    <t>Exceso Velocidad 20 Km/h (Velocidad máxima: 21 kmh)</t>
  </si>
  <si>
    <t>Exceso de velocidad (nuevo) (Velocidad máxima: 27 kmh (Velocidad máxima en carretera: 7 kmh))</t>
  </si>
  <si>
    <t>Exceso de velocidad (nuevo) (Velocidad máxima: 21 kmh (Velocidad máxima en carretera: 7 kmh))</t>
  </si>
  <si>
    <t>Exceso de velocidad (nuevo) (Velocidad máxima: 14 kmh (Velocidad máxima en carretera: 7 kmh))</t>
  </si>
  <si>
    <t>Exceso de velocidad (nuevo) (Velocidad máxima: 17 kmh (Velocidad máxima en carretera: 7 kmh))</t>
  </si>
  <si>
    <t>Exceso de velocidad (nuevo) (Velocidad máxima: 25 kmh (Velocidad máxima en carretera: 7 kmh))</t>
  </si>
  <si>
    <t>Exceso de velocidad (nuevo) (Velocidad máxima: 19 kmh (Velocidad máxima en carretera: 7 kmh))</t>
  </si>
  <si>
    <t>Exceso Velocidad 10 Km/h (Velocidad máxima: 35 kmh)</t>
  </si>
  <si>
    <t>Giro brusco (nuevo) (Clase de vehículo para métricas de seguridad: Otra clase (no estandarizada), Velocidad máxima: 32 kmh,  Ignición: 1)</t>
  </si>
  <si>
    <t>Giro brusco (Velocidad máxima: 14 kmh Aceleración de lado a lado: -0.48 g-force, Ignición: 1.00)</t>
  </si>
  <si>
    <t>Giro brusco (Velocidad máxima: 18 kmh Aceleración de lado a lado: -0.48 g-force, Ignición: 1.00)</t>
  </si>
  <si>
    <t>Giro brusco (Velocidad máxima: 7 kmh Aceleración de lado a lado: -0.48 g-force, Ignición: 1.00)</t>
  </si>
  <si>
    <t>Giro brusco (Velocidad máxima: 14 kmh Aceleración de lado a lado: 0.48 g-force, Ignición: 1.00)</t>
  </si>
  <si>
    <t>Giro brusco (Velocidad máxima: 15 kmh Aceleración de lado a lado: -0.47 g-force, Ignición: 1.00)</t>
  </si>
  <si>
    <t>Giro brusco (Velocidad máxima: 11 kmh Aceleración de lado a lado: -0.49 g-force, Ignición: 1.00)</t>
  </si>
  <si>
    <t>Exceso de velocidad (nuevo) (Velocidad máxima: 16 kmh (Velocidad máxima en carretera: 7 kmh))</t>
  </si>
  <si>
    <t>Exceso de velocidad (nuevo) (Velocidad máxima: 12 kmh (Velocidad máxima en carretera: 7 kmh))</t>
  </si>
  <si>
    <t>Giro brusco (Velocidad máxima: 17 kmh Aceleración de lado a lado: 0.57 g-force, Ignición: 1.00)</t>
  </si>
  <si>
    <t>Giro brusco (Velocidad máxima: 16 kmh Aceleración de lado a lado: -0.52 g-force, Ignición: 1.00)</t>
  </si>
  <si>
    <t>Giro brusco (Velocidad máxima: 17 kmh Aceleración de lado a lado: -0.47 g-force, Ignición: 1.00)</t>
  </si>
  <si>
    <t>Giro brusco (Velocidad máxima: 14 kmh Aceleración de lado a lado: 0.54 g-force, Ignición: 1.00)</t>
  </si>
  <si>
    <t>Giro brusco (Velocidad máxima: 12 kmh Aceleración de lado a lado: -0.49 g-force, Ignición: 1.00)</t>
  </si>
  <si>
    <t>Giro brusco (Velocidad máxima: 26 kmh Aceleración de lado a lado: -0.48 g-force, Ignición: 1.00)</t>
  </si>
  <si>
    <t>Giro brusco (Velocidad máxima: 9 kmh Aceleración de lado a lado: -0.48 g-force, Ignición: 1.00)</t>
  </si>
  <si>
    <t>Giro brusco (Velocidad máxima: 16 kmh Aceleración de lado a lado: -0.66 g-force, Ignición: 1.00)</t>
  </si>
  <si>
    <t>Uso del cinturón de seguridad (Velocidad máxima: 23 kmh Cinturón de seguridad del conductor (1. Desabrochado): 1.00)</t>
  </si>
  <si>
    <t>Giro brusco (Velocidad máxima: 12 kmh Ignición: 1.00 , Aceleración de lado a lado: 0.50 g-force)</t>
  </si>
  <si>
    <t>Giro brusco (Velocidad máxima: 19 kmh Aceleración de lado a lado: -0.52 g-force, Ignición: 1.00)</t>
  </si>
  <si>
    <t>Giro brusco (Velocidad máxima: 6 kmh Aceleración de lado a lado: 0.49 g-force, Ignición: 1.00)</t>
  </si>
  <si>
    <t>Giro brusco (Velocidad máxima: 15 kmh Ignición: 1.00 , Aceleración de lado a lado: -0.50 g-force)</t>
  </si>
  <si>
    <t>Giro brusco (Velocidad máxima: 16 kmh Aceleración de lado a lado: -0.57 g-force, Ignición: 1.00)</t>
  </si>
  <si>
    <t>Giro brusco (Velocidad máxima: 16 kmh Aceleración de lado a lado: -0.50 g-force, Ignición: 1.00)</t>
  </si>
  <si>
    <t>Giro brusco (Velocidad máxima: 9 kmh Aceleración de lado a lado: -0.47 g-force, Ignición: 1.00)</t>
  </si>
  <si>
    <t>Giro brusco (Velocidad máxima: 19 kmh Aceleración de lado a lado: -0.70 g-force, Ignición: 1.00)</t>
  </si>
  <si>
    <t>Giro brusco (Velocidad máxima: 18 kmh Aceleración de lado a lado: -0.56 g-force, Ignición: 1.00)</t>
  </si>
  <si>
    <t>Giro brusco (Velocidad máxima: 14 kmh Ignición: 1.00 , Aceleración de lado a lado: -0.59 g-force)</t>
  </si>
  <si>
    <t>Exceso Velocidad 30 Km/h (Velocidad máxima: 30 kmh)</t>
  </si>
  <si>
    <t>Exceso Velocidad 30 Km/h (Velocidad máxima: 44 kmh)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</si>
</sst>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-40A]mmm\ dd&quot;, &quot;yyyy"/>
    <numFmt numFmtId="165" formatCode="[$-40A]dd/mm/yyyy\ h:mm:ss\ AM/PM"/>
    <numFmt numFmtId="166" formatCode="[$-40A][h]:mm:ss"/>
    <numFmt numFmtId="167" formatCode="[$-40A]dddd&quot;, &quot;mmmm\ dd&quot;, &quot;yyyy"/>
    <numFmt numFmtId="168" formatCode="[$-40A]h:mm:ss\ AM/PM"/>
    <numFmt numFmtId="169" formatCode="[$-40A]0;[$-40A]\-0;[$-40A];@"/>
  </numFmts>
  <fonts count="23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1"/>
      <color rgb="FF00AEE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A6A6A6"/>
      <name val="Segoe UI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sz val="7"/>
      <color rgb="FF000000"/>
      <name val="Tahoma"/>
      <family val="2"/>
      <charset val="1"/>
    </font>
    <font>
      <sz val="11"/>
      <name val="Segoe UI"/>
      <family val="2"/>
      <charset val="1"/>
    </font>
    <font>
      <sz val="18"/>
      <color rgb="FFFFFFFF"/>
      <name val="Segoe UI"/>
      <family val="2"/>
      <charset val="1"/>
    </font>
    <font>
      <sz val="12"/>
      <color rgb="FFFFFFFF"/>
      <name val="Segoe UI"/>
      <family val="2"/>
      <charset val="1"/>
    </font>
    <font>
      <sz val="16"/>
      <color rgb="FF00AEEF"/>
      <name val="Segoe UI"/>
      <family val="2"/>
      <charset val="1"/>
    </font>
    <font>
      <b/>
      <sz val="11"/>
      <name val="Segoe UI"/>
      <family val="2"/>
      <charset val="1"/>
    </font>
    <font>
      <sz val="11"/>
      <color rgb="FFFFFFFF"/>
      <name val="Segoe UI"/>
      <family val="2"/>
      <charset val="1"/>
    </font>
    <font>
      <b/>
      <sz val="12"/>
      <color rgb="FFFFFFFF"/>
      <name val="Segoe UI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0"/>
      <name val="Segoe UI"/>
      <family val="2"/>
      <charset val="1"/>
    </font>
    <font>
      <sz val="10"/>
      <color theme="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C0C0"/>
        <bgColor rgb="FFCCCCFF"/>
      </patternFill>
    </fill>
    <fill>
      <patternFill patternType="solid">
        <fgColor rgb="FF25477B"/>
        <bgColor rgb="FF003366"/>
      </patternFill>
    </fill>
    <fill>
      <patternFill patternType="solid">
        <fgColor rgb="FF00AEEF"/>
        <bgColor rgb="FF33CCCC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/>
    <xf numFmtId="0" fontId="2" fillId="2" borderId="0"/>
    <xf numFmtId="0" fontId="20" fillId="0" borderId="0" applyBorder="0" applyProtection="0">
      <alignment horizontal="left"/>
    </xf>
    <xf numFmtId="0" fontId="20" fillId="0" borderId="0" applyBorder="0" applyProtection="0"/>
    <xf numFmtId="0" fontId="20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20" fillId="0" borderId="0" applyBorder="0" applyProtection="0"/>
    <xf numFmtId="0" fontId="4" fillId="0" borderId="0"/>
    <xf numFmtId="0" fontId="1" fillId="2" borderId="0"/>
    <xf numFmtId="164" fontId="5" fillId="2" borderId="0"/>
    <xf numFmtId="0" fontId="1" fillId="0" borderId="0"/>
    <xf numFmtId="0" fontId="6" fillId="0" borderId="0"/>
    <xf numFmtId="0" fontId="7" fillId="0" borderId="0" applyBorder="0" applyProtection="0"/>
  </cellStyleXfs>
  <cellXfs count="71">
    <xf numFmtId="0" fontId="0" fillId="0" borderId="0" xfId="0"/>
    <xf numFmtId="0" fontId="8" fillId="0" borderId="0" xfId="0" applyFont="1"/>
    <xf numFmtId="165" fontId="9" fillId="0" borderId="0" xfId="0" applyNumberFormat="1" applyFont="1" applyAlignment="1">
      <alignment horizontal="left"/>
    </xf>
    <xf numFmtId="0" fontId="10" fillId="3" borderId="1" xfId="0" applyFont="1" applyFill="1" applyBorder="1" applyAlignment="1">
      <alignment horizontal="center" wrapText="1"/>
    </xf>
    <xf numFmtId="0" fontId="9" fillId="0" borderId="0" xfId="0" applyFont="1" applyAlignment="1">
      <alignment horizontal="left"/>
    </xf>
    <xf numFmtId="166" fontId="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4" borderId="0" xfId="2" applyFont="1" applyFill="1" applyAlignment="1">
      <alignment vertical="top"/>
    </xf>
    <xf numFmtId="0" fontId="12" fillId="4" borderId="0" xfId="2" applyFont="1" applyFill="1"/>
    <xf numFmtId="164" fontId="13" fillId="4" borderId="0" xfId="9" applyNumberFormat="1" applyFont="1" applyFill="1" applyAlignment="1">
      <alignment horizontal="center"/>
    </xf>
    <xf numFmtId="2" fontId="12" fillId="4" borderId="0" xfId="2" applyNumberFormat="1" applyFont="1" applyFill="1" applyAlignment="1">
      <alignment horizontal="center"/>
    </xf>
    <xf numFmtId="10" fontId="12" fillId="4" borderId="0" xfId="2" applyNumberFormat="1" applyFont="1" applyFill="1" applyAlignment="1">
      <alignment horizontal="center"/>
    </xf>
    <xf numFmtId="0" fontId="14" fillId="0" borderId="0" xfId="0" applyFont="1"/>
    <xf numFmtId="10" fontId="11" fillId="0" borderId="0" xfId="0" applyNumberFormat="1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67" fontId="15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164" fontId="11" fillId="0" borderId="0" xfId="9" applyNumberFormat="1" applyFont="1"/>
    <xf numFmtId="0" fontId="11" fillId="6" borderId="2" xfId="1" applyFont="1" applyFill="1" applyBorder="1" applyAlignment="1">
      <alignment horizontal="center" vertical="center"/>
    </xf>
    <xf numFmtId="164" fontId="11" fillId="6" borderId="2" xfId="1" applyNumberFormat="1" applyFont="1" applyFill="1" applyBorder="1" applyAlignment="1">
      <alignment horizontal="center" vertical="center"/>
    </xf>
    <xf numFmtId="1" fontId="11" fillId="6" borderId="2" xfId="1" applyNumberFormat="1" applyFont="1" applyFill="1" applyBorder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1" fontId="11" fillId="6" borderId="0" xfId="1" applyNumberFormat="1" applyFont="1" applyFill="1" applyAlignment="1">
      <alignment horizontal="center" vertical="center"/>
    </xf>
    <xf numFmtId="0" fontId="11" fillId="0" borderId="0" xfId="9" applyFont="1"/>
    <xf numFmtId="0" fontId="13" fillId="4" borderId="0" xfId="14" applyFont="1" applyFill="1" applyBorder="1" applyProtection="1"/>
    <xf numFmtId="0" fontId="13" fillId="4" borderId="0" xfId="14" applyFont="1" applyFill="1" applyBorder="1" applyAlignment="1" applyProtection="1">
      <alignment horizontal="center"/>
    </xf>
    <xf numFmtId="167" fontId="13" fillId="4" borderId="0" xfId="14" applyNumberFormat="1" applyFont="1" applyFill="1" applyBorder="1" applyAlignment="1" applyProtection="1">
      <alignment horizontal="center"/>
    </xf>
    <xf numFmtId="168" fontId="13" fillId="4" borderId="0" xfId="14" applyNumberFormat="1" applyFont="1" applyFill="1" applyBorder="1" applyAlignment="1" applyProtection="1">
      <alignment horizontal="center"/>
    </xf>
    <xf numFmtId="166" fontId="13" fillId="4" borderId="0" xfId="14" applyNumberFormat="1" applyFont="1" applyFill="1" applyBorder="1" applyAlignment="1" applyProtection="1">
      <alignment horizontal="center"/>
    </xf>
    <xf numFmtId="2" fontId="13" fillId="4" borderId="0" xfId="14" applyNumberFormat="1" applyFont="1" applyFill="1" applyBorder="1" applyAlignment="1" applyProtection="1">
      <alignment horizontal="center"/>
    </xf>
    <xf numFmtId="0" fontId="17" fillId="4" borderId="0" xfId="10" applyFont="1" applyFill="1"/>
    <xf numFmtId="169" fontId="11" fillId="0" borderId="0" xfId="9" applyNumberFormat="1" applyFont="1"/>
    <xf numFmtId="169" fontId="11" fillId="0" borderId="0" xfId="9" applyNumberFormat="1" applyFont="1" applyAlignment="1">
      <alignment horizontal="center"/>
    </xf>
    <xf numFmtId="164" fontId="11" fillId="0" borderId="0" xfId="9" applyNumberFormat="1" applyFont="1" applyAlignment="1">
      <alignment horizontal="center"/>
    </xf>
    <xf numFmtId="168" fontId="11" fillId="0" borderId="0" xfId="9" applyNumberFormat="1" applyFont="1" applyAlignment="1">
      <alignment horizontal="center"/>
    </xf>
    <xf numFmtId="166" fontId="11" fillId="0" borderId="0" xfId="9" applyNumberFormat="1" applyFont="1" applyAlignment="1">
      <alignment horizontal="center"/>
    </xf>
    <xf numFmtId="2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0" fontId="12" fillId="4" borderId="0" xfId="2" applyFont="1" applyFill="1" applyAlignment="1">
      <alignment horizontal="center"/>
    </xf>
    <xf numFmtId="164" fontId="11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19" fillId="0" borderId="0" xfId="0" applyFont="1" applyAlignment="1">
      <alignment wrapText="1"/>
    </xf>
    <xf numFmtId="0" fontId="0" fillId="0" borderId="0" xfId="0" pivotButton="1"/>
    <xf numFmtId="2" fontId="0" fillId="0" borderId="0" xfId="0" applyNumberFormat="1"/>
    <xf numFmtId="166" fontId="0" fillId="0" borderId="0" xfId="0" applyNumberFormat="1"/>
    <xf numFmtId="0" fontId="21" fillId="7" borderId="0" xfId="1" applyFont="1" applyFill="1" applyAlignment="1">
      <alignment horizontal="center" vertical="center"/>
    </xf>
    <xf numFmtId="1" fontId="21" fillId="7" borderId="0" xfId="1" applyNumberFormat="1" applyFont="1" applyFill="1" applyAlignment="1">
      <alignment horizontal="center" vertical="center"/>
    </xf>
    <xf numFmtId="164" fontId="21" fillId="8" borderId="0" xfId="9" applyNumberFormat="1" applyFont="1" applyFill="1"/>
    <xf numFmtId="164" fontId="21" fillId="8" borderId="0" xfId="9" applyNumberFormat="1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67" fontId="21" fillId="8" borderId="0" xfId="0" applyNumberFormat="1" applyFont="1" applyFill="1" applyAlignment="1">
      <alignment horizontal="center"/>
    </xf>
    <xf numFmtId="168" fontId="21" fillId="8" borderId="0" xfId="0" applyNumberFormat="1" applyFont="1" applyFill="1" applyAlignment="1">
      <alignment horizontal="center"/>
    </xf>
    <xf numFmtId="166" fontId="21" fillId="8" borderId="0" xfId="0" applyNumberFormat="1" applyFont="1" applyFill="1" applyAlignment="1">
      <alignment horizontal="center"/>
    </xf>
    <xf numFmtId="2" fontId="21" fillId="8" borderId="0" xfId="0" applyNumberFormat="1" applyFont="1" applyFill="1" applyAlignment="1">
      <alignment horizontal="center"/>
    </xf>
    <xf numFmtId="0" fontId="21" fillId="8" borderId="0" xfId="0" applyFont="1" applyFill="1"/>
    <xf numFmtId="0" fontId="22" fillId="8" borderId="0" xfId="0" applyFont="1" applyFill="1"/>
    <xf numFmtId="0" fontId="16" fillId="5" borderId="2" xfId="1" applyFont="1" applyFill="1" applyBorder="1" applyAlignment="1">
      <alignment horizontal="center" vertical="center"/>
    </xf>
  </cellXfs>
  <cellStyles count="15">
    <cellStyle name="Geotab Report Field Name" xfId="1" xr:uid="{00000000-0005-0000-0000-000000000000}"/>
    <cellStyle name="Heading 3" xfId="2" xr:uid="{00000000-0005-0000-0000-000001000000}"/>
    <cellStyle name="Normal" xfId="0" builtinId="0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  <cellStyle name="Report Body" xfId="9" xr:uid="{00000000-0005-0000-0000-000009000000}"/>
    <cellStyle name="Report Column Header" xfId="10" xr:uid="{00000000-0005-0000-0000-00000A000000}"/>
    <cellStyle name="Report Creation DateTime" xfId="11" xr:uid="{00000000-0005-0000-0000-00000B000000}"/>
    <cellStyle name="Report Field Name" xfId="12" xr:uid="{00000000-0005-0000-0000-00000C000000}"/>
    <cellStyle name="Report Name" xfId="13" xr:uid="{00000000-0005-0000-0000-00000D000000}"/>
    <cellStyle name="StandardReportHeading" xfId="14" xr:uid="{00000000-0005-0000-0000-00000E000000}"/>
  </cellStyles>
  <dxfs count="6">
    <dxf>
      <fill>
        <patternFill>
          <bgColor rgb="FFFFDEA3"/>
        </patternFill>
      </fill>
    </dxf>
    <dxf>
      <fill>
        <patternFill>
          <bgColor rgb="FFBDFFBD"/>
        </patternFill>
      </fill>
    </dxf>
    <dxf>
      <fill>
        <patternFill>
          <bgColor rgb="FFFFAAAA"/>
        </patternFill>
      </fill>
    </dxf>
    <dxf>
      <fill>
        <patternFill>
          <bgColor rgb="FFC9D8EF"/>
        </patternFill>
      </fill>
    </dxf>
    <dxf>
      <fill>
        <patternFill>
          <bgColor rgb="FFF2F2F2"/>
        </patternFill>
      </fill>
    </dxf>
    <dxf>
      <font>
        <b/>
        <i val="0"/>
        <color theme="0"/>
      </font>
      <fill>
        <patternFill>
          <bgColor rgb="FF25477B"/>
        </patternFill>
      </fill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PivotTable Style 1" table="0" count="3" xr9:uid="{64C6B90D-9678-403A-80D6-68D05F4F0C62}">
      <tableStyleElement type="headerRow" dxfId="5"/>
      <tableStyleElement type="firstRowStripe" dxfId="4"/>
      <tableStyleElement type="secondRowStripe" dxfId="3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BDFFBD"/>
      <rgbColor rgb="FFFFFF99"/>
      <rgbColor rgb="FF99CCFF"/>
      <rgbColor rgb="FFFFAAAA"/>
      <rgbColor rgb="FFCC99FF"/>
      <rgbColor rgb="FFFFDEA3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5477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9D8EF"/>
      <color rgb="FFF2F2F2"/>
      <color rgb="FF2547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YSTEM" refreshedDate="46176.054284027778" createdVersion="8" refreshedVersion="7" minRefreshableVersion="3" recordCount="1930" xr:uid="{DD50753D-3D24-4681-9540-5C565B4FE2C8}">
  <cacheSource type="worksheet">
    <worksheetSource name="AllData"/>
  </cacheSource>
  <cacheFields count="16">
    <cacheField name="Dispositivo" numFmtId="169">
      <sharedItems count="22">
        <s v="NPV257"/>
        <s v="NPY484"/>
        <s v="NPY672"/>
        <s v="NPY686"/>
        <s v="NPY798"/>
        <s v="PKU060"/>
        <s v="PKU069"/>
        <s v="PKU239"/>
        <s v="PKU249"/>
        <s v="PKU269"/>
        <s v="PKU280"/>
        <s v="PKU307"/>
        <s v="PMV840"/>
        <s v="QLO286"/>
        <s v="QLT513"/>
        <s v="QLT519"/>
        <s v="QLT528"/>
        <s v="QLT538"/>
        <s v="QLT551"/>
        <s v="QLT553"/>
        <s v="QLT576"/>
        <s v="Template Vehicle 1" u="1"/>
      </sharedItems>
    </cacheField>
    <cacheField name="Grupo de dispositivos" numFmtId="169">
      <sharedItems/>
    </cacheField>
    <cacheField name="Nombre" numFmtId="169">
      <sharedItems containsMixedTypes="1" containsNumber="1" containsInteger="1" minValue="0" maxValue="0" count="7">
        <s v="Andres Felipe"/>
        <s v="Jose Yezith"/>
        <n v="0"/>
        <s v="Luis Enrique"/>
        <s v="Saul"/>
        <s v="Luis Felipe"/>
        <s v="Template First Name 1" u="1"/>
      </sharedItems>
    </cacheField>
    <cacheField name="Apellido" numFmtId="169">
      <sharedItems containsMixedTypes="1" containsNumber="1" containsInteger="1" minValue="0" maxValue="0" count="7">
        <s v="Micolta"/>
        <s v="Córdoba Leon"/>
        <n v="0"/>
        <s v="Chala"/>
        <s v="Mejia"/>
        <s v="Gomez Perdomo"/>
        <s v="Template Last Name 1" u="1"/>
      </sharedItems>
    </cacheField>
    <cacheField name="Conductor" numFmtId="169">
      <sharedItems containsMixedTypes="1" containsNumber="1" containsInteger="1" minValue="0" maxValue="0" count="7">
        <s v="andres.micolta@magnexgroup.com"/>
        <s v="yezith.spj@hotmail.com"/>
        <n v="0"/>
        <s v="enriquemono_20@hotmail.com"/>
        <s v="Saul.mejia@magnexgroup.com"/>
        <s v="luis.gomez@magnexgroup.com"/>
        <s v="Template Driver 1" u="1"/>
      </sharedItems>
    </cacheField>
    <cacheField name="Grupo de conductores" numFmtId="169">
      <sharedItems containsMixedTypes="1" containsNumber="1" containsInteger="1" minValue="0" maxValue="0"/>
    </cacheField>
    <cacheField name="Regla" numFmtId="0">
      <sharedItems count="18">
        <s v="Tiempo en ralentí"/>
        <s v="Frenado brusco (nuevo)"/>
        <s v="Engine Fault Exception"/>
        <s v="Exceso Velocidad 60 Km/h"/>
        <s v="Exceso Velocidad 10 Km/h"/>
        <s v="Exceso de velocidad (nuevo)"/>
        <s v="Giro brusco (nuevo)"/>
        <s v="Giro brusco"/>
        <s v="Aceleración brusca"/>
        <s v="Uso del cinturón de seguridad"/>
        <s v="Exceso Velocidad 40 Km/h"/>
        <s v="Exceso Velocidad 30 Km/h"/>
        <s v="Alerta de problema en el motor"/>
        <s v="Exceso Velocidad 20 Km/h"/>
        <s v="Frenado brusco"/>
        <s v="Posible colisión (heredado)"/>
        <s v="Aceleración brusca (nuevo)"/>
        <s v="Speeding" u="1"/>
      </sharedItems>
    </cacheField>
    <cacheField name="Ubicación" numFmtId="169">
      <sharedItems/>
    </cacheField>
    <cacheField name="Tipos de zonas de la ubicación" numFmtId="169">
      <sharedItems containsMixedTypes="1" containsNumber="1" containsInteger="1" minValue="0" maxValue="0"/>
    </cacheField>
    <cacheField name="Fecha" numFmtId="164">
      <sharedItems containsSemiMixedTypes="0" containsNonDate="0" containsDate="1" containsString="0" minDate="2026-05-31T23:55:53" maxDate="2026-06-01T23:59:49" count="1869">
        <d v="2026-06-01T06:11:53"/>
        <d v="2026-06-01T12:38:51"/>
        <d v="2026-06-01T13:47:10"/>
        <d v="2026-06-01T14:08:14"/>
        <d v="2026-06-01T17:47:01"/>
        <d v="2026-06-01T17:48:25"/>
        <d v="2026-06-01T17:54:33"/>
        <d v="2026-06-01T20:54:41"/>
        <d v="2026-06-01T07:00:40"/>
        <d v="2026-06-01T07:02:15"/>
        <d v="2026-06-01T15:55:57"/>
        <d v="2026-06-01T17:14:09"/>
        <d v="2026-06-01T17:17:45"/>
        <d v="2026-06-01T07:46:42"/>
        <d v="2026-06-01T07:47:17"/>
        <d v="2026-06-01T07:56:56"/>
        <d v="2026-06-01T08:54:37"/>
        <d v="2026-06-01T09:57:50"/>
        <d v="2026-06-01T10:04:04"/>
        <d v="2026-06-01T10:05:31"/>
        <d v="2026-06-01T13:43:15"/>
        <d v="2026-06-01T14:11:56"/>
        <d v="2026-06-01T17:17:32"/>
        <d v="2026-06-01T17:36:40"/>
        <d v="2026-06-01T06:33:55"/>
        <d v="2026-06-01T06:37:26"/>
        <d v="2026-06-01T06:39:27"/>
        <d v="2026-06-01T06:40:00"/>
        <d v="2026-06-01T06:40:14"/>
        <d v="2026-06-01T06:40:52"/>
        <d v="2026-06-01T06:40:55"/>
        <d v="2026-06-01T06:40:56"/>
        <d v="2026-06-01T06:40:57"/>
        <d v="2026-06-01T06:41:26"/>
        <d v="2026-06-01T06:45:42"/>
        <d v="2026-06-01T06:49:08"/>
        <d v="2026-06-01T06:58:41"/>
        <d v="2026-06-01T12:20:04"/>
        <d v="2026-06-01T16:52:48"/>
        <d v="2026-06-01T16:57:23"/>
        <d v="2026-06-01T16:57:38"/>
        <d v="2026-06-01T17:51:31"/>
        <d v="2026-06-01T15:51:04"/>
        <d v="2026-06-01T15:55:56"/>
        <d v="2026-06-01T16:47:21"/>
        <d v="2026-06-01T18:42:40"/>
        <d v="2026-06-01T19:27:58"/>
        <d v="2026-06-01T19:32:54"/>
        <d v="2026-06-01T06:21:30"/>
        <d v="2026-06-01T06:25:22"/>
        <d v="2026-06-01T06:25:26"/>
        <d v="2026-06-01T07:01:02"/>
        <d v="2026-06-01T07:10:18"/>
        <d v="2026-06-01T07:11:02"/>
        <d v="2026-06-01T07:13:42"/>
        <d v="2026-06-01T07:18:30"/>
        <d v="2026-06-01T07:35:49"/>
        <d v="2026-06-01T07:38:48"/>
        <d v="2026-06-01T07:42:13"/>
        <d v="2026-06-01T07:59:48"/>
        <d v="2026-06-01T08:12:22"/>
        <d v="2026-06-01T08:14:39"/>
        <d v="2026-06-01T10:26:59"/>
        <d v="2026-06-01T10:27:29"/>
        <d v="2026-06-01T10:27:40"/>
        <d v="2026-06-01T10:27:50"/>
        <d v="2026-06-01T10:29:05"/>
        <d v="2026-06-01T11:16:31"/>
        <d v="2026-06-01T11:17:05"/>
        <d v="2026-06-01T11:20:54"/>
        <d v="2026-06-01T11:21:27"/>
        <d v="2026-06-01T11:22:22"/>
        <d v="2026-06-01T11:24:40"/>
        <d v="2026-06-01T11:46:05"/>
        <d v="2026-06-01T11:47:14"/>
        <d v="2026-06-01T11:47:49"/>
        <d v="2026-06-01T11:48:20"/>
        <d v="2026-06-01T11:48:37"/>
        <d v="2026-06-01T11:49:15"/>
        <d v="2026-06-01T11:49:42"/>
        <d v="2026-06-01T11:51:34"/>
        <d v="2026-06-01T11:57:33"/>
        <d v="2026-06-01T11:57:56"/>
        <d v="2026-06-01T11:58:07"/>
        <d v="2026-06-01T11:59:43"/>
        <d v="2026-06-01T11:59:56"/>
        <d v="2026-06-01T12:27:34"/>
        <d v="2026-06-01T12:29:45"/>
        <d v="2026-06-01T12:31:24"/>
        <d v="2026-06-01T12:31:55"/>
        <d v="2026-06-01T13:07:49"/>
        <d v="2026-06-01T13:12:13"/>
        <d v="2026-06-01T13:12:22"/>
        <d v="2026-06-01T13:13:10"/>
        <d v="2026-06-01T13:14:03"/>
        <d v="2026-06-01T13:14:14"/>
        <d v="2026-06-01T15:29:10"/>
        <d v="2026-06-01T16:17:54"/>
        <d v="2026-06-01T16:18:12"/>
        <d v="2026-06-01T16:18:17"/>
        <d v="2026-06-01T16:18:26"/>
        <d v="2026-06-01T16:18:45"/>
        <d v="2026-06-01T16:22:26"/>
        <d v="2026-06-01T16:23:11"/>
        <d v="2026-06-01T16:31:51"/>
        <d v="2026-06-01T16:33:59"/>
        <d v="2026-06-01T16:34:40"/>
        <d v="2026-06-01T16:36:15"/>
        <d v="2026-06-01T16:36:22"/>
        <d v="2026-06-01T16:37:04"/>
        <d v="2026-06-01T16:50:51"/>
        <d v="2026-06-01T16:59:36"/>
        <d v="2026-06-01T17:09:39"/>
        <d v="2026-06-01T17:18:43"/>
        <d v="2026-06-01T17:27:01"/>
        <d v="2026-06-01T17:27:26"/>
        <d v="2026-06-01T17:29:40"/>
        <d v="2026-06-01T17:32:42"/>
        <d v="2026-06-01T18:22:36"/>
        <d v="2026-06-01T18:26:01"/>
        <d v="2026-06-01T20:20:07"/>
        <d v="2026-06-01T20:21:39"/>
        <d v="2026-06-01T20:23:15"/>
        <d v="2026-06-01T20:23:53"/>
        <d v="2026-06-01T20:31:22"/>
        <d v="2026-06-01T06:59:32"/>
        <d v="2026-06-01T07:09:40"/>
        <d v="2026-06-01T07:13:40"/>
        <d v="2026-06-01T07:14:00"/>
        <d v="2026-06-01T07:30:11"/>
        <d v="2026-06-01T07:31:42"/>
        <d v="2026-06-01T07:50:32"/>
        <d v="2026-06-01T07:51:28"/>
        <d v="2026-06-01T07:54:01"/>
        <d v="2026-06-01T07:54:37"/>
        <d v="2026-06-01T11:23:08"/>
        <d v="2026-06-01T11:50:20"/>
        <d v="2026-06-01T11:51:43"/>
        <d v="2026-06-01T11:52:48"/>
        <d v="2026-06-01T11:57:04"/>
        <d v="2026-06-01T11:57:29"/>
        <d v="2026-06-01T11:57:51"/>
        <d v="2026-06-01T11:59:29"/>
        <d v="2026-06-01T12:02:16"/>
        <d v="2026-06-01T12:02:28"/>
        <d v="2026-06-01T12:05:30"/>
        <d v="2026-06-01T12:16:21"/>
        <d v="2026-06-01T12:16:41"/>
        <d v="2026-06-01T12:17:58"/>
        <d v="2026-06-01T12:19:05"/>
        <d v="2026-06-01T12:26:30"/>
        <d v="2026-06-01T12:26:46"/>
        <d v="2026-06-01T13:10:11"/>
        <d v="2026-06-01T13:10:55"/>
        <d v="2026-06-01T13:12:02"/>
        <d v="2026-06-01T13:12:32"/>
        <d v="2026-06-01T13:13:08"/>
        <d v="2026-06-01T13:13:27"/>
        <d v="2026-06-01T13:13:51"/>
        <d v="2026-06-01T13:13:57"/>
        <d v="2026-06-01T13:21:01"/>
        <d v="2026-06-01T13:34:39"/>
        <d v="2026-06-01T13:49:19"/>
        <d v="2026-06-01T13:49:32"/>
        <d v="2026-06-01T13:51:53"/>
        <d v="2026-06-01T13:52:45"/>
        <d v="2026-06-01T13:53:10"/>
        <d v="2026-06-01T14:06:54"/>
        <d v="2026-06-01T14:10:16"/>
        <d v="2026-06-01T14:12:48"/>
        <d v="2026-06-01T14:13:00"/>
        <d v="2026-06-01T14:14:00"/>
        <d v="2026-06-01T14:14:55"/>
        <d v="2026-06-01T14:15:33"/>
        <d v="2026-06-01T14:17:07"/>
        <d v="2026-06-01T14:17:35"/>
        <d v="2026-06-01T14:18:19"/>
        <d v="2026-06-01T14:18:47"/>
        <d v="2026-06-01T14:19:27"/>
        <d v="2026-06-01T14:19:36"/>
        <d v="2026-06-01T14:20:15"/>
        <d v="2026-06-01T14:21:31"/>
        <d v="2026-06-01T14:24:32"/>
        <d v="2026-06-01T14:24:56"/>
        <d v="2026-06-01T17:54:04"/>
        <d v="2026-06-01T17:58:00"/>
        <d v="2026-06-01T17:58:31"/>
        <d v="2026-06-01T17:59:34"/>
        <d v="2026-06-01T18:01:55"/>
        <d v="2026-06-01T18:03:02"/>
        <d v="2026-06-01T18:04:59"/>
        <d v="2026-06-01T18:15:28"/>
        <d v="2026-06-01T18:16:15"/>
        <d v="2026-06-01T19:11:51"/>
        <d v="2026-06-01T19:16:28"/>
        <d v="2026-06-01T19:20:01"/>
        <d v="2026-06-01T19:20:56"/>
        <d v="2026-06-01T19:27:27"/>
        <d v="2026-06-01T19:28:36"/>
        <d v="2026-06-01T21:00:41"/>
        <d v="2026-06-01T21:05:26"/>
        <d v="2026-06-01T21:08:24"/>
        <d v="2026-06-01T22:26:15"/>
        <d v="2026-06-01T22:26:37"/>
        <d v="2026-06-01T22:30:02"/>
        <d v="2026-06-01T22:30:18"/>
        <d v="2026-06-01T22:30:56"/>
        <d v="2026-06-01T22:45:31"/>
        <d v="2026-06-01T22:59:19"/>
        <d v="2026-06-01T23:17:11"/>
        <d v="2026-06-01T23:23:11"/>
        <d v="2026-06-01T23:24:57"/>
        <d v="2026-06-01T23:37:10"/>
        <d v="2026-06-01T23:38:07"/>
        <d v="2026-06-01T23:46:31"/>
        <d v="2026-06-01T23:47:04"/>
        <d v="2026-06-01T01:48:54"/>
        <d v="2026-06-01T01:59:43"/>
        <d v="2026-06-01T02:00:13"/>
        <d v="2026-06-01T02:01:53"/>
        <d v="2026-06-01T02:02:33"/>
        <d v="2026-06-01T02:02:58"/>
        <d v="2026-06-01T02:03:07"/>
        <d v="2026-06-01T02:03:23"/>
        <d v="2026-06-01T02:04:13"/>
        <d v="2026-06-01T02:13:56"/>
        <d v="2026-06-01T02:14:28"/>
        <d v="2026-06-01T02:15:34"/>
        <d v="2026-06-01T02:15:55"/>
        <d v="2026-06-01T02:16:22"/>
        <d v="2026-06-01T02:17:03"/>
        <d v="2026-06-01T02:17:20"/>
        <d v="2026-06-01T02:24:06"/>
        <d v="2026-06-01T02:34:22"/>
        <d v="2026-06-01T02:41:10"/>
        <d v="2026-06-01T02:41:12"/>
        <d v="2026-06-01T02:41:50"/>
        <d v="2026-06-01T02:42:08"/>
        <d v="2026-06-01T02:42:34"/>
        <d v="2026-06-01T02:42:45"/>
        <d v="2026-06-01T02:42:52"/>
        <d v="2026-06-01T02:43:18"/>
        <d v="2026-06-01T02:43:30"/>
        <d v="2026-06-01T02:43:57"/>
        <d v="2026-06-01T02:44:42"/>
        <d v="2026-06-01T04:01:57"/>
        <d v="2026-06-01T04:02:28"/>
        <d v="2026-06-01T04:02:52"/>
        <d v="2026-06-01T04:03:09"/>
        <d v="2026-06-01T04:03:56"/>
        <d v="2026-06-01T04:05:25"/>
        <d v="2026-06-01T04:05:51"/>
        <d v="2026-06-01T04:14:57"/>
        <d v="2026-06-01T04:17:16"/>
        <d v="2026-06-01T04:17:33"/>
        <d v="2026-06-01T04:17:56"/>
        <d v="2026-06-01T04:18:04"/>
        <d v="2026-06-01T04:18:27"/>
        <d v="2026-06-01T04:18:58"/>
        <d v="2026-06-01T05:06:46"/>
        <d v="2026-06-01T05:08:24"/>
        <d v="2026-06-01T05:08:40"/>
        <d v="2026-06-01T05:09:01"/>
        <d v="2026-06-01T05:09:16"/>
        <d v="2026-06-01T05:09:35"/>
        <d v="2026-06-01T05:09:51"/>
        <d v="2026-06-01T05:10:14"/>
        <d v="2026-06-01T05:12:04"/>
        <d v="2026-06-01T05:12:40"/>
        <d v="2026-06-01T05:15:03"/>
        <d v="2026-06-01T05:15:42"/>
        <d v="2026-06-01T05:15:49"/>
        <d v="2026-06-01T05:18:00"/>
        <d v="2026-06-01T05:29:19"/>
        <d v="2026-06-01T05:30:05"/>
        <d v="2026-06-01T06:13:39"/>
        <d v="2026-06-01T06:14:26"/>
        <d v="2026-06-01T06:14:35"/>
        <d v="2026-06-01T06:14:53"/>
        <d v="2026-06-01T06:15:10"/>
        <d v="2026-06-01T06:15:38"/>
        <d v="2026-06-01T06:15:50"/>
        <d v="2026-06-01T06:26:13"/>
        <d v="2026-06-01T06:30:27"/>
        <d v="2026-06-01T06:30:39"/>
        <d v="2026-06-01T06:31:22"/>
        <d v="2026-06-01T06:35:27"/>
        <d v="2026-06-01T06:36:14"/>
        <d v="2026-06-01T06:36:56"/>
        <d v="2026-06-01T06:37:11"/>
        <d v="2026-06-01T06:37:35"/>
        <d v="2026-06-01T06:40:16"/>
        <d v="2026-06-01T06:40:28"/>
        <d v="2026-06-01T06:41:35"/>
        <d v="2026-06-01T06:41:53"/>
        <d v="2026-06-01T08:35:32"/>
        <d v="2026-06-01T08:36:47"/>
        <d v="2026-06-01T09:13:38"/>
        <d v="2026-06-01T09:20:37"/>
        <d v="2026-06-01T09:21:14"/>
        <d v="2026-06-01T09:21:28"/>
        <d v="2026-06-01T09:22:39"/>
        <d v="2026-06-01T10:57:59"/>
        <d v="2026-06-01T10:58:19"/>
        <d v="2026-06-01T10:58:35"/>
        <d v="2026-06-01T11:19:19"/>
        <d v="2026-06-01T11:21:31"/>
        <d v="2026-06-01T12:09:08"/>
        <d v="2026-06-01T12:34:23"/>
        <d v="2026-06-01T15:36:52"/>
        <d v="2026-06-01T15:37:39"/>
        <d v="2026-06-01T15:48:48"/>
        <d v="2026-06-01T15:50:05"/>
        <d v="2026-06-01T15:53:00"/>
        <d v="2026-06-01T15:56:04"/>
        <d v="2026-06-01T15:56:05"/>
        <d v="2026-06-01T16:00:56"/>
        <d v="2026-06-01T16:15:55"/>
        <d v="2026-06-01T16:53:08"/>
        <d v="2026-06-01T16:53:32"/>
        <d v="2026-06-01T16:58:00"/>
        <d v="2026-06-01T17:00:31"/>
        <d v="2026-06-01T17:00:39"/>
        <d v="2026-06-01T17:01:24"/>
        <d v="2026-06-01T17:02:27"/>
        <d v="2026-06-01T17:03:06"/>
        <d v="2026-06-01T17:04:39"/>
        <d v="2026-06-01T17:05:07"/>
        <d v="2026-06-01T17:05:34"/>
        <d v="2026-06-01T17:09:52"/>
        <d v="2026-06-01T17:10:00"/>
        <d v="2026-06-01T17:11:28"/>
        <d v="2026-06-01T17:12:16"/>
        <d v="2026-06-01T17:13:09"/>
        <d v="2026-06-01T17:13:29"/>
        <d v="2026-06-01T17:13:47"/>
        <d v="2026-06-01T17:14:25"/>
        <d v="2026-06-01T17:14:41"/>
        <d v="2026-06-01T17:25:30"/>
        <d v="2026-06-01T17:25:55"/>
        <d v="2026-06-01T17:28:15"/>
        <d v="2026-06-01T17:38:27"/>
        <d v="2026-06-01T18:09:39"/>
        <d v="2026-06-01T18:13:03"/>
        <d v="2026-06-01T18:14:00"/>
        <d v="2026-06-01T18:14:35"/>
        <d v="2026-06-01T18:15:12"/>
        <d v="2026-06-01T18:22:27"/>
        <d v="2026-06-01T18:23:00"/>
        <d v="2026-06-01T18:24:10"/>
        <d v="2026-06-01T18:28:08"/>
        <d v="2026-06-01T18:29:41"/>
        <d v="2026-06-01T18:30:00"/>
        <d v="2026-06-01T18:30:14"/>
        <d v="2026-06-01T18:30:42"/>
        <d v="2026-06-01T18:31:01"/>
        <d v="2026-06-01T18:31:46"/>
        <d v="2026-06-01T18:32:35"/>
        <d v="2026-06-01T18:33:21"/>
        <d v="2026-06-01T18:33:24"/>
        <d v="2026-06-01T18:34:21"/>
        <d v="2026-06-01T18:35:04"/>
        <d v="2026-06-01T18:35:31"/>
        <d v="2026-06-01T18:36:12"/>
        <d v="2026-06-01T18:36:59"/>
        <d v="2026-06-01T18:38:01"/>
        <d v="2026-06-01T18:39:15"/>
        <d v="2026-06-01T18:50:50"/>
        <d v="2026-06-01T19:03:30"/>
        <d v="2026-06-01T19:03:40"/>
        <d v="2026-06-01T19:08:48"/>
        <d v="2026-06-01T19:09:01"/>
        <d v="2026-06-01T19:10:35"/>
        <d v="2026-06-01T19:10:52"/>
        <d v="2026-06-01T19:11:21"/>
        <d v="2026-06-01T19:11:43"/>
        <d v="2026-06-01T19:11:44"/>
        <d v="2026-06-01T19:11:52"/>
        <d v="2026-06-01T19:14:27"/>
        <d v="2026-06-01T19:15:23"/>
        <d v="2026-06-01T19:16:16"/>
        <d v="2026-06-01T19:21:28"/>
        <d v="2026-06-01T19:22:11"/>
        <d v="2026-06-01T19:24:30"/>
        <d v="2026-06-01T19:25:36"/>
        <d v="2026-06-01T19:25:52"/>
        <d v="2026-06-01T19:27:20"/>
        <d v="2026-06-01T20:18:11"/>
        <d v="2026-06-01T21:32:03"/>
        <d v="2026-06-01T21:44:53"/>
        <d v="2026-06-01T21:46:03"/>
        <d v="2026-06-01T21:54:39"/>
        <d v="2026-06-01T21:54:52"/>
        <d v="2026-06-01T21:55:46"/>
        <d v="2026-06-01T21:59:27"/>
        <d v="2026-06-01T21:59:51"/>
        <d v="2026-06-01T22:08:17"/>
        <d v="2026-06-01T22:12:00"/>
        <d v="2026-06-01T22:13:04"/>
        <d v="2026-06-01T22:59:43"/>
        <d v="2026-06-01T22:59:53"/>
        <d v="2026-06-01T23:00:14"/>
        <d v="2026-06-01T23:00:34"/>
        <d v="2026-06-01T23:02:33"/>
        <d v="2026-06-01T23:07:12"/>
        <d v="2026-06-01T23:07:28"/>
        <d v="2026-06-01T23:12:32"/>
        <d v="2026-06-01T23:13:13"/>
        <d v="2026-06-01T23:13:16"/>
        <d v="2026-06-01T23:13:33"/>
        <d v="2026-06-01T23:14:02"/>
        <d v="2026-06-01T23:15:07"/>
        <d v="2026-06-01T23:42:36"/>
        <d v="2026-06-01T23:58:32"/>
        <d v="2026-06-01T06:19:08"/>
        <d v="2026-06-01T06:19:10"/>
        <d v="2026-06-01T06:19:44"/>
        <d v="2026-06-01T06:20:37"/>
        <d v="2026-06-01T06:21:24"/>
        <d v="2026-06-01T06:21:40"/>
        <d v="2026-06-01T06:22:25"/>
        <d v="2026-06-01T06:23:24"/>
        <d v="2026-06-01T06:23:33"/>
        <d v="2026-06-01T06:23:57"/>
        <d v="2026-06-01T06:24:19"/>
        <d v="2026-06-01T06:25:13"/>
        <d v="2026-06-01T06:25:45"/>
        <d v="2026-06-01T06:48:33"/>
        <d v="2026-06-01T08:49:49"/>
        <d v="2026-06-01T09:21:04"/>
        <d v="2026-06-01T09:21:26"/>
        <d v="2026-06-01T09:22:10"/>
        <d v="2026-06-01T09:22:42"/>
        <d v="2026-06-01T09:22:50"/>
        <d v="2026-06-01T09:23:26"/>
        <d v="2026-06-01T09:24:19"/>
        <d v="2026-06-01T09:24:50"/>
        <d v="2026-06-01T09:31:50"/>
        <d v="2026-06-01T09:51:58"/>
        <d v="2026-06-01T10:05:18"/>
        <d v="2026-06-01T10:05:30"/>
        <d v="2026-06-01T10:09:45"/>
        <d v="2026-06-01T10:11:41"/>
        <d v="2026-06-01T10:11:59"/>
        <d v="2026-06-01T10:12:43"/>
        <d v="2026-06-01T10:12:59"/>
        <d v="2026-06-01T10:13:20"/>
        <d v="2026-06-01T10:13:39"/>
        <d v="2026-06-01T10:14:09"/>
        <d v="2026-06-01T10:14:21"/>
        <d v="2026-06-01T10:22:30"/>
        <d v="2026-06-01T10:23:37"/>
        <d v="2026-06-01T10:26:29"/>
        <d v="2026-06-01T10:27:18"/>
        <d v="2026-06-01T10:27:49"/>
        <d v="2026-06-01T10:27:56"/>
        <d v="2026-06-01T10:28:26"/>
        <d v="2026-06-01T10:30:05"/>
        <d v="2026-06-01T10:30:56"/>
        <d v="2026-06-01T10:31:14"/>
        <d v="2026-06-01T10:32:08"/>
        <d v="2026-06-01T10:32:38"/>
        <d v="2026-06-01T10:33:04"/>
        <d v="2026-06-01T10:33:24"/>
        <d v="2026-06-01T10:40:59"/>
        <d v="2026-06-01T10:41:18"/>
        <d v="2026-06-01T10:44:36"/>
        <d v="2026-06-01T10:45:38"/>
        <d v="2026-06-01T10:46:00"/>
        <d v="2026-06-01T10:47:42"/>
        <d v="2026-06-01T10:47:53"/>
        <d v="2026-06-01T10:48:22"/>
        <d v="2026-06-01T10:49:11"/>
        <d v="2026-06-01T10:50:35"/>
        <d v="2026-06-01T10:54:07"/>
        <d v="2026-06-01T10:56:22"/>
        <d v="2026-06-01T10:57:00"/>
        <d v="2026-06-01T10:59:42"/>
        <d v="2026-06-01T11:02:06"/>
        <d v="2026-06-01T11:02:21"/>
        <d v="2026-06-01T11:02:35"/>
        <d v="2026-06-01T11:03:42"/>
        <d v="2026-06-01T11:03:56"/>
        <d v="2026-06-01T11:09:23"/>
        <d v="2026-06-01T11:10:33"/>
        <d v="2026-06-01T11:44:49"/>
        <d v="2026-06-01T11:45:58"/>
        <d v="2026-06-01T11:46:37"/>
        <d v="2026-06-01T11:46:55"/>
        <d v="2026-06-01T11:47:18"/>
        <d v="2026-06-01T11:47:26"/>
        <d v="2026-06-01T11:47:40"/>
        <d v="2026-06-01T11:47:50"/>
        <d v="2026-06-01T11:48:14"/>
        <d v="2026-06-01T11:48:34"/>
        <d v="2026-06-01T11:48:46"/>
        <d v="2026-06-01T11:48:52"/>
        <d v="2026-06-01T11:49:16"/>
        <d v="2026-06-01T11:49:37"/>
        <d v="2026-06-01T11:50:34"/>
        <d v="2026-06-01T11:50:43"/>
        <d v="2026-06-01T11:51:09"/>
        <d v="2026-06-01T11:52:26"/>
        <d v="2026-06-01T11:52:39"/>
        <d v="2026-06-01T13:47:48"/>
        <d v="2026-06-01T13:48:09"/>
        <d v="2026-06-01T13:48:27"/>
        <d v="2026-06-01T13:48:40"/>
        <d v="2026-06-01T13:49:00"/>
        <d v="2026-06-01T13:49:38"/>
        <d v="2026-06-01T13:50:13"/>
        <d v="2026-06-01T13:50:44"/>
        <d v="2026-06-01T13:50:51"/>
        <d v="2026-06-01T13:51:06"/>
        <d v="2026-06-01T13:51:45"/>
        <d v="2026-06-01T13:53:16"/>
        <d v="2026-06-01T13:53:36"/>
        <d v="2026-06-01T13:54:47"/>
        <d v="2026-06-01T13:55:03"/>
        <d v="2026-06-01T13:58:49"/>
        <d v="2026-06-01T14:10:49"/>
        <d v="2026-06-01T14:11:37"/>
        <d v="2026-06-01T14:12:10"/>
        <d v="2026-06-01T14:12:20"/>
        <d v="2026-06-01T14:12:35"/>
        <d v="2026-06-01T14:43:52"/>
        <d v="2026-06-01T14:44:05"/>
        <d v="2026-06-01T14:45:21"/>
        <d v="2026-06-01T14:45:46"/>
        <d v="2026-06-01T14:46:21"/>
        <d v="2026-06-01T14:47:09"/>
        <d v="2026-06-01T14:47:52"/>
        <d v="2026-06-01T14:49:18"/>
        <d v="2026-06-01T14:51:55"/>
        <d v="2026-06-01T15:05:19"/>
        <d v="2026-06-01T15:05:44"/>
        <d v="2026-06-01T15:05:57"/>
        <d v="2026-06-01T15:07:00"/>
        <d v="2026-06-01T15:08:14"/>
        <d v="2026-06-01T15:08:45"/>
        <d v="2026-06-01T15:13:57"/>
        <d v="2026-06-01T15:14:32"/>
        <d v="2026-06-01T15:15:59"/>
        <d v="2026-06-01T15:21:07"/>
        <d v="2026-06-01T15:22:26"/>
        <d v="2026-06-01T15:22:37"/>
        <d v="2026-06-01T15:29:30"/>
        <d v="2026-06-01T15:31:05"/>
        <d v="2026-06-01T15:39:31"/>
        <d v="2026-06-01T15:39:48"/>
        <d v="2026-06-01T15:40:09"/>
        <d v="2026-06-01T15:47:49"/>
        <d v="2026-06-01T15:48:50"/>
        <d v="2026-06-01T15:49:48"/>
        <d v="2026-06-01T15:49:58"/>
        <d v="2026-06-01T15:51:05"/>
        <d v="2026-06-01T15:52:58"/>
        <d v="2026-06-01T16:05:27"/>
        <d v="2026-06-01T16:06:31"/>
        <d v="2026-06-01T16:07:08"/>
        <d v="2026-06-01T16:07:21"/>
        <d v="2026-06-01T16:09:35"/>
        <d v="2026-06-01T16:10:10"/>
        <d v="2026-06-01T16:10:25"/>
        <d v="2026-06-01T16:10:48"/>
        <d v="2026-06-01T16:11:22"/>
        <d v="2026-06-01T16:11:34"/>
        <d v="2026-06-01T16:15:24"/>
        <d v="2026-06-01T16:16:19"/>
        <d v="2026-06-01T16:17:20"/>
        <d v="2026-06-01T16:17:50"/>
        <d v="2026-06-01T16:23:41"/>
        <d v="2026-06-01T16:36:08"/>
        <d v="2026-06-01T16:37:29"/>
        <d v="2026-06-01T16:38:54"/>
        <d v="2026-06-01T16:41:48"/>
        <d v="2026-06-01T16:56:33"/>
        <d v="2026-06-01T16:56:49"/>
        <d v="2026-06-01T16:57:32"/>
        <d v="2026-06-01T16:59:12"/>
        <d v="2026-06-01T17:00:18"/>
        <d v="2026-06-01T17:00:41"/>
        <d v="2026-06-01T17:01:46"/>
        <d v="2026-06-01T17:02:16"/>
        <d v="2026-06-01T17:35:33"/>
        <d v="2026-06-01T17:36:19"/>
        <d v="2026-06-01T17:37:51"/>
        <d v="2026-06-01T17:38:14"/>
        <d v="2026-06-01T17:41:48"/>
        <d v="2026-06-01T18:02:30"/>
        <d v="2026-06-01T18:03:10"/>
        <d v="2026-06-01T18:03:33"/>
        <d v="2026-06-01T18:03:37"/>
        <d v="2026-06-01T18:03:47"/>
        <d v="2026-06-01T18:05:29"/>
        <d v="2026-06-01T18:06:12"/>
        <d v="2026-06-01T18:06:29"/>
        <d v="2026-06-01T18:07:11"/>
        <d v="2026-06-01T18:09:29"/>
        <d v="2026-06-01T18:20:58"/>
        <d v="2026-06-01T18:23:51"/>
        <d v="2026-06-01T19:28:44"/>
        <d v="2026-06-01T20:25:02"/>
        <d v="2026-06-01T20:33:02"/>
        <d v="2026-06-01T20:34:15"/>
        <d v="2026-06-01T20:34:18"/>
        <d v="2026-06-01T20:34:57"/>
        <d v="2026-06-01T20:35:18"/>
        <d v="2026-06-01T20:35:27"/>
        <d v="2026-06-01T20:35:29"/>
        <d v="2026-06-01T20:35:40"/>
        <d v="2026-06-01T20:37:48"/>
        <d v="2026-06-01T20:42:55"/>
        <d v="2026-06-01T20:45:19"/>
        <d v="2026-06-01T20:45:47"/>
        <d v="2026-06-01T20:46:29"/>
        <d v="2026-06-01T20:46:57"/>
        <d v="2026-06-01T20:47:47"/>
        <d v="2026-06-01T20:48:25"/>
        <d v="2026-06-01T20:49:29"/>
        <d v="2026-06-01T20:53:14"/>
        <d v="2026-06-01T20:58:52"/>
        <d v="2026-06-01T20:59:20"/>
        <d v="2026-06-01T21:27:48"/>
        <d v="2026-06-01T01:23:23"/>
        <d v="2026-06-01T01:27:35"/>
        <d v="2026-06-01T01:27:41"/>
        <d v="2026-06-01T02:20:59"/>
        <d v="2026-06-01T02:37:34"/>
        <d v="2026-06-01T02:54:43"/>
        <d v="2026-06-01T02:55:39"/>
        <d v="2026-06-01T02:58:29"/>
        <d v="2026-06-01T04:29:42"/>
        <d v="2026-06-01T04:32:13"/>
        <d v="2026-06-01T04:35:00"/>
        <d v="2026-06-01T04:36:18"/>
        <d v="2026-06-01T04:58:06"/>
        <d v="2026-06-01T04:59:13"/>
        <d v="2026-06-01T05:03:19"/>
        <d v="2026-06-01T06:12:01"/>
        <d v="2026-06-01T06:12:09"/>
        <d v="2026-06-01T06:12:29"/>
        <d v="2026-06-01T06:23:28"/>
        <d v="2026-06-01T06:27:33"/>
        <d v="2026-06-01T06:27:56"/>
        <d v="2026-06-01T06:29:53"/>
        <d v="2026-06-01T06:31:51"/>
        <d v="2026-06-01T06:36:08"/>
        <d v="2026-06-01T06:47:06"/>
        <d v="2026-06-01T06:48:11"/>
        <d v="2026-06-01T06:49:04"/>
        <d v="2026-06-01T07:49:00"/>
        <d v="2026-06-01T07:49:18"/>
        <d v="2026-06-01T07:54:03"/>
        <d v="2026-06-01T09:06:51"/>
        <d v="2026-06-01T09:57:30"/>
        <d v="2026-06-01T12:51:54"/>
        <d v="2026-06-01T12:53:25"/>
        <d v="2026-06-01T14:06:48"/>
        <d v="2026-06-01T14:06:57"/>
        <d v="2026-06-01T14:07:21"/>
        <d v="2026-06-01T14:15:43"/>
        <d v="2026-06-01T15:52:02"/>
        <d v="2026-06-01T16:26:15"/>
        <d v="2026-06-01T16:28:07"/>
        <d v="2026-06-01T16:29:17"/>
        <d v="2026-06-01T16:30:31"/>
        <d v="2026-06-01T16:41:34"/>
        <d v="2026-06-01T16:54:23"/>
        <d v="2026-06-01T16:56:10"/>
        <d v="2026-06-01T17:00:14"/>
        <d v="2026-06-01T17:10:17"/>
        <d v="2026-06-01T17:14:23"/>
        <d v="2026-06-01T18:06:16"/>
        <d v="2026-06-01T18:06:31"/>
        <d v="2026-06-01T18:11:56"/>
        <d v="2026-06-01T18:26:44"/>
        <d v="2026-06-01T18:29:59"/>
        <d v="2026-06-01T18:30:50"/>
        <d v="2026-06-01T18:37:48"/>
        <d v="2026-06-01T18:38:17"/>
        <d v="2026-06-01T18:39:06"/>
        <d v="2026-06-01T18:39:49"/>
        <d v="2026-06-01T18:47:08"/>
        <d v="2026-06-01T18:47:49"/>
        <d v="2026-06-01T18:48:45"/>
        <d v="2026-06-01T18:48:48"/>
        <d v="2026-06-01T18:49:22"/>
        <d v="2026-06-01T18:49:53"/>
        <d v="2026-06-01T18:50:17"/>
        <d v="2026-06-01T19:14:57"/>
        <d v="2026-06-01T19:19:19"/>
        <d v="2026-06-01T19:19:54"/>
        <d v="2026-06-01T19:20:49"/>
        <d v="2026-06-01T19:21:29"/>
        <d v="2026-06-01T19:21:38"/>
        <d v="2026-06-01T19:22:17"/>
        <d v="2026-06-01T19:22:37"/>
        <d v="2026-06-01T19:22:47"/>
        <d v="2026-06-01T19:22:54"/>
        <d v="2026-06-01T19:23:38"/>
        <d v="2026-06-01T20:31:31"/>
        <d v="2026-06-01T22:57:54"/>
        <d v="2026-06-01T22:58:21"/>
        <d v="2026-06-01T05:36:03"/>
        <d v="2026-06-01T05:38:18"/>
        <d v="2026-06-01T05:39:57"/>
        <d v="2026-06-01T06:18:44"/>
        <d v="2026-06-01T06:59:06"/>
        <d v="2026-06-01T07:02:38"/>
        <d v="2026-06-01T07:02:42"/>
        <d v="2026-06-01T07:02:58"/>
        <d v="2026-06-01T07:04:15"/>
        <d v="2026-06-01T07:17:23"/>
        <d v="2026-06-01T07:17:33"/>
        <d v="2026-06-01T07:21:02"/>
        <d v="2026-06-01T08:22:22"/>
        <d v="2026-06-01T08:27:09"/>
        <d v="2026-06-01T09:02:06"/>
        <d v="2026-06-01T09:04:02"/>
        <d v="2026-06-01T09:04:29"/>
        <d v="2026-06-01T09:05:18"/>
        <d v="2026-06-01T09:06:08"/>
        <d v="2026-06-01T09:07:09"/>
        <d v="2026-06-01T09:08:58"/>
        <d v="2026-06-01T09:16:14"/>
        <d v="2026-06-01T09:16:15"/>
        <d v="2026-06-01T09:16:16"/>
        <d v="2026-06-01T10:52:44"/>
        <d v="2026-06-01T10:59:28"/>
        <d v="2026-06-01T08:01:08"/>
        <d v="2026-06-01T08:01:16"/>
        <d v="2026-06-01T08:01:33"/>
        <d v="2026-06-01T08:10:01"/>
        <d v="2026-06-01T08:10:51"/>
        <d v="2026-06-01T08:11:01"/>
        <d v="2026-06-01T08:11:22"/>
        <d v="2026-06-01T08:11:30"/>
        <d v="2026-06-01T08:11:45"/>
        <d v="2026-06-01T08:11:58"/>
        <d v="2026-06-01T08:12:16"/>
        <d v="2026-06-01T08:20:26"/>
        <d v="2026-06-01T08:21:44"/>
        <d v="2026-06-01T08:22:11"/>
        <d v="2026-06-01T08:22:42"/>
        <d v="2026-06-01T09:43:08"/>
        <d v="2026-06-01T09:45:27"/>
        <d v="2026-06-01T09:46:34"/>
        <d v="2026-06-01T09:48:20"/>
        <d v="2026-06-01T09:50:50"/>
        <d v="2026-06-01T09:52:48"/>
        <d v="2026-06-01T09:55:30"/>
        <d v="2026-06-01T09:57:57"/>
        <d v="2026-06-01T09:58:32"/>
        <d v="2026-06-01T09:59:12"/>
        <d v="2026-06-01T09:59:34"/>
        <d v="2026-06-01T10:00:05"/>
        <d v="2026-06-01T10:00:34"/>
        <d v="2026-06-01T10:00:59"/>
        <d v="2026-06-01T10:04:21"/>
        <d v="2026-06-01T10:05:33"/>
        <d v="2026-06-01T10:05:41"/>
        <d v="2026-06-01T10:09:22"/>
        <d v="2026-06-01T10:10:00"/>
        <d v="2026-06-01T10:22:24"/>
        <d v="2026-06-01T10:24:38"/>
        <d v="2026-06-01T10:25:51"/>
        <d v="2026-06-01T10:25:58"/>
        <d v="2026-06-01T10:26:09"/>
        <d v="2026-06-01T10:26:15"/>
        <d v="2026-06-01T10:26:33"/>
        <d v="2026-06-01T10:26:38"/>
        <d v="2026-06-01T12:51:49"/>
        <d v="2026-06-01T12:52:05"/>
        <d v="2026-06-01T12:52:40"/>
        <d v="2026-06-01T12:58:12"/>
        <d v="2026-06-01T13:02:05"/>
        <d v="2026-06-01T13:39:38"/>
        <d v="2026-06-01T13:39:51"/>
        <d v="2026-06-01T13:40:27"/>
        <d v="2026-06-01T13:40:56"/>
        <d v="2026-06-01T13:44:17"/>
        <d v="2026-06-01T14:13:13"/>
        <d v="2026-06-01T14:39:18"/>
        <d v="2026-06-01T15:16:25"/>
        <d v="2026-06-01T15:46:53"/>
        <d v="2026-06-01T16:07:46"/>
        <d v="2026-06-01T16:08:29"/>
        <d v="2026-06-01T16:08:50"/>
        <d v="2026-06-01T17:01:10"/>
        <d v="2026-06-01T17:01:11"/>
        <d v="2026-06-01T19:58:13"/>
        <d v="2026-06-01T20:02:00"/>
        <d v="2026-05-31T23:56:32"/>
        <d v="2026-06-01T00:36:20"/>
        <d v="2026-06-01T00:36:37"/>
        <d v="2026-06-01T00:38:26"/>
        <d v="2026-06-01T00:42:33"/>
        <d v="2026-06-01T00:48:57"/>
        <d v="2026-06-01T00:51:30"/>
        <d v="2026-06-01T06:43:48"/>
        <d v="2026-06-01T06:50:28"/>
        <d v="2026-06-01T06:51:09"/>
        <d v="2026-06-01T06:51:23"/>
        <d v="2026-06-01T06:54:05"/>
        <d v="2026-06-01T07:03:59"/>
        <d v="2026-06-01T07:04:24"/>
        <d v="2026-06-01T07:04:38"/>
        <d v="2026-06-01T07:07:29"/>
        <d v="2026-06-01T07:07:30"/>
        <d v="2026-06-01T07:09:09"/>
        <d v="2026-06-01T07:09:59"/>
        <d v="2026-06-01T07:10:09"/>
        <d v="2026-06-01T07:10:54"/>
        <d v="2026-06-01T07:11:21"/>
        <d v="2026-06-01T07:15:13"/>
        <d v="2026-06-01T07:18:31"/>
        <d v="2026-06-01T07:22:06"/>
        <d v="2026-06-01T07:22:15"/>
        <d v="2026-06-01T07:22:24"/>
        <d v="2026-06-01T07:25:09"/>
        <d v="2026-06-01T07:25:36"/>
        <d v="2026-06-01T07:26:16"/>
        <d v="2026-06-01T07:28:55"/>
        <d v="2026-06-01T07:30:42"/>
        <d v="2026-06-01T07:31:56"/>
        <d v="2026-06-01T07:32:18"/>
        <d v="2026-06-01T07:32:42"/>
        <d v="2026-06-01T07:33:00"/>
        <d v="2026-06-01T07:33:17"/>
        <d v="2026-06-01T07:33:28"/>
        <d v="2026-06-01T07:34:09"/>
        <d v="2026-06-01T07:34:16"/>
        <d v="2026-06-01T07:40:22"/>
        <d v="2026-06-01T07:40:34"/>
        <d v="2026-06-01T07:40:43"/>
        <d v="2026-06-01T07:48:08"/>
        <d v="2026-06-01T07:48:26"/>
        <d v="2026-06-01T07:48:32"/>
        <d v="2026-06-01T07:48:47"/>
        <d v="2026-06-01T07:49:28"/>
        <d v="2026-06-01T07:50:18"/>
        <d v="2026-06-01T07:50:58"/>
        <d v="2026-06-01T07:51:59"/>
        <d v="2026-06-01T07:52:34"/>
        <d v="2026-06-01T07:57:46"/>
        <d v="2026-06-01T08:01:25"/>
        <d v="2026-06-01T08:02:02"/>
        <d v="2026-06-01T08:02:13"/>
        <d v="2026-06-01T08:03:19"/>
        <d v="2026-06-01T08:05:10"/>
        <d v="2026-06-01T08:06:20"/>
        <d v="2026-06-01T08:06:29"/>
        <d v="2026-06-01T08:06:35"/>
        <d v="2026-06-01T08:07:21"/>
        <d v="2026-06-01T08:07:35"/>
        <d v="2026-06-01T08:08:35"/>
        <d v="2026-06-01T08:08:59"/>
        <d v="2026-06-01T08:09:27"/>
        <d v="2026-06-01T08:09:32"/>
        <d v="2026-06-01T08:09:43"/>
        <d v="2026-06-01T08:10:21"/>
        <d v="2026-06-01T08:10:36"/>
        <d v="2026-06-01T08:15:13"/>
        <d v="2026-06-01T08:18:23"/>
        <d v="2026-06-01T08:18:50"/>
        <d v="2026-06-01T08:19:25"/>
        <d v="2026-06-01T08:19:37"/>
        <d v="2026-06-01T08:21:28"/>
        <d v="2026-06-01T08:22:29"/>
        <d v="2026-06-01T08:23:26"/>
        <d v="2026-06-01T08:23:49"/>
        <d v="2026-06-01T08:28:41"/>
        <d v="2026-06-01T08:28:54"/>
        <d v="2026-06-01T08:29:00"/>
        <d v="2026-06-01T08:29:13"/>
        <d v="2026-06-01T08:29:22"/>
        <d v="2026-06-01T08:29:58"/>
        <d v="2026-06-01T08:30:31"/>
        <d v="2026-06-01T08:31:23"/>
        <d v="2026-06-01T08:33:57"/>
        <d v="2026-06-01T08:33:58"/>
        <d v="2026-06-01T08:36:21"/>
        <d v="2026-06-01T08:39:44"/>
        <d v="2026-06-01T08:40:05"/>
        <d v="2026-06-01T08:40:13"/>
        <d v="2026-06-01T08:40:32"/>
        <d v="2026-06-01T08:41:15"/>
        <d v="2026-06-01T08:41:21"/>
        <d v="2026-06-01T08:41:32"/>
        <d v="2026-06-01T08:43:06"/>
        <d v="2026-06-01T08:43:17"/>
        <d v="2026-06-01T08:43:42"/>
        <d v="2026-06-01T08:44:15"/>
        <d v="2026-06-01T08:44:34"/>
        <d v="2026-06-01T08:47:30"/>
        <d v="2026-06-01T08:48:14"/>
        <d v="2026-06-01T08:48:46"/>
        <d v="2026-06-01T08:49:20"/>
        <d v="2026-06-01T08:49:30"/>
        <d v="2026-06-01T08:53:47"/>
        <d v="2026-06-01T08:55:37"/>
        <d v="2026-06-01T08:57:06"/>
        <d v="2026-06-01T08:59:29"/>
        <d v="2026-06-01T08:59:43"/>
        <d v="2026-06-01T08:59:54"/>
        <d v="2026-06-01T09:00:08"/>
        <d v="2026-06-01T09:00:43"/>
        <d v="2026-06-01T09:01:05"/>
        <d v="2026-06-01T09:02:08"/>
        <d v="2026-06-01T09:02:17"/>
        <d v="2026-06-01T09:03:32"/>
        <d v="2026-06-01T09:04:39"/>
        <d v="2026-06-01T09:05:07"/>
        <d v="2026-06-01T09:05:15"/>
        <d v="2026-06-01T09:05:27"/>
        <d v="2026-06-01T09:05:52"/>
        <d v="2026-06-01T09:06:03"/>
        <d v="2026-06-01T09:06:10"/>
        <d v="2026-06-01T09:06:27"/>
        <d v="2026-06-01T09:06:45"/>
        <d v="2026-06-01T09:06:49"/>
        <d v="2026-06-01T09:09:24"/>
        <d v="2026-06-01T09:10:01"/>
        <d v="2026-06-01T09:10:04"/>
        <d v="2026-06-01T09:10:18"/>
        <d v="2026-06-01T09:10:43"/>
        <d v="2026-06-01T09:11:02"/>
        <d v="2026-06-01T09:11:25"/>
        <d v="2026-06-01T09:13:16"/>
        <d v="2026-06-01T09:15:46"/>
        <d v="2026-06-01T09:16:07"/>
        <d v="2026-06-01T09:16:31"/>
        <d v="2026-06-01T09:17:03"/>
        <d v="2026-06-01T09:18:23"/>
        <d v="2026-06-01T09:18:54"/>
        <d v="2026-06-01T09:19:27"/>
        <d v="2026-06-01T09:19:53"/>
        <d v="2026-06-01T09:21:53"/>
        <d v="2026-06-01T09:27:30"/>
        <d v="2026-06-01T09:28:00"/>
        <d v="2026-06-01T09:31:01"/>
        <d v="2026-06-01T09:33:40"/>
        <d v="2026-06-01T09:34:16"/>
        <d v="2026-06-01T09:35:24"/>
        <d v="2026-06-01T09:36:24"/>
        <d v="2026-06-01T09:39:45"/>
        <d v="2026-06-01T09:40:00"/>
        <d v="2026-06-01T09:40:11"/>
        <d v="2026-06-01T09:40:49"/>
        <d v="2026-06-01T09:43:07"/>
        <d v="2026-06-01T09:44:02"/>
        <d v="2026-06-01T09:46:04"/>
        <d v="2026-06-01T09:47:13"/>
        <d v="2026-06-01T09:53:27"/>
        <d v="2026-06-01T09:53:32"/>
        <d v="2026-06-01T09:54:19"/>
        <d v="2026-06-01T09:54:59"/>
        <d v="2026-06-01T09:55:54"/>
        <d v="2026-06-01T09:56:39"/>
        <d v="2026-06-01T09:57:48"/>
        <d v="2026-06-01T09:58:20"/>
        <d v="2026-06-01T09:58:46"/>
        <d v="2026-06-01T09:59:44"/>
        <d v="2026-06-01T10:00:16"/>
        <d v="2026-06-01T10:01:55"/>
        <d v="2026-06-01T10:03:26"/>
        <d v="2026-06-01T10:04:07"/>
        <d v="2026-06-01T10:04:25"/>
        <d v="2026-06-01T10:04:40"/>
        <d v="2026-06-01T10:04:57"/>
        <d v="2026-06-01T10:07:22"/>
        <d v="2026-06-01T10:08:45"/>
        <d v="2026-06-01T10:08:57"/>
        <d v="2026-06-01T10:09:28"/>
        <d v="2026-06-01T10:10:17"/>
        <d v="2026-06-01T10:11:00"/>
        <d v="2026-06-01T10:11:20"/>
        <d v="2026-06-01T10:13:53"/>
        <d v="2026-06-01T10:14:31"/>
        <d v="2026-06-01T10:14:39"/>
        <d v="2026-06-01T10:14:51"/>
        <d v="2026-06-01T10:15:14"/>
        <d v="2026-06-01T10:16:54"/>
        <d v="2026-06-01T10:19:17"/>
        <d v="2026-06-01T10:19:30"/>
        <d v="2026-06-01T10:19:49"/>
        <d v="2026-06-01T10:20:13"/>
        <d v="2026-06-01T10:22:00"/>
        <d v="2026-06-01T10:22:12"/>
        <d v="2026-06-01T10:22:26"/>
        <d v="2026-06-01T10:23:01"/>
        <d v="2026-06-01T10:23:34"/>
        <d v="2026-06-01T10:26:02"/>
        <d v="2026-06-01T10:28:18"/>
        <d v="2026-06-01T10:30:28"/>
        <d v="2026-06-01T10:30:35"/>
        <d v="2026-06-01T10:47:22"/>
        <d v="2026-06-01T10:57:30"/>
        <d v="2026-06-01T10:59:24"/>
        <d v="2026-06-01T10:59:41"/>
        <d v="2026-06-01T11:00:02"/>
        <d v="2026-06-01T11:00:18"/>
        <d v="2026-06-01T11:00:32"/>
        <d v="2026-06-01T11:00:39"/>
        <d v="2026-06-01T11:03:05"/>
        <d v="2026-06-01T11:04:35"/>
        <d v="2026-06-01T11:12:56"/>
        <d v="2026-06-01T11:25:41"/>
        <d v="2026-06-01T11:26:18"/>
        <d v="2026-06-01T11:26:57"/>
        <d v="2026-06-01T11:27:25"/>
        <d v="2026-06-01T11:27:33"/>
        <d v="2026-06-01T11:31:31"/>
        <d v="2026-06-01T11:33:35"/>
        <d v="2026-06-01T11:34:48"/>
        <d v="2026-06-01T11:35:50"/>
        <d v="2026-06-01T11:35:57"/>
        <d v="2026-06-01T11:57:25"/>
        <d v="2026-06-01T11:57:39"/>
        <d v="2026-06-01T11:58:29"/>
        <d v="2026-06-01T11:59:00"/>
        <d v="2026-06-01T11:59:26"/>
        <d v="2026-06-01T12:00:02"/>
        <d v="2026-06-01T12:00:51"/>
        <d v="2026-06-01T12:01:43"/>
        <d v="2026-06-01T12:09:16"/>
        <d v="2026-06-01T12:19:15"/>
        <d v="2026-06-01T12:19:58"/>
        <d v="2026-06-01T12:20:13"/>
        <d v="2026-06-01T12:22:54"/>
        <d v="2026-06-01T12:24:00"/>
        <d v="2026-06-01T12:24:55"/>
        <d v="2026-06-01T12:25:13"/>
        <d v="2026-06-01T12:40:48"/>
        <d v="2026-06-01T12:41:21"/>
        <d v="2026-06-01T12:41:42"/>
        <d v="2026-06-01T12:42:05"/>
        <d v="2026-06-01T12:42:55"/>
        <d v="2026-06-01T12:44:16"/>
        <d v="2026-06-01T12:44:36"/>
        <d v="2026-06-01T12:53:23"/>
        <d v="2026-06-01T12:58:11"/>
        <d v="2026-06-01T12:58:33"/>
        <d v="2026-06-01T13:01:14"/>
        <d v="2026-06-01T13:01:21"/>
        <d v="2026-06-01T13:01:49"/>
        <d v="2026-06-01T13:02:19"/>
        <d v="2026-06-01T13:05:01"/>
        <d v="2026-06-01T13:07:04"/>
        <d v="2026-06-01T13:07:19"/>
        <d v="2026-06-01T13:07:39"/>
        <d v="2026-06-01T13:08:11"/>
        <d v="2026-06-01T13:08:24"/>
        <d v="2026-06-01T13:09:21"/>
        <d v="2026-06-01T13:12:25"/>
        <d v="2026-06-01T13:14:09"/>
        <d v="2026-06-01T13:16:08"/>
        <d v="2026-06-01T13:20:46"/>
        <d v="2026-06-01T13:21:56"/>
        <d v="2026-06-01T13:22:14"/>
        <d v="2026-06-01T13:23:32"/>
        <d v="2026-06-01T13:24:11"/>
        <d v="2026-06-01T13:24:25"/>
        <d v="2026-06-01T13:24:48"/>
        <d v="2026-06-01T13:25:48"/>
        <d v="2026-06-01T13:26:08"/>
        <d v="2026-06-01T13:26:27"/>
        <d v="2026-06-01T13:26:46"/>
        <d v="2026-06-01T13:26:56"/>
        <d v="2026-06-01T13:27:08"/>
        <d v="2026-06-01T13:27:19"/>
        <d v="2026-06-01T13:28:26"/>
        <d v="2026-06-01T13:30:44"/>
        <d v="2026-06-01T13:30:59"/>
        <d v="2026-06-01T13:31:48"/>
        <d v="2026-06-01T13:32:59"/>
        <d v="2026-06-01T13:33:43"/>
        <d v="2026-06-01T13:35:56"/>
        <d v="2026-06-01T13:36:51"/>
        <d v="2026-06-01T13:37:03"/>
        <d v="2026-06-01T13:38:43"/>
        <d v="2026-06-01T13:39:20"/>
        <d v="2026-06-01T13:40:20"/>
        <d v="2026-06-01T13:41:09"/>
        <d v="2026-06-01T13:42:12"/>
        <d v="2026-06-01T13:42:26"/>
        <d v="2026-06-01T13:45:53"/>
        <d v="2026-06-01T13:46:04"/>
        <d v="2026-06-01T14:03:49"/>
        <d v="2026-06-01T14:06:05"/>
        <d v="2026-06-01T14:06:41"/>
        <d v="2026-06-01T14:09:33"/>
        <d v="2026-06-01T14:10:14"/>
        <d v="2026-06-01T14:11:41"/>
        <d v="2026-06-01T14:11:49"/>
        <d v="2026-06-01T14:13:39"/>
        <d v="2026-06-01T14:14:49"/>
        <d v="2026-06-01T14:15:47"/>
        <d v="2026-06-01T14:21:36"/>
        <d v="2026-06-01T14:21:45"/>
        <d v="2026-06-01T14:26:23"/>
        <d v="2026-06-01T14:27:06"/>
        <d v="2026-06-01T14:27:20"/>
        <d v="2026-06-01T14:27:31"/>
        <d v="2026-06-01T14:28:29"/>
        <d v="2026-06-01T14:28:53"/>
        <d v="2026-06-01T14:30:01"/>
        <d v="2026-06-01T14:33:28"/>
        <d v="2026-06-01T14:33:58"/>
        <d v="2026-06-01T14:35:14"/>
        <d v="2026-06-01T16:30:00"/>
        <d v="2026-06-01T16:31:53"/>
        <d v="2026-06-01T16:38:38"/>
        <d v="2026-06-01T16:39:13"/>
        <d v="2026-06-01T16:39:39"/>
        <d v="2026-06-01T18:38:29"/>
        <d v="2026-06-01T18:45:23"/>
        <d v="2026-06-01T18:45:37"/>
        <d v="2026-06-01T18:50:43"/>
        <d v="2026-06-01T18:50:53"/>
        <d v="2026-06-01T18:52:52"/>
        <d v="2026-06-01T19:02:19"/>
        <d v="2026-06-01T19:13:04"/>
        <d v="2026-06-01T19:20:08"/>
        <d v="2026-06-01T19:28:16"/>
        <d v="2026-06-01T19:31:40"/>
        <d v="2026-06-01T19:32:53"/>
        <d v="2026-06-01T19:33:50"/>
        <d v="2026-06-01T19:34:14"/>
        <d v="2026-06-01T19:34:33"/>
        <d v="2026-06-01T20:07:04"/>
        <d v="2026-06-01T20:11:01"/>
        <d v="2026-06-01T20:12:42"/>
        <d v="2026-06-01T20:15:29"/>
        <d v="2026-06-01T20:15:38"/>
        <d v="2026-06-01T20:18:21"/>
        <d v="2026-06-01T20:19:00"/>
        <d v="2026-06-01T20:22:09"/>
        <d v="2026-06-01T20:23:57"/>
        <d v="2026-06-01T20:47:44"/>
        <d v="2026-06-01T21:00:12"/>
        <d v="2026-06-01T21:05:10"/>
        <d v="2026-06-01T21:06:38"/>
        <d v="2026-06-01T21:20:40"/>
        <d v="2026-06-01T21:34:10"/>
        <d v="2026-06-01T21:34:17"/>
        <d v="2026-06-01T21:40:08"/>
        <d v="2026-06-01T21:40:31"/>
        <d v="2026-06-01T21:40:48"/>
        <d v="2026-06-01T21:48:29"/>
        <d v="2026-06-01T21:52:18"/>
        <d v="2026-06-01T21:52:31"/>
        <d v="2026-06-01T22:13:39"/>
        <d v="2026-06-01T22:31:14"/>
        <d v="2026-06-01T22:31:37"/>
        <d v="2026-06-01T22:34:06"/>
        <d v="2026-06-01T22:34:37"/>
        <d v="2026-06-01T22:37:22"/>
        <d v="2026-06-01T22:37:42"/>
        <d v="2026-06-01T22:38:20"/>
        <d v="2026-06-01T22:38:34"/>
        <d v="2026-06-01T22:38:59"/>
        <d v="2026-06-01T22:39:30"/>
        <d v="2026-06-01T22:39:34"/>
        <d v="2026-06-01T22:40:26"/>
        <d v="2026-06-01T22:41:17"/>
        <d v="2026-06-01T22:41:47"/>
        <d v="2026-06-01T22:49:07"/>
        <d v="2026-06-01T22:52:47"/>
        <d v="2026-06-01T22:55:27"/>
        <d v="2026-06-01T22:55:43"/>
        <d v="2026-06-01T22:57:53"/>
        <d v="2026-06-01T22:59:23"/>
        <d v="2026-06-01T23:06:12"/>
        <d v="2026-06-01T23:06:45"/>
        <d v="2026-06-01T23:06:58"/>
        <d v="2026-06-01T23:09:29"/>
        <d v="2026-06-01T23:24:12"/>
        <d v="2026-06-01T23:24:45"/>
        <d v="2026-06-01T23:25:04"/>
        <d v="2026-06-01T23:33:33"/>
        <d v="2026-06-01T23:34:07"/>
        <d v="2026-06-01T23:34:33"/>
        <d v="2026-06-01T23:34:52"/>
        <d v="2026-06-01T23:35:23"/>
        <d v="2026-06-01T23:36:19"/>
        <d v="2026-06-01T23:51:41"/>
        <d v="2026-06-01T23:58:16"/>
        <d v="2026-06-01T23:58:46"/>
        <d v="2026-06-01T23:59:20"/>
        <d v="2026-06-01T23:59:30"/>
        <d v="2026-06-01T23:59:49"/>
        <d v="2026-06-01T05:56:22"/>
        <d v="2026-06-01T06:01:09"/>
        <d v="2026-06-01T06:01:51"/>
        <d v="2026-06-01T06:04:11"/>
        <d v="2026-06-01T06:05:51"/>
        <d v="2026-06-01T06:07:00"/>
        <d v="2026-06-01T06:32:16"/>
        <d v="2026-06-01T06:53:28"/>
        <d v="2026-06-01T06:53:40"/>
        <d v="2026-06-01T06:53:55"/>
        <d v="2026-06-01T07:37:16"/>
        <d v="2026-06-01T09:00:33"/>
        <d v="2026-06-01T09:02:21"/>
        <d v="2026-06-01T09:26:26"/>
        <d v="2026-06-01T09:26:57"/>
        <d v="2026-06-01T09:27:57"/>
        <d v="2026-06-01T15:12:18"/>
        <d v="2026-06-01T15:13:37"/>
        <d v="2026-06-01T15:13:54"/>
        <d v="2026-06-01T15:29:54"/>
        <d v="2026-06-01T15:31:47"/>
        <d v="2026-06-01T15:33:01"/>
        <d v="2026-06-01T15:35:54"/>
        <d v="2026-06-01T15:36:23"/>
        <d v="2026-06-01T15:43:35"/>
        <d v="2026-06-01T15:44:35"/>
        <d v="2026-06-01T15:45:09"/>
        <d v="2026-06-01T15:45:59"/>
        <d v="2026-06-01T15:46:32"/>
        <d v="2026-06-01T15:47:15"/>
        <d v="2026-06-01T15:48:29"/>
        <d v="2026-06-01T16:07:54"/>
        <d v="2026-06-01T16:23:01"/>
        <d v="2026-06-01T16:52:20"/>
        <d v="2026-06-01T17:27:04"/>
        <d v="2026-06-01T17:27:11"/>
        <d v="2026-06-01T17:28:39"/>
        <d v="2026-06-01T17:52:44"/>
        <d v="2026-06-01T17:57:24"/>
        <d v="2026-06-01T17:58:29"/>
        <d v="2026-06-01T00:12:26"/>
        <d v="2026-06-01T00:22:27"/>
        <d v="2026-06-01T00:30:37"/>
        <d v="2026-06-01T04:00:53"/>
        <d v="2026-06-01T04:16:22"/>
        <d v="2026-06-01T05:19:43"/>
        <d v="2026-06-01T06:11:44"/>
        <d v="2026-06-01T06:53:12"/>
        <d v="2026-06-01T07:05:30"/>
        <d v="2026-06-01T07:36:42"/>
        <d v="2026-06-01T08:01:58"/>
        <d v="2026-06-01T09:05:59"/>
        <d v="2026-06-01T09:46:48"/>
        <d v="2026-06-01T11:29:54"/>
        <d v="2026-06-01T12:24:09"/>
        <d v="2026-06-01T14:07:51"/>
        <d v="2026-06-01T14:59:20"/>
        <d v="2026-06-01T15:58:18"/>
        <d v="2026-06-01T16:48:51"/>
        <d v="2026-06-01T23:07:09"/>
        <d v="2026-06-01T23:19:37"/>
        <d v="2026-06-01T05:50:21"/>
        <d v="2026-06-01T05:55:04"/>
        <d v="2026-06-01T05:58:05"/>
        <d v="2026-06-01T05:58:24"/>
        <d v="2026-06-01T07:24:07"/>
        <d v="2026-06-01T07:25:42"/>
        <d v="2026-06-01T07:26:41"/>
        <d v="2026-06-01T07:26:48"/>
        <d v="2026-06-01T07:26:59"/>
        <d v="2026-06-01T07:27:08"/>
        <d v="2026-06-01T07:27:35"/>
        <d v="2026-06-01T07:27:39"/>
        <d v="2026-06-01T07:28:07"/>
        <d v="2026-06-01T07:29:18"/>
        <d v="2026-06-01T07:39:21"/>
        <d v="2026-06-01T08:01:05"/>
        <d v="2026-06-01T08:10:49"/>
        <d v="2026-06-01T08:23:59"/>
        <d v="2026-06-01T08:24:20"/>
        <d v="2026-06-01T08:24:41"/>
        <d v="2026-06-01T08:25:22"/>
        <d v="2026-06-01T08:26:05"/>
        <d v="2026-06-01T08:27:34"/>
        <d v="2026-06-01T08:41:29"/>
        <d v="2026-06-01T08:41:58"/>
        <d v="2026-06-01T08:42:25"/>
        <d v="2026-06-01T08:44:18"/>
        <d v="2026-06-01T08:45:22"/>
        <d v="2026-06-01T08:46:15"/>
        <d v="2026-06-01T08:52:44"/>
        <d v="2026-06-01T09:02:14"/>
        <d v="2026-06-01T09:04:53"/>
        <d v="2026-06-01T10:00:14"/>
        <d v="2026-06-01T10:26:23"/>
        <d v="2026-06-01T10:27:15"/>
        <d v="2026-06-01T10:31:23"/>
        <d v="2026-06-01T10:31:55"/>
        <d v="2026-06-01T10:32:11"/>
        <d v="2026-06-01T10:33:26"/>
        <d v="2026-06-01T10:46:51"/>
        <d v="2026-06-01T10:47:46"/>
        <d v="2026-06-01T10:48:38"/>
        <d v="2026-06-01T10:48:55"/>
        <d v="2026-06-01T10:50:44"/>
        <d v="2026-06-01T10:59:47"/>
        <d v="2026-06-01T11:04:54"/>
        <d v="2026-06-01T11:07:48"/>
        <d v="2026-06-01T11:10:01"/>
        <d v="2026-06-01T11:10:47"/>
        <d v="2026-06-01T11:11:11"/>
        <d v="2026-06-01T11:11:58"/>
        <d v="2026-06-01T11:20:43"/>
        <d v="2026-06-01T11:20:56"/>
        <d v="2026-06-01T11:22:16"/>
        <d v="2026-06-01T11:23:01"/>
        <d v="2026-06-01T11:23:28"/>
        <d v="2026-06-01T11:23:47"/>
        <d v="2026-06-01T11:24:39"/>
        <d v="2026-06-01T11:25:04"/>
        <d v="2026-06-01T11:26:51"/>
        <d v="2026-06-01T11:27:45"/>
        <d v="2026-06-01T11:28:50"/>
        <d v="2026-06-01T11:29:26"/>
        <d v="2026-06-01T11:29:38"/>
        <d v="2026-06-01T11:29:49"/>
        <d v="2026-06-01T11:32:24"/>
        <d v="2026-06-01T11:41:59"/>
        <d v="2026-06-01T11:42:19"/>
        <d v="2026-06-01T12:48:03"/>
        <d v="2026-06-01T12:56:53"/>
        <d v="2026-06-01T12:57:01"/>
        <d v="2026-06-01T12:58:35"/>
        <d v="2026-06-01T13:05:48"/>
        <d v="2026-06-01T13:18:42"/>
        <d v="2026-06-01T13:20:30"/>
        <d v="2026-06-01T13:21:29"/>
        <d v="2026-06-01T13:22:21"/>
        <d v="2026-06-01T13:24:01"/>
        <d v="2026-06-01T13:26:16"/>
        <d v="2026-06-01T13:34:47"/>
        <d v="2026-06-01T13:36:02"/>
        <d v="2026-06-01T13:36:54"/>
        <d v="2026-06-01T13:37:38"/>
        <d v="2026-06-01T14:25:17"/>
        <d v="2026-06-01T14:25:56"/>
        <d v="2026-06-01T14:28:11"/>
        <d v="2026-06-01T14:29:38"/>
        <d v="2026-06-01T14:30:52"/>
        <d v="2026-06-01T14:39:08"/>
        <d v="2026-06-01T14:39:52"/>
        <d v="2026-06-01T14:40:09"/>
        <d v="2026-06-01T14:40:30"/>
        <d v="2026-06-01T14:40:53"/>
        <d v="2026-06-01T14:40:59"/>
        <d v="2026-06-01T14:41:14"/>
        <d v="2026-06-01T14:41:25"/>
        <d v="2026-06-01T14:41:51"/>
        <d v="2026-06-01T14:42:06"/>
        <d v="2026-06-01T14:44:02"/>
        <d v="2026-06-01T14:54:41"/>
        <d v="2026-06-01T14:55:21"/>
        <d v="2026-06-01T14:57:44"/>
        <d v="2026-06-01T14:58:09"/>
        <d v="2026-06-01T14:58:52"/>
        <d v="2026-06-01T14:59:43"/>
        <d v="2026-06-01T15:02:27"/>
        <d v="2026-06-01T15:03:32"/>
        <d v="2026-06-01T15:04:02"/>
        <d v="2026-06-01T15:05:39"/>
        <d v="2026-06-01T15:10:16"/>
        <d v="2026-06-01T16:13:50"/>
        <d v="2026-06-01T16:14:53"/>
        <d v="2026-06-01T16:15:49"/>
        <d v="2026-06-01T16:16:22"/>
        <d v="2026-06-01T16:17:01"/>
        <d v="2026-06-01T16:17:13"/>
        <d v="2026-06-01T16:18:09"/>
        <d v="2026-06-01T16:18:52"/>
        <d v="2026-06-01T16:19:07"/>
        <d v="2026-06-01T16:20:07"/>
        <d v="2026-06-01T16:20:57"/>
        <d v="2026-06-01T16:21:19"/>
        <d v="2026-06-01T16:21:40"/>
        <d v="2026-06-01T16:21:46"/>
        <d v="2026-06-01T16:22:35"/>
        <d v="2026-06-01T16:23:37"/>
        <d v="2026-06-01T16:23:52"/>
        <d v="2026-06-01T16:24:10"/>
        <d v="2026-06-01T16:25:45"/>
        <d v="2026-06-01T16:29:06"/>
        <d v="2026-06-01T16:50:10"/>
        <d v="2026-06-01T16:51:03"/>
        <d v="2026-06-01T16:51:11"/>
        <d v="2026-06-01T16:51:15"/>
        <d v="2026-06-01T16:51:29"/>
        <d v="2026-06-01T16:51:58"/>
        <d v="2026-06-01T16:52:18"/>
        <d v="2026-06-01T16:52:41"/>
        <d v="2026-06-01T16:53:12"/>
        <d v="2026-06-01T16:53:29"/>
        <d v="2026-06-01T16:54:08"/>
        <d v="2026-06-01T16:54:22"/>
        <d v="2026-06-01T16:54:49"/>
        <d v="2026-06-01T16:54:54"/>
        <d v="2026-06-01T16:55:01"/>
        <d v="2026-06-01T16:55:16"/>
        <d v="2026-06-01T16:55:37"/>
        <d v="2026-06-01T16:55:42"/>
        <d v="2026-06-01T16:56:17"/>
        <d v="2026-06-01T16:56:34"/>
        <d v="2026-06-01T17:00:15"/>
        <d v="2026-06-01T17:01:55"/>
        <d v="2026-06-01T17:02:36"/>
        <d v="2026-06-01T17:03:03"/>
        <d v="2026-06-01T17:03:27"/>
        <d v="2026-06-01T17:04:43"/>
        <d v="2026-06-01T17:05:21"/>
        <d v="2026-06-01T17:21:49"/>
        <d v="2026-06-01T17:22:30"/>
        <d v="2026-06-01T17:23:21"/>
        <d v="2026-06-01T17:24:14"/>
        <d v="2026-06-01T17:24:25"/>
        <d v="2026-06-01T17:33:35"/>
        <d v="2026-06-01T17:35:08"/>
        <d v="2026-06-01T17:35:41"/>
        <d v="2026-06-01T17:35:58"/>
        <d v="2026-06-01T17:58:45"/>
        <d v="2026-06-01T18:00:13"/>
        <d v="2026-06-01T18:00:53"/>
        <d v="2026-06-01T18:01:07"/>
        <d v="2026-06-01T18:01:21"/>
        <d v="2026-06-01T18:02:01"/>
        <d v="2026-06-01T18:02:50"/>
        <d v="2026-06-01T00:08:32"/>
        <d v="2026-06-01T00:16:28"/>
        <d v="2026-06-01T01:08:06"/>
        <d v="2026-06-01T02:24:55"/>
        <d v="2026-06-01T02:27:53"/>
        <d v="2026-06-01T02:30:18"/>
        <d v="2026-06-01T02:33:15"/>
        <d v="2026-06-01T03:03:21"/>
        <d v="2026-06-01T03:03:35"/>
        <d v="2026-06-01T03:03:51"/>
        <d v="2026-06-01T03:04:25"/>
        <d v="2026-06-01T03:13:36"/>
        <d v="2026-06-01T03:14:37"/>
        <d v="2026-06-01T03:14:57"/>
        <d v="2026-06-01T04:38:34"/>
        <d v="2026-06-01T04:38:44"/>
        <d v="2026-06-01T04:39:38"/>
        <d v="2026-06-01T04:39:42"/>
        <d v="2026-06-01T04:41:12"/>
        <d v="2026-06-01T04:42:07"/>
        <d v="2026-06-01T05:09:12"/>
        <d v="2026-06-01T05:09:57"/>
        <d v="2026-06-01T05:11:00"/>
        <d v="2026-06-01T05:23:25"/>
        <d v="2026-06-01T05:27:49"/>
        <d v="2026-06-01T06:16:28"/>
        <d v="2026-06-01T06:20:22"/>
        <d v="2026-06-01T06:20:33"/>
        <d v="2026-06-01T06:21:39"/>
        <d v="2026-06-01T06:24:26"/>
        <d v="2026-06-01T06:25:53"/>
        <d v="2026-06-01T07:55:25"/>
        <d v="2026-06-01T08:26:17"/>
        <d v="2026-06-01T08:29:14"/>
        <d v="2026-06-01T08:30:29"/>
        <d v="2026-06-01T08:47:45"/>
        <d v="2026-06-01T08:52:28"/>
        <d v="2026-06-01T08:52:34"/>
        <d v="2026-06-01T08:52:53"/>
        <d v="2026-06-01T10:34:45"/>
        <d v="2026-06-01T11:26:45"/>
        <d v="2026-06-01T11:26:52"/>
        <d v="2026-06-01T12:02:49"/>
        <d v="2026-06-01T12:04:23"/>
        <d v="2026-06-01T12:46:23"/>
        <d v="2026-06-01T12:47:15"/>
        <d v="2026-06-01T12:51:15"/>
        <d v="2026-06-01T12:51:45"/>
        <d v="2026-06-01T12:52:42"/>
        <d v="2026-06-01T12:54:50"/>
        <d v="2026-06-01T13:28:51"/>
        <d v="2026-06-01T13:31:56"/>
        <d v="2026-06-01T13:39:27"/>
        <d v="2026-06-01T13:44:21"/>
        <d v="2026-06-01T13:44:47"/>
        <d v="2026-06-01T14:27:36"/>
        <d v="2026-06-01T17:19:17"/>
        <d v="2026-06-01T17:19:29"/>
        <d v="2026-06-01T17:20:22"/>
        <d v="2026-06-01T17:59:12"/>
        <d v="2026-06-01T18:02:34"/>
        <d v="2026-06-01T18:03:50"/>
        <d v="2026-06-01T18:10:30"/>
        <d v="2026-06-01T18:11:55"/>
        <d v="2026-06-01T18:15:47"/>
        <d v="2026-06-01T18:16:31"/>
        <d v="2026-06-01T20:52:25"/>
        <d v="2026-06-01T21:29:43"/>
        <d v="2026-06-01T21:32:26"/>
        <d v="2026-06-01T21:33:26"/>
        <d v="2026-06-01T23:14:55"/>
        <d v="2026-06-01T23:15:49"/>
        <d v="2026-06-01T23:19:48"/>
        <d v="2026-06-01T23:20:16"/>
        <d v="2026-05-31T23:55:53"/>
        <d v="2026-06-01T00:33:52"/>
        <d v="2026-06-01T00:34:21"/>
        <d v="2026-06-01T00:35:33"/>
        <d v="2026-06-01T00:36:01"/>
        <d v="2026-06-01T00:36:05"/>
        <d v="2026-06-01T00:37:02"/>
        <d v="2026-06-01T00:37:10"/>
        <d v="2026-06-01T00:37:21"/>
        <d v="2026-06-01T00:37:37"/>
        <d v="2026-06-01T00:38:57"/>
        <d v="2026-06-01T00:39:30"/>
        <d v="2026-06-01T00:40:28"/>
        <d v="2026-06-01T00:44:33"/>
        <d v="2026-06-01T00:44:38"/>
        <d v="2026-06-01T00:44:50"/>
        <d v="2026-06-01T00:45:07"/>
        <d v="2026-06-01T00:45:53"/>
        <d v="2026-06-01T00:46:40"/>
        <d v="2026-06-01T00:47:05"/>
        <d v="2026-06-01T00:47:32"/>
        <d v="2026-06-01T00:47:44"/>
        <d v="2026-06-01T00:48:17"/>
        <d v="2026-06-01T00:49:31"/>
        <d v="2026-06-01T00:50:08"/>
        <d v="2026-06-01T00:53:31"/>
        <d v="2026-06-01T06:18:27"/>
        <d v="2026-06-01T06:18:30"/>
        <d v="2026-06-01T06:18:52"/>
        <d v="2026-06-01T06:21:26"/>
        <d v="2026-06-01T06:22:07"/>
        <d v="2026-06-01T06:22:56"/>
        <d v="2026-06-01T06:23:09"/>
        <d v="2026-06-01T06:24:22"/>
        <d v="2026-06-01T06:24:42"/>
        <d v="2026-06-01T06:25:17"/>
        <d v="2026-06-01T06:25:27"/>
        <d v="2026-06-01T06:25:47"/>
        <d v="2026-06-01T06:26:34"/>
        <d v="2026-06-01T06:45:20"/>
        <d v="2026-06-01T06:46:43"/>
        <d v="2026-06-01T08:23:08"/>
        <d v="2026-06-01T08:23:51"/>
        <d v="2026-06-01T08:24:03"/>
        <d v="2026-06-01T08:42:34"/>
        <d v="2026-06-01T09:09:44"/>
        <d v="2026-06-01T09:22:11"/>
        <d v="2026-06-01T09:22:51"/>
        <d v="2026-06-01T09:23:01"/>
        <d v="2026-06-01T09:23:14"/>
        <d v="2026-06-01T10:24:03"/>
        <d v="2026-06-01T10:25:01"/>
        <d v="2026-06-01T10:25:28"/>
        <d v="2026-06-01T10:26:01"/>
        <d v="2026-06-01T10:26:50"/>
        <d v="2026-06-01T10:27:42"/>
        <d v="2026-06-01T10:28:21"/>
        <d v="2026-06-01T10:29:06"/>
        <d v="2026-06-01T10:29:22"/>
        <d v="2026-06-01T10:29:52"/>
        <d v="2026-06-01T10:30:11"/>
        <d v="2026-06-01T10:31:21"/>
        <d v="2026-06-01T10:31:29"/>
        <d v="2026-06-01T10:32:48"/>
        <d v="2026-06-01T11:42:56"/>
        <d v="2026-06-01T11:44:13"/>
        <d v="2026-06-01T11:47:19"/>
        <d v="2026-06-01T11:48:11"/>
        <d v="2026-06-01T11:50:54"/>
        <d v="2026-06-01T13:55:04"/>
        <d v="2026-06-01T13:55:42"/>
        <d v="2026-06-01T13:57:03"/>
        <d v="2026-06-01T13:57:37"/>
        <d v="2026-06-01T13:59:18"/>
        <d v="2026-06-01T13:59:36"/>
        <d v="2026-06-01T14:00:06"/>
        <d v="2026-06-01T14:00:12"/>
        <d v="2026-06-01T14:01:59"/>
        <d v="2026-06-01T14:02:27"/>
        <d v="2026-06-01T14:03:25"/>
        <d v="2026-06-01T14:03:57"/>
        <d v="2026-06-01T14:04:10"/>
        <d v="2026-06-01T14:21:16"/>
        <d v="2026-06-01T14:43:15"/>
        <d v="2026-06-01T14:49:28"/>
        <d v="2026-06-01T14:50:20"/>
        <d v="2026-06-01T14:51:14"/>
        <d v="2026-06-01T14:51:20"/>
        <d v="2026-06-01T14:52:22"/>
        <d v="2026-06-01T14:52:58"/>
        <d v="2026-06-01T14:53:35"/>
        <d v="2026-06-01T14:54:06"/>
        <d v="2026-06-01T14:54:59"/>
        <d v="2026-06-01T14:55:37"/>
        <d v="2026-06-01T14:55:57"/>
        <d v="2026-06-01T14:56:16"/>
        <d v="2026-06-01T14:56:30"/>
        <d v="2026-06-01T14:57:00"/>
        <d v="2026-06-01T15:48:05"/>
        <d v="2026-06-01T16:16:41"/>
        <d v="2026-06-01T16:45:32"/>
        <d v="2026-06-01T16:45:59"/>
        <d v="2026-06-01T16:47:18"/>
        <d v="2026-06-01T16:47:35"/>
        <d v="2026-06-01T16:49:10"/>
        <d v="2026-06-01T16:50:03"/>
        <d v="2026-06-01T16:50:24"/>
        <d v="2026-06-01T16:50:47"/>
        <d v="2026-06-01T16:54:09"/>
        <d v="2026-06-01T17:27:56"/>
        <d v="2026-06-01T17:37:20"/>
        <d v="2026-06-01T17:38:30"/>
        <d v="2026-06-01T17:38:58"/>
        <d v="2026-06-01T17:39:15"/>
        <d v="2026-06-01T17:39:43"/>
        <d v="2026-06-01T17:39:53"/>
        <d v="2026-06-01T17:40:21"/>
        <d v="2026-06-01T17:41:03"/>
        <d v="2026-06-01T17:41:41"/>
        <d v="2026-06-01T17:45:31"/>
        <d v="2026-06-01T17:55:20"/>
        <d v="2026-06-01T17:55:35"/>
        <d v="2026-06-01T17:55:54"/>
        <d v="2026-06-01T17:56:38"/>
        <d v="2026-06-01T17:58:24"/>
        <d v="2026-06-01T17:58:41"/>
        <d v="2026-06-01T17:59:29"/>
        <d v="2026-06-01T18:02:04"/>
        <d v="2026-06-01T18:03:04"/>
        <d v="2026-06-01T18:04:22"/>
        <d v="2026-06-01T18:46:04"/>
        <d v="2026-06-01T18:46:51"/>
        <d v="2026-06-01T18:53:09"/>
        <d v="2026-06-01T18:54:51"/>
        <d v="2026-06-01T18:55:08"/>
        <d v="2026-06-01T18:58:16"/>
        <d v="2026-06-01T18:59:18"/>
        <d v="2026-06-01T18:59:41"/>
        <d v="2026-06-01T19:01:02"/>
        <d v="2026-06-01T19:01:39"/>
        <d v="2026-06-01T19:05:18"/>
        <d v="2026-06-01T19:11:59"/>
        <d v="2026-06-01T21:25:46"/>
        <d v="2026-06-01T22:08:15"/>
        <d v="2026-06-01T22:11:10"/>
        <d v="2026-06-01T22:12:59"/>
        <d v="2026-06-01T22:17:49"/>
        <d v="2026-06-01T23:27:07"/>
        <d v="2026-06-01T23:27:25"/>
        <d v="2026-06-01T23:27:42"/>
        <d v="2026-06-01T23:37:52"/>
        <d v="2026-06-01T23:39:47"/>
        <d v="2026-06-01T23:44:31"/>
        <d v="2026-06-01T23:44:43"/>
        <d v="2026-06-01T23:44:58"/>
        <d v="2026-06-01T23:46:37"/>
        <d v="2026-06-01T23:47:48"/>
        <d v="2026-06-01T23:48:23"/>
        <d v="2026-06-01T23:49:06"/>
        <d v="2026-06-01T23:50:52"/>
        <d v="2026-06-01T23:52:35"/>
        <d v="2026-06-01T01:00:11"/>
        <d v="2026-06-01T01:13:15"/>
        <d v="2026-06-01T01:14:55"/>
        <d v="2026-06-01T02:27:35"/>
        <d v="2026-06-01T02:27:45"/>
        <d v="2026-06-01T02:27:46"/>
        <d v="2026-06-01T02:27:47"/>
        <d v="2026-06-01T02:50:00"/>
        <d v="2026-06-01T02:50:01"/>
        <d v="2026-06-01T02:52:24"/>
        <d v="2026-06-01T02:57:35"/>
        <d v="2026-06-01T02:58:35"/>
        <d v="2026-06-01T03:04:36"/>
        <d v="2026-06-01T03:12:42"/>
        <d v="2026-06-01T03:14:11"/>
        <d v="2026-06-01T03:21:32"/>
        <d v="2026-06-01T03:37:28"/>
        <d v="2026-06-01T03:47:55"/>
        <d v="2026-06-01T04:02:08"/>
        <d v="2026-06-01T04:02:21"/>
        <d v="2026-06-01T04:02:46"/>
        <d v="2026-06-01T04:03:30"/>
        <d v="2026-06-01T04:57:44"/>
        <d v="2026-06-01T04:58:21"/>
        <d v="2026-06-01T05:11:21"/>
        <d v="2026-06-01T05:11:54"/>
        <d v="2026-06-01T05:15:00"/>
        <d v="2026-06-01T05:16:18"/>
        <d v="2026-06-01T06:15:52"/>
        <d v="2026-06-01T06:16:55"/>
        <d v="2026-06-01T08:16:47"/>
        <d v="2026-06-01T08:17:01"/>
        <d v="2026-06-01T08:18:15"/>
        <d v="2026-06-01T08:53:35"/>
        <d v="2026-06-01T08:55:41"/>
        <d v="2026-06-01T10:50:45"/>
        <d v="2026-06-01T11:14:44"/>
        <d v="2026-06-01T11:17:02"/>
        <d v="2026-06-01T11:19:41"/>
        <d v="2026-06-01T11:28:55"/>
        <d v="2026-06-01T11:30:59"/>
        <d v="2026-06-01T11:41:30"/>
        <d v="2026-06-01T11:47:37"/>
        <d v="2026-06-01T12:12:42"/>
        <d v="2026-06-01T12:27:53"/>
        <d v="2026-06-01T12:37:54"/>
        <d v="2026-06-01T12:39:25"/>
        <d v="2026-06-01T12:42:41"/>
        <d v="2026-06-01T12:43:36"/>
        <d v="2026-06-01T12:44:37"/>
        <d v="2026-06-01T12:45:58"/>
        <d v="2026-06-01T12:46:11"/>
        <d v="2026-06-01T12:47:05"/>
        <d v="2026-06-01T12:48:09"/>
        <d v="2026-06-01T12:49:10"/>
        <d v="2026-06-01T12:49:27"/>
        <d v="2026-06-01T14:06:25"/>
        <d v="2026-06-01T14:09:13"/>
        <d v="2026-06-01T14:10:25"/>
        <d v="2026-06-01T15:04:15"/>
        <d v="2026-06-01T15:32:22"/>
        <d v="2026-06-01T16:09:56"/>
        <d v="2026-06-01T16:10:13"/>
        <d v="2026-06-01T16:12:31"/>
        <d v="2026-06-01T16:12:47"/>
        <d v="2026-06-01T16:12:52"/>
        <d v="2026-06-01T16:46:05"/>
        <d v="2026-06-01T17:14:52"/>
        <d v="2026-06-01T17:15:46"/>
        <d v="2026-06-01T17:16:01"/>
        <d v="2026-06-01T17:17:00"/>
        <d v="2026-06-01T17:17:17"/>
        <d v="2026-06-01T17:17:54"/>
        <d v="2026-06-01T17:18:19"/>
        <d v="2026-06-01T17:25:35"/>
        <d v="2026-06-01T17:29:38"/>
        <d v="2026-06-01T17:30:31"/>
        <d v="2026-06-01T18:11:24"/>
        <d v="2026-06-01T18:12:00"/>
        <d v="2026-06-01T18:13:01"/>
        <d v="2026-06-01T18:13:18"/>
        <d v="2026-06-01T19:57:58"/>
        <d v="2026-06-01T19:58:11"/>
        <d v="2026-06-01T19:59:30"/>
        <d v="2026-06-01T20:03:19"/>
        <d v="2026-06-01T20:27:57"/>
        <d v="2026-06-01T22:57:48"/>
        <d v="2026-06-01T22:58:04"/>
        <d v="2026-06-01T22:58:50"/>
        <d v="2026-06-01T23:00:09"/>
        <d v="2026-06-01T23:01:05"/>
        <d v="2026-06-01T23:01:28"/>
        <d v="2026-06-01T23:03:07"/>
        <d v="2026-06-01T23:38:11"/>
        <d v="2026-06-01T23:39:10"/>
        <d v="2026-06-01T23:40:01"/>
        <d v="2026-06-01T23:41:58"/>
        <d v="2026-06-01T23:42:16"/>
        <d v="2026-06-01T04:44:53"/>
        <d v="2026-06-01T04:46:08"/>
        <d v="2026-06-01T04:46:42"/>
        <d v="2026-06-01T04:46:55"/>
        <d v="2026-06-01T04:47:06"/>
        <d v="2026-06-01T04:47:31"/>
        <d v="2026-06-01T04:49:09"/>
        <d v="2026-06-01T05:05:40"/>
        <d v="2026-06-01T05:11:10"/>
        <d v="2026-06-01T05:14:52"/>
        <d v="2026-06-01T05:15:25"/>
        <d v="2026-06-01T06:18:53"/>
        <d v="2026-06-01T06:24:23"/>
        <d v="2026-06-01T06:26:28"/>
        <d v="2026-06-01T06:32:50"/>
        <d v="2026-06-01T06:42:47"/>
        <d v="2026-06-01T06:43:40"/>
        <d v="2026-06-01T06:44:35"/>
        <d v="2026-06-01T07:43:33"/>
        <d v="2026-06-01T07:45:06"/>
        <d v="2026-06-01T07:58:27"/>
        <d v="2026-06-01T08:02:37"/>
        <d v="2026-06-01T08:57:19"/>
        <d v="2026-06-01T09:09:11"/>
        <d v="2026-06-01T10:15:25"/>
        <d v="2026-06-01T10:17:31"/>
        <d v="2026-06-01T10:53:03"/>
        <d v="2026-06-01T11:33:48"/>
        <d v="2026-06-01T11:56:08"/>
        <d v="2026-06-01T11:56:16"/>
        <d v="2026-06-01T11:57:10"/>
        <d v="2026-06-01T11:57:27"/>
        <d v="2026-06-01T11:57:41"/>
        <d v="2026-06-01T11:57:55"/>
        <d v="2026-06-01T11:58:14"/>
        <d v="2026-06-01T11:59:07"/>
        <d v="2026-06-01T11:59:33"/>
        <d v="2026-06-01T12:06:37"/>
        <d v="2026-06-01T12:10:13"/>
        <d v="2026-06-01T12:11:09"/>
        <d v="2026-06-01T12:19:00"/>
        <d v="2026-06-01T12:19:29"/>
        <d v="2026-06-01T12:23:35"/>
        <d v="2026-06-01T12:23:49"/>
        <d v="2026-06-01T12:24:03"/>
        <d v="2026-06-01T12:24:05"/>
        <d v="2026-06-01T12:24:33"/>
        <d v="2026-06-01T12:24:53"/>
        <d v="2026-06-01T12:25:18"/>
        <d v="2026-06-01T12:25:30"/>
        <d v="2026-06-01T12:25:47"/>
        <d v="2026-06-01T12:26:14"/>
        <d v="2026-06-01T12:26:33"/>
        <d v="2026-06-01T12:26:40"/>
        <d v="2026-06-01T13:40:08"/>
        <d v="2026-06-01T14:03:00"/>
        <d v="2026-06-01T14:05:42"/>
        <d v="2026-06-01T14:06:35"/>
        <d v="2026-06-01T14:39:13"/>
        <d v="2026-06-01T14:45:19"/>
        <d v="2026-06-01T15:06:18"/>
        <d v="2026-06-01T15:06:19"/>
        <d v="2026-06-01T15:16:04"/>
        <d v="2026-06-01T15:41:31"/>
        <d v="2026-06-01T15:58:00"/>
        <d v="2026-06-01T15:58:50"/>
        <d v="2026-06-01T15:59:53"/>
        <d v="2026-06-01T16:00:51"/>
        <d v="2026-06-01T16:01:12"/>
        <d v="2026-06-01T16:01:31"/>
        <d v="2026-06-01T16:03:50"/>
        <d v="2026-06-01T16:04:05"/>
        <d v="2026-06-01T16:04:18"/>
        <d v="2026-06-01T16:06:42"/>
        <d v="2026-06-01T16:07:25"/>
        <d v="2026-06-01T16:07:43"/>
        <d v="2026-06-01T16:07:59"/>
        <d v="2026-06-01T16:08:25"/>
        <d v="2026-06-01T16:09:12"/>
        <d v="2026-06-01T16:09:41"/>
        <d v="2026-06-01T16:10:34"/>
        <d v="2026-06-01T16:11:04"/>
        <d v="2026-06-01T16:11:10"/>
        <d v="2026-06-01T16:11:49"/>
        <d v="2026-06-01T16:34:38"/>
        <d v="2026-06-01T16:35:22"/>
        <d v="2026-06-01T16:43:55"/>
        <d v="2026-06-01T16:44:59"/>
        <d v="2026-06-01T16:45:54"/>
        <d v="2026-06-01T16:49:08"/>
        <d v="2026-06-01T17:11:32"/>
        <d v="2026-06-01T17:15:11"/>
        <d v="2026-06-01T17:15:54"/>
        <d v="2026-06-01T18:11:08"/>
        <d v="2026-06-01T18:33:58"/>
        <d v="2026-06-01T18:38:33"/>
        <d v="2026-06-01T19:25:57"/>
        <d v="2026-06-01T19:55:24"/>
        <d v="2026-06-01T19:55:25"/>
        <d v="2026-06-01T20:14:28"/>
        <d v="2026-06-01T20:27:33"/>
        <d v="2026-06-01T20:39:19"/>
        <d v="2026-06-01T21:59:41"/>
        <d v="2026-06-01T22:15:27"/>
        <d v="2026-06-01T22:19:50"/>
        <d v="2026-06-01T22:29:29"/>
        <d v="2026-06-01T22:59:12"/>
        <d v="2026-06-01T23:31:06"/>
        <d v="2026-06-01T23:52:26"/>
      </sharedItems>
      <fieldGroup base="9">
        <rangePr groupBy="days" startDate="2026-05-31T23:55:53" endDate="2026-06-01T23:59:49"/>
        <groupItems count="368">
          <s v="&lt;5/3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1/2026"/>
        </groupItems>
      </fieldGroup>
    </cacheField>
    <cacheField name="Hora de inicio" numFmtId="168">
      <sharedItems containsSemiMixedTypes="0" containsNonDate="0" containsDate="1" containsString="0" minDate="2026-05-31T23:55:53" maxDate="2026-06-01T23:59:49"/>
    </cacheField>
    <cacheField name="duración" numFmtId="166">
      <sharedItems containsSemiMixedTypes="0" containsNonDate="0" containsDate="1" containsString="0" minDate="1899-12-30T00:00:00" maxDate="1899-12-30T05:43:05"/>
    </cacheField>
    <cacheField name="Distancia" numFmtId="2">
      <sharedItems containsSemiMixedTypes="0" containsString="0" containsNumber="1" minValue="0" maxValue="66.492233276367188"/>
    </cacheField>
    <cacheField name="Información adicional" numFmtId="2">
      <sharedItems/>
    </cacheField>
    <cacheField name="Detalles" numFmtId="169">
      <sharedItems count="249">
        <s v="Tiempo en ralentí (Ignición: 1.00)"/>
        <s v="Frenado brusco (nuevo) (Clase de vehículo para métricas de seguridad: Otra clase (no estandarizada), Velocidad máxima: 14 kmh,  Ignición: 1)"/>
        <s v="Frenado brusco (nuevo) (Clase de vehículo para métricas de seguridad: Otra clase (no estandarizada), Velocidad máxima: 8 kmh,  Ignición: 1)"/>
        <s v="Engine Fault Exception (Fallo de dispositivo telemático: Se eliminó toda la energía y se reinició el dispositivo)"/>
        <s v="Exceso Velocidad 60 Km/h (Velocidad máxima: 61 kmh)"/>
        <s v="Exceso Velocidad 10 Km/h (Velocidad máxima: 23 kmh)"/>
        <s v="Engine Fault Exception (Fallo de dispositivo telemático: El dispositivo telemático está desconectado)"/>
        <s v="Exceso de velocidad (nuevo) (Velocidad máxima: 42 kmh (Velocidad máxima en carretera: 30 kmh))"/>
        <s v="Exceso de velocidad (nuevo) (Velocidad máxima: 41 kmh (Velocidad máxima en carretera: 30 kmh))"/>
        <s v="Exceso Velocidad 10 Km/h (Velocidad máxima: 10 kmh)"/>
        <s v="Exceso Velocidad 10 Km/h (Velocidad máxima: 14 kmh)"/>
        <s v="Exceso de velocidad (nuevo) (Velocidad máxima: 39 kmh (Velocidad máxima en carretera: 30 kmh))"/>
        <s v="Frenado brusco (nuevo) (Clase de vehículo para métricas de seguridad: Otra clase (no estandarizada), Velocidad máxima: 28 kmh,  Ignición: 1)"/>
        <s v="Giro brusco (nuevo) (Clase de vehículo para métricas de seguridad: Otra clase (no estandarizada), Velocidad máxima: 22 kmh,  Ignición: 1)"/>
        <s v="Exceso de velocidad (nuevo) (Velocidad máxima: 88 kmh (Velocidad máxima en carretera: 60 kmh))"/>
        <s v="Exceso de velocidad (nuevo) (Velocidad máxima: 83 kmh (Velocidad máxima en carretera: 30 kmh))"/>
        <s v="Exceso de velocidad (nuevo) (Velocidad máxima: 100 kmh (Velocidad máxima en carretera: 60 kmh))"/>
        <s v="Giro brusco (nuevo) (Clase de vehículo para métricas de seguridad: Otra clase (no estandarizada), Velocidad máxima: 43 kmh,  Ignición: 1)"/>
        <s v="Giro brusco (Velocidad máxima: 76 kmh Aceleración de lado a lado: 0.52 g-force, Ignición: 1.00)"/>
        <s v="Giro brusco (nuevo) (Clase de vehículo para métricas de seguridad: Otra clase (no estandarizada), Velocidad máxima: 73 kmh,  Ignición: 1)"/>
        <s v="Exceso de velocidad (nuevo) (Velocidad máxima: 77 kmh (Velocidad máxima en carretera: 60 kmh))"/>
        <s v="Giro brusco (Velocidad máxima: 77 kmh Aceleración de lado a lado: -0.55 g-force, Ignición: 1.00)"/>
        <s v="Giro brusco (nuevo) (Clase de vehículo para métricas de seguridad: Otra clase (no estandarizada), Velocidad máxima: 71 kmh,  Ignición: 1)"/>
        <s v="Exceso de velocidad (nuevo) (Velocidad máxima: 37 kmh (Velocidad máxima en carretera: 30 kmh))"/>
        <s v="Exceso de velocidad (nuevo) (Velocidad máxima: 74 kmh (Velocidad máxima en carretera: 30 kmh))"/>
        <s v="Exceso de velocidad (nuevo) (Velocidad máxima: 59 kmh (Velocidad máxima en carretera: 30 kmh))"/>
        <s v="Exceso de velocidad (nuevo) (Velocidad máxima: 46 kmh (Velocidad máxima en carretera: 30 kmh))"/>
        <s v="Exceso de velocidad (nuevo) (Velocidad máxima: 57 kmh (Velocidad máxima en carretera: 30 kmh))"/>
        <s v="Exceso de velocidad (nuevo) (Velocidad máxima: 48 kmh (Velocidad máxima en carretera: 30 kmh))"/>
        <s v="Exceso de velocidad (nuevo) (Velocidad máxima: 53 kmh (Velocidad máxima en carretera: 30 kmh))"/>
        <s v="Exceso Velocidad 10 Km/h (Velocidad máxima: 20 kmh)"/>
        <s v="Exceso Velocidad 10 Km/h (Velocidad máxima: 11 kmh)"/>
        <s v="Exceso Velocidad 10 Km/h (Velocidad máxima: 16 kmh)"/>
        <s v="Exceso Velocidad 10 Km/h (Velocidad máxima: 12 kmh)"/>
        <s v="Exceso Velocidad 10 Km/h (Velocidad máxima: 13 kmh)"/>
        <s v="Exceso Velocidad 10 Km/h (Velocidad máxima: 25 kmh)"/>
        <s v="Aceleración brusca (Velocidad máxima: 8 kmh Aceleración hacia delante o frenado: 0.44 g-force, Ignición: 1.00)"/>
        <s v="Giro brusco (Velocidad máxima: 18 kmh Aceleración de lado a lado: -0.47 g-force, Ignición: 1.00)"/>
        <s v="Exceso Velocidad 10 Km/h (Velocidad máxima: 22 kmh)"/>
        <s v="Exceso Velocidad 10 Km/h (Velocidad máxima: 18 kmh)"/>
        <s v="Frenado brusco (nuevo) (Clase de vehículo para métricas de seguridad: Otra clase (no estandarizada), Velocidad máxima: 21 kmh,  Ignición: 1)"/>
        <s v="Exceso Velocidad 10 Km/h (Velocidad máxima: 24 kmh)"/>
        <s v="Exceso Velocidad 10 Km/h (Velocidad máxima: 26 kmh)"/>
        <s v="Exceso Velocidad 10 Km/h (Velocidad máxima: 17 kmh)"/>
        <s v="Giro brusco (Velocidad máxima: 4 kmh Aceleración de lado a lado: -0.57 g-force, Ignición: 1.00)"/>
        <s v="Uso del cinturón de seguridad (Velocidad máxima: 24 kmh Cinturón de seguridad del conductor (1. Desabrochado): 1.00)"/>
        <s v="Frenado brusco (nuevo) (Clase de vehículo para métricas de seguridad: Otra clase (no estandarizada), Velocidad máxima: 15 kmh,  Ignición: 1)"/>
        <s v="Exceso Velocidad 40 Km/h (Velocidad máxima: 41 kmh)"/>
        <s v="Exceso Velocidad 10 Km/h (Velocidad máxima: 21 kmh)"/>
        <s v="Exceso Velocidad 30 Km/h (Velocidad máxima: 31 kmh)"/>
        <s v="Exceso Velocidad 10 Km/h (Velocidad máxima: 15 kmh)"/>
        <s v="Exceso Velocidad 40 Km/h (Velocidad máxima: 42 kmh)"/>
        <s v="Giro brusco (Velocidad máxima: 13 kmh Aceleración de lado a lado: -0.48 g-force, Ignición: 1.00)"/>
        <s v="Giro brusco (Velocidad máxima: 27 kmh Aceleración de lado a lado: -0.49 g-force, Ignición: 1.00)"/>
        <s v="Exceso Velocidad 40 Km/h (Velocidad máxima: 44 kmh)"/>
        <s v="Exceso Velocidad 30 Km/h (Velocidad máxima: 37 kmh)"/>
        <s v="Exceso Velocidad 30 Km/h (Velocidad máxima: 33 kmh)"/>
        <s v="Giro brusco (Velocidad máxima: 13 kmh Aceleración de lado a lado: 0.47 g-force, Ignición: 1.00)"/>
        <s v="Exceso Velocidad 10 Km/h (Velocidad máxima: 29 kmh)"/>
        <s v="Exceso Velocidad 30 Km/h (Velocidad máxima: 35 kmh)"/>
        <s v="Giro brusco (Velocidad máxima: 13 kmh Aceleración de lado a lado: 0.49 g-force, Ignición: 1.00)"/>
        <s v="Giro brusco (Velocidad máxima: 15 kmh Aceleración de lado a lado: -0.56 g-force, Ignición: 1.00)"/>
        <s v="Exceso Velocidad 10 Km/h (Velocidad máxima: 28 kmh)"/>
        <s v="Uso del cinturón de seguridad (Velocidad máxima: 12 kmh Cinturón de seguridad del conductor (1. Desabrochado): 1.00)"/>
        <s v="Uso del cinturón de seguridad (Velocidad máxima: 13 kmh Cinturón de seguridad del conductor (1. Desabrochado): 1.00)"/>
        <s v="Uso del cinturón de seguridad (Velocidad máxima: 21 kmh Cinturón de seguridad del conductor (1. Desabrochado): 1.00)"/>
        <s v="Exceso Velocidad 30 Km/h (Velocidad máxima: 39 kmh)"/>
        <s v="Exceso de velocidad (nuevo) (Velocidad máxima: 31 kmh (Velocidad máxima en carretera: 7 kmh))"/>
        <s v="Exceso de velocidad (nuevo) (Velocidad máxima: 29 kmh (Velocidad máxima en carretera: 7 kmh))"/>
        <s v="Uso del cinturón de seguridad (Velocidad máxima: 33 kmh Cinturón de seguridad del conductor (1. Desabrochado): 1.00)"/>
        <s v="Giro brusco (Velocidad máxima: 15 kmh Aceleración de lado a lado: 0.50 g-force, Ignición: 1.00)"/>
        <s v="Uso del cinturón de seguridad (Velocidad máxima: 41 kmh Cinturón de seguridad del conductor (1. Desabrochado): 1.00)"/>
        <s v="Exceso Velocidad 10 Km/h (Velocidad máxima: 32 kmh)"/>
        <s v="Exceso de velocidad (nuevo) (Velocidad máxima: 41 kmh (Velocidad máxima en carretera: 7 kmh))"/>
        <s v="Uso del cinturón de seguridad (Velocidad máxima: 18 kmh Cinturón de seguridad del conductor (1. Desabrochado): 1.00)"/>
        <s v="Exceso de velocidad (nuevo) (Velocidad máxima: 35 kmh (Velocidad máxima en carretera: 7 kmh))"/>
        <s v="Frenado brusco (nuevo) (Clase de vehículo para métricas de seguridad: Otra clase (no estandarizada), Velocidad máxima: 18 kmh,  Ignición: 1)"/>
        <s v="Uso del cinturón de seguridad (Velocidad máxima: 20 kmh Cinturón de seguridad del conductor (1. Desabrochado): 1.00)"/>
        <s v="Uso del cinturón de seguridad (Velocidad máxima: 11 kmh Cinturón de seguridad del conductor (1. Desabrochado): 1.00)"/>
        <s v="Uso del cinturón de seguridad (Velocidad máxima: 14 kmh Cinturón de seguridad del conductor (1. Desabrochado): 1.00)"/>
        <s v="Aceleración brusca (Velocidad máxima: 11 kmh Aceleración hacia delante o frenado: 0.45 g-force, Ignición: 1.00)"/>
        <s v="Uso del cinturón de seguridad (Velocidad máxima: 26 kmh Cinturón de seguridad del conductor (1. Desabrochado): 1.00)"/>
        <s v="Uso del cinturón de seguridad (Velocidad máxima: 15 kmh Cinturón de seguridad del conductor (1. Desabrochado): 1.00)"/>
        <s v="Uso del cinturón de seguridad (Velocidad máxima: 22 kmh Cinturón de seguridad del conductor (1. Desabrochado): 1.00)"/>
        <s v="Giro brusco (Velocidad máxima: 7 kmh Aceleración de lado a lado: 0.50 g-force, Ignición: 1.00)"/>
        <s v="Uso del cinturón de seguridad (Velocidad máxima: 16 kmh Cinturón de seguridad del conductor (1. Desabrochado): 1.00)"/>
        <s v="Giro brusco (Velocidad máxima: 11 kmh Ignición: 1.00 , Aceleración de lado a lado: 0.48 g-force)"/>
        <s v="Giro brusco (Velocidad máxima: 9 kmh Ignición: 1.00 , Aceleración de lado a lado: -0.52 g-force)"/>
        <s v="Exceso Velocidad 10 Km/h (Velocidad máxima: 30 kmh)"/>
        <s v="Exceso de velocidad (nuevo) (Velocidad máxima: 28 kmh (Velocidad máxima en carretera: 7 kmh))"/>
        <s v="Giro brusco (Velocidad máxima: 12 kmh Aceleración de lado a lado: -0.60 g-force, Ignición: 1.00)"/>
        <s v="Giro brusco (Velocidad máxima: 14 kmh Aceleración de lado a lado: -0.50 g-force, Ignición: 1.00)"/>
        <s v="Giro brusco (Velocidad máxima: 14 kmh Aceleración de lado a lado: -0.61 g-force, Ignición: 1.00)"/>
        <s v="Exceso de velocidad (nuevo) (Velocidad máxima: 26 kmh (Velocidad máxima en carretera: 7 kmh))"/>
        <s v="Engine Fault Exception (Presión del riel de combustible/sistema - banco demasiado alto 1)"/>
        <s v="Engine Fault Exception (La luz de advertencia del vehículo está encendida)"/>
        <s v="Alerta de problema en el motor (La luz de advertencia del vehículo está encendida)"/>
        <s v="Exceso de velocidad (nuevo) (Velocidad máxima: 13 kmh (Velocidad máxima en carretera: 7 kmh))"/>
        <s v="Exceso Velocidad 30 Km/h (Velocidad máxima: 47 kmh)"/>
        <s v="Exceso Velocidad 40 Km/h (Velocidad máxima: 47 kmh)"/>
        <s v="Exceso Velocidad 30 Km/h (Velocidad máxima: 34 kmh)"/>
        <s v="Exceso Velocidad 30 Km/h (Velocidad máxima: 36 kmh)"/>
        <s v="Exceso Velocidad 30 Km/h (Velocidad máxima: 32 kmh)"/>
        <s v="Exceso Velocidad 30 Km/h (Velocidad máxima: 40 kmh)"/>
        <s v="Exceso Velocidad 40 Km/h (Velocidad máxima: 43 kmh)"/>
        <s v="Exceso Velocidad 40 Km/h (Velocidad máxima: 45 kmh)"/>
        <s v="Exceso Velocidad 40 Km/h (Velocidad máxima: 46 kmh)"/>
        <s v="Exceso Velocidad 10 Km/h (Velocidad máxima: 33 kmh)"/>
        <s v="Exceso Velocidad 30 Km/h (Velocidad máxima: 45 kmh)"/>
        <s v="Exceso Velocidad 30 Km/h (Velocidad máxima: 41 kmh)"/>
        <s v="Exceso Velocidad 10 Km/h (Velocidad máxima: 27 kmh)"/>
        <s v="Exceso Velocidad 30 Km/h (Velocidad máxima: 38 kmh)"/>
        <s v="Giro brusco (Velocidad máxima: 12 kmh Aceleración de lado a lado: -0.48 g-force, Ignición: 1.00)"/>
        <s v="Exceso Velocidad 40 Km/h (Velocidad máxima: 49 kmh)"/>
        <s v="Exceso de velocidad (nuevo) (Velocidad máxima: 24 kmh (Velocidad máxima en carretera: 7 kmh))"/>
        <s v="Exceso Velocidad 30 Km/h (Velocidad máxima: 42 kmh)"/>
        <s v="Exceso Velocidad 10 Km/h (Velocidad máxima: 38 kmh)"/>
        <s v="Exceso Velocidad 10 Km/h (Velocidad máxima: 37 kmh)"/>
        <s v="Exceso Velocidad 30 Km/h (Velocidad máxima: 43 kmh)"/>
        <s v="Exceso de velocidad (nuevo) (Velocidad máxima: 40 kmh (Velocidad máxima en carretera: 7 kmh))"/>
        <s v="Exceso de velocidad (nuevo) (Velocidad máxima: 18 kmh (Velocidad máxima en carretera: 7 kmh))"/>
        <s v="Exceso de velocidad (nuevo) (Velocidad máxima: 20 kmh (Velocidad máxima en carretera: 7 kmh))"/>
        <s v="Giro brusco (Velocidad máxima: 12 kmh Aceleración de lado a lado: -0.56 g-force, Ignición: 1.00)"/>
        <s v="Exceso Velocidad 10 Km/h (Velocidad máxima: 19 kmh)"/>
        <s v="Exceso de velocidad (nuevo) (Velocidad máxima: 22 kmh (Velocidad máxima en carretera: 7 kmh))"/>
        <s v="Giro brusco (Velocidad máxima: 14 kmh Aceleración de lado a lado: 0.50 g-force, Ignición: 1.00)"/>
        <s v="Exceso de velocidad (nuevo) (Velocidad máxima: 15 kmh (Velocidad máxima en carretera: 7 kmh))"/>
        <s v="Exceso Velocidad 10 Km/h (Velocidad máxima: 31 kmh)"/>
        <s v="Giro brusco (Velocidad máxima: 8 kmh Aceleración de lado a lado: -0.52 g-force, Ignición: 1.00)"/>
        <s v="Giro brusco (Velocidad máxima: 25 kmh Aceleración de lado a lado: -0.64 g-force, Ignición: 1.00)"/>
        <s v="Giro brusco (Velocidad máxima: 24 kmh Aceleración de lado a lado: -0.51 g-force, Ignición: 1.00)"/>
        <s v="Exceso Velocidad 20 Km/h (Velocidad máxima: 33 kmh)"/>
        <s v="Exceso Velocidad 20 Km/h (Velocidad máxima: 28 kmh)"/>
        <s v="Exceso Velocidad 20 Km/h (Velocidad máxima: 26 kmh)"/>
        <s v="Exceso Velocidad 20 Km/h (Velocidad máxima: 37 kmh)"/>
        <s v="Giro brusco (Velocidad máxima: 21 kmh Aceleración de lado a lado: 0.49 g-force, Ignición: 1.00)"/>
        <s v="Frenado brusco (Velocidad máxima: 34 kmh Aceleración hacia delante o frenado: -7.36 g-force, Ignición: 1.00)"/>
        <s v="Giro brusco (Velocidad máxima: 34 kmh Aceleración de lado a lado: -0.66 g-force, Ignición: 1.00)"/>
        <s v="Posible colisión (heredado) (Aceleración hacia delante o frenado: -7.36 g-force, Aceleración de lado a lado: -0.62 g-force)"/>
        <s v="Giro brusco (Velocidad máxima: 34 kmh Aceleración de lado a lado: 2.49 g-force, Ignición: 1.00)"/>
        <s v="Aceleración brusca (Velocidad máxima: 33 kmh Aceleración hacia delante o frenado: 1.21 g-force, Ignición: 1.00)"/>
        <s v="Giro brusco (Velocidad máxima: 33 kmh Aceleración de lado a lado: -0.63 g-force, Ignición: 1.00)"/>
        <s v="Frenado brusco (Velocidad máxima: 33 kmh Aceleración hacia delante o frenado: -1.00 g-force, Ignición: 1.00)"/>
        <s v="Engine Fault Exception (Alerta: Se excedió el límite de aceleración para colisiones)"/>
        <s v="Aceleración brusca (Velocidad máxima: 32 kmh Aceleración hacia delante o frenado: 0.64 g-force, Ignición: 1.00)"/>
        <s v="Giro brusco (Velocidad máxima: 31 kmh Aceleración de lado a lado: -0.63 g-force, Ignición: 1.00)"/>
        <s v="Frenado brusco (Velocidad máxima: 27 kmh Aceleración hacia delante o frenado: -0.69 g-force, Ignición: 1.00)"/>
        <s v="Frenado brusco (Velocidad máxima: 19 kmh Aceleración hacia delante o frenado: -0.63 g-force, Ignición: 1.00)"/>
        <s v="Giro brusco (Velocidad máxima: 18 kmh Aceleración de lado a lado: 0.54 g-force, Ignición: 1.00)"/>
        <s v="Exceso Velocidad 20 Km/h (Velocidad máxima: 22 kmh)"/>
        <s v="Exceso Velocidad 20 Km/h (Velocidad máxima: 24 kmh)"/>
        <s v="Exceso Velocidad 20 Km/h (Velocidad máxima: 31 kmh)"/>
        <s v="Giro brusco (Velocidad máxima: 15 kmh Aceleración de lado a lado: -0.55 g-force, Ignición: 1.00)"/>
        <s v="Frenado brusco (nuevo) (Clase de vehículo para métricas de seguridad: Otra clase (no estandarizada), Velocidad máxima: 26 kmh,  Ignición: 1)"/>
        <s v="Giro brusco (Velocidad máxima: 18 kmh Aceleración de lado a lado: 0.48 g-force, Ignición: 1.00)"/>
        <s v="Frenado brusco (nuevo) (Clase de vehículo para métricas de seguridad: Otra clase (no estandarizada), Velocidad máxima: 23 kmh,  Ignición: 1)"/>
        <s v="Uso del cinturón de seguridad (Velocidad máxima: 35 kmh Cinturón de seguridad del conductor (1. Desabrochado): 1.00)"/>
        <s v="Giro brusco (Velocidad máxima: 26 kmh Aceleración de lado a lado: -0.70 g-force, Ignición: 1.00)"/>
        <s v="Giro brusco (Velocidad máxima: 26 kmh Aceleración de lado a lado: -0.52 g-force, Ignición: 1.00)"/>
        <s v="Aceleración brusca (Velocidad máxima: 14 kmh Aceleración hacia delante o frenado: 0.46 g-force, Ignición: 1.00)"/>
        <s v="Aceleración brusca (nuevo) (Clase de vehículo para métricas de seguridad: Otra clase (no estandarizada), Velocidad máxima: 3 kmh,  Ignición: 1)"/>
        <s v="Aceleración brusca (nuevo) (Clase de vehículo para métricas de seguridad: Otra clase (no estandarizada), Velocidad máxima: 8 kmh,  Ignición: 1)"/>
        <s v="Frenado brusco (nuevo) (Clase de vehículo para métricas de seguridad: Otra clase (no estandarizada), Velocidad máxima: 32 kmh,  Ignición: 1)"/>
        <s v="Exceso Velocidad 20 Km/h (Velocidad máxima: 42 kmh)"/>
        <s v="Exceso Velocidad 20 Km/h (Velocidad máxima: 39 kmh)"/>
        <s v="Exceso Velocidad 20 Km/h (Velocidad máxima: 41 kmh)"/>
        <s v="Exceso Velocidad 20 Km/h (Velocidad máxima: 44 kmh)"/>
        <s v="Aceleración brusca (nuevo) (Clase de vehículo para métricas de seguridad: Otra clase (no estandarizada), Velocidad máxima: 1 kmh,  Ignición: 1)"/>
        <s v="Exceso Velocidad 40 Km/h (Velocidad máxima: 48 kmh)"/>
        <s v="Aceleración brusca (nuevo) (Clase de vehículo para métricas de seguridad: Otra clase (no estandarizada), Velocidad máxima: 0 kmh,  Ignición: 1)"/>
        <s v="Aceleración brusca (nuevo) (Clase de vehículo para métricas de seguridad: Otra clase (no estandarizada), Velocidad máxima: 4 kmh,  Ignición: 1)"/>
        <s v="Giro brusco (nuevo) (Clase de vehículo para métricas de seguridad: Otra clase (no estandarizada), Velocidad máxima: 9 kmh,  Ignición: 1)"/>
        <s v="Aceleración brusca (nuevo) (Clase de vehículo para métricas de seguridad: Otra clase (no estandarizada), Velocidad máxima: 7 kmh,  Ignición: 1)"/>
        <s v="Frenado brusco (nuevo) (Clase de vehículo para métricas de seguridad: Otra clase (no estandarizada), Velocidad máxima: 34 kmh,  Ignición: 1)"/>
        <s v="Aceleración brusca (nuevo) (Clase de vehículo para métricas de seguridad: Otra clase (no estandarizada), Velocidad máxima: 6 kmh,  Ignición: 1)"/>
        <s v="Frenado brusco (nuevo) (Clase de vehículo para métricas de seguridad: Otra clase (no estandarizada), Velocidad máxima: 35 kmh,  Ignición: 1)"/>
        <s v="Frenado brusco (nuevo) (Clase de vehículo para métricas de seguridad: Otra clase (no estandarizada), Velocidad máxima: 22 kmh,  Ignición: 1)"/>
        <s v="Exceso Velocidad 20 Km/h (Velocidad máxima: 29 kmh)"/>
        <s v="Frenado brusco (nuevo) (Clase de vehículo para métricas de seguridad: Otra clase (no estandarizada), Velocidad máxima: 24 kmh,  Ignición: 1)"/>
        <s v="Exceso Velocidad 20 Km/h (Velocidad máxima: 35 kmh)"/>
        <s v="Exceso Velocidad 20 Km/h (Velocidad máxima: 32 kmh)"/>
        <s v="Frenado brusco (nuevo) (Clase de vehículo para métricas de seguridad: Otra clase (no estandarizada), Velocidad máxima: 27 kmh,  Ignición: 1)"/>
        <s v="Exceso Velocidad 40 Km/h (Velocidad máxima: 50 kmh)"/>
        <s v="Giro brusco (nuevo) (Clase de vehículo para métricas de seguridad: Otra clase (no estandarizada), Velocidad máxima: 34 kmh,  Ignición: 1)"/>
        <s v="Aceleración brusca (nuevo) (Clase de vehículo para métricas de seguridad: Otra clase (no estandarizada), Velocidad máxima: 5 kmh,  Ignición: 1)"/>
        <s v="Exceso Velocidad 20 Km/h (Velocidad máxima: 38 kmh)"/>
        <s v="Exceso Velocidad 40 Km/h (Velocidad máxima: 53 kmh)"/>
        <s v="Exceso Velocidad 40 Km/h (Velocidad máxima: 52 kmh)"/>
        <s v="Giro brusco (nuevo) (Clase de vehículo para métricas de seguridad: Otra clase (no estandarizada), Velocidad máxima: 31 kmh,  Ignición: 1)"/>
        <s v="Giro brusco (nuevo) (Clase de vehículo para métricas de seguridad: Otra clase (no estandarizada), Velocidad máxima: 24 kmh,  Ignición: 1)"/>
        <s v="Giro brusco (nuevo) (Clase de vehículo para métricas de seguridad: Otra clase (no estandarizada), Velocidad máxima: 19 kmh,  Ignición: 1)"/>
        <s v="Uso del cinturón de seguridad (Velocidad máxima: 10 kmh Cinturón de seguridad del conductor (1. Desabrochado): 1.00)"/>
        <s v="Giro brusco (nuevo) (Clase de vehículo para métricas de seguridad: Otra clase (no estandarizada), Velocidad máxima: 26 kmh,  Ignición: 1)"/>
        <s v="Frenado brusco (nuevo) (Clase de vehículo para métricas de seguridad: Otra clase (no estandarizada), Velocidad máxima: 4 kmh,  Ignición: 1)"/>
        <s v="Uso del cinturón de seguridad (Velocidad máxima: 28 kmh Cinturón de seguridad del conductor (1. Desabrochado): 1.00)"/>
        <s v="Frenado brusco (nuevo) (Clase de vehículo para métricas de seguridad: Otra clase (no estandarizada), Velocidad máxima: 17 kmh,  Ignición: 1)"/>
        <s v="Exceso Velocidad 20 Km/h (Velocidad máxima: 27 kmh)"/>
        <s v="Giro brusco (Velocidad máxima: 16 kmh Aceleración de lado a lado: -0.48 g-force, Ignición: 1.00)"/>
        <s v="Giro brusco (Velocidad máxima: 12 kmh Aceleración de lado a lado: 0.55 g-force, Ignición: 1.00)"/>
        <s v="Uso del cinturón de seguridad (Velocidad máxima: 17 kmh Cinturón de seguridad del conductor (1. Desabrochado): 1.00)"/>
        <s v="Exceso de velocidad (nuevo) (Velocidad máxima: 32 kmh (Velocidad máxima en carretera: 7 kmh))"/>
        <s v="Exceso de velocidad (nuevo) (Velocidad máxima: 36 kmh (Velocidad máxima en carretera: 7 kmh))"/>
        <s v="Exceso de velocidad (nuevo) (Velocidad máxima: 30 kmh (Velocidad máxima en carretera: 7 kmh))"/>
        <s v="Exceso Velocidad 20 Km/h (Velocidad máxima: 21 kmh)"/>
        <s v="Giro brusco (Velocidad máxima: 32 kmh Aceleración de lado a lado: -0.48 g-force, Ignición: 1.00)"/>
        <s v="Frenado brusco (nuevo) (Clase de vehículo para métricas de seguridad: Otra clase (no estandarizada), Velocidad máxima: 20 kmh,  Ignición: 1)"/>
        <s v="Giro brusco (Velocidad máxima: 40 kmh Ignición: 1.00 , Aceleración de lado a lado: -0.59 g-force)"/>
        <s v="Giro brusco (Velocidad máxima: 40 kmh Ignición: 1.00 , Aceleración de lado a lado: -0.50 g-force)"/>
        <s v="Exceso Velocidad 40 Km/h (Velocidad máxima: 51 kmh)"/>
        <s v="Exceso Velocidad 10 Km/h (Velocidad máxima: 34 kmh)"/>
        <s v="Frenado brusco (nuevo) (Clase de vehículo para métricas de seguridad: Otra clase (no estandarizada), Velocidad máxima: 25 kmh,  Ignición: 1)"/>
        <s v="Exceso de velocidad (nuevo) (Velocidad máxima: 27 kmh (Velocidad máxima en carretera: 7 kmh))"/>
        <s v="Exceso de velocidad (nuevo) (Velocidad máxima: 21 kmh (Velocidad máxima en carretera: 7 kmh))"/>
        <s v="Exceso de velocidad (nuevo) (Velocidad máxima: 14 kmh (Velocidad máxima en carretera: 7 kmh))"/>
        <s v="Exceso de velocidad (nuevo) (Velocidad máxima: 17 kmh (Velocidad máxima en carretera: 7 kmh))"/>
        <s v="Exceso de velocidad (nuevo) (Velocidad máxima: 25 kmh (Velocidad máxima en carretera: 7 kmh))"/>
        <s v="Exceso de velocidad (nuevo) (Velocidad máxima: 19 kmh (Velocidad máxima en carretera: 7 kmh))"/>
        <s v="Giro brusco (Velocidad máxima: 14 kmh Aceleración de lado a lado: -0.48 g-force, Ignición: 1.00)"/>
        <s v="Giro brusco (Velocidad máxima: 18 kmh Aceleración de lado a lado: -0.48 g-force, Ignición: 1.00)"/>
        <s v="Giro brusco (Velocidad máxima: 7 kmh Aceleración de lado a lado: -0.48 g-force, Ignición: 1.00)"/>
        <s v="Giro brusco (Velocidad máxima: 14 kmh Aceleración de lado a lado: 0.48 g-force, Ignición: 1.00)"/>
        <s v="Giro brusco (Velocidad máxima: 15 kmh Aceleración de lado a lado: -0.47 g-force, Ignición: 1.00)"/>
        <s v="Giro brusco (Velocidad máxima: 11 kmh Aceleración de lado a lado: -0.49 g-force, Ignición: 1.00)"/>
        <s v="Exceso Velocidad 10 Km/h (Velocidad máxima: 35 kmh)"/>
        <s v="Giro brusco (nuevo) (Clase de vehículo para métricas de seguridad: Otra clase (no estandarizada), Velocidad máxima: 32 kmh,  Ignición: 1)"/>
        <s v="Giro brusco (Velocidad máxima: 17 kmh Aceleración de lado a lado: 0.57 g-force, Ignición: 1.00)"/>
        <s v="Giro brusco (Velocidad máxima: 16 kmh Aceleración de lado a lado: -0.52 g-force, Ignición: 1.00)"/>
        <s v="Giro brusco (Velocidad máxima: 17 kmh Aceleración de lado a lado: -0.47 g-force, Ignición: 1.00)"/>
        <s v="Giro brusco (Velocidad máxima: 14 kmh Aceleración de lado a lado: 0.54 g-force, Ignición: 1.00)"/>
        <s v="Giro brusco (Velocidad máxima: 12 kmh Aceleración de lado a lado: -0.49 g-force, Ignición: 1.00)"/>
        <s v="Giro brusco (Velocidad máxima: 26 kmh Aceleración de lado a lado: -0.48 g-force, Ignición: 1.00)"/>
        <s v="Uso del cinturón de seguridad (Velocidad máxima: 23 kmh Cinturón de seguridad del conductor (1. Desabrochado): 1.00)"/>
        <s v="Giro brusco (Velocidad máxima: 9 kmh Aceleración de lado a lado: -0.48 g-force, Ignición: 1.00)"/>
        <s v="Giro brusco (Velocidad máxima: 16 kmh Aceleración de lado a lado: -0.66 g-force, Ignición: 1.00)"/>
        <s v="Exceso de velocidad (nuevo) (Velocidad máxima: 16 kmh (Velocidad máxima en carretera: 7 kmh))"/>
        <s v="Exceso de velocidad (nuevo) (Velocidad máxima: 12 kmh (Velocidad máxima en carretera: 7 kmh))"/>
        <s v="Giro brusco (Velocidad máxima: 12 kmh Ignición: 1.00 , Aceleración de lado a lado: 0.50 g-force)"/>
        <s v="Giro brusco (Velocidad máxima: 19 kmh Aceleración de lado a lado: -0.52 g-force, Ignición: 1.00)"/>
        <s v="Exceso Velocidad 30 Km/h (Velocidad máxima: 30 kmh)"/>
        <s v="Giro brusco (Velocidad máxima: 6 kmh Aceleración de lado a lado: 0.49 g-force, Ignición: 1.00)"/>
        <s v="Giro brusco (Velocidad máxima: 15 kmh Ignición: 1.00 , Aceleración de lado a lado: -0.50 g-force)"/>
        <s v="Exceso Velocidad 30 Km/h (Velocidad máxima: 44 kmh)"/>
        <s v="Giro brusco (Velocidad máxima: 16 kmh Aceleración de lado a lado: -0.57 g-force, Ignición: 1.00)"/>
        <s v="Giro brusco (Velocidad máxima: 16 kmh Aceleración de lado a lado: -0.50 g-force, Ignición: 1.00)"/>
        <s v="Giro brusco (Velocidad máxima: 9 kmh Aceleración de lado a lado: -0.47 g-force, Ignición: 1.00)"/>
        <s v="Giro brusco (Velocidad máxima: 19 kmh Aceleración de lado a lado: -0.70 g-force, Ignición: 1.00)"/>
        <s v="Giro brusco (Velocidad máxima: 18 kmh Aceleración de lado a lado: -0.56 g-force, Ignición: 1.00)"/>
        <s v="Giro brusco (Velocidad máxima: 14 kmh Ignición: 1.00 , Aceleración de lado a lado: -0.59 g-force)"/>
        <s v="Driving faster than 113 km/h (Max Speed: 131 km/h)" u="1"/>
      </sharedItems>
    </cacheField>
    <cacheField name="Est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0">
  <r>
    <x v="0"/>
    <s v="Vehicle, Diesel, ENE 6234 OPEX SOT-SOC"/>
    <x v="0"/>
    <x v="0"/>
    <x v="0"/>
    <s v="ENEL"/>
    <x v="0"/>
    <s v="San Pedro de Jagua - Medina #1-09, Medina, Cundinamarca, Colombia"/>
    <n v="0"/>
    <x v="0"/>
    <d v="2026-06-01T06:11:53"/>
    <d v="1899-12-30T00:06:37"/>
    <n v="6.5716234967112541E-3"/>
    <s v="Tiempo en ralentí (Ignición: 1.00)"/>
    <x v="0"/>
    <s v="Válido"/>
  </r>
  <r>
    <x v="0"/>
    <s v="Vehicle, Diesel, ENE 6234 OPEX SOT-SOC"/>
    <x v="1"/>
    <x v="1"/>
    <x v="1"/>
    <s v="ENE 6234 OPEX SOT-SOC"/>
    <x v="0"/>
    <s v="San Pedro Jagua, Cundinamarca, Colombia"/>
    <n v="0"/>
    <x v="1"/>
    <d v="2026-06-01T12:38:51"/>
    <d v="1899-12-30T00:16:29"/>
    <n v="5.2228802815079689E-5"/>
    <s v="Tiempo en ralentí (Ignición: 1.00)"/>
    <x v="0"/>
    <s v="Válido"/>
  </r>
  <r>
    <x v="0"/>
    <s v="Vehicle, Diesel, ENE 6234 OPEX SOT-SOC"/>
    <x v="1"/>
    <x v="1"/>
    <x v="1"/>
    <s v="ENE 6234 OPEX SOT-SOC"/>
    <x v="0"/>
    <s v="San Pedro Jagua, Cundinamarca, Colombia"/>
    <n v="0"/>
    <x v="2"/>
    <d v="2026-06-01T13:47:10"/>
    <d v="1899-12-30T00:12:32"/>
    <n v="0"/>
    <s v="Tiempo en ralentí (Ignición: 1.00)"/>
    <x v="0"/>
    <s v="Válido"/>
  </r>
  <r>
    <x v="0"/>
    <s v="Vehicle, Diesel, ENE 6234 OPEX SOT-SOC"/>
    <x v="1"/>
    <x v="1"/>
    <x v="1"/>
    <s v="ENE 6234 OPEX SOT-SOC"/>
    <x v="0"/>
    <s v="Paratebueno, Cundinamarca, Colombia"/>
    <n v="0"/>
    <x v="3"/>
    <d v="2026-06-01T14:08:14"/>
    <d v="1899-12-30T00:11:18"/>
    <n v="0"/>
    <s v="Tiempo en ralentí (Ignición: 1.00)"/>
    <x v="0"/>
    <s v="Válido"/>
  </r>
  <r>
    <x v="0"/>
    <s v="Vehicle, Diesel, ENE 6234 OPEX SOT-SOC"/>
    <x v="1"/>
    <x v="1"/>
    <x v="1"/>
    <s v="ENE 6234 OPEX SOT-SOC"/>
    <x v="1"/>
    <s v="San Pedro de Jagua - Medina, Medina, Cundinamarca, Colombia"/>
    <n v="0"/>
    <x v="4"/>
    <d v="2026-06-01T17:47:01"/>
    <d v="1899-12-30T00:00:00"/>
    <n v="0"/>
    <s v="Frenado brusco (nuevo) (Clase de vehículo para métricas de seguridad: Otra clase (no estandarizada), Velocidad máxima: 14 kmh,  Ignición: 1)"/>
    <x v="1"/>
    <s v="Válido"/>
  </r>
  <r>
    <x v="0"/>
    <s v="Vehicle, Diesel, ENE 6234 OPEX SOT-SOC"/>
    <x v="1"/>
    <x v="1"/>
    <x v="1"/>
    <s v="ENE 6234 OPEX SOT-SOC"/>
    <x v="1"/>
    <s v="San Pedro de Jagua - Medina, Medina, Cundinamarca, Colombia"/>
    <n v="0"/>
    <x v="5"/>
    <d v="2026-06-01T17:48:25"/>
    <d v="1899-12-30T00:00:01"/>
    <n v="8.6521878838539124E-3"/>
    <s v="Frenado brusco (nuevo) (Clase de vehículo para métricas de seguridad: Otra clase (no estandarizada), Velocidad máxima: 8 kmh,  Ignición: 1)"/>
    <x v="2"/>
    <s v="Válido"/>
  </r>
  <r>
    <x v="0"/>
    <s v="Vehicle, Diesel, ENE 6234 OPEX SOT-SOC"/>
    <x v="1"/>
    <x v="1"/>
    <x v="1"/>
    <s v="ENE 6234 OPEX SOT-SOC"/>
    <x v="0"/>
    <s v="San Pedro de Jagua - Medina #3-87, Medina, Cundinamarca, Colombia"/>
    <n v="0"/>
    <x v="6"/>
    <d v="2026-06-01T17:54:33"/>
    <d v="1899-12-30T00:07:44"/>
    <n v="0"/>
    <s v="Tiempo en ralentí (Ignición: 1.00)"/>
    <x v="0"/>
    <s v="Válido"/>
  </r>
  <r>
    <x v="0"/>
    <s v="Vehicle, Diesel, ENE 6234 OPEX SOT-SOC"/>
    <x v="1"/>
    <x v="1"/>
    <x v="1"/>
    <s v="ENE 6234 OPEX SOT-SOC"/>
    <x v="0"/>
    <s v="San Pedro de Jagua - Medina, Medina, Cundinamarca, Colombia"/>
    <n v="0"/>
    <x v="7"/>
    <d v="2026-06-01T20:54:41"/>
    <d v="1899-12-30T00:14:42"/>
    <n v="0"/>
    <s v="Tiempo en ralentí (Ignición: 1.00)"/>
    <x v="0"/>
    <s v="Válido"/>
  </r>
  <r>
    <x v="1"/>
    <s v="Vehicle, Diesel, Cabinas"/>
    <x v="2"/>
    <x v="2"/>
    <x v="2"/>
    <n v="0"/>
    <x v="2"/>
    <s v="Equipo liviano - Cerrejón, Cerrejon Cerca 1: taller liviano, Maicao, La Guajira, Colombia"/>
    <s v="Cliente, Vel Max 60 Km/h"/>
    <x v="8"/>
    <d v="2026-06-01T07:00:40"/>
    <d v="1899-12-30T00:00:00"/>
    <n v="0"/>
    <s v="Engine Fault Exception (Fallo de dispositivo telemático: Se eliminó toda la energía y se reinició el dispositivo)"/>
    <x v="3"/>
    <s v="Válido"/>
  </r>
  <r>
    <x v="1"/>
    <s v="Vehicle, Diesel, Cabinas"/>
    <x v="2"/>
    <x v="2"/>
    <x v="2"/>
    <n v="0"/>
    <x v="0"/>
    <s v="Equipo liviano - Cerrejón, Cerrejon Cerca 1: taller liviano, Maicao, La Guajira, Colombia"/>
    <s v="Cliente, Vel Max 60 Km/h"/>
    <x v="9"/>
    <d v="2026-06-01T07:02:15"/>
    <d v="1899-12-30T00:14:53"/>
    <n v="2.469366230070591E-2"/>
    <s v="Tiempo en ralentí (Ignición: 1.00)"/>
    <x v="0"/>
    <s v="Válido"/>
  </r>
  <r>
    <x v="1"/>
    <s v="Vehicle, Diesel, Cabinas"/>
    <x v="2"/>
    <x v="2"/>
    <x v="2"/>
    <n v="0"/>
    <x v="2"/>
    <s v="Cerrejon Cerca 1, Coexito - indutrónica - Cerrejón: 49M9+5C, Maicao, La Guajira, Colombia"/>
    <s v="Vel Max 60 Km/h, Cliente"/>
    <x v="10"/>
    <d v="2026-06-01T15:55:57"/>
    <d v="1899-12-30T00:00:00"/>
    <n v="0"/>
    <s v="Engine Fault Exception (Fallo de dispositivo telemático: Se eliminó toda la energía y se reinició el dispositivo)"/>
    <x v="3"/>
    <s v="Válido"/>
  </r>
  <r>
    <x v="1"/>
    <s v="Vehicle, Diesel, Cabinas"/>
    <x v="2"/>
    <x v="2"/>
    <x v="2"/>
    <n v="0"/>
    <x v="3"/>
    <s v="Cerrejon Cerca 1: A Taller de Equipo Liviano, Maicao, La Guajira, Colombia"/>
    <s v="Vel Max 60 Km/h"/>
    <x v="11"/>
    <d v="2026-06-01T17:14:09"/>
    <d v="1899-12-30T00:00:12"/>
    <n v="0.19335001707077026"/>
    <s v="Exceso Velocidad 60 Km/h (Velocidad máxima: 61 kmh)"/>
    <x v="4"/>
    <s v="Válido"/>
  </r>
  <r>
    <x v="1"/>
    <s v="Vehicle, Diesel, Cabinas"/>
    <x v="2"/>
    <x v="2"/>
    <x v="2"/>
    <n v="0"/>
    <x v="4"/>
    <s v="Papa 1 -Cerrejon, Cerrejon Cerca 1, Acceso Garita P1: Cra. 2, Maicao, La Guajira, Colombia"/>
    <s v="Vel Max 10 Km/h, Vel Max 60 Km/h, Cliente"/>
    <x v="12"/>
    <d v="2026-06-01T17:17:45"/>
    <d v="1899-12-30T00:00:12"/>
    <n v="6.5561726689338684E-2"/>
    <s v="Exceso Velocidad 10 Km/h (Velocidad máxima: 23 kmh)"/>
    <x v="5"/>
    <s v="Válido"/>
  </r>
  <r>
    <x v="2"/>
    <s v="Vehicle, Diesel, GMA CENTRO"/>
    <x v="2"/>
    <x v="2"/>
    <x v="2"/>
    <n v="0"/>
    <x v="2"/>
    <s v="Cra. 22 #76-20, Barrancabermeja, Santander, Colombia"/>
    <n v="0"/>
    <x v="13"/>
    <d v="2026-06-01T07:46:42"/>
    <d v="1899-12-30T00:00:00"/>
    <n v="0"/>
    <s v="Engine Fault Exception (Fallo de dispositivo telemático: El dispositivo telemático está desconectado)"/>
    <x v="6"/>
    <s v="Válido"/>
  </r>
  <r>
    <x v="2"/>
    <s v="Vehicle, Diesel, GMA CENTRO"/>
    <x v="2"/>
    <x v="2"/>
    <x v="2"/>
    <n v="0"/>
    <x v="2"/>
    <s v="Cra. 22 #76-20, Barrancabermeja, Santander, Colombia"/>
    <n v="0"/>
    <x v="14"/>
    <d v="2026-06-01T07:47:17"/>
    <d v="1899-12-30T00:00:00"/>
    <n v="0"/>
    <s v="Engine Fault Exception (Fallo de dispositivo telemático: Se eliminó toda la energía y se reinició el dispositivo)"/>
    <x v="3"/>
    <s v="Válido"/>
  </r>
  <r>
    <x v="2"/>
    <s v="Vehicle, Diesel, GMA CENTRO"/>
    <x v="2"/>
    <x v="2"/>
    <x v="2"/>
    <n v="0"/>
    <x v="5"/>
    <s v="Tv. 29 # 63-31, Barrancabermeja, Santander, Colombia"/>
    <n v="0"/>
    <x v="15"/>
    <d v="2026-06-01T07:56:56"/>
    <d v="1899-12-30T00:00:09"/>
    <n v="9.3072600662708282E-2"/>
    <s v="Exceso de velocidad (nuevo) (Velocidad máxima: 42 kmh (Velocidad máxima en carretera: 30 kmh))"/>
    <x v="7"/>
    <s v="Válido"/>
  </r>
  <r>
    <x v="2"/>
    <s v="Vehicle, Diesel, GMA CENTRO"/>
    <x v="2"/>
    <x v="2"/>
    <x v="2"/>
    <n v="0"/>
    <x v="2"/>
    <s v="Tv. 29 #612, Barrancabermeja, Santander, Colombia"/>
    <n v="0"/>
    <x v="16"/>
    <d v="2026-06-01T08:54:37"/>
    <d v="1899-12-30T00:00:00"/>
    <n v="0"/>
    <s v="Engine Fault Exception (Fallo de dispositivo telemático: Se eliminó toda la energía y se reinició el dispositivo)"/>
    <x v="3"/>
    <s v="Válido"/>
  </r>
  <r>
    <x v="2"/>
    <s v="Vehicle, Diesel, GMA CENTRO"/>
    <x v="2"/>
    <x v="2"/>
    <x v="2"/>
    <n v="0"/>
    <x v="5"/>
    <s v="CI. 60 # 35-95, Barrancabermeja, Santander, Colombia"/>
    <n v="0"/>
    <x v="17"/>
    <d v="2026-06-01T09:57:50"/>
    <d v="1899-12-30T00:00:09"/>
    <n v="9.6195898950099945E-2"/>
    <s v="Exceso de velocidad (nuevo) (Velocidad máxima: 41 kmh (Velocidad máxima en carretera: 30 kmh))"/>
    <x v="8"/>
    <s v="Válido"/>
  </r>
  <r>
    <x v="2"/>
    <s v="Vehicle, Diesel, GMA CENTRO"/>
    <x v="2"/>
    <x v="2"/>
    <x v="2"/>
    <n v="0"/>
    <x v="4"/>
    <s v="BODEGA BARRANCA: Cra. 30 #24, Barrancabermeja, Santander, Colombia"/>
    <s v="Vel Max 10 Km/h"/>
    <x v="18"/>
    <d v="2026-06-01T10:04:04"/>
    <d v="1899-12-30T00:00:00"/>
    <n v="2.0554753427859396E-4"/>
    <s v="Exceso Velocidad 10 Km/h (Velocidad máxima: 10 kmh)"/>
    <x v="9"/>
    <s v="Válido"/>
  </r>
  <r>
    <x v="2"/>
    <s v="Vehicle, Diesel, GMA CENTRO"/>
    <x v="2"/>
    <x v="2"/>
    <x v="2"/>
    <n v="0"/>
    <x v="4"/>
    <s v="BODEGA BARRANCA: Cra. 30 # 75-135, Barrancabermeja, Santander, Colombia"/>
    <s v="Vel Max 10 Km/h"/>
    <x v="19"/>
    <d v="2026-06-01T10:05:31"/>
    <d v="1899-12-30T00:00:16"/>
    <n v="5.6960124522447586E-2"/>
    <s v="Exceso Velocidad 10 Km/h (Velocidad máxima: 14 kmh)"/>
    <x v="10"/>
    <s v="Válido"/>
  </r>
  <r>
    <x v="2"/>
    <s v="Vehicle, Diesel, GMA CENTRO"/>
    <x v="2"/>
    <x v="2"/>
    <x v="2"/>
    <n v="0"/>
    <x v="5"/>
    <s v="Cra. 31 #63-03, Barrancabermeja, Santander, Colombia"/>
    <n v="0"/>
    <x v="20"/>
    <d v="2026-06-01T13:43:15"/>
    <d v="1899-12-30T00:00:17"/>
    <n v="0.1778407096862793"/>
    <s v="Exceso de velocidad (nuevo) (Velocidad máxima: 39 kmh (Velocidad máxima en carretera: 30 kmh))"/>
    <x v="11"/>
    <s v="Válido"/>
  </r>
  <r>
    <x v="2"/>
    <s v="Vehicle, Diesel, GMA CENTRO"/>
    <x v="2"/>
    <x v="2"/>
    <x v="2"/>
    <n v="0"/>
    <x v="5"/>
    <s v="Cra. 61 # 42D-42, Barrancabermeja, Santander, Colombia"/>
    <n v="0"/>
    <x v="21"/>
    <d v="2026-06-01T14:11:56"/>
    <d v="1899-12-30T00:00:08"/>
    <n v="8.7702341377735138E-2"/>
    <s v="Exceso de velocidad (nuevo) (Velocidad máxima: 41 kmh (Velocidad máxima en carretera: 30 kmh))"/>
    <x v="8"/>
    <s v="Válido"/>
  </r>
  <r>
    <x v="2"/>
    <s v="Vehicle, Diesel, GMA CENTRO"/>
    <x v="2"/>
    <x v="2"/>
    <x v="2"/>
    <n v="0"/>
    <x v="0"/>
    <s v="45, San Alberto, Cesar, Colombia"/>
    <n v="0"/>
    <x v="22"/>
    <d v="2026-06-01T17:17:32"/>
    <d v="1899-12-30T00:05:09"/>
    <n v="0"/>
    <s v="Tiempo en ralentí (Ignición: 1.00)"/>
    <x v="0"/>
    <s v="Válido"/>
  </r>
  <r>
    <x v="2"/>
    <s v="Vehicle, Diesel, GMA CENTRO"/>
    <x v="2"/>
    <x v="2"/>
    <x v="2"/>
    <n v="0"/>
    <x v="1"/>
    <s v="45, San Alberto, Cesar, Colombia"/>
    <n v="0"/>
    <x v="23"/>
    <d v="2026-06-01T17:36:40"/>
    <d v="1899-12-30T00:00:00"/>
    <n v="0"/>
    <s v="Frenado brusco (nuevo) (Clase de vehículo para métricas de seguridad: Otra clase (no estandarizada), Velocidad máxima: 28 kmh,  Ignición: 1)"/>
    <x v="12"/>
    <s v="Válido"/>
  </r>
  <r>
    <x v="3"/>
    <s v="Vehicle, Diesel, GMA CENTRO"/>
    <x v="2"/>
    <x v="2"/>
    <x v="2"/>
    <n v="0"/>
    <x v="6"/>
    <s v="Cl. 49 # 25-91, Barrancabermeja, Santander, Colombia"/>
    <n v="0"/>
    <x v="24"/>
    <d v="2026-06-01T06:33:55"/>
    <d v="1899-12-30T00:00:00"/>
    <n v="0"/>
    <s v="Giro brusco (nuevo) (Clase de vehículo para métricas de seguridad: Otra clase (no estandarizada), Velocidad máxima: 22 kmh,  Ignición: 1)"/>
    <x v="13"/>
    <s v="Válido"/>
  </r>
  <r>
    <x v="3"/>
    <s v="Vehicle, Diesel, GMA CENTRO"/>
    <x v="2"/>
    <x v="2"/>
    <x v="2"/>
    <n v="0"/>
    <x v="5"/>
    <s v="Cl. 36 # 35-25, Barrancabermeja, Santander, Colombia"/>
    <n v="0"/>
    <x v="25"/>
    <d v="2026-06-01T06:37:26"/>
    <d v="1899-12-30T00:00:17"/>
    <n v="0.37499135732650757"/>
    <s v="Exceso de velocidad (nuevo) (Velocidad máxima: 88 kmh (Velocidad máxima en carretera: 60 kmh))"/>
    <x v="14"/>
    <s v="Válido"/>
  </r>
  <r>
    <x v="3"/>
    <s v="Vehicle, Diesel, GMA CENTRO"/>
    <x v="2"/>
    <x v="2"/>
    <x v="2"/>
    <n v="0"/>
    <x v="5"/>
    <s v="Cl. 37 # 54-41, Barrancabermeja, Santander, Colombia"/>
    <n v="0"/>
    <x v="26"/>
    <d v="2026-06-01T06:39:27"/>
    <d v="1899-12-30T00:00:07"/>
    <n v="0.16537246108055115"/>
    <s v="Exceso de velocidad (nuevo) (Velocidad máxima: 83 kmh (Velocidad máxima en carretera: 30 kmh))"/>
    <x v="15"/>
    <s v="Válido"/>
  </r>
  <r>
    <x v="3"/>
    <s v="Vehicle, Diesel, GMA CENTRO"/>
    <x v="2"/>
    <x v="2"/>
    <x v="2"/>
    <n v="0"/>
    <x v="5"/>
    <s v="Cl. 37 # 62-63, Barrancabermeja, Santander, Colombia"/>
    <n v="0"/>
    <x v="27"/>
    <d v="2026-06-01T06:40:00"/>
    <d v="1899-12-30T00:00:49"/>
    <n v="0.83146542310714722"/>
    <s v="Exceso de velocidad (nuevo) (Velocidad máxima: 100 kmh (Velocidad máxima en carretera: 60 kmh))"/>
    <x v="16"/>
    <s v="Válido"/>
  </r>
  <r>
    <x v="3"/>
    <s v="Vehicle, Diesel, GMA CENTRO"/>
    <x v="2"/>
    <x v="2"/>
    <x v="2"/>
    <n v="0"/>
    <x v="6"/>
    <s v="Cl. 37 # 64-29, Barrancabermeja, Santander, Colombia"/>
    <n v="0"/>
    <x v="28"/>
    <d v="2026-06-01T06:40:14"/>
    <d v="1899-12-30T00:00:00"/>
    <n v="0"/>
    <s v="Giro brusco (nuevo) (Clase de vehículo para métricas de seguridad: Otra clase (no estandarizada), Velocidad máxima: 43 kmh,  Ignición: 1)"/>
    <x v="17"/>
    <s v="Válido"/>
  </r>
  <r>
    <x v="3"/>
    <s v="Vehicle, Diesel, GMA CENTRO"/>
    <x v="2"/>
    <x v="2"/>
    <x v="2"/>
    <n v="0"/>
    <x v="7"/>
    <s v="Barrancabermeja-Troncal Magdalena, Barrancabermeja, Santander, Colombia"/>
    <n v="0"/>
    <x v="29"/>
    <d v="2026-06-01T06:40:52"/>
    <d v="1899-12-30T00:00:01"/>
    <n v="2.2239429876208305E-2"/>
    <s v="Giro brusco (Velocidad máxima: 76 kmh Aceleración de lado a lado: 0.52 g-force, Ignición: 1.00)"/>
    <x v="18"/>
    <s v="Válido"/>
  </r>
  <r>
    <x v="3"/>
    <s v="Vehicle, Diesel, GMA CENTRO"/>
    <x v="2"/>
    <x v="2"/>
    <x v="2"/>
    <n v="0"/>
    <x v="6"/>
    <s v="Barrancabermeja-Troncal Magdalena, Barrancabermeja, Santander, Colombia"/>
    <n v="0"/>
    <x v="30"/>
    <d v="2026-06-01T06:40:55"/>
    <d v="1899-12-30T00:00:00"/>
    <n v="0"/>
    <s v="Giro brusco (nuevo) (Clase de vehículo para métricas de seguridad: Otra clase (no estandarizada), Velocidad máxima: 73 kmh,  Ignición: 1)"/>
    <x v="19"/>
    <s v="Válido"/>
  </r>
  <r>
    <x v="3"/>
    <s v="Vehicle, Diesel, GMA CENTRO"/>
    <x v="2"/>
    <x v="2"/>
    <x v="2"/>
    <n v="0"/>
    <x v="5"/>
    <s v="Barrancabermeja-Troncal Magdalena, Barrancabermeja, Santander, Colombia"/>
    <n v="0"/>
    <x v="31"/>
    <d v="2026-06-01T06:40:56"/>
    <d v="1899-12-30T00:00:09"/>
    <n v="0.18297208845615387"/>
    <s v="Exceso de velocidad (nuevo) (Velocidad máxima: 77 kmh (Velocidad máxima en carretera: 60 kmh))"/>
    <x v="20"/>
    <s v="Válido"/>
  </r>
  <r>
    <x v="3"/>
    <s v="Vehicle, Diesel, GMA CENTRO"/>
    <x v="2"/>
    <x v="2"/>
    <x v="2"/>
    <n v="0"/>
    <x v="7"/>
    <s v="Barrancabermeja-Troncal Magdalena, Barrancabermeja, Santander, Colombia"/>
    <n v="0"/>
    <x v="32"/>
    <d v="2026-06-01T06:40:57"/>
    <d v="1899-12-30T00:00:02"/>
    <n v="3.8444988429546356E-2"/>
    <s v="Giro brusco (Velocidad máxima: 77 kmh Aceleración de lado a lado: -0.55 g-force, Ignición: 1.00)"/>
    <x v="21"/>
    <s v="Válido"/>
  </r>
  <r>
    <x v="3"/>
    <s v="Vehicle, Diesel, GMA CENTRO"/>
    <x v="2"/>
    <x v="2"/>
    <x v="2"/>
    <n v="0"/>
    <x v="6"/>
    <s v="Barrancabermeja-Troncal Magdalena, Barrancabermeja, Santander, Colombia"/>
    <n v="0"/>
    <x v="33"/>
    <d v="2026-06-01T06:41:26"/>
    <d v="1899-12-30T00:00:00"/>
    <n v="0"/>
    <s v="Giro brusco (nuevo) (Clase de vehículo para métricas de seguridad: Otra clase (no estandarizada), Velocidad máxima: 71 kmh,  Ignición: 1)"/>
    <x v="22"/>
    <s v="Válido"/>
  </r>
  <r>
    <x v="3"/>
    <s v="Vehicle, Diesel, GMA CENTRO"/>
    <x v="2"/>
    <x v="2"/>
    <x v="2"/>
    <n v="0"/>
    <x v="5"/>
    <s v="Barrancabermeja-Troncal Magdalena #3164, Barrancabermeja, Santander, Colombia"/>
    <n v="0"/>
    <x v="34"/>
    <d v="2026-06-01T06:45:42"/>
    <d v="1899-12-30T00:00:09"/>
    <n v="9.4803698360919952E-2"/>
    <s v="Exceso de velocidad (nuevo) (Velocidad máxima: 37 kmh (Velocidad máxima en carretera: 30 kmh))"/>
    <x v="23"/>
    <s v="Válido"/>
  </r>
  <r>
    <x v="3"/>
    <s v="Vehicle, Diesel, GMA CENTRO"/>
    <x v="2"/>
    <x v="2"/>
    <x v="2"/>
    <n v="0"/>
    <x v="5"/>
    <s v="Barrancabermeja-Troncal Magdalena, Barrancabermeja, Santander, Colombia"/>
    <n v="0"/>
    <x v="35"/>
    <d v="2026-06-01T06:49:08"/>
    <d v="1899-12-30T00:06:23"/>
    <n v="5.691164493560791"/>
    <s v="Exceso de velocidad (nuevo) (Velocidad máxima: 74 kmh (Velocidad máxima en carretera: 30 kmh))"/>
    <x v="24"/>
    <s v="Válido"/>
  </r>
  <r>
    <x v="3"/>
    <s v="Vehicle, Diesel, GMA CENTRO"/>
    <x v="2"/>
    <x v="2"/>
    <x v="2"/>
    <n v="0"/>
    <x v="5"/>
    <s v="Rotonda, Barrancabermeja, Santander, Colombia"/>
    <n v="0"/>
    <x v="36"/>
    <d v="2026-06-01T06:58:41"/>
    <d v="1899-12-30T00:00:07"/>
    <n v="6.847042590379715E-2"/>
    <s v="Exceso de velocidad (nuevo) (Velocidad máxima: 39 kmh (Velocidad máxima en carretera: 30 kmh))"/>
    <x v="11"/>
    <s v="Válido"/>
  </r>
  <r>
    <x v="3"/>
    <s v="Vehicle, Diesel, GMA CENTRO"/>
    <x v="2"/>
    <x v="2"/>
    <x v="2"/>
    <n v="0"/>
    <x v="0"/>
    <s v="W6MQ+8Q, Barrancabermeja, Santander, Colombia"/>
    <n v="0"/>
    <x v="37"/>
    <d v="2026-06-01T12:20:04"/>
    <d v="1899-12-30T00:06:58"/>
    <n v="0"/>
    <s v="Tiempo en ralentí (Ignición: 1.00)"/>
    <x v="0"/>
    <s v="Válido"/>
  </r>
  <r>
    <x v="3"/>
    <s v="Vehicle, Diesel, GMA CENTRO"/>
    <x v="2"/>
    <x v="2"/>
    <x v="2"/>
    <n v="0"/>
    <x v="5"/>
    <s v="X67G+G6, Barrancabermeja, Santander, Colombia"/>
    <n v="0"/>
    <x v="38"/>
    <d v="2026-06-01T16:52:48"/>
    <d v="1899-12-30T00:04:34"/>
    <n v="3.7818548679351807"/>
    <s v="Exceso de velocidad (nuevo) (Velocidad máxima: 59 kmh (Velocidad máxima en carretera: 30 kmh))"/>
    <x v="25"/>
    <s v="Válido"/>
  </r>
  <r>
    <x v="3"/>
    <s v="Vehicle, Diesel, GMA CENTRO"/>
    <x v="2"/>
    <x v="2"/>
    <x v="2"/>
    <n v="0"/>
    <x v="5"/>
    <s v="Barrancabermeja-Troncal Magdalena, Barrancabermeja, Santander, Colombia"/>
    <n v="0"/>
    <x v="39"/>
    <d v="2026-06-01T16:57:23"/>
    <d v="1899-12-30T00:00:12"/>
    <n v="0.1405646800994873"/>
    <s v="Exceso de velocidad (nuevo) (Velocidad máxima: 46 kmh (Velocidad máxima en carretera: 30 kmh))"/>
    <x v="26"/>
    <s v="Válido"/>
  </r>
  <r>
    <x v="3"/>
    <s v="Vehicle, Diesel, GMA CENTRO"/>
    <x v="2"/>
    <x v="2"/>
    <x v="2"/>
    <n v="0"/>
    <x v="5"/>
    <s v="Barrancabermeja-Troncal Magdalena, Barrancabermeja, Santander, Colombia"/>
    <n v="0"/>
    <x v="40"/>
    <d v="2026-06-01T16:57:38"/>
    <d v="1899-12-30T00:01:54"/>
    <n v="1.6439336538314819"/>
    <s v="Exceso de velocidad (nuevo) (Velocidad máxima: 57 kmh (Velocidad máxima en carretera: 30 kmh))"/>
    <x v="27"/>
    <s v="Válido"/>
  </r>
  <r>
    <x v="3"/>
    <s v="Vehicle, Diesel, GMA CENTRO"/>
    <x v="2"/>
    <x v="2"/>
    <x v="2"/>
    <n v="0"/>
    <x v="0"/>
    <s v="Cl. 51 # 15-70, Barrancabermeja, Santander, Colombia"/>
    <n v="0"/>
    <x v="41"/>
    <d v="2026-06-01T17:51:31"/>
    <d v="1899-12-30T00:13:15"/>
    <n v="0"/>
    <s v="Tiempo en ralentí (Ignición: 1.00)"/>
    <x v="0"/>
    <s v="Válido"/>
  </r>
  <r>
    <x v="4"/>
    <s v="Vehicle, Diesel, ENE 6053 Zona III CAPEX SOT-SOC"/>
    <x v="2"/>
    <x v="2"/>
    <x v="2"/>
    <n v="0"/>
    <x v="5"/>
    <s v="Av. de los Comuneros #1500, Bogotá, Colombia"/>
    <n v="0"/>
    <x v="42"/>
    <d v="2026-06-01T15:51:04"/>
    <d v="1899-12-30T00:00:19"/>
    <n v="0.2348802387714386"/>
    <s v="Exceso de velocidad (nuevo) (Velocidad máxima: 48 kmh (Velocidad máxima en carretera: 30 kmh))"/>
    <x v="28"/>
    <s v="Válido"/>
  </r>
  <r>
    <x v="4"/>
    <s v="Vehicle, Diesel, ENE 6053 Zona III CAPEX SOT-SOC"/>
    <x v="2"/>
    <x v="2"/>
    <x v="2"/>
    <n v="0"/>
    <x v="0"/>
    <s v="Cl. 1d Bis # 4-43, Santa Fé, Bogotá, D.C., Bogotá, Bogotá, D.C., Colombia"/>
    <n v="0"/>
    <x v="43"/>
    <d v="2026-06-01T15:55:56"/>
    <d v="1899-12-30T00:19:00"/>
    <n v="0"/>
    <s v="Tiempo en ralentí (Ignición: 1.00)"/>
    <x v="0"/>
    <s v="Válido"/>
  </r>
  <r>
    <x v="4"/>
    <s v="Vehicle, Diesel, ENE 6053 Zona III CAPEX SOT-SOC"/>
    <x v="2"/>
    <x v="2"/>
    <x v="2"/>
    <n v="0"/>
    <x v="5"/>
    <s v="Cra. 9 # 6A-34, La Candelaria, Bogotá, D.C., Bogotá, Bogotá, D.C., Colombia"/>
    <n v="0"/>
    <x v="44"/>
    <d v="2026-06-01T16:47:21"/>
    <d v="1899-12-30T00:00:09"/>
    <n v="0.12300074100494385"/>
    <s v="Exceso de velocidad (nuevo) (Velocidad máxima: 53 kmh (Velocidad máxima en carretera: 30 kmh))"/>
    <x v="29"/>
    <s v="Válido"/>
  </r>
  <r>
    <x v="4"/>
    <s v="Vehicle, Diesel, ENE 6053 Zona III CAPEX SOT-SOC"/>
    <x v="2"/>
    <x v="2"/>
    <x v="2"/>
    <n v="0"/>
    <x v="0"/>
    <s v="Cl. 11 #19A-33, Bogotá, Colombia"/>
    <n v="0"/>
    <x v="45"/>
    <d v="2026-06-01T18:42:40"/>
    <d v="1899-12-30T00:23:01"/>
    <n v="3.1781781581230462E-4"/>
    <s v="Tiempo en ralentí (Ignición: 1.00)"/>
    <x v="0"/>
    <s v="Válido"/>
  </r>
  <r>
    <x v="4"/>
    <s v="Vehicle, Diesel, ENE 6053 Zona III CAPEX SOT-SOC"/>
    <x v="2"/>
    <x v="2"/>
    <x v="2"/>
    <n v="0"/>
    <x v="5"/>
    <s v="Kr 13 #25-16, Bogotá, Colombia"/>
    <n v="0"/>
    <x v="46"/>
    <d v="2026-06-01T19:27:58"/>
    <d v="1899-12-30T00:00:09"/>
    <n v="8.088432252407074E-2"/>
    <s v="Exceso de velocidad (nuevo) (Velocidad máxima: 37 kmh (Velocidad máxima en carretera: 30 kmh))"/>
    <x v="23"/>
    <s v="Válido"/>
  </r>
  <r>
    <x v="4"/>
    <s v="Vehicle, Diesel, ENE 6053 Zona III CAPEX SOT-SOC"/>
    <x v="2"/>
    <x v="2"/>
    <x v="2"/>
    <n v="0"/>
    <x v="0"/>
    <s v="Cra. 7 #26, La Candelaria, Bogotá, Colombia"/>
    <n v="0"/>
    <x v="47"/>
    <d v="2026-06-01T19:32:54"/>
    <d v="1899-12-30T00:47:40"/>
    <n v="0"/>
    <s v="Tiempo en ralentí (Ignición: 1.00)"/>
    <x v="0"/>
    <s v="Válido"/>
  </r>
  <r>
    <x v="5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48"/>
    <d v="2026-06-01T06:21:30"/>
    <d v="1899-12-30T00:00:32"/>
    <n v="0.18355429172515869"/>
    <s v="Exceso Velocidad 10 Km/h (Velocidad máxima: 20 kmh)"/>
    <x v="30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49"/>
    <d v="2026-06-01T06:25:22"/>
    <d v="1899-12-30T00:00:04"/>
    <n v="1.3679411262273788E-2"/>
    <s v="Exceso Velocidad 10 Km/h (Velocidad máxima: 11 kmh)"/>
    <x v="31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50"/>
    <d v="2026-06-01T06:25:26"/>
    <d v="1899-12-30T00:00:31"/>
    <n v="0.11819932609796524"/>
    <s v="Exceso Velocidad 10 Km/h (Velocidad máxima: 16 kmh)"/>
    <x v="32"/>
    <s v="Válido"/>
  </r>
  <r>
    <x v="5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51"/>
    <d v="2026-06-01T07:01:02"/>
    <d v="1899-12-30T00:08:53"/>
    <n v="0"/>
    <s v="Tiempo en ralentí (Ignición: 1.00)"/>
    <x v="0"/>
    <s v="Válido"/>
  </r>
  <r>
    <x v="5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52"/>
    <d v="2026-06-01T07:10:18"/>
    <d v="1899-12-30T00:00:36"/>
    <n v="0.1068144291639328"/>
    <s v="Exceso Velocidad 10 Km/h (Velocidad máxima: 12 kmh)"/>
    <x v="33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53"/>
    <d v="2026-06-01T07:11:02"/>
    <d v="1899-12-30T00:00:02"/>
    <n v="5.2476390264928341E-3"/>
    <s v="Exceso Velocidad 10 Km/h (Velocidad máxima: 13 kmh)"/>
    <x v="34"/>
    <s v="Válido"/>
  </r>
  <r>
    <x v="5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54"/>
    <d v="2026-06-01T07:13:42"/>
    <d v="1899-12-30T00:00:27"/>
    <n v="0.18358427286148071"/>
    <s v="Exceso Velocidad 10 Km/h (Velocidad máxima: 25 kmh)"/>
    <x v="35"/>
    <s v="Válido"/>
  </r>
  <r>
    <x v="5"/>
    <s v="Vehicle, Diesel, Frontera Energy Col 2679"/>
    <x v="2"/>
    <x v="2"/>
    <x v="2"/>
    <n v="0"/>
    <x v="8"/>
    <s v="ECOPETROL RUBIALES- Quifa - CAÑO SUR, Puerto Triunfo - Estacion Policia: Puerto Gaitan - Rubiales, Puerto Gaitán, Meta, Colombia"/>
    <s v="Cliente, Vel Max 40 Km/h, Vel Max 30 Km/h"/>
    <x v="55"/>
    <d v="2026-06-01T07:18:30"/>
    <d v="1899-12-30T00:00:00"/>
    <n v="1.4320127775135916E-5"/>
    <s v="Aceleración brusca (Velocidad máxima: 8 kmh Aceleración hacia delante o frenado: 0.44 g-force, Ignición: 1.00)"/>
    <x v="36"/>
    <s v="Válido"/>
  </r>
  <r>
    <x v="5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56"/>
    <d v="2026-06-01T07:35:49"/>
    <d v="1899-12-30T00:00:00"/>
    <n v="9.5031637101783417E-6"/>
    <s v="Giro brusco (Velocidad máxima: 18 kmh Aceleración de lado a lado: -0.47 g-force, Ignición: 1.00)"/>
    <x v="37"/>
    <s v="Válido"/>
  </r>
  <r>
    <x v="5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57"/>
    <d v="2026-06-01T07:38:48"/>
    <d v="1899-12-30T00:00:33"/>
    <n v="0.18388620018959045"/>
    <s v="Exceso Velocidad 10 Km/h (Velocidad máxima: 22 kmh)"/>
    <x v="38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58"/>
    <d v="2026-06-01T07:42:13"/>
    <d v="1899-12-30T00:00:23"/>
    <n v="0.10585183650255203"/>
    <s v="Exceso Velocidad 10 Km/h (Velocidad máxima: 18 kmh)"/>
    <x v="39"/>
    <s v="Válido"/>
  </r>
  <r>
    <x v="5"/>
    <s v="Vehicle, Diesel, Frontera Energy Col 2679"/>
    <x v="2"/>
    <x v="2"/>
    <x v="2"/>
    <n v="0"/>
    <x v="1"/>
    <s v="ECOPETROL RUBIALES- Quifa - CAÑO SUR: Puerto Gaitan - Rubiales, Puerto Gaitán, Meta, Colombia"/>
    <s v="Cliente, Vel Max 40 Km/h"/>
    <x v="59"/>
    <d v="2026-06-01T07:59:48"/>
    <d v="1899-12-30T00:00:00"/>
    <n v="0"/>
    <s v="Frenado brusco (nuevo) (Clase de vehículo para métricas de seguridad: Otra clase (no estandarizada), Velocidad máxima: 21 kmh,  Ignición: 1)"/>
    <x v="40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60"/>
    <d v="2026-06-01T08:12:22"/>
    <d v="1899-12-30T00:02:14"/>
    <n v="0.51166272163391113"/>
    <s v="Exceso Velocidad 10 Km/h (Velocidad máxima: 18 kmh)"/>
    <x v="39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61"/>
    <d v="2026-06-01T08:14:39"/>
    <d v="1899-12-30T00:02:20"/>
    <n v="0.5166437029838562"/>
    <s v="Exceso Velocidad 10 Km/h (Velocidad máxima: 16 kmh)"/>
    <x v="32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62"/>
    <d v="2026-06-01T10:26:59"/>
    <d v="1899-12-30T00:00:02"/>
    <n v="4.5306063257157803E-3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63"/>
    <d v="2026-06-01T10:27:29"/>
    <d v="1899-12-30T00:00:04"/>
    <n v="9.4486996531486511E-3"/>
    <s v="Exceso Velocidad 10 Km/h (Velocidad máxima: 13 kmh)"/>
    <x v="34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64"/>
    <d v="2026-06-01T10:27:40"/>
    <d v="1899-12-30T00:00:02"/>
    <n v="4.9832682125270367E-3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65"/>
    <d v="2026-06-01T10:27:50"/>
    <d v="1899-12-30T00:00:26"/>
    <n v="7.5384125113487244E-2"/>
    <s v="Exceso Velocidad 10 Km/h (Velocidad máxima: 11 kmh)"/>
    <x v="31"/>
    <s v="Válido"/>
  </r>
  <r>
    <x v="5"/>
    <s v="Vehicle, Diesel, Frontera Energy Col 2679"/>
    <x v="2"/>
    <x v="2"/>
    <x v="2"/>
    <n v="0"/>
    <x v="0"/>
    <s v="ECOPETROL RUBIALES- Quifa - CAÑO SUR, BATERIA 4: Vía Sin Nombre, Puerto Gaitán, Meta, Colombia"/>
    <s v="Cliente, Vel Max 40 Km/h, Vel Max 10 Km/h"/>
    <x v="66"/>
    <d v="2026-06-01T10:29:05"/>
    <d v="1899-12-30T00:46:13"/>
    <n v="0"/>
    <s v="Tiempo en ralentí (Ignición: 1.00)"/>
    <x v="0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67"/>
    <d v="2026-06-01T11:16:31"/>
    <d v="1899-12-30T00:00:27"/>
    <n v="8.8347762823104858E-2"/>
    <s v="Exceso Velocidad 10 Km/h (Velocidad máxima: 13 kmh)"/>
    <x v="34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68"/>
    <d v="2026-06-01T11:17:05"/>
    <d v="1899-12-30T00:00:06"/>
    <n v="1.7473626881837845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69"/>
    <d v="2026-06-01T11:20:54"/>
    <d v="1899-12-30T00:00:28"/>
    <n v="8.322848379611969E-2"/>
    <s v="Exceso Velocidad 10 Km/h (Velocidad máxima: 13 kmh)"/>
    <x v="34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70"/>
    <d v="2026-06-01T11:21:27"/>
    <d v="1899-12-30T00:00:34"/>
    <n v="9.5633745193481445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71"/>
    <d v="2026-06-01T11:22:22"/>
    <d v="1899-12-30T00:00:56"/>
    <n v="0.17257057130336761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72"/>
    <d v="2026-06-01T11:24:40"/>
    <d v="1899-12-30T00:01:56"/>
    <n v="0.37788048386573792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73"/>
    <d v="2026-06-01T11:46:05"/>
    <d v="1899-12-30T00:00:45"/>
    <n v="0.13499197363853455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74"/>
    <d v="2026-06-01T11:47:14"/>
    <d v="1899-12-30T00:00:23"/>
    <n v="7.1353599429130554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75"/>
    <d v="2026-06-01T11:47:49"/>
    <d v="1899-12-30T00:00:28"/>
    <n v="9.4795040786266327E-2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76"/>
    <d v="2026-06-01T11:48:20"/>
    <d v="1899-12-30T00:00:17"/>
    <n v="4.8936162143945694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77"/>
    <d v="2026-06-01T11:48:37"/>
    <d v="1899-12-30T00:00:10"/>
    <n v="2.6549603790044785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78"/>
    <d v="2026-06-01T11:49:15"/>
    <d v="1899-12-30T00:00:13"/>
    <n v="3.3927489072084427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79"/>
    <d v="2026-06-01T11:49:42"/>
    <d v="1899-12-30T00:01:36"/>
    <n v="0.28936365246772766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80"/>
    <d v="2026-06-01T11:51:34"/>
    <d v="1899-12-30T00:00:32"/>
    <n v="8.8210344314575195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81"/>
    <d v="2026-06-01T11:57:33"/>
    <d v="1899-12-30T00:00:06"/>
    <n v="1.529239397495985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82"/>
    <d v="2026-06-01T11:57:56"/>
    <d v="1899-12-30T00:00:06"/>
    <n v="1.7692528665065765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83"/>
    <d v="2026-06-01T11:58:07"/>
    <d v="1899-12-30T00:01:26"/>
    <n v="0.38972482085227966"/>
    <s v="Exceso Velocidad 10 Km/h (Velocidad máxima: 24 kmh)"/>
    <x v="41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84"/>
    <d v="2026-06-01T11:59:43"/>
    <d v="1899-12-30T00:00:13"/>
    <n v="3.9317920804023743E-2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85"/>
    <d v="2026-06-01T11:59:56"/>
    <d v="1899-12-30T00:01:41"/>
    <n v="0.47662156820297241"/>
    <s v="Exceso Velocidad 10 Km/h (Velocidad máxima: 26 kmh)"/>
    <x v="42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86"/>
    <d v="2026-06-01T12:27:34"/>
    <d v="1899-12-30T00:01:58"/>
    <n v="0.42304325103759766"/>
    <s v="Exceso Velocidad 10 Km/h (Velocidad máxima: 17 kmh)"/>
    <x v="4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87"/>
    <d v="2026-06-01T12:29:45"/>
    <d v="1899-12-30T00:01:39"/>
    <n v="0.3373546302318573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88"/>
    <d v="2026-06-01T12:31:24"/>
    <d v="1899-12-30T00:00:31"/>
    <n v="8.8975057005882263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89"/>
    <d v="2026-06-01T12:31:55"/>
    <d v="1899-12-30T00:00:31"/>
    <n v="8.7675504386425018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90"/>
    <d v="2026-06-01T13:07:49"/>
    <d v="1899-12-30T00:01:05"/>
    <n v="0.20581527054309845"/>
    <s v="Exceso Velocidad 10 Km/h (Velocidad máxima: 13 kmh)"/>
    <x v="34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91"/>
    <d v="2026-06-01T13:12:13"/>
    <d v="1899-12-30T00:00:09"/>
    <n v="2.7107713744044304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92"/>
    <d v="2026-06-01T13:12:22"/>
    <d v="1899-12-30T00:00:12"/>
    <n v="3.6279886960983276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93"/>
    <d v="2026-06-01T13:13:10"/>
    <d v="1899-12-30T00:00:42"/>
    <n v="0.12689173221588135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94"/>
    <d v="2026-06-01T13:14:03"/>
    <d v="1899-12-30T00:00:04"/>
    <n v="1.2051924131810665E-2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95"/>
    <d v="2026-06-01T13:14:14"/>
    <d v="1899-12-30T00:00:18"/>
    <n v="5.0240051001310349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96"/>
    <d v="2026-06-01T15:29:10"/>
    <d v="1899-12-30T00:00:18"/>
    <n v="4.0991872549057007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97"/>
    <d v="2026-06-01T16:17:54"/>
    <d v="1899-12-30T00:00:04"/>
    <n v="1.1292950250208378E-2"/>
    <s v="Exceso Velocidad 10 Km/h (Velocidad máxima: 11 kmh)"/>
    <x v="31"/>
    <s v="Válido"/>
  </r>
  <r>
    <x v="5"/>
    <s v="Vehicle, Diesel, Frontera Energy Col 2679"/>
    <x v="2"/>
    <x v="2"/>
    <x v="2"/>
    <n v="0"/>
    <x v="7"/>
    <s v="ECOPETROL RUBIALES- Quifa - CAÑO SUR, BATERIA 4: Rb 4, Puerto Gaitán, Meta, Colombia"/>
    <s v="Cliente, Vel Max 40 Km/h, Vel Max 10 Km/h"/>
    <x v="98"/>
    <d v="2026-06-01T16:18:12"/>
    <d v="1899-12-30T00:00:00"/>
    <n v="2.088816836476326E-4"/>
    <s v="Giro brusco (Velocidad máxima: 4 kmh Aceleración de lado a lado: -0.57 g-force, Ignición: 1.00)"/>
    <x v="44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99"/>
    <d v="2026-06-01T16:18:17"/>
    <d v="1899-12-30T00:00:03"/>
    <n v="1.0381230153143406E-2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00"/>
    <d v="2026-06-01T16:18:26"/>
    <d v="1899-12-30T00:00:02"/>
    <n v="4.0662712417542934E-3"/>
    <s v="Exceso Velocidad 10 Km/h (Velocidad máxima: 11 kmh)"/>
    <x v="31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101"/>
    <d v="2026-06-01T16:18:45"/>
    <d v="1899-12-30T00:00:43"/>
    <n v="0.12583039700984955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102"/>
    <d v="2026-06-01T16:22:26"/>
    <d v="1899-12-30T00:00:10"/>
    <n v="2.8997115790843964E-2"/>
    <s v="Exceso Velocidad 10 Km/h (Velocidad máxima: 12 kmh)"/>
    <x v="33"/>
    <s v="Válido"/>
  </r>
  <r>
    <x v="5"/>
    <s v="Vehicle, Diesel, Frontera Energy Col 2679"/>
    <x v="2"/>
    <x v="2"/>
    <x v="2"/>
    <n v="0"/>
    <x v="0"/>
    <s v="ECOPETROL RUBIALES- Quifa - CAÑO SUR, BATERIA 4: Rb 4, Puerto Gaitán, Meta, Colombia"/>
    <s v="Cliente, Vel Max 40 Km/h, Vel Max 10 Km/h"/>
    <x v="103"/>
    <d v="2026-06-01T16:23:11"/>
    <d v="1899-12-30T00:08:25"/>
    <n v="0"/>
    <s v="Tiempo en ralentí (Ignición: 1.00)"/>
    <x v="0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04"/>
    <d v="2026-06-01T16:31:51"/>
    <d v="1899-12-30T00:02:03"/>
    <n v="0.42664322257041931"/>
    <s v="Exceso Velocidad 10 Km/h (Velocidad máxima: 13 kmh)"/>
    <x v="34"/>
    <s v="Válido"/>
  </r>
  <r>
    <x v="5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05"/>
    <d v="2026-06-01T16:33:59"/>
    <d v="1899-12-30T00:00:22"/>
    <n v="6.5492600202560425E-2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06"/>
    <d v="2026-06-01T16:34:40"/>
    <d v="1899-12-30T00:00:08"/>
    <n v="2.4206826463341713E-2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07"/>
    <d v="2026-06-01T16:36:15"/>
    <d v="1899-12-30T00:00:03"/>
    <n v="7.007804699242115E-3"/>
    <s v="Exceso Velocidad 10 Km/h (Velocidad máxima: 12 kmh)"/>
    <x v="33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08"/>
    <d v="2026-06-01T16:36:22"/>
    <d v="1899-12-30T00:00:34"/>
    <n v="0.11764762550592422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109"/>
    <d v="2026-06-01T16:37:04"/>
    <d v="1899-12-30T00:01:50"/>
    <n v="0.35870605707168579"/>
    <s v="Exceso Velocidad 10 Km/h (Velocidad máxima: 13 kmh)"/>
    <x v="34"/>
    <s v="Válido"/>
  </r>
  <r>
    <x v="5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110"/>
    <d v="2026-06-01T16:50:51"/>
    <d v="1899-12-30T00:07:59"/>
    <n v="1.3223888527136296E-4"/>
    <s v="Tiempo en ralentí (Ignición: 1.00)"/>
    <x v="0"/>
    <s v="Válido"/>
  </r>
  <r>
    <x v="5"/>
    <s v="Vehicle, Diesel, Frontera Energy Col 2679"/>
    <x v="2"/>
    <x v="2"/>
    <x v="2"/>
    <n v="0"/>
    <x v="9"/>
    <s v="ECOPETROL RUBIALES- Quifa - CAÑO SUR: Puerto Gaitan - Rubiales, Puerto Gaitán, Meta, Colombia"/>
    <s v="Cliente, Vel Max 40 Km/h"/>
    <x v="111"/>
    <d v="2026-06-01T16:59:36"/>
    <d v="1899-12-30T00:00:08"/>
    <n v="4.4498056173324585E-2"/>
    <s v="Uso del cinturón de seguridad (Velocidad máxima: 24 kmh Cinturón de seguridad del conductor (1. Desabrochado): 1.00)"/>
    <x v="45"/>
    <s v="Válido"/>
  </r>
  <r>
    <x v="5"/>
    <s v="Vehicle, Diesel, Frontera Energy Col 2679"/>
    <x v="2"/>
    <x v="2"/>
    <x v="2"/>
    <n v="0"/>
    <x v="1"/>
    <s v="ECOPETROL RUBIALES- Quifa - CAÑO SUR: Puerto Gaitan - Rubiales, Puerto Gaitán, Meta, Colombia"/>
    <s v="Cliente, Vel Max 40 Km/h"/>
    <x v="112"/>
    <d v="2026-06-01T17:09:39"/>
    <d v="1899-12-30T00:00:00"/>
    <n v="0"/>
    <s v="Frenado brusco (nuevo) (Clase de vehículo para métricas de seguridad: Otra clase (no estandarizada), Velocidad máxima: 15 kmh,  Ignición: 1)"/>
    <x v="46"/>
    <s v="Válido"/>
  </r>
  <r>
    <x v="5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113"/>
    <d v="2026-06-01T17:18:43"/>
    <d v="1899-12-30T00:00:02"/>
    <n v="1.6746198758482933E-2"/>
    <s v="Exceso Velocidad 40 Km/h (Velocidad máxima: 41 kmh)"/>
    <x v="47"/>
    <s v="Válido"/>
  </r>
  <r>
    <x v="5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14"/>
    <d v="2026-06-01T17:27:01"/>
    <d v="1899-12-30T00:00:25"/>
    <n v="0.11328008025884628"/>
    <s v="Exceso Velocidad 10 Km/h (Velocidad máxima: 18 kmh)"/>
    <x v="39"/>
    <s v="Válido"/>
  </r>
  <r>
    <x v="5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15"/>
    <d v="2026-06-01T17:27:26"/>
    <d v="1899-12-30T00:00:12"/>
    <n v="4.8398774117231369E-2"/>
    <s v="Exceso Velocidad 10 Km/h (Velocidad máxima: 17 kmh)"/>
    <x v="43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16"/>
    <d v="2026-06-01T17:29:40"/>
    <d v="1899-12-30T00:00:42"/>
    <n v="0.12297337502241135"/>
    <s v="Exceso Velocidad 10 Km/h (Velocidad máxima: 12 kmh)"/>
    <x v="33"/>
    <s v="Válido"/>
  </r>
  <r>
    <x v="5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117"/>
    <d v="2026-06-01T17:32:42"/>
    <d v="1899-12-30T00:00:14"/>
    <n v="3.4538432955741882E-2"/>
    <s v="Exceso Velocidad 10 Km/h (Velocidad máxima: 11 kmh)"/>
    <x v="31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18"/>
    <d v="2026-06-01T18:22:36"/>
    <d v="1899-12-30T00:00:04"/>
    <n v="1.1888864450156689E-2"/>
    <s v="Exceso Velocidad 10 Km/h (Velocidad máxima: 13 kmh)"/>
    <x v="34"/>
    <s v="Válido"/>
  </r>
  <r>
    <x v="5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19"/>
    <d v="2026-06-01T18:26:01"/>
    <d v="1899-12-30T00:00:35"/>
    <n v="0.18333487212657928"/>
    <s v="Exceso Velocidad 10 Km/h (Velocidad máxima: 21 kmh)"/>
    <x v="48"/>
    <s v="Válido"/>
  </r>
  <r>
    <x v="5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20"/>
    <d v="2026-06-01T20:20:07"/>
    <d v="1899-12-30T00:00:28"/>
    <n v="0.18356221914291382"/>
    <s v="Exceso Velocidad 10 Km/h (Velocidad máxima: 25 kmh)"/>
    <x v="35"/>
    <s v="Válido"/>
  </r>
  <r>
    <x v="5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1"/>
    <d v="2026-06-01T20:21:39"/>
    <d v="1899-12-30T00:00:01"/>
    <n v="4.4034449383616447E-3"/>
    <s v="Exceso Velocidad 30 Km/h (Velocidad máxima: 31 kmh)"/>
    <x v="49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22"/>
    <d v="2026-06-01T20:23:15"/>
    <d v="1899-12-30T00:00:03"/>
    <n v="7.307850755751133E-3"/>
    <s v="Exceso Velocidad 10 Km/h (Velocidad máxima: 13 kmh)"/>
    <x v="34"/>
    <s v="Válido"/>
  </r>
  <r>
    <x v="5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23"/>
    <d v="2026-06-01T20:23:53"/>
    <d v="1899-12-30T00:00:22"/>
    <n v="7.6544187963008881E-2"/>
    <s v="Exceso Velocidad 10 Km/h (Velocidad máxima: 14 kmh)"/>
    <x v="10"/>
    <s v="Válido"/>
  </r>
  <r>
    <x v="5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24"/>
    <d v="2026-06-01T20:31:22"/>
    <d v="1899-12-30T00:00:25"/>
    <n v="0.18289859592914581"/>
    <s v="Exceso Velocidad 10 Km/h (Velocidad máxima: 26 kmh)"/>
    <x v="42"/>
    <s v="Válido"/>
  </r>
  <r>
    <x v="6"/>
    <s v="Vehicle, Diesel, Frontera Energy Col 2679"/>
    <x v="3"/>
    <x v="3"/>
    <x v="3"/>
    <s v="Rubiales"/>
    <x v="0"/>
    <s v="ECOPETROL RUBIALES- Quifa - CAÑO SUR, Puerto Triunfo - Estacion Policia: Puerto Gaitan - Rubiales, Puerto Gaitán, Meta, Colombia"/>
    <s v="Cliente, Vel Max 40 Km/h, Vel Max 30 Km/h"/>
    <x v="125"/>
    <d v="2026-06-01T06:59:32"/>
    <d v="1899-12-30T00:05:18"/>
    <n v="5.3340056183515117E-5"/>
    <s v="Tiempo en ralentí (Ignición: 1.00)"/>
    <x v="0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26"/>
    <d v="2026-06-01T07:09:40"/>
    <d v="1899-12-30T00:00:29"/>
    <n v="0.18289376795291901"/>
    <s v="Exceso Velocidad 10 Km/h (Velocidad máxima: 25 kmh)"/>
    <x v="35"/>
    <s v="Válido"/>
  </r>
  <r>
    <x v="6"/>
    <s v="Vehicle, Diesel, Frontera Energy Col 2679"/>
    <x v="3"/>
    <x v="3"/>
    <x v="3"/>
    <s v="Rubiales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127"/>
    <d v="2026-06-01T07:13:40"/>
    <d v="1899-12-30T00:00:12"/>
    <n v="3.6603514105081558E-2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CAMPAMENTO QUIFA, ECOPETROL RUBIALES- Quifa - CAÑO SUR, Puerto Triunfo - Estacion Policia: Puerto Gaitan - Rubiales, Puerto Gaitán, Meta, Colombia"/>
    <s v="Vel Max 10 Km/h, Cliente, Vel Max 40 Km/h, Vel Max 30 Km/h"/>
    <x v="128"/>
    <d v="2026-06-01T07:14:00"/>
    <d v="1899-12-30T00:00:09"/>
    <n v="3.0579600483179092E-2"/>
    <s v="Exceso Velocidad 10 Km/h (Velocidad máxima: 14 kmh)"/>
    <x v="10"/>
    <s v="Válido"/>
  </r>
  <r>
    <x v="6"/>
    <s v="Vehicle, Diesel, Frontera Energy Col 2679"/>
    <x v="3"/>
    <x v="3"/>
    <x v="3"/>
    <s v="Rubiales"/>
    <x v="10"/>
    <s v="ECOPETROL RUBIALES- Quifa - CAÑO SUR: Puerto Gaitan - Rubiales, Puerto Gaitán, Meta, Colombia"/>
    <s v="Cliente, Vel Max 40 Km/h"/>
    <x v="129"/>
    <d v="2026-06-01T07:30:11"/>
    <d v="1899-12-30T00:00:02"/>
    <n v="2.3334033787250519E-2"/>
    <s v="Exceso Velocidad 40 Km/h (Velocidad máxima: 41 kmh)"/>
    <x v="47"/>
    <s v="Válido"/>
  </r>
  <r>
    <x v="6"/>
    <s v="Vehicle, Diesel, Frontera Energy Col 2679"/>
    <x v="3"/>
    <x v="3"/>
    <x v="3"/>
    <s v="Rubiales"/>
    <x v="10"/>
    <s v="ECOPETROL RUBIALES- Quifa - CAÑO SUR: Puerto Gaitan - Rubiales, Puerto Gaitán, Meta, Colombia"/>
    <s v="Cliente, Vel Max 40 Km/h"/>
    <x v="130"/>
    <d v="2026-06-01T07:31:42"/>
    <d v="1899-12-30T00:00:02"/>
    <n v="2.394549548625946E-2"/>
    <s v="Exceso Velocidad 40 Km/h (Velocidad máxima: 41 kmh)"/>
    <x v="47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31"/>
    <d v="2026-06-01T07:50:32"/>
    <d v="1899-12-30T00:00:10"/>
    <n v="2.5780469179153442E-2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32"/>
    <d v="2026-06-01T07:51:28"/>
    <d v="1899-12-30T00:00:35"/>
    <n v="9.9535435438156128E-2"/>
    <s v="Exceso Velocidad 10 Km/h (Velocidad máxima: 12 kmh)"/>
    <x v="33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33"/>
    <d v="2026-06-01T07:54:01"/>
    <d v="1899-12-30T00:00:21"/>
    <n v="6.1212349683046341E-2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34"/>
    <d v="2026-06-01T07:54:37"/>
    <d v="1899-12-30T00:00:47"/>
    <n v="0.13350094854831696"/>
    <s v="Exceso Velocidad 10 Km/h (Velocidad máxima: 12 kmh)"/>
    <x v="33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35"/>
    <d v="2026-06-01T11:23:08"/>
    <d v="1899-12-30T00:04:39"/>
    <n v="1.0362744331359863"/>
    <s v="Exceso Velocidad 10 Km/h (Velocidad máxima: 16 kmh)"/>
    <x v="32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36"/>
    <d v="2026-06-01T11:50:20"/>
    <d v="1899-12-30T00:01:23"/>
    <n v="0.28003722429275513"/>
    <s v="Exceso Velocidad 10 Km/h (Velocidad máxima: 15 kmh)"/>
    <x v="50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37"/>
    <d v="2026-06-01T11:51:43"/>
    <d v="1899-12-30T00:01:05"/>
    <n v="0.21594990789890289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38"/>
    <d v="2026-06-01T11:52:48"/>
    <d v="1899-12-30T00:02:21"/>
    <n v="0.52000302076339722"/>
    <s v="Exceso Velocidad 10 Km/h (Velocidad máxima: 16 kmh)"/>
    <x v="32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39"/>
    <d v="2026-06-01T11:57:04"/>
    <d v="1899-12-30T00:00:21"/>
    <n v="6.6771820187568665E-2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40"/>
    <d v="2026-06-01T11:57:29"/>
    <d v="1899-12-30T00:00:22"/>
    <n v="6.8583212792873383E-2"/>
    <s v="Exceso Velocidad 10 Km/h (Velocidad máxima: 13 kmh)"/>
    <x v="34"/>
    <s v="Válido"/>
  </r>
  <r>
    <x v="6"/>
    <s v="Vehicle, Diesel, Frontera Energy Col 2679"/>
    <x v="3"/>
    <x v="3"/>
    <x v="3"/>
    <s v="Rubiales"/>
    <x v="4"/>
    <s v="ECOPETROL RUBIALES- Quifa - CAÑO SUR, BATERIA 4: Vía Sin Nombre, Puerto Gaitán, Meta, Colombia"/>
    <s v="Cliente, Vel Max 40 Km/h, Vel Max 10 Km/h"/>
    <x v="141"/>
    <d v="2026-06-01T11:57:51"/>
    <d v="1899-12-30T00:01:26"/>
    <n v="0.30639755725860596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42"/>
    <d v="2026-06-01T11:59:29"/>
    <d v="1899-12-30T00:00:05"/>
    <n v="1.2888935394585133E-2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43"/>
    <d v="2026-06-01T12:02:16"/>
    <d v="1899-12-30T00:00:12"/>
    <n v="3.3409480005502701E-2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44"/>
    <d v="2026-06-01T12:02:28"/>
    <d v="1899-12-30T00:02:06"/>
    <n v="0.47833913564682007"/>
    <s v="Exceso Velocidad 10 Km/h (Velocidad máxima: 16 kmh)"/>
    <x v="32"/>
    <s v="Válido"/>
  </r>
  <r>
    <x v="6"/>
    <s v="Vehicle, Diesel, Frontera Energy Col 2679"/>
    <x v="3"/>
    <x v="3"/>
    <x v="3"/>
    <s v="Rubiales"/>
    <x v="0"/>
    <s v="ECOPETROL RUBIALES- Quifa - CAÑO SUR: Rb 4 324 126 129 195 14 325 316 143 217 1 26 523 256 28, Meta, 502057, Colombia"/>
    <s v="Cliente, Vel Max 40 Km/h"/>
    <x v="145"/>
    <d v="2026-06-01T12:05:30"/>
    <d v="1899-12-30T00:09:55"/>
    <n v="5.3340056183515117E-5"/>
    <s v="Tiempo en ralentí (Ignición: 1.00)"/>
    <x v="0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46"/>
    <d v="2026-06-01T12:16:21"/>
    <d v="1899-12-30T00:00:07"/>
    <n v="2.0059186965227127E-2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47"/>
    <d v="2026-06-01T12:16:41"/>
    <d v="1899-12-30T00:01:11"/>
    <n v="0.24263708293437958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48"/>
    <d v="2026-06-01T12:17:58"/>
    <d v="1899-12-30T00:00:48"/>
    <n v="0.15103155374526978"/>
    <s v="Exceso Velocidad 10 Km/h (Velocidad máxima: 13 kmh)"/>
    <x v="34"/>
    <s v="Válido"/>
  </r>
  <r>
    <x v="6"/>
    <s v="Vehicle, Diesel, Frontera Energy Col 2679"/>
    <x v="3"/>
    <x v="3"/>
    <x v="3"/>
    <s v="Rubiales"/>
    <x v="0"/>
    <s v="ECOPETROL RUBIALES- Quifa - CAÑO SUR, BATERIA 4: Rb 4 324 126 129 195 14 325 316 143 217 1 26 523 256 28, Meta, 502057, Colombia"/>
    <s v="Cliente, Vel Max 40 Km/h, Vel Max 10 Km/h"/>
    <x v="149"/>
    <d v="2026-06-01T12:19:05"/>
    <d v="1899-12-30T00:06:37"/>
    <n v="0"/>
    <s v="Tiempo en ralentí (Ignición: 1.00)"/>
    <x v="0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50"/>
    <d v="2026-06-01T12:26:30"/>
    <d v="1899-12-30T00:00:04"/>
    <n v="1.023205928504467E-2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51"/>
    <d v="2026-06-01T12:26:46"/>
    <d v="1899-12-30T00:02:23"/>
    <n v="0.50029420852661133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52"/>
    <d v="2026-06-01T13:10:11"/>
    <d v="1899-12-30T00:00:36"/>
    <n v="0.12375166267156601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53"/>
    <d v="2026-06-01T13:10:55"/>
    <d v="1899-12-30T00:00:40"/>
    <n v="0.14864590764045715"/>
    <s v="Exceso Velocidad 10 Km/h (Velocidad máxima: 15 kmh)"/>
    <x v="50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54"/>
    <d v="2026-06-01T13:12:02"/>
    <d v="1899-12-30T00:00:27"/>
    <n v="9.3345850706100464E-2"/>
    <s v="Exceso Velocidad 10 Km/h (Velocidad máxima: 12 kmh)"/>
    <x v="33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155"/>
    <d v="2026-06-01T13:12:32"/>
    <d v="1899-12-30T00:00:21"/>
    <n v="7.6604530215263367E-2"/>
    <s v="Exceso Velocidad 10 Km/h (Velocidad máxima: 16 kmh)"/>
    <x v="32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56"/>
    <d v="2026-06-01T13:13:08"/>
    <d v="1899-12-30T00:00:19"/>
    <n v="5.4767552763223648E-2"/>
    <s v="Exceso Velocidad 10 Km/h (Velocidad máxima: 14 kmh)"/>
    <x v="10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57"/>
    <d v="2026-06-01T13:13:27"/>
    <d v="1899-12-30T00:00:15"/>
    <n v="4.8890005797147751E-2"/>
    <s v="Exceso Velocidad 10 Km/h (Velocidad máxima: 12 kmh)"/>
    <x v="33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158"/>
    <d v="2026-06-01T13:13:51"/>
    <d v="1899-12-30T00:00:06"/>
    <n v="1.5077591873705387E-2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159"/>
    <d v="2026-06-01T13:13:57"/>
    <d v="1899-12-30T00:01:48"/>
    <n v="0.44743594527244568"/>
    <s v="Exceso Velocidad 10 Km/h (Velocidad máxima: 18 kmh)"/>
    <x v="39"/>
    <s v="Válido"/>
  </r>
  <r>
    <x v="6"/>
    <s v="Vehicle, Diesel, Frontera Energy Col 2679"/>
    <x v="3"/>
    <x v="3"/>
    <x v="3"/>
    <s v="Rubiales"/>
    <x v="10"/>
    <s v="ECOPETROL RUBIALES- Quifa - CAÑO SUR: Rb 280 320 4 324 126 129 195 14 325 316 143 217 1 26 523 256 28, Puerto Gaitán, Meta, Colombia"/>
    <s v="Cliente, Vel Max 40 Km/h"/>
    <x v="160"/>
    <d v="2026-06-01T13:21:01"/>
    <d v="1899-12-30T00:00:06"/>
    <n v="6.6365189850330353E-2"/>
    <s v="Exceso Velocidad 40 Km/h (Velocidad máxima: 42 kmh)"/>
    <x v="51"/>
    <s v="Válido"/>
  </r>
  <r>
    <x v="6"/>
    <s v="Vehicle, Diesel, Frontera Energy Col 2679"/>
    <x v="3"/>
    <x v="3"/>
    <x v="3"/>
    <s v="Rubiales"/>
    <x v="7"/>
    <s v="ECOPETROL RUBIALES- Quifa - CAÑO SUR: Puerto Gaitan - Rubiales, Puerto Gaitán, Meta, Colombia"/>
    <s v="Cliente, Vel Max 40 Km/h"/>
    <x v="161"/>
    <d v="2026-06-01T13:34:39"/>
    <d v="1899-12-30T00:00:00"/>
    <n v="4.6137945901136845E-5"/>
    <s v="Giro brusco (Velocidad máxima: 13 kmh Aceleración de lado a lado: -0.48 g-force, Ignición: 1.00)"/>
    <x v="52"/>
    <s v="Válido"/>
  </r>
  <r>
    <x v="6"/>
    <s v="Vehicle, Diesel, Frontera Energy Col 2679"/>
    <x v="3"/>
    <x v="3"/>
    <x v="3"/>
    <s v="Rubiales"/>
    <x v="7"/>
    <s v="ECOPETROL RUBIALES- Quifa - CAÑO SUR: Qf 12 48 36 79 Dw1, Puerto Gaitán, Meta, Colombia"/>
    <s v="Cliente, Vel Max 40 Km/h"/>
    <x v="162"/>
    <d v="2026-06-01T13:49:19"/>
    <d v="1899-12-30T00:00:00"/>
    <n v="8.1992322520818561E-5"/>
    <s v="Giro brusco (Velocidad máxima: 27 kmh Aceleración de lado a lado: -0.49 g-force, Ignición: 1.00)"/>
    <x v="53"/>
    <s v="Válido"/>
  </r>
  <r>
    <x v="6"/>
    <s v="Vehicle, Diesel, Frontera Energy Col 2679"/>
    <x v="3"/>
    <x v="3"/>
    <x v="3"/>
    <s v="Rubiales"/>
    <x v="10"/>
    <s v="ECOPETROL RUBIALES- Quifa - CAÑO SUR: Qf 12 48 36 79 Dw1, Puerto Gaitán, Meta, Colombia"/>
    <s v="Cliente, Vel Max 40 Km/h"/>
    <x v="163"/>
    <d v="2026-06-01T13:49:32"/>
    <d v="1899-12-30T00:00:11"/>
    <n v="0.13103482127189636"/>
    <s v="Exceso Velocidad 40 Km/h (Velocidad máxima: 44 kmh)"/>
    <x v="54"/>
    <s v="Válido"/>
  </r>
  <r>
    <x v="6"/>
    <s v="Vehicle, Diesel, Frontera Energy Col 2679"/>
    <x v="3"/>
    <x v="3"/>
    <x v="3"/>
    <s v="Rubiales"/>
    <x v="10"/>
    <s v="ECOPETROL RUBIALES- Quifa - CAÑO SUR: Qf 48 36 79 Dw1, Puerto Gaitán, Meta, Colombia"/>
    <s v="Cliente, Vel Max 40 Km/h"/>
    <x v="164"/>
    <d v="2026-06-01T13:51:53"/>
    <d v="1899-12-30T00:00:05"/>
    <n v="5.212850496172905E-2"/>
    <s v="Exceso Velocidad 40 Km/h (Velocidad máxima: 41 kmh)"/>
    <x v="47"/>
    <s v="Válido"/>
  </r>
  <r>
    <x v="6"/>
    <s v="Vehicle, Diesel, Frontera Energy Col 2679"/>
    <x v="3"/>
    <x v="3"/>
    <x v="3"/>
    <s v="Rubiales"/>
    <x v="10"/>
    <s v="ECOPETROL RUBIALES- Quifa - CAÑO SUR: Qf 48 36 79 Dw1, Puerto Gaitán, Meta, Colombia"/>
    <s v="Cliente, Vel Max 40 Km/h"/>
    <x v="165"/>
    <d v="2026-06-01T13:52:45"/>
    <d v="1899-12-30T00:00:07"/>
    <n v="7.609722763299942E-2"/>
    <s v="Exceso Velocidad 40 Km/h (Velocidad máxima: 44 kmh)"/>
    <x v="54"/>
    <s v="Válido"/>
  </r>
  <r>
    <x v="6"/>
    <s v="Vehicle, Diesel, Frontera Energy Col 2679"/>
    <x v="3"/>
    <x v="3"/>
    <x v="3"/>
    <s v="Rubiales"/>
    <x v="10"/>
    <s v="ECOPETROL RUBIALES- Quifa - CAÑO SUR: Qf 48 36 79 Dw1, Puerto Gaitán, Meta, Colombia"/>
    <s v="Cliente, Vel Max 40 Km/h"/>
    <x v="166"/>
    <d v="2026-06-01T13:53:10"/>
    <d v="1899-12-30T00:00:08"/>
    <n v="8.4801800549030304E-2"/>
    <s v="Exceso Velocidad 40 Km/h (Velocidad máxima: 41 kmh)"/>
    <x v="47"/>
    <s v="Válido"/>
  </r>
  <r>
    <x v="6"/>
    <s v="Vehicle, Diesel, Frontera Energy Col 2679"/>
    <x v="3"/>
    <x v="3"/>
    <x v="3"/>
    <s v="Rubiales"/>
    <x v="10"/>
    <s v="ECOPETROL RUBIALES- Quifa - CAÑO SUR: Qf 48 36 79 Dw1, Puerto Gaitán, Meta, Colombia"/>
    <s v="Cliente, Vel Max 40 Km/h"/>
    <x v="167"/>
    <d v="2026-06-01T14:06:54"/>
    <d v="1899-12-30T00:00:05"/>
    <n v="4.8191048204898834E-2"/>
    <s v="Exceso Velocidad 40 Km/h (Velocidad máxima: 41 kmh)"/>
    <x v="47"/>
    <s v="Válido"/>
  </r>
  <r>
    <x v="6"/>
    <s v="Vehicle, Diesel, Frontera Energy Col 2679"/>
    <x v="3"/>
    <x v="3"/>
    <x v="3"/>
    <s v="Rubiales"/>
    <x v="10"/>
    <s v="ECOPETROL RUBIALES- Quifa - CAÑO SUR: Qf 12 48 36 79 Dw1, Puerto Gaitán, Meta, Colombia"/>
    <s v="Cliente, Vel Max 40 Km/h"/>
    <x v="168"/>
    <d v="2026-06-01T14:10:16"/>
    <d v="1899-12-30T00:00:06"/>
    <n v="6.3590884208679199E-2"/>
    <s v="Exceso Velocidad 40 Km/h (Velocidad máxima: 41 kmh)"/>
    <x v="47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69"/>
    <d v="2026-06-01T14:12:48"/>
    <d v="1899-12-30T00:00:04"/>
    <n v="3.867219015955925E-2"/>
    <s v="Exceso Velocidad 30 Km/h (Velocidad máxima: 37 kmh)"/>
    <x v="55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70"/>
    <d v="2026-06-01T14:13:00"/>
    <d v="1899-12-30T00:00:03"/>
    <n v="2.8652079403400421E-2"/>
    <s v="Exceso Velocidad 30 Km/h (Velocidad máxima: 33 kmh)"/>
    <x v="56"/>
    <s v="Válido"/>
  </r>
  <r>
    <x v="6"/>
    <s v="Vehicle, Diesel, Frontera Energy Col 2679"/>
    <x v="3"/>
    <x v="3"/>
    <x v="3"/>
    <s v="Rubiales"/>
    <x v="4"/>
    <s v="CAMPAMENTO QUIFA, ECOPETROL RUBIALES- Quifa - CAÑO SUR, Puerto Triunfo - Estacion Policia: Puerto Gaitan - Rubiales, Puerto Gaitán, Meta, Colombia"/>
    <s v="Vel Max 10 Km/h, Cliente, Vel Max 40 Km/h, Vel Max 30 Km/h"/>
    <x v="171"/>
    <d v="2026-06-01T14:14:00"/>
    <d v="1899-12-30T00:00:21"/>
    <n v="9.8465338349342346E-2"/>
    <s v="Exceso Velocidad 10 Km/h (Velocidad máxima: 23 kmh)"/>
    <x v="5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72"/>
    <d v="2026-06-01T14:14:55"/>
    <d v="1899-12-30T00:00:28"/>
    <n v="0.24966175854206085"/>
    <s v="Exceso Velocidad 30 Km/h (Velocidad máxima: 33 kmh)"/>
    <x v="56"/>
    <s v="Válido"/>
  </r>
  <r>
    <x v="6"/>
    <s v="Vehicle, Diesel, Frontera Energy Col 2679"/>
    <x v="3"/>
    <x v="3"/>
    <x v="3"/>
    <s v="Rubiales"/>
    <x v="7"/>
    <s v="ECOPETROL RUBIALES- Quifa - CAÑO SUR, Puerto Triunfo - Estacion Policia: Puerto Gaitan - Rubiales, Puerto Gaitán, Meta, Colombia"/>
    <s v="Cliente, Vel Max 40 Km/h, Vel Max 30 Km/h"/>
    <x v="173"/>
    <d v="2026-06-01T14:15:33"/>
    <d v="1899-12-30T00:00:00"/>
    <n v="8.2457181633799337E-6"/>
    <s v="Giro brusco (Velocidad máxima: 13 kmh Aceleración de lado a lado: 0.47 g-force, Ignición: 1.00)"/>
    <x v="57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74"/>
    <d v="2026-06-01T14:17:07"/>
    <d v="1899-12-30T00:00:23"/>
    <n v="0.18344235420227051"/>
    <s v="Exceso Velocidad 10 Km/h (Velocidad máxima: 29 kmh)"/>
    <x v="58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75"/>
    <d v="2026-06-01T14:17:35"/>
    <d v="1899-12-30T00:00:36"/>
    <n v="0.32632294297218323"/>
    <s v="Exceso Velocidad 30 Km/h (Velocidad máxima: 33 kmh)"/>
    <x v="56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76"/>
    <d v="2026-06-01T14:18:19"/>
    <d v="1899-12-30T00:00:03"/>
    <n v="2.2902080789208412E-2"/>
    <s v="Exceso Velocidad 30 Km/h (Velocidad máxima: 31 kmh)"/>
    <x v="49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77"/>
    <d v="2026-06-01T14:18:47"/>
    <d v="1899-12-30T00:00:10"/>
    <n v="8.3806157112121582E-2"/>
    <s v="Exceso Velocidad 30 Km/h (Velocidad máxima: 33 kmh)"/>
    <x v="56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78"/>
    <d v="2026-06-01T14:19:27"/>
    <d v="1899-12-30T00:00:01"/>
    <n v="1.1196726933121681E-2"/>
    <s v="Exceso Velocidad 30 Km/h (Velocidad máxima: 31 kmh)"/>
    <x v="49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79"/>
    <d v="2026-06-01T14:19:36"/>
    <d v="1899-12-30T00:00:23"/>
    <n v="0.19885639846324921"/>
    <s v="Exceso Velocidad 30 Km/h (Velocidad máxima: 33 kmh)"/>
    <x v="56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80"/>
    <d v="2026-06-01T14:20:15"/>
    <d v="1899-12-30T00:00:11"/>
    <n v="9.8271414637565613E-2"/>
    <s v="Exceso Velocidad 30 Km/h (Velocidad máxima: 35 kmh)"/>
    <x v="59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81"/>
    <d v="2026-06-01T14:21:31"/>
    <d v="1899-12-30T00:00:02"/>
    <n v="1.1803912930190563E-2"/>
    <s v="Exceso Velocidad 30 Km/h (Velocidad máxima: 31 kmh)"/>
    <x v="49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82"/>
    <d v="2026-06-01T14:24:32"/>
    <d v="1899-12-30T00:00:10"/>
    <n v="9.4867855310440063E-2"/>
    <s v="Exceso Velocidad 30 Km/h (Velocidad máxima: 33 kmh)"/>
    <x v="56"/>
    <s v="Válido"/>
  </r>
  <r>
    <x v="6"/>
    <s v="Vehicle, Diesel, Frontera Energy Col 2679"/>
    <x v="3"/>
    <x v="3"/>
    <x v="3"/>
    <s v="Rubiales"/>
    <x v="11"/>
    <s v="ECOPETROL RUBIALES- Quifa - CAÑO SUR, Puerto Triunfo - Estacion Policia: Km 128 +500, Lavadero De Autos EL OASIS, Puerto Gaitan - Rubiales, Puerto Gaitán, Meta, Colombia"/>
    <s v="Cliente, Vel Max 40 Km/h, Vel Max 30 Km/h"/>
    <x v="183"/>
    <d v="2026-06-01T14:24:56"/>
    <d v="1899-12-30T00:00:06"/>
    <n v="4.9306999891996384E-2"/>
    <s v="Exceso Velocidad 30 Km/h (Velocidad máxima: 33 kmh)"/>
    <x v="56"/>
    <s v="Válido"/>
  </r>
  <r>
    <x v="6"/>
    <s v="Vehicle, Diesel, Frontera Energy Col 2679"/>
    <x v="3"/>
    <x v="3"/>
    <x v="3"/>
    <s v="Rubiales"/>
    <x v="7"/>
    <s v="ECOPETROL RUBIALES- Quifa - CAÑO SUR, Puerto Triunfo - Estacion Policia: vereda puerto triunfo Km 129+300 vía rubiales, Puerto Gaitán, Meta, Colombia"/>
    <s v="Cliente, Vel Max 40 Km/h, Vel Max 30 Km/h"/>
    <x v="184"/>
    <d v="2026-06-01T17:54:04"/>
    <d v="1899-12-30T00:00:00"/>
    <n v="7.9390098107978702E-5"/>
    <s v="Giro brusco (Velocidad máxima: 13 kmh Aceleración de lado a lado: 0.49 g-force, Ignición: 1.00)"/>
    <x v="60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85"/>
    <d v="2026-06-01T17:58:00"/>
    <d v="1899-12-30T00:00:11"/>
    <n v="8.8279493153095245E-2"/>
    <s v="Exceso Velocidad 30 Km/h (Velocidad máxima: 31 kmh)"/>
    <x v="49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86"/>
    <d v="2026-06-01T17:58:31"/>
    <d v="1899-12-30T00:00:03"/>
    <n v="2.6886800304055214E-2"/>
    <s v="Exceso Velocidad 30 Km/h (Velocidad máxima: 31 kmh)"/>
    <x v="49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87"/>
    <d v="2026-06-01T17:59:34"/>
    <d v="1899-12-30T00:00:26"/>
    <n v="0.1825089305639267"/>
    <s v="Exceso Velocidad 10 Km/h (Velocidad máxima: 29 kmh)"/>
    <x v="58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88"/>
    <d v="2026-06-01T18:01:55"/>
    <d v="1899-12-30T00:00:22"/>
    <n v="0.18898926675319672"/>
    <s v="Exceso Velocidad 30 Km/h (Velocidad máxima: 33 kmh)"/>
    <x v="56"/>
    <s v="Válido"/>
  </r>
  <r>
    <x v="6"/>
    <s v="Vehicle, Diesel, Frontera Energy Col 2679"/>
    <x v="3"/>
    <x v="3"/>
    <x v="3"/>
    <s v="Rubiales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89"/>
    <d v="2026-06-01T18:03:02"/>
    <d v="1899-12-30T00:00:04"/>
    <n v="1.3689666986465454E-2"/>
    <s v="Exceso Velocidad 10 Km/h (Velocidad máxima: 12 kmh)"/>
    <x v="33"/>
    <s v="Válido"/>
  </r>
  <r>
    <x v="6"/>
    <s v="Vehicle, Diesel, Frontera Energy Col 2679"/>
    <x v="3"/>
    <x v="3"/>
    <x v="3"/>
    <s v="Rubiales"/>
    <x v="0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90"/>
    <d v="2026-06-01T18:04:59"/>
    <d v="1899-12-30T00:06:00"/>
    <n v="0"/>
    <s v="Tiempo en ralentí (Ignición: 1.00)"/>
    <x v="0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91"/>
    <d v="2026-06-01T18:15:28"/>
    <d v="1899-12-30T00:00:24"/>
    <n v="0.18282359838485718"/>
    <s v="Exceso Velocidad 10 Km/h (Velocidad máxima: 29 kmh)"/>
    <x v="58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92"/>
    <d v="2026-06-01T18:16:15"/>
    <d v="1899-12-30T00:00:05"/>
    <n v="3.8428757339715958E-2"/>
    <s v="Exceso Velocidad 30 Km/h (Velocidad máxima: 31 kmh)"/>
    <x v="49"/>
    <s v="Válido"/>
  </r>
  <r>
    <x v="6"/>
    <s v="Vehicle, Diesel, Frontera Energy Col 2679"/>
    <x v="3"/>
    <x v="3"/>
    <x v="3"/>
    <s v="Rubiales"/>
    <x v="7"/>
    <s v="ECOPETROL RUBIALES- Quifa - CAÑO SUR, Puerto Triunfo - Estacion Policia: Puerto Gaitan - Rubiales, Puerto Gaitán, Meta, Colombia"/>
    <s v="Cliente, Vel Max 40 Km/h, Vel Max 30 Km/h"/>
    <x v="193"/>
    <d v="2026-06-01T19:11:51"/>
    <d v="1899-12-30T00:00:00"/>
    <n v="4.093252937309444E-4"/>
    <s v="Giro brusco (Velocidad máxima: 15 kmh Aceleración de lado a lado: -0.56 g-force, Ignición: 1.00)"/>
    <x v="61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94"/>
    <d v="2026-06-01T19:16:28"/>
    <d v="1899-12-30T00:00:27"/>
    <n v="0.18412473797798157"/>
    <s v="Exceso Velocidad 10 Km/h (Velocidad máxima: 26 kmh)"/>
    <x v="42"/>
    <s v="Válido"/>
  </r>
  <r>
    <x v="6"/>
    <s v="Vehicle, Diesel, Frontera Energy Col 2679"/>
    <x v="3"/>
    <x v="3"/>
    <x v="3"/>
    <s v="Rubiales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95"/>
    <d v="2026-06-01T19:20:01"/>
    <d v="1899-12-30T00:00:00"/>
    <n v="9.0800569159910083E-4"/>
    <s v="Exceso Velocidad 10 Km/h (Velocidad máxima: 10 kmh)"/>
    <x v="9"/>
    <s v="Válido"/>
  </r>
  <r>
    <x v="6"/>
    <s v="Vehicle, Diesel, Frontera Energy Col 2679"/>
    <x v="3"/>
    <x v="3"/>
    <x v="3"/>
    <s v="Rubiales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96"/>
    <d v="2026-06-01T19:20:56"/>
    <d v="1899-12-30T00:00:09"/>
    <n v="2.5141995400190353E-2"/>
    <s v="Exceso Velocidad 10 Km/h (Velocidad máxima: 11 kmh)"/>
    <x v="31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197"/>
    <d v="2026-06-01T19:27:27"/>
    <d v="1899-12-30T00:00:06"/>
    <n v="4.7867044806480408E-2"/>
    <s v="Exceso Velocidad 30 Km/h (Velocidad máxima: 31 kmh)"/>
    <x v="49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98"/>
    <d v="2026-06-01T19:28:36"/>
    <d v="1899-12-30T00:00:26"/>
    <n v="0.18352344632148743"/>
    <s v="Exceso Velocidad 10 Km/h (Velocidad máxima: 28 kmh)"/>
    <x v="62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99"/>
    <d v="2026-06-01T21:00:41"/>
    <d v="1899-12-30T00:00:30"/>
    <n v="0.18259897828102112"/>
    <s v="Exceso Velocidad 10 Km/h (Velocidad máxima: 24 kmh)"/>
    <x v="41"/>
    <s v="Válido"/>
  </r>
  <r>
    <x v="6"/>
    <s v="Vehicle, Diesel, Frontera Energy Col 2679"/>
    <x v="3"/>
    <x v="3"/>
    <x v="3"/>
    <s v="Rubiales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200"/>
    <d v="2026-06-01T21:05:26"/>
    <d v="1899-12-30T00:00:00"/>
    <n v="1.1163735762238503E-3"/>
    <s v="Exceso Velocidad 10 Km/h (Velocidad máxima: 11 kmh)"/>
    <x v="31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201"/>
    <d v="2026-06-01T21:08:24"/>
    <d v="1899-12-30T00:00:26"/>
    <n v="0.18301413953304291"/>
    <s v="Exceso Velocidad 10 Km/h (Velocidad máxima: 29 kmh)"/>
    <x v="58"/>
    <s v="Válido"/>
  </r>
  <r>
    <x v="6"/>
    <s v="Vehicle, Diesel, Frontera Energy Col 2679"/>
    <x v="3"/>
    <x v="3"/>
    <x v="3"/>
    <s v="Rubiales"/>
    <x v="11"/>
    <s v="ECOPETROL RUBIALES- Quifa - CAÑO SUR, Puerto Triunfo - Estacion Policia: Puerto Gaitan - Rubiales, Puerto Gaitán, Meta, Colombia"/>
    <s v="Cliente, Vel Max 40 Km/h, Vel Max 30 Km/h"/>
    <x v="202"/>
    <d v="2026-06-01T22:26:15"/>
    <d v="1899-12-30T00:00:05"/>
    <n v="4.4563271105289459E-2"/>
    <s v="Exceso Velocidad 30 Km/h (Velocidad máxima: 31 kmh)"/>
    <x v="49"/>
    <s v="Válido"/>
  </r>
  <r>
    <x v="6"/>
    <s v="Vehicle, Diesel, Frontera Energy Col 2679"/>
    <x v="3"/>
    <x v="3"/>
    <x v="3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203"/>
    <d v="2026-06-01T22:26:37"/>
    <d v="1899-12-30T00:00:27"/>
    <n v="0.1827528178691864"/>
    <s v="Exceso Velocidad 10 Km/h (Velocidad máxima: 25 kmh)"/>
    <x v="35"/>
    <s v="Válido"/>
  </r>
  <r>
    <x v="6"/>
    <s v="Vehicle, Diesel, Frontera Energy Col 2679"/>
    <x v="3"/>
    <x v="3"/>
    <x v="3"/>
    <s v="Rubiales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204"/>
    <d v="2026-06-01T22:30:02"/>
    <d v="1899-12-30T00:00:16"/>
    <n v="7.5734443962574005E-2"/>
    <s v="Exceso Velocidad 10 Km/h (Velocidad máxima: 22 kmh)"/>
    <x v="38"/>
    <s v="Válido"/>
  </r>
  <r>
    <x v="6"/>
    <s v="Vehicle, Diesel, Frontera Energy Col 2679"/>
    <x v="3"/>
    <x v="3"/>
    <x v="3"/>
    <s v="Rubiales"/>
    <x v="4"/>
    <s v="CAMPAMENTO QUIFA, ECOPETROL RUBIALES- Quifa - CAÑO SUR, Puerto Triunfo - Estacion Policia: Puerto Gaitan - Rubiales, Puerto Gaitán, Meta, Colombia"/>
    <s v="Vel Max 10 Km/h, Cliente, Vel Max 40 Km/h, Vel Max 30 Km/h"/>
    <x v="205"/>
    <d v="2026-06-01T22:30:18"/>
    <d v="1899-12-30T00:00:17"/>
    <n v="9.3421861529350281E-2"/>
    <s v="Exceso Velocidad 10 Km/h (Velocidad máxima: 24 kmh)"/>
    <x v="41"/>
    <s v="Válido"/>
  </r>
  <r>
    <x v="6"/>
    <s v="Vehicle, Diesel, Frontera Energy Col 2679"/>
    <x v="3"/>
    <x v="3"/>
    <x v="3"/>
    <s v="Rubiales"/>
    <x v="4"/>
    <s v="CAMPAMENTO QUIFA, ECOPETROL RUBIALES- Quifa - CAÑO SUR, Puerto Triunfo - Estacion Policia: Puerto Gaitan - Rubiales, Puerto Gaitán, Meta, Colombia"/>
    <s v="Vel Max 10 Km/h, Cliente, Vel Max 40 Km/h, Vel Max 30 Km/h"/>
    <x v="206"/>
    <d v="2026-06-01T22:30:56"/>
    <d v="1899-12-30T00:00:05"/>
    <n v="3.101365827023983E-2"/>
    <s v="Exceso Velocidad 10 Km/h (Velocidad máxima: 26 kmh)"/>
    <x v="42"/>
    <s v="Válido"/>
  </r>
  <r>
    <x v="6"/>
    <s v="Vehicle, Diesel, Frontera Energy Col 2679"/>
    <x v="3"/>
    <x v="3"/>
    <x v="3"/>
    <s v="Rubiales"/>
    <x v="10"/>
    <s v="ECOPETROL RUBIALES- Quifa - CAÑO SUR: Puerto Gaitan - Rubiales, Puerto Gaitán, Meta, Colombia"/>
    <s v="Cliente, Vel Max 40 Km/h"/>
    <x v="207"/>
    <d v="2026-06-01T22:45:31"/>
    <d v="1899-12-30T00:00:01"/>
    <n v="8.7104272097349167E-3"/>
    <s v="Exceso Velocidad 40 Km/h (Velocidad máxima: 41 kmh)"/>
    <x v="47"/>
    <s v="Válido"/>
  </r>
  <r>
    <x v="6"/>
    <s v="Vehicle, Diesel, Frontera Energy Col 2679"/>
    <x v="3"/>
    <x v="3"/>
    <x v="3"/>
    <s v="Rubiales"/>
    <x v="0"/>
    <s v="ECOPETROL RUBIALES- Quifa - CAÑO SUR: Puerto Gaitan - Rubiales, Puerto Gaitán, Meta, Colombia"/>
    <s v="Cliente, Vel Max 40 Km/h"/>
    <x v="208"/>
    <d v="2026-06-01T22:59:19"/>
    <d v="1899-12-30T00:10:59"/>
    <n v="3.3968333154916763E-3"/>
    <s v="Tiempo en ralentí (Ignición: 1.00)"/>
    <x v="0"/>
    <s v="Válido"/>
  </r>
  <r>
    <x v="6"/>
    <s v="Vehicle, Diesel, Frontera Energy Col 2679"/>
    <x v="3"/>
    <x v="3"/>
    <x v="3"/>
    <s v="Rubiales"/>
    <x v="10"/>
    <s v="ECOPETROL RUBIALES- Quifa - CAÑO SUR: Rb 280 320 4 324 126 129 195 14 325 316 143 217 1 26 523 256 28, Puerto Gaitán, Meta, Colombia"/>
    <s v="Cliente, Vel Max 40 Km/h"/>
    <x v="209"/>
    <d v="2026-06-01T23:17:11"/>
    <d v="1899-12-30T00:00:01"/>
    <n v="9.2302765697240829E-3"/>
    <s v="Exceso Velocidad 40 Km/h (Velocidad máxima: 41 kmh)"/>
    <x v="47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Meta, 502057, Colombia"/>
    <s v="Cliente, Vel Max 40 Km/h, Vel Max 10 Km/h"/>
    <x v="210"/>
    <d v="2026-06-01T23:23:11"/>
    <d v="1899-12-30T00:01:40"/>
    <n v="0.41315051913261414"/>
    <s v="Exceso Velocidad 10 Km/h (Velocidad máxima: 18 kmh)"/>
    <x v="39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211"/>
    <d v="2026-06-01T23:24:57"/>
    <d v="1899-12-30T00:00:09"/>
    <n v="2.4998785927891731E-2"/>
    <s v="Exceso Velocidad 10 Km/h (Velocidad máxima: 12 kmh)"/>
    <x v="33"/>
    <s v="Válido"/>
  </r>
  <r>
    <x v="6"/>
    <s v="Vehicle, Diesel, Frontera Energy Col 2679"/>
    <x v="3"/>
    <x v="3"/>
    <x v="3"/>
    <s v="Rubiales"/>
    <x v="4"/>
    <s v="ECOPETROL RUBIALES- Quifa - CAÑO SUR, BATERIA 4: Rb 4 324 126 129 195 14 325 316 143 217 1 26 523 256 28, Puerto Gaitán, Meta, Colombia"/>
    <s v="Cliente, Vel Max 40 Km/h, Vel Max 10 Km/h"/>
    <x v="212"/>
    <d v="2026-06-01T23:37:10"/>
    <d v="1899-12-30T00:00:50"/>
    <n v="0.18747149407863617"/>
    <s v="Exceso Velocidad 10 Km/h (Velocidad máxima: 18 kmh)"/>
    <x v="39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213"/>
    <d v="2026-06-01T23:38:07"/>
    <d v="1899-12-30T00:01:27"/>
    <n v="0.2950032651424408"/>
    <s v="Exceso Velocidad 10 Km/h (Velocidad máxima: 14 kmh)"/>
    <x v="10"/>
    <s v="Válido"/>
  </r>
  <r>
    <x v="6"/>
    <s v="Vehicle, Diesel, Frontera Energy Col 2679"/>
    <x v="3"/>
    <x v="3"/>
    <x v="3"/>
    <s v="Rubiales"/>
    <x v="9"/>
    <s v="ECOPETROL RUBIALES- Quifa - CAÑO SUR, BATERIA 4: Rb 4, Puerto Gaitán, Meta, Colombia"/>
    <s v="Cliente, Vel Max 40 Km/h, Vel Max 10 Km/h"/>
    <x v="214"/>
    <d v="2026-06-01T23:46:31"/>
    <d v="1899-12-30T00:00:23"/>
    <n v="7.3552511632442474E-2"/>
    <s v="Uso del cinturón de seguridad (Velocidad máxima: 12 kmh Cinturón de seguridad del conductor (1. Desabrochado): 1.00)"/>
    <x v="63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214"/>
    <d v="2026-06-01T23:46:31"/>
    <d v="1899-12-30T00:00:23"/>
    <n v="7.3552511632442474E-2"/>
    <s v="Exceso Velocidad 10 Km/h (Velocidad máxima: 12 kmh)"/>
    <x v="33"/>
    <s v="Válido"/>
  </r>
  <r>
    <x v="6"/>
    <s v="Vehicle, Diesel, Frontera Energy Col 2679"/>
    <x v="3"/>
    <x v="3"/>
    <x v="3"/>
    <s v="Rubiales"/>
    <x v="9"/>
    <s v="ECOPETROL RUBIALES- Quifa - CAÑO SUR, BATERIA 4: Rb 4, Puerto Gaitán, Meta, Colombia"/>
    <s v="Cliente, Vel Max 40 Km/h, Vel Max 10 Km/h"/>
    <x v="215"/>
    <d v="2026-06-01T23:47:04"/>
    <d v="1899-12-30T00:00:06"/>
    <n v="1.9616154953837395E-2"/>
    <s v="Uso del cinturón de seguridad (Velocidad máxima: 13 kmh Cinturón de seguridad del conductor (1. Desabrochado): 1.00)"/>
    <x v="64"/>
    <s v="Válido"/>
  </r>
  <r>
    <x v="6"/>
    <s v="Vehicle, Diesel, Frontera Energy Col 2679"/>
    <x v="3"/>
    <x v="3"/>
    <x v="3"/>
    <s v="Rubiales"/>
    <x v="4"/>
    <s v="ECOPETROL RUBIALES- Quifa - CAÑO SUR, BATERIA 4: Rb 4, Puerto Gaitán, Meta, Colombia"/>
    <s v="Cliente, Vel Max 40 Km/h, Vel Max 10 Km/h"/>
    <x v="215"/>
    <d v="2026-06-01T23:47:04"/>
    <d v="1899-12-30T00:00:06"/>
    <n v="1.9616154953837395E-2"/>
    <s v="Exceso Velocidad 10 Km/h (Velocidad máxima: 13 kmh)"/>
    <x v="34"/>
    <s v="Válido"/>
  </r>
  <r>
    <x v="7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216"/>
    <d v="2026-06-01T01:48:54"/>
    <d v="1899-12-30T00:07:42"/>
    <n v="3.8443794474005699E-3"/>
    <s v="Tiempo en ralentí (Ignición: 1.00)"/>
    <x v="0"/>
    <s v="Válido"/>
  </r>
  <r>
    <x v="7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217"/>
    <d v="2026-06-01T01:59:43"/>
    <d v="1899-12-30T00:00:33"/>
    <n v="0.13309487700462341"/>
    <s v="Uso del cinturón de seguridad (Velocidad máxima: 21 kmh Cinturón de seguridad del conductor (1. Desabrochado): 1.00)"/>
    <x v="65"/>
    <s v="Válido"/>
  </r>
  <r>
    <x v="7"/>
    <s v="Vehicle, Diesel, Frontera Energy Col 2679"/>
    <x v="2"/>
    <x v="2"/>
    <x v="2"/>
    <n v="0"/>
    <x v="4"/>
    <s v="ECOPETROL RUBIALES- Quifa - CAÑO SUR, Campamento Quifa - CMA: Vía Sin Nombre, Puerto Gaitán, Meta, Colombia"/>
    <s v="Cliente, Vel Max 40 Km/h, Vel Max 10 Km/h"/>
    <x v="218"/>
    <d v="2026-06-01T02:00:13"/>
    <d v="1899-12-30T00:01:28"/>
    <n v="0.53301471471786499"/>
    <s v="Exceso Velocidad 10 Km/h (Velocidad máxima: 28 kmh)"/>
    <x v="62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19"/>
    <d v="2026-06-01T02:01:53"/>
    <d v="1899-12-30T00:00:29"/>
    <n v="0.2814655601978302"/>
    <s v="Exceso Velocidad 30 Km/h (Velocidad máxima: 39 kmh)"/>
    <x v="6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20"/>
    <d v="2026-06-01T02:02:33"/>
    <d v="1899-12-30T00:00:14"/>
    <n v="0.13306093215942383"/>
    <s v="Exceso Velocidad 30 Km/h (Velocidad máxima: 37 kmh)"/>
    <x v="55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21"/>
    <d v="2026-06-01T02:02:58"/>
    <d v="1899-12-30T00:00:05"/>
    <n v="4.4427022337913513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22"/>
    <d v="2026-06-01T02:03:07"/>
    <d v="1899-12-30T00:00:07"/>
    <n v="6.3132531940937042E-2"/>
    <s v="Exceso Velocidad 30 Km/h (Velocidad máxima: 31 kmh)"/>
    <x v="49"/>
    <s v="Válido"/>
  </r>
  <r>
    <x v="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223"/>
    <d v="2026-06-01T02:03:23"/>
    <d v="1899-12-30T00:00:45"/>
    <n v="0.30030697584152222"/>
    <s v="Exceso de velocidad (nuevo) (Velocidad máxima: 31 kmh (Velocidad máxima en carretera: 7 kmh))"/>
    <x v="67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224"/>
    <d v="2026-06-01T02:04:13"/>
    <d v="1899-12-30T00:00:21"/>
    <n v="8.3180665969848633E-2"/>
    <s v="Exceso Velocidad 10 Km/h (Velocidad máxima: 17 kmh)"/>
    <x v="43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225"/>
    <d v="2026-06-01T02:13:56"/>
    <d v="1899-12-30T00:00:22"/>
    <n v="8.3101674914360046E-2"/>
    <s v="Exceso Velocidad 10 Km/h (Velocidad máxima: 14 kmh)"/>
    <x v="10"/>
    <s v="Válido"/>
  </r>
  <r>
    <x v="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226"/>
    <d v="2026-06-01T02:14:28"/>
    <d v="1899-12-30T00:00:44"/>
    <n v="0.302339106798172"/>
    <s v="Exceso de velocidad (nuevo) (Velocidad máxima: 29 kmh (Velocidad máxima en carretera: 7 kmh))"/>
    <x v="68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27"/>
    <d v="2026-06-01T02:15:34"/>
    <d v="1899-12-30T00:00:01"/>
    <n v="8.1963371485471725E-3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28"/>
    <d v="2026-06-01T02:15:55"/>
    <d v="1899-12-30T00:00:07"/>
    <n v="6.2655501067638397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29"/>
    <d v="2026-06-01T02:16:22"/>
    <d v="1899-12-30T00:00:22"/>
    <n v="0.19256363809108734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230"/>
    <d v="2026-06-01T02:17:03"/>
    <d v="1899-12-30T00:00:06"/>
    <n v="5.2651848644018173E-2"/>
    <s v="Exceso Velocidad 30 Km/h (Velocidad máxima: 33 kmh)"/>
    <x v="56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231"/>
    <d v="2026-06-01T02:17:20"/>
    <d v="1899-12-30T00:00:33"/>
    <n v="0.17141552269458771"/>
    <s v="Exceso Velocidad 10 Km/h (Velocidad máxima: 26 kmh)"/>
    <x v="42"/>
    <s v="Válido"/>
  </r>
  <r>
    <x v="7"/>
    <s v="Vehicle, Diesel, Frontera Energy Col 2679"/>
    <x v="2"/>
    <x v="2"/>
    <x v="2"/>
    <n v="0"/>
    <x v="0"/>
    <s v="ECOPETROL RUBIALES- Quifa - CAÑO SUR: Qf 12, Puerto Gaitán, Meta, Colombia"/>
    <s v="Cliente, Vel Max 40 Km/h"/>
    <x v="232"/>
    <d v="2026-06-01T02:24:06"/>
    <d v="1899-12-30T00:09:52"/>
    <n v="0"/>
    <s v="Tiempo en ralentí (Ignición: 1.00)"/>
    <x v="0"/>
    <s v="Válido"/>
  </r>
  <r>
    <x v="7"/>
    <s v="Vehicle, Diesel, Frontera Energy Col 2679"/>
    <x v="2"/>
    <x v="2"/>
    <x v="2"/>
    <n v="0"/>
    <x v="9"/>
    <s v="ECOPETROL RUBIALES- Quifa - CAÑO SUR: Qf 12, Puerto Gaitán, Meta, Colombia"/>
    <s v="Cliente, Vel Max 40 Km/h"/>
    <x v="233"/>
    <d v="2026-06-01T02:34:22"/>
    <d v="1899-12-30T00:00:25"/>
    <n v="0.15137545764446259"/>
    <s v="Uso del cinturón de seguridad (Velocidad máxima: 33 kmh Cinturón de seguridad del conductor (1. Desabrochado): 1.00)"/>
    <x v="6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34"/>
    <d v="2026-06-01T02:41:10"/>
    <d v="1899-12-30T00:00:01"/>
    <n v="1.0462420992553234E-2"/>
    <s v="Exceso Velocidad 30 Km/h (Velocidad máxima: 31 kmh)"/>
    <x v="49"/>
    <s v="Válido"/>
  </r>
  <r>
    <x v="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235"/>
    <d v="2026-06-01T02:41:12"/>
    <d v="1899-12-30T00:00:22"/>
    <n v="0.12410613149404526"/>
    <s v="Exceso Velocidad 10 Km/h (Velocidad máxima: 29 kmh)"/>
    <x v="58"/>
    <s v="Válido"/>
  </r>
  <r>
    <x v="7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236"/>
    <d v="2026-06-01T02:41:50"/>
    <d v="1899-12-30T00:00:07"/>
    <n v="5.9400498867034912E-2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37"/>
    <d v="2026-06-01T02:42:08"/>
    <d v="1899-12-30T00:00:18"/>
    <n v="0.16937071084976196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38"/>
    <d v="2026-06-01T02:42:34"/>
    <d v="1899-12-30T00:00:05"/>
    <n v="4.1303243488073349E-2"/>
    <s v="Exceso Velocidad 30 Km/h (Velocidad máxima: 31 kmh)"/>
    <x v="49"/>
    <s v="Válido"/>
  </r>
  <r>
    <x v="7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239"/>
    <d v="2026-06-01T02:42:45"/>
    <d v="1899-12-30T00:00:00"/>
    <n v="1.1395020555937663E-4"/>
    <s v="Giro brusco (Velocidad máxima: 15 kmh Aceleración de lado a lado: 0.50 g-force, Ignición: 1.00)"/>
    <x v="70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0"/>
    <d v="2026-06-01T02:42:52"/>
    <d v="1899-12-30T00:00:09"/>
    <n v="7.7152840793132782E-2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1"/>
    <d v="2026-06-01T02:43:18"/>
    <d v="1899-12-30T00:00:03"/>
    <n v="2.3208165541291237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2"/>
    <d v="2026-06-01T02:43:30"/>
    <d v="1899-12-30T00:00:07"/>
    <n v="5.4913852363824844E-2"/>
    <s v="Exceso Velocidad 30 Km/h (Velocidad máxima: 31 kmh)"/>
    <x v="49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243"/>
    <d v="2026-06-01T02:43:57"/>
    <d v="1899-12-30T00:00:24"/>
    <n v="0.18333287537097931"/>
    <s v="Exceso Velocidad 10 Km/h (Velocidad máxima: 29 kmh)"/>
    <x v="58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4"/>
    <d v="2026-06-01T02:44:42"/>
    <d v="1899-12-30T00:00:09"/>
    <n v="7.1282118558883667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5"/>
    <d v="2026-06-01T04:01:57"/>
    <d v="1899-12-30T00:00:09"/>
    <n v="8.1647723913192749E-2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6"/>
    <d v="2026-06-01T04:02:28"/>
    <d v="1899-12-30T00:00:10"/>
    <n v="8.8833652436733246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7"/>
    <d v="2026-06-01T04:02:52"/>
    <d v="1899-12-30T00:00:13"/>
    <n v="0.11663622409105301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8"/>
    <d v="2026-06-01T04:03:09"/>
    <d v="1899-12-30T00:00:03"/>
    <n v="2.2149700671434402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49"/>
    <d v="2026-06-01T04:03:56"/>
    <d v="1899-12-30T00:00:12"/>
    <n v="0.10675789415836334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50"/>
    <d v="2026-06-01T04:05:25"/>
    <d v="1899-12-30T00:00:05"/>
    <n v="4.6439412981271744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51"/>
    <d v="2026-06-01T04:05:51"/>
    <d v="1899-12-30T00:00:10"/>
    <n v="8.7660357356071472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Km 128 +500, Lavadero De Autos EL OASIS, Puerto Gaitan - Rubiales, Puerto Gaitán, Meta, Colombia"/>
    <s v="Cliente, Vel Max 40 Km/h, Vel Max 30 Km/h"/>
    <x v="252"/>
    <d v="2026-06-01T04:14:57"/>
    <d v="1899-12-30T00:00:11"/>
    <n v="0.11076043546199799"/>
    <s v="Exceso Velocidad 30 Km/h (Velocidad máxima: 39 kmh)"/>
    <x v="66"/>
    <s v="Válido"/>
  </r>
  <r>
    <x v="7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253"/>
    <d v="2026-06-01T04:17:16"/>
    <d v="1899-12-30T00:00:16"/>
    <n v="0.15253746509552002"/>
    <s v="Exceso Velocidad 30 Km/h (Velocidad máxima: 37 kmh)"/>
    <x v="55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54"/>
    <d v="2026-06-01T04:17:33"/>
    <d v="1899-12-30T00:00:08"/>
    <n v="6.802675873041153E-2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55"/>
    <d v="2026-06-01T04:17:56"/>
    <d v="1899-12-30T00:00:06"/>
    <n v="5.2467986941337585E-2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56"/>
    <d v="2026-06-01T04:18:04"/>
    <d v="1899-12-30T00:00:15"/>
    <n v="0.14730058610439301"/>
    <s v="Exceso Velocidad 30 Km/h (Velocidad máxima: 37 kmh)"/>
    <x v="55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57"/>
    <d v="2026-06-01T04:18:27"/>
    <d v="1899-12-30T00:00:10"/>
    <n v="0.10114167630672455"/>
    <s v="Exceso Velocidad 30 Km/h (Velocidad máxima: 37 kmh)"/>
    <x v="55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58"/>
    <d v="2026-06-01T04:18:58"/>
    <d v="1899-12-30T00:00:11"/>
    <n v="0.10572067648172379"/>
    <s v="Exceso Velocidad 30 Km/h (Velocidad máxima: 35 kmh)"/>
    <x v="59"/>
    <s v="Válido"/>
  </r>
  <r>
    <x v="7"/>
    <s v="Vehicle, Diesel, Frontera Energy Col 2679"/>
    <x v="2"/>
    <x v="2"/>
    <x v="2"/>
    <n v="0"/>
    <x v="9"/>
    <s v="ECOPETROL RUBIALES- Quifa - CAÑO SUR, Puerto Triunfo - Estacion Policia: Puerto Gaitan - Rubiales, Puerto Gaitán, Meta, Colombia"/>
    <s v="Cliente, Vel Max 40 Km/h, Vel Max 30 Km/h"/>
    <x v="259"/>
    <d v="2026-06-01T05:06:46"/>
    <d v="1899-12-30T00:04:00"/>
    <n v="1.7263516187667847"/>
    <s v="Uso del cinturón de seguridad (Velocidad máxima: 41 kmh Cinturón de seguridad del conductor (1. Desabrochado): 1.00)"/>
    <x v="71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60"/>
    <d v="2026-06-01T05:08:24"/>
    <d v="1899-12-30T00:00:05"/>
    <n v="3.6201406270265579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61"/>
    <d v="2026-06-01T05:08:40"/>
    <d v="1899-12-30T00:00:04"/>
    <n v="3.5526107996702194E-2"/>
    <s v="Exceso Velocidad 30 Km/h (Velocidad máxima: 31 kmh)"/>
    <x v="49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262"/>
    <d v="2026-06-01T05:09:01"/>
    <d v="1899-12-30T00:00:21"/>
    <n v="0.18249921500682831"/>
    <s v="Exceso Velocidad 10 Km/h (Velocidad máxima: 32 kmh)"/>
    <x v="72"/>
    <s v="Válido"/>
  </r>
  <r>
    <x v="7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263"/>
    <d v="2026-06-01T05:09:16"/>
    <d v="1899-12-30T00:00:18"/>
    <n v="0.15796574950218201"/>
    <s v="Exceso Velocidad 30 Km/h (Velocidad máxima: 35 kmh)"/>
    <x v="59"/>
    <s v="Válido"/>
  </r>
  <r>
    <x v="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264"/>
    <d v="2026-06-01T05:09:35"/>
    <d v="1899-12-30T00:00:33"/>
    <n v="0.27915593981742859"/>
    <s v="Exceso de velocidad (nuevo) (Velocidad máxima: 41 kmh (Velocidad máxima en carretera: 7 kmh))"/>
    <x v="73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265"/>
    <d v="2026-06-01T05:09:51"/>
    <d v="1899-12-30T00:00:03"/>
    <n v="3.1439390033483505E-2"/>
    <s v="Exceso Velocidad 40 Km/h (Velocidad máxima: 41 kmh)"/>
    <x v="47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266"/>
    <d v="2026-06-01T05:10:14"/>
    <d v="1899-12-30T00:00:32"/>
    <n v="0.18024404346942902"/>
    <s v="Exceso Velocidad 10 Km/h (Velocidad máxima: 24 kmh)"/>
    <x v="41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267"/>
    <d v="2026-06-01T05:12:04"/>
    <d v="1899-12-30T00:00:36"/>
    <n v="0.17793351411819458"/>
    <s v="Exceso Velocidad 10 Km/h (Velocidad máxima: 18 kmh)"/>
    <x v="39"/>
    <s v="Válido"/>
  </r>
  <r>
    <x v="7"/>
    <s v="Vehicle, Diesel, Frontera Energy Col 2679"/>
    <x v="2"/>
    <x v="2"/>
    <x v="2"/>
    <n v="0"/>
    <x v="9"/>
    <s v="ECOPETROL RUBIALES- Quifa - CAÑO SUR, Centralizado de combustible Quifa: Vía Sin Nombre, Puerto Gaitán, Meta, Colombia"/>
    <s v="Cliente, Vel Max 40 Km/h, Vel Max 10 Km/h"/>
    <x v="267"/>
    <d v="2026-06-01T05:12:04"/>
    <d v="1899-12-30T00:00:18"/>
    <n v="7.7874600887298584E-2"/>
    <s v="Uso del cinturón de seguridad (Velocidad máxima: 18 kmh Cinturón de seguridad del conductor (1. Desabrochado): 1.00)"/>
    <x v="74"/>
    <s v="Válido"/>
  </r>
  <r>
    <x v="7"/>
    <s v="Vehicle, Diesel, Frontera Energy Col 2679"/>
    <x v="2"/>
    <x v="2"/>
    <x v="2"/>
    <n v="0"/>
    <x v="5"/>
    <s v="ECOPETROL RUBIALES- Quifa - CAÑO SUR: Vía Sin Nombre, Puerto Gaitán, Meta, Colombia"/>
    <s v="Cliente, Vel Max 40 Km/h"/>
    <x v="268"/>
    <d v="2026-06-01T05:12:40"/>
    <d v="1899-12-30T00:00:43"/>
    <n v="0.32882252335548401"/>
    <s v="Exceso de velocidad (nuevo) (Velocidad máxima: 35 kmh (Velocidad máxima en carretera: 7 kmh))"/>
    <x v="75"/>
    <s v="Válido"/>
  </r>
  <r>
    <x v="7"/>
    <s v="Vehicle, Diesel, Frontera Energy Col 2679"/>
    <x v="2"/>
    <x v="2"/>
    <x v="2"/>
    <n v="0"/>
    <x v="1"/>
    <s v="ECOPETROL RUBIALES- Quifa - CAÑO SUR, Puerto Triunfo - Estacion Policia: Puerto Gaitan - Rubiales, Puerto Gaitán, Meta, Colombia"/>
    <s v="Cliente, Vel Max 40 Km/h, Vel Max 30 Km/h"/>
    <x v="269"/>
    <d v="2026-06-01T05:15:03"/>
    <d v="1899-12-30T00:00:00"/>
    <n v="0"/>
    <s v="Frenado brusco (nuevo) (Clase de vehículo para métricas de seguridad: Otra clase (no estandarizada), Velocidad máxima: 18 kmh,  Ignición: 1)"/>
    <x v="76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270"/>
    <d v="2026-06-01T05:15:42"/>
    <d v="1899-12-30T00:00:07"/>
    <n v="2.14826799929142E-2"/>
    <s v="Exceso Velocidad 10 Km/h (Velocidad máxima: 12 kmh)"/>
    <x v="33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271"/>
    <d v="2026-06-01T05:15:49"/>
    <d v="1899-12-30T00:00:21"/>
    <n v="6.8765997886657715E-2"/>
    <s v="Exceso Velocidad 10 Km/h (Velocidad máxima: 14 kmh)"/>
    <x v="10"/>
    <s v="Válido"/>
  </r>
  <r>
    <x v="7"/>
    <s v="Vehicle, Diesel, Frontera Energy Col 2679"/>
    <x v="2"/>
    <x v="2"/>
    <x v="2"/>
    <n v="0"/>
    <x v="9"/>
    <s v="CAMPAMENTO QUIFA, ECOPETROL RUBIALES- Quifa - CAÑO SUR, Campamento Quifa - CMA: Ent. CAMPAMENTO, Puerto Gaitán, Meta, Colombia"/>
    <s v="Vel Max 10 Km/h, Cliente, Vel Max 40 Km/h"/>
    <x v="272"/>
    <d v="2026-06-01T05:18:00"/>
    <d v="1899-12-30T00:01:22"/>
    <n v="0.33264786005020142"/>
    <s v="Uso del cinturón de seguridad (Velocidad máxima: 20 kmh Cinturón de seguridad del conductor (1. Desabrochado): 1.00)"/>
    <x v="77"/>
    <s v="Válido"/>
  </r>
  <r>
    <x v="7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272"/>
    <d v="2026-06-01T05:18:00"/>
    <d v="1899-12-30T00:01:22"/>
    <n v="0.33264786005020142"/>
    <s v="Exceso Velocidad 10 Km/h (Velocidad máxima: 20 kmh)"/>
    <x v="30"/>
    <s v="Válido"/>
  </r>
  <r>
    <x v="7"/>
    <s v="Vehicle, Diesel, Frontera Energy Col 2679"/>
    <x v="2"/>
    <x v="2"/>
    <x v="2"/>
    <n v="0"/>
    <x v="9"/>
    <s v="CAMPAMENTO QUIFA, ECOPETROL RUBIALES- Quifa - CAÑO SUR, Campamento Quifa - CMA: Ent. CAMPAMENTO, Puerto Gaitán, Meta, Colombia"/>
    <s v="Vel Max 10 Km/h, Cliente, Vel Max 40 Km/h"/>
    <x v="273"/>
    <d v="2026-06-01T05:29:19"/>
    <d v="1899-12-30T00:00:35"/>
    <n v="0.1034044474363327"/>
    <s v="Uso del cinturón de seguridad (Velocidad máxima: 12 kmh Cinturón de seguridad del conductor (1. Desabrochado): 1.00)"/>
    <x v="63"/>
    <s v="Válido"/>
  </r>
  <r>
    <x v="7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273"/>
    <d v="2026-06-01T05:29:19"/>
    <d v="1899-12-30T00:00:35"/>
    <n v="0.1034044474363327"/>
    <s v="Exceso Velocidad 10 Km/h (Velocidad máxima: 12 kmh)"/>
    <x v="33"/>
    <s v="Válido"/>
  </r>
  <r>
    <x v="7"/>
    <s v="Vehicle, Diesel, Frontera Energy Col 2679"/>
    <x v="2"/>
    <x v="2"/>
    <x v="2"/>
    <n v="0"/>
    <x v="9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274"/>
    <d v="2026-06-01T05:30:05"/>
    <d v="1899-12-30T00:00:22"/>
    <n v="6.2230050563812256E-2"/>
    <s v="Uso del cinturón de seguridad (Velocidad máxima: 11 kmh Cinturón de seguridad del conductor (1. Desabrochado): 1.00)"/>
    <x v="78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274"/>
    <d v="2026-06-01T05:30:05"/>
    <d v="1899-12-30T00:00:22"/>
    <n v="6.2230050563812256E-2"/>
    <s v="Exceso Velocidad 10 Km/h (Velocidad máxima: 11 kmh)"/>
    <x v="31"/>
    <s v="Válido"/>
  </r>
  <r>
    <x v="7"/>
    <s v="Vehicle, Diesel, Frontera Energy Col 2679"/>
    <x v="2"/>
    <x v="2"/>
    <x v="2"/>
    <n v="0"/>
    <x v="9"/>
    <s v="CAMPAMENTO QUIFA, ECOPETROL RUBIALES- Quifa - CAÑO SUR, Campamento Quifa - CMA: Ent. CAMPAMENTO, Puerto Gaitán, Meta, Colombia"/>
    <s v="Vel Max 10 Km/h, Cliente, Vel Max 40 Km/h"/>
    <x v="275"/>
    <d v="2026-06-01T06:13:39"/>
    <d v="1899-12-30T00:00:00"/>
    <n v="0"/>
    <s v="Uso del cinturón de seguridad (Velocidad máxima: 13 kmh Cinturón de seguridad del conductor (1. Desabrochado): 1.00)"/>
    <x v="64"/>
    <s v="Válido"/>
  </r>
  <r>
    <x v="7"/>
    <s v="Vehicle, Diesel, Frontera Energy Col 2679"/>
    <x v="2"/>
    <x v="2"/>
    <x v="2"/>
    <n v="0"/>
    <x v="9"/>
    <s v="CAMPAMENTO QUIFA, ECOPETROL RUBIALES- Quifa - CAÑO SUR, Campamento Quifa - CMA: Ent. CAMPAMENTO, Puerto Gaitán, Meta, Colombia"/>
    <s v="Vel Max 10 Km/h, Cliente, Vel Max 40 Km/h"/>
    <x v="276"/>
    <d v="2026-06-01T06:14:26"/>
    <d v="1899-12-30T00:00:08"/>
    <n v="0"/>
    <s v="Uso del cinturón de seguridad (Velocidad máxima: 18 kmh Cinturón de seguridad del conductor (1. Desabrochado): 1.00)"/>
    <x v="74"/>
    <s v="Válido"/>
  </r>
  <r>
    <x v="7"/>
    <s v="Vehicle, Diesel, Frontera Energy Col 2679"/>
    <x v="2"/>
    <x v="2"/>
    <x v="2"/>
    <n v="0"/>
    <x v="9"/>
    <s v="CAMPAMENTO QUIFA, ECOPETROL RUBIALES- Quifa - CAÑO SUR, Campamento Quifa - CMA: Ent. CAMPAMENTO, Puerto Gaitán, Meta, Colombia"/>
    <s v="Vel Max 10 Km/h, Cliente, Vel Max 40 Km/h"/>
    <x v="277"/>
    <d v="2026-06-01T06:14:35"/>
    <d v="1899-12-30T00:00:01"/>
    <n v="0"/>
    <s v="Uso del cinturón de seguridad (Velocidad máxima: 14 kmh Cinturón de seguridad del conductor (1. Desabrochado): 1.00)"/>
    <x v="79"/>
    <s v="Válido"/>
  </r>
  <r>
    <x v="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278"/>
    <d v="2026-06-01T06:14:53"/>
    <d v="1899-12-30T00:00:02"/>
    <n v="1.1884911917150021E-2"/>
    <s v="Exceso Velocidad 10 Km/h (Velocidad máxima: 20 kmh)"/>
    <x v="30"/>
    <s v="Válido"/>
  </r>
  <r>
    <x v="7"/>
    <s v="Vehicle, Diesel, Frontera Energy Col 2679"/>
    <x v="2"/>
    <x v="2"/>
    <x v="2"/>
    <n v="0"/>
    <x v="11"/>
    <s v="CAMPAMENTO QUIFA, ECOPETROL RUBIALES- Quifa - CAÑO SUR, Puerto Triunfo - Estacion Policia: Puerto Gaitan - Rubiales, Puerto Gaitán, Meta, Colombia"/>
    <s v="Vel Max 10 Km/h, Cliente, Vel Max 40 Km/h, Vel Max 30 Km/h"/>
    <x v="279"/>
    <d v="2026-06-01T06:15:10"/>
    <d v="1899-12-30T00:00:04"/>
    <n v="3.7127815186977386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80"/>
    <d v="2026-06-01T06:15:38"/>
    <d v="1899-12-30T00:00:07"/>
    <n v="5.7001650333404541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281"/>
    <d v="2026-06-01T06:15:50"/>
    <d v="1899-12-30T00:00:04"/>
    <n v="3.5808954387903214E-2"/>
    <s v="Exceso Velocidad 30 Km/h (Velocidad máxima: 35 kmh)"/>
    <x v="59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48"/>
    <d v="2026-06-01T06:21:30"/>
    <d v="1899-12-30T00:00:01"/>
    <n v="9.1146593913435936E-3"/>
    <s v="Exceso Velocidad 40 Km/h (Velocidad máxima: 42 kmh)"/>
    <x v="51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282"/>
    <d v="2026-06-01T06:26:13"/>
    <d v="1899-12-30T00:00:09"/>
    <n v="0.10114920884370804"/>
    <s v="Exceso Velocidad 40 Km/h (Velocidad máxima: 42 kmh)"/>
    <x v="51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283"/>
    <d v="2026-06-01T06:30:27"/>
    <d v="1899-12-30T00:00:02"/>
    <n v="2.434096671640873E-2"/>
    <s v="Exceso Velocidad 40 Km/h (Velocidad máxima: 41 kmh)"/>
    <x v="47"/>
    <s v="Válido"/>
  </r>
  <r>
    <x v="7"/>
    <s v="Vehicle, Diesel, Frontera Energy Col 2679"/>
    <x v="2"/>
    <x v="2"/>
    <x v="2"/>
    <n v="0"/>
    <x v="8"/>
    <s v="ECOPETROL RUBIALES- Quifa - CAÑO SUR: Puerto Gaitan - Rubiales, Puerto Gaitán, Meta, Colombia"/>
    <s v="Cliente, Vel Max 40 Km/h"/>
    <x v="284"/>
    <d v="2026-06-01T06:30:39"/>
    <d v="1899-12-30T00:00:00"/>
    <n v="1.1045602150261402E-4"/>
    <s v="Aceleración brusca (Velocidad máxima: 11 kmh Aceleración hacia delante o frenado: 0.45 g-force, Ignición: 1.00)"/>
    <x v="80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285"/>
    <d v="2026-06-01T06:31:22"/>
    <d v="1899-12-30T00:00:03"/>
    <n v="3.3477950841188431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Rb 280 320 4 324 126 129 195 14 325 316 143 217 1 26 523 256 28, Puerto Gaitán, Meta, Colombia"/>
    <s v="Cliente, Vel Max 40 Km/h"/>
    <x v="286"/>
    <d v="2026-06-01T06:35:27"/>
    <d v="1899-12-30T00:00:04"/>
    <n v="3.7994954735040665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Rb 320 4 324 126 129 195 14 325 316 143 217 1 26 523 256 28, Puerto Gaitán, Meta, Colombia"/>
    <s v="Cliente, Vel Max 40 Km/h"/>
    <x v="287"/>
    <d v="2026-06-01T06:36:14"/>
    <d v="1899-12-30T00:00:14"/>
    <n v="0.14805565774440765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Rb 320 4 324 126 129 195 14 325 316 143 217 1 26 523 256 28, Puerto Gaitán, Meta, Colombia"/>
    <s v="Cliente, Vel Max 40 Km/h"/>
    <x v="288"/>
    <d v="2026-06-01T06:36:56"/>
    <d v="1899-12-30T00:00:06"/>
    <n v="6.67300745844841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Rb 320 4 324 126 129 195 14 325 316 143 217 1 26 523 256 28, Puerto Gaitán, Meta, Colombia"/>
    <s v="Cliente, Vel Max 40 Km/h"/>
    <x v="289"/>
    <d v="2026-06-01T06:37:11"/>
    <d v="1899-12-30T00:00:02"/>
    <n v="1.7036851495504379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Rb 320 4 324 126 129 195 14 325 316 143 217 1 26 523 256 28, Puerto Gaitán, Meta, Colombia"/>
    <s v="Cliente, Vel Max 40 Km/h"/>
    <x v="290"/>
    <d v="2026-06-01T06:37:35"/>
    <d v="1899-12-30T00:00:05"/>
    <n v="5.3842421621084213E-2"/>
    <s v="Exceso Velocidad 40 Km/h (Velocidad máxima: 41 kmh)"/>
    <x v="47"/>
    <s v="Válido"/>
  </r>
  <r>
    <x v="7"/>
    <s v="Vehicle, Diesel, Frontera Energy Col 2679"/>
    <x v="2"/>
    <x v="2"/>
    <x v="2"/>
    <n v="0"/>
    <x v="9"/>
    <s v="ECOPETROL RUBIALES- Quifa - CAÑO SUR: Rb 4 324 126 129 195 14 325 316 143 217 1 26 523 256 28, Puerto Gaitán, Meta, Colombia"/>
    <s v="Cliente, Vel Max 40 Km/h"/>
    <x v="291"/>
    <d v="2026-06-01T06:40:16"/>
    <d v="1899-12-30T00:01:18"/>
    <n v="0.40598690509796143"/>
    <s v="Uso del cinturón de seguridad (Velocidad máxima: 26 kmh Cinturón de seguridad del conductor (1. Desabrochado): 1.00)"/>
    <x v="81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292"/>
    <d v="2026-06-01T06:40:28"/>
    <d v="1899-12-30T00:01:05"/>
    <n v="0.35874766111373901"/>
    <s v="Exceso Velocidad 10 Km/h (Velocidad máxima: 26 kmh)"/>
    <x v="42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293"/>
    <d v="2026-06-01T06:41:35"/>
    <d v="1899-12-30T00:00:13"/>
    <n v="4.1876122355461121E-2"/>
    <s v="Uso del cinturón de seguridad (Velocidad máxima: 15 kmh Cinturón de seguridad del conductor (1. Desabrochado): 1.00)"/>
    <x v="82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293"/>
    <d v="2026-06-01T06:41:35"/>
    <d v="1899-12-30T00:00:13"/>
    <n v="4.1876122355461121E-2"/>
    <s v="Exceso Velocidad 10 Km/h (Velocidad máxima: 15 kmh)"/>
    <x v="50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294"/>
    <d v="2026-06-01T06:41:53"/>
    <d v="1899-12-30T00:00:07"/>
    <n v="2.0015465095639229E-2"/>
    <s v="Uso del cinturón de seguridad (Velocidad máxima: 13 kmh Cinturón de seguridad del conductor (1. Desabrochado): 1.00)"/>
    <x v="64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294"/>
    <d v="2026-06-01T06:41:53"/>
    <d v="1899-12-30T00:00:07"/>
    <n v="2.0015465095639229E-2"/>
    <s v="Exceso Velocidad 10 Km/h (Velocidad máxima: 13 kmh)"/>
    <x v="34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Meta, 502057, Colombia"/>
    <s v="Cliente, Vel Max 40 Km/h, Vel Max 10 Km/h"/>
    <x v="295"/>
    <d v="2026-06-01T08:35:32"/>
    <d v="1899-12-30T00:00:10"/>
    <n v="3.2981488853693008E-2"/>
    <s v="Uso del cinturón de seguridad (Velocidad máxima: 12 kmh Cinturón de seguridad del conductor (1. Desabrochado): 1.00)"/>
    <x v="63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295"/>
    <d v="2026-06-01T08:35:32"/>
    <d v="1899-12-30T00:00:10"/>
    <n v="3.2981488853693008E-2"/>
    <s v="Exceso Velocidad 10 Km/h (Velocidad máxima: 12 kmh)"/>
    <x v="33"/>
    <s v="Válido"/>
  </r>
  <r>
    <x v="7"/>
    <s v="Vehicle, Diesel, Frontera Energy Col 2679"/>
    <x v="2"/>
    <x v="2"/>
    <x v="2"/>
    <n v="0"/>
    <x v="0"/>
    <s v="ECOPETROL RUBIALES- Quifa - CAÑO SUR, BATERIA 4: Rb 4 324 126 129 195 14 325 316 143 217 1 26 523 256 28, Puerto Gaitán, Meta, Colombia"/>
    <s v="Cliente, Vel Max 40 Km/h, Vel Max 10 Km/h"/>
    <x v="296"/>
    <d v="2026-06-01T08:36:47"/>
    <d v="1899-12-30T00:34:40"/>
    <n v="0"/>
    <s v="Tiempo en ralentí (Ignición: 1.00)"/>
    <x v="0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297"/>
    <d v="2026-06-01T09:13:38"/>
    <d v="1899-12-30T00:01:27"/>
    <n v="0.35196641087532043"/>
    <s v="Exceso Velocidad 10 Km/h (Velocidad máxima: 22 kmh)"/>
    <x v="38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297"/>
    <d v="2026-06-01T09:13:38"/>
    <d v="1899-12-30T00:01:27"/>
    <n v="0.35196641087532043"/>
    <s v="Uso del cinturón de seguridad (Velocidad máxima: 22 kmh Cinturón de seguridad del conductor (1. Desabrochado): 1.00)"/>
    <x v="83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298"/>
    <d v="2026-06-01T09:20:37"/>
    <d v="1899-12-30T00:00:38"/>
    <n v="0.11353500932455063"/>
    <s v="Exceso Velocidad 10 Km/h (Velocidad máxima: 11 kmh)"/>
    <x v="31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298"/>
    <d v="2026-06-01T09:20:37"/>
    <d v="1899-12-30T00:00:38"/>
    <n v="0.11353500932455063"/>
    <s v="Uso del cinturón de seguridad (Velocidad máxima: 11 kmh Cinturón de seguridad del conductor (1. Desabrochado): 1.00)"/>
    <x v="78"/>
    <s v="Válido"/>
  </r>
  <r>
    <x v="7"/>
    <s v="Vehicle, Diesel, Frontera Energy Col 2679"/>
    <x v="2"/>
    <x v="2"/>
    <x v="2"/>
    <n v="0"/>
    <x v="9"/>
    <s v="ECOPETROL RUBIALES- Quifa - CAÑO SUR, BATERIA 4: Rb 4, Puerto Gaitán, Meta, Colombia"/>
    <s v="Cliente, Vel Max 40 Km/h, Vel Max 10 Km/h"/>
    <x v="299"/>
    <d v="2026-06-01T09:21:14"/>
    <d v="1899-12-30T00:00:06"/>
    <n v="1.720288023352623E-2"/>
    <s v="Uso del cinturón de seguridad (Velocidad máxima: 12 kmh Cinturón de seguridad del conductor (1. Desabrochado): 1.00)"/>
    <x v="63"/>
    <s v="Válido"/>
  </r>
  <r>
    <x v="7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299"/>
    <d v="2026-06-01T09:21:14"/>
    <d v="1899-12-30T00:00:06"/>
    <n v="1.720288023352623E-2"/>
    <s v="Exceso Velocidad 10 Km/h (Velocidad máxima: 12 kmh)"/>
    <x v="33"/>
    <s v="Válido"/>
  </r>
  <r>
    <x v="7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300"/>
    <d v="2026-06-01T09:21:28"/>
    <d v="1899-12-30T00:00:07"/>
    <n v="2.0241651684045792E-2"/>
    <s v="Exceso Velocidad 10 Km/h (Velocidad máxima: 13 kmh)"/>
    <x v="34"/>
    <s v="Válido"/>
  </r>
  <r>
    <x v="7"/>
    <s v="Vehicle, Diesel, Frontera Energy Col 2679"/>
    <x v="2"/>
    <x v="2"/>
    <x v="2"/>
    <n v="0"/>
    <x v="9"/>
    <s v="ECOPETROL RUBIALES- Quifa - CAÑO SUR, BATERIA 4: Rb 4, Puerto Gaitán, Meta, Colombia"/>
    <s v="Cliente, Vel Max 40 Km/h, Vel Max 10 Km/h"/>
    <x v="300"/>
    <d v="2026-06-01T09:21:28"/>
    <d v="1899-12-30T00:00:07"/>
    <n v="2.0241651684045792E-2"/>
    <s v="Uso del cinturón de seguridad (Velocidad máxima: 13 kmh Cinturón de seguridad del conductor (1. Desabrochado): 1.00)"/>
    <x v="64"/>
    <s v="Válido"/>
  </r>
  <r>
    <x v="7"/>
    <s v="Vehicle, Diesel, Frontera Energy Col 2679"/>
    <x v="2"/>
    <x v="2"/>
    <x v="2"/>
    <n v="0"/>
    <x v="9"/>
    <s v="ECOPETROL RUBIALES- Quifa - CAÑO SUR, BATERIA 4: Rb 4, Puerto Gaitán, Meta, Colombia"/>
    <s v="Cliente, Vel Max 40 Km/h, Vel Max 10 Km/h"/>
    <x v="301"/>
    <d v="2026-06-01T09:22:39"/>
    <d v="1899-12-30T00:00:18"/>
    <n v="5.1638878881931305E-2"/>
    <s v="Uso del cinturón de seguridad (Velocidad máxima: 11 kmh Cinturón de seguridad del conductor (1. Desabrochado): 1.00)"/>
    <x v="78"/>
    <s v="Válido"/>
  </r>
  <r>
    <x v="7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301"/>
    <d v="2026-06-01T09:22:39"/>
    <d v="1899-12-30T00:00:18"/>
    <n v="5.1638878881931305E-2"/>
    <s v="Exceso Velocidad 10 Km/h (Velocidad máxima: 11 kmh)"/>
    <x v="31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Meta, 502057, Colombia"/>
    <s v="Cliente, Vel Max 40 Km/h, Vel Max 10 Km/h"/>
    <x v="302"/>
    <d v="2026-06-01T10:57:59"/>
    <d v="1899-12-30T00:00:10"/>
    <n v="3.5529825836420059E-2"/>
    <s v="Uso del cinturón de seguridad (Velocidad máxima: 15 kmh Cinturón de seguridad del conductor (1. Desabrochado): 1.00)"/>
    <x v="82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302"/>
    <d v="2026-06-01T10:57:59"/>
    <d v="1899-12-30T00:00:10"/>
    <n v="3.5529825836420059E-2"/>
    <s v="Exceso Velocidad 10 Km/h (Velocidad máxima: 15 kmh)"/>
    <x v="50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303"/>
    <d v="2026-06-01T10:58:19"/>
    <d v="1899-12-30T00:00:17"/>
    <n v="5.0190337002277374E-2"/>
    <s v="Exceso Velocidad 10 Km/h (Velocidad máxima: 12 kmh)"/>
    <x v="33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Meta, 502057, Colombia"/>
    <s v="Cliente, Vel Max 40 Km/h, Vel Max 10 Km/h"/>
    <x v="303"/>
    <d v="2026-06-01T10:58:19"/>
    <d v="1899-12-30T00:00:17"/>
    <n v="5.0190337002277374E-2"/>
    <s v="Uso del cinturón de seguridad (Velocidad máxima: 12 kmh Cinturón de seguridad del conductor (1. Desabrochado): 1.00)"/>
    <x v="63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304"/>
    <d v="2026-06-01T10:58:35"/>
    <d v="1899-12-30T00:01:06"/>
    <n v="0.3020247220993042"/>
    <s v="Uso del cinturón de seguridad (Velocidad máxima: 20 kmh Cinturón de seguridad del conductor (1. Desabrochado): 1.00)"/>
    <x v="77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304"/>
    <d v="2026-06-01T10:58:35"/>
    <d v="1899-12-30T00:01:06"/>
    <n v="0.3020247220993042"/>
    <s v="Exceso Velocidad 10 Km/h (Velocidad máxima: 20 kmh)"/>
    <x v="30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305"/>
    <d v="2026-06-01T11:19:19"/>
    <d v="1899-12-30T00:01:55"/>
    <n v="0.57862287759780884"/>
    <s v="Uso del cinturón de seguridad (Velocidad máxima: 26 kmh Cinturón de seguridad del conductor (1. Desabrochado): 1.00)"/>
    <x v="81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305"/>
    <d v="2026-06-01T11:19:19"/>
    <d v="1899-12-30T00:01:55"/>
    <n v="0.57862287759780884"/>
    <s v="Exceso Velocidad 10 Km/h (Velocidad máxima: 26 kmh)"/>
    <x v="42"/>
    <s v="Válido"/>
  </r>
  <r>
    <x v="7"/>
    <s v="Vehicle, Diesel, Frontera Energy Col 2679"/>
    <x v="2"/>
    <x v="2"/>
    <x v="2"/>
    <n v="0"/>
    <x v="7"/>
    <s v="ECOPETROL RUBIALES- Quifa - CAÑO SUR, BATERIA 4: Rb 4 324 126 129 195 14 325 316 143 217 1 26 523 256 28, Puerto Gaitán, Meta, Colombia"/>
    <s v="Cliente, Vel Max 40 Km/h, Vel Max 10 Km/h"/>
    <x v="306"/>
    <d v="2026-06-01T11:21:31"/>
    <d v="1899-12-30T00:00:00"/>
    <n v="5.5888318456709385E-5"/>
    <s v="Giro brusco (Velocidad máxima: 7 kmh Aceleración de lado a lado: 0.50 g-force, Ignición: 1.00)"/>
    <x v="84"/>
    <s v="Válido"/>
  </r>
  <r>
    <x v="7"/>
    <s v="Vehicle, Diesel, Frontera Energy Col 2679"/>
    <x v="2"/>
    <x v="2"/>
    <x v="2"/>
    <n v="0"/>
    <x v="0"/>
    <s v="ECOPETROL RUBIALES- Quifa - CAÑO SUR, BATERIA 4: Rb 4 324 126 129 195 14 325 316 143 217 1 26 523 256 28, Meta, 502057, Colombia"/>
    <s v="Cliente, Vel Max 40 Km/h, Vel Max 10 Km/h"/>
    <x v="307"/>
    <d v="2026-06-01T12:09:08"/>
    <d v="1899-12-30T00:17:54"/>
    <n v="1.0208770632743835E-2"/>
    <s v="Tiempo en ralentí (Ignición: 1.00)"/>
    <x v="0"/>
    <s v="Válido"/>
  </r>
  <r>
    <x v="7"/>
    <s v="Vehicle, Diesel, Frontera Energy Col 2679"/>
    <x v="2"/>
    <x v="2"/>
    <x v="2"/>
    <n v="0"/>
    <x v="0"/>
    <s v="ECOPETROL RUBIALES- Quifa - CAÑO SUR, BATERIA 4: Rb 4 324 126 129 195 14 325 316 143 217 1 26 523 256 28, Meta, 502057, Colombia"/>
    <s v="Cliente, Vel Max 40 Km/h, Vel Max 10 Km/h"/>
    <x v="308"/>
    <d v="2026-06-01T12:34:23"/>
    <d v="1899-12-30T00:09:12"/>
    <n v="2.0559715107083321E-2"/>
    <s v="Tiempo en ralentí (Ignición: 1.00)"/>
    <x v="0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309"/>
    <d v="2026-06-01T15:36:52"/>
    <d v="1899-12-30T00:00:39"/>
    <n v="0"/>
    <s v="Uso del cinturón de seguridad (Velocidad máxima: 12 kmh Cinturón de seguridad del conductor (1. Desabrochado): 1.00)"/>
    <x v="63"/>
    <s v="Válido"/>
  </r>
  <r>
    <x v="7"/>
    <s v="Vehicle, Diesel, Frontera Energy Col 2679"/>
    <x v="2"/>
    <x v="2"/>
    <x v="2"/>
    <n v="0"/>
    <x v="0"/>
    <s v="ECOPETROL RUBIALES- Quifa - CAÑO SUR, BATERIA 4: Rb 4, Puerto Gaitán, Meta, Colombia"/>
    <s v="Cliente, Vel Max 40 Km/h, Vel Max 10 Km/h"/>
    <x v="310"/>
    <d v="2026-06-01T15:37:39"/>
    <d v="1899-12-30T00:09:50"/>
    <n v="0"/>
    <s v="Tiempo en ralentí (Ignición: 1.00)"/>
    <x v="0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Puerto Gaitán, Meta, Colombia"/>
    <s v="Cliente, Vel Max 40 Km/h, Vel Max 10 Km/h"/>
    <x v="311"/>
    <d v="2026-06-01T15:48:48"/>
    <d v="1899-12-30T00:01:13"/>
    <n v="0.23783670365810394"/>
    <s v="Uso del cinturón de seguridad (Velocidad máxima: 16 kmh Cinturón de seguridad del conductor (1. Desabrochado): 1.00)"/>
    <x v="85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311"/>
    <d v="2026-06-01T15:48:48"/>
    <d v="1899-12-30T00:01:13"/>
    <n v="0.23783670365810394"/>
    <s v="Exceso Velocidad 10 Km/h (Velocidad máxima: 16 kmh)"/>
    <x v="32"/>
    <s v="Válido"/>
  </r>
  <r>
    <x v="7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312"/>
    <d v="2026-06-01T15:50:05"/>
    <d v="1899-12-30T00:01:13"/>
    <n v="0.35110870003700256"/>
    <s v="Exceso Velocidad 10 Km/h (Velocidad máxima: 22 kmh)"/>
    <x v="38"/>
    <s v="Válido"/>
  </r>
  <r>
    <x v="7"/>
    <s v="Vehicle, Diesel, Frontera Energy Col 2679"/>
    <x v="2"/>
    <x v="2"/>
    <x v="2"/>
    <n v="0"/>
    <x v="9"/>
    <s v="ECOPETROL RUBIALES- Quifa - CAÑO SUR, BATERIA 4: Rb 4 324 126 129 195 14 325 316 143 217 1 26 523 256 28, Meta, 502057, Colombia"/>
    <s v="Cliente, Vel Max 40 Km/h, Vel Max 10 Km/h"/>
    <x v="312"/>
    <d v="2026-06-01T15:50:05"/>
    <d v="1899-12-30T00:01:30"/>
    <n v="0.44335061311721802"/>
    <s v="Uso del cinturón de seguridad (Velocidad máxima: 24 kmh Cinturón de seguridad del conductor (1. Desabrochado): 1.00)"/>
    <x v="45"/>
    <s v="Válido"/>
  </r>
  <r>
    <x v="7"/>
    <s v="Vehicle, Diesel, Frontera Energy Col 2679"/>
    <x v="2"/>
    <x v="2"/>
    <x v="2"/>
    <n v="0"/>
    <x v="9"/>
    <s v="ECOPETROL RUBIALES- Quifa - CAÑO SUR: Rb 4 324 126 129 195 14 325 316 143 217 1 26 523 256 28, Meta, 502057, Colombia"/>
    <s v="Cliente, Vel Max 40 Km/h"/>
    <x v="313"/>
    <d v="2026-06-01T15:53:00"/>
    <d v="1899-12-30T00:00:03"/>
    <n v="8.4745734930038452E-3"/>
    <s v="Uso del cinturón de seguridad (Velocidad máxima: 13 kmh Cinturón de seguridad del conductor (1. Desabrochado): 1.00)"/>
    <x v="64"/>
    <s v="Válido"/>
  </r>
  <r>
    <x v="7"/>
    <s v="Vehicle, Diesel, Frontera Energy Col 2679"/>
    <x v="2"/>
    <x v="2"/>
    <x v="2"/>
    <n v="0"/>
    <x v="7"/>
    <s v="ECOPETROL RUBIALES- Quifa - CAÑO SUR: Rb 280, Puerto Gaitán, Meta, Colombia"/>
    <s v="Cliente, Vel Max 40 Km/h"/>
    <x v="314"/>
    <d v="2026-06-01T15:56:04"/>
    <d v="1899-12-30T00:00:00"/>
    <n v="6.1572784034069628E-5"/>
    <s v="Giro brusco (Velocidad máxima: 11 kmh Ignición: 1.00 , Aceleración de lado a lado: 0.48 g-force)"/>
    <x v="86"/>
    <s v="Válido"/>
  </r>
  <r>
    <x v="7"/>
    <s v="Vehicle, Diesel, Frontera Energy Col 2679"/>
    <x v="2"/>
    <x v="2"/>
    <x v="2"/>
    <n v="0"/>
    <x v="7"/>
    <s v="ECOPETROL RUBIALES- Quifa - CAÑO SUR: Rb 280 320 4 324 126 129 195 14 325 316 143 217 1 26 523 256 28, Puerto Gaitán, Meta, Colombia"/>
    <s v="Cliente, Vel Max 40 Km/h"/>
    <x v="315"/>
    <d v="2026-06-01T15:56:05"/>
    <d v="1899-12-30T00:00:00"/>
    <n v="8.3210186858195812E-5"/>
    <s v="Giro brusco (Velocidad máxima: 9 kmh Ignición: 1.00 , Aceleración de lado a lado: -0.52 g-force)"/>
    <x v="87"/>
    <s v="Válido"/>
  </r>
  <r>
    <x v="7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316"/>
    <d v="2026-06-01T16:00:56"/>
    <d v="1899-12-30T00:12:54"/>
    <n v="0"/>
    <s v="Tiempo en ralentí (Ignición: 1.00)"/>
    <x v="0"/>
    <s v="Válido"/>
  </r>
  <r>
    <x v="7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317"/>
    <d v="2026-06-01T16:15:55"/>
    <d v="1899-12-30T00:17:51"/>
    <n v="0"/>
    <s v="Tiempo en ralentí (Ignición: 1.00)"/>
    <x v="0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18"/>
    <d v="2026-06-01T16:53:08"/>
    <d v="1899-12-30T00:00:03"/>
    <n v="3.3251542598009109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19"/>
    <d v="2026-06-01T16:53:32"/>
    <d v="1899-12-30T00:00:18"/>
    <n v="0.19998958706855774"/>
    <s v="Exceso Velocidad 40 Km/h (Velocidad máxima: 42 kmh)"/>
    <x v="51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0"/>
    <d v="2026-06-01T16:58:00"/>
    <d v="1899-12-30T00:00:05"/>
    <n v="5.4643824696540833E-2"/>
    <s v="Exceso Velocidad 40 Km/h (Velocidad máxima: 42 kmh)"/>
    <x v="51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1"/>
    <d v="2026-06-01T17:00:31"/>
    <d v="1899-12-30T00:00:02"/>
    <n v="2.5692952796816826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2"/>
    <d v="2026-06-01T17:00:39"/>
    <d v="1899-12-30T00:00:05"/>
    <n v="4.9012988805770874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3"/>
    <d v="2026-06-01T17:01:24"/>
    <d v="1899-12-30T00:00:19"/>
    <n v="0.20167014002799988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4"/>
    <d v="2026-06-01T17:02:27"/>
    <d v="1899-12-30T00:00:08"/>
    <n v="8.2266353070735931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5"/>
    <d v="2026-06-01T17:03:06"/>
    <d v="1899-12-30T00:00:13"/>
    <n v="0.14094211161136627"/>
    <s v="Exceso Velocidad 40 Km/h (Velocidad máxima: 42 kmh)"/>
    <x v="51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6"/>
    <d v="2026-06-01T17:04:39"/>
    <d v="1899-12-30T00:00:05"/>
    <n v="4.7919023782014847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7"/>
    <d v="2026-06-01T17:05:07"/>
    <d v="1899-12-30T00:00:02"/>
    <n v="1.8495595082640648E-2"/>
    <s v="Exceso Velocidad 40 Km/h (Velocidad máxima: 41 kmh)"/>
    <x v="47"/>
    <s v="Válido"/>
  </r>
  <r>
    <x v="7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328"/>
    <d v="2026-06-01T17:05:34"/>
    <d v="1899-12-30T00:00:04"/>
    <n v="4.7172155231237411E-2"/>
    <s v="Exceso Velocidad 40 Km/h (Velocidad máxima: 41 kmh)"/>
    <x v="47"/>
    <s v="Válido"/>
  </r>
  <r>
    <x v="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329"/>
    <d v="2026-06-01T17:09:52"/>
    <d v="1899-12-30T00:00:08"/>
    <n v="3.9660155773162842E-2"/>
    <s v="Exceso Velocidad 10 Km/h (Velocidad máxima: 20 kmh)"/>
    <x v="30"/>
    <s v="Válido"/>
  </r>
  <r>
    <x v="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330"/>
    <d v="2026-06-01T17:10:00"/>
    <d v="1899-12-30T00:00:20"/>
    <n v="8.0801501870155334E-2"/>
    <s v="Exceso Velocidad 10 Km/h (Velocidad máxima: 16 kmh)"/>
    <x v="32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31"/>
    <d v="2026-06-01T17:11:28"/>
    <d v="1899-12-30T00:00:09"/>
    <n v="7.0783950388431549E-2"/>
    <s v="Exceso Velocidad 30 Km/h (Velocidad máxima: 31 kmh)"/>
    <x v="49"/>
    <s v="Válido"/>
  </r>
  <r>
    <x v="7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332"/>
    <d v="2026-06-01T17:12:16"/>
    <d v="1899-12-30T00:00:00"/>
    <n v="2.8372271117405035E-5"/>
    <s v="Giro brusco (Velocidad máxima: 18 kmh Aceleración de lado a lado: -0.47 g-force, Ignición: 1.00)"/>
    <x v="37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333"/>
    <d v="2026-06-01T17:13:09"/>
    <d v="1899-12-30T00:00:23"/>
    <n v="0.18306021392345428"/>
    <s v="Exceso Velocidad 10 Km/h (Velocidad máxima: 30 kmh)"/>
    <x v="88"/>
    <s v="Válido"/>
  </r>
  <r>
    <x v="7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334"/>
    <d v="2026-06-01T17:13:29"/>
    <d v="1899-12-30T00:00:07"/>
    <n v="5.4799158126115799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35"/>
    <d v="2026-06-01T17:13:47"/>
    <d v="1899-12-30T00:00:13"/>
    <n v="0.11562753468751907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36"/>
    <d v="2026-06-01T17:14:25"/>
    <d v="1899-12-30T00:00:03"/>
    <n v="2.6324890553951263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37"/>
    <d v="2026-06-01T17:14:41"/>
    <d v="1899-12-30T00:00:26"/>
    <n v="0.22489573061466217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38"/>
    <d v="2026-06-01T17:25:30"/>
    <d v="1899-12-30T00:00:05"/>
    <n v="3.7004783749580383E-2"/>
    <s v="Exceso Velocidad 30 Km/h (Velocidad máxima: 31 kmh)"/>
    <x v="49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339"/>
    <d v="2026-06-01T17:25:55"/>
    <d v="1899-12-30T00:00:30"/>
    <n v="0.18268090486526489"/>
    <s v="Exceso Velocidad 10 Km/h (Velocidad máxima: 24 kmh)"/>
    <x v="41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40"/>
    <d v="2026-06-01T17:28:15"/>
    <d v="1899-12-30T00:00:11"/>
    <n v="8.9903213083744049E-2"/>
    <s v="Exceso Velocidad 30 Km/h (Velocidad máxima: 31 kmh)"/>
    <x v="49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Puerto Gaitan - Rubiales, Puerto Gaitán, Meta, Colombia"/>
    <s v="Vel Max 10 Km/h, Cliente, Vel Max 40 Km/h, Centro de servicios del proveedor"/>
    <x v="341"/>
    <d v="2026-06-01T17:38:27"/>
    <d v="1899-12-30T00:00:06"/>
    <n v="1.630362868309021E-2"/>
    <s v="Exceso Velocidad 10 Km/h (Velocidad máxima: 12 kmh)"/>
    <x v="33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342"/>
    <d v="2026-06-01T18:09:39"/>
    <d v="1899-12-30T00:00:02"/>
    <n v="4.1178828105330467E-3"/>
    <s v="Exceso Velocidad 10 Km/h (Velocidad máxima: 11 kmh)"/>
    <x v="31"/>
    <s v="Válido"/>
  </r>
  <r>
    <x v="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343"/>
    <d v="2026-06-01T18:13:03"/>
    <d v="1899-12-30T00:00:52"/>
    <n v="0.30668511986732483"/>
    <s v="Exceso de velocidad (nuevo) (Velocidad máxima: 28 kmh (Velocidad máxima en carretera: 7 kmh))"/>
    <x v="89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344"/>
    <d v="2026-06-01T18:14:00"/>
    <d v="1899-12-30T00:00:20"/>
    <n v="8.2810245454311371E-2"/>
    <s v="Exceso Velocidad 10 Km/h (Velocidad máxima: 18 kmh)"/>
    <x v="39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345"/>
    <d v="2026-06-01T18:14:35"/>
    <d v="1899-12-30T00:00:06"/>
    <n v="1.8350647762417793E-2"/>
    <s v="Exceso Velocidad 10 Km/h (Velocidad máxima: 13 kmh)"/>
    <x v="34"/>
    <s v="Válido"/>
  </r>
  <r>
    <x v="7"/>
    <s v="Vehicle, Diesel, Frontera Energy Col 2679"/>
    <x v="2"/>
    <x v="2"/>
    <x v="2"/>
    <n v="0"/>
    <x v="0"/>
    <s v="ECOPETROL RUBIALES- Quifa - CAÑO SUR, Centralizado de combustible Quifa: Vía Sin Nombre, Puerto Gaitán, Meta, Colombia"/>
    <s v="Cliente, Vel Max 40 Km/h, Vel Max 10 Km/h"/>
    <x v="346"/>
    <d v="2026-06-01T18:15:12"/>
    <d v="1899-12-30T00:05:04"/>
    <n v="0"/>
    <s v="Tiempo en ralentí (Ignición: 1.00)"/>
    <x v="0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347"/>
    <d v="2026-06-01T18:22:27"/>
    <d v="1899-12-30T00:00:25"/>
    <n v="9.3228161334991455E-2"/>
    <s v="Exceso Velocidad 10 Km/h (Velocidad máxima: 15 kmh)"/>
    <x v="50"/>
    <s v="Válido"/>
  </r>
  <r>
    <x v="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348"/>
    <d v="2026-06-01T18:23:00"/>
    <d v="1899-12-30T00:00:57"/>
    <n v="0.32938644289970398"/>
    <s v="Exceso de velocidad (nuevo) (Velocidad máxima: 28 kmh (Velocidad máxima en carretera: 7 kmh))"/>
    <x v="89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349"/>
    <d v="2026-06-01T18:24:10"/>
    <d v="1899-12-30T00:00:49"/>
    <n v="0.25973892211914063"/>
    <s v="Exceso Velocidad 10 Km/h (Velocidad máxima: 29 kmh)"/>
    <x v="58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350"/>
    <d v="2026-06-01T18:28:08"/>
    <d v="1899-12-30T00:00:16"/>
    <n v="7.2291716933250427E-2"/>
    <s v="Exceso Velocidad 10 Km/h (Velocidad máxima: 20 kmh)"/>
    <x v="30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51"/>
    <d v="2026-06-01T18:29:41"/>
    <d v="1899-12-30T00:00:03"/>
    <n v="2.2081449627876282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52"/>
    <d v="2026-06-01T18:30:00"/>
    <d v="1899-12-30T00:00:11"/>
    <n v="9.9145196378231049E-2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53"/>
    <d v="2026-06-01T18:30:14"/>
    <d v="1899-12-30T00:00:12"/>
    <n v="0.11048848181962967"/>
    <s v="Exceso Velocidad 30 Km/h (Velocidad máxima: 37 kmh)"/>
    <x v="55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54"/>
    <d v="2026-06-01T18:30:42"/>
    <d v="1899-12-30T00:00:10"/>
    <n v="8.8109038770198822E-2"/>
    <s v="Exceso Velocidad 30 Km/h (Velocidad máxima: 35 kmh)"/>
    <x v="59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355"/>
    <d v="2026-06-01T18:31:01"/>
    <d v="1899-12-30T00:00:04"/>
    <n v="1.3508855365216732E-2"/>
    <s v="Exceso Velocidad 10 Km/h (Velocidad máxima: 13 kmh)"/>
    <x v="34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356"/>
    <d v="2026-06-01T18:31:46"/>
    <d v="1899-12-30T00:00:21"/>
    <n v="6.6404305398464203E-2"/>
    <s v="Exceso Velocidad 10 Km/h (Velocidad máxima: 13 kmh)"/>
    <x v="34"/>
    <s v="Válido"/>
  </r>
  <r>
    <x v="7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357"/>
    <d v="2026-06-01T18:32:35"/>
    <d v="1899-12-30T00:00:24"/>
    <n v="7.3393292725086212E-2"/>
    <s v="Exceso Velocidad 10 Km/h (Velocidad máxima: 12 kmh)"/>
    <x v="33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358"/>
    <d v="2026-06-01T18:33:21"/>
    <d v="1899-12-30T00:00:02"/>
    <n v="5.093058105558157E-3"/>
    <s v="Exceso Velocidad 10 Km/h (Velocidad máxima: 11 kmh)"/>
    <x v="31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359"/>
    <d v="2026-06-01T18:33:24"/>
    <d v="1899-12-30T00:00:01"/>
    <n v="4.9308524467051029E-3"/>
    <s v="Exceso Velocidad 10 Km/h (Velocidad máxima: 13 kmh)"/>
    <x v="34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60"/>
    <d v="2026-06-01T18:34:21"/>
    <d v="1899-12-30T00:00:33"/>
    <n v="0.29025271534919739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61"/>
    <d v="2026-06-01T18:35:04"/>
    <d v="1899-12-30T00:00:14"/>
    <n v="0.1270257979631424"/>
    <s v="Exceso Velocidad 30 Km/h (Velocidad máxima: 37 kmh)"/>
    <x v="55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62"/>
    <d v="2026-06-01T18:35:31"/>
    <d v="1899-12-30T00:00:02"/>
    <n v="2.0732186734676361E-2"/>
    <s v="Exceso Velocidad 30 Km/h (Velocidad máxima: 31 kmh)"/>
    <x v="49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363"/>
    <d v="2026-06-01T18:36:12"/>
    <d v="1899-12-30T00:00:25"/>
    <n v="0.1829465925693512"/>
    <s v="Exceso Velocidad 10 Km/h (Velocidad máxima: 29 kmh)"/>
    <x v="58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64"/>
    <d v="2026-06-01T18:36:59"/>
    <d v="1899-12-30T00:00:17"/>
    <n v="0.15175941586494446"/>
    <s v="Exceso Velocidad 30 Km/h (Velocidad máxima: 33 kmh)"/>
    <x v="56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65"/>
    <d v="2026-06-01T18:38:01"/>
    <d v="1899-12-30T00:00:06"/>
    <n v="4.9961619079113007E-2"/>
    <s v="Exceso Velocidad 30 Km/h (Velocidad máxima: 31 kmh)"/>
    <x v="49"/>
    <s v="Válido"/>
  </r>
  <r>
    <x v="7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366"/>
    <d v="2026-06-01T18:39:15"/>
    <d v="1899-12-30T00:09:57"/>
    <n v="0"/>
    <s v="Tiempo en ralentí (Ignición: 1.00)"/>
    <x v="0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67"/>
    <d v="2026-06-01T18:50:50"/>
    <d v="1899-12-30T00:00:11"/>
    <n v="9.7075387835502625E-2"/>
    <s v="Exceso Velocidad 30 Km/h (Velocidad máxima: 35 kmh)"/>
    <x v="59"/>
    <s v="Válido"/>
  </r>
  <r>
    <x v="7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368"/>
    <d v="2026-06-01T19:03:30"/>
    <d v="1899-12-30T00:00:00"/>
    <n v="2.1849546465091407E-4"/>
    <s v="Giro brusco (Velocidad máxima: 12 kmh Aceleración de lado a lado: -0.60 g-force, Ignición: 1.00)"/>
    <x v="90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69"/>
    <d v="2026-06-01T19:03:40"/>
    <d v="1899-12-30T00:00:03"/>
    <n v="1.9816165789961815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370"/>
    <d v="2026-06-01T19:08:48"/>
    <d v="1899-12-30T00:00:09"/>
    <n v="7.8148938715457916E-2"/>
    <s v="Exceso Velocidad 30 Km/h (Velocidad máxima: 35 kmh)"/>
    <x v="5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71"/>
    <d v="2026-06-01T19:09:01"/>
    <d v="1899-12-30T00:00:02"/>
    <n v="1.4726393856108189E-2"/>
    <s v="Exceso Velocidad 30 Km/h (Velocidad máxima: 31 kmh)"/>
    <x v="49"/>
    <s v="Válido"/>
  </r>
  <r>
    <x v="7"/>
    <s v="Vehicle, Diesel, Frontera Energy Col 2679"/>
    <x v="2"/>
    <x v="2"/>
    <x v="2"/>
    <n v="0"/>
    <x v="9"/>
    <s v="ECOPETROL RUBIALES- Quifa - CAÑO SUR, Puerto Triunfo - Estacion Policia: Puerto Gaitan - Rubiales, Puerto Gaitán, Meta, Colombia"/>
    <s v="Cliente, Vel Max 40 Km/h, Vel Max 30 Km/h"/>
    <x v="372"/>
    <d v="2026-06-01T19:10:35"/>
    <d v="1899-12-30T00:00:07"/>
    <n v="4.0610548108816147E-2"/>
    <s v="Uso del cinturón de seguridad (Velocidad máxima: 22 kmh Cinturón de seguridad del conductor (1. Desabrochado): 1.00)"/>
    <x v="83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73"/>
    <d v="2026-06-01T19:10:52"/>
    <d v="1899-12-30T00:00:02"/>
    <n v="1.6647385433316231E-2"/>
    <s v="Exceso Velocidad 30 Km/h (Velocidad máxima: 31 kmh)"/>
    <x v="49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74"/>
    <d v="2026-06-01T19:11:21"/>
    <d v="1899-12-30T00:00:02"/>
    <n v="1.7870286479592323E-2"/>
    <s v="Exceso Velocidad 30 Km/h (Velocidad máxima: 31 kmh)"/>
    <x v="49"/>
    <s v="Válido"/>
  </r>
  <r>
    <x v="7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375"/>
    <d v="2026-06-01T19:11:43"/>
    <d v="1899-12-30T00:00:00"/>
    <n v="1.251999638043344E-4"/>
    <s v="Giro brusco (Velocidad máxima: 14 kmh Aceleración de lado a lado: -0.50 g-force, Ignición: 1.00)"/>
    <x v="91"/>
    <s v="Válido"/>
  </r>
  <r>
    <x v="7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376"/>
    <d v="2026-06-01T19:11:44"/>
    <d v="1899-12-30T00:00:00"/>
    <n v="4.6834058593958616E-4"/>
    <s v="Giro brusco (Velocidad máxima: 14 kmh Aceleración de lado a lado: -0.61 g-force, Ignición: 1.00)"/>
    <x v="92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77"/>
    <d v="2026-06-01T19:11:52"/>
    <d v="1899-12-30T00:00:12"/>
    <n v="0.10551683604717255"/>
    <s v="Exceso Velocidad 30 Km/h (Velocidad máxima: 33 kmh)"/>
    <x v="56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378"/>
    <d v="2026-06-01T19:14:27"/>
    <d v="1899-12-30T00:00:35"/>
    <n v="0.1824304461479187"/>
    <s v="Exceso Velocidad 10 Km/h (Velocidad máxima: 22 kmh)"/>
    <x v="38"/>
    <s v="Válido"/>
  </r>
  <r>
    <x v="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379"/>
    <d v="2026-06-01T19:15:23"/>
    <d v="1899-12-30T00:00:44"/>
    <n v="0.28074076771736145"/>
    <s v="Exceso de velocidad (nuevo) (Velocidad máxima: 31 kmh (Velocidad máxima en carretera: 7 kmh))"/>
    <x v="67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380"/>
    <d v="2026-06-01T19:16:16"/>
    <d v="1899-12-30T00:00:40"/>
    <n v="0.14805571734905243"/>
    <s v="Exceso Velocidad 10 Km/h (Velocidad máxima: 14 kmh)"/>
    <x v="10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381"/>
    <d v="2026-06-01T19:21:28"/>
    <d v="1899-12-30T00:00:33"/>
    <n v="0.11126343160867691"/>
    <s v="Exceso Velocidad 10 Km/h (Velocidad máxima: 13 kmh)"/>
    <x v="34"/>
    <s v="Válido"/>
  </r>
  <r>
    <x v="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382"/>
    <d v="2026-06-01T19:22:11"/>
    <d v="1899-12-30T00:00:54"/>
    <n v="0.29594266414642334"/>
    <s v="Exceso de velocidad (nuevo) (Velocidad máxima: 26 kmh (Velocidad máxima en carretera: 7 kmh))"/>
    <x v="93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83"/>
    <d v="2026-06-01T19:24:30"/>
    <d v="1899-12-30T00:00:07"/>
    <n v="5.434783548116684E-2"/>
    <s v="Exceso Velocidad 30 Km/h (Velocidad máxima: 31 kmh)"/>
    <x v="49"/>
    <s v="Válido"/>
  </r>
  <r>
    <x v="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384"/>
    <d v="2026-06-01T19:25:36"/>
    <d v="1899-12-30T00:00:16"/>
    <n v="7.3243491351604462E-2"/>
    <s v="Exceso Velocidad 10 Km/h (Velocidad máxima: 22 kmh)"/>
    <x v="38"/>
    <s v="Válido"/>
  </r>
  <r>
    <x v="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385"/>
    <d v="2026-06-01T19:25:52"/>
    <d v="1899-12-30T00:00:20"/>
    <n v="0.11484766006469727"/>
    <s v="Exceso Velocidad 10 Km/h (Velocidad máxima: 28 kmh)"/>
    <x v="62"/>
    <s v="Válido"/>
  </r>
  <r>
    <x v="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386"/>
    <d v="2026-06-01T19:27:20"/>
    <d v="1899-12-30T00:00:01"/>
    <n v="5.2984221838414669E-3"/>
    <s v="Exceso Velocidad 30 Km/h (Velocidad máxima: 31 kmh)"/>
    <x v="49"/>
    <s v="Válido"/>
  </r>
  <r>
    <x v="7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387"/>
    <d v="2026-06-01T20:18:11"/>
    <d v="1899-12-30T00:08:19"/>
    <n v="1.3223888527136296E-4"/>
    <s v="Tiempo en ralentí (Ignición: 1.00)"/>
    <x v="0"/>
    <s v="Válido"/>
  </r>
  <r>
    <x v="7"/>
    <s v="Vehicle, Diesel, Frontera Energy Col 2679"/>
    <x v="2"/>
    <x v="2"/>
    <x v="2"/>
    <n v="0"/>
    <x v="0"/>
    <s v="ECOPETROL RUBIALES- Quifa - CAÑO SUR: Qf 12, Puerto Gaitán, Meta, Colombia"/>
    <s v="Cliente, Vel Max 40 Km/h"/>
    <x v="388"/>
    <d v="2026-06-01T21:32:03"/>
    <d v="1899-12-30T00:11:40"/>
    <n v="0"/>
    <s v="Tiempo en ralentí (Ignición: 1.00)"/>
    <x v="0"/>
    <s v="Válido"/>
  </r>
  <r>
    <x v="7"/>
    <s v="Vehicle, Diesel, Frontera Energy Col 2679"/>
    <x v="2"/>
    <x v="2"/>
    <x v="2"/>
    <n v="0"/>
    <x v="9"/>
    <s v="ECOPETROL RUBIALES- Quifa - CAÑO SUR: Qf 12, Puerto Gaitán, Meta, Colombia"/>
    <s v="Cliente, Vel Max 40 Km/h"/>
    <x v="389"/>
    <d v="2026-06-01T21:44:53"/>
    <d v="1899-12-30T00:00:09"/>
    <n v="2.5715751573443413E-2"/>
    <s v="Uso del cinturón de seguridad (Velocidad máxima: 13 kmh Cinturón de seguridad del conductor (1. Desabrochado): 1.00)"/>
    <x v="64"/>
    <s v="Válido"/>
  </r>
  <r>
    <x v="7"/>
    <s v="Vehicle, Diesel, Frontera Energy Col 2679"/>
    <x v="2"/>
    <x v="2"/>
    <x v="2"/>
    <n v="0"/>
    <x v="9"/>
    <s v="ECOPETROL RUBIALES- Quifa - CAÑO SUR: Qf 12, Puerto Gaitán, Meta, Colombia"/>
    <s v="Cliente, Vel Max 40 Km/h"/>
    <x v="390"/>
    <d v="2026-06-01T21:46:03"/>
    <d v="1899-12-30T00:00:03"/>
    <n v="8.6021833121776581E-3"/>
    <s v="Uso del cinturón de seguridad (Velocidad máxima: 11 kmh Cinturón de seguridad del conductor (1. Desabrochado): 1.00)"/>
    <x v="78"/>
    <s v="Válido"/>
  </r>
  <r>
    <x v="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391"/>
    <d v="2026-06-01T21:54:39"/>
    <d v="1899-12-30T00:00:11"/>
    <n v="4.8341318964958191E-2"/>
    <s v="Exceso Velocidad 10 Km/h (Velocidad máxima: 15 kmh)"/>
    <x v="50"/>
    <s v="Válido"/>
  </r>
  <r>
    <x v="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392"/>
    <d v="2026-06-01T21:54:52"/>
    <d v="1899-12-30T00:00:18"/>
    <n v="7.3740497231483459E-2"/>
    <s v="Exceso Velocidad 10 Km/h (Velocidad máxima: 20 kmh)"/>
    <x v="30"/>
    <s v="Válido"/>
  </r>
  <r>
    <x v="7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393"/>
    <d v="2026-06-01T21:55:46"/>
    <d v="1899-12-30T00:01:34"/>
    <n v="0.53470879793167114"/>
    <s v="Exceso Velocidad 10 Km/h (Velocidad máxima: 22 kmh)"/>
    <x v="38"/>
    <s v="Válido"/>
  </r>
  <r>
    <x v="7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394"/>
    <d v="2026-06-01T21:59:27"/>
    <d v="1899-12-30T00:00:09"/>
    <n v="2.6601267978549004E-2"/>
    <s v="Uso del cinturón de seguridad (Velocidad máxima: 14 kmh Cinturón de seguridad del conductor (1. Desabrochado): 1.00)"/>
    <x v="79"/>
    <s v="Válido"/>
  </r>
  <r>
    <x v="7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395"/>
    <d v="2026-06-01T21:59:51"/>
    <d v="1899-12-30T00:07:42"/>
    <n v="0"/>
    <s v="Tiempo en ralentí (Ignición: 1.00)"/>
    <x v="0"/>
    <s v="Válido"/>
  </r>
  <r>
    <x v="7"/>
    <s v="Vehicle, Diesel, Frontera Energy Col 2679"/>
    <x v="2"/>
    <x v="2"/>
    <x v="2"/>
    <n v="0"/>
    <x v="4"/>
    <s v="ECOPETROL RUBIALES- Quifa - CAÑO SUR, Campamento Quifa - CMA: Vía Sin Nombre, Puerto Gaitán, Meta, Colombia"/>
    <s v="Cliente, Vel Max 40 Km/h, Vel Max 10 Km/h"/>
    <x v="396"/>
    <d v="2026-06-01T22:08:17"/>
    <d v="1899-12-30T00:01:29"/>
    <n v="0.53702408075332642"/>
    <s v="Exceso Velocidad 10 Km/h (Velocidad máxima: 28 kmh)"/>
    <x v="62"/>
    <s v="Válido"/>
  </r>
  <r>
    <x v="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397"/>
    <d v="2026-06-01T22:12:00"/>
    <d v="1899-12-30T00:00:56"/>
    <n v="0.31224039196968079"/>
    <s v="Exceso de velocidad (nuevo) (Velocidad máxima: 26 kmh (Velocidad máxima en carretera: 7 kmh))"/>
    <x v="93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398"/>
    <d v="2026-06-01T22:13:04"/>
    <d v="1899-12-30T00:00:46"/>
    <n v="0.15075221657752991"/>
    <s v="Exceso Velocidad 10 Km/h (Velocidad máxima: 14 kmh)"/>
    <x v="10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399"/>
    <d v="2026-06-01T22:59:43"/>
    <d v="1899-12-30T00:00:10"/>
    <n v="3.4105021506547928E-2"/>
    <s v="Exceso Velocidad 10 Km/h (Velocidad máxima: 12 kmh)"/>
    <x v="33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400"/>
    <d v="2026-06-01T22:59:53"/>
    <d v="1899-12-30T00:00:27"/>
    <n v="9.4684794545173645E-2"/>
    <s v="Exceso Velocidad 10 Km/h (Velocidad máxima: 14 kmh)"/>
    <x v="10"/>
    <s v="Válido"/>
  </r>
  <r>
    <x v="7"/>
    <s v="Vehicle, Diesel, Frontera Energy Col 2679"/>
    <x v="2"/>
    <x v="2"/>
    <x v="2"/>
    <n v="0"/>
    <x v="2"/>
    <s v="ECOPETROL RUBIALES- Quifa - CAÑO SUR, Centralizado de combustible Quifa: Vía Sin Nombre, Puerto Gaitán, Meta, Colombia"/>
    <s v="Cliente, Vel Max 40 Km/h, Vel Max 10 Km/h"/>
    <x v="401"/>
    <d v="2026-06-01T23:00:14"/>
    <d v="1899-12-30T00:00:00"/>
    <n v="0"/>
    <s v="Engine Fault Exception (Presión del riel de combustible/sistema - banco demasiado alto 1)"/>
    <x v="94"/>
    <s v="Válido"/>
  </r>
  <r>
    <x v="7"/>
    <s v="Vehicle, Diesel, Frontera Energy Col 2679"/>
    <x v="2"/>
    <x v="2"/>
    <x v="2"/>
    <n v="0"/>
    <x v="2"/>
    <s v="ECOPETROL RUBIALES- Quifa - CAÑO SUR: Puerto Gaitan - Rubiales, Puerto Gaitán, Meta, Colombia"/>
    <s v="Cliente, Vel Max 40 Km/h"/>
    <x v="402"/>
    <d v="2026-06-01T23:00:34"/>
    <d v="1899-12-30T00:08:03"/>
    <n v="0.28321126103401184"/>
    <s v="Engine Fault Exception (La luz de advertencia del vehículo está encendida)"/>
    <x v="95"/>
    <s v="Válido"/>
  </r>
  <r>
    <x v="7"/>
    <s v="Vehicle, Diesel, Frontera Energy Col 2679"/>
    <x v="2"/>
    <x v="2"/>
    <x v="2"/>
    <n v="0"/>
    <x v="12"/>
    <s v="ECOPETROL RUBIALES- Quifa - CAÑO SUR: Puerto Gaitan - Rubiales, Puerto Gaitán, Meta, Colombia"/>
    <s v="Cliente, Vel Max 40 Km/h"/>
    <x v="402"/>
    <d v="2026-06-01T23:00:34"/>
    <d v="1899-12-30T00:08:03"/>
    <n v="0.28321126103401184"/>
    <s v="Alerta de problema en el motor (La luz de advertencia del vehículo está encendida)"/>
    <x v="96"/>
    <s v="Válido"/>
  </r>
  <r>
    <x v="7"/>
    <s v="Vehicle, Diesel, Frontera Energy Col 2679"/>
    <x v="2"/>
    <x v="2"/>
    <x v="2"/>
    <n v="0"/>
    <x v="2"/>
    <s v="ECOPETROL RUBIALES- Quifa - CAÑO SUR: Puerto Gaitan - Rubiales, Puerto Gaitán, Meta, Colombia"/>
    <s v="Cliente, Vel Max 40 Km/h"/>
    <x v="403"/>
    <d v="2026-06-01T23:02:33"/>
    <d v="1899-12-30T00:00:00"/>
    <n v="0"/>
    <s v="Engine Fault Exception (Presión del riel de combustible/sistema - banco demasiado alto 1)"/>
    <x v="94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404"/>
    <d v="2026-06-01T23:07:12"/>
    <d v="1899-12-30T00:00:07"/>
    <n v="2.1446706727147102E-2"/>
    <s v="Exceso Velocidad 10 Km/h (Velocidad máxima: 11 kmh)"/>
    <x v="31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405"/>
    <d v="2026-06-01T23:07:28"/>
    <d v="1899-12-30T00:00:20"/>
    <n v="5.8899704366922379E-2"/>
    <s v="Exceso Velocidad 10 Km/h (Velocidad máxima: 12 kmh)"/>
    <x v="33"/>
    <s v="Válido"/>
  </r>
  <r>
    <x v="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406"/>
    <d v="2026-06-01T23:12:32"/>
    <d v="1899-12-30T00:00:35"/>
    <n v="0.12728102505207062"/>
    <s v="Exceso Velocidad 10 Km/h (Velocidad máxima: 14 kmh)"/>
    <x v="10"/>
    <s v="Válido"/>
  </r>
  <r>
    <x v="7"/>
    <s v="Vehicle, Diesel, Frontera Energy Col 2679"/>
    <x v="2"/>
    <x v="2"/>
    <x v="2"/>
    <n v="0"/>
    <x v="2"/>
    <s v="ECOPETROL RUBIALES- Quifa - CAÑO SUR, Centralizado de combustible Quifa: Vía Sin Nombre, Puerto Gaitán, Meta, Colombia"/>
    <s v="Cliente, Vel Max 40 Km/h, Vel Max 10 Km/h"/>
    <x v="407"/>
    <d v="2026-06-01T23:13:13"/>
    <d v="1899-12-30T00:00:00"/>
    <n v="0"/>
    <s v="Engine Fault Exception (Presión del riel de combustible/sistema - banco demasiado alto 1)"/>
    <x v="94"/>
    <s v="Válido"/>
  </r>
  <r>
    <x v="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408"/>
    <d v="2026-06-01T23:13:16"/>
    <d v="1899-12-30T00:00:13"/>
    <n v="4.1339889168739319E-2"/>
    <s v="Exceso de velocidad (nuevo) (Velocidad máxima: 13 kmh (Velocidad máxima en carretera: 7 kmh))"/>
    <x v="97"/>
    <s v="Válido"/>
  </r>
  <r>
    <x v="7"/>
    <s v="Vehicle, Diesel, Frontera Energy Col 2679"/>
    <x v="2"/>
    <x v="2"/>
    <x v="2"/>
    <n v="0"/>
    <x v="12"/>
    <s v="ECOPETROL RUBIALES- Quifa - CAÑO SUR: Puerto Gaitan - Rubiales, Puerto Gaitán, Meta, Colombia"/>
    <s v="Cliente, Vel Max 40 Km/h"/>
    <x v="409"/>
    <d v="2026-06-01T23:13:33"/>
    <d v="1899-12-30T05:43:05"/>
    <n v="66.492233276367188"/>
    <s v="Alerta de problema en el motor (La luz de advertencia del vehículo está encendida)"/>
    <x v="96"/>
    <s v="Válido"/>
  </r>
  <r>
    <x v="7"/>
    <s v="Vehicle, Diesel, Frontera Energy Col 2679"/>
    <x v="2"/>
    <x v="2"/>
    <x v="2"/>
    <n v="0"/>
    <x v="2"/>
    <s v="ECOPETROL RUBIALES- Quifa - CAÑO SUR: Puerto Gaitan - Rubiales, Puerto Gaitán, Meta, Colombia"/>
    <s v="Cliente, Vel Max 40 Km/h"/>
    <x v="409"/>
    <d v="2026-06-01T23:13:33"/>
    <d v="1899-12-30T05:43:05"/>
    <n v="66.492233276367188"/>
    <s v="Engine Fault Exception (La luz de advertencia del vehículo está encendida)"/>
    <x v="95"/>
    <s v="Válido"/>
  </r>
  <r>
    <x v="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410"/>
    <d v="2026-06-01T23:14:02"/>
    <d v="1899-12-30T00:00:49"/>
    <n v="0.25083208084106445"/>
    <s v="Exceso de velocidad (nuevo) (Velocidad máxima: 28 kmh (Velocidad máxima en carretera: 7 kmh))"/>
    <x v="89"/>
    <s v="Válido"/>
  </r>
  <r>
    <x v="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411"/>
    <d v="2026-06-01T23:15:07"/>
    <d v="1899-12-30T00:00:27"/>
    <n v="0.18354314565658569"/>
    <s v="Exceso Velocidad 10 Km/h (Velocidad máxima: 28 kmh)"/>
    <x v="62"/>
    <s v="Válido"/>
  </r>
  <r>
    <x v="7"/>
    <s v="Vehicle, Diesel, Frontera Energy Col 2679"/>
    <x v="2"/>
    <x v="2"/>
    <x v="2"/>
    <n v="0"/>
    <x v="0"/>
    <s v="ECOPETROL RUBIALES- Quifa - CAÑO SUR: Vía QF-578, Puerto Gaitán, Meta, Colombia"/>
    <s v="Cliente, Vel Max 40 Km/h"/>
    <x v="412"/>
    <d v="2026-06-01T23:42:36"/>
    <d v="1899-12-30T00:13:20"/>
    <n v="0"/>
    <s v="Tiempo en ralentí (Ignición: 1.00)"/>
    <x v="0"/>
    <s v="Válido"/>
  </r>
  <r>
    <x v="7"/>
    <s v="Vehicle, Diesel, Frontera Energy Col 2679"/>
    <x v="2"/>
    <x v="2"/>
    <x v="2"/>
    <n v="0"/>
    <x v="10"/>
    <s v="ECOPETROL RUBIALES- Quifa - CAÑO SUR: Vía QF-578, Puerto Gaitán, Meta, Colombia"/>
    <s v="Cliente, Vel Max 40 Km/h"/>
    <x v="413"/>
    <d v="2026-06-01T23:58:32"/>
    <d v="1899-12-30T00:00:01"/>
    <n v="1.4226752333343029E-2"/>
    <s v="Exceso Velocidad 40 Km/h (Velocidad máxima: 41 kmh)"/>
    <x v="47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14"/>
    <d v="2026-06-01T06:19:08"/>
    <d v="1899-12-30T00:00:12"/>
    <n v="0.13265414535999298"/>
    <s v="Exceso Velocidad 30 Km/h (Velocidad máxima: 47 kmh)"/>
    <x v="98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415"/>
    <d v="2026-06-01T06:19:10"/>
    <d v="1899-12-30T00:00:07"/>
    <n v="8.0934479832649231E-2"/>
    <s v="Exceso Velocidad 40 Km/h (Velocidad máxima: 47 kmh)"/>
    <x v="9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16"/>
    <d v="2026-06-01T06:19:44"/>
    <d v="1899-12-30T00:00:07"/>
    <n v="6.0546465218067169E-2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17"/>
    <d v="2026-06-01T06:20:37"/>
    <d v="1899-12-30T00:00:12"/>
    <n v="0.10378944873809814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18"/>
    <d v="2026-06-01T06:21:24"/>
    <d v="1899-12-30T00:00:06"/>
    <n v="4.9795392900705338E-2"/>
    <s v="Exceso Velocidad 30 Km/h (Velocidad máxima: 33 kmh)"/>
    <x v="5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19"/>
    <d v="2026-06-01T06:21:40"/>
    <d v="1899-12-30T00:00:24"/>
    <n v="0.21304149925708771"/>
    <s v="Exceso Velocidad 30 Km/h (Velocidad máxima: 37 kmh)"/>
    <x v="55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420"/>
    <d v="2026-06-01T06:22:25"/>
    <d v="1899-12-30T00:00:28"/>
    <n v="0.18423068523406982"/>
    <s v="Exceso Velocidad 10 Km/h (Velocidad máxima: 22 kmh)"/>
    <x v="38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21"/>
    <d v="2026-06-01T06:23:24"/>
    <d v="1899-12-30T00:00:03"/>
    <n v="1.8530810251832008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22"/>
    <d v="2026-06-01T06:23:33"/>
    <d v="1899-12-30T00:00:05"/>
    <n v="4.8700612038373947E-2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23"/>
    <d v="2026-06-01T06:23:57"/>
    <d v="1899-12-30T00:00:08"/>
    <n v="7.3205642402172089E-2"/>
    <s v="Exceso Velocidad 30 Km/h (Velocidad máxima: 37 kmh)"/>
    <x v="55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24"/>
    <d v="2026-06-01T06:24:19"/>
    <d v="1899-12-30T00:00:29"/>
    <n v="0.28761592507362366"/>
    <s v="Exceso Velocidad 30 Km/h (Velocidad máxima: 40 kmh)"/>
    <x v="103"/>
    <s v="Válido"/>
  </r>
  <r>
    <x v="8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425"/>
    <d v="2026-06-01T06:25:13"/>
    <d v="1899-12-30T00:00:04"/>
    <n v="3.1545098870992661E-2"/>
    <s v="Exceso Velocidad 30 Km/h (Velocidad máxima: 33 kmh)"/>
    <x v="56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426"/>
    <d v="2026-06-01T06:25:45"/>
    <d v="1899-12-30T00:00:51"/>
    <n v="0.15705810487270355"/>
    <s v="Exceso Velocidad 10 Km/h (Velocidad máxima: 12 kmh)"/>
    <x v="33"/>
    <s v="Válido"/>
  </r>
  <r>
    <x v="8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427"/>
    <d v="2026-06-01T06:48:33"/>
    <d v="1899-12-30T00:13:26"/>
    <n v="7.7517041936516762E-3"/>
    <s v="Tiempo en ralentí (Ignición: 1.00)"/>
    <x v="0"/>
    <s v="Válido"/>
  </r>
  <r>
    <x v="8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428"/>
    <d v="2026-06-01T08:49:49"/>
    <d v="1899-12-30T00:28:34"/>
    <n v="2.8444003313779831E-2"/>
    <s v="Tiempo en ralentí (Ignición: 1.00)"/>
    <x v="0"/>
    <s v="Válido"/>
  </r>
  <r>
    <x v="8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429"/>
    <d v="2026-06-01T09:21:04"/>
    <d v="1899-12-30T00:00:08"/>
    <n v="6.9939054548740387E-2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30"/>
    <d v="2026-06-01T09:21:26"/>
    <d v="1899-12-30T00:00:30"/>
    <n v="0.29524815082550049"/>
    <s v="Exceso Velocidad 30 Km/h (Velocidad máxima: 37 kmh)"/>
    <x v="55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31"/>
    <d v="2026-06-01T09:22:10"/>
    <d v="1899-12-30T00:00:08"/>
    <n v="7.6456665992736816E-2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32"/>
    <d v="2026-06-01T09:22:42"/>
    <d v="1899-12-30T00:00:01"/>
    <n v="5.9484592638909817E-3"/>
    <s v="Exceso Velocidad 30 Km/h (Velocidad máxima: 31 kmh)"/>
    <x v="4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33"/>
    <d v="2026-06-01T09:22:50"/>
    <d v="1899-12-30T00:00:05"/>
    <n v="4.1898567229509354E-2"/>
    <s v="Exceso Velocidad 30 Km/h (Velocidad máxima: 33 kmh)"/>
    <x v="56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434"/>
    <d v="2026-06-01T09:23:26"/>
    <d v="1899-12-30T00:00:35"/>
    <n v="0.18350416421890259"/>
    <s v="Exceso Velocidad 10 Km/h (Velocidad máxima: 22 kmh)"/>
    <x v="38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35"/>
    <d v="2026-06-01T09:24:19"/>
    <d v="1899-12-30T00:00:25"/>
    <n v="0.26322579383850098"/>
    <s v="Exceso Velocidad 30 Km/h (Velocidad máxima: 40 kmh)"/>
    <x v="103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36"/>
    <d v="2026-06-01T09:24:50"/>
    <d v="1899-12-30T00:00:08"/>
    <n v="6.8028122186660767E-2"/>
    <s v="Exceso Velocidad 30 Km/h (Velocidad máxima: 33 kmh)"/>
    <x v="56"/>
    <s v="Válido"/>
  </r>
  <r>
    <x v="8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437"/>
    <d v="2026-06-01T09:31:50"/>
    <d v="1899-12-30T00:18:27"/>
    <n v="1.5112000517547131E-2"/>
    <s v="Tiempo en ralentí (Ignición: 1.00)"/>
    <x v="0"/>
    <s v="Válido"/>
  </r>
  <r>
    <x v="8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438"/>
    <d v="2026-06-01T09:51:58"/>
    <d v="1899-12-30T00:10:03"/>
    <n v="9.6765747293829918E-3"/>
    <s v="Tiempo en ralentí (Ignición: 1.00)"/>
    <x v="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39"/>
    <d v="2026-06-01T10:05:18"/>
    <d v="1899-12-30T00:00:11"/>
    <n v="9.5621556043624878E-2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40"/>
    <d v="2026-06-01T10:05:30"/>
    <d v="1899-12-30T00:00:10"/>
    <n v="8.951057493686676E-2"/>
    <s v="Exceso Velocidad 30 Km/h (Velocidad máxima: 35 kmh)"/>
    <x v="59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441"/>
    <d v="2026-06-01T10:09:45"/>
    <d v="1899-12-30T00:00:35"/>
    <n v="0.18242530524730682"/>
    <s v="Exceso Velocidad 10 Km/h (Velocidad máxima: 22 kmh)"/>
    <x v="38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42"/>
    <d v="2026-06-01T10:11:41"/>
    <d v="1899-12-30T00:00:06"/>
    <n v="5.1241524517536163E-2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43"/>
    <d v="2026-06-01T10:11:59"/>
    <d v="1899-12-30T00:00:28"/>
    <n v="0.28630951046943665"/>
    <s v="Exceso Velocidad 30 Km/h (Velocidad máxima: 39 kmh)"/>
    <x v="66"/>
    <s v="Válido"/>
  </r>
  <r>
    <x v="8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444"/>
    <d v="2026-06-01T10:12:43"/>
    <d v="1899-12-30T00:00:08"/>
    <n v="6.9517523050308228E-2"/>
    <s v="Exceso Velocidad 30 Km/h (Velocidad máxima: 34 kmh)"/>
    <x v="100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445"/>
    <d v="2026-06-01T10:12:59"/>
    <d v="1899-12-30T00:00:21"/>
    <n v="0.12694023549556732"/>
    <s v="Exceso Velocidad 10 Km/h (Velocidad máxima: 32 kmh)"/>
    <x v="72"/>
    <s v="Válido"/>
  </r>
  <r>
    <x v="8"/>
    <s v="Vehicle, Diesel, Frontera Energy Col 2679"/>
    <x v="2"/>
    <x v="2"/>
    <x v="2"/>
    <n v="0"/>
    <x v="11"/>
    <s v="CAMPAMENTO QUIFA, ECOPETROL RUBIALES- Quifa - CAÑO SUR, Puerto Triunfo - Estacion Policia: Puerto Gaitan - Rubiales, Puerto Gaitán, Meta, Colombia"/>
    <s v="Vel Max 10 Km/h, Cliente, Vel Max 40 Km/h, Vel Max 30 Km/h"/>
    <x v="446"/>
    <d v="2026-06-01T10:13:20"/>
    <d v="1899-12-30T00:00:06"/>
    <n v="5.1360689103603363E-2"/>
    <s v="Exceso Velocidad 30 Km/h (Velocidad máxima: 33 kmh)"/>
    <x v="5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47"/>
    <d v="2026-06-01T10:13:39"/>
    <d v="1899-12-30T00:00:14"/>
    <n v="0.13453900814056396"/>
    <s v="Exceso Velocidad 30 Km/h (Velocidad máxima: 37 kmh)"/>
    <x v="55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48"/>
    <d v="2026-06-01T10:14:09"/>
    <d v="1899-12-30T00:00:02"/>
    <n v="1.8858930096030235E-2"/>
    <s v="Exceso Velocidad 30 Km/h (Velocidad máxima: 31 kmh)"/>
    <x v="4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49"/>
    <d v="2026-06-01T10:14:21"/>
    <d v="1899-12-30T00:00:03"/>
    <n v="3.0760129913687706E-2"/>
    <s v="Exceso Velocidad 30 Km/h (Velocidad máxima: 37 kmh)"/>
    <x v="55"/>
    <s v="Válido"/>
  </r>
  <r>
    <x v="8"/>
    <s v="Vehicle, Diesel, Frontera Energy Col 2679"/>
    <x v="2"/>
    <x v="2"/>
    <x v="2"/>
    <n v="0"/>
    <x v="10"/>
    <s v="ECOPETROL RUBIALES- Quifa - CAÑO SUR: Qf 48 36 79 Dw1, Puerto Gaitán, Meta, Colombia"/>
    <s v="Cliente, Vel Max 40 Km/h"/>
    <x v="450"/>
    <d v="2026-06-01T10:22:30"/>
    <d v="1899-12-30T00:00:03"/>
    <n v="2.7258321642875671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1"/>
    <d v="2026-06-01T10:23:37"/>
    <d v="1899-12-30T00:00:01"/>
    <n v="1.3229336589574814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2"/>
    <d v="2026-06-01T10:26:29"/>
    <d v="1899-12-30T00:00:05"/>
    <n v="5.9986162930727005E-2"/>
    <s v="Exceso Velocidad 40 Km/h (Velocidad máxima: 43 kmh)"/>
    <x v="104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3"/>
    <d v="2026-06-01T10:27:18"/>
    <d v="1899-12-30T00:00:15"/>
    <n v="0.16901564598083496"/>
    <s v="Exceso Velocidad 40 Km/h (Velocidad máxima: 43 kmh)"/>
    <x v="104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4"/>
    <d v="2026-06-01T10:27:49"/>
    <d v="1899-12-30T00:00:08"/>
    <n v="8.7563395500183105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5"/>
    <d v="2026-06-01T10:27:56"/>
    <d v="1899-12-30T00:00:24"/>
    <n v="0.2797989547252655"/>
    <s v="Exceso Velocidad 40 Km/h (Velocidad máxima: 43 kmh)"/>
    <x v="104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6"/>
    <d v="2026-06-01T10:28:26"/>
    <d v="1899-12-30T00:00:14"/>
    <n v="0.1600678563117981"/>
    <s v="Exceso Velocidad 40 Km/h (Velocidad máxima: 45 kmh)"/>
    <x v="105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7"/>
    <d v="2026-06-01T10:30:05"/>
    <d v="1899-12-30T00:00:03"/>
    <n v="3.6359939724206924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8"/>
    <d v="2026-06-01T10:30:56"/>
    <d v="1899-12-30T00:00:01"/>
    <n v="1.3652211986482143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59"/>
    <d v="2026-06-01T10:31:14"/>
    <d v="1899-12-30T00:00:08"/>
    <n v="8.5133984684944153E-2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0"/>
    <d v="2026-06-01T10:32:08"/>
    <d v="1899-12-30T00:00:21"/>
    <n v="0.2356402575969696"/>
    <s v="Exceso Velocidad 40 Km/h (Velocidad máxima: 43 kmh)"/>
    <x v="104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1"/>
    <d v="2026-06-01T10:32:38"/>
    <d v="1899-12-30T00:00:02"/>
    <n v="1.878822036087513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2"/>
    <d v="2026-06-01T10:33:04"/>
    <d v="1899-12-30T00:00:04"/>
    <n v="4.2708747088909149E-2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3"/>
    <d v="2026-06-01T10:33:24"/>
    <d v="1899-12-30T00:00:31"/>
    <n v="0.3624800443649292"/>
    <s v="Exceso Velocidad 40 Km/h (Velocidad máxima: 44 kmh)"/>
    <x v="54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4"/>
    <d v="2026-06-01T10:40:59"/>
    <d v="1899-12-30T00:00:16"/>
    <n v="0.19149030745029449"/>
    <s v="Exceso Velocidad 40 Km/h (Velocidad máxima: 45 kmh)"/>
    <x v="105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5"/>
    <d v="2026-06-01T10:41:18"/>
    <d v="1899-12-30T00:00:14"/>
    <n v="0.15722042322158813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6"/>
    <d v="2026-06-01T10:44:36"/>
    <d v="1899-12-30T00:00:16"/>
    <n v="0.17588217556476593"/>
    <s v="Exceso Velocidad 40 Km/h (Velocidad máxima: 44 kmh)"/>
    <x v="54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7"/>
    <d v="2026-06-01T10:45:38"/>
    <d v="1899-12-30T00:00:09"/>
    <n v="0.10542929172515869"/>
    <s v="Exceso Velocidad 40 Km/h (Velocidad máxima: 44 kmh)"/>
    <x v="54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8"/>
    <d v="2026-06-01T10:46:00"/>
    <d v="1899-12-30T00:00:02"/>
    <n v="1.7324244603514671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69"/>
    <d v="2026-06-01T10:47:42"/>
    <d v="1899-12-30T00:00:03"/>
    <n v="3.1634312123060226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70"/>
    <d v="2026-06-01T10:47:53"/>
    <d v="1899-12-30T00:00:05"/>
    <n v="5.7450629770755768E-2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71"/>
    <d v="2026-06-01T10:48:22"/>
    <d v="1899-12-30T00:00:14"/>
    <n v="0.16688662767410278"/>
    <s v="Exceso Velocidad 40 Km/h (Velocidad máxima: 45 kmh)"/>
    <x v="105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72"/>
    <d v="2026-06-01T10:49:11"/>
    <d v="1899-12-30T00:00:02"/>
    <n v="2.1146653220057487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ia QF- 85, Puerto Gaitán, Meta, Colombia"/>
    <s v="Cliente, Vel Max 40 Km/h"/>
    <x v="473"/>
    <d v="2026-06-01T10:50:35"/>
    <d v="1899-12-30T00:00:07"/>
    <n v="7.6033011078834534E-2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Qf 48 36 79 Dw1, Puerto Gaitán, Meta, Colombia"/>
    <s v="Cliente, Vel Max 40 Km/h"/>
    <x v="474"/>
    <d v="2026-06-01T10:54:07"/>
    <d v="1899-12-30T00:00:03"/>
    <n v="3.4707996994256973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Qf 48 36 79 Dw1, Puerto Gaitán, Meta, Colombia"/>
    <s v="Cliente, Vel Max 40 Km/h"/>
    <x v="475"/>
    <d v="2026-06-01T10:56:22"/>
    <d v="1899-12-30T00:00:28"/>
    <n v="0.31228020787239075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Qf 48 36 79 Dw1, Puerto Gaitán, Meta, Colombia"/>
    <s v="Cliente, Vel Max 40 Km/h"/>
    <x v="476"/>
    <d v="2026-06-01T10:57:00"/>
    <d v="1899-12-30T00:00:05"/>
    <n v="4.8590872436761856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477"/>
    <d v="2026-06-01T10:59:42"/>
    <d v="1899-12-30T00:00:07"/>
    <n v="8.5473693907260895E-2"/>
    <s v="Exceso Velocidad 40 Km/h (Velocidad máxima: 44 kmh)"/>
    <x v="54"/>
    <s v="Válido"/>
  </r>
  <r>
    <x v="8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478"/>
    <d v="2026-06-01T11:02:06"/>
    <d v="1899-12-30T00:00:07"/>
    <n v="8.1450469791889191E-2"/>
    <s v="Exceso Velocidad 40 Km/h (Velocidad máxima: 46 kmh)"/>
    <x v="10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79"/>
    <d v="2026-06-01T11:02:21"/>
    <d v="1899-12-30T00:00:03"/>
    <n v="2.6686124503612518E-2"/>
    <s v="Exceso Velocidad 30 Km/h (Velocidad máxima: 33 kmh)"/>
    <x v="5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80"/>
    <d v="2026-06-01T11:02:35"/>
    <d v="1899-12-30T00:00:04"/>
    <n v="3.1263820827007294E-2"/>
    <s v="Exceso Velocidad 30 Km/h (Velocidad máxima: 32 kmh)"/>
    <x v="102"/>
    <s v="Válido"/>
  </r>
  <r>
    <x v="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481"/>
    <d v="2026-06-01T11:03:42"/>
    <d v="1899-12-30T00:00:14"/>
    <n v="6.4304627478122711E-2"/>
    <s v="Exceso Velocidad 10 Km/h (Velocidad máxima: 21 kmh)"/>
    <x v="48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482"/>
    <d v="2026-06-01T11:03:56"/>
    <d v="1899-12-30T00:00:10"/>
    <n v="3.1100485473871231E-2"/>
    <s v="Exceso Velocidad 10 Km/h (Velocidad máxima: 14 kmh)"/>
    <x v="10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483"/>
    <d v="2026-06-01T11:09:23"/>
    <d v="1899-12-30T00:00:44"/>
    <n v="0.13313852250576019"/>
    <s v="Exceso Velocidad 10 Km/h (Velocidad máxima: 13 kmh)"/>
    <x v="34"/>
    <s v="Válido"/>
  </r>
  <r>
    <x v="8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484"/>
    <d v="2026-06-01T11:10:33"/>
    <d v="1899-12-30T00:14:34"/>
    <n v="1.4691576361656189E-2"/>
    <s v="Tiempo en ralentí (Ignición: 1.00)"/>
    <x v="0"/>
    <s v="Válido"/>
  </r>
  <r>
    <x v="8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485"/>
    <d v="2026-06-01T11:44:49"/>
    <d v="1899-12-30T00:00:26"/>
    <n v="7.4848413467407227E-2"/>
    <s v="Exceso Velocidad 10 Km/h (Velocidad máxima: 11 kmh)"/>
    <x v="31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486"/>
    <d v="2026-06-01T11:45:58"/>
    <d v="1899-12-30T00:00:02"/>
    <n v="6.0073155909776688E-3"/>
    <s v="Exceso Velocidad 10 Km/h (Velocidad máxima: 13 kmh)"/>
    <x v="34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87"/>
    <d v="2026-06-01T11:46:37"/>
    <d v="1899-12-30T00:00:29"/>
    <n v="0.28601384162902832"/>
    <s v="Exceso Velocidad 30 Km/h (Velocidad máxima: 47 kmh)"/>
    <x v="98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488"/>
    <d v="2026-06-01T11:46:55"/>
    <d v="1899-12-30T00:00:07"/>
    <n v="7.4477113783359528E-2"/>
    <s v="Exceso Velocidad 40 Km/h (Velocidad máxima: 47 kmh)"/>
    <x v="9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89"/>
    <d v="2026-06-01T11:47:18"/>
    <d v="1899-12-30T00:00:08"/>
    <n v="7.7378667891025543E-2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90"/>
    <d v="2026-06-01T11:47:26"/>
    <d v="1899-12-30T00:00:04"/>
    <n v="3.3784106373786926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91"/>
    <d v="2026-06-01T11:47:40"/>
    <d v="1899-12-30T00:00:05"/>
    <n v="4.8839043825864792E-2"/>
    <s v="Exceso Velocidad 30 Km/h (Velocidad máxima: 33 kmh)"/>
    <x v="5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92"/>
    <d v="2026-06-01T11:47:50"/>
    <d v="1899-12-30T00:00:25"/>
    <n v="0.24033507704734802"/>
    <s v="Exceso Velocidad 30 Km/h (Velocidad máxima: 36 kmh)"/>
    <x v="101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493"/>
    <d v="2026-06-01T11:48:14"/>
    <d v="1899-12-30T00:00:23"/>
    <n v="0.18346928060054779"/>
    <s v="Exceso Velocidad 10 Km/h (Velocidad máxima: 33 kmh)"/>
    <x v="107"/>
    <s v="Válido"/>
  </r>
  <r>
    <x v="8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494"/>
    <d v="2026-06-01T11:48:34"/>
    <d v="1899-12-30T00:00:07"/>
    <n v="6.1499588191509247E-2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95"/>
    <d v="2026-06-01T11:48:46"/>
    <d v="1899-12-30T00:00:26"/>
    <n v="0.30267438292503357"/>
    <s v="Exceso Velocidad 30 Km/h (Velocidad máxima: 45 kmh)"/>
    <x v="108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496"/>
    <d v="2026-06-01T11:48:52"/>
    <d v="1899-12-30T00:00:18"/>
    <n v="0.21824637055397034"/>
    <s v="Exceso Velocidad 40 Km/h (Velocidad máxima: 45 kmh)"/>
    <x v="105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97"/>
    <d v="2026-06-01T11:49:16"/>
    <d v="1899-12-30T00:00:07"/>
    <n v="6.1495743691921234E-2"/>
    <s v="Exceso Velocidad 30 Km/h (Velocidad máxima: 31 kmh)"/>
    <x v="4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98"/>
    <d v="2026-06-01T11:49:37"/>
    <d v="1899-12-30T00:00:26"/>
    <n v="0.22900021076202393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499"/>
    <d v="2026-06-01T11:50:34"/>
    <d v="1899-12-30T00:00:15"/>
    <n v="0.14866650104522705"/>
    <s v="Exceso Velocidad 30 Km/h (Velocidad máxima: 41 kmh)"/>
    <x v="109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500"/>
    <d v="2026-06-01T11:50:43"/>
    <d v="1899-12-30T00:00:02"/>
    <n v="1.8793715164065361E-2"/>
    <s v="Exceso Velocidad 40 Km/h (Velocidad máxima: 41 kmh)"/>
    <x v="47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1"/>
    <d v="2026-06-01T11:51:09"/>
    <d v="1899-12-30T00:00:09"/>
    <n v="7.7934771776199341E-2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2"/>
    <d v="2026-06-01T11:52:26"/>
    <d v="1899-12-30T00:00:06"/>
    <n v="4.841633141040802E-2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3"/>
    <d v="2026-06-01T11:52:39"/>
    <d v="1899-12-30T00:00:11"/>
    <n v="0.10115490853786469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504"/>
    <d v="2026-06-01T13:47:48"/>
    <d v="1899-12-30T00:00:16"/>
    <n v="0.14503468573093414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5"/>
    <d v="2026-06-01T13:48:09"/>
    <d v="1899-12-30T00:00:05"/>
    <n v="4.3528281152248383E-2"/>
    <s v="Exceso Velocidad 30 Km/h (Velocidad máxima: 33 kmh)"/>
    <x v="5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6"/>
    <d v="2026-06-01T13:48:27"/>
    <d v="1899-12-30T00:00:11"/>
    <n v="9.8795279860496521E-2"/>
    <s v="Exceso Velocidad 30 Km/h (Velocidad máxima: 33 kmh)"/>
    <x v="5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7"/>
    <d v="2026-06-01T13:48:40"/>
    <d v="1899-12-30T00:00:16"/>
    <n v="0.15462189912796021"/>
    <s v="Exceso Velocidad 30 Km/h (Velocidad máxima: 37 kmh)"/>
    <x v="55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8"/>
    <d v="2026-06-01T13:49:00"/>
    <d v="1899-12-30T00:00:11"/>
    <n v="0.10373880714178085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09"/>
    <d v="2026-06-01T13:49:38"/>
    <d v="1899-12-30T00:00:17"/>
    <n v="0.16324156522750854"/>
    <s v="Exceso Velocidad 30 Km/h (Velocidad máxima: 37 kmh)"/>
    <x v="55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10"/>
    <d v="2026-06-01T13:50:13"/>
    <d v="1899-12-30T00:00:26"/>
    <n v="0.24637722969055176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11"/>
    <d v="2026-06-01T13:50:44"/>
    <d v="1899-12-30T00:00:02"/>
    <n v="1.4501107856631279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12"/>
    <d v="2026-06-01T13:50:51"/>
    <d v="1899-12-30T00:00:08"/>
    <n v="8.69331955909729E-2"/>
    <s v="Exceso Velocidad 30 Km/h (Velocidad máxima: 40 kmh)"/>
    <x v="103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13"/>
    <d v="2026-06-01T13:51:06"/>
    <d v="1899-12-30T00:00:23"/>
    <n v="0.24372832477092743"/>
    <s v="Exceso Velocidad 30 Km/h (Velocidad máxima: 40 kmh)"/>
    <x v="103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514"/>
    <d v="2026-06-01T13:51:45"/>
    <d v="1899-12-30T00:00:27"/>
    <n v="0.18434272706508636"/>
    <s v="Exceso Velocidad 10 Km/h (Velocidad máxima: 27 kmh)"/>
    <x v="11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15"/>
    <d v="2026-06-01T13:53:16"/>
    <d v="1899-12-30T00:00:07"/>
    <n v="5.9004053473472595E-2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16"/>
    <d v="2026-06-01T13:53:36"/>
    <d v="1899-12-30T00:00:28"/>
    <n v="0.27329912781715393"/>
    <s v="Exceso Velocidad 30 Km/h (Velocidad máxima: 37 kmh)"/>
    <x v="55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517"/>
    <d v="2026-06-01T13:54:47"/>
    <d v="1899-12-30T00:00:04"/>
    <n v="1.0137693956494331E-2"/>
    <s v="Exceso Velocidad 10 Km/h (Velocidad máxima: 12 kmh)"/>
    <x v="33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518"/>
    <d v="2026-06-01T13:55:03"/>
    <d v="1899-12-30T00:00:15"/>
    <n v="4.35667484998703E-2"/>
    <s v="Exceso Velocidad 10 Km/h (Velocidad máxima: 12 kmh)"/>
    <x v="33"/>
    <s v="Válido"/>
  </r>
  <r>
    <x v="8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519"/>
    <d v="2026-06-01T13:58:49"/>
    <d v="1899-12-30T00:11:19"/>
    <n v="8.0472556874155998E-3"/>
    <s v="Tiempo en ralentí (Ignición: 1.00)"/>
    <x v="0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Puerto Gaitan - Rubiales, Puerto Gaitán, Meta, Colombia"/>
    <s v="Vel Max 10 Km/h, Cliente, Vel Max 40 Km/h, Centro de servicios del proveedor"/>
    <x v="168"/>
    <d v="2026-06-01T14:10:16"/>
    <d v="1899-12-30T00:00:04"/>
    <n v="1.1009937152266502E-2"/>
    <s v="Exceso Velocidad 10 Km/h (Velocidad máxima: 11 kmh)"/>
    <x v="31"/>
    <s v="Válido"/>
  </r>
  <r>
    <x v="8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520"/>
    <d v="2026-06-01T14:10:49"/>
    <d v="1899-12-30T00:00:26"/>
    <n v="0.13162775337696075"/>
    <s v="Exceso Velocidad 10 Km/h (Velocidad máxima: 29 kmh)"/>
    <x v="58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21"/>
    <d v="2026-06-01T14:11:37"/>
    <d v="1899-12-30T00:00:13"/>
    <n v="0.13314418494701385"/>
    <s v="Exceso Velocidad 30 Km/h (Velocidad máxima: 40 kmh)"/>
    <x v="103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22"/>
    <d v="2026-06-01T14:12:10"/>
    <d v="1899-12-30T00:00:03"/>
    <n v="2.6990305632352829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23"/>
    <d v="2026-06-01T14:12:20"/>
    <d v="1899-12-30T00:00:03"/>
    <n v="3.0951771885156631E-2"/>
    <s v="Exceso Velocidad 30 Km/h (Velocidad máxima: 38 kmh)"/>
    <x v="111"/>
    <s v="Válido"/>
  </r>
  <r>
    <x v="8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524"/>
    <d v="2026-06-01T14:12:35"/>
    <d v="1899-12-30T00:00:02"/>
    <n v="2.1298743784427643E-2"/>
    <s v="Exceso Velocidad 40 Km/h (Velocidad máxima: 41 kmh)"/>
    <x v="47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525"/>
    <d v="2026-06-01T14:43:52"/>
    <d v="1899-12-30T00:00:13"/>
    <n v="4.3179839849472046E-2"/>
    <s v="Exceso Velocidad 10 Km/h (Velocidad máxima: 11 kmh)"/>
    <x v="31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526"/>
    <d v="2026-06-01T14:44:05"/>
    <d v="1899-12-30T00:01:09"/>
    <n v="0.25404554605484009"/>
    <s v="Exceso Velocidad 10 Km/h (Velocidad máxima: 15 kmh)"/>
    <x v="50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527"/>
    <d v="2026-06-01T14:45:21"/>
    <d v="1899-12-30T00:00:11"/>
    <n v="3.4463744610548019E-2"/>
    <s v="Exceso Velocidad 10 Km/h (Velocidad máxima: 13 kmh)"/>
    <x v="34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528"/>
    <d v="2026-06-01T14:45:46"/>
    <d v="1899-12-30T00:00:35"/>
    <n v="0.11368998140096664"/>
    <s v="Exceso Velocidad 10 Km/h (Velocidad máxima: 13 kmh)"/>
    <x v="34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529"/>
    <d v="2026-06-01T14:46:21"/>
    <d v="1899-12-30T00:00:17"/>
    <n v="6.1549656093120575E-2"/>
    <s v="Exceso Velocidad 10 Km/h (Velocidad máxima: 13 kmh)"/>
    <x v="34"/>
    <s v="Válido"/>
  </r>
  <r>
    <x v="8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530"/>
    <d v="2026-06-01T14:47:09"/>
    <d v="1899-12-30T00:00:42"/>
    <n v="0.15262296795845032"/>
    <s v="Exceso Velocidad 10 Km/h (Velocidad máxima: 15 kmh)"/>
    <x v="50"/>
    <s v="Válido"/>
  </r>
  <r>
    <x v="8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531"/>
    <d v="2026-06-01T14:47:52"/>
    <d v="1899-12-30T00:01:19"/>
    <n v="0.26514816284179688"/>
    <s v="Exceso Velocidad 10 Km/h (Velocidad máxima: 14 kmh)"/>
    <x v="10"/>
    <s v="Válido"/>
  </r>
  <r>
    <x v="8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532"/>
    <d v="2026-06-01T14:49:18"/>
    <d v="1899-12-30T00:00:16"/>
    <n v="4.9337048083543777E-2"/>
    <s v="Exceso Velocidad 10 Km/h (Velocidad máxima: 12 kmh)"/>
    <x v="33"/>
    <s v="Válido"/>
  </r>
  <r>
    <x v="8"/>
    <s v="Vehicle, Diesel, Frontera Energy Col 2679"/>
    <x v="2"/>
    <x v="2"/>
    <x v="2"/>
    <n v="0"/>
    <x v="0"/>
    <s v="ECOPETROL RUBIALES- Quifa - CAÑO SUR, BATERIA 4: Rb 4, Puerto Gaitán, Meta, Colombia"/>
    <s v="Cliente, Vel Max 40 Km/h, Vel Max 10 Km/h"/>
    <x v="533"/>
    <d v="2026-06-01T14:51:55"/>
    <d v="1899-12-30T00:11:13"/>
    <n v="1.5888718888163567E-2"/>
    <s v="Tiempo en ralentí (Ignición: 1.00)"/>
    <x v="0"/>
    <s v="Válido"/>
  </r>
  <r>
    <x v="8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534"/>
    <d v="2026-06-01T15:05:19"/>
    <d v="1899-12-30T00:00:10"/>
    <n v="2.663254551589489E-2"/>
    <s v="Exceso Velocidad 10 Km/h (Velocidad máxima: 11 kmh)"/>
    <x v="31"/>
    <s v="Válido"/>
  </r>
  <r>
    <x v="8"/>
    <s v="Vehicle, Diesel, Frontera Energy Col 2679"/>
    <x v="2"/>
    <x v="2"/>
    <x v="2"/>
    <n v="0"/>
    <x v="4"/>
    <s v="ECOPETROL RUBIALES- Quifa - CAÑO SUR, BATERIA 4: Vía Sin Nombre, Puerto Gaitán, Meta, Colombia"/>
    <s v="Cliente, Vel Max 40 Km/h, Vel Max 10 Km/h"/>
    <x v="535"/>
    <d v="2026-06-01T15:05:44"/>
    <d v="1899-12-30T00:00:13"/>
    <n v="4.175235703587532E-2"/>
    <s v="Exceso Velocidad 10 Km/h (Velocidad máxima: 13 kmh)"/>
    <x v="34"/>
    <s v="Válido"/>
  </r>
  <r>
    <x v="8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536"/>
    <d v="2026-06-01T15:05:57"/>
    <d v="1899-12-30T00:00:52"/>
    <n v="0.17989502847194672"/>
    <s v="Exceso Velocidad 10 Km/h (Velocidad máxima: 12 kmh)"/>
    <x v="33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537"/>
    <d v="2026-06-01T15:07:00"/>
    <d v="1899-12-30T00:00:08"/>
    <n v="2.3920470848679543E-2"/>
    <s v="Exceso Velocidad 10 Km/h (Velocidad máxima: 12 kmh)"/>
    <x v="33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538"/>
    <d v="2026-06-01T15:08:14"/>
    <d v="1899-12-30T00:00:26"/>
    <n v="8.1958010792732239E-2"/>
    <s v="Exceso Velocidad 10 Km/h (Velocidad máxima: 13 kmh)"/>
    <x v="34"/>
    <s v="Válido"/>
  </r>
  <r>
    <x v="8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539"/>
    <d v="2026-06-01T15:08:45"/>
    <d v="1899-12-30T00:01:25"/>
    <n v="0.30722028017044067"/>
    <s v="Exceso Velocidad 10 Km/h (Velocidad máxima: 14 kmh)"/>
    <x v="10"/>
    <s v="Válido"/>
  </r>
  <r>
    <x v="8"/>
    <s v="Vehicle, Diesel, Frontera Energy Col 2679"/>
    <x v="2"/>
    <x v="2"/>
    <x v="2"/>
    <n v="0"/>
    <x v="10"/>
    <s v="ECOPETROL RUBIALES- Quifa - CAÑO SUR: Rb 320 4 324 126 129 195 14 325 316 143 217 1 26 523 256 28, Puerto Gaitán, Meta, Colombia"/>
    <s v="Cliente, Vel Max 40 Km/h"/>
    <x v="540"/>
    <d v="2026-06-01T15:13:57"/>
    <d v="1899-12-30T00:00:01"/>
    <n v="1.1403921991586685E-2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Rb 320 4 324 126 129 195 14 325 316 143 217 1 26 523 256 28, Puerto Gaitán, Meta, Colombia"/>
    <s v="Cliente, Vel Max 40 Km/h"/>
    <x v="541"/>
    <d v="2026-06-01T15:14:32"/>
    <d v="1899-12-30T00:00:12"/>
    <n v="0.12963134050369263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Rb 280 320 4 324 126 129 195 14 325 316 143 217 1 26 523 256 28, Puerto Gaitán, Meta, Colombia"/>
    <s v="Cliente, Vel Max 40 Km/h"/>
    <x v="542"/>
    <d v="2026-06-01T15:15:59"/>
    <d v="1899-12-30T00:00:05"/>
    <n v="5.5746335536241531E-2"/>
    <s v="Exceso Velocidad 40 Km/h (Velocidad máxima: 46 kmh)"/>
    <x v="106"/>
    <s v="Válido"/>
  </r>
  <r>
    <x v="8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543"/>
    <d v="2026-06-01T15:21:07"/>
    <d v="1899-12-30T00:00:07"/>
    <n v="7.7265083789825439E-2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544"/>
    <d v="2026-06-01T15:22:26"/>
    <d v="1899-12-30T00:00:01"/>
    <n v="1.1527338065207005E-2"/>
    <s v="Exceso Velocidad 40 Km/h (Velocidad máxima: 41 kmh)"/>
    <x v="47"/>
    <s v="Válido"/>
  </r>
  <r>
    <x v="8"/>
    <s v="Vehicle, Diesel, Frontera Energy Col 2679"/>
    <x v="2"/>
    <x v="2"/>
    <x v="2"/>
    <n v="0"/>
    <x v="7"/>
    <s v="ECOPETROL RUBIALES- Quifa - CAÑO SUR: Puerto Gaitan - Rubiales, Puerto Gaitán, Meta, Colombia"/>
    <s v="Cliente, Vel Max 40 Km/h"/>
    <x v="545"/>
    <d v="2026-06-01T15:22:37"/>
    <d v="1899-12-30T00:00:00"/>
    <n v="8.8062835857272148E-5"/>
    <s v="Giro brusco (Velocidad máxima: 12 kmh Aceleración de lado a lado: -0.48 g-force, Ignición: 1.00)"/>
    <x v="112"/>
    <s v="Válido"/>
  </r>
  <r>
    <x v="8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546"/>
    <d v="2026-06-01T15:29:30"/>
    <d v="1899-12-30T00:00:08"/>
    <n v="9.3482151627540588E-2"/>
    <s v="Exceso Velocidad 40 Km/h (Velocidad máxima: 49 kmh)"/>
    <x v="113"/>
    <s v="Válido"/>
  </r>
  <r>
    <x v="8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547"/>
    <d v="2026-06-01T15:31:05"/>
    <d v="1899-12-30T00:00:03"/>
    <n v="3.2437395304441452E-2"/>
    <s v="Exceso Velocidad 40 Km/h (Velocidad máxima: 42 kmh)"/>
    <x v="51"/>
    <s v="Válido"/>
  </r>
  <r>
    <x v="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548"/>
    <d v="2026-06-01T15:39:31"/>
    <d v="1899-12-30T00:00:09"/>
    <n v="2.8380200266838074E-2"/>
    <s v="Exceso Velocidad 10 Km/h (Velocidad máxima: 12 kmh)"/>
    <x v="33"/>
    <s v="Válido"/>
  </r>
  <r>
    <x v="8"/>
    <s v="Vehicle, Diesel, Frontera Energy Col 2679"/>
    <x v="2"/>
    <x v="2"/>
    <x v="2"/>
    <n v="0"/>
    <x v="4"/>
    <s v="CAMPAMENTO QUIFA, ECOPETROL RUBIALES- Quifa - CAÑO SUR, Campamento Quifa - CMA: Puerto Gaitan - Rubiales, Puerto Gaitán, Meta, Colombia"/>
    <s v="Vel Max 10 Km/h, Cliente, Vel Max 40 Km/h"/>
    <x v="549"/>
    <d v="2026-06-01T15:39:48"/>
    <d v="1899-12-30T00:00:09"/>
    <n v="2.5725360959768295E-2"/>
    <s v="Exceso Velocidad 10 Km/h (Velocidad máxima: 12 kmh)"/>
    <x v="33"/>
    <s v="Válido"/>
  </r>
  <r>
    <x v="8"/>
    <s v="Vehicle, Diesel, Frontera Energy Col 2679"/>
    <x v="2"/>
    <x v="2"/>
    <x v="2"/>
    <n v="0"/>
    <x v="0"/>
    <s v="CAMPAMENTO QUIFA, ECOPETROL RUBIALES- Quifa - CAÑO SUR, Campamento Quifa - CMA: Puerto Gaitan - Rubiales, Puerto Gaitán, Meta, Colombia"/>
    <s v="Vel Max 10 Km/h, Cliente, Vel Max 40 Km/h"/>
    <x v="550"/>
    <d v="2026-06-01T15:40:09"/>
    <d v="1899-12-30T00:07:09"/>
    <n v="2.6287776418030262E-3"/>
    <s v="Tiempo en ralentí (Ignición: 1.00)"/>
    <x v="0"/>
    <s v="Válido"/>
  </r>
  <r>
    <x v="8"/>
    <s v="Vehicle, Diesel, Frontera Energy Col 2679"/>
    <x v="2"/>
    <x v="2"/>
    <x v="2"/>
    <n v="0"/>
    <x v="4"/>
    <s v="CAMPAMENTO QUIFA, ECOPETROL RUBIALES- Quifa - CAÑO SUR, Campamento Quifa - CMA: Puerto Gaitan - Rubiales, Puerto Gaitán, Meta, Colombia"/>
    <s v="Vel Max 10 Km/h, Cliente, Vel Max 40 Km/h"/>
    <x v="551"/>
    <d v="2026-06-01T15:47:49"/>
    <d v="1899-12-30T00:00:26"/>
    <n v="7.276751846075058E-2"/>
    <s v="Exceso Velocidad 10 Km/h (Velocidad máxima: 12 kmh)"/>
    <x v="33"/>
    <s v="Válido"/>
  </r>
  <r>
    <x v="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552"/>
    <d v="2026-06-01T15:48:50"/>
    <d v="1899-12-30T00:00:01"/>
    <n v="4.7668726183474064E-3"/>
    <s v="Exceso Velocidad 10 Km/h (Velocidad máxima: 12 kmh)"/>
    <x v="33"/>
    <s v="Válido"/>
  </r>
  <r>
    <x v="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553"/>
    <d v="2026-06-01T15:49:48"/>
    <d v="1899-12-30T00:00:08"/>
    <n v="4.194047674536705E-2"/>
    <s v="Exceso Velocidad 10 Km/h (Velocidad máxima: 23 kmh)"/>
    <x v="5"/>
    <s v="Válido"/>
  </r>
  <r>
    <x v="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554"/>
    <d v="2026-06-01T15:49:58"/>
    <d v="1899-12-30T00:00:16"/>
    <n v="7.3845133185386658E-2"/>
    <s v="Exceso Velocidad 10 Km/h (Velocidad máxima: 22 kmh)"/>
    <x v="38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55"/>
    <d v="2026-06-01T15:51:05"/>
    <d v="1899-12-30T00:00:29"/>
    <n v="0.28228306770324707"/>
    <s v="Exceso Velocidad 30 Km/h (Velocidad máxima: 37 kmh)"/>
    <x v="55"/>
    <s v="Válido"/>
  </r>
  <r>
    <x v="8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556"/>
    <d v="2026-06-01T15:52:58"/>
    <d v="1899-12-30T00:00:59"/>
    <n v="0.30702447891235352"/>
    <s v="Exceso de velocidad (nuevo) (Velocidad máxima: 24 kmh (Velocidad máxima en carretera: 7 kmh))"/>
    <x v="114"/>
    <s v="Válido"/>
  </r>
  <r>
    <x v="8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557"/>
    <d v="2026-06-01T16:05:27"/>
    <d v="1899-12-30T00:00:51"/>
    <n v="0.31852486729621887"/>
    <s v="Exceso de velocidad (nuevo) (Velocidad máxima: 29 kmh (Velocidad máxima en carretera: 7 kmh))"/>
    <x v="68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558"/>
    <d v="2026-06-01T16:06:31"/>
    <d v="1899-12-30T00:00:27"/>
    <n v="0.18378856778144836"/>
    <s v="Exceso Velocidad 10 Km/h (Velocidad máxima: 26 kmh)"/>
    <x v="4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59"/>
    <d v="2026-06-01T16:07:08"/>
    <d v="1899-12-30T00:00:29"/>
    <n v="0.29939433932304382"/>
    <s v="Exceso Velocidad 30 Km/h (Velocidad máxima: 42 kmh)"/>
    <x v="115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560"/>
    <d v="2026-06-01T16:07:21"/>
    <d v="1899-12-30T00:00:13"/>
    <n v="0.14160086214542389"/>
    <s v="Exceso Velocidad 40 Km/h (Velocidad máxima: 42 kmh)"/>
    <x v="5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61"/>
    <d v="2026-06-01T16:09:35"/>
    <d v="1899-12-30T00:00:12"/>
    <n v="0.11489559710025787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62"/>
    <d v="2026-06-01T16:10:10"/>
    <d v="1899-12-30T00:00:10"/>
    <n v="9.6916913986206055E-2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63"/>
    <d v="2026-06-01T16:10:25"/>
    <d v="1899-12-30T00:00:17"/>
    <n v="0.15982340276241302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64"/>
    <d v="2026-06-01T16:10:48"/>
    <d v="1899-12-30T00:00:07"/>
    <n v="6.3250795006752014E-2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65"/>
    <d v="2026-06-01T16:11:22"/>
    <d v="1899-12-30T00:00:06"/>
    <n v="5.1247052848339081E-2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66"/>
    <d v="2026-06-01T16:11:34"/>
    <d v="1899-12-30T00:00:12"/>
    <n v="0.11317462474107742"/>
    <s v="Exceso Velocidad 30 Km/h (Velocidad máxima: 37 kmh)"/>
    <x v="55"/>
    <s v="Válido"/>
  </r>
  <r>
    <x v="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567"/>
    <d v="2026-06-01T16:15:24"/>
    <d v="1899-12-30T00:00:03"/>
    <n v="2.9388992115855217E-2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568"/>
    <d v="2026-06-01T16:16:19"/>
    <d v="1899-12-30T00:00:13"/>
    <n v="0.15184254944324493"/>
    <s v="Exceso Velocidad 40 Km/h (Velocidad máxima: 42 kmh)"/>
    <x v="51"/>
    <s v="Válido"/>
  </r>
  <r>
    <x v="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569"/>
    <d v="2026-06-01T16:17:20"/>
    <d v="1899-12-30T00:00:17"/>
    <n v="0.18039876222610474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570"/>
    <d v="2026-06-01T16:17:50"/>
    <d v="1899-12-30T00:00:13"/>
    <n v="0.14251084625720978"/>
    <s v="Exceso Velocidad 40 Km/h (Velocidad máxima: 42 kmh)"/>
    <x v="51"/>
    <s v="Válido"/>
  </r>
  <r>
    <x v="8"/>
    <s v="Vehicle, Diesel, Frontera Energy Col 2679"/>
    <x v="2"/>
    <x v="2"/>
    <x v="2"/>
    <n v="0"/>
    <x v="0"/>
    <s v="ECOPETROL RUBIALES- Quifa - CAÑO SUR: Via QF-149, Puerto Gaitán, Meta, Colombia"/>
    <s v="Cliente, Vel Max 40 Km/h"/>
    <x v="571"/>
    <d v="2026-06-01T16:23:41"/>
    <d v="1899-12-30T00:09:14"/>
    <n v="5.4729124531149864E-3"/>
    <s v="Tiempo en ralentí (Ignición: 1.00)"/>
    <x v="0"/>
    <s v="Válido"/>
  </r>
  <r>
    <x v="8"/>
    <s v="Vehicle, Diesel, Frontera Energy Col 2679"/>
    <x v="2"/>
    <x v="2"/>
    <x v="2"/>
    <n v="0"/>
    <x v="10"/>
    <s v="ECOPETROL RUBIALES- Quifa - CAÑO SUR: Via QF-149, Puerto Gaitán, Meta, Colombia"/>
    <s v="Cliente, Vel Max 40 Km/h"/>
    <x v="572"/>
    <d v="2026-06-01T16:36:08"/>
    <d v="1899-12-30T00:00:10"/>
    <n v="0.11365161091089249"/>
    <s v="Exceso Velocidad 40 Km/h (Velocidad máxima: 41 kmh)"/>
    <x v="47"/>
    <s v="Válido"/>
  </r>
  <r>
    <x v="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573"/>
    <d v="2026-06-01T16:37:29"/>
    <d v="1899-12-30T00:00:09"/>
    <n v="0.10366442799568176"/>
    <s v="Exceso Velocidad 40 Km/h (Velocidad máxima: 43 kmh)"/>
    <x v="104"/>
    <s v="Válido"/>
  </r>
  <r>
    <x v="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574"/>
    <d v="2026-06-01T16:38:54"/>
    <d v="1899-12-30T00:00:33"/>
    <n v="0.39720970392227173"/>
    <s v="Exceso Velocidad 40 Km/h (Velocidad máxima: 45 kmh)"/>
    <x v="105"/>
    <s v="Válido"/>
  </r>
  <r>
    <x v="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575"/>
    <d v="2026-06-01T16:41:48"/>
    <d v="1899-12-30T00:08:35"/>
    <n v="4.2568030767142773E-3"/>
    <s v="Tiempo en ralentí (Ignición: 1.00)"/>
    <x v="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76"/>
    <d v="2026-06-01T16:56:33"/>
    <d v="1899-12-30T00:00:12"/>
    <n v="0.10690014809370041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77"/>
    <d v="2026-06-01T16:56:49"/>
    <d v="1899-12-30T00:00:05"/>
    <n v="4.4815611094236374E-2"/>
    <s v="Exceso Velocidad 30 Km/h (Velocidad máxima: 31 kmh)"/>
    <x v="4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78"/>
    <d v="2026-06-01T16:57:32"/>
    <d v="1899-12-30T00:00:08"/>
    <n v="7.0703513920307159E-2"/>
    <s v="Exceso Velocidad 30 Km/h (Velocidad máxima: 33 kmh)"/>
    <x v="5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79"/>
    <d v="2026-06-01T16:59:12"/>
    <d v="1899-12-30T00:00:05"/>
    <n v="4.1410494595766068E-2"/>
    <s v="Exceso Velocidad 30 Km/h (Velocidad máxima: 31 kmh)"/>
    <x v="4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11"/>
    <d v="2026-06-01T16:59:36"/>
    <d v="1899-12-30T00:00:15"/>
    <n v="0.1357806921005249"/>
    <s v="Exceso Velocidad 30 Km/h (Velocidad máxima: 32 kmh)"/>
    <x v="102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580"/>
    <d v="2026-06-01T17:00:18"/>
    <d v="1899-12-30T00:00:27"/>
    <n v="0.18495450913906097"/>
    <s v="Exceso Velocidad 10 Km/h (Velocidad máxima: 33 kmh)"/>
    <x v="107"/>
    <s v="Válido"/>
  </r>
  <r>
    <x v="8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581"/>
    <d v="2026-06-01T17:00:41"/>
    <d v="1899-12-30T00:00:14"/>
    <n v="0.1236380934715271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82"/>
    <d v="2026-06-01T17:01:46"/>
    <d v="1899-12-30T00:00:07"/>
    <n v="5.8625217527151108E-2"/>
    <s v="Exceso Velocidad 30 Km/h (Velocidad máxima: 34 kmh)"/>
    <x v="100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83"/>
    <d v="2026-06-01T17:02:16"/>
    <d v="1899-12-30T00:00:17"/>
    <n v="0.15199515223503113"/>
    <s v="Exceso Velocidad 30 Km/h (Velocidad máxima: 31 kmh)"/>
    <x v="4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84"/>
    <d v="2026-06-01T17:35:33"/>
    <d v="1899-12-30T00:00:31"/>
    <n v="0.29280775785446167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85"/>
    <d v="2026-06-01T17:36:19"/>
    <d v="1899-12-30T00:00:07"/>
    <n v="6.0556892305612564E-2"/>
    <s v="Exceso Velocidad 30 Km/h (Velocidad máxima: 35 kmh)"/>
    <x v="59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586"/>
    <d v="2026-06-01T17:37:51"/>
    <d v="1899-12-30T00:00:26"/>
    <n v="0.18322302401065826"/>
    <s v="Exceso Velocidad 10 Km/h (Velocidad máxima: 38 kmh)"/>
    <x v="116"/>
    <s v="Válido"/>
  </r>
  <r>
    <x v="8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587"/>
    <d v="2026-06-01T17:38:14"/>
    <d v="1899-12-30T00:00:41"/>
    <n v="0.40296053886413574"/>
    <s v="Exceso Velocidad 30 Km/h (Velocidad máxima: 38 kmh)"/>
    <x v="11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88"/>
    <d v="2026-06-01T17:41:48"/>
    <d v="1899-12-30T00:00:04"/>
    <n v="3.545369952917099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589"/>
    <d v="2026-06-01T18:02:30"/>
    <d v="1899-12-30T00:00:06"/>
    <n v="5.6236539036035538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90"/>
    <d v="2026-06-01T18:03:10"/>
    <d v="1899-12-30T00:00:02"/>
    <n v="1.6849186271429062E-2"/>
    <s v="Exceso Velocidad 30 Km/h (Velocidad máxima: 31 kmh)"/>
    <x v="4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91"/>
    <d v="2026-06-01T18:03:33"/>
    <d v="1899-12-30T00:00:14"/>
    <n v="0.15271709859371185"/>
    <s v="Exceso Velocidad 30 Km/h (Velocidad máxima: 41 kmh)"/>
    <x v="109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592"/>
    <d v="2026-06-01T18:03:37"/>
    <d v="1899-12-30T00:00:04"/>
    <n v="4.5018091797828674E-2"/>
    <s v="Exceso Velocidad 40 Km/h (Velocidad máxima: 41 kmh)"/>
    <x v="47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93"/>
    <d v="2026-06-01T18:03:47"/>
    <d v="1899-12-30T00:00:13"/>
    <n v="0.12915985286235809"/>
    <s v="Exceso Velocidad 30 Km/h (Velocidad máxima: 38 kmh)"/>
    <x v="11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94"/>
    <d v="2026-06-01T18:05:29"/>
    <d v="1899-12-30T00:00:25"/>
    <n v="0.22823844850063324"/>
    <s v="Exceso Velocidad 30 Km/h (Velocidad máxima: 36 kmh)"/>
    <x v="101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95"/>
    <d v="2026-06-01T18:06:12"/>
    <d v="1899-12-30T00:00:07"/>
    <n v="5.3617700934410095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96"/>
    <d v="2026-06-01T18:06:29"/>
    <d v="1899-12-30T00:00:23"/>
    <n v="0.20239907503128052"/>
    <s v="Exceso Velocidad 30 Km/h (Velocidad máxima: 35 kmh)"/>
    <x v="59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597"/>
    <d v="2026-06-01T18:07:11"/>
    <d v="1899-12-30T00:00:31"/>
    <n v="0.18424198031425476"/>
    <s v="Exceso Velocidad 10 Km/h (Velocidad máxima: 22 kmh)"/>
    <x v="38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598"/>
    <d v="2026-06-01T18:09:29"/>
    <d v="1899-12-30T00:00:21"/>
    <n v="0.19282133877277374"/>
    <s v="Exceso Velocidad 30 Km/h (Velocidad máxima: 34 kmh)"/>
    <x v="100"/>
    <s v="Válido"/>
  </r>
  <r>
    <x v="8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599"/>
    <d v="2026-06-01T18:20:58"/>
    <d v="1899-12-30T00:01:33"/>
    <n v="0.53204405307769775"/>
    <s v="Exceso Velocidad 10 Km/h (Velocidad máxima: 24 kmh)"/>
    <x v="41"/>
    <s v="Válido"/>
  </r>
  <r>
    <x v="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600"/>
    <d v="2026-06-01T18:23:51"/>
    <d v="1899-12-30T01:03:12"/>
    <n v="5.1453102380037308E-2"/>
    <s v="Tiempo en ralentí (Ignición: 1.00)"/>
    <x v="0"/>
    <s v="Válido"/>
  </r>
  <r>
    <x v="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601"/>
    <d v="2026-06-01T19:28:44"/>
    <d v="1899-12-30T00:55:17"/>
    <n v="4.5948490500450134E-2"/>
    <s v="Tiempo en ralentí (Ignición: 1.00)"/>
    <x v="0"/>
    <s v="Válido"/>
  </r>
  <r>
    <x v="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602"/>
    <d v="2026-06-01T20:25:02"/>
    <d v="1899-12-30T00:07:27"/>
    <n v="2.3495678324252367E-3"/>
    <s v="Tiempo en ralentí (Ignición: 1.00)"/>
    <x v="0"/>
    <s v="Válido"/>
  </r>
  <r>
    <x v="8"/>
    <s v="Vehicle, Diesel, Frontera Energy Col 2679"/>
    <x v="2"/>
    <x v="2"/>
    <x v="2"/>
    <n v="0"/>
    <x v="4"/>
    <s v="ECOPETROL RUBIALES- Quifa - CAÑO SUR, Campamento Quifa - CMA: Vía Sin Nombre, Puerto Gaitán, Meta, Colombia"/>
    <s v="Cliente, Vel Max 40 Km/h, Vel Max 10 Km/h"/>
    <x v="603"/>
    <d v="2026-06-01T20:33:02"/>
    <d v="1899-12-30T00:01:00"/>
    <n v="0.53662317991256714"/>
    <s v="Exceso Velocidad 10 Km/h (Velocidad máxima: 37 kmh)"/>
    <x v="117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04"/>
    <d v="2026-06-01T20:34:15"/>
    <d v="1899-12-30T00:00:22"/>
    <n v="0.24041588604450226"/>
    <s v="Exceso Velocidad 30 Km/h (Velocidad máxima: 47 kmh)"/>
    <x v="98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605"/>
    <d v="2026-06-01T20:34:18"/>
    <d v="1899-12-30T00:00:10"/>
    <n v="0.11774864792823792"/>
    <s v="Exceso Velocidad 40 Km/h (Velocidad máxima: 47 kmh)"/>
    <x v="9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06"/>
    <d v="2026-06-01T20:34:57"/>
    <d v="1899-12-30T00:00:13"/>
    <n v="0.13849242031574249"/>
    <s v="Exceso Velocidad 30 Km/h (Velocidad máxima: 39 kmh)"/>
    <x v="6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07"/>
    <d v="2026-06-01T20:35:18"/>
    <d v="1899-12-30T00:00:07"/>
    <n v="6.7182682454586029E-2"/>
    <s v="Exceso Velocidad 30 Km/h (Velocidad máxima: 37 kmh)"/>
    <x v="55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08"/>
    <d v="2026-06-01T20:35:27"/>
    <d v="1899-12-30T00:00:09"/>
    <n v="8.2933239638805389E-2"/>
    <s v="Exceso Velocidad 30 Km/h (Velocidad máxima: 43 kmh)"/>
    <x v="118"/>
    <s v="Válido"/>
  </r>
  <r>
    <x v="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609"/>
    <d v="2026-06-01T20:35:29"/>
    <d v="1899-12-30T00:00:02"/>
    <n v="2.4262096732854843E-2"/>
    <s v="Exceso Velocidad 40 Km/h (Velocidad máxima: 43 kmh)"/>
    <x v="104"/>
    <s v="Válido"/>
  </r>
  <r>
    <x v="8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610"/>
    <d v="2026-06-01T20:35:40"/>
    <d v="1899-12-30T00:02:04"/>
    <n v="1.0787606239318848"/>
    <s v="Exceso de velocidad (nuevo) (Velocidad máxima: 40 kmh (Velocidad máxima en carretera: 7 kmh))"/>
    <x v="119"/>
    <s v="Válido"/>
  </r>
  <r>
    <x v="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611"/>
    <d v="2026-06-01T20:37:48"/>
    <d v="1899-12-30T00:00:06"/>
    <n v="6.2953628599643707E-2"/>
    <s v="Exceso Velocidad 40 Km/h (Velocidad máxima: 42 kmh)"/>
    <x v="51"/>
    <s v="Válido"/>
  </r>
  <r>
    <x v="8"/>
    <s v="Vehicle, Diesel, Frontera Energy Col 2679"/>
    <x v="2"/>
    <x v="2"/>
    <x v="2"/>
    <n v="0"/>
    <x v="5"/>
    <s v="ECOPETROL RUBIALES- Quifa - CAÑO SUR: Vía Sin Nombre, Puerto Gaitán, Meta, Colombia"/>
    <s v="Cliente, Vel Max 40 Km/h"/>
    <x v="612"/>
    <d v="2026-06-01T20:42:55"/>
    <d v="1899-12-30T00:02:09"/>
    <n v="1.0542818307876587"/>
    <s v="Exceso de velocidad (nuevo) (Velocidad máxima: 40 kmh (Velocidad máxima en carretera: 7 kmh))"/>
    <x v="119"/>
    <s v="Válido"/>
  </r>
  <r>
    <x v="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13"/>
    <d v="2026-06-01T20:45:19"/>
    <d v="1899-12-30T00:00:26"/>
    <n v="0.1833396852016449"/>
    <s v="Exceso Velocidad 10 Km/h (Velocidad máxima: 29 kmh)"/>
    <x v="58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14"/>
    <d v="2026-06-01T20:45:47"/>
    <d v="1899-12-30T00:00:36"/>
    <n v="0.35162687301635742"/>
    <s v="Exceso Velocidad 30 Km/h (Velocidad máxima: 40 kmh)"/>
    <x v="103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15"/>
    <d v="2026-06-01T20:46:29"/>
    <d v="1899-12-30T00:00:11"/>
    <n v="9.7759909927845001E-2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16"/>
    <d v="2026-06-01T20:46:57"/>
    <d v="1899-12-30T00:00:21"/>
    <n v="0.19589577615261078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17"/>
    <d v="2026-06-01T20:47:47"/>
    <d v="1899-12-30T00:00:14"/>
    <n v="0.13139264285564423"/>
    <s v="Exceso Velocidad 30 Km/h (Velocidad máxima: 35 kmh)"/>
    <x v="59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18"/>
    <d v="2026-06-01T20:48:25"/>
    <d v="1899-12-30T00:00:08"/>
    <n v="6.5896742045879364E-2"/>
    <s v="Exceso Velocidad 30 Km/h (Velocidad máxima: 32 kmh)"/>
    <x v="102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19"/>
    <d v="2026-06-01T20:49:29"/>
    <d v="1899-12-30T00:00:07"/>
    <n v="6.7259468138217926E-2"/>
    <s v="Exceso Velocidad 30 Km/h (Velocidad máxima: 40 kmh)"/>
    <x v="103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20"/>
    <d v="2026-06-01T20:53:14"/>
    <d v="1899-12-30T00:00:11"/>
    <n v="0.1101367324590683"/>
    <s v="Exceso Velocidad 30 Km/h (Velocidad máxima: 38 kmh)"/>
    <x v="111"/>
    <s v="Válido"/>
  </r>
  <r>
    <x v="8"/>
    <s v="Vehicle, Diesel, Frontera Energy Col 2679"/>
    <x v="2"/>
    <x v="2"/>
    <x v="2"/>
    <n v="0"/>
    <x v="11"/>
    <s v="ECOPETROL RUBIALES- Quifa - CAÑO SUR, Puerto Triunfo - Estacion Policia: Km 128 +500, Lavadero De Autos EL OASIS, Puerto Gaitan - Rubiales, Puerto Gaitán, Meta, Colombia"/>
    <s v="Cliente, Vel Max 40 Km/h, Vel Max 30 Km/h"/>
    <x v="621"/>
    <d v="2026-06-01T20:58:52"/>
    <d v="1899-12-30T00:00:08"/>
    <n v="7.5165398418903351E-2"/>
    <s v="Exceso Velocidad 30 Km/h (Velocidad máxima: 39 kmh)"/>
    <x v="66"/>
    <s v="Válido"/>
  </r>
  <r>
    <x v="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22"/>
    <d v="2026-06-01T20:59:20"/>
    <d v="1899-12-30T00:00:03"/>
    <n v="2.592039667069912E-2"/>
    <s v="Exceso Velocidad 30 Km/h (Velocidad máxima: 32 kmh)"/>
    <x v="102"/>
    <s v="Válido"/>
  </r>
  <r>
    <x v="8"/>
    <s v="Vehicle, Diesel, Frontera Energy Col 2679"/>
    <x v="2"/>
    <x v="2"/>
    <x v="2"/>
    <n v="0"/>
    <x v="9"/>
    <s v="ECOPETROL RUBIALES- Quifa - CAÑO SUR, Puerto Triunfo - Estacion Policia: Puerto Gaitan - Rubiales, Puerto Gaitán, Meta, Colombia"/>
    <s v="Cliente, Vel Max 40 Km/h, Vel Max 30 Km/h"/>
    <x v="623"/>
    <d v="2026-06-01T21:27:48"/>
    <d v="1899-12-30T00:00:21"/>
    <n v="8.4825165569782257E-2"/>
    <s v="Uso del cinturón de seguridad (Velocidad máxima: 18 kmh Cinturón de seguridad del conductor (1. Desabrochado): 1.00)"/>
    <x v="74"/>
    <s v="Válido"/>
  </r>
  <r>
    <x v="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624"/>
    <d v="2026-06-01T01:23:23"/>
    <d v="1899-12-30T00:01:32"/>
    <n v="0.316600501537323"/>
    <s v="Exceso de velocidad (nuevo) (Velocidad máxima: 18 kmh (Velocidad máxima en carretera: 7 kmh))"/>
    <x v="120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625"/>
    <d v="2026-06-01T01:27:35"/>
    <d v="1899-12-30T00:00:06"/>
    <n v="2.2469980642199516E-2"/>
    <s v="Exceso Velocidad 10 Km/h (Velocidad máxima: 17 kmh)"/>
    <x v="43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626"/>
    <d v="2026-06-01T01:27:41"/>
    <d v="1899-12-30T00:00:26"/>
    <n v="0.1179933175444603"/>
    <s v="Exceso Velocidad 10 Km/h (Velocidad máxima: 22 kmh)"/>
    <x v="38"/>
    <s v="Válido"/>
  </r>
  <r>
    <x v="9"/>
    <s v="Vehicle, Diesel, Frontera Energy Col 2679"/>
    <x v="2"/>
    <x v="2"/>
    <x v="2"/>
    <n v="0"/>
    <x v="0"/>
    <s v="ECOPETROL RUBIALES- Quifa - CAÑO SUR: Qf 12 48 36 79 Dw1, Puerto Gaitán, Meta, Colombia"/>
    <s v="Cliente, Vel Max 40 Km/h"/>
    <x v="627"/>
    <d v="2026-06-01T02:20:59"/>
    <d v="1899-12-30T00:06:16"/>
    <n v="0"/>
    <s v="Tiempo en ralentí (Ignición: 1.00)"/>
    <x v="0"/>
    <s v="Válido"/>
  </r>
  <r>
    <x v="9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628"/>
    <d v="2026-06-01T02:37:34"/>
    <d v="1899-12-30T00:00:03"/>
    <n v="2.6930242776870728E-2"/>
    <s v="Exceso Velocidad 40 Km/h (Velocidad máxima: 41 kmh)"/>
    <x v="47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29"/>
    <d v="2026-06-01T02:54:43"/>
    <d v="1899-12-30T00:00:24"/>
    <n v="0.11669921875"/>
    <s v="Exceso Velocidad 10 Km/h (Velocidad máxima: 21 kmh)"/>
    <x v="48"/>
    <s v="Válido"/>
  </r>
  <r>
    <x v="9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630"/>
    <d v="2026-06-01T02:55:39"/>
    <d v="1899-12-30T00:00:12"/>
    <n v="6.9877207279205322E-2"/>
    <s v="Exceso Velocidad 10 Km/h (Velocidad máxima: 24 kmh)"/>
    <x v="41"/>
    <s v="Válido"/>
  </r>
  <r>
    <x v="9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631"/>
    <d v="2026-06-01T02:58:29"/>
    <d v="1899-12-30T00:00:09"/>
    <n v="2.5230372324585915E-2"/>
    <s v="Exceso Velocidad 10 Km/h (Velocidad máxima: 11 kmh)"/>
    <x v="31"/>
    <s v="Válido"/>
  </r>
  <r>
    <x v="9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632"/>
    <d v="2026-06-01T04:29:42"/>
    <d v="1899-12-30T00:00:16"/>
    <n v="5.5230490863323212E-2"/>
    <s v="Exceso Velocidad 10 Km/h (Velocidad máxima: 12 kmh)"/>
    <x v="33"/>
    <s v="Válido"/>
  </r>
  <r>
    <x v="9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633"/>
    <d v="2026-06-01T04:32:13"/>
    <d v="1899-12-30T00:00:15"/>
    <n v="5.9472441673278809E-2"/>
    <s v="Exceso Velocidad 10 Km/h (Velocidad máxima: 15 kmh)"/>
    <x v="50"/>
    <s v="Válido"/>
  </r>
  <r>
    <x v="9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634"/>
    <d v="2026-06-01T04:35:00"/>
    <d v="1899-12-30T00:01:08"/>
    <n v="0.27985435724258423"/>
    <s v="Exceso de velocidad (nuevo) (Velocidad máxima: 20 kmh (Velocidad máxima en carretera: 7 kmh))"/>
    <x v="121"/>
    <s v="Válido"/>
  </r>
  <r>
    <x v="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635"/>
    <d v="2026-06-01T04:36:18"/>
    <d v="1899-12-30T00:00:39"/>
    <n v="0.14949381351470947"/>
    <s v="Exceso Velocidad 10 Km/h (Velocidad máxima: 16 kmh)"/>
    <x v="32"/>
    <s v="Válido"/>
  </r>
  <r>
    <x v="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636"/>
    <d v="2026-06-01T04:58:06"/>
    <d v="1899-12-30T00:00:54"/>
    <n v="0.32408386468887329"/>
    <s v="Exceso de velocidad (nuevo) (Velocidad máxima: 24 kmh (Velocidad máxima en carretera: 7 kmh))"/>
    <x v="114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37"/>
    <d v="2026-06-01T04:59:13"/>
    <d v="1899-12-30T00:00:33"/>
    <n v="0.1836627870798111"/>
    <s v="Exceso Velocidad 10 Km/h (Velocidad máxima: 22 kmh)"/>
    <x v="38"/>
    <s v="Válido"/>
  </r>
  <r>
    <x v="9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638"/>
    <d v="2026-06-01T05:03:19"/>
    <d v="1899-12-30T00:06:19"/>
    <n v="0"/>
    <s v="Tiempo en ralentí (Ignición: 1.00)"/>
    <x v="0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639"/>
    <d v="2026-06-01T06:12:01"/>
    <d v="1899-12-30T00:00:04"/>
    <n v="1.0627889074385166E-2"/>
    <s v="Exceso Velocidad 10 Km/h (Velocidad máxima: 13 kmh)"/>
    <x v="34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640"/>
    <d v="2026-06-01T06:12:09"/>
    <d v="1899-12-30T00:00:15"/>
    <n v="4.8140600323677063E-2"/>
    <s v="Exceso Velocidad 10 Km/h (Velocidad máxima: 13 kmh)"/>
    <x v="34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41"/>
    <d v="2026-06-01T06:12:29"/>
    <d v="1899-12-30T00:00:05"/>
    <n v="1.8834087997674942E-2"/>
    <s v="Exceso Velocidad 10 Km/h (Velocidad máxima: 12 kmh)"/>
    <x v="33"/>
    <s v="Válido"/>
  </r>
  <r>
    <x v="9"/>
    <s v="Vehicle, Diesel, Frontera Energy Col 2679"/>
    <x v="2"/>
    <x v="2"/>
    <x v="2"/>
    <n v="0"/>
    <x v="7"/>
    <s v="ECOPETROL RUBIALES- Quifa - CAÑO SUR: Puerto Gaitan - Rubiales, Puerto Gaitán, Meta, Colombia"/>
    <s v="Cliente, Vel Max 40 Km/h"/>
    <x v="642"/>
    <d v="2026-06-01T06:23:28"/>
    <d v="1899-12-30T00:00:00"/>
    <n v="2.5464288773946464E-4"/>
    <s v="Giro brusco (Velocidad máxima: 12 kmh Aceleración de lado a lado: -0.56 g-force, Ignición: 1.00)"/>
    <x v="122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43"/>
    <d v="2026-06-01T06:27:33"/>
    <d v="1899-12-30T00:00:07"/>
    <n v="2.0555019378662109E-2"/>
    <s v="Exceso Velocidad 10 Km/h (Velocidad máxima: 12 kmh)"/>
    <x v="33"/>
    <s v="Válido"/>
  </r>
  <r>
    <x v="9"/>
    <s v="Vehicle, Diesel, Frontera Energy Col 2679"/>
    <x v="2"/>
    <x v="2"/>
    <x v="2"/>
    <n v="0"/>
    <x v="4"/>
    <s v="CAMPAMENTO QUIFA, ECOPETROL RUBIALES- Quifa - CAÑO SUR, Campamento Quifa - CMA: Puerto Gaitan - Rubiales, Puerto Gaitán, Meta, Colombia"/>
    <s v="Vel Max 10 Km/h, Cliente, Vel Max 40 Km/h"/>
    <x v="644"/>
    <d v="2026-06-01T06:27:56"/>
    <d v="1899-12-30T00:00:31"/>
    <n v="9.0909555554389954E-2"/>
    <s v="Exceso Velocidad 10 Km/h (Velocidad máxima: 11 kmh)"/>
    <x v="31"/>
    <s v="Válido"/>
  </r>
  <r>
    <x v="9"/>
    <s v="Vehicle, Diesel, Frontera Energy Col 2679"/>
    <x v="2"/>
    <x v="2"/>
    <x v="2"/>
    <n v="0"/>
    <x v="4"/>
    <s v="CAMPAMENTO QUIFA, ECOPETROL RUBIALES- Quifa - CAÑO SUR, Campamento Quifa - CMA: Puerto Gaitan - Rubiales, Puerto Gaitán, Meta, Colombia"/>
    <s v="Vel Max 10 Km/h, Cliente, Vel Max 40 Km/h"/>
    <x v="645"/>
    <d v="2026-06-01T06:29:53"/>
    <d v="1899-12-30T00:00:05"/>
    <n v="1.1113349348306656E-2"/>
    <s v="Exceso Velocidad 10 Km/h (Velocidad máxima: 12 kmh)"/>
    <x v="33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46"/>
    <d v="2026-06-01T06:31:51"/>
    <d v="1899-12-30T00:00:23"/>
    <n v="8.5156798362731934E-2"/>
    <s v="Exceso Velocidad 10 Km/h (Velocidad máxima: 14 kmh)"/>
    <x v="10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47"/>
    <d v="2026-06-01T06:36:08"/>
    <d v="1899-12-30T00:00:33"/>
    <n v="0.18332812190055847"/>
    <s v="Exceso Velocidad 10 Km/h (Velocidad máxima: 20 kmh)"/>
    <x v="30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48"/>
    <d v="2026-06-01T06:47:06"/>
    <d v="1899-12-30T00:00:33"/>
    <n v="0.18414017558097839"/>
    <s v="Exceso Velocidad 10 Km/h (Velocidad máxima: 19 kmh)"/>
    <x v="123"/>
    <s v="Válido"/>
  </r>
  <r>
    <x v="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649"/>
    <d v="2026-06-01T06:48:11"/>
    <d v="1899-12-30T00:00:33"/>
    <n v="0.19174717366695404"/>
    <s v="Exceso de velocidad (nuevo) (Velocidad máxima: 22 kmh (Velocidad máxima en carretera: 7 kmh))"/>
    <x v="124"/>
    <s v="Válido"/>
  </r>
  <r>
    <x v="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650"/>
    <d v="2026-06-01T06:49:04"/>
    <d v="1899-12-30T00:00:47"/>
    <n v="0.14340506494045258"/>
    <s v="Exceso Velocidad 10 Km/h (Velocidad máxima: 12 kmh)"/>
    <x v="33"/>
    <s v="Válido"/>
  </r>
  <r>
    <x v="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651"/>
    <d v="2026-06-01T07:49:00"/>
    <d v="1899-12-30T00:00:12"/>
    <n v="3.0430762097239494E-2"/>
    <s v="Exceso Velocidad 10 Km/h (Velocidad máxima: 11 kmh)"/>
    <x v="31"/>
    <s v="Válido"/>
  </r>
  <r>
    <x v="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652"/>
    <d v="2026-06-01T07:49:18"/>
    <d v="1899-12-30T00:01:14"/>
    <n v="0.32392680644989014"/>
    <s v="Exceso de velocidad (nuevo) (Velocidad máxima: 18 kmh (Velocidad máxima en carretera: 7 kmh))"/>
    <x v="120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653"/>
    <d v="2026-06-01T07:54:03"/>
    <d v="1899-12-30T00:00:28"/>
    <n v="0.11092357337474823"/>
    <s v="Exceso Velocidad 10 Km/h (Velocidad máxima: 16 kmh)"/>
    <x v="32"/>
    <s v="Válido"/>
  </r>
  <r>
    <x v="9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654"/>
    <d v="2026-06-01T09:06:51"/>
    <d v="1899-12-30T00:09:31"/>
    <n v="2.1770887542515993E-3"/>
    <s v="Tiempo en ralentí (Ignición: 1.00)"/>
    <x v="0"/>
    <s v="Válido"/>
  </r>
  <r>
    <x v="9"/>
    <s v="Vehicle, Diesel, Frontera Energy Col 2679"/>
    <x v="2"/>
    <x v="2"/>
    <x v="2"/>
    <n v="0"/>
    <x v="0"/>
    <s v="ECOPETROL RUBIALES- Quifa - CAÑO SUR: Qf 12 48 36 79 Dw1, Puerto Gaitán, Meta, Colombia"/>
    <s v="Cliente, Vel Max 40 Km/h"/>
    <x v="655"/>
    <d v="2026-06-01T09:57:30"/>
    <d v="1899-12-30T00:08:50"/>
    <n v="1.4384320238605142E-3"/>
    <s v="Tiempo en ralentí (Ignición: 1.00)"/>
    <x v="0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56"/>
    <d v="2026-06-01T12:51:54"/>
    <d v="1899-12-30T00:00:29"/>
    <n v="0.11332234740257263"/>
    <s v="Exceso Velocidad 10 Km/h (Velocidad máxima: 21 kmh)"/>
    <x v="48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657"/>
    <d v="2026-06-01T12:53:25"/>
    <d v="1899-12-30T00:00:10"/>
    <n v="2.447451651096344E-2"/>
    <s v="Exceso Velocidad 10 Km/h (Velocidad máxima: 12 kmh)"/>
    <x v="33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658"/>
    <d v="2026-06-01T14:06:48"/>
    <d v="1899-12-30T00:00:05"/>
    <n v="1.6433326527476311E-2"/>
    <s v="Exceso Velocidad 10 Km/h (Velocidad máxima: 12 kmh)"/>
    <x v="33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659"/>
    <d v="2026-06-01T14:06:57"/>
    <d v="1899-12-30T00:00:03"/>
    <n v="6.8623526021838188E-3"/>
    <s v="Exceso Velocidad 10 Km/h (Velocidad máxima: 11 kmh)"/>
    <x v="31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660"/>
    <d v="2026-06-01T14:07:21"/>
    <d v="1899-12-30T00:00:28"/>
    <n v="0.1171836256980896"/>
    <s v="Exceso Velocidad 10 Km/h (Velocidad máxima: 18 kmh)"/>
    <x v="39"/>
    <s v="Válido"/>
  </r>
  <r>
    <x v="9"/>
    <s v="Vehicle, Diesel, Frontera Energy Col 2679"/>
    <x v="2"/>
    <x v="2"/>
    <x v="2"/>
    <n v="0"/>
    <x v="0"/>
    <s v="ECOPETROL RUBIALES- Quifa - CAÑO SUR: Qf 12, Puerto Gaitán, Meta, Colombia"/>
    <s v="Cliente, Vel Max 40 Km/h"/>
    <x v="661"/>
    <d v="2026-06-01T14:15:43"/>
    <d v="1899-12-30T00:07:10"/>
    <n v="2.6534618809819221E-3"/>
    <s v="Tiempo en ralentí (Ignición: 1.00)"/>
    <x v="0"/>
    <s v="Válido"/>
  </r>
  <r>
    <x v="9"/>
    <s v="Vehicle, Diesel, Frontera Energy Col 2679"/>
    <x v="2"/>
    <x v="2"/>
    <x v="2"/>
    <n v="0"/>
    <x v="0"/>
    <s v="ECOPETROL RUBIALES- Quifa - CAÑO SUR: Qf 12, Puerto Gaitán, Meta, Colombia"/>
    <s v="Cliente, Vel Max 40 Km/h"/>
    <x v="662"/>
    <d v="2026-06-01T15:52:02"/>
    <d v="1899-12-30T00:07:23"/>
    <n v="2.6556128636002541E-2"/>
    <s v="Tiempo en ralentí (Ignición: 1.00)"/>
    <x v="0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63"/>
    <d v="2026-06-01T16:26:15"/>
    <d v="1899-12-30T00:00:24"/>
    <n v="0.10745974630117416"/>
    <s v="Exceso Velocidad 10 Km/h (Velocidad máxima: 18 kmh)"/>
    <x v="39"/>
    <s v="Válido"/>
  </r>
  <r>
    <x v="9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664"/>
    <d v="2026-06-01T16:28:07"/>
    <d v="1899-12-30T00:00:00"/>
    <n v="8.2073165685869753E-5"/>
    <s v="Giro brusco (Velocidad máxima: 14 kmh Aceleración de lado a lado: 0.50 g-force, Ignición: 1.00)"/>
    <x v="125"/>
    <s v="Válido"/>
  </r>
  <r>
    <x v="9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665"/>
    <d v="2026-06-01T16:29:17"/>
    <d v="1899-12-30T00:00:53"/>
    <n v="0.23709195852279663"/>
    <s v="Exceso de velocidad (nuevo) (Velocidad máxima: 18 kmh (Velocidad máxima en carretera: 7 kmh))"/>
    <x v="120"/>
    <s v="Válido"/>
  </r>
  <r>
    <x v="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666"/>
    <d v="2026-06-01T16:30:31"/>
    <d v="1899-12-30T00:00:20"/>
    <n v="5.765099823474884E-2"/>
    <s v="Exceso Velocidad 10 Km/h (Velocidad máxima: 11 kmh)"/>
    <x v="31"/>
    <s v="Válido"/>
  </r>
  <r>
    <x v="9"/>
    <s v="Vehicle, Diesel, Frontera Energy Col 2679"/>
    <x v="2"/>
    <x v="2"/>
    <x v="2"/>
    <n v="0"/>
    <x v="0"/>
    <s v="ECOPETROL RUBIALES- Quifa - CAÑO SUR, Centralizado de combustible Quifa: Vía Sin Nombre, Puerto Gaitán, Meta, Colombia"/>
    <s v="Cliente, Vel Max 40 Km/h, Vel Max 10 Km/h"/>
    <x v="667"/>
    <d v="2026-06-01T16:41:34"/>
    <d v="1899-12-30T00:09:11"/>
    <n v="2.5426673237234354E-3"/>
    <s v="Tiempo en ralentí (Ignición: 1.00)"/>
    <x v="0"/>
    <s v="Válido"/>
  </r>
  <r>
    <x v="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668"/>
    <d v="2026-06-01T16:54:23"/>
    <d v="1899-12-30T00:01:20"/>
    <n v="0.2893650233745575"/>
    <s v="Exceso de velocidad (nuevo) (Velocidad máxima: 15 kmh (Velocidad máxima en carretera: 7 kmh))"/>
    <x v="126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69"/>
    <d v="2026-06-01T16:56:10"/>
    <d v="1899-12-30T00:00:38"/>
    <n v="0.1837875097990036"/>
    <s v="Exceso Velocidad 10 Km/h (Velocidad máxima: 20 kmh)"/>
    <x v="30"/>
    <s v="Válido"/>
  </r>
  <r>
    <x v="9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670"/>
    <d v="2026-06-01T17:00:14"/>
    <d v="1899-12-30T00:06:33"/>
    <n v="0"/>
    <s v="Tiempo en ralentí (Ignición: 1.00)"/>
    <x v="0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71"/>
    <d v="2026-06-01T17:10:17"/>
    <d v="1899-12-30T00:00:38"/>
    <n v="0.1853221207857132"/>
    <s v="Exceso Velocidad 10 Km/h (Velocidad máxima: 18 kmh)"/>
    <x v="39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672"/>
    <d v="2026-06-01T17:14:23"/>
    <d v="1899-12-30T00:00:01"/>
    <n v="1.3423075433820486E-3"/>
    <s v="Exceso Velocidad 10 Km/h (Velocidad máxima: 11 kmh)"/>
    <x v="31"/>
    <s v="Válido"/>
  </r>
  <r>
    <x v="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673"/>
    <d v="2026-06-01T18:06:16"/>
    <d v="1899-12-30T00:00:15"/>
    <n v="5.9910118579864502E-2"/>
    <s v="Exceso Velocidad 10 Km/h (Velocidad máxima: 16 kmh)"/>
    <x v="32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74"/>
    <d v="2026-06-01T18:06:31"/>
    <d v="1899-12-30T00:00:14"/>
    <n v="6.6007077693939209E-2"/>
    <s v="Exceso Velocidad 10 Km/h (Velocidad máxima: 18 kmh)"/>
    <x v="39"/>
    <s v="Válido"/>
  </r>
  <r>
    <x v="9"/>
    <s v="Vehicle, Diesel, Frontera Energy Col 2679"/>
    <x v="2"/>
    <x v="2"/>
    <x v="2"/>
    <n v="0"/>
    <x v="0"/>
    <s v="ECOPETROL RUBIALES- Quifa - CAÑO SUR: Rb 443 358, Puerto Gaitán, Meta, Colombia"/>
    <s v="Cliente, Vel Max 40 Km/h"/>
    <x v="675"/>
    <d v="2026-06-01T18:11:56"/>
    <d v="1899-12-30T00:10:21"/>
    <n v="2.6670028091757558E-5"/>
    <s v="Tiempo en ralentí (Ignición: 1.00)"/>
    <x v="0"/>
    <s v="Válido"/>
  </r>
  <r>
    <x v="9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676"/>
    <d v="2026-06-01T18:26:44"/>
    <d v="1899-12-30T00:00:26"/>
    <n v="0.12143582850694656"/>
    <s v="Exceso Velocidad 10 Km/h (Velocidad máxima: 22 kmh)"/>
    <x v="38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77"/>
    <d v="2026-06-01T18:29:59"/>
    <d v="1899-12-30T00:00:27"/>
    <n v="0.18372516334056854"/>
    <s v="Exceso Velocidad 10 Km/h (Velocidad máxima: 25 kmh)"/>
    <x v="35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78"/>
    <d v="2026-06-01T18:30:50"/>
    <d v="1899-12-30T00:00:09"/>
    <n v="7.3324181139469147E-2"/>
    <s v="Exceso Velocidad 30 Km/h (Velocidad máxima: 31 kmh)"/>
    <x v="49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79"/>
    <d v="2026-06-01T18:37:48"/>
    <d v="1899-12-30T00:00:14"/>
    <n v="0.12090085446834564"/>
    <s v="Exceso Velocidad 30 Km/h (Velocidad máxima: 31 kmh)"/>
    <x v="49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80"/>
    <d v="2026-06-01T18:38:17"/>
    <d v="1899-12-30T00:00:25"/>
    <n v="0.18426470458507538"/>
    <s v="Exceso Velocidad 10 Km/h (Velocidad máxima: 29 kmh)"/>
    <x v="58"/>
    <s v="Válido"/>
  </r>
  <r>
    <x v="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681"/>
    <d v="2026-06-01T18:39:06"/>
    <d v="1899-12-30T00:00:33"/>
    <n v="0.2219889909029007"/>
    <s v="Exceso de velocidad (nuevo) (Velocidad máxima: 28 kmh (Velocidad máxima en carretera: 7 kmh))"/>
    <x v="89"/>
    <s v="Válido"/>
  </r>
  <r>
    <x v="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682"/>
    <d v="2026-06-01T18:39:49"/>
    <d v="1899-12-30T00:00:45"/>
    <n v="0.15349310636520386"/>
    <s v="Exceso Velocidad 10 Km/h (Velocidad máxima: 14 kmh)"/>
    <x v="10"/>
    <s v="Válido"/>
  </r>
  <r>
    <x v="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683"/>
    <d v="2026-06-01T18:47:08"/>
    <d v="1899-12-30T00:00:30"/>
    <n v="9.8155036568641663E-2"/>
    <s v="Exceso Velocidad 10 Km/h (Velocidad máxima: 12 kmh)"/>
    <x v="33"/>
    <s v="Válido"/>
  </r>
  <r>
    <x v="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684"/>
    <d v="2026-06-01T18:47:49"/>
    <d v="1899-12-30T00:00:31"/>
    <n v="0.21370463073253632"/>
    <s v="Exceso de velocidad (nuevo) (Velocidad máxima: 29 kmh (Velocidad máxima en carretera: 7 kmh))"/>
    <x v="68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85"/>
    <d v="2026-06-01T18:48:45"/>
    <d v="1899-12-30T00:00:21"/>
    <n v="0.18348948657512665"/>
    <s v="Exceso Velocidad 10 Km/h (Velocidad máxima: 31 kmh)"/>
    <x v="127"/>
    <s v="Válido"/>
  </r>
  <r>
    <x v="9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686"/>
    <d v="2026-06-01T18:48:48"/>
    <d v="1899-12-30T00:00:19"/>
    <n v="0.16031491756439209"/>
    <s v="Exceso Velocidad 30 Km/h (Velocidad máxima: 31 kmh)"/>
    <x v="49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87"/>
    <d v="2026-06-01T18:49:22"/>
    <d v="1899-12-30T00:00:26"/>
    <n v="0.23677845299243927"/>
    <s v="Exceso Velocidad 30 Km/h (Velocidad máxima: 35 kmh)"/>
    <x v="59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88"/>
    <d v="2026-06-01T18:49:53"/>
    <d v="1899-12-30T00:00:05"/>
    <n v="4.635416716337204E-2"/>
    <s v="Exceso Velocidad 30 Km/h (Velocidad máxima: 31 kmh)"/>
    <x v="49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89"/>
    <d v="2026-06-01T18:50:17"/>
    <d v="1899-12-30T00:00:12"/>
    <n v="0.10499574989080429"/>
    <s v="Exceso Velocidad 30 Km/h (Velocidad máxima: 33 kmh)"/>
    <x v="56"/>
    <s v="Válido"/>
  </r>
  <r>
    <x v="9"/>
    <s v="Vehicle, Diesel, Frontera Energy Col 2679"/>
    <x v="2"/>
    <x v="2"/>
    <x v="2"/>
    <n v="0"/>
    <x v="9"/>
    <s v="ECOPETROL RUBIALES- Quifa - CAÑO SUR, Puerto Triunfo - Estacion Policia: Puerto Gaitan - Rubiales, Puerto Gaitán, Meta, Colombia"/>
    <s v="Cliente, Vel Max 40 Km/h, Vel Max 30 Km/h"/>
    <x v="690"/>
    <d v="2026-06-01T19:14:57"/>
    <d v="1899-12-30T00:00:12"/>
    <n v="5.1017288118600845E-2"/>
    <s v="Uso del cinturón de seguridad (Velocidad máxima: 18 kmh Cinturón de seguridad del conductor (1. Desabrochado): 1.00)"/>
    <x v="74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91"/>
    <d v="2026-06-01T19:19:19"/>
    <d v="1899-12-30T00:00:08"/>
    <n v="7.0086874067783356E-2"/>
    <s v="Exceso Velocidad 30 Km/h (Velocidad máxima: 35 kmh)"/>
    <x v="59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92"/>
    <d v="2026-06-01T19:19:54"/>
    <d v="1899-12-30T00:00:18"/>
    <n v="0.16507808864116669"/>
    <s v="Exceso Velocidad 30 Km/h (Velocidad máxima: 33 kmh)"/>
    <x v="56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93"/>
    <d v="2026-06-01T19:20:49"/>
    <d v="1899-12-30T00:00:12"/>
    <n v="0.10337420552968979"/>
    <s v="Exceso Velocidad 30 Km/h (Velocidad máxima: 33 kmh)"/>
    <x v="56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94"/>
    <d v="2026-06-01T19:21:29"/>
    <d v="1899-12-30T00:00:02"/>
    <n v="1.6258103772997856E-2"/>
    <s v="Exceso Velocidad 30 Km/h (Velocidad máxima: 31 kmh)"/>
    <x v="49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95"/>
    <d v="2026-06-01T19:21:38"/>
    <d v="1899-12-30T00:00:46"/>
    <n v="0.4301300048828125"/>
    <s v="Exceso Velocidad 30 Km/h (Velocidad máxima: 37 kmh)"/>
    <x v="55"/>
    <s v="Válido"/>
  </r>
  <r>
    <x v="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696"/>
    <d v="2026-06-01T19:22:17"/>
    <d v="1899-12-30T00:00:24"/>
    <n v="0.18363004922866821"/>
    <s v="Exceso Velocidad 10 Km/h (Velocidad máxima: 31 kmh)"/>
    <x v="127"/>
    <s v="Válido"/>
  </r>
  <r>
    <x v="9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697"/>
    <d v="2026-06-01T19:22:37"/>
    <d v="1899-12-30T00:00:03"/>
    <n v="2.6641486212611198E-2"/>
    <s v="Exceso Velocidad 30 Km/h (Velocidad máxima: 31 kmh)"/>
    <x v="49"/>
    <s v="Válido"/>
  </r>
  <r>
    <x v="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98"/>
    <d v="2026-06-01T19:22:47"/>
    <d v="1899-12-30T00:00:04"/>
    <n v="3.5196449607610703E-2"/>
    <s v="Exceso Velocidad 30 Km/h (Velocidad máxima: 31 kmh)"/>
    <x v="49"/>
    <s v="Válido"/>
  </r>
  <r>
    <x v="9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699"/>
    <d v="2026-06-01T19:22:54"/>
    <d v="1899-12-30T00:00:38"/>
    <n v="0.29778546094894409"/>
    <s v="Exceso de velocidad (nuevo) (Velocidad máxima: 31 kmh (Velocidad máxima en carretera: 7 kmh))"/>
    <x v="67"/>
    <s v="Válido"/>
  </r>
  <r>
    <x v="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700"/>
    <d v="2026-06-01T19:23:38"/>
    <d v="1899-12-30T00:00:44"/>
    <n v="0.15536722540855408"/>
    <s v="Exceso Velocidad 10 Km/h (Velocidad máxima: 20 kmh)"/>
    <x v="30"/>
    <s v="Válido"/>
  </r>
  <r>
    <x v="9"/>
    <s v="Vehicle, Diesel, Frontera Energy Col 2679"/>
    <x v="2"/>
    <x v="2"/>
    <x v="2"/>
    <n v="0"/>
    <x v="0"/>
    <s v="ECOPETROL RUBIALES- Quifa - CAÑO SUR, Centralizado de combustible Quifa: Vía Sin Nombre, Puerto Gaitán, Meta, Colombia"/>
    <s v="Cliente, Vel Max 40 Km/h, Vel Max 10 Km/h"/>
    <x v="701"/>
    <d v="2026-06-01T20:31:31"/>
    <d v="1899-12-30T00:23:32"/>
    <n v="0"/>
    <s v="Tiempo en ralentí (Ignición: 1.00)"/>
    <x v="0"/>
    <s v="Válido"/>
  </r>
  <r>
    <x v="9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702"/>
    <d v="2026-06-01T22:57:54"/>
    <d v="1899-12-30T00:00:15"/>
    <n v="5.041445791721344E-2"/>
    <s v="Exceso Velocidad 10 Km/h (Velocidad máxima: 16 kmh)"/>
    <x v="32"/>
    <s v="Válido"/>
  </r>
  <r>
    <x v="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703"/>
    <d v="2026-06-01T22:58:21"/>
    <d v="1899-12-30T00:00:02"/>
    <n v="3.6376249045133591E-3"/>
    <s v="Exceso Velocidad 10 Km/h (Velocidad máxima: 11 kmh)"/>
    <x v="31"/>
    <s v="Válido"/>
  </r>
  <r>
    <x v="1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704"/>
    <d v="2026-06-01T05:36:03"/>
    <d v="1899-12-30T00:00:29"/>
    <n v="0.18361158668994904"/>
    <s v="Exceso Velocidad 10 Km/h (Velocidad máxima: 24 kmh)"/>
    <x v="41"/>
    <s v="Válido"/>
  </r>
  <r>
    <x v="1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705"/>
    <d v="2026-06-01T05:38:18"/>
    <d v="1899-12-30T00:00:09"/>
    <n v="7.8733667731285095E-2"/>
    <s v="Exceso Velocidad 30 Km/h (Velocidad máxima: 31 kmh)"/>
    <x v="49"/>
    <s v="Válido"/>
  </r>
  <r>
    <x v="10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706"/>
    <d v="2026-06-01T05:39:57"/>
    <d v="1899-12-30T00:00:10"/>
    <n v="3.0027903616428375E-2"/>
    <s v="Exceso Velocidad 10 Km/h (Velocidad máxima: 12 kmh)"/>
    <x v="33"/>
    <s v="Válido"/>
  </r>
  <r>
    <x v="1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707"/>
    <d v="2026-06-01T06:18:44"/>
    <d v="1899-12-30T00:00:27"/>
    <n v="0.1831982433795929"/>
    <s v="Exceso Velocidad 10 Km/h (Velocidad máxima: 27 kmh)"/>
    <x v="110"/>
    <s v="Válido"/>
  </r>
  <r>
    <x v="10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50"/>
    <d v="2026-06-01T06:25:26"/>
    <d v="1899-12-30T00:10:03"/>
    <n v="0"/>
    <s v="Tiempo en ralentí (Ignición: 1.00)"/>
    <x v="0"/>
    <s v="Válido"/>
  </r>
  <r>
    <x v="1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708"/>
    <d v="2026-06-01T06:59:06"/>
    <d v="1899-12-30T00:00:26"/>
    <n v="0.1828467845916748"/>
    <s v="Exceso Velocidad 10 Km/h (Velocidad máxima: 26 kmh)"/>
    <x v="42"/>
    <s v="Válido"/>
  </r>
  <r>
    <x v="10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709"/>
    <d v="2026-06-01T07:02:38"/>
    <d v="1899-12-30T00:00:01"/>
    <n v="7.9478109255433083E-3"/>
    <s v="Exceso Velocidad 10 Km/h (Velocidad máxima: 16 kmh)"/>
    <x v="32"/>
    <s v="Válido"/>
  </r>
  <r>
    <x v="10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710"/>
    <d v="2026-06-01T07:02:42"/>
    <d v="1899-12-30T00:00:11"/>
    <n v="5.0172466784715652E-2"/>
    <s v="Exceso Velocidad 10 Km/h (Velocidad máxima: 18 kmh)"/>
    <x v="39"/>
    <s v="Válido"/>
  </r>
  <r>
    <x v="10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711"/>
    <d v="2026-06-01T07:02:58"/>
    <d v="1899-12-30T00:00:08"/>
    <n v="4.0818806737661362E-2"/>
    <s v="Exceso Velocidad 10 Km/h (Velocidad máxima: 20 kmh)"/>
    <x v="30"/>
    <s v="Válido"/>
  </r>
  <r>
    <x v="10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712"/>
    <d v="2026-06-01T07:04:15"/>
    <d v="1899-12-30T00:00:00"/>
    <n v="1.4880055096000433E-4"/>
    <s v="Giro brusco (Velocidad máxima: 8 kmh Aceleración de lado a lado: -0.52 g-force, Ignición: 1.00)"/>
    <x v="128"/>
    <s v="Válido"/>
  </r>
  <r>
    <x v="10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713"/>
    <d v="2026-06-01T07:17:23"/>
    <d v="1899-12-30T00:00:07"/>
    <n v="2.9827231541275978E-2"/>
    <s v="Exceso Velocidad 10 Km/h (Velocidad máxima: 22 kmh)"/>
    <x v="38"/>
    <s v="Válido"/>
  </r>
  <r>
    <x v="10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714"/>
    <d v="2026-06-01T07:17:33"/>
    <d v="1899-12-30T00:00:16"/>
    <n v="7.4690744280815125E-2"/>
    <s v="Exceso Velocidad 10 Km/h (Velocidad máxima: 20 kmh)"/>
    <x v="30"/>
    <s v="Válido"/>
  </r>
  <r>
    <x v="1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715"/>
    <d v="2026-06-01T07:21:02"/>
    <d v="1899-12-30T00:00:29"/>
    <n v="0.18281686305999756"/>
    <s v="Exceso Velocidad 10 Km/h (Velocidad máxima: 24 kmh)"/>
    <x v="41"/>
    <s v="Válido"/>
  </r>
  <r>
    <x v="10"/>
    <s v="Vehicle, Diesel, Frontera Energy Col 2679"/>
    <x v="2"/>
    <x v="2"/>
    <x v="2"/>
    <n v="0"/>
    <x v="7"/>
    <s v="ECOPETROL RUBIALES- Quifa - CAÑO SUR: Alto Neblinas, Puerto Gaitán, Meta, Colombia"/>
    <s v="Cliente, Vel Max 40 Km/h"/>
    <x v="716"/>
    <d v="2026-06-01T08:22:22"/>
    <d v="1899-12-30T00:00:00"/>
    <n v="8.7359303142875433E-4"/>
    <s v="Giro brusco (Velocidad máxima: 25 kmh Aceleración de lado a lado: -0.64 g-force, Ignición: 1.00)"/>
    <x v="129"/>
    <s v="Válido"/>
  </r>
  <r>
    <x v="10"/>
    <s v="Vehicle, Diesel, Frontera Energy Col 2679"/>
    <x v="2"/>
    <x v="2"/>
    <x v="2"/>
    <n v="0"/>
    <x v="7"/>
    <s v="ECOPETROL RUBIALES- Quifa - CAÑO SUR: Alto Neblinas, Puerto Gaitán, Meta, Colombia"/>
    <s v="Cliente, Vel Max 40 Km/h"/>
    <x v="716"/>
    <d v="2026-06-01T08:22:22"/>
    <d v="1899-12-30T00:00:00"/>
    <n v="2.4639803450554609E-4"/>
    <s v="Giro brusco (Velocidad máxima: 24 kmh Aceleración de lado a lado: -0.51 g-force, Ignición: 1.00)"/>
    <x v="130"/>
    <s v="Válido"/>
  </r>
  <r>
    <x v="1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717"/>
    <d v="2026-06-01T08:27:09"/>
    <d v="1899-12-30T00:21:28"/>
    <n v="0"/>
    <s v="Tiempo en ralentí (Ignición: 1.00)"/>
    <x v="0"/>
    <s v="Válido"/>
  </r>
  <r>
    <x v="10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718"/>
    <d v="2026-06-01T09:02:06"/>
    <d v="1899-12-30T00:00:23"/>
    <n v="0.17772884666919708"/>
    <s v="Exceso Velocidad 20 Km/h (Velocidad máxima: 33 kmh)"/>
    <x v="131"/>
    <s v="Válido"/>
  </r>
  <r>
    <x v="10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719"/>
    <d v="2026-06-01T09:04:02"/>
    <d v="1899-12-30T00:00:15"/>
    <n v="9.8442517220973969E-2"/>
    <s v="Exceso Velocidad 20 Km/h (Velocidad máxima: 28 kmh)"/>
    <x v="132"/>
    <s v="Válido"/>
  </r>
  <r>
    <x v="10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720"/>
    <d v="2026-06-01T09:04:29"/>
    <d v="1899-12-30T00:00:33"/>
    <n v="0.2109622061252594"/>
    <s v="Exceso Velocidad 20 Km/h (Velocidad máxima: 26 kmh)"/>
    <x v="133"/>
    <s v="Válido"/>
  </r>
  <r>
    <x v="10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721"/>
    <d v="2026-06-01T09:05:18"/>
    <d v="1899-12-30T00:00:29"/>
    <n v="0.24575473368167877"/>
    <s v="Exceso Velocidad 20 Km/h (Velocidad máxima: 37 kmh)"/>
    <x v="134"/>
    <s v="Válido"/>
  </r>
  <r>
    <x v="10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722"/>
    <d v="2026-06-01T09:06:08"/>
    <d v="1899-12-30T00:00:06"/>
    <n v="6.8641439080238342E-2"/>
    <s v="Exceso Velocidad 40 Km/h (Velocidad máxima: 42 kmh)"/>
    <x v="51"/>
    <s v="Válido"/>
  </r>
  <r>
    <x v="10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723"/>
    <d v="2026-06-01T09:07:09"/>
    <d v="1899-12-30T00:00:02"/>
    <n v="1.4872548170387745E-2"/>
    <s v="Exceso Velocidad 40 Km/h (Velocidad máxima: 41 kmh)"/>
    <x v="47"/>
    <s v="Válido"/>
  </r>
  <r>
    <x v="10"/>
    <s v="Vehicle, Diesel, Frontera Energy Col 2679"/>
    <x v="2"/>
    <x v="2"/>
    <x v="2"/>
    <n v="0"/>
    <x v="7"/>
    <s v="ECOPETROL RUBIALES- Quifa - CAÑO SUR: Puerto Gaitan - Rubiales, Puerto Gaitán, Meta, Colombia"/>
    <s v="Cliente, Vel Max 40 Km/h"/>
    <x v="724"/>
    <d v="2026-06-01T09:08:58"/>
    <d v="1899-12-30T00:00:00"/>
    <n v="8.3301223639864475E-5"/>
    <s v="Giro brusco (Velocidad máxima: 21 kmh Aceleración de lado a lado: 0.49 g-force, Ignición: 1.00)"/>
    <x v="135"/>
    <s v="Válido"/>
  </r>
  <r>
    <x v="10"/>
    <s v="Vehicle, Diesel, Frontera Energy Col 2679"/>
    <x v="2"/>
    <x v="2"/>
    <x v="2"/>
    <n v="0"/>
    <x v="14"/>
    <s v="ECOPETROL RUBIALES- Quifa - CAÑO SUR: Vía Sin Nombre, Puerto Gaitán, Meta, Colombia"/>
    <s v="Cliente, Vel Max 40 Km/h"/>
    <x v="725"/>
    <d v="2026-06-01T09:16:14"/>
    <d v="1899-12-30T00:00:00"/>
    <n v="1.2114604469388723E-3"/>
    <s v="Frenado brusco (Velocidad máxima: 34 kmh Aceleración hacia delante o frenado: -7.36 g-force, Ignición: 1.00)"/>
    <x v="136"/>
    <s v="Válido"/>
  </r>
  <r>
    <x v="10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725"/>
    <d v="2026-06-01T09:16:14"/>
    <d v="1899-12-30T00:00:00"/>
    <n v="1.1182711750734597E-4"/>
    <s v="Giro brusco (Velocidad máxima: 34 kmh Aceleración de lado a lado: -0.66 g-force, Ignición: 1.00)"/>
    <x v="137"/>
    <s v="Válido"/>
  </r>
  <r>
    <x v="10"/>
    <s v="Vehicle, Diesel, Frontera Energy Col 2679"/>
    <x v="2"/>
    <x v="2"/>
    <x v="2"/>
    <n v="0"/>
    <x v="15"/>
    <s v="ECOPETROL RUBIALES- Quifa - CAÑO SUR: Vía Sin Nombre, Puerto Gaitán, Meta, Colombia"/>
    <s v="Cliente, Vel Max 40 Km/h"/>
    <x v="725"/>
    <d v="2026-06-01T09:16:14"/>
    <d v="1899-12-30T00:00:00"/>
    <n v="9.4121159054338932E-4"/>
    <s v="Posible colisión (heredado) (Aceleración hacia delante o frenado: -7.36 g-force, Aceleración de lado a lado: -0.62 g-force)"/>
    <x v="138"/>
    <s v="Válido"/>
  </r>
  <r>
    <x v="10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725"/>
    <d v="2026-06-01T09:16:14"/>
    <d v="1899-12-30T00:00:00"/>
    <n v="5.4049771279096603E-4"/>
    <s v="Giro brusco (Velocidad máxima: 34 kmh Aceleración de lado a lado: 2.49 g-force, Ignición: 1.00)"/>
    <x v="139"/>
    <s v="Válido"/>
  </r>
  <r>
    <x v="10"/>
    <s v="Vehicle, Diesel, Frontera Energy Col 2679"/>
    <x v="2"/>
    <x v="2"/>
    <x v="2"/>
    <n v="0"/>
    <x v="8"/>
    <s v="ECOPETROL RUBIALES- Quifa - CAÑO SUR: Vía Sin Nombre, Puerto Gaitán, Meta, Colombia"/>
    <s v="Cliente, Vel Max 40 Km/h"/>
    <x v="725"/>
    <d v="2026-06-01T09:16:14"/>
    <d v="1899-12-30T00:00:00"/>
    <n v="4.8458416131325066E-4"/>
    <s v="Aceleración brusca (Velocidad máxima: 33 kmh Aceleración hacia delante o frenado: 1.21 g-force, Ignición: 1.00)"/>
    <x v="140"/>
    <s v="Válido"/>
  </r>
  <r>
    <x v="10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725"/>
    <d v="2026-06-01T09:16:14"/>
    <d v="1899-12-30T00:00:00"/>
    <n v="1.6774068353697658E-4"/>
    <s v="Giro brusco (Velocidad máxima: 33 kmh Aceleración de lado a lado: -0.63 g-force, Ignición: 1.00)"/>
    <x v="141"/>
    <s v="Válido"/>
  </r>
  <r>
    <x v="10"/>
    <s v="Vehicle, Diesel, Frontera Energy Col 2679"/>
    <x v="2"/>
    <x v="2"/>
    <x v="2"/>
    <n v="0"/>
    <x v="14"/>
    <s v="ECOPETROL RUBIALES- Quifa - CAÑO SUR: Vía Sin Nombre, Puerto Gaitán, Meta, Colombia"/>
    <s v="Cliente, Vel Max 40 Km/h"/>
    <x v="725"/>
    <d v="2026-06-01T09:16:14"/>
    <d v="1899-12-30T00:00:00"/>
    <n v="2.4229209520854056E-4"/>
    <s v="Frenado brusco (Velocidad máxima: 33 kmh Aceleración hacia delante o frenado: -1.00 g-force, Ignición: 1.00)"/>
    <x v="142"/>
    <s v="Válido"/>
  </r>
  <r>
    <x v="10"/>
    <s v="Vehicle, Diesel, Frontera Energy Col 2679"/>
    <x v="2"/>
    <x v="2"/>
    <x v="2"/>
    <n v="0"/>
    <x v="2"/>
    <s v="ECOPETROL RUBIALES- Quifa - CAÑO SUR: Vía Sin Nombre, Puerto Gaitán, Meta, Colombia"/>
    <s v="Cliente, Vel Max 40 Km/h"/>
    <x v="725"/>
    <d v="2026-06-01T09:16:14"/>
    <d v="1899-12-30T00:00:00"/>
    <n v="0"/>
    <s v="Engine Fault Exception (Alerta: Se excedió el límite de aceleración para colisiones)"/>
    <x v="143"/>
    <s v="Válido"/>
  </r>
  <r>
    <x v="10"/>
    <s v="Vehicle, Diesel, Frontera Energy Col 2679"/>
    <x v="2"/>
    <x v="2"/>
    <x v="2"/>
    <n v="0"/>
    <x v="1"/>
    <s v="ECOPETROL RUBIALES- Quifa - CAÑO SUR: Vía Sin Nombre, Puerto Gaitán, Meta, Colombia"/>
    <s v="Cliente, Vel Max 40 Km/h"/>
    <x v="725"/>
    <d v="2026-06-01T09:16:14"/>
    <d v="1899-12-30T00:00:01"/>
    <n v="5.1011787727475166E-3"/>
    <s v="Frenado brusco (nuevo) (Clase de vehículo para métricas de seguridad: Otra clase (no estandarizada), Velocidad máxima: 14 kmh,  Ignición: 1)"/>
    <x v="1"/>
    <s v="Válido"/>
  </r>
  <r>
    <x v="10"/>
    <s v="Vehicle, Diesel, Frontera Energy Col 2679"/>
    <x v="2"/>
    <x v="2"/>
    <x v="2"/>
    <n v="0"/>
    <x v="8"/>
    <s v="ECOPETROL RUBIALES- Quifa - CAÑO SUR: Vía Sin Nombre, Puerto Gaitán, Meta, Colombia"/>
    <s v="Cliente, Vel Max 40 Km/h"/>
    <x v="725"/>
    <d v="2026-06-01T09:16:14"/>
    <d v="1899-12-30T00:00:00"/>
    <n v="7.0396263618022203E-4"/>
    <s v="Aceleración brusca (Velocidad máxima: 32 kmh Aceleración hacia delante o frenado: 0.64 g-force, Ignición: 1.00)"/>
    <x v="144"/>
    <s v="Válido"/>
  </r>
  <r>
    <x v="10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725"/>
    <d v="2026-06-01T09:16:14"/>
    <d v="1899-12-30T00:00:00"/>
    <n v="6.9376028841361403E-4"/>
    <s v="Giro brusco (Velocidad máxima: 31 kmh Aceleración de lado a lado: -0.63 g-force, Ignición: 1.00)"/>
    <x v="145"/>
    <s v="Válido"/>
  </r>
  <r>
    <x v="10"/>
    <s v="Vehicle, Diesel, Frontera Energy Col 2679"/>
    <x v="2"/>
    <x v="2"/>
    <x v="2"/>
    <n v="0"/>
    <x v="14"/>
    <s v="ECOPETROL RUBIALES- Quifa - CAÑO SUR: Vía Sin Nombre, Puerto Gaitán, Meta, Colombia"/>
    <s v="Cliente, Vel Max 40 Km/h"/>
    <x v="725"/>
    <d v="2026-06-01T09:16:14"/>
    <d v="1899-12-30T00:00:00"/>
    <n v="1.6986924456432462E-3"/>
    <s v="Frenado brusco (Velocidad máxima: 27 kmh Aceleración hacia delante o frenado: -0.69 g-force, Ignición: 1.00)"/>
    <x v="146"/>
    <s v="Válido"/>
  </r>
  <r>
    <x v="10"/>
    <s v="Vehicle, Diesel, Frontera Energy Col 2679"/>
    <x v="2"/>
    <x v="2"/>
    <x v="2"/>
    <n v="0"/>
    <x v="14"/>
    <s v="ECOPETROL RUBIALES- Quifa - CAÑO SUR: Vía Sin Nombre, Puerto Gaitán, Meta, Colombia"/>
    <s v="Cliente, Vel Max 40 Km/h"/>
    <x v="726"/>
    <d v="2026-06-01T09:16:15"/>
    <d v="1899-12-30T00:00:00"/>
    <n v="1.0712474613683298E-4"/>
    <s v="Frenado brusco (Velocidad máxima: 19 kmh Aceleración hacia delante o frenado: -0.63 g-force, Ignición: 1.00)"/>
    <x v="147"/>
    <s v="Válido"/>
  </r>
  <r>
    <x v="10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726"/>
    <d v="2026-06-01T09:16:15"/>
    <d v="1899-12-30T00:00:00"/>
    <n v="2.5668853777460754E-4"/>
    <s v="Giro brusco (Velocidad máxima: 18 kmh Aceleración de lado a lado: 0.54 g-force, Ignición: 1.00)"/>
    <x v="148"/>
    <s v="Válido"/>
  </r>
  <r>
    <x v="1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727"/>
    <d v="2026-06-01T09:16:16"/>
    <d v="1899-12-30T00:07:46"/>
    <n v="2.7730644214898348E-3"/>
    <s v="Tiempo en ralentí (Ignición: 1.00)"/>
    <x v="0"/>
    <s v="Válido"/>
  </r>
  <r>
    <x v="1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728"/>
    <d v="2026-06-01T10:52:44"/>
    <d v="1899-12-30T00:06:33"/>
    <n v="0"/>
    <s v="Tiempo en ralentí (Ignición: 1.00)"/>
    <x v="0"/>
    <s v="Válido"/>
  </r>
  <r>
    <x v="1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729"/>
    <d v="2026-06-01T10:59:28"/>
    <d v="1899-12-30T00:06:21"/>
    <n v="2.4483667220920324E-3"/>
    <s v="Tiempo en ralentí (Ignición: 1.00)"/>
    <x v="0"/>
    <s v="Válido"/>
  </r>
  <r>
    <x v="11"/>
    <s v="Vehicle, Diesel, Frontera Energy Col 2679"/>
    <x v="4"/>
    <x v="4"/>
    <x v="4"/>
    <s v="Company Group"/>
    <x v="13"/>
    <s v="ECOPETROL RUBIALES- Quifa - CAÑO SUR, VEREDA PORVENIR: Resguardo Indígena, Puerto Gaitán, Meta, Colombia"/>
    <s v="Cliente, Vel Max 40 Km/h, Vel Max 20 Km/h"/>
    <x v="730"/>
    <d v="2026-06-01T08:01:08"/>
    <d v="1899-12-30T00:00:08"/>
    <n v="5.4936978965997696E-2"/>
    <s v="Exceso Velocidad 20 Km/h (Velocidad máxima: 22 kmh)"/>
    <x v="149"/>
    <s v="Válido"/>
  </r>
  <r>
    <x v="11"/>
    <s v="Vehicle, Diesel, Frontera Energy Col 2679"/>
    <x v="4"/>
    <x v="4"/>
    <x v="4"/>
    <s v="Company Group"/>
    <x v="13"/>
    <s v="ECOPETROL RUBIALES- Quifa - CAÑO SUR, VEREDA PORVENIR: Resguardo Indígena, Puerto Gaitán, Meta, Colombia"/>
    <s v="Cliente, Vel Max 40 Km/h, Vel Max 20 Km/h"/>
    <x v="731"/>
    <d v="2026-06-01T08:01:16"/>
    <d v="1899-12-30T00:00:17"/>
    <n v="0.10150705277919769"/>
    <s v="Exceso Velocidad 20 Km/h (Velocidad máxima: 26 kmh)"/>
    <x v="133"/>
    <s v="Válido"/>
  </r>
  <r>
    <x v="11"/>
    <s v="Vehicle, Diesel, Frontera Energy Col 2679"/>
    <x v="4"/>
    <x v="4"/>
    <x v="4"/>
    <s v="Company Group"/>
    <x v="13"/>
    <s v="ECOPETROL RUBIALES- Quifa - CAÑO SUR, VEREDA PORVENIR: Resguardo Indígena, Puerto Gaitán, Meta, Colombia"/>
    <s v="Cliente, Vel Max 40 Km/h, Vel Max 20 Km/h"/>
    <x v="732"/>
    <d v="2026-06-01T08:01:33"/>
    <d v="1899-12-30T00:00:23"/>
    <n v="0.16190037131309509"/>
    <s v="Exceso Velocidad 20 Km/h (Velocidad máxima: 28 kmh)"/>
    <x v="132"/>
    <s v="Válido"/>
  </r>
  <r>
    <x v="11"/>
    <s v="Vehicle, Diesel, Frontera Energy Col 2679"/>
    <x v="4"/>
    <x v="4"/>
    <x v="4"/>
    <s v="Company Group"/>
    <x v="13"/>
    <s v="ECOPETROL RUBIALES- Quifa - CAÑO SUR, VEREDA BUENOS AIRES: 6789, Puerto Gaitán, Meta, Colombia"/>
    <s v="Cliente, Vel Max 40 Km/h, Vel Max 20 Km/h"/>
    <x v="733"/>
    <d v="2026-06-01T08:10:01"/>
    <d v="1899-12-30T00:00:40"/>
    <n v="0.24127280712127686"/>
    <s v="Exceso Velocidad 20 Km/h (Velocidad máxima: 22 kmh)"/>
    <x v="149"/>
    <s v="Válido"/>
  </r>
  <r>
    <x v="11"/>
    <s v="Vehicle, Diesel, Frontera Energy Col 2679"/>
    <x v="4"/>
    <x v="4"/>
    <x v="4"/>
    <s v="Company Group"/>
    <x v="13"/>
    <s v="ECOPETROL RUBIALES- Quifa - CAÑO SUR, VEREDA BUENOS AIRES: Rb 445 84 115 363, Puerto Gaitán, Meta, Colombia"/>
    <s v="Cliente, Vel Max 40 Km/h, Vel Max 20 Km/h"/>
    <x v="734"/>
    <d v="2026-06-01T08:10:51"/>
    <d v="1899-12-30T00:00:10"/>
    <n v="6.2248293310403824E-2"/>
    <s v="Exceso Velocidad 20 Km/h (Velocidad máxima: 26 kmh)"/>
    <x v="133"/>
    <s v="Válido"/>
  </r>
  <r>
    <x v="11"/>
    <s v="Vehicle, Diesel, Frontera Energy Col 2679"/>
    <x v="4"/>
    <x v="4"/>
    <x v="4"/>
    <s v="Company Group"/>
    <x v="13"/>
    <s v="ECOPETROL RUBIALES- Quifa - CAÑO SUR, VEREDA BUENOS AIRES: Rb 445 84 115 363, Puerto Gaitán, Meta, Colombia"/>
    <s v="Cliente, Vel Max 40 Km/h, Vel Max 20 Km/h"/>
    <x v="735"/>
    <d v="2026-06-01T08:11:01"/>
    <d v="1899-12-30T00:00:14"/>
    <n v="8.7798513472080231E-2"/>
    <s v="Exceso Velocidad 20 Km/h (Velocidad máxima: 24 kmh)"/>
    <x v="150"/>
    <s v="Válido"/>
  </r>
  <r>
    <x v="11"/>
    <s v="Vehicle, Diesel, Frontera Energy Col 2679"/>
    <x v="4"/>
    <x v="4"/>
    <x v="4"/>
    <s v="Company Group"/>
    <x v="13"/>
    <s v="ECOPETROL RUBIALES- Quifa - CAÑO SUR, VEREDA BUENOS AIRES: Rb 445 84 115 363, Puerto Gaitán, Meta, Colombia"/>
    <s v="Cliente, Vel Max 40 Km/h, Vel Max 20 Km/h"/>
    <x v="736"/>
    <d v="2026-06-01T08:11:22"/>
    <d v="1899-12-30T00:00:05"/>
    <n v="2.5325275957584381E-2"/>
    <s v="Exceso Velocidad 20 Km/h (Velocidad máxima: 24 kmh)"/>
    <x v="150"/>
    <s v="Válido"/>
  </r>
  <r>
    <x v="11"/>
    <s v="Vehicle, Diesel, Frontera Energy Col 2679"/>
    <x v="4"/>
    <x v="4"/>
    <x v="4"/>
    <s v="Company Group"/>
    <x v="13"/>
    <s v="ECOPETROL RUBIALES- Quifa - CAÑO SUR, VEREDA BUENOS AIRES: Rb 445 84 115 363, Puerto Gaitán, Meta, Colombia"/>
    <s v="Cliente, Vel Max 40 Km/h, Vel Max 20 Km/h"/>
    <x v="737"/>
    <d v="2026-06-01T08:11:30"/>
    <d v="1899-12-30T00:00:06"/>
    <n v="3.1236970797181129E-2"/>
    <s v="Exceso Velocidad 20 Km/h (Velocidad máxima: 24 kmh)"/>
    <x v="150"/>
    <s v="Válido"/>
  </r>
  <r>
    <x v="11"/>
    <s v="Vehicle, Diesel, Frontera Energy Col 2679"/>
    <x v="4"/>
    <x v="4"/>
    <x v="4"/>
    <s v="Company Group"/>
    <x v="13"/>
    <s v="ECOPETROL RUBIALES- Quifa - CAÑO SUR, VEREDA BUENOS AIRES: Panadería Canaima, Puerto Gaitán, Meta, Colombia"/>
    <s v="Cliente, Vel Max 40 Km/h, Vel Max 20 Km/h"/>
    <x v="738"/>
    <d v="2026-06-01T08:11:45"/>
    <d v="1899-12-30T00:00:04"/>
    <n v="2.5937601923942566E-2"/>
    <s v="Exceso Velocidad 20 Km/h (Velocidad máxima: 22 kmh)"/>
    <x v="149"/>
    <s v="Válido"/>
  </r>
  <r>
    <x v="11"/>
    <s v="Vehicle, Diesel, Frontera Energy Col 2679"/>
    <x v="4"/>
    <x v="4"/>
    <x v="4"/>
    <s v="Company Group"/>
    <x v="13"/>
    <s v="ECOPETROL RUBIALES- Quifa - CAÑO SUR, VEREDA BUENOS AIRES: Panadería Canaima, Puerto Gaitán, Meta, Colombia"/>
    <s v="Cliente, Vel Max 40 Km/h, Vel Max 20 Km/h"/>
    <x v="739"/>
    <d v="2026-06-01T08:11:58"/>
    <d v="1899-12-30T00:00:18"/>
    <n v="0.1082402765750885"/>
    <s v="Exceso Velocidad 20 Km/h (Velocidad máxima: 24 kmh)"/>
    <x v="150"/>
    <s v="Válido"/>
  </r>
  <r>
    <x v="11"/>
    <s v="Vehicle, Diesel, Frontera Energy Col 2679"/>
    <x v="4"/>
    <x v="4"/>
    <x v="4"/>
    <s v="Company Group"/>
    <x v="13"/>
    <s v="ECOPETROL RUBIALES- Quifa - CAÑO SUR, VEREDA BUENOS AIRES: Panadería Canaima, Puerto Gaitán, Meta, Colombia"/>
    <s v="Cliente, Vel Max 40 Km/h, Vel Max 20 Km/h"/>
    <x v="740"/>
    <d v="2026-06-01T08:12:16"/>
    <d v="1899-12-30T00:00:25"/>
    <n v="0.19201041758060455"/>
    <s v="Exceso Velocidad 20 Km/h (Velocidad máxima: 31 kmh)"/>
    <x v="151"/>
    <s v="Válido"/>
  </r>
  <r>
    <x v="11"/>
    <s v="Vehicle, Diesel, Frontera Energy Col 2679"/>
    <x v="4"/>
    <x v="4"/>
    <x v="4"/>
    <s v="Company Group"/>
    <x v="13"/>
    <s v="ECOPETROL RUBIALES- Quifa - CAÑO SUR, CAMPAMENTO ARRAYANES: Campamento Manacacias, Puerto Gaitán, Meta, Colombia"/>
    <s v="Cliente, Vel Max 40 Km/h, Vel Max 20 Km/h"/>
    <x v="741"/>
    <d v="2026-06-01T08:20:26"/>
    <d v="1899-12-30T00:01:03"/>
    <n v="0.52862012386322021"/>
    <s v="Exceso Velocidad 20 Km/h (Velocidad máxima: 33 kmh)"/>
    <x v="131"/>
    <s v="Válido"/>
  </r>
  <r>
    <x v="11"/>
    <s v="Vehicle, Diesel, Frontera Energy Col 2679"/>
    <x v="4"/>
    <x v="4"/>
    <x v="4"/>
    <s v="Company Group"/>
    <x v="13"/>
    <s v="ECOPETROL RUBIALES- Quifa - CAÑO SUR, CAMPAMENTO ARRAYANES: Paradero Arrayanes, Puerto Gaitán, Meta, Colombia"/>
    <s v="Cliente, Vel Max 40 Km/h, Vel Max 20 Km/h"/>
    <x v="742"/>
    <d v="2026-06-01T08:21:44"/>
    <d v="1899-12-30T00:00:19"/>
    <n v="0.13188214600086212"/>
    <s v="Exceso Velocidad 20 Km/h (Velocidad máxima: 28 kmh)"/>
    <x v="132"/>
    <s v="Válido"/>
  </r>
  <r>
    <x v="11"/>
    <s v="Vehicle, Diesel, Frontera Energy Col 2679"/>
    <x v="4"/>
    <x v="4"/>
    <x v="4"/>
    <s v="Company Group"/>
    <x v="13"/>
    <s v="ECOPETROL RUBIALES- Quifa - CAÑO SUR, CAMPAMENTO ARRAYANES: Vía Arrayanes, Puerto Gaitán, Meta, Colombia"/>
    <s v="Cliente, Vel Max 40 Km/h, Vel Max 20 Km/h"/>
    <x v="743"/>
    <d v="2026-06-01T08:22:11"/>
    <d v="1899-12-30T00:00:10"/>
    <n v="5.7357858866453171E-2"/>
    <s v="Exceso Velocidad 20 Km/h (Velocidad máxima: 24 kmh)"/>
    <x v="150"/>
    <s v="Válido"/>
  </r>
  <r>
    <x v="11"/>
    <s v="Vehicle, Diesel, Frontera Energy Col 2679"/>
    <x v="4"/>
    <x v="4"/>
    <x v="4"/>
    <s v="Company Group"/>
    <x v="13"/>
    <s v="ECOPETROL RUBIALES- Quifa - CAÑO SUR, CAMPAMENTO ARRAYANES: Vía Arrayanes, Puerto Gaitán, Meta, Colombia"/>
    <s v="Cliente, Vel Max 40 Km/h, Vel Max 20 Km/h"/>
    <x v="744"/>
    <d v="2026-06-01T08:22:42"/>
    <d v="1899-12-30T00:00:09"/>
    <n v="4.6146824955940247E-2"/>
    <s v="Exceso Velocidad 20 Km/h (Velocidad máxima: 22 kmh)"/>
    <x v="149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45"/>
    <d v="2026-06-01T09:43:08"/>
    <d v="1899-12-30T00:00:03"/>
    <n v="3.3617325127124786E-2"/>
    <s v="Exceso Velocidad 40 Km/h (Velocidad máxima: 42 kmh)"/>
    <x v="51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46"/>
    <d v="2026-06-01T09:45:27"/>
    <d v="1899-12-30T00:00:01"/>
    <n v="1.4947501942515373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47"/>
    <d v="2026-06-01T09:46:34"/>
    <d v="1899-12-30T00:00:04"/>
    <n v="4.7104999423027039E-2"/>
    <s v="Exceso Velocidad 40 Km/h (Velocidad máxima: 42 kmh)"/>
    <x v="51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48"/>
    <d v="2026-06-01T09:48:20"/>
    <d v="1899-12-30T00:00:04"/>
    <n v="3.8767401129007339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49"/>
    <d v="2026-06-01T09:50:50"/>
    <d v="1899-12-30T00:00:05"/>
    <n v="5.7635240256786346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0"/>
    <d v="2026-06-01T09:52:48"/>
    <d v="1899-12-30T00:00:06"/>
    <n v="6.0702603310346603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1"/>
    <d v="2026-06-01T09:55:30"/>
    <d v="1899-12-30T00:00:05"/>
    <n v="5.5021330714225769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2"/>
    <d v="2026-06-01T09:57:57"/>
    <d v="1899-12-30T00:00:06"/>
    <n v="6.0709025710821152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3"/>
    <d v="2026-06-01T09:58:32"/>
    <d v="1899-12-30T00:00:03"/>
    <n v="3.7477817386388779E-2"/>
    <s v="Exceso Velocidad 40 Km/h (Velocidad máxima: 42 kmh)"/>
    <x v="51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4"/>
    <d v="2026-06-01T09:59:12"/>
    <d v="1899-12-30T00:00:04"/>
    <n v="3.8581281900405884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5"/>
    <d v="2026-06-01T09:59:34"/>
    <d v="1899-12-30T00:00:02"/>
    <n v="1.9530633464455605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6"/>
    <d v="2026-06-01T10:00:05"/>
    <d v="1899-12-30T00:00:05"/>
    <n v="4.6029746532440186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7"/>
    <d v="2026-06-01T10:00:34"/>
    <d v="1899-12-30T00:00:07"/>
    <n v="8.0504536628723145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8"/>
    <d v="2026-06-01T10:00:59"/>
    <d v="1899-12-30T00:00:19"/>
    <n v="0.2159443199634552"/>
    <s v="Exceso Velocidad 40 Km/h (Velocidad máxima: 42 kmh)"/>
    <x v="51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59"/>
    <d v="2026-06-01T10:04:21"/>
    <d v="1899-12-30T00:00:02"/>
    <n v="2.3982403799891472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60"/>
    <d v="2026-06-01T10:05:33"/>
    <d v="1899-12-30T00:00:03"/>
    <n v="2.7636811137199402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61"/>
    <d v="2026-06-01T10:05:41"/>
    <d v="1899-12-30T00:00:27"/>
    <n v="0.29027923941612244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62"/>
    <d v="2026-06-01T10:09:22"/>
    <d v="1899-12-30T00:00:09"/>
    <n v="9.8906449973583221E-2"/>
    <s v="Exceso Velocidad 40 Km/h (Velocidad máxima: 44 kmh)"/>
    <x v="54"/>
    <s v="Válido"/>
  </r>
  <r>
    <x v="11"/>
    <s v="Vehicle, Diesel, Frontera Energy Col 2679"/>
    <x v="4"/>
    <x v="4"/>
    <x v="4"/>
    <s v="Company Group"/>
    <x v="10"/>
    <s v="ECOPETROL RUBIALES- Quifa - CAÑO SUR: Vía La Culebra, Puerto Gaitán, Meta, Colombia"/>
    <s v="Cliente, Vel Max 40 Km/h"/>
    <x v="763"/>
    <d v="2026-06-01T10:10:00"/>
    <d v="1899-12-30T00:00:02"/>
    <n v="2.2559193894267082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Puerto Gaitan - Rubiales, Puerto Gaitán, Meta, Colombia"/>
    <s v="Cliente, Vel Max 40 Km/h"/>
    <x v="764"/>
    <d v="2026-06-01T10:22:24"/>
    <d v="1899-12-30T00:00:07"/>
    <n v="7.9879336059093475E-2"/>
    <s v="Exceso Velocidad 40 Km/h (Velocidad máxima: 42 kmh)"/>
    <x v="51"/>
    <s v="Válido"/>
  </r>
  <r>
    <x v="11"/>
    <s v="Vehicle, Diesel, Frontera Energy Col 2679"/>
    <x v="4"/>
    <x v="4"/>
    <x v="4"/>
    <s v="Company Group"/>
    <x v="11"/>
    <s v="ECOPETROL RUBIALES- Quifa - CAÑO SUR, Puerto Triunfo - Estacion Policia: Puerto Gaitan - Rubiales, Puerto Gaitán, Meta, Colombia"/>
    <s v="Cliente, Vel Max 40 Km/h, Vel Max 30 Km/h"/>
    <x v="765"/>
    <d v="2026-06-01T10:24:38"/>
    <d v="1899-12-30T00:00:01"/>
    <n v="1.0485892184078693E-2"/>
    <s v="Exceso Velocidad 30 Km/h (Velocidad máxima: 31 kmh)"/>
    <x v="49"/>
    <s v="Válido"/>
  </r>
  <r>
    <x v="11"/>
    <s v="Vehicle, Diesel, Frontera Energy Col 2679"/>
    <x v="4"/>
    <x v="4"/>
    <x v="4"/>
    <s v="Company Group"/>
    <x v="4"/>
    <s v="CAMPAMENTO QUIFA, ECOPETROL RUBIALES- Quifa - CAÑO SUR, Puerto Triunfo - Estacion Policia: Puerto Gaitan - Rubiales, Puerto Gaitán, Meta, Colombia"/>
    <s v="Vel Max 10 Km/h, Cliente, Vel Max 40 Km/h, Vel Max 30 Km/h"/>
    <x v="766"/>
    <d v="2026-06-01T10:25:51"/>
    <d v="1899-12-30T00:00:03"/>
    <n v="1.2454603798687458E-2"/>
    <s v="Exceso Velocidad 10 Km/h (Velocidad máxima: 21 kmh)"/>
    <x v="48"/>
    <s v="Válido"/>
  </r>
  <r>
    <x v="11"/>
    <s v="Vehicle, Diesel, Frontera Energy Col 2679"/>
    <x v="4"/>
    <x v="4"/>
    <x v="4"/>
    <s v="Company Group"/>
    <x v="4"/>
    <s v="CAMPAMENTO QUIFA, ECOPETROL RUBIALES- Quifa - CAÑO SUR, Puerto Triunfo - Estacion Policia: Puerto Gaitan - Rubiales, Puerto Gaitán, Meta, Colombia"/>
    <s v="Vel Max 10 Km/h, Cliente, Vel Max 40 Km/h, Vel Max 30 Km/h"/>
    <x v="767"/>
    <d v="2026-06-01T10:25:58"/>
    <d v="1899-12-30T00:00:11"/>
    <n v="4.5757390558719635E-2"/>
    <s v="Exceso Velocidad 10 Km/h (Velocidad máxima: 16 kmh)"/>
    <x v="32"/>
    <s v="Válido"/>
  </r>
  <r>
    <x v="11"/>
    <s v="Vehicle, Diesel, Frontera Energy Col 2679"/>
    <x v="4"/>
    <x v="4"/>
    <x v="4"/>
    <s v="Company Group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768"/>
    <d v="2026-06-01T10:26:09"/>
    <d v="1899-12-30T00:00:06"/>
    <n v="2.0397009328007698E-2"/>
    <s v="Exceso Velocidad 10 Km/h (Velocidad máxima: 14 kmh)"/>
    <x v="10"/>
    <s v="Válido"/>
  </r>
  <r>
    <x v="11"/>
    <s v="Vehicle, Diesel, Frontera Energy Col 2679"/>
    <x v="4"/>
    <x v="4"/>
    <x v="4"/>
    <s v="Company Group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769"/>
    <d v="2026-06-01T10:26:15"/>
    <d v="1899-12-30T00:00:07"/>
    <n v="1.6062958166003227E-2"/>
    <s v="Exceso Velocidad 10 Km/h (Velocidad máxima: 12 kmh)"/>
    <x v="33"/>
    <s v="Válido"/>
  </r>
  <r>
    <x v="11"/>
    <s v="Vehicle, Diesel, Frontera Energy Col 2679"/>
    <x v="4"/>
    <x v="4"/>
    <x v="4"/>
    <s v="Company Group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770"/>
    <d v="2026-06-01T10:26:33"/>
    <d v="1899-12-30T00:00:03"/>
    <n v="9.2073502019047737E-3"/>
    <s v="Exceso Velocidad 10 Km/h (Velocidad máxima: 12 kmh)"/>
    <x v="33"/>
    <s v="Válido"/>
  </r>
  <r>
    <x v="11"/>
    <s v="Vehicle, Diesel, Frontera Energy Col 2679"/>
    <x v="4"/>
    <x v="4"/>
    <x v="4"/>
    <s v="Company Group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771"/>
    <d v="2026-06-01T10:26:38"/>
    <d v="1899-12-30T00:00:29"/>
    <n v="9.1882169246673584E-2"/>
    <s v="Exceso Velocidad 10 Km/h (Velocidad máxima: 18 kmh)"/>
    <x v="39"/>
    <s v="Válido"/>
  </r>
  <r>
    <x v="11"/>
    <s v="Vehicle, Diesel, Frontera Energy Col 2679"/>
    <x v="4"/>
    <x v="4"/>
    <x v="4"/>
    <s v="Company Group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772"/>
    <d v="2026-06-01T12:51:49"/>
    <d v="1899-12-30T00:00:12"/>
    <n v="3.44696044921875E-2"/>
    <s v="Exceso Velocidad 10 Km/h (Velocidad máxima: 13 kmh)"/>
    <x v="34"/>
    <s v="Válido"/>
  </r>
  <r>
    <x v="11"/>
    <s v="Vehicle, Diesel, Frontera Energy Col 2679"/>
    <x v="4"/>
    <x v="4"/>
    <x v="4"/>
    <s v="Company Group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773"/>
    <d v="2026-06-01T12:52:05"/>
    <d v="1899-12-30T00:00:30"/>
    <n v="0.1066591665148735"/>
    <s v="Exceso Velocidad 10 Km/h (Velocidad máxima: 15 kmh)"/>
    <x v="50"/>
    <s v="Válido"/>
  </r>
  <r>
    <x v="11"/>
    <s v="Vehicle, Diesel, Frontera Energy Col 2679"/>
    <x v="4"/>
    <x v="4"/>
    <x v="4"/>
    <s v="Company Group"/>
    <x v="4"/>
    <s v="CAMPAMENTO QUIFA, ECOPETROL RUBIALES- Quifa - CAÑO SUR, Campamento Quifa - CMA: Ent. CAMPAMENTO, Puerto Gaitán, Meta, Colombia"/>
    <s v="Vel Max 10 Km/h, Cliente, Vel Max 40 Km/h"/>
    <x v="774"/>
    <d v="2026-06-01T12:52:40"/>
    <d v="1899-12-30T00:00:02"/>
    <n v="5.4565127938985825E-3"/>
    <s v="Exceso Velocidad 10 Km/h (Velocidad máxima: 11 kmh)"/>
    <x v="31"/>
    <s v="Válido"/>
  </r>
  <r>
    <x v="11"/>
    <s v="Vehicle, Diesel, Frontera Energy Col 2679"/>
    <x v="4"/>
    <x v="4"/>
    <x v="4"/>
    <s v="Company Group"/>
    <x v="4"/>
    <s v="CAMPAMENTO QUIFA, ECOPETROL RUBIALES- Quifa - CAÑO SUR, Campamento Quifa - CMA: Ent. CAMPAMENTO, Puerto Gaitán, Meta, Colombia"/>
    <s v="Vel Max 10 Km/h, Cliente, Vel Max 40 Km/h"/>
    <x v="775"/>
    <d v="2026-06-01T12:58:12"/>
    <d v="1899-12-30T00:00:34"/>
    <n v="0.1206858903169632"/>
    <s v="Exceso Velocidad 10 Km/h (Velocidad máxima: 16 kmh)"/>
    <x v="32"/>
    <s v="Válido"/>
  </r>
  <r>
    <x v="11"/>
    <s v="Vehicle, Diesel, Frontera Energy Col 2679"/>
    <x v="4"/>
    <x v="4"/>
    <x v="4"/>
    <s v="Company Group"/>
    <x v="4"/>
    <s v="ECOPETROL RUBIALES- Quifa - CAÑO SUR, Puerto Triunfo - Estacion Policia, PUESTRO CONTROL QUIFA: Puerto Gaitan - Rubiales, Puerto Gaitán, Meta, Colombia"/>
    <s v="Cliente, Vel Max 40 Km/h, Vel Max 30 Km/h, Vel Max 10 Km/h"/>
    <x v="776"/>
    <d v="2026-06-01T13:02:05"/>
    <d v="1899-12-30T00:00:26"/>
    <n v="0.18376989662647247"/>
    <s v="Exceso Velocidad 10 Km/h (Velocidad máxima: 28 kmh)"/>
    <x v="62"/>
    <s v="Válido"/>
  </r>
  <r>
    <x v="11"/>
    <s v="Vehicle, Diesel, Frontera Energy Col 2679"/>
    <x v="4"/>
    <x v="4"/>
    <x v="4"/>
    <s v="Company Group"/>
    <x v="10"/>
    <s v="ECOPETROL RUBIALES- Quifa - CAÑO SUR: Hato San Fernando, Puerto Gaitán, Meta, Colombia"/>
    <s v="Cliente, Vel Max 40 Km/h"/>
    <x v="777"/>
    <d v="2026-06-01T13:39:38"/>
    <d v="1899-12-30T00:00:01"/>
    <n v="1.3942030258476734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: Hato San Fernando, Puerto Gaitán, Meta, Colombia"/>
    <s v="Cliente, Vel Max 40 Km/h"/>
    <x v="778"/>
    <d v="2026-06-01T13:39:51"/>
    <d v="1899-12-30T00:00:13"/>
    <n v="0.14831285178661346"/>
    <s v="Exceso Velocidad 40 Km/h (Velocidad máxima: 42 kmh)"/>
    <x v="51"/>
    <s v="Válido"/>
  </r>
  <r>
    <x v="11"/>
    <s v="Vehicle, Diesel, Frontera Energy Col 2679"/>
    <x v="4"/>
    <x v="4"/>
    <x v="4"/>
    <s v="Company Group"/>
    <x v="10"/>
    <s v="ECOPETROL RUBIALES- Quifa - CAÑO SUR: Alto Neblinas, Puerto Gaitán, Meta, Colombia"/>
    <s v="Cliente, Vel Max 40 Km/h"/>
    <x v="779"/>
    <d v="2026-06-01T13:40:27"/>
    <d v="1899-12-30T00:00:10"/>
    <n v="0.11311499029397964"/>
    <s v="Exceso Velocidad 40 Km/h (Velocidad máxima: 46 kmh)"/>
    <x v="106"/>
    <s v="Válido"/>
  </r>
  <r>
    <x v="11"/>
    <s v="Vehicle, Diesel, Frontera Energy Col 2679"/>
    <x v="4"/>
    <x v="4"/>
    <x v="4"/>
    <s v="Company Group"/>
    <x v="10"/>
    <s v="ECOPETROL RUBIALES- Quifa - CAÑO SUR: Alto Neblinas, Puerto Gaitán, Meta, Colombia"/>
    <s v="Cliente, Vel Max 40 Km/h"/>
    <x v="780"/>
    <d v="2026-06-01T13:40:56"/>
    <d v="1899-12-30T00:00:04"/>
    <n v="3.9310995489358902E-2"/>
    <s v="Exceso Velocidad 40 Km/h (Velocidad máxima: 41 kmh)"/>
    <x v="47"/>
    <s v="Válido"/>
  </r>
  <r>
    <x v="11"/>
    <s v="Vehicle, Diesel, Frontera Energy Col 2679"/>
    <x v="4"/>
    <x v="4"/>
    <x v="4"/>
    <s v="Company Group"/>
    <x v="10"/>
    <s v="ECOPETROL RUBIALES- Quifa - CAÑO SUR, Zona Accidentalidad: Alto Neblinas, Puerto Gaitán, Meta, Colombia"/>
    <s v="Cliente, Vel Max 40 Km/h"/>
    <x v="781"/>
    <d v="2026-06-01T13:44:17"/>
    <d v="1899-12-30T00:00:10"/>
    <n v="0.10527949780225754"/>
    <s v="Exceso Velocidad 40 Km/h (Velocidad máxima: 41 kmh)"/>
    <x v="47"/>
    <s v="Válido"/>
  </r>
  <r>
    <x v="11"/>
    <s v="Vehicle, Diesel, Frontera Energy Col 2679"/>
    <x v="4"/>
    <x v="4"/>
    <x v="4"/>
    <s v="Company Group"/>
    <x v="7"/>
    <s v="ECOPETROL RUBIALES- Quifa - CAÑO SUR: Alto Neblinas, Puerto Gaitán, Meta, Colombia"/>
    <s v="Cliente, Vel Max 40 Km/h"/>
    <x v="782"/>
    <d v="2026-06-01T14:13:13"/>
    <d v="1899-12-30T00:00:00"/>
    <n v="1.8293618632014841E-4"/>
    <s v="Giro brusco (Velocidad máxima: 15 kmh Aceleración de lado a lado: -0.55 g-force, Ignición: 1.00)"/>
    <x v="152"/>
    <s v="Válido"/>
  </r>
  <r>
    <x v="11"/>
    <s v="Vehicle, Diesel, Frontera Energy Col 2679"/>
    <x v="4"/>
    <x v="4"/>
    <x v="4"/>
    <s v="Company Group"/>
    <x v="1"/>
    <s v="PUERTO GAITAN-CAMPO RUBIALES: Alto Neblinas, Puerto Gaitán, Meta, Colombia"/>
    <s v="Vel Max 50 Km/h, Cliente"/>
    <x v="783"/>
    <d v="2026-06-01T14:39:18"/>
    <d v="1899-12-30T00:00:00"/>
    <n v="0"/>
    <s v="Frenado brusco (nuevo) (Clase de vehículo para métricas de seguridad: Otra clase (no estandarizada), Velocidad máxima: 26 kmh,  Ignición: 1)"/>
    <x v="153"/>
    <s v="Válido"/>
  </r>
  <r>
    <x v="11"/>
    <s v="Vehicle, Diesel, Frontera Energy Col 2679"/>
    <x v="4"/>
    <x v="4"/>
    <x v="4"/>
    <s v="Company Group"/>
    <x v="7"/>
    <s v="PUERTO GAITAN-CAMPO RUBIALES: Alto Neblinas, Puerto Gaitán, Meta, Colombia"/>
    <s v="Vel Max 50 Km/h, Cliente"/>
    <x v="784"/>
    <d v="2026-06-01T15:16:25"/>
    <d v="1899-12-30T00:00:00"/>
    <n v="4.3012347305193543E-5"/>
    <s v="Giro brusco (Velocidad máxima: 18 kmh Aceleración de lado a lado: 0.48 g-force, Ignición: 1.00)"/>
    <x v="154"/>
    <s v="Válido"/>
  </r>
  <r>
    <x v="11"/>
    <s v="Vehicle, Diesel, Frontera Energy Col 2679"/>
    <x v="4"/>
    <x v="4"/>
    <x v="4"/>
    <s v="Company Group"/>
    <x v="1"/>
    <s v="PUERTO GAITAN-CAMPO RUBIALES: Alto Neblinas, Puerto Gaitán, Meta, Colombia"/>
    <s v="Vel Max 50 Km/h, Cliente"/>
    <x v="785"/>
    <d v="2026-06-01T15:46:53"/>
    <d v="1899-12-30T00:00:00"/>
    <n v="0"/>
    <s v="Frenado brusco (nuevo) (Clase de vehículo para métricas de seguridad: Otra clase (no estandarizada), Velocidad máxima: 23 kmh,  Ignición: 1)"/>
    <x v="155"/>
    <s v="Válido"/>
  </r>
  <r>
    <x v="11"/>
    <s v="Vehicle, Diesel, Frontera Energy Col 2679"/>
    <x v="4"/>
    <x v="4"/>
    <x v="4"/>
    <s v="Company Group"/>
    <x v="9"/>
    <s v="PUERTO GAITAN-CAMPO RUBIALES: Alto Neblinas, Puerto Gaitán, Meta, Colombia"/>
    <s v="Vel Max 50 Km/h, Cliente"/>
    <x v="786"/>
    <d v="2026-06-01T16:07:46"/>
    <d v="1899-12-30T00:00:05"/>
    <n v="3.058081679046154E-2"/>
    <s v="Uso del cinturón de seguridad (Velocidad máxima: 35 kmh Cinturón de seguridad del conductor (1. Desabrochado): 1.00)"/>
    <x v="156"/>
    <s v="Válido"/>
  </r>
  <r>
    <x v="11"/>
    <s v="Vehicle, Diesel, Frontera Energy Col 2679"/>
    <x v="4"/>
    <x v="4"/>
    <x v="4"/>
    <s v="Company Group"/>
    <x v="9"/>
    <s v="PUERTO GAITAN-CAMPO RUBIALES: Alto Neblinas, Puerto Gaitán, Meta, Colombia"/>
    <s v="Vel Max 50 Km/h, Cliente"/>
    <x v="787"/>
    <d v="2026-06-01T16:08:29"/>
    <d v="1899-12-30T00:00:19"/>
    <n v="8.1361182034015656E-2"/>
    <s v="Uso del cinturón de seguridad (Velocidad máxima: 20 kmh Cinturón de seguridad del conductor (1. Desabrochado): 1.00)"/>
    <x v="77"/>
    <s v="Válido"/>
  </r>
  <r>
    <x v="11"/>
    <s v="Vehicle, Diesel, Frontera Energy Col 2679"/>
    <x v="4"/>
    <x v="4"/>
    <x v="4"/>
    <s v="Company Group"/>
    <x v="9"/>
    <s v="PUERTO GAITAN-CAMPO RUBIALES: Alto Neblinas, Puerto Gaitán, Meta, Colombia"/>
    <s v="Vel Max 50 Km/h, Cliente"/>
    <x v="788"/>
    <d v="2026-06-01T16:08:50"/>
    <d v="1899-12-30T00:00:01"/>
    <n v="2.863746602088213E-3"/>
    <s v="Uso del cinturón de seguridad (Velocidad máxima: 13 kmh Cinturón de seguridad del conductor (1. Desabrochado): 1.00)"/>
    <x v="64"/>
    <s v="Válido"/>
  </r>
  <r>
    <x v="11"/>
    <s v="Vehicle, Diesel, Frontera Energy Col 2679"/>
    <x v="4"/>
    <x v="4"/>
    <x v="4"/>
    <s v="Company Group"/>
    <x v="7"/>
    <s v="PUERTO GAITAN-CAMPO RUBIALES: Alto Neblinas, Puerto Gaitán, Meta, Colombia"/>
    <s v="Vel Max 50 Km/h, Cliente"/>
    <x v="789"/>
    <d v="2026-06-01T17:01:10"/>
    <d v="1899-12-30T00:00:00"/>
    <n v="6.5845472272485495E-4"/>
    <s v="Giro brusco (Velocidad máxima: 26 kmh Aceleración de lado a lado: -0.70 g-force, Ignición: 1.00)"/>
    <x v="157"/>
    <s v="Válido"/>
  </r>
  <r>
    <x v="11"/>
    <s v="Vehicle, Diesel, Frontera Energy Col 2679"/>
    <x v="4"/>
    <x v="4"/>
    <x v="4"/>
    <s v="Company Group"/>
    <x v="7"/>
    <s v="PUERTO GAITAN-CAMPO RUBIALES: Alto Neblinas, Puerto Gaitán, Meta, Colombia"/>
    <s v="Vel Max 50 Km/h, Cliente"/>
    <x v="790"/>
    <d v="2026-06-01T17:01:11"/>
    <d v="1899-12-30T00:00:00"/>
    <n v="2.4530664086341858E-4"/>
    <s v="Giro brusco (Velocidad máxima: 26 kmh Aceleración de lado a lado: -0.52 g-force, Ignición: 1.00)"/>
    <x v="158"/>
    <s v="Válido"/>
  </r>
  <r>
    <x v="12"/>
    <s v="Vehicle, Diesel, ENE 6053 Zona III CAPEX SOT-SOC"/>
    <x v="2"/>
    <x v="2"/>
    <x v="2"/>
    <n v="0"/>
    <x v="8"/>
    <s v="Cra. 52 # 13-65, Puente Aranda, Bogotá, D.C., Bogotá, Bogotá, D.C., Colombia"/>
    <n v="0"/>
    <x v="791"/>
    <d v="2026-06-01T19:58:13"/>
    <d v="1899-12-30T00:00:00"/>
    <n v="1.6146335110533983E-4"/>
    <s v="Aceleración brusca (Velocidad máxima: 14 kmh Aceleración hacia delante o frenado: 0.46 g-force, Ignición: 1.00)"/>
    <x v="159"/>
    <s v="Válido"/>
  </r>
  <r>
    <x v="12"/>
    <s v="Vehicle, Diesel, ENE 6053 Zona III CAPEX SOT-SOC"/>
    <x v="2"/>
    <x v="2"/>
    <x v="2"/>
    <n v="0"/>
    <x v="0"/>
    <s v="Base Zona 3 Enel: Cra. 65b # 13-60, Puente Aranda, Bogotá, D.C., Bogotá, Bogotá, D.C., Colombia"/>
    <s v="Vel Max 10 Km/h"/>
    <x v="792"/>
    <d v="2026-06-01T20:02:00"/>
    <d v="1899-12-30T00:32:36"/>
    <n v="1.6980045475065708E-3"/>
    <s v="Tiempo en ralentí (Ignición: 1.00)"/>
    <x v="0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793"/>
    <d v="2026-05-31T23:56:32"/>
    <d v="1899-12-30T00:06:19"/>
    <n v="1.3482905626296997"/>
    <s v="Exceso Velocidad 10 Km/h (Velocidad máxima: 18 kmh)"/>
    <x v="39"/>
    <s v="Válido"/>
  </r>
  <r>
    <x v="13"/>
    <s v="Vehicle, Diesel, ECP 1107 Rubiales Serv. Integrales"/>
    <x v="2"/>
    <x v="2"/>
    <x v="2"/>
    <n v="0"/>
    <x v="9"/>
    <s v="ECOPETROL RUBIALES- Quifa - CAÑO SUR, CPF 2: Vía CPF 2, Puerto Gaitán, Meta, Colombia"/>
    <s v="Cliente, Vel Max 40 Km/h, Vel Max 10 Km/h"/>
    <x v="794"/>
    <d v="2026-06-01T00:36:20"/>
    <d v="1899-12-30T00:00:09"/>
    <n v="3.0730079859495163E-2"/>
    <s v="Uso del cinturón de seguridad (Velocidad máxima: 14 kmh Cinturón de seguridad del conductor (1. Desabrochado): 1.00)"/>
    <x v="79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794"/>
    <d v="2026-06-01T00:36:20"/>
    <d v="1899-12-30T00:00:17"/>
    <n v="5.7096421718597412E-2"/>
    <s v="Exceso Velocidad 10 Km/h (Velocidad máxima: 14 kmh)"/>
    <x v="10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795"/>
    <d v="2026-06-01T00:36:37"/>
    <d v="1899-12-30T00:01:49"/>
    <n v="0.3863685131072998"/>
    <s v="Exceso Velocidad 10 Km/h (Velocidad máxima: 14 kmh)"/>
    <x v="10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796"/>
    <d v="2026-06-01T00:38:26"/>
    <d v="1899-12-30T00:03:40"/>
    <n v="0.8898770809173584"/>
    <s v="Exceso Velocidad 10 Km/h (Velocidad máxima: 18 kmh)"/>
    <x v="39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797"/>
    <d v="2026-06-01T00:42:33"/>
    <d v="1899-12-30T00:01:18"/>
    <n v="0.32536280155181885"/>
    <s v="Exceso Velocidad 10 Km/h (Velocidad máxima: 18 kmh)"/>
    <x v="39"/>
    <s v="Válido"/>
  </r>
  <r>
    <x v="13"/>
    <s v="Vehicle, Diesel, ECP 1107 Rubiales Serv. Integrales"/>
    <x v="2"/>
    <x v="2"/>
    <x v="2"/>
    <n v="0"/>
    <x v="13"/>
    <s v="ECOPETROL RUBIALES- Quifa - CAÑO SUR, CAMPAMENTO ARRAYANES: Cluster 47, Puerto Gaitán, Meta, Colombia"/>
    <s v="Cliente, Vel Max 40 Km/h, Vel Max 20 Km/h"/>
    <x v="798"/>
    <d v="2026-06-01T00:48:57"/>
    <d v="1899-12-30T00:00:27"/>
    <n v="0.1831667572259903"/>
    <s v="Exceso Velocidad 20 Km/h (Velocidad máxima: 31 kmh)"/>
    <x v="151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Round Point Arrayanes, Paradero Arrayanes, Puerto Gaitán, Meta, Colombia"/>
    <s v="Cliente, Vel Max 40 Km/h, Vel Max 10 Km/h, Vel Max 20 Km/h"/>
    <x v="799"/>
    <d v="2026-06-01T00:51:30"/>
    <d v="1899-12-30T00:01:51"/>
    <n v="0.40106058120727539"/>
    <s v="Exceso Velocidad 10 Km/h (Velocidad máxima: 14 kmh)"/>
    <x v="10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uerto Gaitan - Rubiales, Puerto Gaitán, Meta, Colombia"/>
    <s v="Cliente, Vel Max 40 Km/h, Vel Max 10 Km/h, Vel Max 20 Km/h"/>
    <x v="800"/>
    <d v="2026-06-01T06:43:48"/>
    <d v="1899-12-30T00:01:34"/>
    <n v="0.3876456618309021"/>
    <s v="Exceso Velocidad 10 Km/h (Velocidad máxima: 18 kmh)"/>
    <x v="39"/>
    <s v="Válido"/>
  </r>
  <r>
    <x v="13"/>
    <s v="Vehicle, Diesel, ECP 1107 Rubiales Serv. Integrales"/>
    <x v="2"/>
    <x v="2"/>
    <x v="2"/>
    <n v="0"/>
    <x v="9"/>
    <s v="ECOPETROL RUBIALES- Quifa - CAÑO SUR, CAMPAMENTO ARRAYANES: Paradero Arrayanes, Puerto Gaitán, Meta, Colombia"/>
    <s v="Cliente, Vel Max 40 Km/h, Vel Max 20 Km/h"/>
    <x v="801"/>
    <d v="2026-06-01T06:50:28"/>
    <d v="1899-12-30T00:00:12"/>
    <n v="3.1219946220517159E-2"/>
    <s v="Uso del cinturón de seguridad (Velocidad máxima: 11 kmh Cinturón de seguridad del conductor (1. Desabrochado): 1.00)"/>
    <x v="78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aradero Arrayanes, Puerto Gaitán, Meta, Colombia"/>
    <s v="Cliente, Vel Max 40 Km/h, Vel Max 10 Km/h, Vel Max 20 Km/h"/>
    <x v="802"/>
    <d v="2026-06-01T06:51:09"/>
    <d v="1899-12-30T00:00:02"/>
    <n v="6.5596289932727814E-3"/>
    <s v="Exceso Velocidad 10 Km/h (Velocidad máxima: 10 kmh)"/>
    <x v="9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Round Point Arrayanes, Paradero Arrayanes, Puerto Gaitán, Meta, Colombia"/>
    <s v="Cliente, Vel Max 40 Km/h, Vel Max 10 Km/h, Vel Max 20 Km/h"/>
    <x v="803"/>
    <d v="2026-06-01T06:51:23"/>
    <d v="1899-12-30T00:01:40"/>
    <n v="0.30348730087280273"/>
    <s v="Exceso Velocidad 10 Km/h (Velocidad máxima: 12 kmh)"/>
    <x v="33"/>
    <s v="Válido"/>
  </r>
  <r>
    <x v="13"/>
    <s v="Vehicle, Diesel, ECP 1107 Rubiales Serv. Integrales"/>
    <x v="2"/>
    <x v="2"/>
    <x v="2"/>
    <n v="0"/>
    <x v="13"/>
    <s v="ECOPETROL RUBIALES- Quifa - CAÑO SUR, CAMPAMENTO ARRAYANES: Hotel Pacific Rubiales, Puerto Gaitán, Meta, Colombia"/>
    <s v="Cliente, Vel Max 40 Km/h, Vel Max 20 Km/h"/>
    <x v="804"/>
    <d v="2026-06-01T06:54:05"/>
    <d v="1899-12-30T00:00:45"/>
    <n v="0.27946585416793823"/>
    <s v="Exceso Velocidad 20 Km/h (Velocidad máxima: 24 kmh)"/>
    <x v="150"/>
    <s v="Válido"/>
  </r>
  <r>
    <x v="13"/>
    <s v="Vehicle, Diesel, ECP 1107 Rubiales Serv. Integrales"/>
    <x v="2"/>
    <x v="2"/>
    <x v="2"/>
    <n v="0"/>
    <x v="9"/>
    <s v="ECOPETROL RUBIALES- Quifa - CAÑO SUR: Batería 3, Puerto Gaitán, Meta, Colombia"/>
    <s v="Cliente, Vel Max 40 Km/h"/>
    <x v="805"/>
    <d v="2026-06-01T07:03:59"/>
    <d v="1899-12-30T00:00:10"/>
    <n v="3.0327143147587776E-2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9"/>
    <s v="ECOPETROL RUBIALES- Quifa - CAÑO SUR: Batería 3, Puerto Gaitán, Meta, Colombia"/>
    <s v="Cliente, Vel Max 40 Km/h"/>
    <x v="806"/>
    <d v="2026-06-01T07:04:24"/>
    <d v="1899-12-30T00:00:05"/>
    <n v="1.5776418149471283E-2"/>
    <s v="Uso del cinturón de seguridad (Velocidad máxima: 14 kmh Cinturón de seguridad del conductor (1. Desabrochado): 1.00)"/>
    <x v="79"/>
    <s v="Válido"/>
  </r>
  <r>
    <x v="13"/>
    <s v="Vehicle, Diesel, ECP 1107 Rubiales Serv. Integrales"/>
    <x v="2"/>
    <x v="2"/>
    <x v="2"/>
    <n v="0"/>
    <x v="9"/>
    <s v="ECOPETROL RUBIALES- Quifa - CAÑO SUR: Batería 3, Puerto Gaitán, Meta, Colombia"/>
    <s v="Cliente, Vel Max 40 Km/h"/>
    <x v="807"/>
    <d v="2026-06-01T07:04:38"/>
    <d v="1899-12-30T00:00:17"/>
    <n v="7.7455751597881317E-2"/>
    <s v="Uso del cinturón de seguridad (Velocidad máxima: 24 kmh Cinturón de seguridad del conductor (1. Desabrochado): 1.00)"/>
    <x v="45"/>
    <s v="Válido"/>
  </r>
  <r>
    <x v="13"/>
    <s v="Vehicle, Diesel, ECP 1107 Rubiales Serv. Integrales"/>
    <x v="2"/>
    <x v="2"/>
    <x v="2"/>
    <n v="0"/>
    <x v="16"/>
    <s v="ECOPETROL RUBIALES- Quifa - CAÑO SUR: Batería 3, Puerto Gaitán, Meta, Colombia"/>
    <s v="Cliente, Vel Max 40 Km/h"/>
    <x v="808"/>
    <d v="2026-06-01T07:07:29"/>
    <d v="1899-12-30T00:00:00"/>
    <n v="0"/>
    <s v="Aceleración brusca (nuevo) (Clase de vehículo para métricas de seguridad: Otra clase (no estandarizada), Velocidad máxima: 3 kmh,  Ignición: 1)"/>
    <x v="160"/>
    <s v="Válido"/>
  </r>
  <r>
    <x v="13"/>
    <s v="Vehicle, Diesel, ECP 1107 Rubiales Serv. Integrales"/>
    <x v="2"/>
    <x v="2"/>
    <x v="2"/>
    <n v="0"/>
    <x v="9"/>
    <s v="ECOPETROL RUBIALES- Quifa - CAÑO SUR: Batería 3, Puerto Gaitán, Meta, Colombia"/>
    <s v="Cliente, Vel Max 40 Km/h"/>
    <x v="809"/>
    <d v="2026-06-01T07:07:30"/>
    <d v="1899-12-30T00:00:05"/>
    <n v="1.473530475050211E-2"/>
    <s v="Uso del cinturón de seguridad (Velocidad máxima: 15 kmh Cinturón de seguridad del conductor (1. Desabrochado): 1.00)"/>
    <x v="82"/>
    <s v="Válido"/>
  </r>
  <r>
    <x v="13"/>
    <s v="Vehicle, Diesel, ECP 1107 Rubiales Serv. Integrales"/>
    <x v="2"/>
    <x v="2"/>
    <x v="2"/>
    <n v="0"/>
    <x v="9"/>
    <s v="ECOPETROL RUBIALES- Quifa - CAÑO SUR: Batería 3, Puerto Gaitán, Meta, Colombia"/>
    <s v="Cliente, Vel Max 40 Km/h"/>
    <x v="810"/>
    <d v="2026-06-01T07:09:09"/>
    <d v="1899-12-30T00:00:07"/>
    <n v="2.3716771975159645E-2"/>
    <s v="Uso del cinturón de seguridad (Velocidad máxima: 15 kmh Cinturón de seguridad del conductor (1. Desabrochado): 1.00)"/>
    <x v="82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811"/>
    <d v="2026-06-01T07:09:59"/>
    <d v="1899-12-30T00:00:05"/>
    <n v="5.0562217831611633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812"/>
    <d v="2026-06-01T07:10:09"/>
    <d v="1899-12-30T00:00:39"/>
    <n v="0.45395830273628235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813"/>
    <d v="2026-06-01T07:10:54"/>
    <d v="1899-12-30T00:00:23"/>
    <n v="0.25510573387145996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814"/>
    <d v="2026-06-01T07:11:21"/>
    <d v="1899-12-30T00:00:50"/>
    <n v="0.58880627155303955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Cluster 30 Rb 30 62 63 64, Puerto Gaitán, Meta, Colombia"/>
    <s v="Cliente, Vel Max 40 Km/h"/>
    <x v="815"/>
    <d v="2026-06-01T07:15:13"/>
    <d v="1899-12-30T00:00:14"/>
    <n v="0.16879206895828247"/>
    <s v="Exceso Velocidad 40 Km/h (Velocidad máxima: 46 kmh)"/>
    <x v="106"/>
    <s v="Válido"/>
  </r>
  <r>
    <x v="13"/>
    <s v="Vehicle, Diesel, ECP 1107 Rubiales Serv. Integrales"/>
    <x v="2"/>
    <x v="2"/>
    <x v="2"/>
    <n v="0"/>
    <x v="16"/>
    <s v="ECOPETROL RUBIALES- Quifa - CAÑO SUR: Rb 140, Puerto Gaitán, Meta, Colombia"/>
    <s v="Cliente, Vel Max 40 Km/h"/>
    <x v="816"/>
    <d v="2026-06-01T07:18:31"/>
    <d v="1899-12-30T00:00:00"/>
    <n v="0"/>
    <s v="Aceleración brusca (nuevo) (Clase de vehículo para métricas de seguridad: Otra clase (no estandarizada), Velocidad máxima: 8 kmh,  Ignición: 1)"/>
    <x v="161"/>
    <s v="Válido"/>
  </r>
  <r>
    <x v="13"/>
    <s v="Vehicle, Diesel, ECP 1107 Rubiales Serv. Integrales"/>
    <x v="2"/>
    <x v="2"/>
    <x v="2"/>
    <n v="0"/>
    <x v="10"/>
    <s v="ECOPETROL RUBIALES- Quifa - CAÑO SUR: Rb 140, Puerto Gaitán, Meta, Colombia"/>
    <s v="Cliente, Vel Max 40 Km/h"/>
    <x v="817"/>
    <d v="2026-06-01T07:22:06"/>
    <d v="1899-12-30T00:00:05"/>
    <n v="5.6034822016954422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40, Puerto Gaitán, Meta, Colombia"/>
    <s v="Cliente, Vel Max 40 Km/h"/>
    <x v="818"/>
    <d v="2026-06-01T07:22:15"/>
    <d v="1899-12-30T00:00:05"/>
    <n v="5.4488822817802429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40, Puerto Gaitán, Meta, Colombia"/>
    <s v="Cliente, Vel Max 40 Km/h"/>
    <x v="819"/>
    <d v="2026-06-01T07:22:24"/>
    <d v="1899-12-30T00:00:20"/>
    <n v="0.23811405897140503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140, Puerto Gaitán, Meta, Colombia"/>
    <s v="Cliente, Vel Max 40 Km/h"/>
    <x v="820"/>
    <d v="2026-06-01T07:25:09"/>
    <d v="1899-12-30T00:00:11"/>
    <n v="0.12298388034105301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40, Puerto Gaitán, Meta, Colombia"/>
    <s v="Cliente, Vel Max 40 Km/h"/>
    <x v="821"/>
    <d v="2026-06-01T07:25:36"/>
    <d v="1899-12-30T00:00:11"/>
    <n v="0.12660084664821625"/>
    <s v="Exceso Velocidad 40 Km/h (Velocidad máxima: 44 kmh)"/>
    <x v="54"/>
    <s v="Válido"/>
  </r>
  <r>
    <x v="13"/>
    <s v="Vehicle, Diesel, ECP 1107 Rubiales Serv. Integrales"/>
    <x v="2"/>
    <x v="2"/>
    <x v="2"/>
    <n v="0"/>
    <x v="1"/>
    <s v="ECOPETROL RUBIALES- Quifa - CAÑO SUR: Rb 140, Puerto Gaitán, Meta, Colombia"/>
    <s v="Cliente, Vel Max 40 Km/h"/>
    <x v="822"/>
    <d v="2026-06-01T07:26:16"/>
    <d v="1899-12-30T00:00:00"/>
    <n v="0"/>
    <s v="Frenado brusco (nuevo) (Clase de vehículo para métricas de seguridad: Otra clase (no estandarizada), Velocidad máxima: 32 kmh,  Ignición: 1)"/>
    <x v="162"/>
    <s v="Válido"/>
  </r>
  <r>
    <x v="13"/>
    <s v="Vehicle, Diesel, ECP 1107 Rubiales Serv. Integrales"/>
    <x v="2"/>
    <x v="2"/>
    <x v="2"/>
    <n v="0"/>
    <x v="10"/>
    <s v="ECOPETROL RUBIALES- Quifa - CAÑO SUR: Cluster 39 Rb 140, Puerto Gaitán, Meta, Colombia"/>
    <s v="Cliente, Vel Max 40 Km/h"/>
    <x v="823"/>
    <d v="2026-06-01T07:28:55"/>
    <d v="1899-12-30T00:00:02"/>
    <n v="2.121566608548164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Panadería Canaima, Puerto Gaitán, Meta, Colombia"/>
    <s v="Cliente, Vel Max 40 Km/h"/>
    <x v="824"/>
    <d v="2026-06-01T07:30:42"/>
    <d v="1899-12-30T00:00:58"/>
    <n v="0.65397363901138306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Panadería Canaima, Puerto Gaitán, Meta, Colombia"/>
    <s v="Cliente, Vel Max 40 Km/h"/>
    <x v="825"/>
    <d v="2026-06-01T07:31:56"/>
    <d v="1899-12-30T00:00:24"/>
    <n v="0.27745729684829712"/>
    <s v="Exceso Velocidad 40 Km/h (Velocidad máxima: 44 kmh)"/>
    <x v="54"/>
    <s v="Válido"/>
  </r>
  <r>
    <x v="13"/>
    <s v="Vehicle, Diesel, ECP 1107 Rubiales Serv. Integrales"/>
    <x v="2"/>
    <x v="2"/>
    <x v="2"/>
    <n v="0"/>
    <x v="13"/>
    <s v="ECOPETROL RUBIALES- Quifa - CAÑO SUR, VEREDA BUENOS AIRES"/>
    <s v="Cliente, Vel Max 40 Km/h, Vel Max 20 Km/h"/>
    <x v="826"/>
    <d v="2026-06-01T07:32:18"/>
    <d v="1899-12-30T00:00:41"/>
    <n v="0.39363387227058411"/>
    <s v="Exceso Velocidad 20 Km/h (Velocidad máxima: 42 kmh)"/>
    <x v="163"/>
    <s v="Válido"/>
  </r>
  <r>
    <x v="13"/>
    <s v="Vehicle, Diesel, ECP 1107 Rubiales Serv. Integrales"/>
    <x v="2"/>
    <x v="2"/>
    <x v="2"/>
    <n v="0"/>
    <x v="10"/>
    <s v="ECOPETROL RUBIALES- Quifa - CAÑO SUR, VEREDA BUENOS AIRES: Panadería Canaima, Puerto Gaitán, Meta, Colombia"/>
    <s v="Cliente, Vel Max 40 Km/h, Vel Max 20 Km/h"/>
    <x v="827"/>
    <d v="2026-06-01T07:32:42"/>
    <d v="1899-12-30T00:00:01"/>
    <n v="1.3995783403515816E-2"/>
    <s v="Exceso Velocidad 40 Km/h (Velocidad máxima: 41 kmh)"/>
    <x v="47"/>
    <s v="Válido"/>
  </r>
  <r>
    <x v="13"/>
    <s v="Vehicle, Diesel, ECP 1107 Rubiales Serv. Integrales"/>
    <x v="2"/>
    <x v="2"/>
    <x v="2"/>
    <n v="0"/>
    <x v="13"/>
    <s v="ECOPETROL RUBIALES- Quifa - CAÑO SUR, VEREDA BUENOS AIRES: Panadería Canaima, Puerto Gaitán, Meta, Colombia"/>
    <s v="Cliente, Vel Max 40 Km/h, Vel Max 20 Km/h"/>
    <x v="828"/>
    <d v="2026-06-01T07:33:00"/>
    <d v="1899-12-30T00:00:17"/>
    <n v="0.12441098690032959"/>
    <s v="Exceso Velocidad 20 Km/h (Velocidad máxima: 31 kmh)"/>
    <x v="151"/>
    <s v="Válido"/>
  </r>
  <r>
    <x v="13"/>
    <s v="Vehicle, Diesel, ECP 1107 Rubiales Serv. Integrales"/>
    <x v="2"/>
    <x v="2"/>
    <x v="2"/>
    <n v="0"/>
    <x v="13"/>
    <s v="ECOPETROL RUBIALES- Quifa - CAÑO SUR, VEREDA BUENOS AIRES: Finca San Pedro, Puerto Gaitán, Meta, Colombia"/>
    <s v="Cliente, Vel Max 40 Km/h, Vel Max 20 Km/h"/>
    <x v="829"/>
    <d v="2026-06-01T07:33:17"/>
    <d v="1899-12-30T00:00:06"/>
    <n v="3.9264436811208725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VEREDA BUENOS AIRES: Finca San Pedro, Puerto Gaitán, Meta, Colombia"/>
    <s v="Cliente, Vel Max 40 Km/h, Vel Max 20 Km/h"/>
    <x v="830"/>
    <d v="2026-06-01T07:33:28"/>
    <d v="1899-12-30T00:00:35"/>
    <n v="0.2857632040977478"/>
    <s v="Exceso Velocidad 20 Km/h (Velocidad máxima: 39 kmh)"/>
    <x v="164"/>
    <s v="Válido"/>
  </r>
  <r>
    <x v="13"/>
    <s v="Vehicle, Diesel, ECP 1107 Rubiales Serv. Integrales"/>
    <x v="2"/>
    <x v="2"/>
    <x v="2"/>
    <n v="0"/>
    <x v="13"/>
    <s v="ECOPETROL RUBIALES- Quifa - CAÑO SUR, VEREDA BUENOS AIRES: Finca San Pedro, Puerto Gaitán, Meta, Colombia"/>
    <s v="Cliente, Vel Max 40 Km/h, Vel Max 20 Km/h"/>
    <x v="831"/>
    <d v="2026-06-01T07:34:09"/>
    <d v="1899-12-30T00:00:54"/>
    <n v="0.48983111977577209"/>
    <s v="Exceso Velocidad 20 Km/h (Velocidad máxima: 41 kmh)"/>
    <x v="165"/>
    <s v="Válido"/>
  </r>
  <r>
    <x v="13"/>
    <s v="Vehicle, Diesel, ECP 1107 Rubiales Serv. Integrales"/>
    <x v="2"/>
    <x v="2"/>
    <x v="2"/>
    <n v="0"/>
    <x v="10"/>
    <s v="ECOPETROL RUBIALES- Quifa - CAÑO SUR, VEREDA BUENOS AIRES: Finca San Pedro, Puerto Gaitán, Meta, Colombia"/>
    <s v="Cliente, Vel Max 40 Km/h, Vel Max 20 Km/h"/>
    <x v="832"/>
    <d v="2026-06-01T07:34:16"/>
    <d v="1899-12-30T00:00:03"/>
    <n v="2.8147069737315178E-2"/>
    <s v="Exceso Velocidad 40 Km/h (Velocidad máxima: 41 kmh)"/>
    <x v="47"/>
    <s v="Válido"/>
  </r>
  <r>
    <x v="13"/>
    <s v="Vehicle, Diesel, ECP 1107 Rubiales Serv. Integrales"/>
    <x v="2"/>
    <x v="2"/>
    <x v="2"/>
    <n v="0"/>
    <x v="13"/>
    <s v="ECOPETROL RUBIALES- Quifa - CAÑO SUR, VEREDA BUENOS AIRES: Rb 162, Puerto Gaitán, Meta, Colombia"/>
    <s v="Cliente, Vel Max 40 Km/h, Vel Max 20 Km/h"/>
    <x v="833"/>
    <d v="2026-06-01T07:40:22"/>
    <d v="1899-12-30T00:00:06"/>
    <n v="3.6861855536699295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VEREDA BUENOS AIRES: Rb 162 6, Puerto Gaitán, Meta, Colombia"/>
    <s v="Cliente, Vel Max 40 Km/h, Vel Max 20 Km/h"/>
    <x v="834"/>
    <d v="2026-06-01T07:40:34"/>
    <d v="1899-12-30T00:00:13"/>
    <n v="0.12215980142354965"/>
    <s v="Exceso Velocidad 20 Km/h (Velocidad máxima: 41 kmh)"/>
    <x v="165"/>
    <s v="Válido"/>
  </r>
  <r>
    <x v="13"/>
    <s v="Vehicle, Diesel, ECP 1107 Rubiales Serv. Integrales"/>
    <x v="2"/>
    <x v="2"/>
    <x v="2"/>
    <n v="0"/>
    <x v="10"/>
    <s v="ECOPETROL RUBIALES- Quifa - CAÑO SUR, VEREDA BUENOS AIRES: Rb 162 6, Puerto Gaitán, Meta, Colombia"/>
    <s v="Cliente, Vel Max 40 Km/h, Vel Max 20 Km/h"/>
    <x v="835"/>
    <d v="2026-06-01T07:40:43"/>
    <d v="1899-12-30T00:00:05"/>
    <n v="5.3821854293346405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62 6, Puerto Gaitán, Meta, Colombia"/>
    <s v="Cliente, Vel Max 40 Km/h"/>
    <x v="836"/>
    <d v="2026-06-01T07:48:08"/>
    <d v="1899-12-30T00:00:02"/>
    <n v="1.860699430108070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62 6, Puerto Gaitán, Meta, Colombia"/>
    <s v="Cliente, Vel Max 40 Km/h"/>
    <x v="837"/>
    <d v="2026-06-01T07:48:26"/>
    <d v="1899-12-30T00:00:15"/>
    <n v="0.17035816609859467"/>
    <s v="Exceso Velocidad 40 Km/h (Velocidad máxima: 44 kmh)"/>
    <x v="54"/>
    <s v="Válido"/>
  </r>
  <r>
    <x v="13"/>
    <s v="Vehicle, Diesel, ECP 1107 Rubiales Serv. Integrales"/>
    <x v="2"/>
    <x v="2"/>
    <x v="2"/>
    <n v="0"/>
    <x v="13"/>
    <s v="ECOPETROL RUBIALES- Quifa - CAÑO SUR, VEREDA BUENOS AIRES: Rb 162 6, Puerto Gaitán, Meta, Colombia"/>
    <s v="Cliente, Vel Max 40 Km/h, Vel Max 20 Km/h"/>
    <x v="838"/>
    <d v="2026-06-01T07:48:32"/>
    <d v="1899-12-30T00:01:18"/>
    <n v="0.82844376564025879"/>
    <s v="Exceso Velocidad 20 Km/h (Velocidad máxima: 44 kmh)"/>
    <x v="166"/>
    <s v="Válido"/>
  </r>
  <r>
    <x v="13"/>
    <s v="Vehicle, Diesel, ECP 1107 Rubiales Serv. Integrales"/>
    <x v="2"/>
    <x v="2"/>
    <x v="2"/>
    <n v="0"/>
    <x v="10"/>
    <s v="ECOPETROL RUBIALES- Quifa - CAÑO SUR, VEREDA BUENOS AIRES: Rb 162 6, Puerto Gaitán, Meta, Colombia"/>
    <s v="Cliente, Vel Max 40 Km/h, Vel Max 20 Km/h"/>
    <x v="839"/>
    <d v="2026-06-01T07:48:47"/>
    <d v="1899-12-30T00:00:07"/>
    <n v="7.5044833123683929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, VEREDA BUENOS AIRES: Arrayanes, Puerto Gaitán, Meta, Colombia"/>
    <s v="Cliente, Vel Max 40 Km/h, Vel Max 20 Km/h"/>
    <x v="840"/>
    <d v="2026-06-01T07:49:28"/>
    <d v="1899-12-30T00:00:19"/>
    <n v="0.21665854752063751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841"/>
    <d v="2026-06-01T07:50:18"/>
    <d v="1899-12-30T00:00:13"/>
    <n v="0.13799105584621429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80, Puerto Gaitán, Meta, Colombia"/>
    <s v="Cliente, Vel Max 40 Km/h"/>
    <x v="842"/>
    <d v="2026-06-01T07:50:58"/>
    <d v="1899-12-30T00:00:23"/>
    <n v="0.26575994491577148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80, Puerto Gaitán, Meta, Colombia"/>
    <s v="Cliente, Vel Max 40 Km/h"/>
    <x v="843"/>
    <d v="2026-06-01T07:51:59"/>
    <d v="1899-12-30T00:00:05"/>
    <n v="5.462409183382988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80, Puerto Gaitán, Meta, Colombia"/>
    <s v="Cliente, Vel Max 40 Km/h"/>
    <x v="844"/>
    <d v="2026-06-01T07:52:34"/>
    <d v="1899-12-30T00:00:10"/>
    <n v="0.11179699003696442"/>
    <s v="Exceso Velocidad 40 Km/h (Velocidad máxima: 42 kmh)"/>
    <x v="51"/>
    <s v="Válido"/>
  </r>
  <r>
    <x v="13"/>
    <s v="Vehicle, Diesel, ECP 1107 Rubiales Serv. Integrales"/>
    <x v="2"/>
    <x v="2"/>
    <x v="2"/>
    <n v="0"/>
    <x v="16"/>
    <s v="ECOPETROL RUBIALES- Quifa - CAÑO SUR: Rb 80, Puerto Gaitán, Meta, Colombia"/>
    <s v="Cliente, Vel Max 40 Km/h"/>
    <x v="845"/>
    <d v="2026-06-01T07:57:46"/>
    <d v="1899-12-30T00:00:00"/>
    <n v="0"/>
    <s v="Aceleración brusca (nuevo) (Clase de vehículo para métricas de seguridad: Otra clase (no estandarizada), Velocidad máxima: 1 kmh,  Ignición: 1)"/>
    <x v="167"/>
    <s v="Válido"/>
  </r>
  <r>
    <x v="13"/>
    <s v="Vehicle, Diesel, ECP 1107 Rubiales Serv. Integrales"/>
    <x v="2"/>
    <x v="2"/>
    <x v="2"/>
    <n v="0"/>
    <x v="10"/>
    <s v="ECOPETROL RUBIALES- Quifa - CAÑO SUR: Rb 80, Puerto Gaitán, Meta, Colombia"/>
    <s v="Cliente, Vel Max 40 Km/h"/>
    <x v="846"/>
    <d v="2026-06-01T08:01:25"/>
    <d v="1899-12-30T00:00:11"/>
    <n v="0.1210343986749649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80, Puerto Gaitán, Meta, Colombia"/>
    <s v="Cliente, Vel Max 40 Km/h"/>
    <x v="847"/>
    <d v="2026-06-01T08:02:02"/>
    <d v="1899-12-30T00:00:04"/>
    <n v="4.1756048798561096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80, Puerto Gaitán, Meta, Colombia"/>
    <s v="Cliente, Vel Max 40 Km/h"/>
    <x v="848"/>
    <d v="2026-06-01T08:02:13"/>
    <d v="1899-12-30T00:00:19"/>
    <n v="0.21198844909667969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849"/>
    <d v="2026-06-01T08:03:19"/>
    <d v="1899-12-30T00:01:38"/>
    <n v="1.1724560260772705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0"/>
    <d v="2026-06-01T08:05:10"/>
    <d v="1899-12-30T00:00:18"/>
    <n v="0.20385892689228058"/>
    <s v="Exceso Velocidad 40 Km/h (Velocidad máxima: 42 kmh)"/>
    <x v="51"/>
    <s v="Válido"/>
  </r>
  <r>
    <x v="13"/>
    <s v="Vehicle, Diesel, ECP 1107 Rubiales Serv. Integrales"/>
    <x v="2"/>
    <x v="2"/>
    <x v="2"/>
    <n v="0"/>
    <x v="16"/>
    <s v="ECOPETROL RUBIALES- Quifa - CAÑO SUR: Rb 294 Finca Los Barraganes Pad 6, Puerto Gaitán, Meta, Colombia"/>
    <s v="Cliente, Vel Max 40 Km/h"/>
    <x v="851"/>
    <d v="2026-06-01T08:06:20"/>
    <d v="1899-12-30T00:00:00"/>
    <n v="0"/>
    <s v="Aceleración brusca (nuevo) (Clase de vehículo para métricas de seguridad: Otra clase (no estandarizada), Velocidad máxima: 8 kmh,  Ignición: 1)"/>
    <x v="161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2"/>
    <d v="2026-06-01T08:06:29"/>
    <d v="1899-12-30T00:00:02"/>
    <n v="2.4473551660776138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3"/>
    <d v="2026-06-01T08:06:35"/>
    <d v="1899-12-30T00:00:34"/>
    <n v="0.39155253767967224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4"/>
    <d v="2026-06-01T08:07:21"/>
    <d v="1899-12-30T00:00:12"/>
    <n v="0.14656431972980499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5"/>
    <d v="2026-06-01T08:07:35"/>
    <d v="1899-12-30T00:00:55"/>
    <n v="0.67902189493179321"/>
    <s v="Exceso Velocidad 40 Km/h (Velocidad máxima: 48 kmh)"/>
    <x v="168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6"/>
    <d v="2026-06-01T08:08:35"/>
    <d v="1899-12-30T00:00:21"/>
    <n v="0.24783153831958771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7"/>
    <d v="2026-06-01T08:08:59"/>
    <d v="1899-12-30T00:00:18"/>
    <n v="0.21166257560253143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8"/>
    <d v="2026-06-01T08:09:27"/>
    <d v="1899-12-30T00:00:01"/>
    <n v="1.126730907708406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59"/>
    <d v="2026-06-01T08:09:32"/>
    <d v="1899-12-30T00:00:02"/>
    <n v="2.2346997633576393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60"/>
    <d v="2026-06-01T08:09:43"/>
    <d v="1899-12-30T00:00:19"/>
    <n v="0.22440631687641144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61"/>
    <d v="2026-06-01T08:10:21"/>
    <d v="1899-12-30T00:00:09"/>
    <n v="0.10108663141727448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62"/>
    <d v="2026-06-01T08:10:36"/>
    <d v="1899-12-30T00:00:10"/>
    <n v="0.10981009155511856"/>
    <s v="Exceso Velocidad 40 Km/h (Velocidad máxima: 41 kmh)"/>
    <x v="47"/>
    <s v="Válido"/>
  </r>
  <r>
    <x v="13"/>
    <s v="Vehicle, Diesel, ECP 1107 Rubiales Serv. Integrales"/>
    <x v="2"/>
    <x v="2"/>
    <x v="2"/>
    <n v="0"/>
    <x v="16"/>
    <s v="ECOPETROL RUBIALES- Quifa - CAÑO SUR: Vía Sin Nombre, Puerto Gaitán, Meta, Colombia"/>
    <s v="Cliente, Vel Max 40 Km/h"/>
    <x v="863"/>
    <d v="2026-06-01T08:15:13"/>
    <d v="1899-12-30T00:00:00"/>
    <n v="0"/>
    <s v="Aceleración brusca (nuevo) (Clase de vehículo para métricas de seguridad: Otra clase (no estandarizada), Velocidad máxima: 0 kmh,  Ignición: 1)"/>
    <x v="169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64"/>
    <d v="2026-06-01T08:18:23"/>
    <d v="1899-12-30T00:00:09"/>
    <n v="9.814060479402542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65"/>
    <d v="2026-06-01T08:18:50"/>
    <d v="1899-12-30T00:00:20"/>
    <n v="0.23169803619384766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66"/>
    <d v="2026-06-01T08:19:25"/>
    <d v="1899-12-30T00:00:01"/>
    <n v="8.2753505557775497E-3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67"/>
    <d v="2026-06-01T08:19:37"/>
    <d v="1899-12-30T00:00:40"/>
    <n v="0.46665877103805542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741"/>
    <d v="2026-06-01T08:20:26"/>
    <d v="1899-12-30T00:00:53"/>
    <n v="0.64127147197723389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68"/>
    <d v="2026-06-01T08:21:28"/>
    <d v="1899-12-30T00:00:50"/>
    <n v="0.59306156635284424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294 Finca Los Barraganes Pad 6, Puerto Gaitán, Meta, Colombia"/>
    <s v="Cliente, Vel Max 40 Km/h"/>
    <x v="869"/>
    <d v="2026-06-01T08:22:29"/>
    <d v="1899-12-30T00:00:36"/>
    <n v="0.43625921010971069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0"/>
    <d v="2026-06-01T08:23:26"/>
    <d v="1899-12-30T00:00:10"/>
    <n v="0.11451838910579681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1"/>
    <d v="2026-06-01T08:23:49"/>
    <d v="1899-12-30T00:00:05"/>
    <n v="5.160100013017654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2"/>
    <d v="2026-06-01T08:28:41"/>
    <d v="1899-12-30T00:00:06"/>
    <n v="6.5364517271518707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3"/>
    <d v="2026-06-01T08:28:54"/>
    <d v="1899-12-30T00:00:02"/>
    <n v="1.8810408189892769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4"/>
    <d v="2026-06-01T08:29:00"/>
    <d v="1899-12-30T00:00:05"/>
    <n v="5.5199690163135529E-2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5"/>
    <d v="2026-06-01T08:29:13"/>
    <d v="1899-12-30T00:00:02"/>
    <n v="2.5278136134147644E-2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6"/>
    <d v="2026-06-01T08:29:22"/>
    <d v="1899-12-30T00:00:09"/>
    <n v="0.11109770834445953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7"/>
    <d v="2026-06-01T08:29:58"/>
    <d v="1899-12-30T00:00:06"/>
    <n v="6.4227722585201263E-2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8"/>
    <d v="2026-06-01T08:30:31"/>
    <d v="1899-12-30T00:00:21"/>
    <n v="0.2443970739841461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79"/>
    <d v="2026-06-01T08:31:23"/>
    <d v="1899-12-30T00:00:01"/>
    <n v="8.1030819565057755E-3"/>
    <s v="Exceso Velocidad 40 Km/h (Velocidad máxima: 41 kmh)"/>
    <x v="47"/>
    <s v="Válido"/>
  </r>
  <r>
    <x v="13"/>
    <s v="Vehicle, Diesel, ECP 1107 Rubiales Serv. Integrales"/>
    <x v="2"/>
    <x v="2"/>
    <x v="2"/>
    <n v="0"/>
    <x v="16"/>
    <s v="ECOPETROL RUBIALES- Quifa - CAÑO SUR: Rb 18 534, Puerto Gaitán, Meta, Colombia"/>
    <s v="Cliente, Vel Max 40 Km/h"/>
    <x v="880"/>
    <d v="2026-06-01T08:33:57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6"/>
    <s v="ECOPETROL RUBIALES- Quifa - CAÑO SUR: Rb 18 534, Puerto Gaitán, Meta, Colombia"/>
    <s v="Cliente, Vel Max 40 Km/h"/>
    <x v="881"/>
    <d v="2026-06-01T08:33:58"/>
    <d v="1899-12-30T00:00:00"/>
    <n v="0"/>
    <s v="Giro brusco (nuevo) (Clase de vehículo para métricas de seguridad: Otra clase (no estandarizada), Velocidad máxima: 9 kmh,  Ignición: 1)"/>
    <x v="171"/>
    <s v="Válido"/>
  </r>
  <r>
    <x v="13"/>
    <s v="Vehicle, Diesel, ECP 1107 Rubiales Serv. Integrales"/>
    <x v="2"/>
    <x v="2"/>
    <x v="2"/>
    <n v="0"/>
    <x v="16"/>
    <s v="ECOPETROL RUBIALES- Quifa - CAÑO SUR: Rb 18 534, Puerto Gaitán, Meta, Colombia"/>
    <s v="Cliente, Vel Max 40 Km/h"/>
    <x v="882"/>
    <d v="2026-06-01T08:36:21"/>
    <d v="1899-12-30T00:00:00"/>
    <n v="0"/>
    <s v="Aceleración brusca (nuevo) (Clase de vehículo para métricas de seguridad: Otra clase (no estandarizada), Velocidad máxima: 7 kmh,  Ignición: 1)"/>
    <x v="172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83"/>
    <d v="2026-06-01T08:39:44"/>
    <d v="1899-12-30T00:00:15"/>
    <n v="0.17985841631889343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84"/>
    <d v="2026-06-01T08:40:05"/>
    <d v="1899-12-30T00:00:02"/>
    <n v="2.5476759299635887E-2"/>
    <s v="Exceso Velocidad 40 Km/h (Velocidad máxima: 42 kmh)"/>
    <x v="51"/>
    <s v="Válido"/>
  </r>
  <r>
    <x v="13"/>
    <s v="Vehicle, Diesel, ECP 1107 Rubiales Serv. Integrales"/>
    <x v="2"/>
    <x v="2"/>
    <x v="2"/>
    <n v="0"/>
    <x v="1"/>
    <s v="ECOPETROL RUBIALES- Quifa - CAÑO SUR: Rb 534 Finca La Pradera, Puerto Gaitán, Meta, Colombia"/>
    <s v="Cliente, Vel Max 40 Km/h"/>
    <x v="885"/>
    <d v="2026-06-01T08:40:13"/>
    <d v="1899-12-30T00:00:00"/>
    <n v="0"/>
    <s v="Frenado brusco (nuevo) (Clase de vehículo para métricas de seguridad: Otra clase (no estandarizada), Velocidad máxima: 34 kmh,  Ignición: 1)"/>
    <x v="173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86"/>
    <d v="2026-06-01T08:40:32"/>
    <d v="1899-12-30T00:00:08"/>
    <n v="9.7835943102836609E-2"/>
    <s v="Exceso Velocidad 40 Km/h (Velocidad máxima: 48 kmh)"/>
    <x v="168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87"/>
    <d v="2026-06-01T08:41:15"/>
    <d v="1899-12-30T00:00:02"/>
    <n v="2.1258877590298653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88"/>
    <d v="2026-06-01T08:41:21"/>
    <d v="1899-12-30T00:00:04"/>
    <n v="4.4189460575580597E-2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89"/>
    <d v="2026-06-01T08:41:32"/>
    <d v="1899-12-30T00:00:25"/>
    <n v="0.2917266786098480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90"/>
    <d v="2026-06-01T08:43:06"/>
    <d v="1899-12-30T00:00:01"/>
    <n v="7.4309837073087692E-3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891"/>
    <d v="2026-06-01T08:43:17"/>
    <d v="1899-12-30T00:00:01"/>
    <n v="1.089081261307001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2"/>
    <d v="2026-06-01T08:43:42"/>
    <d v="1899-12-30T00:00:14"/>
    <n v="0.1597539484500885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3"/>
    <d v="2026-06-01T08:44:15"/>
    <d v="1899-12-30T00:00:04"/>
    <n v="4.0944315493106842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4"/>
    <d v="2026-06-01T08:44:34"/>
    <d v="1899-12-30T00:00:05"/>
    <n v="5.7511277496814728E-2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5"/>
    <d v="2026-06-01T08:47:30"/>
    <d v="1899-12-30T00:00:02"/>
    <n v="2.304325625300407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6"/>
    <d v="2026-06-01T08:48:14"/>
    <d v="1899-12-30T00:00:10"/>
    <n v="0.12527582049369812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7"/>
    <d v="2026-06-01T08:48:46"/>
    <d v="1899-12-30T00:00:07"/>
    <n v="7.883542776107788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8"/>
    <d v="2026-06-01T08:49:20"/>
    <d v="1899-12-30T00:00:06"/>
    <n v="6.3333407044410706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899"/>
    <d v="2026-06-01T08:49:30"/>
    <d v="1899-12-30T00:00:18"/>
    <n v="0.21232619881629944"/>
    <s v="Exceso Velocidad 40 Km/h (Velocidad máxima: 44 kmh)"/>
    <x v="54"/>
    <s v="Válido"/>
  </r>
  <r>
    <x v="13"/>
    <s v="Vehicle, Diesel, ECP 1107 Rubiales Serv. Integrales"/>
    <x v="2"/>
    <x v="2"/>
    <x v="2"/>
    <n v="0"/>
    <x v="16"/>
    <s v="ECOPETROL RUBIALES- Quifa - CAÑO SUR: Vía Sin Nombre, Puerto Gaitán, Meta, Colombia"/>
    <s v="Cliente, Vel Max 40 Km/h"/>
    <x v="900"/>
    <d v="2026-06-01T08:53:47"/>
    <d v="1899-12-30T00:00:00"/>
    <n v="0"/>
    <s v="Aceleración brusca (nuevo) (Clase de vehículo para métricas de seguridad: Otra clase (no estandarizada), Velocidad máxima: 6 kmh,  Ignición: 1)"/>
    <x v="174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01"/>
    <d v="2026-06-01T08:55:37"/>
    <d v="1899-12-30T00:00:12"/>
    <n v="0.13488870859146118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02"/>
    <d v="2026-06-01T08:57:06"/>
    <d v="1899-12-30T00:00:09"/>
    <n v="9.7642615437507629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03"/>
    <d v="2026-06-01T08:59:29"/>
    <d v="1899-12-30T00:00:06"/>
    <n v="7.2492122650146484E-2"/>
    <s v="Exceso Velocidad 40 Km/h (Velocidad máxima: 48 kmh)"/>
    <x v="168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04"/>
    <d v="2026-06-01T08:59:43"/>
    <d v="1899-12-30T00:00:10"/>
    <n v="0.1146741658449173"/>
    <s v="Exceso Velocidad 40 Km/h (Velocidad máxima: 44 kmh)"/>
    <x v="54"/>
    <s v="Válido"/>
  </r>
  <r>
    <x v="13"/>
    <s v="Vehicle, Diesel, ECP 1107 Rubiales Serv. Integrales"/>
    <x v="2"/>
    <x v="2"/>
    <x v="2"/>
    <n v="0"/>
    <x v="1"/>
    <s v="ECOPETROL RUBIALES- Quifa - CAÑO SUR: Vía Sin Nombre, Puerto Gaitán, Meta, Colombia"/>
    <s v="Cliente, Vel Max 40 Km/h"/>
    <x v="905"/>
    <d v="2026-06-01T08:59:54"/>
    <d v="1899-12-30T00:00:00"/>
    <n v="0"/>
    <s v="Frenado brusco (nuevo) (Clase de vehículo para métricas de seguridad: Otra clase (no estandarizada), Velocidad máxima: 35 kmh,  Ignición: 1)"/>
    <x v="175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06"/>
    <d v="2026-06-01T09:00:08"/>
    <d v="1899-12-30T00:00:16"/>
    <n v="0.19370061159133911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907"/>
    <d v="2026-06-01T09:00:43"/>
    <d v="1899-12-30T00:00:12"/>
    <n v="0.1311986893415451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534 Finca La Pradera, Puerto Gaitán, Meta, Colombia"/>
    <s v="Cliente, Vel Max 40 Km/h"/>
    <x v="908"/>
    <d v="2026-06-01T09:01:05"/>
    <d v="1899-12-30T00:00:03"/>
    <n v="2.6884200051426888E-2"/>
    <s v="Exceso Velocidad 40 Km/h (Velocidad máxima: 41 kmh)"/>
    <x v="47"/>
    <s v="Válido"/>
  </r>
  <r>
    <x v="13"/>
    <s v="Vehicle, Diesel, ECP 1107 Rubiales Serv. Integrales"/>
    <x v="2"/>
    <x v="2"/>
    <x v="2"/>
    <n v="0"/>
    <x v="16"/>
    <s v="ECOPETROL RUBIALES- Quifa - CAÑO SUR: Rb 534 Finca La Pradera, Puerto Gaitán, Meta, Colombia"/>
    <s v="Cliente, Vel Max 40 Km/h"/>
    <x v="909"/>
    <d v="2026-06-01T09:02:08"/>
    <d v="1899-12-30T00:00:00"/>
    <n v="0"/>
    <s v="Aceleración brusca (nuevo) (Clase de vehículo para métricas de seguridad: Otra clase (no estandarizada), Velocidad máxima: 8 kmh,  Ignición: 1)"/>
    <x v="161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910"/>
    <d v="2026-06-01T09:02:17"/>
    <d v="1899-12-30T00:01:04"/>
    <n v="0.79716622829437256"/>
    <s v="Exceso Velocidad 40 Km/h (Velocidad máxima: 48 kmh)"/>
    <x v="168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911"/>
    <d v="2026-06-01T09:03:32"/>
    <d v="1899-12-30T00:00:27"/>
    <n v="0.32596749067306519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912"/>
    <d v="2026-06-01T09:04:39"/>
    <d v="1899-12-30T00:00:19"/>
    <n v="0.2220922261476516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913"/>
    <d v="2026-06-01T09:05:07"/>
    <d v="1899-12-30T00:00:13"/>
    <n v="0.15736755728721619"/>
    <s v="Exceso Velocidad 40 Km/h (Velocidad máxima: 42 kmh)"/>
    <x v="51"/>
    <s v="Válido"/>
  </r>
  <r>
    <x v="13"/>
    <s v="Vehicle, Diesel, ECP 1107 Rubiales Serv. Integrales"/>
    <x v="2"/>
    <x v="2"/>
    <x v="2"/>
    <n v="0"/>
    <x v="13"/>
    <s v="ECOPETROL RUBIALES- Quifa - CAÑO SUR, VEREDA BUENOS AIRES: Arrayanes, Puerto Gaitán, Meta, Colombia"/>
    <s v="Cliente, Vel Max 40 Km/h, Vel Max 20 Km/h"/>
    <x v="914"/>
    <d v="2026-06-01T09:05:15"/>
    <d v="1899-12-30T00:00:49"/>
    <n v="0.53302913904190063"/>
    <s v="Exceso Velocidad 20 Km/h (Velocidad máxima: 44 kmh)"/>
    <x v="166"/>
    <s v="Válido"/>
  </r>
  <r>
    <x v="13"/>
    <s v="Vehicle, Diesel, ECP 1107 Rubiales Serv. Integrales"/>
    <x v="2"/>
    <x v="2"/>
    <x v="2"/>
    <n v="0"/>
    <x v="10"/>
    <s v="ECOPETROL RUBIALES- Quifa - CAÑO SUR, VEREDA BUENOS AIRES: Arrayanes, Puerto Gaitán, Meta, Colombia"/>
    <s v="Cliente, Vel Max 40 Km/h, Vel Max 20 Km/h"/>
    <x v="915"/>
    <d v="2026-06-01T09:05:27"/>
    <d v="1899-12-30T00:00:12"/>
    <n v="0.13156197965145111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, VEREDA BUENOS AIRES: Finca San Pedro, Puerto Gaitán, Meta, Colombia"/>
    <s v="Cliente, Vel Max 40 Km/h, Vel Max 20 Km/h"/>
    <x v="916"/>
    <d v="2026-06-01T09:05:52"/>
    <d v="1899-12-30T00:00:08"/>
    <n v="8.9250490069389343E-2"/>
    <s v="Exceso Velocidad 40 Km/h (Velocidad máxima: 44 kmh)"/>
    <x v="54"/>
    <s v="Válido"/>
  </r>
  <r>
    <x v="13"/>
    <s v="Vehicle, Diesel, ECP 1107 Rubiales Serv. Integrales"/>
    <x v="2"/>
    <x v="2"/>
    <x v="2"/>
    <n v="0"/>
    <x v="1"/>
    <s v="ECOPETROL RUBIALES- Quifa - CAÑO SUR, VEREDA BUENOS AIRES: Finca San Pedro, Puerto Gaitán, Meta, Colombia"/>
    <s v="Cliente, Vel Max 40 Km/h, Vel Max 20 Km/h"/>
    <x v="917"/>
    <d v="2026-06-01T09:06:03"/>
    <d v="1899-12-30T00:00:00"/>
    <n v="0"/>
    <s v="Frenado brusco (nuevo) (Clase de vehículo para métricas de seguridad: Otra clase (no estandarizada), Velocidad máxima: 22 kmh,  Ignición: 1)"/>
    <x v="176"/>
    <s v="Válido"/>
  </r>
  <r>
    <x v="13"/>
    <s v="Vehicle, Diesel, ECP 1107 Rubiales Serv. Integrales"/>
    <x v="2"/>
    <x v="2"/>
    <x v="2"/>
    <n v="0"/>
    <x v="13"/>
    <s v="ECOPETROL RUBIALES- Quifa - CAÑO SUR, VEREDA BUENOS AIRES: Finca San Pedro, Puerto Gaitán, Meta, Colombia"/>
    <s v="Cliente, Vel Max 40 Km/h, Vel Max 20 Km/h"/>
    <x v="918"/>
    <d v="2026-06-01T09:06:10"/>
    <d v="1899-12-30T00:00:33"/>
    <n v="0.2850278913974762"/>
    <s v="Exceso Velocidad 20 Km/h (Velocidad máxima: 42 kmh)"/>
    <x v="163"/>
    <s v="Válido"/>
  </r>
  <r>
    <x v="13"/>
    <s v="Vehicle, Diesel, ECP 1107 Rubiales Serv. Integrales"/>
    <x v="2"/>
    <x v="2"/>
    <x v="2"/>
    <n v="0"/>
    <x v="10"/>
    <s v="ECOPETROL RUBIALES- Quifa - CAÑO SUR, VEREDA BUENOS AIRES: Finca San Pedro, Puerto Gaitán, Meta, Colombia"/>
    <s v="Cliente, Vel Max 40 Km/h, Vel Max 20 Km/h"/>
    <x v="919"/>
    <d v="2026-06-01T09:06:27"/>
    <d v="1899-12-30T00:00:02"/>
    <n v="2.6545688509941101E-2"/>
    <s v="Exceso Velocidad 40 Km/h (Velocidad máxima: 42 kmh)"/>
    <x v="51"/>
    <s v="Válido"/>
  </r>
  <r>
    <x v="13"/>
    <s v="Vehicle, Diesel, ECP 1107 Rubiales Serv. Integrales"/>
    <x v="2"/>
    <x v="2"/>
    <x v="2"/>
    <n v="0"/>
    <x v="13"/>
    <s v="ECOPETROL RUBIALES- Quifa - CAÑO SUR, VEREDA BUENOS AIRES: Finca San Pedro, Puerto Gaitán, Meta, Colombia"/>
    <s v="Cliente, Vel Max 40 Km/h, Vel Max 20 Km/h"/>
    <x v="920"/>
    <d v="2026-06-01T09:06:45"/>
    <d v="1899-12-30T00:00:05"/>
    <n v="3.3358745276927948E-2"/>
    <s v="Exceso Velocidad 20 Km/h (Velocidad máxima: 29 kmh)"/>
    <x v="177"/>
    <s v="Válido"/>
  </r>
  <r>
    <x v="13"/>
    <s v="Vehicle, Diesel, ECP 1107 Rubiales Serv. Integrales"/>
    <x v="2"/>
    <x v="2"/>
    <x v="2"/>
    <n v="0"/>
    <x v="1"/>
    <s v="ECOPETROL RUBIALES- Quifa - CAÑO SUR, VEREDA BUENOS AIRES: Finca San Pedro, Puerto Gaitán, Meta, Colombia"/>
    <s v="Cliente, Vel Max 40 Km/h, Vel Max 20 Km/h"/>
    <x v="921"/>
    <d v="2026-06-01T09:06:49"/>
    <d v="1899-12-30T00:00:00"/>
    <n v="0"/>
    <s v="Frenado brusco (nuevo) (Clase de vehículo para métricas de seguridad: Otra clase (no estandarizada), Velocidad máxima: 24 kmh,  Ignición: 1)"/>
    <x v="178"/>
    <s v="Válido"/>
  </r>
  <r>
    <x v="13"/>
    <s v="Vehicle, Diesel, ECP 1107 Rubiales Serv. Integrales"/>
    <x v="2"/>
    <x v="2"/>
    <x v="2"/>
    <n v="0"/>
    <x v="13"/>
    <s v="ECOPETROL RUBIALES- Quifa - CAÑO SUR, VEREDA BUENOS AIRES: Finca San Pedro, Puerto Gaitán, Meta, Colombia"/>
    <s v="Cliente, Vel Max 40 Km/h, Vel Max 20 Km/h"/>
    <x v="654"/>
    <d v="2026-06-01T09:06:51"/>
    <d v="1899-12-30T00:01:17"/>
    <n v="0.58511656522750854"/>
    <s v="Exceso Velocidad 20 Km/h (Velocidad máxima: 31 kmh)"/>
    <x v="151"/>
    <s v="Válido"/>
  </r>
  <r>
    <x v="13"/>
    <s v="Vehicle, Diesel, ECP 1107 Rubiales Serv. Integrales"/>
    <x v="2"/>
    <x v="2"/>
    <x v="2"/>
    <n v="0"/>
    <x v="13"/>
    <s v="ECOPETROL RUBIALES- Quifa - CAÑO SUR, VEREDA BUENOS AIRES: 6789, Puerto Gaitán, Meta, Colombia"/>
    <s v="Cliente, Vel Max 40 Km/h, Vel Max 20 Km/h"/>
    <x v="922"/>
    <d v="2026-06-01T09:09:24"/>
    <d v="1899-12-30T00:00:33"/>
    <n v="0.28680399060249329"/>
    <s v="Exceso Velocidad 20 Km/h (Velocidad máxima: 35 kmh)"/>
    <x v="179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923"/>
    <d v="2026-06-01T09:10:01"/>
    <d v="1899-12-30T00:00:04"/>
    <n v="2.2281225770711899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924"/>
    <d v="2026-06-01T09:10:04"/>
    <d v="1899-12-30T00:00:12"/>
    <n v="7.7829658985137939E-2"/>
    <s v="Exceso Velocidad 20 Km/h (Velocidad máxima: 28 kmh)"/>
    <x v="132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925"/>
    <d v="2026-06-01T09:10:18"/>
    <d v="1899-12-30T00:00:04"/>
    <n v="3.167373314499855E-2"/>
    <s v="Exceso Velocidad 20 Km/h (Velocidad máxima: 32 kmh)"/>
    <x v="180"/>
    <s v="Válido"/>
  </r>
  <r>
    <x v="13"/>
    <s v="Vehicle, Diesel, ECP 1107 Rubiales Serv. Integrales"/>
    <x v="2"/>
    <x v="2"/>
    <x v="2"/>
    <n v="0"/>
    <x v="10"/>
    <s v="ECOPETROL RUBIALES- Quifa - CAÑO SUR: Rb 445 84 115 363, Puerto Gaitán, Meta, Colombia"/>
    <s v="Cliente, Vel Max 40 Km/h"/>
    <x v="926"/>
    <d v="2026-06-01T09:10:43"/>
    <d v="1899-12-30T00:00:02"/>
    <n v="2.1613255143165588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818282 Vereda Rubiales, Puerto Gaitán, Meta, Colombia"/>
    <s v="Cliente, Vel Max 40 Km/h"/>
    <x v="927"/>
    <d v="2026-06-01T09:11:02"/>
    <d v="1899-12-30T00:00:00"/>
    <n v="4.8477794043719769E-3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33, Puerto Gaitán, Meta, Colombia"/>
    <s v="Cliente, Vel Max 40 Km/h"/>
    <x v="928"/>
    <d v="2026-06-01T09:11:25"/>
    <d v="1899-12-30T00:00:08"/>
    <n v="8.793165534734726E-2"/>
    <s v="Exceso Velocidad 40 Km/h (Velocidad máxima: 42 kmh)"/>
    <x v="51"/>
    <s v="Válido"/>
  </r>
  <r>
    <x v="13"/>
    <s v="Vehicle, Diesel, ECP 1107 Rubiales Serv. Integrales"/>
    <x v="2"/>
    <x v="2"/>
    <x v="2"/>
    <n v="0"/>
    <x v="16"/>
    <s v="ECOPETROL RUBIALES- Quifa - CAÑO SUR: Rb 233, Puerto Gaitán, Meta, Colombia"/>
    <s v="Cliente, Vel Max 40 Km/h"/>
    <x v="929"/>
    <d v="2026-06-01T09:13:16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10"/>
    <s v="ECOPETROL RUBIALES- Quifa - CAÑO SUR: 818282 Vereda Rubiales, Puerto Gaitán, Meta, Colombia"/>
    <s v="Cliente, Vel Max 40 Km/h"/>
    <x v="930"/>
    <d v="2026-06-01T09:15:46"/>
    <d v="1899-12-30T00:00:18"/>
    <n v="0.2212677001953125"/>
    <s v="Exceso Velocidad 40 Km/h (Velocidad máxima: 46 kmh)"/>
    <x v="106"/>
    <s v="Válido"/>
  </r>
  <r>
    <x v="13"/>
    <s v="Vehicle, Diesel, ECP 1107 Rubiales Serv. Integrales"/>
    <x v="2"/>
    <x v="2"/>
    <x v="2"/>
    <n v="0"/>
    <x v="1"/>
    <s v="ECOPETROL RUBIALES- Quifa - CAÑO SUR: Rb 445 84 115 363, Puerto Gaitán, Meta, Colombia"/>
    <s v="Cliente, Vel Max 40 Km/h"/>
    <x v="931"/>
    <d v="2026-06-01T09:16:07"/>
    <d v="1899-12-30T00:00:00"/>
    <n v="0"/>
    <s v="Frenado brusco (nuevo) (Clase de vehículo para métricas de seguridad: Otra clase (no estandarizada), Velocidad máxima: 27 kmh,  Ignición: 1)"/>
    <x v="181"/>
    <s v="Válido"/>
  </r>
  <r>
    <x v="13"/>
    <s v="Vehicle, Diesel, ECP 1107 Rubiales Serv. Integrales"/>
    <x v="2"/>
    <x v="2"/>
    <x v="2"/>
    <n v="0"/>
    <x v="10"/>
    <s v="ECOPETROL RUBIALES- Quifa - CAÑO SUR: Rb 445, Puerto Gaitán, Meta, Colombia"/>
    <s v="Cliente, Vel Max 40 Km/h"/>
    <x v="932"/>
    <d v="2026-06-01T09:16:31"/>
    <d v="1899-12-30T00:00:03"/>
    <n v="3.273573517799377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445, Puerto Gaitán, Meta, Colombia"/>
    <s v="Cliente, Vel Max 40 Km/h"/>
    <x v="933"/>
    <d v="2026-06-01T09:17:03"/>
    <d v="1899-12-30T00:00:08"/>
    <n v="8.6533695459365845E-2"/>
    <s v="Exceso Velocidad 40 Km/h (Velocidad máxima: 42 kmh)"/>
    <x v="51"/>
    <s v="Válido"/>
  </r>
  <r>
    <x v="13"/>
    <s v="Vehicle, Diesel, ECP 1107 Rubiales Serv. Integrales"/>
    <x v="2"/>
    <x v="2"/>
    <x v="2"/>
    <n v="0"/>
    <x v="16"/>
    <s v="ECOPETROL RUBIALES- Quifa - CAÑO SUR: Rb 445, Puerto Gaitán, Meta, Colombia"/>
    <s v="Cliente, Vel Max 40 Km/h"/>
    <x v="934"/>
    <d v="2026-06-01T09:18:23"/>
    <d v="1899-12-30T00:00:00"/>
    <n v="0"/>
    <s v="Aceleración brusca (nuevo) (Clase de vehículo para métricas de seguridad: Otra clase (no estandarizada), Velocidad máxima: 7 kmh,  Ignición: 1)"/>
    <x v="172"/>
    <s v="Válido"/>
  </r>
  <r>
    <x v="13"/>
    <s v="Vehicle, Diesel, ECP 1107 Rubiales Serv. Integrales"/>
    <x v="2"/>
    <x v="2"/>
    <x v="2"/>
    <n v="0"/>
    <x v="10"/>
    <s v="ECOPETROL RUBIALES- Quifa - CAÑO SUR: Rb 445, Puerto Gaitán, Meta, Colombia"/>
    <s v="Cliente, Vel Max 40 Km/h"/>
    <x v="935"/>
    <d v="2026-06-01T09:18:54"/>
    <d v="1899-12-30T00:00:07"/>
    <n v="8.291906863451004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445, Puerto Gaitán, Meta, Colombia"/>
    <s v="Cliente, Vel Max 40 Km/h"/>
    <x v="936"/>
    <d v="2026-06-01T09:19:27"/>
    <d v="1899-12-30T00:00:12"/>
    <n v="0.14578133821487427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84 115 363, Puerto Gaitán, Meta, Colombia"/>
    <s v="Cliente, Vel Max 40 Km/h"/>
    <x v="937"/>
    <d v="2026-06-01T09:19:53"/>
    <d v="1899-12-30T00:01:19"/>
    <n v="1.0003517866134644"/>
    <s v="Exceso Velocidad 40 Km/h (Velocidad máxima: 50 kmh)"/>
    <x v="182"/>
    <s v="Válido"/>
  </r>
  <r>
    <x v="13"/>
    <s v="Vehicle, Diesel, ECP 1107 Rubiales Serv. Integrales"/>
    <x v="2"/>
    <x v="2"/>
    <x v="2"/>
    <n v="0"/>
    <x v="10"/>
    <s v="ECOPETROL RUBIALES- Quifa - CAÑO SUR: Rb 84 115 363, Puerto Gaitán, Meta, Colombia"/>
    <s v="Cliente, Vel Max 40 Km/h"/>
    <x v="938"/>
    <d v="2026-06-01T09:21:53"/>
    <d v="1899-12-30T00:00:15"/>
    <n v="0.15811750292778015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445 84 115 363, Puerto Gaitán, Meta, Colombia"/>
    <s v="Cliente, Vel Max 40 Km/h"/>
    <x v="939"/>
    <d v="2026-06-01T09:27:30"/>
    <d v="1899-12-30T00:00:03"/>
    <n v="3.496444597840309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5 363, Puerto Gaitán, Meta, Colombia"/>
    <s v="Cliente, Vel Max 40 Km/h"/>
    <x v="940"/>
    <d v="2026-06-01T09:28:00"/>
    <d v="1899-12-30T00:01:59"/>
    <n v="1.470568060874939"/>
    <s v="Exceso Velocidad 40 Km/h (Velocidad máxima: 48 kmh)"/>
    <x v="168"/>
    <s v="Válido"/>
  </r>
  <r>
    <x v="13"/>
    <s v="Vehicle, Diesel, ECP 1107 Rubiales Serv. Integrales"/>
    <x v="2"/>
    <x v="2"/>
    <x v="2"/>
    <n v="0"/>
    <x v="16"/>
    <s v="ECOPETROL RUBIALES- Quifa - CAÑO SUR: Rb 115, Puerto Gaitán, Meta, Colombia"/>
    <s v="Cliente, Vel Max 40 Km/h"/>
    <x v="941"/>
    <d v="2026-06-01T09:31:01"/>
    <d v="1899-12-30T00:00:00"/>
    <n v="0"/>
    <s v="Aceleración brusca (nuevo) (Clase de vehículo para métricas de seguridad: Otra clase (no estandarizada), Velocidad máxima: 6 kmh,  Ignición: 1)"/>
    <x v="174"/>
    <s v="Válido"/>
  </r>
  <r>
    <x v="13"/>
    <s v="Vehicle, Diesel, ECP 1107 Rubiales Serv. Integrales"/>
    <x v="2"/>
    <x v="2"/>
    <x v="2"/>
    <n v="0"/>
    <x v="10"/>
    <s v="ECOPETROL RUBIALES- Quifa - CAÑO SUR: Rb 363, Puerto Gaitán, Meta, Colombia"/>
    <s v="Cliente, Vel Max 40 Km/h"/>
    <x v="942"/>
    <d v="2026-06-01T09:33:40"/>
    <d v="1899-12-30T00:00:31"/>
    <n v="0.3612838089466095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363, Puerto Gaitán, Meta, Colombia"/>
    <s v="Cliente, Vel Max 40 Km/h"/>
    <x v="943"/>
    <d v="2026-06-01T09:34:16"/>
    <d v="1899-12-30T00:00:11"/>
    <n v="0.12998567521572113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363, Puerto Gaitán, Meta, Colombia"/>
    <s v="Cliente, Vel Max 40 Km/h"/>
    <x v="944"/>
    <d v="2026-06-01T09:35:24"/>
    <d v="1899-12-30T00:00:21"/>
    <n v="0.2302568107843399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363, Puerto Gaitán, Meta, Colombia"/>
    <s v="Cliente, Vel Max 40 Km/h"/>
    <x v="945"/>
    <d v="2026-06-01T09:36:24"/>
    <d v="1899-12-30T00:00:16"/>
    <n v="0.16937810182571411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363, Puerto Gaitán, Meta, Colombia"/>
    <s v="Cliente, Vel Max 40 Km/h"/>
    <x v="946"/>
    <d v="2026-06-01T09:39:45"/>
    <d v="1899-12-30T00:00:04"/>
    <n v="4.7133490443229675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363, Puerto Gaitán, Meta, Colombia"/>
    <s v="Cliente, Vel Max 40 Km/h"/>
    <x v="947"/>
    <d v="2026-06-01T09:40:00"/>
    <d v="1899-12-30T00:00:07"/>
    <n v="7.6622046530246735E-2"/>
    <s v="Exceso Velocidad 40 Km/h (Velocidad máxima: 44 kmh)"/>
    <x v="54"/>
    <s v="Válido"/>
  </r>
  <r>
    <x v="13"/>
    <s v="Vehicle, Diesel, ECP 1107 Rubiales Serv. Integrales"/>
    <x v="2"/>
    <x v="2"/>
    <x v="2"/>
    <n v="0"/>
    <x v="6"/>
    <s v="ECOPETROL RUBIALES- Quifa - CAÑO SUR: Rb 363, Puerto Gaitán, Meta, Colombia"/>
    <s v="Cliente, Vel Max 40 Km/h"/>
    <x v="948"/>
    <d v="2026-06-01T09:40:11"/>
    <d v="1899-12-30T00:00:00"/>
    <n v="0"/>
    <s v="Giro brusco (nuevo) (Clase de vehículo para métricas de seguridad: Otra clase (no estandarizada), Velocidad máxima: 34 kmh,  Ignición: 1)"/>
    <x v="183"/>
    <s v="Válido"/>
  </r>
  <r>
    <x v="13"/>
    <s v="Vehicle, Diesel, ECP 1107 Rubiales Serv. Integrales"/>
    <x v="2"/>
    <x v="2"/>
    <x v="2"/>
    <n v="0"/>
    <x v="10"/>
    <s v="ECOPETROL RUBIALES- Quifa - CAÑO SUR: Rb 363, Puerto Gaitán, Meta, Colombia"/>
    <s v="Cliente, Vel Max 40 Km/h"/>
    <x v="949"/>
    <d v="2026-06-01T09:40:49"/>
    <d v="1899-12-30T00:01:56"/>
    <n v="1.3614492416381836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115 363, Puerto Gaitán, Meta, Colombia"/>
    <s v="Cliente, Vel Max 40 Km/h"/>
    <x v="950"/>
    <d v="2026-06-01T09:43:07"/>
    <d v="1899-12-30T00:00:50"/>
    <n v="0.61770111322402954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115 363, Puerto Gaitán, Meta, Colombia"/>
    <s v="Cliente, Vel Max 40 Km/h"/>
    <x v="951"/>
    <d v="2026-06-01T09:44:02"/>
    <d v="1899-12-30T00:00:06"/>
    <n v="7.1103036403656006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15 363, Puerto Gaitán, Meta, Colombia"/>
    <s v="Cliente, Vel Max 40 Km/h"/>
    <x v="952"/>
    <d v="2026-06-01T09:46:04"/>
    <d v="1899-12-30T00:00:40"/>
    <n v="0.49483519792556763"/>
    <s v="Exceso Velocidad 40 Km/h (Velocidad máxima: 46 kmh)"/>
    <x v="106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953"/>
    <d v="2026-06-01T09:47:13"/>
    <d v="1899-12-30T00:00:34"/>
    <n v="0.26959154009819031"/>
    <s v="Exceso Velocidad 20 Km/h (Velocidad máxima: 33 kmh)"/>
    <x v="131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954"/>
    <d v="2026-06-01T09:53:27"/>
    <d v="1899-12-30T00:00:01"/>
    <n v="7.0899040438234806E-3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955"/>
    <d v="2026-06-01T09:53:32"/>
    <d v="1899-12-30T00:00:34"/>
    <n v="0.2161612957715988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956"/>
    <d v="2026-06-01T09:54:19"/>
    <d v="1899-12-30T00:00:10"/>
    <n v="8.4790065884590149E-2"/>
    <s v="Exceso Velocidad 20 Km/h (Velocidad máxima: 33 kmh)"/>
    <x v="131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57"/>
    <d v="2026-06-01T09:54:59"/>
    <d v="1899-12-30T00:00:16"/>
    <n v="0.19424526393413544"/>
    <s v="Exceso Velocidad 40 Km/h (Velocidad máxima: 44 kmh)"/>
    <x v="54"/>
    <s v="Válido"/>
  </r>
  <r>
    <x v="13"/>
    <s v="Vehicle, Diesel, ECP 1107 Rubiales Serv. Integrales"/>
    <x v="2"/>
    <x v="2"/>
    <x v="2"/>
    <n v="0"/>
    <x v="16"/>
    <s v="ECOPETROL RUBIALES- Quifa - CAÑO SUR: Resguardo Indígena, Puerto Gaitán, Meta, Colombia"/>
    <s v="Cliente, Vel Max 40 Km/h"/>
    <x v="958"/>
    <d v="2026-06-01T09:55:54"/>
    <d v="1899-12-30T00:00:00"/>
    <n v="0"/>
    <s v="Aceleración brusca (nuevo) (Clase de vehículo para métricas de seguridad: Otra clase (no estandarizada), Velocidad máxima: 7 kmh,  Ignición: 1)"/>
    <x v="172"/>
    <s v="Válido"/>
  </r>
  <r>
    <x v="13"/>
    <s v="Vehicle, Diesel, ECP 1107 Rubiales Serv. Integrales"/>
    <x v="2"/>
    <x v="2"/>
    <x v="2"/>
    <n v="0"/>
    <x v="16"/>
    <s v="ECOPETROL RUBIALES- Quifa - CAÑO SUR: Resguardo Indígena, Puerto Gaitán, Meta, Colombia"/>
    <s v="Cliente, Vel Max 40 Km/h"/>
    <x v="959"/>
    <d v="2026-06-01T09:56:39"/>
    <d v="1899-12-30T00:00:00"/>
    <n v="0"/>
    <s v="Aceleración brusca (nuevo) (Clase de vehículo para métricas de seguridad: Otra clase (no estandarizada), Velocidad máxima: 7 kmh,  Ignición: 1)"/>
    <x v="172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60"/>
    <d v="2026-06-01T09:57:48"/>
    <d v="1899-12-30T00:00:02"/>
    <n v="2.598411962389946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61"/>
    <d v="2026-06-01T09:58:20"/>
    <d v="1899-12-30T00:00:19"/>
    <n v="0.21936473250389099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62"/>
    <d v="2026-06-01T09:58:46"/>
    <d v="1899-12-30T00:00:57"/>
    <n v="0.66438072919845581"/>
    <s v="Exceso Velocidad 40 Km/h (Velocidad máxima: 44 kmh)"/>
    <x v="54"/>
    <s v="Válido"/>
  </r>
  <r>
    <x v="13"/>
    <s v="Vehicle, Diesel, ECP 1107 Rubiales Serv. Integrales"/>
    <x v="2"/>
    <x v="2"/>
    <x v="2"/>
    <n v="0"/>
    <x v="1"/>
    <s v="ECOPETROL RUBIALES- Quifa - CAÑO SUR: Resguardo Indígena, Puerto Gaitán, Meta, Colombia"/>
    <s v="Cliente, Vel Max 40 Km/h"/>
    <x v="963"/>
    <d v="2026-06-01T09:59:44"/>
    <d v="1899-12-30T00:00:00"/>
    <n v="0"/>
    <s v="Frenado brusco (nuevo) (Clase de vehículo para métricas de seguridad: Otra clase (no estandarizada), Velocidad máxima: 28 kmh,  Ignición: 1)"/>
    <x v="12"/>
    <s v="Válido"/>
  </r>
  <r>
    <x v="13"/>
    <s v="Vehicle, Diesel, ECP 1107 Rubiales Serv. Integrales"/>
    <x v="2"/>
    <x v="2"/>
    <x v="2"/>
    <n v="0"/>
    <x v="16"/>
    <s v="ECOPETROL RUBIALES- Quifa - CAÑO SUR: Resguardo Indígena, Puerto Gaitán, Meta, Colombia"/>
    <s v="Cliente, Vel Max 40 Km/h"/>
    <x v="964"/>
    <d v="2026-06-01T10:00:16"/>
    <d v="1899-12-30T00:00:00"/>
    <n v="0"/>
    <s v="Aceleración brusca (nuevo) (Clase de vehículo para métricas de seguridad: Otra clase (no estandarizada), Velocidad máxima: 6 kmh,  Ignición: 1)"/>
    <x v="174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65"/>
    <d v="2026-06-01T10:01:55"/>
    <d v="1899-12-30T00:01:10"/>
    <n v="0.89401477575302124"/>
    <s v="Exceso Velocidad 40 Km/h (Velocidad máxima: 50 kmh)"/>
    <x v="182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66"/>
    <d v="2026-06-01T10:03:26"/>
    <d v="1899-12-30T00:00:03"/>
    <n v="3.715092688798904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67"/>
    <d v="2026-06-01T10:04:07"/>
    <d v="1899-12-30T00:00:14"/>
    <n v="0.16895425319671631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68"/>
    <d v="2026-06-01T10:04:25"/>
    <d v="1899-12-30T00:00:12"/>
    <n v="0.14413975179195404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69"/>
    <d v="2026-06-01T10:04:40"/>
    <d v="1899-12-30T00:00:13"/>
    <n v="0.16564537584781647"/>
    <s v="Exceso Velocidad 40 Km/h (Velocidad máxima: 50 kmh)"/>
    <x v="182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70"/>
    <d v="2026-06-01T10:04:57"/>
    <d v="1899-12-30T00:00:21"/>
    <n v="0.24515888094902039"/>
    <s v="Exceso Velocidad 40 Km/h (Velocidad máxima: 44 kmh)"/>
    <x v="54"/>
    <s v="Válido"/>
  </r>
  <r>
    <x v="13"/>
    <s v="Vehicle, Diesel, ECP 1107 Rubiales Serv. Integrales"/>
    <x v="2"/>
    <x v="2"/>
    <x v="2"/>
    <n v="0"/>
    <x v="16"/>
    <s v="ECOPETROL RUBIALES- Quifa - CAÑO SUR: Vía Sin Nombre, Puerto Gaitán, Meta, Colombia"/>
    <s v="Cliente, Vel Max 40 Km/h"/>
    <x v="971"/>
    <d v="2026-06-01T10:07:22"/>
    <d v="1899-12-30T00:00:00"/>
    <n v="0"/>
    <s v="Aceleración brusca (nuevo) (Clase de vehículo para métricas de seguridad: Otra clase (no estandarizada), Velocidad máxima: 5 kmh,  Ignición: 1)"/>
    <x v="184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72"/>
    <d v="2026-06-01T10:08:45"/>
    <d v="1899-12-30T00:00:10"/>
    <n v="0.11957906186580658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73"/>
    <d v="2026-06-01T10:08:57"/>
    <d v="1899-12-30T00:00:21"/>
    <n v="0.2454357594251632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Vía Sin Nombre, Puerto Gaitán, Meta, Colombia"/>
    <s v="Cliente, Vel Max 40 Km/h"/>
    <x v="974"/>
    <d v="2026-06-01T10:09:28"/>
    <d v="1899-12-30T00:00:28"/>
    <n v="0.3262496888637542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75"/>
    <d v="2026-06-01T10:10:17"/>
    <d v="1899-12-30T00:00:20"/>
    <n v="0.23555952310562134"/>
    <s v="Exceso Velocidad 40 Km/h (Velocidad máxima: 42 kmh)"/>
    <x v="51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976"/>
    <d v="2026-06-01T10:11:00"/>
    <d v="1899-12-30T00:00:09"/>
    <n v="8.4018044173717499E-2"/>
    <s v="Exceso Velocidad 20 Km/h (Velocidad máxima: 38 kmh)"/>
    <x v="185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977"/>
    <d v="2026-06-01T10:11:20"/>
    <d v="1899-12-30T00:00:09"/>
    <n v="5.4135903716087341E-2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978"/>
    <d v="2026-06-01T10:13:53"/>
    <d v="1899-12-30T00:00:21"/>
    <n v="0.13775230944156647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979"/>
    <d v="2026-06-01T10:14:31"/>
    <d v="1899-12-30T00:00:08"/>
    <n v="5.218173936009407E-2"/>
    <s v="Exceso Velocidad 20 Km/h (Velocidad máxima: 29 kmh)"/>
    <x v="177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980"/>
    <d v="2026-06-01T10:14:39"/>
    <d v="1899-12-30T00:00:24"/>
    <n v="0.2605903148651123"/>
    <s v="Exceso Velocidad 20 Km/h (Velocidad máxima: 44 kmh)"/>
    <x v="166"/>
    <s v="Válido"/>
  </r>
  <r>
    <x v="13"/>
    <s v="Vehicle, Diesel, ECP 1107 Rubiales Serv. Integrales"/>
    <x v="2"/>
    <x v="2"/>
    <x v="2"/>
    <n v="0"/>
    <x v="10"/>
    <s v="ECOPETROL RUBIALES- Quifa - CAÑO SUR, VEREDA PORVENIR: Resguardo Indígena, Puerto Gaitán, Meta, Colombia"/>
    <s v="Cliente, Vel Max 40 Km/h, Vel Max 20 Km/h"/>
    <x v="981"/>
    <d v="2026-06-01T10:14:51"/>
    <d v="1899-12-30T00:00:13"/>
    <n v="0.1564125269651413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esguardo Indígena, Puerto Gaitán, Meta, Colombia"/>
    <s v="Cliente, Vel Max 40 Km/h"/>
    <x v="982"/>
    <d v="2026-06-01T10:15:14"/>
    <d v="1899-12-30T00:01:34"/>
    <n v="1.1050581932067871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84 115 363, Puerto Gaitán, Meta, Colombia"/>
    <s v="Cliente, Vel Max 40 Km/h"/>
    <x v="983"/>
    <d v="2026-06-01T10:16:54"/>
    <d v="1899-12-30T00:01:41"/>
    <n v="1.2185662984848022"/>
    <s v="Exceso Velocidad 40 Km/h (Velocidad máxima: 46 kmh)"/>
    <x v="106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984"/>
    <d v="2026-06-01T10:19:17"/>
    <d v="1899-12-30T00:00:04"/>
    <n v="2.8098879382014275E-2"/>
    <s v="Exceso Velocidad 20 Km/h (Velocidad máxima: 32 kmh)"/>
    <x v="180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985"/>
    <d v="2026-06-01T10:19:30"/>
    <d v="1899-12-30T00:00:14"/>
    <n v="8.7074346840381622E-2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986"/>
    <d v="2026-06-01T10:19:49"/>
    <d v="1899-12-30T00:00:09"/>
    <n v="6.1198998242616653E-2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VEREDA BUENOS AIRES: Km. 169, Sector Buenos Aires, Escuela Nueva Rubiales, Puerto Gaitán, Meta, Colombia"/>
    <s v="Cliente, Vel Max 40 Km/h, Vel Max 20 Km/h"/>
    <x v="987"/>
    <d v="2026-06-01T10:20:13"/>
    <d v="1899-12-30T00:01:34"/>
    <n v="0.63392364978790283"/>
    <s v="Exceso Velocidad 20 Km/h (Velocidad máxima: 29 kmh)"/>
    <x v="177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988"/>
    <d v="2026-06-01T10:22:00"/>
    <d v="1899-12-30T00:00:10"/>
    <n v="6.348099559545517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VEREDA BUENOS AIRES: Panadería Canaima, Puerto Gaitán, Meta, Colombia"/>
    <s v="Cliente, Vel Max 40 Km/h, Vel Max 20 Km/h"/>
    <x v="989"/>
    <d v="2026-06-01T10:22:12"/>
    <d v="1899-12-30T00:00:09"/>
    <n v="5.5853337049484253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VEREDA BUENOS AIRES: Panadería Canaima, Puerto Gaitán, Meta, Colombia"/>
    <s v="Cliente, Vel Max 40 Km/h, Vel Max 20 Km/h"/>
    <x v="990"/>
    <d v="2026-06-01T10:22:26"/>
    <d v="1899-12-30T00:00:32"/>
    <n v="0.25462621450424194"/>
    <s v="Exceso Velocidad 20 Km/h (Velocidad máxima: 33 kmh)"/>
    <x v="131"/>
    <s v="Válido"/>
  </r>
  <r>
    <x v="13"/>
    <s v="Vehicle, Diesel, ECP 1107 Rubiales Serv. Integrales"/>
    <x v="2"/>
    <x v="2"/>
    <x v="2"/>
    <n v="0"/>
    <x v="13"/>
    <s v="ECOPETROL RUBIALES- Quifa - CAÑO SUR, VEREDA BUENOS AIRES: Panadería Canaima, Puerto Gaitán, Meta, Colombia"/>
    <s v="Cliente, Vel Max 40 Km/h, Vel Max 20 Km/h"/>
    <x v="991"/>
    <d v="2026-06-01T10:23:01"/>
    <d v="1899-12-30T00:00:05"/>
    <n v="3.5540681332349777E-2"/>
    <s v="Exceso Velocidad 20 Km/h (Velocidad máxima: 28 kmh)"/>
    <x v="132"/>
    <s v="Válido"/>
  </r>
  <r>
    <x v="13"/>
    <s v="Vehicle, Diesel, ECP 1107 Rubiales Serv. Integrales"/>
    <x v="2"/>
    <x v="2"/>
    <x v="2"/>
    <n v="0"/>
    <x v="1"/>
    <s v="ECOPETROL RUBIALES- Quifa - CAÑO SUR: Panadería Canaima, Puerto Gaitán, Meta, Colombia"/>
    <s v="Cliente, Vel Max 40 Km/h"/>
    <x v="992"/>
    <d v="2026-06-01T10:23:34"/>
    <d v="1899-12-30T00:00:00"/>
    <n v="0"/>
    <s v="Frenado brusco (nuevo) (Clase de vehículo para métricas de seguridad: Otra clase (no estandarizada), Velocidad máxima: 27 kmh,  Ignición: 1)"/>
    <x v="181"/>
    <s v="Válido"/>
  </r>
  <r>
    <x v="13"/>
    <s v="Vehicle, Diesel, ECP 1107 Rubiales Serv. Integrales"/>
    <x v="2"/>
    <x v="2"/>
    <x v="2"/>
    <n v="0"/>
    <x v="16"/>
    <s v="ECOPETROL RUBIALES- Quifa - CAÑO SUR: Rb 141, Puerto Gaitán, Meta, Colombia"/>
    <s v="Cliente, Vel Max 40 Km/h"/>
    <x v="993"/>
    <d v="2026-06-01T10:26:02"/>
    <d v="1899-12-30T00:00:00"/>
    <n v="0"/>
    <s v="Aceleración brusca (nuevo) (Clase de vehículo para métricas de seguridad: Otra clase (no estandarizada), Velocidad máxima: 8 kmh,  Ignición: 1)"/>
    <x v="161"/>
    <s v="Válido"/>
  </r>
  <r>
    <x v="13"/>
    <s v="Vehicle, Diesel, ECP 1107 Rubiales Serv. Integrales"/>
    <x v="2"/>
    <x v="2"/>
    <x v="2"/>
    <n v="0"/>
    <x v="16"/>
    <s v="ECOPETROL RUBIALES- Quifa - CAÑO SUR: Rb 141, Puerto Gaitán, Meta, Colombia"/>
    <s v="Cliente, Vel Max 40 Km/h"/>
    <x v="994"/>
    <d v="2026-06-01T10:28:18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1"/>
    <s v="ECOPETROL RUBIALES- Quifa - CAÑO SUR: Panadería Canaima, Puerto Gaitán, Meta, Colombia"/>
    <s v="Cliente, Vel Max 40 Km/h"/>
    <x v="995"/>
    <d v="2026-06-01T10:30:28"/>
    <d v="1899-12-30T00:00:00"/>
    <n v="0"/>
    <s v="Frenado brusco (nuevo) (Clase de vehículo para métricas de seguridad: Otra clase (no estandarizada), Velocidad máxima: 32 kmh,  Ignición: 1)"/>
    <x v="162"/>
    <s v="Válido"/>
  </r>
  <r>
    <x v="13"/>
    <s v="Vehicle, Diesel, ECP 1107 Rubiales Serv. Integrales"/>
    <x v="2"/>
    <x v="2"/>
    <x v="2"/>
    <n v="0"/>
    <x v="10"/>
    <s v="ECOPETROL RUBIALES- Quifa - CAÑO SUR: Panadería Canaima, Puerto Gaitán, Meta, Colombia"/>
    <s v="Cliente, Vel Max 40 Km/h"/>
    <x v="996"/>
    <d v="2026-06-01T10:30:35"/>
    <d v="1899-12-30T00:01:25"/>
    <n v="1.1135526895523071"/>
    <s v="Exceso Velocidad 40 Km/h (Velocidad máxima: 53 kmh)"/>
    <x v="186"/>
    <s v="Válido"/>
  </r>
  <r>
    <x v="13"/>
    <s v="Vehicle, Diesel, ECP 1107 Rubiales Serv. Integrales"/>
    <x v="2"/>
    <x v="2"/>
    <x v="2"/>
    <n v="0"/>
    <x v="10"/>
    <s v="ECOPETROL RUBIALES- Quifa - CAÑO SUR: Cluster 30 Rb 30 62 63 64, Puerto Gaitán, Meta, Colombia"/>
    <s v="Cliente, Vel Max 40 Km/h"/>
    <x v="997"/>
    <d v="2026-06-01T10:47:22"/>
    <d v="1899-12-30T00:00:33"/>
    <n v="0.42920702695846558"/>
    <s v="Exceso Velocidad 40 Km/h (Velocidad máxima: 52 kmh)"/>
    <x v="187"/>
    <s v="Válido"/>
  </r>
  <r>
    <x v="13"/>
    <s v="Vehicle, Diesel, ECP 1107 Rubiales Serv. Integrales"/>
    <x v="2"/>
    <x v="2"/>
    <x v="2"/>
    <n v="0"/>
    <x v="16"/>
    <s v="ECOPETROL RUBIALES- Quifa - CAÑO SUR: Cluster 30 Rb 30 62 63 64, Puerto Gaitán, Meta, Colombia"/>
    <s v="Cliente, Vel Max 40 Km/h"/>
    <x v="998"/>
    <d v="2026-06-01T10:57:30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16"/>
    <s v="ECOPETROL RUBIALES- Quifa - CAÑO SUR: Cluster 30 Rb 30 62 63 64, Puerto Gaitán, Meta, Colombia"/>
    <s v="Cliente, Vel Max 40 Km/h"/>
    <x v="999"/>
    <d v="2026-06-01T10:59:24"/>
    <d v="1899-12-30T00:00:00"/>
    <n v="0"/>
    <s v="Aceleración brusca (nuevo) (Clase de vehículo para métricas de seguridad: Otra clase (no estandarizada), Velocidad máxima: 5 kmh,  Ignición: 1)"/>
    <x v="184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000"/>
    <d v="2026-06-01T10:59:41"/>
    <d v="1899-12-30T00:00:18"/>
    <n v="0.20628495514392853"/>
    <s v="Exceso Velocidad 40 Km/h (Velocidad máxima: 44 kmh)"/>
    <x v="54"/>
    <s v="Válido"/>
  </r>
  <r>
    <x v="13"/>
    <s v="Vehicle, Diesel, ECP 1107 Rubiales Serv. Integrales"/>
    <x v="2"/>
    <x v="2"/>
    <x v="2"/>
    <n v="0"/>
    <x v="6"/>
    <s v="ECOPETROL RUBIALES- Quifa - CAÑO SUR: Piscina 06 05 04 02 03 08 Rb 92 352 293 287 239 291, Puerto Gaitán, Meta, Colombia"/>
    <s v="Cliente, Vel Max 40 Km/h"/>
    <x v="1001"/>
    <d v="2026-06-01T11:00:02"/>
    <d v="1899-12-30T00:00:00"/>
    <n v="0"/>
    <s v="Giro brusco (nuevo) (Clase de vehículo para métricas de seguridad: Otra clase (no estandarizada), Velocidad máxima: 31 kmh,  Ignición: 1)"/>
    <x v="188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002"/>
    <d v="2026-06-01T11:00:18"/>
    <d v="1899-12-30T00:00:12"/>
    <n v="0.133113309741020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003"/>
    <d v="2026-06-01T11:00:32"/>
    <d v="1899-12-30T00:00:04"/>
    <n v="4.986238107085228E-2"/>
    <s v="Exceso Velocidad 40 Km/h (Velocidad máxima: 42 kmh)"/>
    <x v="51"/>
    <s v="Válido"/>
  </r>
  <r>
    <x v="13"/>
    <s v="Vehicle, Diesel, ECP 1107 Rubiales Serv. Integrales"/>
    <x v="2"/>
    <x v="2"/>
    <x v="2"/>
    <n v="0"/>
    <x v="6"/>
    <s v="ECOPETROL RUBIALES- Quifa - CAÑO SUR: Piscina 06 05 04 02 03 08 Rb 286 90 92 352 293 287 239 291, Puerto Gaitán, Meta, Colombia"/>
    <s v="Cliente, Vel Max 40 Km/h"/>
    <x v="1004"/>
    <d v="2026-06-01T11:00:39"/>
    <d v="1899-12-30T00:00:00"/>
    <n v="0"/>
    <s v="Giro brusco (nuevo) (Clase de vehículo para métricas de seguridad: Otra clase (no estandarizada), Velocidad máxima: 24 kmh,  Ignición: 1)"/>
    <x v="189"/>
    <s v="Válido"/>
  </r>
  <r>
    <x v="13"/>
    <s v="Vehicle, Diesel, ECP 1107 Rubiales Serv. Integrales"/>
    <x v="2"/>
    <x v="2"/>
    <x v="2"/>
    <n v="0"/>
    <x v="16"/>
    <s v="ECOPETROL RUBIALES- Quifa - CAÑO SUR: Piscina 06 05 04 02 03 08 Rb 286 90 92 352 293 287 239 291, Meta, 502057, Colombia"/>
    <s v="Cliente, Vel Max 40 Km/h"/>
    <x v="1005"/>
    <d v="2026-06-01T11:03:05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16"/>
    <s v="ECOPETROL RUBIALES- Quifa - CAÑO SUR: Piscina 06 05 04 02 03 08 Rb 286 90 92 352 293 287 239 291, Meta, 502057, Colombia"/>
    <s v="Cliente, Vel Max 40 Km/h"/>
    <x v="1006"/>
    <d v="2026-06-01T11:04:35"/>
    <d v="1899-12-30T00:00:00"/>
    <n v="0"/>
    <s v="Aceleración brusca (nuevo) (Clase de vehículo para métricas de seguridad: Otra clase (no estandarizada), Velocidad máxima: 5 kmh,  Ignición: 1)"/>
    <x v="184"/>
    <s v="Válido"/>
  </r>
  <r>
    <x v="13"/>
    <s v="Vehicle, Diesel, ECP 1107 Rubiales Serv. Integrales"/>
    <x v="2"/>
    <x v="2"/>
    <x v="2"/>
    <n v="0"/>
    <x v="16"/>
    <s v="ECOPETROL RUBIALES- Quifa - CAÑO SUR: Rb 286 90, Puerto Gaitán, Meta, Colombia"/>
    <s v="Cliente, Vel Max 40 Km/h"/>
    <x v="1007"/>
    <d v="2026-06-01T11:12:56"/>
    <d v="1899-12-30T00:00:00"/>
    <n v="0"/>
    <s v="Aceleración brusca (nuevo) (Clase de vehículo para métricas de seguridad: Otra clase (no estandarizada), Velocidad máxima: 5 kmh,  Ignición: 1)"/>
    <x v="184"/>
    <s v="Válido"/>
  </r>
  <r>
    <x v="13"/>
    <s v="Vehicle, Diesel, ECP 1107 Rubiales Serv. Integrales"/>
    <x v="2"/>
    <x v="2"/>
    <x v="2"/>
    <n v="0"/>
    <x v="16"/>
    <s v="ECOPETROL RUBIALES- Quifa - CAÑO SUR: Vía a RB-1052, Puerto Gaitán, Meta, Colombia"/>
    <s v="Cliente, Vel Max 40 Km/h"/>
    <x v="1008"/>
    <d v="2026-06-01T11:25:41"/>
    <d v="1899-12-30T00:00:00"/>
    <n v="0"/>
    <s v="Aceleración brusca (nuevo) (Clase de vehículo para métricas de seguridad: Otra clase (no estandarizada), Velocidad máxima: 6 kmh,  Ignición: 1)"/>
    <x v="174"/>
    <s v="Válido"/>
  </r>
  <r>
    <x v="13"/>
    <s v="Vehicle, Diesel, ECP 1107 Rubiales Serv. Integrales"/>
    <x v="2"/>
    <x v="2"/>
    <x v="2"/>
    <n v="0"/>
    <x v="10"/>
    <s v="ECOPETROL RUBIALES- Quifa - CAÑO SUR: Rb 90, Puerto Gaitán, Meta, Colombia"/>
    <s v="Cliente, Vel Max 40 Km/h"/>
    <x v="1009"/>
    <d v="2026-06-01T11:26:18"/>
    <d v="1899-12-30T00:00:40"/>
    <n v="0.44759073853492737"/>
    <s v="Exceso Velocidad 40 Km/h (Velocidad máxima: 42 kmh)"/>
    <x v="51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0"/>
    <d v="2026-06-01T11:26:57"/>
    <d v="1899-12-30T00:00:36"/>
    <n v="0.34914171695709229"/>
    <s v="Exceso Velocidad 20 Km/h (Velocidad máxima: 44 kmh)"/>
    <x v="166"/>
    <s v="Válido"/>
  </r>
  <r>
    <x v="13"/>
    <s v="Vehicle, Diesel, ECP 1107 Rubiales Serv. Integrales"/>
    <x v="2"/>
    <x v="2"/>
    <x v="2"/>
    <n v="0"/>
    <x v="10"/>
    <s v="ECOPETROL RUBIALES- Quifa - CAÑO SUR, CAMPAMENTO MI LLANURA: Rb 90, Puerto Gaitán, Meta, Colombia"/>
    <s v="Cliente, Vel Max 40 Km/h, Vel Max 20 Km/h"/>
    <x v="1011"/>
    <d v="2026-06-01T11:27:25"/>
    <d v="1899-12-30T00:00:05"/>
    <n v="5.7330116629600525E-2"/>
    <s v="Exceso Velocidad 40 Km/h (Velocidad máxima: 44 kmh)"/>
    <x v="54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2"/>
    <d v="2026-06-01T11:27:33"/>
    <d v="1899-12-30T00:00:09"/>
    <n v="6.0812611132860184E-2"/>
    <s v="Exceso Velocidad 20 Km/h (Velocidad máxima: 28 kmh)"/>
    <x v="132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3"/>
    <d v="2026-06-01T11:31:31"/>
    <d v="1899-12-30T00:00:06"/>
    <n v="3.0465243384242058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4"/>
    <d v="2026-06-01T11:33:35"/>
    <d v="1899-12-30T00:00:10"/>
    <n v="5.731094628572464E-2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5"/>
    <d v="2026-06-01T11:34:48"/>
    <d v="1899-12-30T00:00:43"/>
    <n v="0.30517169833183289"/>
    <s v="Exceso Velocidad 20 Km/h (Velocidad máxima: 29 kmh)"/>
    <x v="177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6"/>
    <d v="2026-06-01T11:35:50"/>
    <d v="1899-12-30T00:00:04"/>
    <n v="1.9518794491887093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7"/>
    <d v="2026-06-01T11:35:57"/>
    <d v="1899-12-30T00:00:11"/>
    <n v="6.8763233721256256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018"/>
    <d v="2026-06-01T11:57:25"/>
    <d v="1899-12-30T00:00:12"/>
    <n v="0.10159344971179962"/>
    <s v="Exceso Velocidad 20 Km/h (Velocidad máxima: 39 kmh)"/>
    <x v="164"/>
    <s v="Válido"/>
  </r>
  <r>
    <x v="13"/>
    <s v="Vehicle, Diesel, ECP 1107 Rubiales Serv. Integrales"/>
    <x v="2"/>
    <x v="2"/>
    <x v="2"/>
    <n v="0"/>
    <x v="10"/>
    <s v="ECOPETROL RUBIALES- Quifa - CAÑO SUR: Rb 90, Puerto Gaitán, Meta, Colombia"/>
    <s v="Cliente, Vel Max 40 Km/h"/>
    <x v="1019"/>
    <d v="2026-06-01T11:57:39"/>
    <d v="1899-12-30T00:00:34"/>
    <n v="0.37570908665657043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286 90, Puerto Gaitán, Meta, Colombia"/>
    <s v="Cliente, Vel Max 40 Km/h"/>
    <x v="1020"/>
    <d v="2026-06-01T11:58:29"/>
    <d v="1899-12-30T00:00:23"/>
    <n v="0.25404816865921021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86 90, Puerto Gaitán, Meta, Colombia"/>
    <s v="Cliente, Vel Max 40 Km/h"/>
    <x v="1021"/>
    <d v="2026-06-01T11:59:00"/>
    <d v="1899-12-30T00:00:18"/>
    <n v="0.2077613174915313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286 90, Puerto Gaitán, Meta, Colombia"/>
    <s v="Cliente, Vel Max 40 Km/h"/>
    <x v="1022"/>
    <d v="2026-06-01T11:59:26"/>
    <d v="1899-12-30T00:00:14"/>
    <n v="0.15732160210609436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023"/>
    <d v="2026-06-01T12:00:02"/>
    <d v="1899-12-30T00:00:39"/>
    <n v="0.45516559481620789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024"/>
    <d v="2026-06-01T12:00:51"/>
    <d v="1899-12-30T00:00:38"/>
    <n v="0.44769081473350525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92, Puerto Gaitán, Meta, Colombia"/>
    <s v="Cliente, Vel Max 40 Km/h"/>
    <x v="1025"/>
    <d v="2026-06-01T12:01:43"/>
    <d v="1899-12-30T00:00:01"/>
    <n v="1.529829204082489E-2"/>
    <s v="Exceso Velocidad 40 Km/h (Velocidad máxima: 41 kmh)"/>
    <x v="47"/>
    <s v="Válido"/>
  </r>
  <r>
    <x v="13"/>
    <s v="Vehicle, Diesel, ECP 1107 Rubiales Serv. Integrales"/>
    <x v="2"/>
    <x v="2"/>
    <x v="2"/>
    <n v="0"/>
    <x v="16"/>
    <s v="ECOPETROL RUBIALES- Quifa - CAÑO SUR: Rb 92, Puerto Gaitán, Meta, Colombia"/>
    <s v="Cliente, Vel Max 40 Km/h"/>
    <x v="1026"/>
    <d v="2026-06-01T12:09:16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16"/>
    <s v="ECOPETROL RUBIALES- Quifa - CAÑO SUR: Rb 92, Puerto Gaitán, Meta, Colombia"/>
    <s v="Cliente, Vel Max 40 Km/h"/>
    <x v="1027"/>
    <d v="2026-06-01T12:19:15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10"/>
    <s v="ECOPETROL RUBIALES- Quifa - CAÑO SUR: Piscina 06 05 04 02 03 08 Rb 352 293 287 239 291, Puerto Gaitán, Meta, Colombia"/>
    <s v="Cliente, Vel Max 40 Km/h"/>
    <x v="1028"/>
    <d v="2026-06-01T12:19:58"/>
    <d v="1899-12-30T00:00:11"/>
    <n v="0.12791456282138824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Piscina 06 05 04 02 03 08 Rb 352 293 287 239 291, Puerto Gaitán, Meta, Colombia"/>
    <s v="Cliente, Vel Max 40 Km/h"/>
    <x v="1029"/>
    <d v="2026-06-01T12:20:13"/>
    <d v="1899-12-30T00:00:55"/>
    <n v="0.6677507758140564"/>
    <s v="Exceso Velocidad 40 Km/h (Velocidad máxima: 48 kmh)"/>
    <x v="168"/>
    <s v="Válido"/>
  </r>
  <r>
    <x v="13"/>
    <s v="Vehicle, Diesel, ECP 1107 Rubiales Serv. Integrales"/>
    <x v="2"/>
    <x v="2"/>
    <x v="2"/>
    <n v="0"/>
    <x v="10"/>
    <s v="ECOPETROL RUBIALES- Quifa - CAÑO SUR: Rb 287 239 291, Puerto Gaitán, Meta, Colombia"/>
    <s v="Cliente, Vel Max 40 Km/h"/>
    <x v="1030"/>
    <d v="2026-06-01T12:22:54"/>
    <d v="1899-12-30T00:00:06"/>
    <n v="6.7719772458076477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87 239 291, Puerto Gaitán, Meta, Colombia"/>
    <s v="Cliente, Vel Max 40 Km/h"/>
    <x v="1031"/>
    <d v="2026-06-01T12:24:00"/>
    <d v="1899-12-30T00:00:14"/>
    <n v="0.14828576147556305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39 291, Puerto Gaitán, Meta, Colombia"/>
    <s v="Cliente, Vel Max 40 Km/h"/>
    <x v="1032"/>
    <d v="2026-06-01T12:24:55"/>
    <d v="1899-12-30T00:00:04"/>
    <n v="4.6503681689500809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239 291, Puerto Gaitán, Meta, Colombia"/>
    <s v="Cliente, Vel Max 40 Km/h"/>
    <x v="1033"/>
    <d v="2026-06-01T12:25:13"/>
    <d v="1899-12-30T00:00:21"/>
    <n v="0.22847878932952881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Piscina 06 05 04 02 03 08 Rb 352 293 287 239 291, Puerto Gaitán, Meta, Colombia"/>
    <s v="Cliente, Vel Max 40 Km/h"/>
    <x v="1034"/>
    <d v="2026-06-01T12:40:48"/>
    <d v="1899-12-30T00:00:06"/>
    <n v="6.9469615817070007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Piscina 06 05 04 02 03 08 Rb 352 293 287 239 291, Puerto Gaitán, Meta, Colombia"/>
    <s v="Cliente, Vel Max 40 Km/h"/>
    <x v="1035"/>
    <d v="2026-06-01T12:41:21"/>
    <d v="1899-12-30T00:00:18"/>
    <n v="0.2051081508398056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Piscina 06 05 04 02 03 08 Rb 352 293 287 239 291, Puerto Gaitán, Meta, Colombia"/>
    <s v="Cliente, Vel Max 40 Km/h"/>
    <x v="1036"/>
    <d v="2026-06-01T12:41:42"/>
    <d v="1899-12-30T00:00:15"/>
    <n v="0.1734749972820282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037"/>
    <d v="2026-06-01T12:42:05"/>
    <d v="1899-12-30T00:00:31"/>
    <n v="0.35464853048324585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038"/>
    <d v="2026-06-01T12:42:55"/>
    <d v="1899-12-30T00:01:03"/>
    <n v="0.72499346733093262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Cluster 41 Rb 111 Pco 13, Puerto Gaitán, Meta, Colombia"/>
    <s v="Cliente, Vel Max 40 Km/h"/>
    <x v="1039"/>
    <d v="2026-06-01T12:44:16"/>
    <d v="1899-12-30T00:00:16"/>
    <n v="0.1781837344169616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Cluster 41 Rb 111 Pco 13, Puerto Gaitán, Meta, Colombia"/>
    <s v="Cliente, Vel Max 40 Km/h"/>
    <x v="1040"/>
    <d v="2026-06-01T12:44:36"/>
    <d v="1899-12-30T00:00:06"/>
    <n v="6.8040579557418823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Cluster 41, Puerto Gaitán, Meta, Colombia"/>
    <s v="Cliente, Vel Max 40 Km/h"/>
    <x v="1041"/>
    <d v="2026-06-01T12:53:23"/>
    <d v="1899-12-30T00:00:09"/>
    <n v="9.9797286093235016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Cluster 41, Puerto Gaitán, Meta, Colombia"/>
    <s v="Cliente, Vel Max 40 Km/h"/>
    <x v="1042"/>
    <d v="2026-06-01T12:58:11"/>
    <d v="1899-12-30T00:00:03"/>
    <n v="3.7808045744895935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43"/>
    <d v="2026-06-01T12:58:33"/>
    <d v="1899-12-30T00:02:33"/>
    <n v="1.8419663906097412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44"/>
    <d v="2026-06-01T13:01:14"/>
    <d v="1899-12-30T00:00:01"/>
    <n v="1.412362232804298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45"/>
    <d v="2026-06-01T13:01:21"/>
    <d v="1899-12-30T00:00:17"/>
    <n v="0.2022642791271209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46"/>
    <d v="2026-06-01T13:01:49"/>
    <d v="1899-12-30T00:00:27"/>
    <n v="0.31366854906082153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47"/>
    <d v="2026-06-01T13:02:19"/>
    <d v="1899-12-30T00:00:38"/>
    <n v="0.44439795613288879"/>
    <s v="Exceso Velocidad 40 Km/h (Velocidad máxima: 44 kmh)"/>
    <x v="54"/>
    <s v="Válido"/>
  </r>
  <r>
    <x v="13"/>
    <s v="Vehicle, Diesel, ECP 1107 Rubiales Serv. Integrales"/>
    <x v="2"/>
    <x v="2"/>
    <x v="2"/>
    <n v="0"/>
    <x v="16"/>
    <s v="ECOPETROL RUBIALES- Quifa - CAÑO SUR: Rb 111 Pco 13, Puerto Gaitán, Meta, Colombia"/>
    <s v="Cliente, Vel Max 40 Km/h"/>
    <x v="1048"/>
    <d v="2026-06-01T13:05:01"/>
    <d v="1899-12-30T00:00:00"/>
    <n v="0"/>
    <s v="Aceleración brusca (nuevo) (Clase de vehículo para métricas de seguridad: Otra clase (no estandarizada), Velocidad máxima: 6 kmh,  Ignición: 1)"/>
    <x v="174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49"/>
    <d v="2026-06-01T13:07:04"/>
    <d v="1899-12-30T00:00:01"/>
    <n v="1.067509502172470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50"/>
    <d v="2026-06-01T13:07:19"/>
    <d v="1899-12-30T00:00:12"/>
    <n v="0.1344936937093734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51"/>
    <d v="2026-06-01T13:07:39"/>
    <d v="1899-12-30T00:00:28"/>
    <n v="0.33970177173614502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52"/>
    <d v="2026-06-01T13:08:11"/>
    <d v="1899-12-30T00:00:09"/>
    <n v="0.10457687824964523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Pco 13, Puerto Gaitán, Meta, Colombia"/>
    <s v="Cliente, Vel Max 40 Km/h"/>
    <x v="1053"/>
    <d v="2026-06-01T13:08:24"/>
    <d v="1899-12-30T00:00:24"/>
    <n v="0.2818659245967865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Pco 13, Puerto Gaitán, Meta, Colombia"/>
    <s v="Cliente, Vel Max 40 Km/h"/>
    <x v="1054"/>
    <d v="2026-06-01T13:09:21"/>
    <d v="1899-12-30T00:00:46"/>
    <n v="0.51804494857788086"/>
    <s v="Exceso Velocidad 40 Km/h (Velocidad máxima: 42 kmh)"/>
    <x v="51"/>
    <s v="Válido"/>
  </r>
  <r>
    <x v="13"/>
    <s v="Vehicle, Diesel, ECP 1107 Rubiales Serv. Integrales"/>
    <x v="2"/>
    <x v="2"/>
    <x v="2"/>
    <n v="0"/>
    <x v="16"/>
    <s v="ECOPETROL RUBIALES- Quifa - CAÑO SUR: Vía a RB-561, Puerto Gaitán, Meta, Colombia"/>
    <s v="Cliente, Vel Max 40 Km/h"/>
    <x v="1055"/>
    <d v="2026-06-01T13:12:25"/>
    <d v="1899-12-30T00:00:00"/>
    <n v="0"/>
    <s v="Aceleración brusca (nuevo) (Clase de vehículo para métricas de seguridad: Otra clase (no estandarizada), Velocidad máxima: 4 kmh,  Ignición: 1)"/>
    <x v="170"/>
    <s v="Válido"/>
  </r>
  <r>
    <x v="13"/>
    <s v="Vehicle, Diesel, ECP 1107 Rubiales Serv. Integrales"/>
    <x v="2"/>
    <x v="2"/>
    <x v="2"/>
    <n v="0"/>
    <x v="6"/>
    <s v="ECOPETROL RUBIALES- Quifa - CAÑO SUR: Vía a RB-741, Puerto Gaitán, Meta, Colombia"/>
    <s v="Cliente, Vel Max 40 Km/h"/>
    <x v="1056"/>
    <d v="2026-06-01T13:14:09"/>
    <d v="1899-12-30T00:00:00"/>
    <n v="0"/>
    <s v="Giro brusco (nuevo) (Clase de vehículo para métricas de seguridad: Otra clase (no estandarizada), Velocidad máxima: 19 kmh,  Ignición: 1)"/>
    <x v="190"/>
    <s v="Válido"/>
  </r>
  <r>
    <x v="13"/>
    <s v="Vehicle, Diesel, ECP 1107 Rubiales Serv. Integrales"/>
    <x v="2"/>
    <x v="2"/>
    <x v="2"/>
    <n v="0"/>
    <x v="16"/>
    <s v="ECOPETROL RUBIALES- Quifa - CAÑO SUR: Vía a RB-741, Puerto Gaitán, Meta, Colombia"/>
    <s v="Cliente, Vel Max 40 Km/h"/>
    <x v="1057"/>
    <d v="2026-06-01T13:16:08"/>
    <d v="1899-12-30T00:00:00"/>
    <n v="0"/>
    <s v="Aceleración brusca (nuevo) (Clase de vehículo para métricas de seguridad: Otra clase (no estandarizada), Velocidad máxima: 7 kmh,  Ignición: 1)"/>
    <x v="172"/>
    <s v="Válido"/>
  </r>
  <r>
    <x v="13"/>
    <s v="Vehicle, Diesel, ECP 1107 Rubiales Serv. Integrales"/>
    <x v="2"/>
    <x v="2"/>
    <x v="2"/>
    <n v="0"/>
    <x v="10"/>
    <s v="ECOPETROL RUBIALES- Quifa - CAÑO SUR: Pco 13, Puerto Gaitán, Meta, Colombia"/>
    <s v="Cliente, Vel Max 40 Km/h"/>
    <x v="1058"/>
    <d v="2026-06-01T13:20:46"/>
    <d v="1899-12-30T00:00:03"/>
    <n v="2.70750019699335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59"/>
    <d v="2026-06-01T13:21:56"/>
    <d v="1899-12-30T00:00:05"/>
    <n v="5.882500484585762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0"/>
    <d v="2026-06-01T13:22:14"/>
    <d v="1899-12-30T00:00:23"/>
    <n v="0.26610752940177917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1"/>
    <d v="2026-06-01T13:23:32"/>
    <d v="1899-12-30T00:00:31"/>
    <n v="0.34535565972328186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2"/>
    <d v="2026-06-01T13:24:11"/>
    <d v="1899-12-30T00:00:09"/>
    <n v="9.691081941127777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3"/>
    <d v="2026-06-01T13:24:25"/>
    <d v="1899-12-30T00:00:17"/>
    <n v="0.18654549121856689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4"/>
    <d v="2026-06-01T13:24:48"/>
    <d v="1899-12-30T00:00:14"/>
    <n v="0.17537470161914825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5"/>
    <d v="2026-06-01T13:25:48"/>
    <d v="1899-12-30T00:00:10"/>
    <n v="0.11514431238174438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6"/>
    <d v="2026-06-01T13:26:08"/>
    <d v="1899-12-30T00:00:14"/>
    <n v="0.16436204314231873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7"/>
    <d v="2026-06-01T13:26:27"/>
    <d v="1899-12-30T00:00:16"/>
    <n v="0.17541907727718353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8"/>
    <d v="2026-06-01T13:26:46"/>
    <d v="1899-12-30T00:00:06"/>
    <n v="6.492192298173904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69"/>
    <d v="2026-06-01T13:26:56"/>
    <d v="1899-12-30T00:00:07"/>
    <n v="7.597997784614563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70"/>
    <d v="2026-06-01T13:27:08"/>
    <d v="1899-12-30T00:00:04"/>
    <n v="4.298374056816101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Rb 111 Pco 13, Puerto Gaitán, Meta, Colombia"/>
    <s v="Cliente, Vel Max 40 Km/h"/>
    <x v="1071"/>
    <d v="2026-06-01T13:27:19"/>
    <d v="1899-12-30T00:00:21"/>
    <n v="0.23895837366580963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Cluster 41 Rb 111 Pco 13, Puerto Gaitán, Meta, Colombia"/>
    <s v="Cliente, Vel Max 40 Km/h"/>
    <x v="1072"/>
    <d v="2026-06-01T13:28:26"/>
    <d v="1899-12-30T00:00:05"/>
    <n v="5.6881330907344818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1073"/>
    <d v="2026-06-01T13:30:44"/>
    <d v="1899-12-30T00:00:03"/>
    <n v="3.1928431242704391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1074"/>
    <d v="2026-06-01T13:30:59"/>
    <d v="1899-12-30T00:00:42"/>
    <n v="0.49029982089996338"/>
    <s v="Exceso Velocidad 40 Km/h (Velocidad máxima: 44 kmh)"/>
    <x v="54"/>
    <s v="Válido"/>
  </r>
  <r>
    <x v="13"/>
    <s v="Vehicle, Diesel, ECP 1107 Rubiales Serv. Integrales"/>
    <x v="2"/>
    <x v="2"/>
    <x v="2"/>
    <n v="0"/>
    <x v="10"/>
    <s v="ECOPETROL RUBIALES- Quifa - CAÑO SUR: Arrayanes, Puerto Gaitán, Meta, Colombia"/>
    <s v="Cliente, Vel Max 40 Km/h"/>
    <x v="1075"/>
    <d v="2026-06-01T13:31:48"/>
    <d v="1899-12-30T00:00:12"/>
    <n v="0.14286796748638153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Campamento Manacacias, Puerto Gaitán, Meta, Colombia"/>
    <s v="Cliente, Vel Max 40 Km/h"/>
    <x v="1076"/>
    <d v="2026-06-01T13:32:59"/>
    <d v="1899-12-30T00:00:06"/>
    <n v="5.8920226991176605E-2"/>
    <s v="Exceso Velocidad 40 Km/h (Velocidad máxima: 41 kmh)"/>
    <x v="47"/>
    <s v="Válido"/>
  </r>
  <r>
    <x v="13"/>
    <s v="Vehicle, Diesel, ECP 1107 Rubiales Serv. Integrales"/>
    <x v="2"/>
    <x v="2"/>
    <x v="2"/>
    <n v="0"/>
    <x v="13"/>
    <s v="ECOPETROL RUBIALES- Quifa - CAÑO SUR, CAMPAMENTO ARRAYANES: Campamento Manacacias, Puerto Gaitán, Meta, Colombia"/>
    <s v="Cliente, Vel Max 40 Km/h, Vel Max 20 Km/h"/>
    <x v="1077"/>
    <d v="2026-06-01T13:33:43"/>
    <d v="1899-12-30T00:00:27"/>
    <n v="0.16963499784469604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CAMPAMENTO ARRAYANES: Paradero Arrayanes, Puerto Gaitán, Meta, Colombia"/>
    <s v="Cliente, Vel Max 40 Km/h, Vel Max 20 Km/h"/>
    <x v="1078"/>
    <d v="2026-06-01T13:35:56"/>
    <d v="1899-12-30T00:00:11"/>
    <n v="5.6812867522239685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CAMPAMENTO ARRAYANES: Vía Arrayanes, Puerto Gaitán, Meta, Colombia"/>
    <s v="Cliente, Vel Max 40 Km/h, Vel Max 20 Km/h"/>
    <x v="1079"/>
    <d v="2026-06-01T13:36:51"/>
    <d v="1899-12-30T00:00:02"/>
    <n v="1.2394759804010391E-2"/>
    <s v="Exceso Velocidad 20 Km/h (Velocidad máxima: 24 kmh)"/>
    <x v="150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080"/>
    <d v="2026-06-01T13:37:03"/>
    <d v="1899-12-30T00:00:15"/>
    <n v="0.16536796092987061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081"/>
    <d v="2026-06-01T13:38:43"/>
    <d v="1899-12-30T00:00:04"/>
    <n v="4.106739908456802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082"/>
    <d v="2026-06-01T13:39:20"/>
    <d v="1899-12-30T00:00:05"/>
    <n v="5.72996586561203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083"/>
    <d v="2026-06-01T13:40:20"/>
    <d v="1899-12-30T00:00:04"/>
    <n v="4.3806053698062897E-2"/>
    <s v="Exceso Velocidad 40 Km/h (Velocidad máxima: 41 kmh)"/>
    <x v="47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84"/>
    <d v="2026-06-01T13:41:09"/>
    <d v="1899-12-30T00:00:56"/>
    <n v="0.2909921407699585"/>
    <s v="Exceso Velocidad 10 Km/h (Velocidad máxima: 28 kmh)"/>
    <x v="62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85"/>
    <d v="2026-06-01T13:42:12"/>
    <d v="1899-12-30T00:00:07"/>
    <n v="1.9396491348743439E-2"/>
    <s v="Exceso Velocidad 10 Km/h (Velocidad máxima: 12 kmh)"/>
    <x v="33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86"/>
    <d v="2026-06-01T13:42:26"/>
    <d v="1899-12-30T00:02:51"/>
    <n v="0.73523461818695068"/>
    <s v="Exceso Velocidad 10 Km/h (Velocidad máxima: 22 kmh)"/>
    <x v="38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87"/>
    <d v="2026-06-01T13:45:53"/>
    <d v="1899-12-30T00:00:11"/>
    <n v="4.2611192911863327E-2"/>
    <s v="Exceso Velocidad 10 Km/h (Velocidad máxima: 16 kmh)"/>
    <x v="32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88"/>
    <d v="2026-06-01T13:46:04"/>
    <d v="1899-12-30T00:01:38"/>
    <n v="0.41876477003097534"/>
    <s v="Exceso Velocidad 10 Km/h (Velocidad máxima: 17 kmh)"/>
    <x v="43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89"/>
    <d v="2026-06-01T14:03:49"/>
    <d v="1899-12-30T00:00:53"/>
    <n v="0.17230555415153503"/>
    <s v="Exceso Velocidad 10 Km/h (Velocidad máxima: 13 kmh)"/>
    <x v="34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90"/>
    <d v="2026-06-01T14:06:05"/>
    <d v="1899-12-30T00:00:17"/>
    <n v="5.0676483660936356E-2"/>
    <s v="Exceso Velocidad 10 Km/h (Velocidad máxima: 12 kmh)"/>
    <x v="33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91"/>
    <d v="2026-06-01T14:06:41"/>
    <d v="1899-12-30T00:02:32"/>
    <n v="0.78022176027297974"/>
    <s v="Exceso Velocidad 10 Km/h (Velocidad máxima: 26 kmh)"/>
    <x v="42"/>
    <s v="Válido"/>
  </r>
  <r>
    <x v="13"/>
    <s v="Vehicle, Diesel, ECP 1107 Rubiales Serv. Integrales"/>
    <x v="2"/>
    <x v="2"/>
    <x v="2"/>
    <n v="0"/>
    <x v="4"/>
    <s v="ECOPETROL RUBIALES- Quifa - CAÑO SUR, CPF 2: CCO CPF2, Puerto Gaitán, Meta, Colombia"/>
    <s v="Cliente, Vel Max 40 Km/h, Vel Max 10 Km/h"/>
    <x v="1092"/>
    <d v="2026-06-01T14:09:33"/>
    <d v="1899-12-30T00:00:16"/>
    <n v="5.358901247382164E-2"/>
    <s v="Exceso Velocidad 10 Km/h (Velocidad máxima: 14 kmh)"/>
    <x v="10"/>
    <s v="Válido"/>
  </r>
  <r>
    <x v="13"/>
    <s v="Vehicle, Diesel, ECP 1107 Rubiales Serv. Integrales"/>
    <x v="2"/>
    <x v="2"/>
    <x v="2"/>
    <n v="0"/>
    <x v="4"/>
    <s v="ECOPETROL RUBIALES- Quifa - CAÑO SUR, CPF 2: Vía CPF 2, Puerto Gaitán, Meta, Colombia"/>
    <s v="Cliente, Vel Max 40 Km/h, Vel Max 10 Km/h"/>
    <x v="1093"/>
    <d v="2026-06-01T14:10:14"/>
    <d v="1899-12-30T00:01:02"/>
    <n v="0.32562550902366638"/>
    <s v="Exceso Velocidad 10 Km/h (Velocidad máxima: 24 kmh)"/>
    <x v="41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094"/>
    <d v="2026-06-01T14:11:41"/>
    <d v="1899-12-30T00:00:02"/>
    <n v="1.7373889684677124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095"/>
    <d v="2026-06-01T14:11:49"/>
    <d v="1899-12-30T00:00:34"/>
    <n v="0.37065833806991577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Vía Campamento Proyectos, Puerto Gaitán, Meta, Colombia"/>
    <s v="Cliente, Vel Max 40 Km/h"/>
    <x v="1096"/>
    <d v="2026-06-01T14:13:39"/>
    <d v="1899-12-30T00:00:21"/>
    <n v="0.23278288543224335"/>
    <s v="Exceso Velocidad 40 Km/h (Velocidad máxima: 41 kmh)"/>
    <x v="47"/>
    <s v="Válido"/>
  </r>
  <r>
    <x v="13"/>
    <s v="Vehicle, Diesel, ECP 1107 Rubiales Serv. Integrales"/>
    <x v="2"/>
    <x v="2"/>
    <x v="2"/>
    <n v="0"/>
    <x v="4"/>
    <s v="ECOPETROL RUBIALES- Quifa - CAÑO SUR, EDS RUBIALES: Comedor Base Antigua, Puerto Gaitán, Meta, Colombia"/>
    <s v="Cliente, Vel Max 40 Km/h, Vel Max 10 Km/h"/>
    <x v="1097"/>
    <d v="2026-06-01T14:14:49"/>
    <d v="1899-12-30T00:00:03"/>
    <n v="1.5162540599703789E-2"/>
    <s v="Exceso Velocidad 10 Km/h (Velocidad máxima: 22 kmh)"/>
    <x v="38"/>
    <s v="Válido"/>
  </r>
  <r>
    <x v="13"/>
    <s v="Vehicle, Diesel, ECP 1107 Rubiales Serv. Integrales"/>
    <x v="2"/>
    <x v="2"/>
    <x v="2"/>
    <n v="0"/>
    <x v="4"/>
    <s v="ECOPETROL RUBIALES- Quifa - CAÑO SUR, EDS RUBIALES: Comedor Base Antigua, Puerto Gaitán, Meta, Colombia"/>
    <s v="Cliente, Vel Max 40 Km/h, Vel Max 10 Km/h"/>
    <x v="1098"/>
    <d v="2026-06-01T14:15:47"/>
    <d v="1899-12-30T00:00:10"/>
    <n v="3.4515354782342911E-2"/>
    <s v="Exceso Velocidad 10 Km/h (Velocidad máxima: 17 kmh)"/>
    <x v="43"/>
    <s v="Válido"/>
  </r>
  <r>
    <x v="13"/>
    <s v="Vehicle, Diesel, ECP 1107 Rubiales Serv. Integrales"/>
    <x v="2"/>
    <x v="2"/>
    <x v="2"/>
    <n v="0"/>
    <x v="9"/>
    <s v="ECOPETROL RUBIALES- Quifa - CAÑO SUR, EDS RUBIALES - BATERIA 1: Vía Surtidor De Combustible, Puerto Gaitán, Meta, Colombia"/>
    <s v="Cliente, Vel Max 40 Km/h, Vel Max 20 Km/h"/>
    <x v="181"/>
    <d v="2026-06-01T14:21:31"/>
    <d v="1899-12-30T00:00:01"/>
    <n v="4.587272647768259E-3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13"/>
    <s v="ECOPETROL RUBIALES- Quifa - CAÑO SUR, EDS RUBIALES - BATERIA 1: Vía Surtidor De Combustible, Puerto Gaitán, Meta, Colombia"/>
    <s v="Cliente, Vel Max 40 Km/h, Vel Max 20 Km/h"/>
    <x v="1099"/>
    <d v="2026-06-01T14:21:36"/>
    <d v="1899-12-30T00:00:04"/>
    <n v="2.5094158947467804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EDS RUBIALES - BATERIA 1: Vía Surtidor De Combustible, Puerto Gaitán, Meta, Colombia"/>
    <s v="Cliente, Vel Max 40 Km/h, Vel Max 20 Km/h"/>
    <x v="1100"/>
    <d v="2026-06-01T14:21:45"/>
    <d v="1899-12-30T00:00:08"/>
    <n v="6.0875121504068375E-2"/>
    <s v="Exceso Velocidad 20 Km/h (Velocidad máxima: 29 kmh)"/>
    <x v="177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101"/>
    <d v="2026-06-01T14:26:23"/>
    <d v="1899-12-30T00:00:26"/>
    <n v="0.3438396155834198"/>
    <s v="Exceso Velocidad 40 Km/h (Velocidad máxima: 53 kmh)"/>
    <x v="186"/>
    <s v="Válido"/>
  </r>
  <r>
    <x v="13"/>
    <s v="Vehicle, Diesel, ECP 1107 Rubiales Serv. Integrales"/>
    <x v="2"/>
    <x v="2"/>
    <x v="2"/>
    <n v="0"/>
    <x v="16"/>
    <s v="ECOPETROL RUBIALES- Quifa - CAÑO SUR: Vía Arrayanes, Puerto Gaitán, Meta, Colombia"/>
    <s v="Cliente, Vel Max 40 Km/h"/>
    <x v="1102"/>
    <d v="2026-06-01T14:27:06"/>
    <d v="1899-12-30T00:00:00"/>
    <n v="0"/>
    <s v="Aceleración brusca (nuevo) (Clase de vehículo para métricas de seguridad: Otra clase (no estandarizada), Velocidad máxima: 8 kmh,  Ignición: 1)"/>
    <x v="161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103"/>
    <d v="2026-06-01T14:27:20"/>
    <d v="1899-12-30T00:00:03"/>
    <n v="2.7458610013127327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104"/>
    <d v="2026-06-01T14:27:31"/>
    <d v="1899-12-30T00:00:06"/>
    <n v="6.4834922552108765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105"/>
    <d v="2026-06-01T14:28:29"/>
    <d v="1899-12-30T00:00:12"/>
    <n v="0.1357448399066925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Vía Arrayanes, Puerto Gaitán, Meta, Colombia"/>
    <s v="Cliente, Vel Max 40 Km/h"/>
    <x v="1106"/>
    <d v="2026-06-01T14:28:53"/>
    <d v="1899-12-30T00:00:47"/>
    <n v="0.54598128795623779"/>
    <s v="Exceso Velocidad 40 Km/h (Velocidad máxima: 44 kmh)"/>
    <x v="54"/>
    <s v="Válido"/>
  </r>
  <r>
    <x v="13"/>
    <s v="Vehicle, Diesel, ECP 1107 Rubiales Serv. Integrales"/>
    <x v="2"/>
    <x v="2"/>
    <x v="2"/>
    <n v="0"/>
    <x v="13"/>
    <s v="ECOPETROL RUBIALES- Quifa - CAÑO SUR, CAMPAMENTO ARRAYANES: Cluster 47, Puerto Gaitán, Meta, Colombia"/>
    <s v="Cliente, Vel Max 40 Km/h, Vel Max 20 Km/h"/>
    <x v="1107"/>
    <d v="2026-06-01T14:30:01"/>
    <d v="1899-12-30T00:00:34"/>
    <n v="0.28910845518112183"/>
    <s v="Exceso Velocidad 20 Km/h (Velocidad máxima: 37 kmh)"/>
    <x v="134"/>
    <s v="Válido"/>
  </r>
  <r>
    <x v="13"/>
    <s v="Vehicle, Diesel, ECP 1107 Rubiales Serv. Integrales"/>
    <x v="2"/>
    <x v="2"/>
    <x v="2"/>
    <n v="0"/>
    <x v="9"/>
    <s v="ECOPETROL RUBIALES- Quifa - CAÑO SUR, CAMPAMENTO ARRAYANES: Paradero Arrayanes, Puerto Gaitán, Meta, Colombia"/>
    <s v="Cliente, Vel Max 40 Km/h, Vel Max 20 Km/h"/>
    <x v="1108"/>
    <d v="2026-06-01T14:33:28"/>
    <d v="1899-12-30T00:00:01"/>
    <n v="1.7474234336987138E-3"/>
    <s v="Uso del cinturón de seguridad (Velocidad máxima: 10 kmh Cinturón de seguridad del conductor (1. Desabrochado): 1.00)"/>
    <x v="191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aradero Arrayanes, Puerto Gaitán, Meta, Colombia"/>
    <s v="Cliente, Vel Max 40 Km/h, Vel Max 10 Km/h, Vel Max 20 Km/h"/>
    <x v="1109"/>
    <d v="2026-06-01T14:33:58"/>
    <d v="1899-12-30T00:01:16"/>
    <n v="0.24199272692203522"/>
    <s v="Exceso Velocidad 10 Km/h (Velocidad máxima: 12 kmh)"/>
    <x v="33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aradero Arrayanes, Puerto Gaitán, Meta, Colombia"/>
    <s v="Cliente, Vel Max 40 Km/h, Vel Max 10 Km/h, Vel Max 20 Km/h"/>
    <x v="1110"/>
    <d v="2026-06-01T14:35:14"/>
    <d v="1899-12-30T00:00:58"/>
    <n v="0.19344490766525269"/>
    <s v="Exceso Velocidad 10 Km/h (Velocidad máxima: 16 kmh)"/>
    <x v="32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uerto Gaitan - Rubiales, Puerto Gaitán, Meta, Colombia"/>
    <s v="Cliente, Vel Max 40 Km/h, Vel Max 10 Km/h, Vel Max 20 Km/h"/>
    <x v="1111"/>
    <d v="2026-06-01T16:30:00"/>
    <d v="1899-12-30T00:01:24"/>
    <n v="0.37394171953201294"/>
    <s v="Exceso Velocidad 10 Km/h (Velocidad máxima: 18 kmh)"/>
    <x v="39"/>
    <s v="Válido"/>
  </r>
  <r>
    <x v="13"/>
    <s v="Vehicle, Diesel, ECP 1107 Rubiales Serv. Integrales"/>
    <x v="2"/>
    <x v="2"/>
    <x v="2"/>
    <n v="0"/>
    <x v="0"/>
    <s v="ECOPETROL RUBIALES- Quifa - CAÑO SUR, CAMPAMENTO ARRAYANES: Paradero Arrayanes, Puerto Gaitán, Meta, Colombia"/>
    <s v="Cliente, Vel Max 40 Km/h, Vel Max 20 Km/h"/>
    <x v="1112"/>
    <d v="2026-06-01T16:31:53"/>
    <d v="1899-12-30T00:06:41"/>
    <n v="0"/>
    <s v="Tiempo en ralentí (Ignición: 1.00)"/>
    <x v="0"/>
    <s v="Válido"/>
  </r>
  <r>
    <x v="13"/>
    <s v="Vehicle, Diesel, ECP 1107 Rubiales Serv. Integrales"/>
    <x v="2"/>
    <x v="2"/>
    <x v="2"/>
    <n v="0"/>
    <x v="9"/>
    <s v="ECOPETROL RUBIALES- Quifa - CAÑO SUR, CAMPAMENTO ARRAYANES: Paradero Arrayanes, Puerto Gaitán, Meta, Colombia"/>
    <s v="Cliente, Vel Max 40 Km/h, Vel Max 20 Km/h"/>
    <x v="1113"/>
    <d v="2026-06-01T16:38:38"/>
    <d v="1899-12-30T00:00:05"/>
    <n v="1.4142281375825405E-2"/>
    <s v="Uso del cinturón de seguridad (Velocidad máxima: 11 kmh Cinturón de seguridad del conductor (1. Desabrochado): 1.00)"/>
    <x v="78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aradero Arrayanes, Puerto Gaitán, Meta, Colombia"/>
    <s v="Cliente, Vel Max 40 Km/h, Vel Max 10 Km/h, Vel Max 20 Km/h"/>
    <x v="1114"/>
    <d v="2026-06-01T16:39:13"/>
    <d v="1899-12-30T00:00:09"/>
    <n v="2.7434611693024635E-2"/>
    <s v="Exceso Velocidad 10 Km/h (Velocidad máxima: 12 kmh)"/>
    <x v="33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aradero Arrayanes, Puerto Gaitán, Meta, Colombia"/>
    <s v="Cliente, Vel Max 40 Km/h, Vel Max 10 Km/h, Vel Max 20 Km/h"/>
    <x v="1115"/>
    <d v="2026-06-01T16:39:39"/>
    <d v="1899-12-30T00:01:30"/>
    <n v="0.35250440239906311"/>
    <s v="Exceso Velocidad 10 Km/h (Velocidad máxima: 18 kmh)"/>
    <x v="39"/>
    <s v="Válido"/>
  </r>
  <r>
    <x v="13"/>
    <s v="Vehicle, Diesel, ECP 1107 Rubiales Serv. Integrales"/>
    <x v="2"/>
    <x v="2"/>
    <x v="2"/>
    <n v="0"/>
    <x v="4"/>
    <s v="ECOPETROL RUBIALES- Quifa - CAÑO SUR, OFICINAS ECOPETROL ARRAYANES, CAMPAMENTO ARRAYANES: Puerto Gaitan - Rubiales, Puerto Gaitán, Meta, Colombia"/>
    <s v="Cliente, Vel Max 40 Km/h, Vel Max 10 Km/h, Vel Max 20 Km/h"/>
    <x v="1116"/>
    <d v="2026-06-01T18:38:29"/>
    <d v="1899-12-30T00:00:27"/>
    <n v="8.1597201526165009E-2"/>
    <s v="Exceso Velocidad 10 Km/h (Velocidad máxima: 12 kmh)"/>
    <x v="33"/>
    <s v="Válido"/>
  </r>
  <r>
    <x v="13"/>
    <s v="Vehicle, Diesel, ECP 1107 Rubiales Serv. Integrales"/>
    <x v="2"/>
    <x v="2"/>
    <x v="2"/>
    <n v="0"/>
    <x v="9"/>
    <s v="ECOPETROL RUBIALES- Quifa - CAÑO SUR: Batería 3, Puerto Gaitán, Meta, Colombia"/>
    <s v="Cliente, Vel Max 40 Km/h"/>
    <x v="1117"/>
    <d v="2026-06-01T18:45:23"/>
    <d v="1899-12-30T00:00:07"/>
    <n v="1.8449703231453896E-2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9"/>
    <s v="ECOPETROL RUBIALES- Quifa - CAÑO SUR: Batería 3, Puerto Gaitán, Meta, Colombia"/>
    <s v="Cliente, Vel Max 40 Km/h"/>
    <x v="1118"/>
    <d v="2026-06-01T18:45:37"/>
    <d v="1899-12-30T00:00:35"/>
    <n v="0.12713651359081268"/>
    <s v="Uso del cinturón de seguridad (Velocidad máxima: 15 kmh Cinturón de seguridad del conductor (1. Desabrochado): 1.00)"/>
    <x v="82"/>
    <s v="Válido"/>
  </r>
  <r>
    <x v="13"/>
    <s v="Vehicle, Diesel, ECP 1107 Rubiales Serv. Integrales"/>
    <x v="2"/>
    <x v="2"/>
    <x v="2"/>
    <n v="0"/>
    <x v="9"/>
    <s v="ECOPETROL RUBIALES- Quifa - CAÑO SUR: Piscina 06 05 04 02 03 08 Rb 92 352 293 287 239 291, Puerto Gaitán, Meta, Colombia"/>
    <s v="Cliente, Vel Max 40 Km/h"/>
    <x v="1119"/>
    <d v="2026-06-01T18:50:43"/>
    <d v="1899-12-30T00:00:06"/>
    <n v="1.9112365320324898E-2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9"/>
    <s v="ECOPETROL RUBIALES- Quifa - CAÑO SUR: Piscina 06 05 04 02 03 08 Rb 92 352 293 287 239 291, Puerto Gaitán, Meta, Colombia"/>
    <s v="Cliente, Vel Max 40 Km/h"/>
    <x v="1120"/>
    <d v="2026-06-01T18:50:53"/>
    <d v="1899-12-30T00:00:23"/>
    <n v="6.8561166524887085E-2"/>
    <s v="Uso del cinturón de seguridad (Velocidad máxima: 15 kmh Cinturón de seguridad del conductor (1. Desabrochado): 1.00)"/>
    <x v="82"/>
    <s v="Válido"/>
  </r>
  <r>
    <x v="13"/>
    <s v="Vehicle, Diesel, ECP 1107 Rubiales Serv. Integrales"/>
    <x v="2"/>
    <x v="2"/>
    <x v="2"/>
    <n v="0"/>
    <x v="9"/>
    <s v="ECOPETROL RUBIALES- Quifa - CAÑO SUR: Cluster 30 Rb 30 62 63 64, Puerto Gaitán, Meta, Colombia"/>
    <s v="Cliente, Vel Max 40 Km/h"/>
    <x v="1121"/>
    <d v="2026-06-01T18:52:52"/>
    <d v="1899-12-30T00:00:25"/>
    <n v="9.1771043837070465E-2"/>
    <s v="Uso del cinturón de seguridad (Velocidad máxima: 16 kmh Cinturón de seguridad del conductor (1. Desabrochado): 1.00)"/>
    <x v="85"/>
    <s v="Válido"/>
  </r>
  <r>
    <x v="13"/>
    <s v="Vehicle, Diesel, ECP 1107 Rubiales Serv. Integrales"/>
    <x v="2"/>
    <x v="2"/>
    <x v="2"/>
    <n v="0"/>
    <x v="6"/>
    <s v="ECOPETROL RUBIALES- Quifa - CAÑO SUR: Rb 111 Pco 13, Puerto Gaitán, Meta, Colombia"/>
    <s v="Cliente, Vel Max 40 Km/h"/>
    <x v="1122"/>
    <d v="2026-06-01T19:02:19"/>
    <d v="1899-12-30T00:00:00"/>
    <n v="0"/>
    <s v="Giro brusco (nuevo) (Clase de vehículo para métricas de seguridad: Otra clase (no estandarizada), Velocidad máxima: 26 kmh,  Ignición: 1)"/>
    <x v="192"/>
    <s v="Válido"/>
  </r>
  <r>
    <x v="13"/>
    <s v="Vehicle, Diesel, ECP 1107 Rubiales Serv. Integrales"/>
    <x v="2"/>
    <x v="2"/>
    <x v="2"/>
    <n v="0"/>
    <x v="10"/>
    <s v="ECOPETROL RUBIALES- Quifa - CAÑO SUR: Pco 13, Puerto Gaitán, Meta, Colombia"/>
    <s v="Cliente, Vel Max 40 Km/h"/>
    <x v="1123"/>
    <d v="2026-06-01T19:13:04"/>
    <d v="1899-12-30T00:00:06"/>
    <n v="6.5168768167495728E-2"/>
    <s v="Exceso Velocidad 40 Km/h (Velocidad máxima: 41 kmh)"/>
    <x v="47"/>
    <s v="Válido"/>
  </r>
  <r>
    <x v="13"/>
    <s v="Vehicle, Diesel, ECP 1107 Rubiales Serv. Integrales"/>
    <x v="2"/>
    <x v="2"/>
    <x v="2"/>
    <n v="0"/>
    <x v="9"/>
    <s v="ECOPETROL RUBIALES- Quifa - CAÑO SUR: Vía a RB-561, Puerto Gaitán, Meta, Colombia"/>
    <s v="Cliente, Vel Max 40 Km/h"/>
    <x v="1124"/>
    <d v="2026-06-01T19:20:08"/>
    <d v="1899-12-30T00:01:18"/>
    <n v="0.46629077196121216"/>
    <s v="Uso del cinturón de seguridad (Velocidad máxima: 33 kmh Cinturón de seguridad del conductor (1. Desabrochado): 1.00)"/>
    <x v="69"/>
    <s v="Válido"/>
  </r>
  <r>
    <x v="13"/>
    <s v="Vehicle, Diesel, ECP 1107 Rubiales Serv. Integrales"/>
    <x v="2"/>
    <x v="2"/>
    <x v="2"/>
    <n v="0"/>
    <x v="9"/>
    <s v="ECOPETROL RUBIALES- Quifa - CAÑO SUR: Vía a RB-741, Puerto Gaitán, Meta, Colombia"/>
    <s v="Cliente, Vel Max 40 Km/h"/>
    <x v="1125"/>
    <d v="2026-06-01T19:28:16"/>
    <d v="1899-12-30T00:00:14"/>
    <n v="4.7407098114490509E-2"/>
    <s v="Uso del cinturón de seguridad (Velocidad máxima: 14 kmh Cinturón de seguridad del conductor (1. Desabrochado): 1.00)"/>
    <x v="79"/>
    <s v="Válido"/>
  </r>
  <r>
    <x v="13"/>
    <s v="Vehicle, Diesel, ECP 1107 Rubiales Serv. Integrales"/>
    <x v="2"/>
    <x v="2"/>
    <x v="2"/>
    <n v="0"/>
    <x v="9"/>
    <s v="ECOPETROL RUBIALES- Quifa - CAÑO SUR: Vía a RB-741, Puerto Gaitán, Meta, Colombia"/>
    <s v="Cliente, Vel Max 40 Km/h"/>
    <x v="1126"/>
    <d v="2026-06-01T19:31:40"/>
    <d v="1899-12-30T00:00:10"/>
    <n v="3.0906843021512032E-2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10"/>
    <s v="ECOPETROL RUBIALES- Quifa - CAÑO SUR: Vía a RB-741, Puerto Gaitán, Meta, Colombia"/>
    <s v="Cliente, Vel Max 40 Km/h"/>
    <x v="1127"/>
    <d v="2026-06-01T19:32:53"/>
    <d v="1899-12-30T00:00:53"/>
    <n v="0.64778518676757813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Pco 13, Puerto Gaitán, Meta, Colombia"/>
    <s v="Cliente, Vel Max 40 Km/h"/>
    <x v="1128"/>
    <d v="2026-06-01T19:33:50"/>
    <d v="1899-12-30T00:00:07"/>
    <n v="8.3550095558166504E-2"/>
    <s v="Exceso Velocidad 40 Km/h (Velocidad máxima: 42 kmh)"/>
    <x v="51"/>
    <s v="Válido"/>
  </r>
  <r>
    <x v="13"/>
    <s v="Vehicle, Diesel, ECP 1107 Rubiales Serv. Integrales"/>
    <x v="2"/>
    <x v="2"/>
    <x v="2"/>
    <n v="0"/>
    <x v="10"/>
    <s v="ECOPETROL RUBIALES- Quifa - CAÑO SUR: Pco 13, Puerto Gaitán, Meta, Colombia"/>
    <s v="Cliente, Vel Max 40 Km/h"/>
    <x v="1129"/>
    <d v="2026-06-01T19:34:14"/>
    <d v="1899-12-30T00:00:05"/>
    <n v="6.2730669975280762E-2"/>
    <s v="Exceso Velocidad 40 Km/h (Velocidad máxima: 46 kmh)"/>
    <x v="106"/>
    <s v="Válido"/>
  </r>
  <r>
    <x v="13"/>
    <s v="Vehicle, Diesel, ECP 1107 Rubiales Serv. Integrales"/>
    <x v="2"/>
    <x v="2"/>
    <x v="2"/>
    <n v="0"/>
    <x v="10"/>
    <s v="ECOPETROL RUBIALES- Quifa - CAÑO SUR: Pco 13, Puerto Gaitán, Meta, Colombia"/>
    <s v="Cliente, Vel Max 40 Km/h"/>
    <x v="1130"/>
    <d v="2026-06-01T19:34:33"/>
    <d v="1899-12-30T00:00:13"/>
    <n v="0.16834025084972382"/>
    <s v="Exceso Velocidad 40 Km/h (Velocidad máxima: 50 kmh)"/>
    <x v="182"/>
    <s v="Válido"/>
  </r>
  <r>
    <x v="13"/>
    <s v="Vehicle, Diesel, ECP 1107 Rubiales Serv. Integrales"/>
    <x v="2"/>
    <x v="2"/>
    <x v="2"/>
    <n v="0"/>
    <x v="9"/>
    <s v="ECOPETROL RUBIALES- Quifa - CAÑO SUR: Rb 286 90, Puerto Gaitán, Meta, Colombia"/>
    <s v="Cliente, Vel Max 40 Km/h"/>
    <x v="1131"/>
    <d v="2026-06-01T20:07:04"/>
    <d v="1899-12-30T00:00:51"/>
    <n v="0.17334666848182678"/>
    <s v="Uso del cinturón de seguridad (Velocidad máxima: 15 kmh Cinturón de seguridad del conductor (1. Desabrochado): 1.00)"/>
    <x v="82"/>
    <s v="Válido"/>
  </r>
  <r>
    <x v="13"/>
    <s v="Vehicle, Diesel, ECP 1107 Rubiales Serv. Integrales"/>
    <x v="2"/>
    <x v="2"/>
    <x v="2"/>
    <n v="0"/>
    <x v="9"/>
    <s v="ECOPETROL RUBIALES- Quifa - CAÑO SUR: Vía a RB-1052, Puerto Gaitán, Meta, Colombia"/>
    <s v="Cliente, Vel Max 40 Km/h"/>
    <x v="1132"/>
    <d v="2026-06-01T20:11:01"/>
    <d v="1899-12-30T00:00:15"/>
    <n v="4.6982448548078537E-2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9"/>
    <s v="ECOPETROL RUBIALES- Quifa - CAÑO SUR: Vía a RB-1052, Puerto Gaitán, Meta, Colombia"/>
    <s v="Cliente, Vel Max 40 Km/h"/>
    <x v="1133"/>
    <d v="2026-06-01T20:12:42"/>
    <d v="1899-12-30T00:00:16"/>
    <n v="4.6828899532556534E-2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9"/>
    <s v="ECOPETROL RUBIALES- Quifa - CAÑO SUR: Vía a RB-1052, Puerto Gaitán, Meta, Colombia"/>
    <s v="Cliente, Vel Max 40 Km/h"/>
    <x v="1134"/>
    <d v="2026-06-01T20:15:29"/>
    <d v="1899-12-30T00:00:10"/>
    <n v="2.9446752741932869E-2"/>
    <s v="Uso del cinturón de seguridad (Velocidad máxima: 14 kmh Cinturón de seguridad del conductor (1. Desabrochado): 1.00)"/>
    <x v="79"/>
    <s v="Válido"/>
  </r>
  <r>
    <x v="13"/>
    <s v="Vehicle, Diesel, ECP 1107 Rubiales Serv. Integrales"/>
    <x v="2"/>
    <x v="2"/>
    <x v="2"/>
    <n v="0"/>
    <x v="9"/>
    <s v="ECOPETROL RUBIALES- Quifa - CAÑO SUR: Vía a RB-1052, Puerto Gaitán, Meta, Colombia"/>
    <s v="Cliente, Vel Max 40 Km/h"/>
    <x v="1135"/>
    <d v="2026-06-01T20:15:38"/>
    <d v="1899-12-30T00:00:04"/>
    <n v="1.5228393487632275E-2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136"/>
    <d v="2026-06-01T20:18:21"/>
    <d v="1899-12-30T00:00:18"/>
    <n v="0.12245739996433258"/>
    <s v="Exceso Velocidad 20 Km/h (Velocidad máxima: 28 kmh)"/>
    <x v="132"/>
    <s v="Válido"/>
  </r>
  <r>
    <x v="13"/>
    <s v="Vehicle, Diesel, ECP 1107 Rubiales Serv. Integrales"/>
    <x v="2"/>
    <x v="2"/>
    <x v="2"/>
    <n v="0"/>
    <x v="13"/>
    <s v="ECOPETROL RUBIALES- Quifa - CAÑO SUR, CAMPAMENTO MI LLANURA: Rb 90, Puerto Gaitán, Meta, Colombia"/>
    <s v="Cliente, Vel Max 40 Km/h, Vel Max 20 Km/h"/>
    <x v="1137"/>
    <d v="2026-06-01T20:19:00"/>
    <d v="1899-12-30T00:00:14"/>
    <n v="0.10048903524875641"/>
    <s v="Exceso Velocidad 20 Km/h (Velocidad máxima: 29 kmh)"/>
    <x v="177"/>
    <s v="Válido"/>
  </r>
  <r>
    <x v="13"/>
    <s v="Vehicle, Diesel, ECP 1107 Rubiales Serv. Integrales"/>
    <x v="2"/>
    <x v="2"/>
    <x v="2"/>
    <n v="0"/>
    <x v="9"/>
    <s v="ECOPETROL RUBIALES- Quifa - CAÑO SUR, CAMPAMENTO MI LLANURA: Rb 90, Puerto Gaitán, Meta, Colombia"/>
    <s v="Cliente, Vel Max 40 Km/h, Vel Max 20 Km/h"/>
    <x v="1138"/>
    <d v="2026-06-01T20:22:09"/>
    <d v="1899-12-30T00:00:07"/>
    <n v="2.9930774122476578E-2"/>
    <s v="Uso del cinturón de seguridad (Velocidad máxima: 14 kmh Cinturón de seguridad del conductor (1. Desabrochado): 1.00)"/>
    <x v="79"/>
    <s v="Válido"/>
  </r>
  <r>
    <x v="13"/>
    <s v="Vehicle, Diesel, ECP 1107 Rubiales Serv. Integrales"/>
    <x v="2"/>
    <x v="2"/>
    <x v="2"/>
    <n v="0"/>
    <x v="1"/>
    <s v="ECOPETROL RUBIALES- Quifa - CAÑO SUR, CAMPAMENTO MI LLANURA: Rb 90, Puerto Gaitán, Meta, Colombia"/>
    <s v="Cliente, Vel Max 40 Km/h, Vel Max 20 Km/h"/>
    <x v="1139"/>
    <d v="2026-06-01T20:23:57"/>
    <d v="1899-12-30T00:00:00"/>
    <n v="0"/>
    <s v="Frenado brusco (nuevo) (Clase de vehículo para métricas de seguridad: Otra clase (no estandarizada), Velocidad máxima: 4 kmh,  Ignición: 1)"/>
    <x v="193"/>
    <s v="Válido"/>
  </r>
  <r>
    <x v="13"/>
    <s v="Vehicle, Diesel, ECP 1107 Rubiales Serv. Integrales"/>
    <x v="2"/>
    <x v="2"/>
    <x v="2"/>
    <n v="0"/>
    <x v="0"/>
    <s v="ECOPETROL RUBIALES- Quifa - CAÑO SUR: Rb 92, Puerto Gaitán, Meta, Colombia"/>
    <s v="Cliente, Vel Max 40 Km/h"/>
    <x v="1140"/>
    <d v="2026-06-01T20:47:44"/>
    <d v="1899-12-30T00:09:16"/>
    <n v="1.9693702924996614E-3"/>
    <s v="Tiempo en ralentí (Ignición: 1.00)"/>
    <x v="0"/>
    <s v="Válido"/>
  </r>
  <r>
    <x v="13"/>
    <s v="Vehicle, Diesel, ECP 1107 Rubiales Serv. Integrales"/>
    <x v="2"/>
    <x v="2"/>
    <x v="2"/>
    <n v="0"/>
    <x v="9"/>
    <s v="ECOPETROL RUBIALES- Quifa - CAÑO SUR: Rb 92, Puerto Gaitán, Meta, Colombia"/>
    <s v="Cliente, Vel Max 40 Km/h"/>
    <x v="1141"/>
    <d v="2026-06-01T21:00:12"/>
    <d v="1899-12-30T00:00:09"/>
    <n v="4.9148485064506531E-2"/>
    <s v="Uso del cinturón de seguridad (Velocidad máxima: 28 kmh Cinturón de seguridad del conductor (1. Desabrochado): 1.00)"/>
    <x v="194"/>
    <s v="Válido"/>
  </r>
  <r>
    <x v="13"/>
    <s v="Vehicle, Diesel, ECP 1107 Rubiales Serv. Integrales"/>
    <x v="2"/>
    <x v="2"/>
    <x v="2"/>
    <n v="0"/>
    <x v="9"/>
    <s v="ECOPETROL RUBIALES- Quifa - CAÑO SUR: Rb 92, Puerto Gaitán, Meta, Colombia"/>
    <s v="Cliente, Vel Max 40 Km/h"/>
    <x v="1142"/>
    <d v="2026-06-01T21:05:10"/>
    <d v="1899-12-30T00:00:04"/>
    <n v="1.3095386326313019E-2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10"/>
    <s v="ECOPETROL RUBIALES- Quifa - CAÑO SUR: Piscina 06 05 04 02 03 08 Rb 352 293 287 239 291, Puerto Gaitán, Meta, Colombia"/>
    <s v="Cliente, Vel Max 40 Km/h"/>
    <x v="1143"/>
    <d v="2026-06-01T21:06:38"/>
    <d v="1899-12-30T00:00:04"/>
    <n v="4.6973563730716705E-2"/>
    <s v="Exceso Velocidad 40 Km/h (Velocidad máxima: 41 kmh)"/>
    <x v="47"/>
    <s v="Válido"/>
  </r>
  <r>
    <x v="13"/>
    <s v="Vehicle, Diesel, ECP 1107 Rubiales Serv. Integrales"/>
    <x v="2"/>
    <x v="2"/>
    <x v="2"/>
    <n v="0"/>
    <x v="9"/>
    <s v="ECOPETROL RUBIALES- Quifa - CAÑO SUR: Rb 239, Puerto Gaitán, Meta, Colombia"/>
    <s v="Cliente, Vel Max 40 Km/h"/>
    <x v="1144"/>
    <d v="2026-06-01T21:20:40"/>
    <d v="1899-12-30T00:00:31"/>
    <n v="9.4750568270683289E-2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9"/>
    <s v="ECOPETROL RUBIALES- Quifa - CAÑO SUR: Rb 239, Puerto Gaitán, Meta, Colombia"/>
    <s v="Cliente, Vel Max 40 Km/h"/>
    <x v="1145"/>
    <d v="2026-06-01T21:34:10"/>
    <d v="1899-12-30T00:00:03"/>
    <n v="8.695981465280056E-3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9"/>
    <s v="ECOPETROL RUBIALES- Quifa - CAÑO SUR: Rb 239, Puerto Gaitán, Meta, Colombia"/>
    <s v="Cliente, Vel Max 40 Km/h"/>
    <x v="1146"/>
    <d v="2026-06-01T21:34:17"/>
    <d v="1899-12-30T00:00:01"/>
    <n v="5.7863541878759861E-3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10"/>
    <s v="ECOPETROL RUBIALES- Quifa - CAÑO SUR: Piscina 06 05 04 02 03 08 Rb 352 293 287 239 291, Puerto Gaitán, Meta, Colombia"/>
    <s v="Cliente, Vel Max 40 Km/h"/>
    <x v="1147"/>
    <d v="2026-06-01T21:40:08"/>
    <d v="1899-12-30T00:00:03"/>
    <n v="3.487863764166832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148"/>
    <d v="2026-06-01T21:40:31"/>
    <d v="1899-12-30T00:00:04"/>
    <n v="3.8655776530504227E-2"/>
    <s v="Exceso Velocidad 40 Km/h (Velocidad máxima: 41 kmh)"/>
    <x v="47"/>
    <s v="Válido"/>
  </r>
  <r>
    <x v="13"/>
    <s v="Vehicle, Diesel, ECP 1107 Rubiales Serv. Integrales"/>
    <x v="2"/>
    <x v="2"/>
    <x v="2"/>
    <n v="0"/>
    <x v="10"/>
    <s v="ECOPETROL RUBIALES- Quifa - CAÑO SUR: Piscina 06 05 04 02 03 08 Rb 92 352 293 287 239 291, Puerto Gaitán, Meta, Colombia"/>
    <s v="Cliente, Vel Max 40 Km/h"/>
    <x v="1149"/>
    <d v="2026-06-01T21:40:48"/>
    <d v="1899-12-30T00:00:04"/>
    <n v="4.1178494691848755E-2"/>
    <s v="Exceso Velocidad 40 Km/h (Velocidad máxima: 41 kmh)"/>
    <x v="47"/>
    <s v="Válido"/>
  </r>
  <r>
    <x v="13"/>
    <s v="Vehicle, Diesel, ECP 1107 Rubiales Serv. Integrales"/>
    <x v="2"/>
    <x v="2"/>
    <x v="2"/>
    <n v="0"/>
    <x v="9"/>
    <s v="ECOPETROL RUBIALES- Quifa - CAÑO SUR: Cluster 30 Rb 30 62 63 64, Puerto Gaitán, Meta, Colombia"/>
    <s v="Cliente, Vel Max 40 Km/h"/>
    <x v="1150"/>
    <d v="2026-06-01T21:48:29"/>
    <d v="1899-12-30T00:00:07"/>
    <n v="1.6339167952537537E-2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9"/>
    <s v="ECOPETROL RUBIALES- Quifa - CAÑO SUR: Cluster 30 Rb 30 62 63 64, Puerto Gaitán, Meta, Colombia"/>
    <s v="Cliente, Vel Max 40 Km/h"/>
    <x v="1151"/>
    <d v="2026-06-01T21:52:18"/>
    <d v="1899-12-30T00:00:03"/>
    <n v="7.2681396268308163E-3"/>
    <s v="Uso del cinturón de seguridad (Velocidad máxima: 11 kmh Cinturón de seguridad del conductor (1. Desabrochado): 1.00)"/>
    <x v="78"/>
    <s v="Válido"/>
  </r>
  <r>
    <x v="13"/>
    <s v="Vehicle, Diesel, ECP 1107 Rubiales Serv. Integrales"/>
    <x v="2"/>
    <x v="2"/>
    <x v="2"/>
    <n v="0"/>
    <x v="9"/>
    <s v="ECOPETROL RUBIALES- Quifa - CAÑO SUR: Cluster 30 Rb 30 62 63 64, Puerto Gaitán, Meta, Colombia"/>
    <s v="Cliente, Vel Max 40 Km/h"/>
    <x v="1152"/>
    <d v="2026-06-01T21:52:31"/>
    <d v="1899-12-30T00:00:08"/>
    <n v="3.9036784321069717E-2"/>
    <s v="Uso del cinturón de seguridad (Velocidad máxima: 15 kmh Cinturón de seguridad del conductor (1. Desabrochado): 1.00)"/>
    <x v="82"/>
    <s v="Válido"/>
  </r>
  <r>
    <x v="13"/>
    <s v="Vehicle, Diesel, ECP 1107 Rubiales Serv. Integrales"/>
    <x v="2"/>
    <x v="2"/>
    <x v="2"/>
    <n v="0"/>
    <x v="0"/>
    <s v="ECOPETROL RUBIALES- Quifa - CAÑO SUR: Rb 141, Puerto Gaitán, Meta, Colombia"/>
    <s v="Cliente, Vel Max 40 Km/h"/>
    <x v="1153"/>
    <d v="2026-06-01T22:13:39"/>
    <d v="1899-12-30T00:05:05"/>
    <n v="0"/>
    <s v="Tiempo en ralentí (Ignición: 1.00)"/>
    <x v="0"/>
    <s v="Válido"/>
  </r>
  <r>
    <x v="13"/>
    <s v="Vehicle, Diesel, ECP 1107 Rubiales Serv. Integrales"/>
    <x v="2"/>
    <x v="2"/>
    <x v="2"/>
    <n v="0"/>
    <x v="9"/>
    <s v="ECOPETROL RUBIALES- Quifa - CAÑO SUR: Rb 141, Puerto Gaitán, Meta, Colombia"/>
    <s v="Cliente, Vel Max 40 Km/h"/>
    <x v="1154"/>
    <d v="2026-06-01T22:31:14"/>
    <d v="1899-12-30T00:00:03"/>
    <n v="1.1712014675140381E-2"/>
    <s v="Uso del cinturón de seguridad (Velocidad máxima: 11 kmh Cinturón de seguridad del conductor (1. Desabrochado): 1.00)"/>
    <x v="78"/>
    <s v="Válido"/>
  </r>
  <r>
    <x v="13"/>
    <s v="Vehicle, Diesel, ECP 1107 Rubiales Serv. Integrales"/>
    <x v="2"/>
    <x v="2"/>
    <x v="2"/>
    <n v="0"/>
    <x v="9"/>
    <s v="ECOPETROL RUBIALES- Quifa - CAÑO SUR: Rb 141, Puerto Gaitán, Meta, Colombia"/>
    <s v="Cliente, Vel Max 40 Km/h"/>
    <x v="1155"/>
    <d v="2026-06-01T22:31:37"/>
    <d v="1899-12-30T00:00:13"/>
    <n v="3.853849321603775E-2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9"/>
    <s v="ECOPETROL RUBIALES- Quifa - CAÑO SUR: Rb 141, Puerto Gaitán, Meta, Colombia"/>
    <s v="Cliente, Vel Max 40 Km/h"/>
    <x v="1156"/>
    <d v="2026-06-01T22:34:06"/>
    <d v="1899-12-30T00:00:11"/>
    <n v="4.0298033505678177E-2"/>
    <s v="Uso del cinturón de seguridad (Velocidad máxima: 16 kmh Cinturón de seguridad del conductor (1. Desabrochado): 1.00)"/>
    <x v="85"/>
    <s v="Válido"/>
  </r>
  <r>
    <x v="13"/>
    <s v="Vehicle, Diesel, ECP 1107 Rubiales Serv. Integrales"/>
    <x v="2"/>
    <x v="2"/>
    <x v="2"/>
    <n v="0"/>
    <x v="1"/>
    <s v="ECOPETROL RUBIALES- Quifa - CAÑO SUR: Panadería Canaima, Puerto Gaitán, Meta, Colombia"/>
    <s v="Cliente, Vel Max 40 Km/h"/>
    <x v="1157"/>
    <d v="2026-06-01T22:34:37"/>
    <d v="1899-12-30T00:00:01"/>
    <n v="4.3194885365664959E-3"/>
    <s v="Frenado brusco (nuevo) (Clase de vehículo para métricas de seguridad: Otra clase (no estandarizada), Velocidad máxima: 17 kmh,  Ignición: 1)"/>
    <x v="195"/>
    <s v="Válido"/>
  </r>
  <r>
    <x v="13"/>
    <s v="Vehicle, Diesel, ECP 1107 Rubiales Serv. Integrales"/>
    <x v="2"/>
    <x v="2"/>
    <x v="2"/>
    <n v="0"/>
    <x v="9"/>
    <s v="ECOPETROL RUBIALES- Quifa - CAÑO SUR: Panadería Canaima, Puerto Gaitán, Meta, Colombia"/>
    <s v="Cliente, Vel Max 40 Km/h"/>
    <x v="1158"/>
    <d v="2026-06-01T22:37:22"/>
    <d v="1899-12-30T00:00:03"/>
    <n v="1.5611923299729824E-2"/>
    <s v="Uso del cinturón de seguridad (Velocidad máxima: 21 kmh Cinturón de seguridad del conductor (1. Desabrochado): 1.00)"/>
    <x v="65"/>
    <s v="Válido"/>
  </r>
  <r>
    <x v="13"/>
    <s v="Vehicle, Diesel, ECP 1107 Rubiales Serv. Integrales"/>
    <x v="2"/>
    <x v="2"/>
    <x v="2"/>
    <n v="0"/>
    <x v="13"/>
    <s v="ECOPETROL RUBIALES- Quifa - CAÑO SUR, VEREDA BUENOS AIRES"/>
    <s v="Cliente, Vel Max 40 Km/h, Vel Max 20 Km/h"/>
    <x v="1159"/>
    <d v="2026-06-01T22:37:42"/>
    <d v="1899-12-30T00:00:32"/>
    <n v="0.30360600352287292"/>
    <s v="Exceso Velocidad 20 Km/h (Velocidad máxima: 39 kmh)"/>
    <x v="164"/>
    <s v="Válido"/>
  </r>
  <r>
    <x v="13"/>
    <s v="Vehicle, Diesel, ECP 1107 Rubiales Serv. Integrales"/>
    <x v="2"/>
    <x v="2"/>
    <x v="2"/>
    <n v="0"/>
    <x v="13"/>
    <s v="ECOPETROL RUBIALES- Quifa - CAÑO SUR, VEREDA BUENOS AIRES: Panadería Canaima, Puerto Gaitán, Meta, Colombia"/>
    <s v="Cliente, Vel Max 40 Km/h, Vel Max 20 Km/h"/>
    <x v="1160"/>
    <d v="2026-06-01T22:38:20"/>
    <d v="1899-12-30T00:00:10"/>
    <n v="6.4194612205028534E-2"/>
    <s v="Exceso Velocidad 20 Km/h (Velocidad máxima: 26 kmh)"/>
    <x v="133"/>
    <s v="Válido"/>
  </r>
  <r>
    <x v="13"/>
    <s v="Vehicle, Diesel, ECP 1107 Rubiales Serv. Integrales"/>
    <x v="2"/>
    <x v="2"/>
    <x v="2"/>
    <n v="0"/>
    <x v="13"/>
    <s v="ECOPETROL RUBIALES- Quifa - CAÑO SUR, VEREDA BUENOS AIRES: Panadería Canaima, Puerto Gaitán, Meta, Colombia"/>
    <s v="Cliente, Vel Max 40 Km/h, Vel Max 20 Km/h"/>
    <x v="1161"/>
    <d v="2026-06-01T22:38:34"/>
    <d v="1899-12-30T00:00:03"/>
    <n v="1.4127574861049652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1162"/>
    <d v="2026-06-01T22:38:59"/>
    <d v="1899-12-30T00:00:23"/>
    <n v="0.15031565725803375"/>
    <s v="Exceso Velocidad 20 Km/h (Velocidad máxima: 28 kmh)"/>
    <x v="132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1163"/>
    <d v="2026-06-01T22:39:30"/>
    <d v="1899-12-30T00:00:04"/>
    <n v="2.2865964099764824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1164"/>
    <d v="2026-06-01T22:39:34"/>
    <d v="1899-12-30T00:00:52"/>
    <n v="0.31718382239341736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VEREDA BUENOS AIRES: Km. 169, Sector Buenos Aires, Escuela Nueva Rubiales, Puerto Gaitán, Meta, Colombia"/>
    <s v="Cliente, Vel Max 40 Km/h, Vel Max 20 Km/h"/>
    <x v="1165"/>
    <d v="2026-06-01T22:40:26"/>
    <d v="1899-12-30T00:00:36"/>
    <n v="0.22424770891666412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1166"/>
    <d v="2026-06-01T22:41:17"/>
    <d v="1899-12-30T00:00:04"/>
    <n v="2.4586236104369164E-2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VEREDA BUENOS AIRES: Rb 445 84 115 363, Puerto Gaitán, Meta, Colombia"/>
    <s v="Cliente, Vel Max 40 Km/h, Vel Max 20 Km/h"/>
    <x v="1167"/>
    <d v="2026-06-01T22:41:47"/>
    <d v="1899-12-30T00:00:02"/>
    <n v="1.2967753224074841E-2"/>
    <s v="Exceso Velocidad 20 Km/h (Velocidad máxima: 27 kmh)"/>
    <x v="196"/>
    <s v="Válido"/>
  </r>
  <r>
    <x v="13"/>
    <s v="Vehicle, Diesel, ECP 1107 Rubiales Serv. Integrales"/>
    <x v="2"/>
    <x v="2"/>
    <x v="2"/>
    <n v="0"/>
    <x v="9"/>
    <s v="ECOPETROL RUBIALES- Quifa - CAÑO SUR: Rb 233, Puerto Gaitán, Meta, Colombia"/>
    <s v="Cliente, Vel Max 40 Km/h"/>
    <x v="1168"/>
    <d v="2026-06-01T22:49:07"/>
    <d v="1899-12-30T00:00:38"/>
    <n v="0.1398601233959198"/>
    <s v="Uso del cinturón de seguridad (Velocidad máxima: 16 kmh Cinturón de seguridad del conductor (1. Desabrochado): 1.00)"/>
    <x v="85"/>
    <s v="Válido"/>
  </r>
  <r>
    <x v="13"/>
    <s v="Vehicle, Diesel, ECP 1107 Rubiales Serv. Integrales"/>
    <x v="2"/>
    <x v="2"/>
    <x v="2"/>
    <n v="0"/>
    <x v="9"/>
    <s v="ECOPETROL RUBIALES- Quifa - CAÑO SUR: Rb 233, Puerto Gaitán, Meta, Colombia"/>
    <s v="Cliente, Vel Max 40 Km/h"/>
    <x v="1169"/>
    <d v="2026-06-01T22:52:47"/>
    <d v="1899-12-30T00:00:04"/>
    <n v="1.0074814781546593E-2"/>
    <s v="Uso del cinturón de seguridad (Velocidad máxima: 11 kmh Cinturón de seguridad del conductor (1. Desabrochado): 1.00)"/>
    <x v="78"/>
    <s v="Válido"/>
  </r>
  <r>
    <x v="13"/>
    <s v="Vehicle, Diesel, ECP 1107 Rubiales Serv. Integrales"/>
    <x v="2"/>
    <x v="2"/>
    <x v="2"/>
    <n v="0"/>
    <x v="7"/>
    <s v="ECOPETROL RUBIALES- Quifa - CAÑO SUR: Rb 445, Puerto Gaitán, Meta, Colombia"/>
    <s v="Cliente, Vel Max 40 Km/h"/>
    <x v="1170"/>
    <d v="2026-06-01T22:55:27"/>
    <d v="1899-12-30T00:00:00"/>
    <n v="4.140219243708998E-5"/>
    <s v="Giro brusco (Velocidad máxima: 16 kmh Aceleración de lado a lado: -0.48 g-force, Ignición: 1.00)"/>
    <x v="197"/>
    <s v="Válido"/>
  </r>
  <r>
    <x v="13"/>
    <s v="Vehicle, Diesel, ECP 1107 Rubiales Serv. Integrales"/>
    <x v="2"/>
    <x v="2"/>
    <x v="2"/>
    <n v="0"/>
    <x v="7"/>
    <s v="ECOPETROL RUBIALES- Quifa - CAÑO SUR: Rb 445, Puerto Gaitán, Meta, Colombia"/>
    <s v="Cliente, Vel Max 40 Km/h"/>
    <x v="1171"/>
    <d v="2026-06-01T22:55:43"/>
    <d v="1899-12-30T00:00:00"/>
    <n v="3.6549411015585065E-4"/>
    <s v="Giro brusco (Velocidad máxima: 15 kmh Aceleración de lado a lado: -0.56 g-force, Ignición: 1.00)"/>
    <x v="61"/>
    <s v="Válido"/>
  </r>
  <r>
    <x v="13"/>
    <s v="Vehicle, Diesel, ECP 1107 Rubiales Serv. Integrales"/>
    <x v="2"/>
    <x v="2"/>
    <x v="2"/>
    <n v="0"/>
    <x v="7"/>
    <s v="ECOPETROL RUBIALES- Quifa - CAÑO SUR: Rb 445, Puerto Gaitán, Meta, Colombia"/>
    <s v="Cliente, Vel Max 40 Km/h"/>
    <x v="1172"/>
    <d v="2026-06-01T22:57:53"/>
    <d v="1899-12-30T00:00:00"/>
    <n v="1.9778500427491963E-4"/>
    <s v="Giro brusco (Velocidad máxima: 12 kmh Aceleración de lado a lado: 0.55 g-force, Ignición: 1.00)"/>
    <x v="198"/>
    <s v="Válido"/>
  </r>
  <r>
    <x v="13"/>
    <s v="Vehicle, Diesel, ECP 1107 Rubiales Serv. Integrales"/>
    <x v="2"/>
    <x v="2"/>
    <x v="2"/>
    <n v="0"/>
    <x v="7"/>
    <s v="ECOPETROL RUBIALES- Quifa - CAÑO SUR: Rb 445, Puerto Gaitán, Meta, Colombia"/>
    <s v="Cliente, Vel Max 40 Km/h"/>
    <x v="702"/>
    <d v="2026-06-01T22:57:54"/>
    <d v="1899-12-30T00:00:00"/>
    <n v="1.3640346878673881E-5"/>
    <s v="Giro brusco (Velocidad máxima: 13 kmh Aceleración de lado a lado: 0.47 g-force, Ignición: 1.00)"/>
    <x v="57"/>
    <s v="Válido"/>
  </r>
  <r>
    <x v="13"/>
    <s v="Vehicle, Diesel, ECP 1107 Rubiales Serv. Integrales"/>
    <x v="2"/>
    <x v="2"/>
    <x v="2"/>
    <n v="0"/>
    <x v="10"/>
    <s v="ECOPETROL RUBIALES- Quifa - CAÑO SUR: Rb 84 115 363, Puerto Gaitán, Meta, Colombia"/>
    <s v="Cliente, Vel Max 40 Km/h"/>
    <x v="1173"/>
    <d v="2026-06-01T22:59:23"/>
    <d v="1899-12-30T00:00:03"/>
    <n v="3.2768778502941132E-2"/>
    <s v="Exceso Velocidad 40 Km/h (Velocidad máxima: 41 kmh)"/>
    <x v="47"/>
    <s v="Válido"/>
  </r>
  <r>
    <x v="13"/>
    <s v="Vehicle, Diesel, ECP 1107 Rubiales Serv. Integrales"/>
    <x v="2"/>
    <x v="2"/>
    <x v="2"/>
    <n v="0"/>
    <x v="9"/>
    <s v="ECOPETROL RUBIALES- Quifa - CAÑO SUR: Rb 84, Puerto Gaitán, Meta, Colombia"/>
    <s v="Cliente, Vel Max 40 Km/h"/>
    <x v="1174"/>
    <d v="2026-06-01T23:06:12"/>
    <d v="1899-12-30T00:00:17"/>
    <n v="5.4308995604515076E-2"/>
    <s v="Uso del cinturón de seguridad (Velocidad máxima: 16 kmh Cinturón de seguridad del conductor (1. Desabrochado): 1.00)"/>
    <x v="85"/>
    <s v="Válido"/>
  </r>
  <r>
    <x v="13"/>
    <s v="Vehicle, Diesel, ECP 1107 Rubiales Serv. Integrales"/>
    <x v="2"/>
    <x v="2"/>
    <x v="2"/>
    <n v="0"/>
    <x v="9"/>
    <s v="ECOPETROL RUBIALES- Quifa - CAÑO SUR: Rb 84, Puerto Gaitán, Meta, Colombia"/>
    <s v="Cliente, Vel Max 40 Km/h"/>
    <x v="1175"/>
    <d v="2026-06-01T23:06:45"/>
    <d v="1899-12-30T00:00:12"/>
    <n v="3.7787530571222305E-2"/>
    <s v="Uso del cinturón de seguridad (Velocidad máxima: 17 kmh Cinturón de seguridad del conductor (1. Desabrochado): 1.00)"/>
    <x v="199"/>
    <s v="Válido"/>
  </r>
  <r>
    <x v="13"/>
    <s v="Vehicle, Diesel, ECP 1107 Rubiales Serv. Integrales"/>
    <x v="2"/>
    <x v="2"/>
    <x v="2"/>
    <n v="0"/>
    <x v="9"/>
    <s v="ECOPETROL RUBIALES- Quifa - CAÑO SUR: Rb 84, Puerto Gaitán, Meta, Colombia"/>
    <s v="Cliente, Vel Max 40 Km/h"/>
    <x v="1176"/>
    <d v="2026-06-01T23:06:58"/>
    <d v="1899-12-30T00:00:02"/>
    <n v="6.3974820077419281E-3"/>
    <s v="Uso del cinturón de seguridad (Velocidad máxima: 13 kmh Cinturón de seguridad del conductor (1. Desabrochado): 1.00)"/>
    <x v="64"/>
    <s v="Válido"/>
  </r>
  <r>
    <x v="13"/>
    <s v="Vehicle, Diesel, ECP 1107 Rubiales Serv. Integrales"/>
    <x v="2"/>
    <x v="2"/>
    <x v="2"/>
    <n v="0"/>
    <x v="9"/>
    <s v="ECOPETROL RUBIALES- Quifa - CAÑO SUR: Rb 84, Puerto Gaitán, Meta, Colombia"/>
    <s v="Cliente, Vel Max 40 Km/h"/>
    <x v="1177"/>
    <d v="2026-06-01T23:09:29"/>
    <d v="1899-12-30T00:00:14"/>
    <n v="6.4287394285202026E-2"/>
    <s v="Uso del cinturón de seguridad (Velocidad máxima: 22 kmh Cinturón de seguridad del conductor (1. Desabrochado): 1.00)"/>
    <x v="83"/>
    <s v="Válido"/>
  </r>
  <r>
    <x v="13"/>
    <s v="Vehicle, Diesel, ECP 1107 Rubiales Serv. Integrales"/>
    <x v="2"/>
    <x v="2"/>
    <x v="2"/>
    <n v="0"/>
    <x v="9"/>
    <s v="ECOPETROL RUBIALES- Quifa - CAÑO SUR: Rb 115, Puerto Gaitán, Meta, Colombia"/>
    <s v="Cliente, Vel Max 40 Km/h"/>
    <x v="1178"/>
    <d v="2026-06-01T23:24:12"/>
    <d v="1899-12-30T00:00:08"/>
    <n v="2.0831955596804619E-2"/>
    <s v="Uso del cinturón de seguridad (Velocidad máxima: 11 kmh Cinturón de seguridad del conductor (1. Desabrochado): 1.00)"/>
    <x v="78"/>
    <s v="Válido"/>
  </r>
  <r>
    <x v="13"/>
    <s v="Vehicle, Diesel, ECP 1107 Rubiales Serv. Integrales"/>
    <x v="2"/>
    <x v="2"/>
    <x v="2"/>
    <n v="0"/>
    <x v="9"/>
    <s v="ECOPETROL RUBIALES- Quifa - CAÑO SUR: Rb 115, Puerto Gaitán, Meta, Colombia"/>
    <s v="Cliente, Vel Max 40 Km/h"/>
    <x v="1179"/>
    <d v="2026-06-01T23:24:45"/>
    <d v="1899-12-30T00:00:06"/>
    <n v="1.831904798746109E-2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9"/>
    <s v="ECOPETROL RUBIALES- Quifa - CAÑO SUR: Rb 115, Puerto Gaitán, Meta, Colombia"/>
    <s v="Cliente, Vel Max 40 Km/h"/>
    <x v="1180"/>
    <d v="2026-06-01T23:25:04"/>
    <d v="1899-12-30T00:00:04"/>
    <n v="1.1764995753765106E-2"/>
    <s v="Uso del cinturón de seguridad (Velocidad máxima: 12 kmh Cinturón de seguridad del conductor (1. Desabrochado): 1.00)"/>
    <x v="63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1181"/>
    <d v="2026-06-01T23:33:33"/>
    <d v="1899-12-30T00:00:31"/>
    <n v="0.24730139970779419"/>
    <s v="Exceso Velocidad 20 Km/h (Velocidad máxima: 35 kmh)"/>
    <x v="179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1182"/>
    <d v="2026-06-01T23:34:07"/>
    <d v="1899-12-30T00:00:09"/>
    <n v="5.4605327546596527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1183"/>
    <d v="2026-06-01T23:34:33"/>
    <d v="1899-12-30T00:00:19"/>
    <n v="0.11526836454868317"/>
    <s v="Exceso Velocidad 20 Km/h (Velocidad máxima: 24 kmh)"/>
    <x v="150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1184"/>
    <d v="2026-06-01T23:34:52"/>
    <d v="1899-12-30T00:00:15"/>
    <n v="8.6414255201816559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1185"/>
    <d v="2026-06-01T23:35:23"/>
    <d v="1899-12-30T00:00:14"/>
    <n v="7.9363599419593811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1186"/>
    <d v="2026-06-01T23:36:19"/>
    <d v="1899-12-30T00:00:10"/>
    <n v="8.0878995358943939E-2"/>
    <s v="Exceso Velocidad 20 Km/h (Velocidad máxima: 29 kmh)"/>
    <x v="177"/>
    <s v="Válido"/>
  </r>
  <r>
    <x v="13"/>
    <s v="Vehicle, Diesel, ECP 1107 Rubiales Serv. Integrales"/>
    <x v="2"/>
    <x v="2"/>
    <x v="2"/>
    <n v="0"/>
    <x v="9"/>
    <s v="ECOPETROL RUBIALES- Quifa - CAÑO SUR: Resguardo Indígena, Puerto Gaitán, Meta, Colombia"/>
    <s v="Cliente, Vel Max 40 Km/h"/>
    <x v="1187"/>
    <d v="2026-06-01T23:51:41"/>
    <d v="1899-12-30T00:00:32"/>
    <n v="0.15915125608444214"/>
    <s v="Uso del cinturón de seguridad (Velocidad máxima: 33 kmh Cinturón de seguridad del conductor (1. Desabrochado): 1.00)"/>
    <x v="69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1188"/>
    <d v="2026-06-01T23:58:16"/>
    <d v="1899-12-30T00:00:11"/>
    <n v="8.307231217622757E-2"/>
    <s v="Exceso Velocidad 20 Km/h (Velocidad máxima: 31 kmh)"/>
    <x v="151"/>
    <s v="Válido"/>
  </r>
  <r>
    <x v="13"/>
    <s v="Vehicle, Diesel, ECP 1107 Rubiales Serv. Integrales"/>
    <x v="2"/>
    <x v="2"/>
    <x v="2"/>
    <n v="0"/>
    <x v="13"/>
    <s v="ECOPETROL RUBIALES- Quifa - CAÑO SUR, VEREDA PORVENIR: Resguardo Indígena, Puerto Gaitán, Meta, Colombia"/>
    <s v="Cliente, Vel Max 40 Km/h, Vel Max 20 Km/h"/>
    <x v="1189"/>
    <d v="2026-06-01T23:58:46"/>
    <d v="1899-12-30T00:00:03"/>
    <n v="1.5514397993683815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1190"/>
    <d v="2026-06-01T23:59:20"/>
    <d v="1899-12-30T00:00:04"/>
    <n v="2.0741015672683716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1191"/>
    <d v="2026-06-01T23:59:30"/>
    <d v="1899-12-30T00:00:07"/>
    <n v="3.7659447640180588E-2"/>
    <s v="Exceso Velocidad 20 Km/h (Velocidad máxima: 22 kmh)"/>
    <x v="149"/>
    <s v="Válido"/>
  </r>
  <r>
    <x v="13"/>
    <s v="Vehicle, Diesel, ECP 1107 Rubiales Serv. Integrales"/>
    <x v="2"/>
    <x v="2"/>
    <x v="2"/>
    <n v="0"/>
    <x v="13"/>
    <s v="ECOPETROL RUBIALES- Quifa - CAÑO SUR, VEREDA PORVENIR: 67MCQJ8P+7H, El Porvenir, Puerto Gaitán, Meta, Colombia"/>
    <s v="Cliente, Vel Max 40 Km/h, Vel Max 20 Km/h"/>
    <x v="1192"/>
    <d v="2026-06-01T23:59:49"/>
    <d v="1899-12-30T00:00:23"/>
    <n v="0.1465701162815094"/>
    <s v="Exceso Velocidad 20 Km/h (Velocidad máxima: 26 kmh)"/>
    <x v="133"/>
    <s v="Válido"/>
  </r>
  <r>
    <x v="14"/>
    <s v="Vehicle, Diesel, Frontera Energy Col 2679"/>
    <x v="5"/>
    <x v="5"/>
    <x v="5"/>
    <s v="Rubiales"/>
    <x v="11"/>
    <s v="ECOPETROL RUBIALES- Quifa - CAÑO SUR, Puerto Triunfo - Estacion Policia: vereda puerto triunfo Km 129+300 vía rubiales, Puerto Gaitán, Meta, Colombia"/>
    <s v="Cliente, Vel Max 40 Km/h, Vel Max 30 Km/h"/>
    <x v="1193"/>
    <d v="2026-06-01T05:56:22"/>
    <d v="1899-12-30T00:00:02"/>
    <n v="1.3185929507017136E-2"/>
    <s v="Exceso Velocidad 30 Km/h (Velocidad máxima: 31 kmh)"/>
    <x v="49"/>
    <s v="Válido"/>
  </r>
  <r>
    <x v="14"/>
    <s v="Vehicle, Diesel, Frontera Energy Col 2679"/>
    <x v="5"/>
    <x v="5"/>
    <x v="5"/>
    <s v="Rubiales"/>
    <x v="11"/>
    <s v="ECOPETROL RUBIALES- Quifa - CAÑO SUR, Puerto Triunfo - Estacion Policia: Puerto Gaitan - Rubiales, Puerto Gaitán, Meta, Colombia"/>
    <s v="Cliente, Vel Max 40 Km/h, Vel Max 30 Km/h"/>
    <x v="1194"/>
    <d v="2026-06-01T06:01:09"/>
    <d v="1899-12-30T00:00:19"/>
    <n v="0.17245160043239594"/>
    <s v="Exceso Velocidad 30 Km/h (Velocidad máxima: 35 kmh)"/>
    <x v="59"/>
    <s v="Válido"/>
  </r>
  <r>
    <x v="14"/>
    <s v="Vehicle, Diesel, Frontera Energy Col 2679"/>
    <x v="5"/>
    <x v="5"/>
    <x v="5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195"/>
    <d v="2026-06-01T06:01:51"/>
    <d v="1899-12-30T00:00:30"/>
    <n v="0.18272776901721954"/>
    <s v="Exceso Velocidad 10 Km/h (Velocidad máxima: 26 kmh)"/>
    <x v="42"/>
    <s v="Válido"/>
  </r>
  <r>
    <x v="14"/>
    <s v="Vehicle, Diesel, Frontera Energy Col 2679"/>
    <x v="5"/>
    <x v="5"/>
    <x v="5"/>
    <s v="Rubiales"/>
    <x v="11"/>
    <s v="ECOPETROL RUBIALES- Quifa - CAÑO SUR, Puerto Triunfo - Estacion Policia: Puerto Gaitan - Rubiales, Puerto Gaitán, Meta, Colombia"/>
    <s v="Cliente, Vel Max 40 Km/h, Vel Max 30 Km/h"/>
    <x v="1196"/>
    <d v="2026-06-01T06:04:11"/>
    <d v="1899-12-30T00:00:18"/>
    <n v="0.16029195487499237"/>
    <s v="Exceso Velocidad 30 Km/h (Velocidad máxima: 31 kmh)"/>
    <x v="49"/>
    <s v="Válido"/>
  </r>
  <r>
    <x v="14"/>
    <s v="Vehicle, Diesel, Frontera Energy Col 2679"/>
    <x v="5"/>
    <x v="5"/>
    <x v="5"/>
    <s v="Rubiales"/>
    <x v="4"/>
    <s v="CAMPAMENTO QUIFA, ECOPETROL RUBIALES- Quifa - CAÑO SUR, Campamento Quifa - CMA: Ent. CAMPAMENTO, Puerto Gaitán, Meta, Colombia"/>
    <s v="Vel Max 10 Km/h, Cliente, Vel Max 40 Km/h"/>
    <x v="1197"/>
    <d v="2026-06-01T06:05:51"/>
    <d v="1899-12-30T00:00:22"/>
    <n v="5.8944858610630035E-2"/>
    <s v="Exceso Velocidad 10 Km/h (Velocidad máxima: 11 kmh)"/>
    <x v="31"/>
    <s v="Válido"/>
  </r>
  <r>
    <x v="14"/>
    <s v="Vehicle, Diesel, Frontera Energy Col 2679"/>
    <x v="5"/>
    <x v="5"/>
    <x v="5"/>
    <s v="Rubiales"/>
    <x v="4"/>
    <s v="CAMPAMENTO QUIFA, ECOPETROL RUBIALES- Quifa - CAÑO SUR, Campamento Quifa - CMA: Ent. CAMPAMENTO, Puerto Gaitán, Meta, Colombia"/>
    <s v="Vel Max 10 Km/h, Cliente, Vel Max 40 Km/h"/>
    <x v="1198"/>
    <d v="2026-06-01T06:07:00"/>
    <d v="1899-12-30T00:00:04"/>
    <n v="9.2681925743818283E-3"/>
    <s v="Exceso Velocidad 10 Km/h (Velocidad máxima: 11 kmh)"/>
    <x v="31"/>
    <s v="Válido"/>
  </r>
  <r>
    <x v="14"/>
    <s v="Vehicle, Diesel, Frontera Energy Col 2679"/>
    <x v="5"/>
    <x v="5"/>
    <x v="5"/>
    <s v="Rubiales"/>
    <x v="0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199"/>
    <d v="2026-06-01T06:32:16"/>
    <d v="1899-12-30T00:19:49"/>
    <n v="0"/>
    <s v="Tiempo en ralentí (Ignición: 1.00)"/>
    <x v="0"/>
    <s v="Válido"/>
  </r>
  <r>
    <x v="14"/>
    <s v="Vehicle, Diesel, Frontera Energy Col 2679"/>
    <x v="5"/>
    <x v="5"/>
    <x v="5"/>
    <s v="Rubiales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200"/>
    <d v="2026-06-01T06:53:28"/>
    <d v="1899-12-30T00:00:05"/>
    <n v="1.5454188920557499E-2"/>
    <s v="Exceso Velocidad 10 Km/h (Velocidad máxima: 11 kmh)"/>
    <x v="31"/>
    <s v="Válido"/>
  </r>
  <r>
    <x v="14"/>
    <s v="Vehicle, Diesel, Frontera Energy Col 2679"/>
    <x v="5"/>
    <x v="5"/>
    <x v="5"/>
    <s v="Rubiales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1201"/>
    <d v="2026-06-01T06:53:40"/>
    <d v="1899-12-30T00:00:15"/>
    <n v="5.6862637400627136E-2"/>
    <s v="Exceso Velocidad 10 Km/h (Velocidad máxima: 16 kmh)"/>
    <x v="32"/>
    <s v="Válido"/>
  </r>
  <r>
    <x v="14"/>
    <s v="Vehicle, Diesel, Frontera Energy Col 2679"/>
    <x v="5"/>
    <x v="5"/>
    <x v="5"/>
    <s v="Rubiales"/>
    <x v="4"/>
    <s v="CAMPAMENTO QUIFA, ECOPETROL RUBIALES- Quifa - CAÑO SUR, Puerto Triunfo - Estacion Policia: Puerto Gaitan - Rubiales, Puerto Gaitán, Meta, Colombia"/>
    <s v="Vel Max 10 Km/h, Cliente, Vel Max 40 Km/h, Vel Max 30 Km/h"/>
    <x v="1202"/>
    <d v="2026-06-01T06:53:55"/>
    <d v="1899-12-30T00:00:09"/>
    <n v="4.2648885399103165E-2"/>
    <s v="Exceso Velocidad 10 Km/h (Velocidad máxima: 18 kmh)"/>
    <x v="39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Puerto Gaitán, Meta, Colombia"/>
    <s v="Cliente, Vel Max 40 Km/h, Vel Max 10 Km/h"/>
    <x v="1203"/>
    <d v="2026-06-01T07:37:16"/>
    <d v="1899-12-30T00:00:30"/>
    <n v="8.363698422908783E-2"/>
    <s v="Exceso Velocidad 10 Km/h (Velocidad máxima: 11 kmh)"/>
    <x v="31"/>
    <s v="Válido"/>
  </r>
  <r>
    <x v="14"/>
    <s v="Vehicle, Diesel, Frontera Energy Col 2679"/>
    <x v="5"/>
    <x v="5"/>
    <x v="5"/>
    <s v="Rubiales"/>
    <x v="4"/>
    <s v="ECOPETROL RUBIALES- Quifa - CAÑO SUR, BATERIA 4: Rb 4, Puerto Gaitán, Meta, Colombia"/>
    <s v="Cliente, Vel Max 40 Km/h, Vel Max 10 Km/h"/>
    <x v="1204"/>
    <d v="2026-06-01T09:00:33"/>
    <d v="1899-12-30T00:00:49"/>
    <n v="0.14740543067455292"/>
    <s v="Exceso Velocidad 10 Km/h (Velocidad máxima: 14 kmh)"/>
    <x v="10"/>
    <s v="Válido"/>
  </r>
  <r>
    <x v="14"/>
    <s v="Vehicle, Diesel, Frontera Energy Col 2679"/>
    <x v="5"/>
    <x v="5"/>
    <x v="5"/>
    <s v="Rubiales"/>
    <x v="4"/>
    <s v="ECOPETROL RUBIALES- Quifa - CAÑO SUR, BATERIA 4: Rb 4, Puerto Gaitán, Meta, Colombia"/>
    <s v="Cliente, Vel Max 40 Km/h, Vel Max 10 Km/h"/>
    <x v="1205"/>
    <d v="2026-06-01T09:02:21"/>
    <d v="1899-12-30T00:00:11"/>
    <n v="2.6797110214829445E-2"/>
    <s v="Exceso Velocidad 10 Km/h (Velocidad máxima: 11 kmh)"/>
    <x v="31"/>
    <s v="Válido"/>
  </r>
  <r>
    <x v="14"/>
    <s v="Vehicle, Diesel, Frontera Energy Col 2679"/>
    <x v="5"/>
    <x v="5"/>
    <x v="5"/>
    <s v="Rubiales"/>
    <x v="4"/>
    <s v="ECOPETROL RUBIALES- Quifa - CAÑO SUR, BATERIA 4: Vía Sin Nombre, Puerto Gaitán, Meta, Colombia"/>
    <s v="Cliente, Vel Max 40 Km/h, Vel Max 10 Km/h"/>
    <x v="1206"/>
    <d v="2026-06-01T09:26:26"/>
    <d v="1899-12-30T00:00:08"/>
    <n v="2.1919699385762215E-2"/>
    <s v="Exceso Velocidad 10 Km/h (Velocidad máxima: 12 kmh)"/>
    <x v="33"/>
    <s v="Válido"/>
  </r>
  <r>
    <x v="14"/>
    <s v="Vehicle, Diesel, Frontera Energy Col 2679"/>
    <x v="5"/>
    <x v="5"/>
    <x v="5"/>
    <s v="Rubiales"/>
    <x v="4"/>
    <s v="ECOPETROL RUBIALES- Quifa - CAÑO SUR, BATERIA 4: Rb 4, Puerto Gaitán, Meta, Colombia"/>
    <s v="Cliente, Vel Max 40 Km/h, Vel Max 10 Km/h"/>
    <x v="1207"/>
    <d v="2026-06-01T09:26:57"/>
    <d v="1899-12-30T00:00:14"/>
    <n v="4.110327735543251E-2"/>
    <s v="Exceso Velocidad 10 Km/h (Velocidad máxima: 11 kmh)"/>
    <x v="31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Meta, 502057, Colombia"/>
    <s v="Cliente, Vel Max 40 Km/h, Vel Max 10 Km/h"/>
    <x v="1208"/>
    <d v="2026-06-01T09:27:57"/>
    <d v="1899-12-30T00:00:12"/>
    <n v="3.0592670664191246E-2"/>
    <s v="Exceso Velocidad 10 Km/h (Velocidad máxima: 11 kmh)"/>
    <x v="31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Meta, 502057, Colombia"/>
    <s v="Cliente, Vel Max 40 Km/h, Vel Max 10 Km/h"/>
    <x v="1209"/>
    <d v="2026-06-01T15:12:18"/>
    <d v="1899-12-30T00:01:19"/>
    <n v="0.2611420750617981"/>
    <s v="Exceso Velocidad 10 Km/h (Velocidad máxima: 16 kmh)"/>
    <x v="32"/>
    <s v="Válido"/>
  </r>
  <r>
    <x v="14"/>
    <s v="Vehicle, Diesel, Frontera Energy Col 2679"/>
    <x v="5"/>
    <x v="5"/>
    <x v="5"/>
    <s v="Rubiales"/>
    <x v="4"/>
    <s v="ECOPETROL RUBIALES- Quifa - CAÑO SUR, BATERIA 4: Rb 4, Puerto Gaitán, Meta, Colombia"/>
    <s v="Cliente, Vel Max 40 Km/h, Vel Max 10 Km/h"/>
    <x v="1210"/>
    <d v="2026-06-01T15:13:37"/>
    <d v="1899-12-30T00:00:17"/>
    <n v="5.2732914686203003E-2"/>
    <s v="Exceso Velocidad 10 Km/h (Velocidad máxima: 13 kmh)"/>
    <x v="34"/>
    <s v="Válido"/>
  </r>
  <r>
    <x v="14"/>
    <s v="Vehicle, Diesel, Frontera Energy Col 2679"/>
    <x v="5"/>
    <x v="5"/>
    <x v="5"/>
    <s v="Rubiales"/>
    <x v="4"/>
    <s v="ECOPETROL RUBIALES- Quifa - CAÑO SUR, BATERIA 4: Vía Sin Nombre, Puerto Gaitán, Meta, Colombia"/>
    <s v="Cliente, Vel Max 40 Km/h, Vel Max 10 Km/h"/>
    <x v="1211"/>
    <d v="2026-06-01T15:13:54"/>
    <d v="1899-12-30T00:01:00"/>
    <n v="0.18503116071224213"/>
    <s v="Exceso Velocidad 10 Km/h (Velocidad máxima: 13 kmh)"/>
    <x v="34"/>
    <s v="Válido"/>
  </r>
  <r>
    <x v="14"/>
    <s v="Vehicle, Diesel, Frontera Energy Col 2679"/>
    <x v="5"/>
    <x v="5"/>
    <x v="5"/>
    <s v="Rubiales"/>
    <x v="4"/>
    <s v="ECOPETROL RUBIALES- Quifa - CAÑO SUR, BATERIA 4: Vía Sin Nombre, Puerto Gaitán, Meta, Colombia"/>
    <s v="Cliente, Vel Max 40 Km/h, Vel Max 10 Km/h"/>
    <x v="1212"/>
    <d v="2026-06-01T15:29:54"/>
    <d v="1899-12-30T00:01:29"/>
    <n v="0.29461216926574707"/>
    <s v="Exceso Velocidad 10 Km/h (Velocidad máxima: 12 kmh)"/>
    <x v="33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Puerto Gaitán, Meta, Colombia"/>
    <s v="Cliente, Vel Max 40 Km/h, Vel Max 10 Km/h"/>
    <x v="1213"/>
    <d v="2026-06-01T15:31:47"/>
    <d v="1899-12-30T00:00:54"/>
    <n v="0.15654397010803223"/>
    <s v="Exceso Velocidad 10 Km/h (Velocidad máxima: 12 kmh)"/>
    <x v="33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Meta, 502057, Colombia"/>
    <s v="Cliente, Vel Max 40 Km/h, Vel Max 10 Km/h"/>
    <x v="1214"/>
    <d v="2026-06-01T15:33:01"/>
    <d v="1899-12-30T00:01:39"/>
    <n v="0.31294152140617371"/>
    <s v="Exceso Velocidad 10 Km/h (Velocidad máxima: 13 kmh)"/>
    <x v="34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Meta, 502057, Colombia"/>
    <s v="Cliente, Vel Max 40 Km/h, Vel Max 10 Km/h"/>
    <x v="1215"/>
    <d v="2026-06-01T15:35:54"/>
    <d v="1899-12-30T00:00:23"/>
    <n v="6.9224238395690918E-2"/>
    <s v="Exceso Velocidad 10 Km/h (Velocidad máxima: 12 kmh)"/>
    <x v="33"/>
    <s v="Válido"/>
  </r>
  <r>
    <x v="14"/>
    <s v="Vehicle, Diesel, Frontera Energy Col 2679"/>
    <x v="5"/>
    <x v="5"/>
    <x v="5"/>
    <s v="Rubiales"/>
    <x v="0"/>
    <s v="ECOPETROL RUBIALES- Quifa - CAÑO SUR, BATERIA 4: Rb 4 324 126 129 195 14 325 316 143 217 1 26 523 256 28, Meta, 502057, Colombia"/>
    <s v="Cliente, Vel Max 40 Km/h, Vel Max 10 Km/h"/>
    <x v="1216"/>
    <d v="2026-06-01T15:36:23"/>
    <d v="1899-12-30T00:05:03"/>
    <n v="0"/>
    <s v="Tiempo en ralentí (Ignición: 1.00)"/>
    <x v="0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Puerto Gaitán, Meta, Colombia"/>
    <s v="Cliente, Vel Max 40 Km/h, Vel Max 10 Km/h"/>
    <x v="1217"/>
    <d v="2026-06-01T15:43:35"/>
    <d v="1899-12-30T00:00:13"/>
    <n v="3.7647653371095657E-2"/>
    <s v="Exceso Velocidad 10 Km/h (Velocidad máxima: 13 kmh)"/>
    <x v="34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Meta, 502057, Colombia"/>
    <s v="Cliente, Vel Max 40 Km/h, Vel Max 10 Km/h"/>
    <x v="1218"/>
    <d v="2026-06-01T15:44:35"/>
    <d v="1899-12-30T00:00:22"/>
    <n v="6.4180813729763031E-2"/>
    <s v="Exceso Velocidad 10 Km/h (Velocidad máxima: 12 kmh)"/>
    <x v="33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Puerto Gaitán, Meta, Colombia"/>
    <s v="Cliente, Vel Max 40 Km/h, Vel Max 10 Km/h"/>
    <x v="1219"/>
    <d v="2026-06-01T15:45:09"/>
    <d v="1899-12-30T00:00:36"/>
    <n v="0.10307075083255768"/>
    <s v="Exceso Velocidad 10 Km/h (Velocidad máxima: 13 kmh)"/>
    <x v="34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Meta, 502057, Colombia"/>
    <s v="Cliente, Vel Max 40 Km/h, Vel Max 10 Km/h"/>
    <x v="1220"/>
    <d v="2026-06-01T15:45:59"/>
    <d v="1899-12-30T00:00:07"/>
    <n v="2.0032715052366257E-2"/>
    <s v="Exceso Velocidad 10 Km/h (Velocidad máxima: 11 kmh)"/>
    <x v="31"/>
    <s v="Válido"/>
  </r>
  <r>
    <x v="14"/>
    <s v="Vehicle, Diesel, Frontera Energy Col 2679"/>
    <x v="5"/>
    <x v="5"/>
    <x v="5"/>
    <s v="Rubiales"/>
    <x v="4"/>
    <s v="ECOPETROL RUBIALES- Quifa - CAÑO SUR, BATERIA 4: Rb 4 324 126 129 195 14 325 316 143 217 1 26 523 256 28, Puerto Gaitán, Meta, Colombia"/>
    <s v="Cliente, Vel Max 40 Km/h, Vel Max 10 Km/h"/>
    <x v="1221"/>
    <d v="2026-06-01T15:46:32"/>
    <d v="1899-12-30T00:00:43"/>
    <n v="0.13411055505275726"/>
    <s v="Exceso Velocidad 10 Km/h (Velocidad máxima: 13 kmh)"/>
    <x v="34"/>
    <s v="Válido"/>
  </r>
  <r>
    <x v="14"/>
    <s v="Vehicle, Diesel, Frontera Energy Col 2679"/>
    <x v="5"/>
    <x v="5"/>
    <x v="5"/>
    <s v="Rubiales"/>
    <x v="4"/>
    <s v="ECOPETROL RUBIALES- Quifa - CAÑO SUR, BATERIA 4: Rb 4, Puerto Gaitán, Meta, Colombia"/>
    <s v="Cliente, Vel Max 40 Km/h, Vel Max 10 Km/h"/>
    <x v="1222"/>
    <d v="2026-06-01T15:47:15"/>
    <d v="1899-12-30T00:00:56"/>
    <n v="0.17934346199035645"/>
    <s v="Exceso Velocidad 10 Km/h (Velocidad máxima: 12 kmh)"/>
    <x v="33"/>
    <s v="Válido"/>
  </r>
  <r>
    <x v="14"/>
    <s v="Vehicle, Diesel, Frontera Energy Col 2679"/>
    <x v="5"/>
    <x v="5"/>
    <x v="5"/>
    <s v="Rubiales"/>
    <x v="4"/>
    <s v="ECOPETROL RUBIALES- Quifa - CAÑO SUR, BATERIA 4: Rb 4, Puerto Gaitán, Meta, Colombia"/>
    <s v="Cliente, Vel Max 40 Km/h, Vel Max 10 Km/h"/>
    <x v="1223"/>
    <d v="2026-06-01T15:48:29"/>
    <d v="1899-12-30T00:00:16"/>
    <n v="4.0022648870944977E-2"/>
    <s v="Exceso Velocidad 10 Km/h (Velocidad máxima: 12 kmh)"/>
    <x v="33"/>
    <s v="Válido"/>
  </r>
  <r>
    <x v="14"/>
    <s v="Vehicle, Diesel, Frontera Energy Col 2679"/>
    <x v="5"/>
    <x v="5"/>
    <x v="5"/>
    <s v="Rubiales"/>
    <x v="0"/>
    <s v="ECOPETROL RUBIALES- Quifa - CAÑO SUR, BATERIA 4: Rb 4, Puerto Gaitán, Meta, Colombia"/>
    <s v="Cliente, Vel Max 40 Km/h, Vel Max 10 Km/h"/>
    <x v="1224"/>
    <d v="2026-06-01T16:07:54"/>
    <d v="1899-12-30T00:10:59"/>
    <n v="9.1441059485077858E-3"/>
    <s v="Tiempo en ralentí (Ignición: 1.00)"/>
    <x v="0"/>
    <s v="Válido"/>
  </r>
  <r>
    <x v="14"/>
    <s v="Vehicle, Diesel, Frontera Energy Col 2679"/>
    <x v="5"/>
    <x v="5"/>
    <x v="5"/>
    <s v="Rubiales"/>
    <x v="4"/>
    <s v="ECOPETROL RUBIALES- Quifa - CAÑO SUR, BATERIA 4: Rb 4, Puerto Gaitán, Meta, Colombia"/>
    <s v="Cliente, Vel Max 40 Km/h, Vel Max 10 Km/h"/>
    <x v="1225"/>
    <d v="2026-06-01T16:23:01"/>
    <d v="1899-12-30T00:01:07"/>
    <n v="0.22681073844432831"/>
    <s v="Exceso Velocidad 10 Km/h (Velocidad máxima: 13 kmh)"/>
    <x v="34"/>
    <s v="Válido"/>
  </r>
  <r>
    <x v="14"/>
    <s v="Vehicle, Diesel, Frontera Energy Col 2679"/>
    <x v="5"/>
    <x v="5"/>
    <x v="5"/>
    <s v="Rubiales"/>
    <x v="0"/>
    <s v="ECOPETROL RUBIALES- Quifa - CAÑO SUR: Puerto Gaitan - Rubiales, Puerto Gaitán, Meta, Colombia"/>
    <s v="Cliente, Vel Max 40 Km/h"/>
    <x v="1226"/>
    <d v="2026-06-01T16:52:20"/>
    <d v="1899-12-30T00:06:37"/>
    <n v="0"/>
    <s v="Tiempo en ralentí (Ignición: 1.00)"/>
    <x v="0"/>
    <s v="Válido"/>
  </r>
  <r>
    <x v="14"/>
    <s v="Vehicle, Diesel, Frontera Energy Col 2679"/>
    <x v="5"/>
    <x v="5"/>
    <x v="5"/>
    <s v="Rubiales"/>
    <x v="4"/>
    <s v="CAMPAMENTO QUIFA, ECOPETROL RUBIALES- Quifa - CAÑO SUR, Puerto Triunfo - Estacion Policia: Puerto Gaitan - Rubiales, Puerto Gaitán, Meta, Colombia"/>
    <s v="Vel Max 10 Km/h, Cliente, Vel Max 40 Km/h, Vel Max 30 Km/h"/>
    <x v="1227"/>
    <d v="2026-06-01T17:27:04"/>
    <d v="1899-12-30T00:00:07"/>
    <n v="3.1676527112722397E-2"/>
    <s v="Exceso Velocidad 10 Km/h (Velocidad máxima: 20 kmh)"/>
    <x v="30"/>
    <s v="Válido"/>
  </r>
  <r>
    <x v="14"/>
    <s v="Vehicle, Diesel, Frontera Energy Col 2679"/>
    <x v="5"/>
    <x v="5"/>
    <x v="5"/>
    <s v="Rubiales"/>
    <x v="4"/>
    <s v="CAMPAMENTO QUIFA, ECOPETROL RUBIALES- Quifa - CAÑO SUR, Puerto Triunfo - Estacion Policia: Puerto Gaitan - Rubiales, Puerto Gaitán, Meta, Colombia"/>
    <s v="Vel Max 10 Km/h, Cliente, Vel Max 40 Km/h, Vel Max 30 Km/h"/>
    <x v="1228"/>
    <d v="2026-06-01T17:27:11"/>
    <d v="1899-12-30T00:00:13"/>
    <n v="5.8448091149330139E-2"/>
    <s v="Exceso Velocidad 10 Km/h (Velocidad máxima: 20 kmh)"/>
    <x v="30"/>
    <s v="Válido"/>
  </r>
  <r>
    <x v="14"/>
    <s v="Vehicle, Diesel, Frontera Energy Col 2679"/>
    <x v="5"/>
    <x v="5"/>
    <x v="5"/>
    <s v="Rubiales"/>
    <x v="4"/>
    <s v="CAMPAMENTO QUIFA, ECOPETROL RUBIALES- Quifa - CAÑO SUR, Campamento Quifa - CMA: Ent. CAMPAMENTO, Puerto Gaitán, Meta, Colombia"/>
    <s v="Vel Max 10 Km/h, Cliente, Vel Max 40 Km/h"/>
    <x v="1229"/>
    <d v="2026-06-01T17:28:39"/>
    <d v="1899-12-30T00:00:24"/>
    <n v="7.9029001295566559E-2"/>
    <s v="Exceso Velocidad 10 Km/h (Velocidad máxima: 13 kmh)"/>
    <x v="34"/>
    <s v="Válido"/>
  </r>
  <r>
    <x v="14"/>
    <s v="Vehicle, Diesel, Frontera Energy Col 2679"/>
    <x v="5"/>
    <x v="5"/>
    <x v="5"/>
    <s v="Rubiales"/>
    <x v="4"/>
    <s v="CAMPAMENTO QUIFA, ECOPETROL RUBIALES- Quifa - CAÑO SUR, Campamento Quifa - CMA: Ent. CAMPAMENTO, Puerto Gaitán, Meta, Colombia"/>
    <s v="Vel Max 10 Km/h, Cliente, Vel Max 40 Km/h"/>
    <x v="1230"/>
    <d v="2026-06-01T17:52:44"/>
    <d v="1899-12-30T00:00:10"/>
    <n v="2.6676932349801064E-2"/>
    <s v="Exceso Velocidad 10 Km/h (Velocidad máxima: 12 kmh)"/>
    <x v="33"/>
    <s v="Válido"/>
  </r>
  <r>
    <x v="14"/>
    <s v="Vehicle, Diesel, Frontera Energy Col 2679"/>
    <x v="5"/>
    <x v="5"/>
    <x v="5"/>
    <s v="Rubiales"/>
    <x v="4"/>
    <s v="ECOPETROL RUBIALES- Quifa - CAÑO SUR, Puerto Triunfo - Estacion Policia, PUESTRO CONTROL QUIFA: Puerto Gaitan - Rubiales, Puerto Gaitán, Meta, Colombia"/>
    <s v="Cliente, Vel Max 40 Km/h, Vel Max 30 Km/h, Vel Max 10 Km/h"/>
    <x v="1231"/>
    <d v="2026-06-01T17:57:24"/>
    <d v="1899-12-30T00:00:40"/>
    <n v="0.18447498977184296"/>
    <s v="Exceso Velocidad 10 Km/h (Velocidad máxima: 24 kmh)"/>
    <x v="41"/>
    <s v="Válido"/>
  </r>
  <r>
    <x v="14"/>
    <s v="Vehicle, Diesel, Frontera Energy Col 2679"/>
    <x v="5"/>
    <x v="5"/>
    <x v="5"/>
    <s v="Rubiales"/>
    <x v="11"/>
    <s v="ECOPETROL RUBIALES- Quifa - CAÑO SUR, Puerto Triunfo - Estacion Policia: Puerto Gaitan - Rubiales, Puerto Gaitán, Meta, Colombia"/>
    <s v="Cliente, Vel Max 40 Km/h, Vel Max 30 Km/h"/>
    <x v="1232"/>
    <d v="2026-06-01T17:58:29"/>
    <d v="1899-12-30T00:00:15"/>
    <n v="0.12916874885559082"/>
    <s v="Exceso Velocidad 30 Km/h (Velocidad máxima: 31 kmh)"/>
    <x v="49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33"/>
    <d v="2026-06-01T00:12:26"/>
    <d v="1899-12-30T00:07:22"/>
    <n v="3.52891581133008E-3"/>
    <s v="Tiempo en ralentí (Ignición: 1.00)"/>
    <x v="0"/>
    <s v="Válido"/>
  </r>
  <r>
    <x v="15"/>
    <s v="Vehicle, Diesel, Frontera Energy Col 2679"/>
    <x v="2"/>
    <x v="2"/>
    <x v="2"/>
    <n v="0"/>
    <x v="9"/>
    <s v="ECOPETROL RUBIALES- Quifa - CAÑO SUR: Vía QF-578, Puerto Gaitán, Meta, Colombia"/>
    <s v="Cliente, Vel Max 40 Km/h"/>
    <x v="1234"/>
    <d v="2026-06-01T00:22:27"/>
    <d v="1899-12-30T00:00:12"/>
    <n v="3.4750469028949738E-2"/>
    <s v="Uso del cinturón de seguridad (Velocidad máxima: 12 kmh Cinturón de seguridad del conductor (1. Desabrochado): 1.00)"/>
    <x v="63"/>
    <s v="Válido"/>
  </r>
  <r>
    <x v="15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235"/>
    <d v="2026-06-01T00:30:37"/>
    <d v="1899-12-30T00:00:09"/>
    <n v="2.4680158123373985E-2"/>
    <s v="Uso del cinturón de seguridad (Velocidad máxima: 11 kmh Cinturón de seguridad del conductor (1. Desabrochado): 1.00)"/>
    <x v="78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36"/>
    <d v="2026-06-01T04:00:53"/>
    <d v="1899-12-30T00:10:31"/>
    <n v="1.1002452112734318E-2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237"/>
    <d v="2026-06-01T04:16:22"/>
    <d v="1899-12-30T00:05:03"/>
    <n v="0"/>
    <s v="Tiempo en ralentí (Ignición: 1.00)"/>
    <x v="0"/>
    <s v="Válido"/>
  </r>
  <r>
    <x v="15"/>
    <s v="Vehicle, Diesel, Frontera Energy Col 2679"/>
    <x v="2"/>
    <x v="2"/>
    <x v="2"/>
    <n v="0"/>
    <x v="9"/>
    <s v="ECOPETROL RUBIALES- Quifa - CAÑO SUR: Vía QF-578, Puerto Gaitán, Meta, Colombia"/>
    <s v="Cliente, Vel Max 40 Km/h"/>
    <x v="1238"/>
    <d v="2026-06-01T05:19:43"/>
    <d v="1899-12-30T00:00:14"/>
    <n v="3.6150209605693817E-2"/>
    <s v="Uso del cinturón de seguridad (Velocidad máxima: 11 kmh Cinturón de seguridad del conductor (1. Desabrochado): 1.00)"/>
    <x v="78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39"/>
    <d v="2026-06-01T06:11:44"/>
    <d v="1899-12-30T00:13:00"/>
    <n v="5.3340056183515117E-5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0"/>
    <d v="2026-06-01T06:53:12"/>
    <d v="1899-12-30T00:09:07"/>
    <n v="7.3975143022835255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1"/>
    <d v="2026-06-01T07:05:30"/>
    <d v="1899-12-30T00:09:54"/>
    <n v="1.7775431042537093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2"/>
    <d v="2026-06-01T07:36:42"/>
    <d v="1899-12-30T00:12:39"/>
    <n v="3.5525707062333822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3"/>
    <d v="2026-06-01T08:01:58"/>
    <d v="1899-12-30T00:11:46"/>
    <n v="0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4"/>
    <d v="2026-06-01T09:05:59"/>
    <d v="1899-12-30T00:06:47"/>
    <n v="4.0943152271211147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5"/>
    <d v="2026-06-01T09:46:48"/>
    <d v="1899-12-30T00:09:06"/>
    <n v="4.6710954047739506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6"/>
    <d v="2026-06-01T11:29:54"/>
    <d v="1899-12-30T00:15:43"/>
    <n v="2.5181690230965614E-2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7"/>
    <d v="2026-06-01T12:24:09"/>
    <d v="1899-12-30T00:14:54"/>
    <n v="2.9816285241395235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8"/>
    <d v="2026-06-01T14:07:51"/>
    <d v="1899-12-30T00:12:45"/>
    <n v="1.9332912052050233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49"/>
    <d v="2026-06-01T14:59:20"/>
    <d v="1899-12-30T00:14:05"/>
    <n v="2.1175732836127281E-2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50"/>
    <d v="2026-06-01T15:58:18"/>
    <d v="1899-12-30T00:09:10"/>
    <n v="3.3411683980375528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51"/>
    <d v="2026-06-01T16:48:51"/>
    <d v="1899-12-30T00:11:11"/>
    <n v="5.6737316772341728E-3"/>
    <s v="Tiempo en ralentí (Ignición: 1.00)"/>
    <x v="0"/>
    <s v="Válido"/>
  </r>
  <r>
    <x v="15"/>
    <s v="Vehicle, Diesel, Frontera Energy Col 2679"/>
    <x v="2"/>
    <x v="2"/>
    <x v="2"/>
    <n v="0"/>
    <x v="0"/>
    <s v="ECOPETROL RUBIALES- Quifa - CAÑO SUR: Vía QF-578, Puerto Gaitán, Meta, Colombia"/>
    <s v="Cliente, Vel Max 40 Km/h"/>
    <x v="1252"/>
    <d v="2026-06-01T23:07:09"/>
    <d v="1899-12-30T00:05:54"/>
    <n v="5.2991644479334354E-3"/>
    <s v="Tiempo en ralentí (Ignición: 1.00)"/>
    <x v="0"/>
    <s v="Válido"/>
  </r>
  <r>
    <x v="15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253"/>
    <d v="2026-06-01T23:19:37"/>
    <d v="1899-12-30T00:00:19"/>
    <n v="6.0617540031671524E-2"/>
    <s v="Uso del cinturón de seguridad (Velocidad máxima: 13 kmh Cinturón de seguridad del conductor (1. Desabrochado): 1.00)"/>
    <x v="64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254"/>
    <d v="2026-06-01T05:50:21"/>
    <d v="1899-12-30T00:00:14"/>
    <n v="7.9250730574131012E-2"/>
    <s v="Exceso Velocidad 10 Km/h (Velocidad máxima: 24 kmh)"/>
    <x v="41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255"/>
    <d v="2026-06-01T05:55:04"/>
    <d v="1899-12-30T00:00:17"/>
    <n v="7.7775426208972931E-2"/>
    <s v="Exceso Velocidad 10 Km/h (Velocidad máxima: 19 kmh)"/>
    <x v="123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256"/>
    <d v="2026-06-01T05:58:05"/>
    <d v="1899-12-30T00:00:01"/>
    <n v="2.4862545542418957E-3"/>
    <s v="Exceso Velocidad 10 Km/h (Velocidad máxima: 11 kmh)"/>
    <x v="31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257"/>
    <d v="2026-06-01T05:58:24"/>
    <d v="1899-12-30T00:00:14"/>
    <n v="4.3007507920265198E-2"/>
    <s v="Exceso Velocidad 10 Km/h (Velocidad máxima: 12 kmh)"/>
    <x v="33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258"/>
    <d v="2026-06-01T07:24:07"/>
    <d v="1899-12-30T00:00:00"/>
    <n v="2.0149044576101005E-4"/>
    <s v="Exceso Velocidad 10 Km/h (Velocidad máxima: 10 kmh)"/>
    <x v="9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59"/>
    <d v="2026-06-01T07:25:42"/>
    <d v="1899-12-30T00:00:26"/>
    <n v="0.24100759625434875"/>
    <s v="Exceso Velocidad 30 Km/h (Velocidad máxima: 34 kmh)"/>
    <x v="100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60"/>
    <d v="2026-06-01T07:26:41"/>
    <d v="1899-12-30T00:00:05"/>
    <n v="4.5406859368085861E-2"/>
    <s v="Exceso Velocidad 30 Km/h (Velocidad máxima: 35 kmh)"/>
    <x v="59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61"/>
    <d v="2026-06-01T07:26:48"/>
    <d v="1899-12-30T00:00:03"/>
    <n v="2.7426118031144142E-2"/>
    <s v="Exceso Velocidad 30 Km/h (Velocidad máxima: 34 kmh)"/>
    <x v="100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62"/>
    <d v="2026-06-01T07:26:59"/>
    <d v="1899-12-30T00:00:05"/>
    <n v="4.7521498054265976E-2"/>
    <s v="Exceso Velocidad 30 Km/h (Velocidad máxima: 36 kmh)"/>
    <x v="101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63"/>
    <d v="2026-06-01T07:27:08"/>
    <d v="1899-12-30T00:00:17"/>
    <n v="0.15134251117706299"/>
    <s v="Exceso Velocidad 30 Km/h (Velocidad máxima: 33 kmh)"/>
    <x v="56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264"/>
    <d v="2026-06-01T07:27:35"/>
    <d v="1899-12-30T00:00:22"/>
    <n v="0.18369325995445251"/>
    <s v="Exceso Velocidad 10 Km/h (Velocidad máxima: 31 kmh)"/>
    <x v="127"/>
    <s v="Válido"/>
  </r>
  <r>
    <x v="16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1265"/>
    <d v="2026-06-01T07:27:39"/>
    <d v="1899-12-30T00:00:19"/>
    <n v="0.16127757728099823"/>
    <s v="Exceso Velocidad 30 Km/h (Velocidad máxima: 31 kmh)"/>
    <x v="49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66"/>
    <d v="2026-06-01T07:28:07"/>
    <d v="1899-12-30T00:00:32"/>
    <n v="0.29502514004707336"/>
    <s v="Exceso Velocidad 30 Km/h (Velocidad máxima: 36 kmh)"/>
    <x v="101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67"/>
    <d v="2026-06-01T07:29:18"/>
    <d v="1899-12-30T00:00:06"/>
    <n v="4.926672950387001E-2"/>
    <s v="Exceso Velocidad 30 Km/h (Velocidad máxima: 31 kmh)"/>
    <x v="49"/>
    <s v="Válido"/>
  </r>
  <r>
    <x v="16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1268"/>
    <d v="2026-06-01T07:39:21"/>
    <d v="1899-12-30T00:21:34"/>
    <n v="2.9652662575244904E-2"/>
    <s v="Tiempo en ralentí (Ignición: 1.00)"/>
    <x v="0"/>
    <s v="Válido"/>
  </r>
  <r>
    <x v="16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1269"/>
    <d v="2026-06-01T08:01:05"/>
    <d v="1899-12-30T00:08:03"/>
    <n v="6.131109781563282E-3"/>
    <s v="Tiempo en ralentí (Ignición: 1.00)"/>
    <x v="0"/>
    <s v="Válido"/>
  </r>
  <r>
    <x v="16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1270"/>
    <d v="2026-06-01T08:10:49"/>
    <d v="1899-12-30T00:10:03"/>
    <n v="7.6327645219862461E-3"/>
    <s v="Tiempo en ralentí (Ignición: 1.00)"/>
    <x v="0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71"/>
    <d v="2026-06-01T08:23:59"/>
    <d v="1899-12-30T00:00:13"/>
    <n v="0.10825046896934509"/>
    <s v="Exceso Velocidad 30 Km/h (Velocidad máxima: 31 kmh)"/>
    <x v="49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72"/>
    <d v="2026-06-01T08:24:20"/>
    <d v="1899-12-30T00:00:05"/>
    <n v="4.036238044500351E-2"/>
    <s v="Exceso Velocidad 30 Km/h (Velocidad máxima: 31 kmh)"/>
    <x v="49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273"/>
    <d v="2026-06-01T08:24:41"/>
    <d v="1899-12-30T00:00:25"/>
    <n v="0.18268759548664093"/>
    <s v="Exceso Velocidad 10 Km/h (Velocidad máxima: 26 kmh)"/>
    <x v="42"/>
    <s v="Válido"/>
  </r>
  <r>
    <x v="16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274"/>
    <d v="2026-06-01T08:25:22"/>
    <d v="1899-12-30T00:00:37"/>
    <n v="0.2873547375202179"/>
    <s v="Exceso de velocidad (nuevo) (Velocidad máxima: 32 kmh (Velocidad máxima en carretera: 7 kmh))"/>
    <x v="200"/>
    <s v="Válido"/>
  </r>
  <r>
    <x v="16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275"/>
    <d v="2026-06-01T08:26:05"/>
    <d v="1899-12-30T00:00:40"/>
    <n v="0.14076884090900421"/>
    <s v="Exceso Velocidad 10 Km/h (Velocidad máxima: 16 kmh)"/>
    <x v="32"/>
    <s v="Válido"/>
  </r>
  <r>
    <x v="16"/>
    <s v="Vehicle, Diesel, Frontera Energy Col 2679"/>
    <x v="2"/>
    <x v="2"/>
    <x v="2"/>
    <n v="0"/>
    <x v="0"/>
    <s v="ECOPETROL RUBIALES- Quifa - CAÑO SUR, Centralizado de combustible Quifa: Vía Sin Nombre, Puerto Gaitán, Meta, Colombia"/>
    <s v="Cliente, Vel Max 40 Km/h, Vel Max 10 Km/h"/>
    <x v="1276"/>
    <d v="2026-06-01T08:27:34"/>
    <d v="1899-12-30T00:13:24"/>
    <n v="8.9217992499470711E-3"/>
    <s v="Tiempo en ralentí (Ignición: 1.00)"/>
    <x v="0"/>
    <s v="Válido"/>
  </r>
  <r>
    <x v="16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277"/>
    <d v="2026-06-01T08:41:29"/>
    <d v="1899-12-30T00:00:29"/>
    <n v="8.813796192407608E-2"/>
    <s v="Exceso Velocidad 10 Km/h (Velocidad máxima: 11 kmh)"/>
    <x v="31"/>
    <s v="Válido"/>
  </r>
  <r>
    <x v="16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278"/>
    <d v="2026-06-01T08:41:58"/>
    <d v="1899-12-30T00:00:17"/>
    <n v="5.1646258682012558E-2"/>
    <s v="Exceso Velocidad 10 Km/h (Velocidad máxima: 11 kmh)"/>
    <x v="31"/>
    <s v="Válido"/>
  </r>
  <r>
    <x v="16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279"/>
    <d v="2026-06-01T08:42:25"/>
    <d v="1899-12-30T00:00:43"/>
    <n v="0.30687850713729858"/>
    <s v="Exceso de velocidad (nuevo) (Velocidad máxima: 36 kmh (Velocidad máxima en carretera: 7 kmh))"/>
    <x v="201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280"/>
    <d v="2026-06-01T08:44:18"/>
    <d v="1899-12-30T00:00:30"/>
    <n v="0.27620616555213928"/>
    <s v="Exceso Velocidad 30 Km/h (Velocidad máxima: 35 kmh)"/>
    <x v="59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281"/>
    <d v="2026-06-01T08:45:22"/>
    <d v="1899-12-30T00:00:02"/>
    <n v="5.0360937602818012E-3"/>
    <s v="Exceso Velocidad 10 Km/h (Velocidad máxima: 13 kmh)"/>
    <x v="34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282"/>
    <d v="2026-06-01T08:46:15"/>
    <d v="1899-12-30T00:00:30"/>
    <n v="9.2774763703346252E-2"/>
    <s v="Exceso Velocidad 10 Km/h (Velocidad máxima: 11 kmh)"/>
    <x v="31"/>
    <s v="Válido"/>
  </r>
  <r>
    <x v="16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1283"/>
    <d v="2026-06-01T08:52:44"/>
    <d v="1899-12-30T00:08:18"/>
    <n v="6.126046646386385E-3"/>
    <s v="Tiempo en ralentí (Ignición: 1.00)"/>
    <x v="0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284"/>
    <d v="2026-06-01T09:02:14"/>
    <d v="1899-12-30T00:00:32"/>
    <n v="9.0177051723003387E-2"/>
    <s v="Exceso Velocidad 10 Km/h (Velocidad máxima: 11 kmh)"/>
    <x v="31"/>
    <s v="Válido"/>
  </r>
  <r>
    <x v="16"/>
    <s v="Vehicle, Diesel, Frontera Energy Col 2679"/>
    <x v="2"/>
    <x v="2"/>
    <x v="2"/>
    <n v="0"/>
    <x v="0"/>
    <s v="CAMPAMENTO QUIFA, ECOPETROL RUBIALES- Quifa - CAÑO SUR: Puerto Gaitan - Rubiales, Puerto Gaitán, Meta, Colombia"/>
    <s v="Vel Max 10 Km/h, Cliente, Vel Max 40 Km/h"/>
    <x v="1285"/>
    <d v="2026-06-01T09:04:53"/>
    <d v="1899-12-30T00:53:40"/>
    <n v="4.7907359898090363E-2"/>
    <s v="Tiempo en ralentí (Ignición: 1.00)"/>
    <x v="0"/>
    <s v="Válido"/>
  </r>
  <r>
    <x v="16"/>
    <s v="Vehicle, Diesel, Frontera Energy Col 2679"/>
    <x v="2"/>
    <x v="2"/>
    <x v="2"/>
    <n v="0"/>
    <x v="0"/>
    <s v="CAMPAMENTO QUIFA, ECOPETROL RUBIALES- Quifa - CAÑO SUR: Ent. CAMPAMENTO, Puerto Gaitán, Meta, Colombia"/>
    <s v="Vel Max 10 Km/h, Cliente, Vel Max 40 Km/h"/>
    <x v="1286"/>
    <d v="2026-06-01T10:00:14"/>
    <d v="1899-12-30T00:21:48"/>
    <n v="2.0682400092482567E-2"/>
    <s v="Tiempo en ralentí (Ignición: 1.00)"/>
    <x v="0"/>
    <s v="Válido"/>
  </r>
  <r>
    <x v="16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287"/>
    <d v="2026-06-01T10:26:23"/>
    <d v="1899-12-30T00:00:46"/>
    <n v="0.30573582649230957"/>
    <s v="Exceso de velocidad (nuevo) (Velocidad máxima: 30 kmh (Velocidad máxima en carretera: 7 kmh))"/>
    <x v="202"/>
    <s v="Válido"/>
  </r>
  <r>
    <x v="16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288"/>
    <d v="2026-06-01T10:27:15"/>
    <d v="1899-12-30T00:00:36"/>
    <n v="0.11279092729091644"/>
    <s v="Exceso Velocidad 10 Km/h (Velocidad máxima: 13 kmh)"/>
    <x v="34"/>
    <s v="Válido"/>
  </r>
  <r>
    <x v="16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289"/>
    <d v="2026-06-01T10:31:23"/>
    <d v="1899-12-30T00:00:20"/>
    <n v="6.0592062771320343E-2"/>
    <s v="Exceso Velocidad 10 Km/h (Velocidad máxima: 13 kmh)"/>
    <x v="34"/>
    <s v="Válido"/>
  </r>
  <r>
    <x v="16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290"/>
    <d v="2026-06-01T10:31:55"/>
    <d v="1899-12-30T00:00:06"/>
    <n v="2.1506365388631821E-2"/>
    <s v="Exceso Velocidad 10 Km/h (Velocidad máxima: 15 kmh)"/>
    <x v="50"/>
    <s v="Válido"/>
  </r>
  <r>
    <x v="16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291"/>
    <d v="2026-06-01T10:32:11"/>
    <d v="1899-12-30T00:00:44"/>
    <n v="0.29547443985939026"/>
    <s v="Exceso de velocidad (nuevo) (Velocidad máxima: 26 kmh (Velocidad máxima en carretera: 7 kmh))"/>
    <x v="93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292"/>
    <d v="2026-06-01T10:33:26"/>
    <d v="1899-12-30T00:00:35"/>
    <n v="0.18361526727676392"/>
    <s v="Exceso Velocidad 10 Km/h (Velocidad máxima: 30 kmh)"/>
    <x v="88"/>
    <s v="Válido"/>
  </r>
  <r>
    <x v="16"/>
    <s v="Vehicle, Diesel, Frontera Energy Col 2679"/>
    <x v="2"/>
    <x v="2"/>
    <x v="2"/>
    <n v="0"/>
    <x v="10"/>
    <s v="ECOPETROL RUBIALES- Quifa - CAÑO SUR: Hato San Fernando, Puerto Gaitán, Meta, Colombia"/>
    <s v="Cliente, Vel Max 40 Km/h"/>
    <x v="1293"/>
    <d v="2026-06-01T10:46:51"/>
    <d v="1899-12-30T00:00:07"/>
    <n v="7.8420035541057587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294"/>
    <d v="2026-06-01T10:47:46"/>
    <d v="1899-12-30T00:00:39"/>
    <n v="0.44577199220657349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295"/>
    <d v="2026-06-01T10:48:38"/>
    <d v="1899-12-30T00:00:11"/>
    <n v="0.12414920330047607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296"/>
    <d v="2026-06-01T10:48:55"/>
    <d v="1899-12-30T00:00:18"/>
    <n v="0.20711217820644379"/>
    <s v="Exceso Velocidad 40 Km/h (Velocidad máxima: 42 kmh)"/>
    <x v="51"/>
    <s v="Válido"/>
  </r>
  <r>
    <x v="16"/>
    <s v="Vehicle, Diesel, Frontera Energy Col 2679"/>
    <x v="2"/>
    <x v="2"/>
    <x v="2"/>
    <n v="0"/>
    <x v="0"/>
    <s v="ECOPETROL RUBIALES- Quifa - CAÑO SUR, Zona Accidentalidad: Alto Neblinas, Puerto Gaitán, Meta, Colombia"/>
    <s v="Cliente, Vel Max 40 Km/h"/>
    <x v="1297"/>
    <d v="2026-06-01T10:50:44"/>
    <d v="1899-12-30T00:05:16"/>
    <n v="2.1297619678080082E-3"/>
    <s v="Tiempo en ralentí (Ignición: 1.00)"/>
    <x v="0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298"/>
    <d v="2026-06-01T10:59:47"/>
    <d v="1899-12-30T00:00:14"/>
    <n v="0.15856239199638367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299"/>
    <d v="2026-06-01T11:04:54"/>
    <d v="1899-12-30T00:00:09"/>
    <n v="9.9399566650390625E-2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00"/>
    <d v="2026-06-01T11:07:48"/>
    <d v="1899-12-30T00:00:05"/>
    <n v="5.4540079087018967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01"/>
    <d v="2026-06-01T11:10:01"/>
    <d v="1899-12-30T00:00:13"/>
    <n v="0.14364032447338104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02"/>
    <d v="2026-06-01T11:10:47"/>
    <d v="1899-12-30T00:00:12"/>
    <n v="0.13219758868217468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03"/>
    <d v="2026-06-01T11:11:11"/>
    <d v="1899-12-30T00:00:09"/>
    <n v="0.10199800133705139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04"/>
    <d v="2026-06-01T11:11:58"/>
    <d v="1899-12-30T00:00:34"/>
    <n v="0.37897393107414246"/>
    <s v="Exceso Velocidad 40 Km/h (Velocidad máxima: 44 kmh)"/>
    <x v="5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05"/>
    <d v="2026-06-01T11:20:43"/>
    <d v="1899-12-30T00:00:09"/>
    <n v="9.7393468022346497E-2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06"/>
    <d v="2026-06-01T11:20:56"/>
    <d v="1899-12-30T00:00:20"/>
    <n v="0.22025346755981445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07"/>
    <d v="2026-06-01T11:22:16"/>
    <d v="1899-12-30T00:00:06"/>
    <n v="7.0835575461387634E-2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08"/>
    <d v="2026-06-01T11:23:01"/>
    <d v="1899-12-30T00:00:08"/>
    <n v="9.4217456877231598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09"/>
    <d v="2026-06-01T11:23:28"/>
    <d v="1899-12-30T00:00:12"/>
    <n v="0.13494089245796204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10"/>
    <d v="2026-06-01T11:23:47"/>
    <d v="1899-12-30T00:00:34"/>
    <n v="0.38592952489852905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11"/>
    <d v="2026-06-01T11:24:39"/>
    <d v="1899-12-30T00:00:09"/>
    <n v="9.6562318503856659E-2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12"/>
    <d v="2026-06-01T11:25:04"/>
    <d v="1899-12-30T00:00:05"/>
    <n v="5.8326691389083862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13"/>
    <d v="2026-06-01T11:26:51"/>
    <d v="1899-12-30T00:00:08"/>
    <n v="9.2493481934070587E-2"/>
    <s v="Exceso Velocidad 40 Km/h (Velocidad máxima: 41 kmh)"/>
    <x v="47"/>
    <s v="Válido"/>
  </r>
  <r>
    <x v="16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1314"/>
    <d v="2026-06-01T11:27:45"/>
    <d v="1899-12-30T00:00:56"/>
    <n v="0.36288627982139587"/>
    <s v="Exceso Velocidad 20 Km/h (Velocidad máxima: 26 kmh)"/>
    <x v="133"/>
    <s v="Válido"/>
  </r>
  <r>
    <x v="16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1315"/>
    <d v="2026-06-01T11:28:50"/>
    <d v="1899-12-30T00:00:21"/>
    <n v="0.1274825781583786"/>
    <s v="Exceso Velocidad 20 Km/h (Velocidad máxima: 24 kmh)"/>
    <x v="150"/>
    <s v="Válido"/>
  </r>
  <r>
    <x v="16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1316"/>
    <d v="2026-06-01T11:29:26"/>
    <d v="1899-12-30T00:00:08"/>
    <n v="4.730629175901413E-2"/>
    <s v="Exceso Velocidad 20 Km/h (Velocidad máxima: 24 kmh)"/>
    <x v="150"/>
    <s v="Válido"/>
  </r>
  <r>
    <x v="16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1317"/>
    <d v="2026-06-01T11:29:38"/>
    <d v="1899-12-30T00:00:11"/>
    <n v="6.5060585737228394E-2"/>
    <s v="Exceso Velocidad 20 Km/h (Velocidad máxima: 21 kmh)"/>
    <x v="203"/>
    <s v="Válido"/>
  </r>
  <r>
    <x v="16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1318"/>
    <d v="2026-06-01T11:29:49"/>
    <d v="1899-12-30T00:00:39"/>
    <n v="0.23411601781845093"/>
    <s v="Exceso Velocidad 20 Km/h (Velocidad máxima: 21 kmh)"/>
    <x v="203"/>
    <s v="Válido"/>
  </r>
  <r>
    <x v="16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1319"/>
    <d v="2026-06-01T11:32:24"/>
    <d v="1899-12-30T00:00:00"/>
    <n v="2.6703786716097966E-5"/>
    <s v="Giro brusco (Velocidad máxima: 13 kmh Aceleración de lado a lado: -0.48 g-force, Ignición: 1.00)"/>
    <x v="52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20"/>
    <d v="2026-06-01T11:41:59"/>
    <d v="1899-12-30T00:00:02"/>
    <n v="1.9950946792960167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21"/>
    <d v="2026-06-01T11:42:19"/>
    <d v="1899-12-30T00:00:12"/>
    <n v="0.13793417811393738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22"/>
    <d v="2026-06-01T12:48:03"/>
    <d v="1899-12-30T00:00:05"/>
    <n v="4.7976355999708176E-2"/>
    <s v="Exceso Velocidad 40 Km/h (Velocidad máxima: 41 kmh)"/>
    <x v="47"/>
    <s v="Válido"/>
  </r>
  <r>
    <x v="16"/>
    <s v="Vehicle, Diesel, Frontera Energy Col 2679"/>
    <x v="2"/>
    <x v="2"/>
    <x v="2"/>
    <n v="0"/>
    <x v="1"/>
    <s v="ECOPETROL RUBIALES- Quifa - CAÑO SUR: Vía Sin Nombre, Puerto Gaitán, Meta, Colombia"/>
    <s v="Cliente, Vel Max 40 Km/h"/>
    <x v="1323"/>
    <d v="2026-06-01T12:56:53"/>
    <d v="1899-12-30T00:00:00"/>
    <n v="0"/>
    <s v="Frenado brusco (nuevo) (Clase de vehículo para métricas de seguridad: Otra clase (no estandarizada), Velocidad máxima: 24 kmh,  Ignición: 1)"/>
    <x v="178"/>
    <s v="Válido"/>
  </r>
  <r>
    <x v="16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1324"/>
    <d v="2026-06-01T12:57:01"/>
    <d v="1899-12-30T00:01:16"/>
    <n v="0.50196796655654907"/>
    <s v="Exceso Velocidad 20 Km/h (Velocidad máxima: 27 kmh)"/>
    <x v="196"/>
    <s v="Válido"/>
  </r>
  <r>
    <x v="16"/>
    <s v="Vehicle, Diesel, Frontera Energy Col 2679"/>
    <x v="2"/>
    <x v="2"/>
    <x v="2"/>
    <n v="0"/>
    <x v="13"/>
    <s v="ECOPETROL RUBIALES- Quifa - CAÑO SUR, Mito 1 frente: Vía Sin Nombre, Puerto Gaitán, Meta, Colombia"/>
    <s v="Cliente, Vel Max 40 Km/h, Vel Max 20 Km/h"/>
    <x v="1325"/>
    <d v="2026-06-01T12:58:35"/>
    <d v="1899-12-30T00:00:54"/>
    <n v="0.37269529700279236"/>
    <s v="Exceso Velocidad 20 Km/h (Velocidad máxima: 26 kmh)"/>
    <x v="133"/>
    <s v="Válido"/>
  </r>
  <r>
    <x v="16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1326"/>
    <d v="2026-06-01T13:05:48"/>
    <d v="1899-12-30T00:00:00"/>
    <n v="9.4550116045866162E-5"/>
    <s v="Giro brusco (Velocidad máxima: 32 kmh Aceleración de lado a lado: -0.48 g-force, Ignición: 1.00)"/>
    <x v="204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27"/>
    <d v="2026-06-01T13:18:42"/>
    <d v="1899-12-30T00:00:39"/>
    <n v="0.42918843030929565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28"/>
    <d v="2026-06-01T13:20:30"/>
    <d v="1899-12-30T00:00:33"/>
    <n v="0.36634072661399841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29"/>
    <d v="2026-06-01T13:21:29"/>
    <d v="1899-12-30T00:00:06"/>
    <n v="6.0651510953903198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30"/>
    <d v="2026-06-01T13:22:21"/>
    <d v="1899-12-30T00:00:05"/>
    <n v="5.0542138516902924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31"/>
    <d v="2026-06-01T13:24:01"/>
    <d v="1899-12-30T00:00:58"/>
    <n v="0.66874855756759644"/>
    <s v="Exceso Velocidad 40 Km/h (Velocidad máxima: 41 kmh)"/>
    <x v="47"/>
    <s v="Válido"/>
  </r>
  <r>
    <x v="16"/>
    <s v="Vehicle, Diesel, Frontera Energy Col 2679"/>
    <x v="2"/>
    <x v="2"/>
    <x v="2"/>
    <n v="0"/>
    <x v="1"/>
    <s v="ECOPETROL RUBIALES- Quifa - CAÑO SUR: Alto Neblinas, Puerto Gaitán, Meta, Colombia"/>
    <s v="Cliente, Vel Max 40 Km/h"/>
    <x v="1332"/>
    <d v="2026-06-01T13:26:16"/>
    <d v="1899-12-30T00:00:00"/>
    <n v="0"/>
    <s v="Frenado brusco (nuevo) (Clase de vehículo para métricas de seguridad: Otra clase (no estandarizada), Velocidad máxima: 20 kmh,  Ignición: 1)"/>
    <x v="205"/>
    <s v="Válido"/>
  </r>
  <r>
    <x v="16"/>
    <s v="Vehicle, Diesel, Frontera Energy Col 2679"/>
    <x v="2"/>
    <x v="2"/>
    <x v="2"/>
    <n v="0"/>
    <x v="10"/>
    <s v="ECOPETROL RUBIALES- Quifa - CAÑO SUR: Alto Neblinas, Puerto Gaitán, Meta, Colombia"/>
    <s v="Cliente, Vel Max 40 Km/h"/>
    <x v="1333"/>
    <d v="2026-06-01T13:34:47"/>
    <d v="1899-12-30T00:00:03"/>
    <n v="3.6771010607481003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Hato San Fernando, Puerto Gaitán, Meta, Colombia"/>
    <s v="Cliente, Vel Max 40 Km/h"/>
    <x v="1334"/>
    <d v="2026-06-01T13:36:02"/>
    <d v="1899-12-30T00:00:12"/>
    <n v="0.13248685002326965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Hato San Fernando, Puerto Gaitán, Meta, Colombia"/>
    <s v="Cliente, Vel Max 40 Km/h"/>
    <x v="1335"/>
    <d v="2026-06-01T13:36:54"/>
    <d v="1899-12-30T00:00:11"/>
    <n v="0.12933981418609619"/>
    <s v="Exceso Velocidad 40 Km/h (Velocidad máxima: 42 kmh)"/>
    <x v="51"/>
    <s v="Válido"/>
  </r>
  <r>
    <x v="16"/>
    <s v="Vehicle, Diesel, Frontera Energy Col 2679"/>
    <x v="2"/>
    <x v="2"/>
    <x v="2"/>
    <n v="0"/>
    <x v="11"/>
    <s v="ECOPETROL RUBIALES- Quifa - CAÑO SUR, Puerto Triunfo - Estacion Policia: Vía La Primera Vara, Puerto Gaitán, Meta, Colombia"/>
    <s v="Cliente, Vel Max 40 Km/h, Vel Max 30 Km/h"/>
    <x v="1336"/>
    <d v="2026-06-01T13:37:38"/>
    <d v="1899-12-30T00:00:02"/>
    <n v="2.39094328135252E-2"/>
    <s v="Exceso Velocidad 30 Km/h (Velocidad máxima: 33 kmh)"/>
    <x v="5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37"/>
    <d v="2026-06-01T14:25:17"/>
    <d v="1899-12-30T00:00:06"/>
    <n v="4.7390781342983246E-2"/>
    <s v="Exceso Velocidad 30 Km/h (Velocidad máxima: 31 kmh)"/>
    <x v="49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338"/>
    <d v="2026-06-01T14:25:56"/>
    <d v="1899-12-30T00:00:31"/>
    <n v="0.18285225331783295"/>
    <s v="Exceso Velocidad 10 Km/h (Velocidad máxima: 21 kmh)"/>
    <x v="48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39"/>
    <d v="2026-06-01T14:28:11"/>
    <d v="1899-12-30T00:00:17"/>
    <n v="0.14882791042327881"/>
    <s v="Exceso Velocidad 30 Km/h (Velocidad máxima: 34 kmh)"/>
    <x v="100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340"/>
    <d v="2026-06-01T14:29:38"/>
    <d v="1899-12-30T00:00:10"/>
    <n v="2.5474734604358673E-2"/>
    <s v="Exceso Velocidad 10 Km/h (Velocidad máxima: 12 kmh)"/>
    <x v="33"/>
    <s v="Válido"/>
  </r>
  <r>
    <x v="16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1341"/>
    <d v="2026-06-01T14:30:52"/>
    <d v="1899-12-30T00:06:42"/>
    <n v="4.4040312059223652E-3"/>
    <s v="Tiempo en ralentí (Ignición: 1.00)"/>
    <x v="0"/>
    <s v="Válido"/>
  </r>
  <r>
    <x v="16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1342"/>
    <d v="2026-06-01T14:39:08"/>
    <d v="1899-12-30T00:00:03"/>
    <n v="2.6757802814245224E-2"/>
    <s v="Exceso Velocidad 30 Km/h (Velocidad máxima: 33 kmh)"/>
    <x v="5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43"/>
    <d v="2026-06-01T14:39:52"/>
    <d v="1899-12-30T00:00:29"/>
    <n v="0.29928857088088989"/>
    <s v="Exceso Velocidad 30 Km/h (Velocidad máxima: 42 kmh)"/>
    <x v="115"/>
    <s v="Válido"/>
  </r>
  <r>
    <x v="16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344"/>
    <d v="2026-06-01T14:40:09"/>
    <d v="1899-12-30T00:00:05"/>
    <n v="6.0546964406967163E-2"/>
    <s v="Exceso Velocidad 40 Km/h (Velocidad máxima: 42 kmh)"/>
    <x v="51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45"/>
    <d v="2026-06-01T14:40:30"/>
    <d v="1899-12-30T00:00:08"/>
    <n v="8.2536116242408752E-2"/>
    <s v="Exceso Velocidad 30 Km/h (Velocidad máxima: 39 kmh)"/>
    <x v="6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46"/>
    <d v="2026-06-01T14:40:53"/>
    <d v="1899-12-30T00:00:04"/>
    <n v="3.475816547870636E-2"/>
    <s v="Exceso Velocidad 30 Km/h (Velocidad máxima: 33 kmh)"/>
    <x v="5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47"/>
    <d v="2026-06-01T14:40:59"/>
    <d v="1899-12-30T00:00:47"/>
    <n v="0.47537612915039063"/>
    <s v="Exceso Velocidad 30 Km/h (Velocidad máxima: 41 kmh)"/>
    <x v="109"/>
    <s v="Válido"/>
  </r>
  <r>
    <x v="16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348"/>
    <d v="2026-06-01T14:41:14"/>
    <d v="1899-12-30T00:00:04"/>
    <n v="3.9179515093564987E-2"/>
    <s v="Exceso Velocidad 40 Km/h (Velocidad máxima: 41 kmh)"/>
    <x v="47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349"/>
    <d v="2026-06-01T14:41:25"/>
    <d v="1899-12-30T00:00:18"/>
    <n v="0.18261578679084778"/>
    <s v="Exceso Velocidad 10 Km/h (Velocidad máxima: 37 kmh)"/>
    <x v="117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50"/>
    <d v="2026-06-01T14:41:51"/>
    <d v="1899-12-30T00:00:15"/>
    <n v="0.12637390196323395"/>
    <s v="Exceso Velocidad 30 Km/h (Velocidad máxima: 32 kmh)"/>
    <x v="102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51"/>
    <d v="2026-06-01T14:42:06"/>
    <d v="1899-12-30T00:00:22"/>
    <n v="0.19119997322559357"/>
    <s v="Exceso Velocidad 30 Km/h (Velocidad máxima: 32 kmh)"/>
    <x v="102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52"/>
    <d v="2026-06-01T14:44:02"/>
    <d v="1899-12-30T00:00:05"/>
    <n v="3.6778297275304794E-2"/>
    <s v="Exceso Velocidad 30 Km/h (Velocidad máxima: 31 kmh)"/>
    <x v="49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53"/>
    <d v="2026-06-01T14:54:41"/>
    <d v="1899-12-30T00:00:10"/>
    <n v="0.11331198364496231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54"/>
    <d v="2026-06-01T14:55:21"/>
    <d v="1899-12-30T00:01:57"/>
    <n v="1.3837499618530273"/>
    <s v="Exceso Velocidad 40 Km/h (Velocidad máxima: 46 kmh)"/>
    <x v="106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55"/>
    <d v="2026-06-01T14:57:44"/>
    <d v="1899-12-30T00:00:03"/>
    <n v="3.7331942468881607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56"/>
    <d v="2026-06-01T14:58:09"/>
    <d v="1899-12-30T00:00:38"/>
    <n v="0.44560474157333374"/>
    <s v="Exceso Velocidad 40 Km/h (Velocidad máxima: 45 kmh)"/>
    <x v="105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57"/>
    <d v="2026-06-01T14:58:52"/>
    <d v="1899-12-30T00:00:46"/>
    <n v="0.54894256591796875"/>
    <s v="Exceso Velocidad 40 Km/h (Velocidad máxima: 44 kmh)"/>
    <x v="54"/>
    <s v="Válido"/>
  </r>
  <r>
    <x v="16"/>
    <s v="Vehicle, Diesel, Frontera Energy Col 2679"/>
    <x v="2"/>
    <x v="2"/>
    <x v="2"/>
    <n v="0"/>
    <x v="7"/>
    <s v="ECOPETROL RUBIALES- Quifa - CAÑO SUR: Via QF-149, Puerto Gaitán, Meta, Colombia"/>
    <s v="Cliente, Vel Max 40 Km/h"/>
    <x v="1358"/>
    <d v="2026-06-01T14:59:43"/>
    <d v="1899-12-30T00:00:00"/>
    <n v="2.0070152822881937E-3"/>
    <s v="Giro brusco (Velocidad máxima: 40 kmh Ignición: 1.00 , Aceleración de lado a lado: -0.59 g-force)"/>
    <x v="206"/>
    <s v="Válido"/>
  </r>
  <r>
    <x v="16"/>
    <s v="Vehicle, Diesel, Frontera Energy Col 2679"/>
    <x v="2"/>
    <x v="2"/>
    <x v="2"/>
    <n v="0"/>
    <x v="10"/>
    <s v="ECOPETROL RUBIALES- Quifa - CAÑO SUR: Via QF-149, Puerto Gaitán, Meta, Colombia"/>
    <s v="Cliente, Vel Max 40 Km/h"/>
    <x v="1358"/>
    <d v="2026-06-01T14:59:43"/>
    <d v="1899-12-30T00:02:38"/>
    <n v="1.9740984439849854"/>
    <s v="Exceso Velocidad 40 Km/h (Velocidad máxima: 47 kmh)"/>
    <x v="99"/>
    <s v="Válido"/>
  </r>
  <r>
    <x v="16"/>
    <s v="Vehicle, Diesel, Frontera Energy Col 2679"/>
    <x v="2"/>
    <x v="2"/>
    <x v="2"/>
    <n v="0"/>
    <x v="7"/>
    <s v="ECOPETROL RUBIALES- Quifa - CAÑO SUR: Via QF-149, Puerto Gaitán, Meta, Colombia"/>
    <s v="Cliente, Vel Max 40 Km/h"/>
    <x v="1358"/>
    <d v="2026-06-01T14:59:43"/>
    <d v="1899-12-30T00:00:00"/>
    <n v="1.4560871059074998E-3"/>
    <s v="Giro brusco (Velocidad máxima: 40 kmh Ignición: 1.00 , Aceleración de lado a lado: -0.50 g-force)"/>
    <x v="20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59"/>
    <d v="2026-06-01T15:02:27"/>
    <d v="1899-12-30T00:01:05"/>
    <n v="0.77113133668899536"/>
    <s v="Exceso Velocidad 40 Km/h (Velocidad máxima: 45 kmh)"/>
    <x v="105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0"/>
    <d v="2026-06-01T15:03:32"/>
    <d v="1899-12-30T00:00:17"/>
    <n v="0.19117076694965363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1"/>
    <d v="2026-06-01T15:04:02"/>
    <d v="1899-12-30T00:01:10"/>
    <n v="0.82071107625961304"/>
    <s v="Exceso Velocidad 40 Km/h (Velocidad máxima: 45 kmh)"/>
    <x v="105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2"/>
    <d v="2026-06-01T15:05:39"/>
    <d v="1899-12-30T00:00:07"/>
    <n v="7.6083630323410034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536"/>
    <d v="2026-06-01T15:05:57"/>
    <d v="1899-12-30T00:00:20"/>
    <n v="0.22451440989971161"/>
    <s v="Exceso Velocidad 40 Km/h (Velocidad máxima: 41 kmh)"/>
    <x v="47"/>
    <s v="Válido"/>
  </r>
  <r>
    <x v="16"/>
    <s v="Vehicle, Diesel, Frontera Energy Col 2679"/>
    <x v="2"/>
    <x v="2"/>
    <x v="2"/>
    <n v="0"/>
    <x v="0"/>
    <s v="ECOPETROL RUBIALES- Quifa - CAÑO SUR: VIA QF-148, Puerto Gaitán, Meta, Colombia"/>
    <s v="Cliente, Vel Max 40 Km/h"/>
    <x v="1363"/>
    <d v="2026-06-01T15:10:16"/>
    <d v="1899-12-30T00:59:59"/>
    <n v="4.2168997228145599E-2"/>
    <s v="Tiempo en ralentí (Ignición: 1.00)"/>
    <x v="0"/>
    <s v="Válido"/>
  </r>
  <r>
    <x v="16"/>
    <s v="Vehicle, Diesel, Frontera Energy Col 2679"/>
    <x v="2"/>
    <x v="2"/>
    <x v="2"/>
    <n v="0"/>
    <x v="10"/>
    <s v="ECOPETROL RUBIALES- Quifa - CAÑO SUR: VIA QF-148, Puerto Gaitán, Meta, Colombia"/>
    <s v="Cliente, Vel Max 40 Km/h"/>
    <x v="1364"/>
    <d v="2026-06-01T16:13:50"/>
    <d v="1899-12-30T00:00:34"/>
    <n v="0.41583928465843201"/>
    <s v="Exceso Velocidad 40 Km/h (Velocidad máxima: 51 kmh)"/>
    <x v="208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5"/>
    <d v="2026-06-01T16:14:53"/>
    <d v="1899-12-30T00:00:03"/>
    <n v="2.8457304462790489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6"/>
    <d v="2026-06-01T16:15:49"/>
    <d v="1899-12-30T00:00:15"/>
    <n v="0.1737152189016342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7"/>
    <d v="2026-06-01T16:16:22"/>
    <d v="1899-12-30T00:00:23"/>
    <n v="0.26147797703742981"/>
    <s v="Exceso Velocidad 40 Km/h (Velocidad máxima: 44 kmh)"/>
    <x v="5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8"/>
    <d v="2026-06-01T16:17:01"/>
    <d v="1899-12-30T00:00:12"/>
    <n v="0.1330544650554657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69"/>
    <d v="2026-06-01T16:17:13"/>
    <d v="1899-12-30T00:00:33"/>
    <n v="0.36940476298332214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0"/>
    <d v="2026-06-01T16:18:09"/>
    <d v="1899-12-30T00:00:15"/>
    <n v="0.17093905806541443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1"/>
    <d v="2026-06-01T16:18:52"/>
    <d v="1899-12-30T00:00:15"/>
    <n v="0.16384994983673096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2"/>
    <d v="2026-06-01T16:19:07"/>
    <d v="1899-12-30T00:00:14"/>
    <n v="0.15087372064590454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ia QF-149, Puerto Gaitán, Meta, Colombia"/>
    <s v="Cliente, Vel Max 40 Km/h"/>
    <x v="1373"/>
    <d v="2026-06-01T16:20:07"/>
    <d v="1899-12-30T00:00:38"/>
    <n v="0.44187936186790466"/>
    <s v="Exceso Velocidad 40 Km/h (Velocidad máxima: 44 kmh)"/>
    <x v="54"/>
    <s v="Válido"/>
  </r>
  <r>
    <x v="16"/>
    <s v="Vehicle, Diesel, Frontera Energy Col 2679"/>
    <x v="2"/>
    <x v="2"/>
    <x v="2"/>
    <n v="0"/>
    <x v="10"/>
    <s v="ECOPETROL RUBIALES- Quifa - CAÑO SUR: Via QF-149, Puerto Gaitán, Meta, Colombia"/>
    <s v="Cliente, Vel Max 40 Km/h"/>
    <x v="1374"/>
    <d v="2026-06-01T16:20:57"/>
    <d v="1899-12-30T00:00:22"/>
    <n v="0.25263658165931702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5"/>
    <d v="2026-06-01T16:21:19"/>
    <d v="1899-12-30T00:00:15"/>
    <n v="0.16957634687423706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6"/>
    <d v="2026-06-01T16:21:40"/>
    <d v="1899-12-30T00:00:06"/>
    <n v="6.9899752736091614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7"/>
    <d v="2026-06-01T16:21:46"/>
    <d v="1899-12-30T00:00:15"/>
    <n v="0.17888689041137695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8"/>
    <d v="2026-06-01T16:22:35"/>
    <d v="1899-12-30T00:00:25"/>
    <n v="0.2764066755771637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79"/>
    <d v="2026-06-01T16:23:37"/>
    <d v="1899-12-30T00:00:15"/>
    <n v="0.17042477428913116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80"/>
    <d v="2026-06-01T16:23:52"/>
    <d v="1899-12-30T00:00:18"/>
    <n v="0.20800374448299408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81"/>
    <d v="2026-06-01T16:24:10"/>
    <d v="1899-12-30T00:00:26"/>
    <n v="0.30238938331604004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382"/>
    <d v="2026-06-01T16:25:45"/>
    <d v="1899-12-30T00:00:15"/>
    <n v="0.16685807704925537"/>
    <s v="Exceso Velocidad 40 Km/h (Velocidad máxima: 41 kmh)"/>
    <x v="47"/>
    <s v="Válido"/>
  </r>
  <r>
    <x v="16"/>
    <s v="Vehicle, Diesel, Frontera Energy Col 2679"/>
    <x v="2"/>
    <x v="2"/>
    <x v="2"/>
    <n v="0"/>
    <x v="0"/>
    <s v="ECOPETROL RUBIALES- Quifa - CAÑO SUR, Puerto Triunfo - Estacion Policia: Km 129, Puerto Gaitan - Rubiales, Puerto Gaitán, Meta, Colombia"/>
    <s v="Cliente, Vel Max 40 Km/h, Vel Max 30 Km/h"/>
    <x v="1383"/>
    <d v="2026-06-01T16:29:06"/>
    <d v="1899-12-30T00:19:47"/>
    <n v="1.9326603040099144E-2"/>
    <s v="Tiempo en ralentí (Ignición: 1.00)"/>
    <x v="0"/>
    <s v="Válido"/>
  </r>
  <r>
    <x v="16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1384"/>
    <d v="2026-06-01T16:50:10"/>
    <d v="1899-12-30T00:00:15"/>
    <n v="0.13395680487155914"/>
    <s v="Exceso Velocidad 30 Km/h (Velocidad máxima: 33 kmh)"/>
    <x v="5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85"/>
    <d v="2026-06-01T16:51:03"/>
    <d v="1899-12-30T00:00:06"/>
    <n v="5.4745081812143326E-2"/>
    <s v="Exceso Velocidad 30 Km/h (Velocidad máxima: 36 kmh)"/>
    <x v="101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86"/>
    <d v="2026-06-01T16:51:11"/>
    <d v="1899-12-30T00:00:17"/>
    <n v="0.17781415581703186"/>
    <s v="Exceso Velocidad 30 Km/h (Velocidad máxima: 41 kmh)"/>
    <x v="109"/>
    <s v="Válido"/>
  </r>
  <r>
    <x v="16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387"/>
    <d v="2026-06-01T16:51:15"/>
    <d v="1899-12-30T00:00:04"/>
    <n v="4.2509675025939941E-2"/>
    <s v="Exceso Velocidad 40 Km/h (Velocidad máxima: 41 kmh)"/>
    <x v="47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88"/>
    <d v="2026-06-01T16:51:29"/>
    <d v="1899-12-30T00:00:12"/>
    <n v="0.12507236003875732"/>
    <s v="Exceso Velocidad 30 Km/h (Velocidad máxima: 39 kmh)"/>
    <x v="6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89"/>
    <d v="2026-06-01T16:51:58"/>
    <d v="1899-12-30T00:00:20"/>
    <n v="0.20296569168567657"/>
    <s v="Exceso Velocidad 30 Km/h (Velocidad máxima: 38 kmh)"/>
    <x v="111"/>
    <s v="Válido"/>
  </r>
  <r>
    <x v="16"/>
    <s v="Vehicle, Diesel, Frontera Energy Col 2679"/>
    <x v="2"/>
    <x v="2"/>
    <x v="2"/>
    <n v="0"/>
    <x v="1"/>
    <s v="ECOPETROL RUBIALES- Quifa - CAÑO SUR, Puerto Triunfo - Estacion Policia: Puerto Gaitan - Rubiales, Puerto Gaitán, Meta, Colombia"/>
    <s v="Cliente, Vel Max 40 Km/h, Vel Max 30 Km/h"/>
    <x v="1390"/>
    <d v="2026-06-01T16:52:18"/>
    <d v="1899-12-30T00:00:00"/>
    <n v="0"/>
    <s v="Frenado brusco (nuevo) (Clase de vehículo para métricas de seguridad: Otra clase (no estandarizada), Velocidad máxima: 15 kmh,  Ignición: 1)"/>
    <x v="4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91"/>
    <d v="2026-06-01T16:52:41"/>
    <d v="1899-12-30T00:00:31"/>
    <n v="0.28522136807441711"/>
    <s v="Exceso Velocidad 30 Km/h (Velocidad máxima: 35 kmh)"/>
    <x v="59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92"/>
    <d v="2026-06-01T16:53:12"/>
    <d v="1899-12-30T00:00:12"/>
    <n v="0.10277341306209564"/>
    <s v="Exceso Velocidad 30 Km/h (Velocidad máxima: 33 kmh)"/>
    <x v="5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93"/>
    <d v="2026-06-01T16:53:29"/>
    <d v="1899-12-30T00:00:43"/>
    <n v="0.4071681797504425"/>
    <s v="Exceso Velocidad 30 Km/h (Velocidad máxima: 37 kmh)"/>
    <x v="55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394"/>
    <d v="2026-06-01T16:54:08"/>
    <d v="1899-12-30T00:00:21"/>
    <n v="0.18382279574871063"/>
    <s v="Exceso Velocidad 10 Km/h (Velocidad máxima: 34 kmh)"/>
    <x v="209"/>
    <s v="Válido"/>
  </r>
  <r>
    <x v="16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1395"/>
    <d v="2026-06-01T16:54:22"/>
    <d v="1899-12-30T00:00:23"/>
    <n v="0.21581314504146576"/>
    <s v="Exceso Velocidad 30 Km/h (Velocidad máxima: 34 kmh)"/>
    <x v="100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96"/>
    <d v="2026-06-01T16:54:49"/>
    <d v="1899-12-30T00:00:05"/>
    <n v="5.0303950905799866E-2"/>
    <s v="Exceso Velocidad 30 Km/h (Velocidad máxima: 38 kmh)"/>
    <x v="111"/>
    <s v="Válido"/>
  </r>
  <r>
    <x v="16"/>
    <s v="Vehicle, Diesel, Frontera Energy Col 2679"/>
    <x v="2"/>
    <x v="2"/>
    <x v="2"/>
    <n v="0"/>
    <x v="1"/>
    <s v="ECOPETROL RUBIALES- Quifa - CAÑO SUR, Puerto Triunfo - Estacion Policia: Puerto Gaitan - Rubiales, Puerto Gaitán, Meta, Colombia"/>
    <s v="Cliente, Vel Max 40 Km/h, Vel Max 30 Km/h"/>
    <x v="1397"/>
    <d v="2026-06-01T16:54:54"/>
    <d v="1899-12-30T00:00:00"/>
    <n v="0"/>
    <s v="Frenado brusco (nuevo) (Clase de vehículo para métricas de seguridad: Otra clase (no estandarizada), Velocidad máxima: 25 kmh,  Ignición: 1)"/>
    <x v="210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98"/>
    <d v="2026-06-01T16:55:01"/>
    <d v="1899-12-30T00:00:06"/>
    <n v="5.6139439344406128E-2"/>
    <s v="Exceso Velocidad 30 Km/h (Velocidad máxima: 37 kmh)"/>
    <x v="55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399"/>
    <d v="2026-06-01T16:55:16"/>
    <d v="1899-12-30T00:00:14"/>
    <n v="0.14258399605751038"/>
    <s v="Exceso Velocidad 30 Km/h (Velocidad máxima: 39 kmh)"/>
    <x v="66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00"/>
    <d v="2026-06-01T16:55:37"/>
    <d v="1899-12-30T00:00:29"/>
    <n v="0.31123006343841553"/>
    <s v="Exceso Velocidad 30 Km/h (Velocidad máxima: 41 kmh)"/>
    <x v="109"/>
    <s v="Válido"/>
  </r>
  <r>
    <x v="16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401"/>
    <d v="2026-06-01T16:55:42"/>
    <d v="1899-12-30T00:00:09"/>
    <n v="0.10523494333028793"/>
    <s v="Exceso Velocidad 40 Km/h (Velocidad máxima: 41 kmh)"/>
    <x v="47"/>
    <s v="Válido"/>
  </r>
  <r>
    <x v="16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1402"/>
    <d v="2026-06-01T16:56:17"/>
    <d v="1899-12-30T00:00:09"/>
    <n v="8.615468442440033E-2"/>
    <s v="Exceso Velocidad 30 Km/h (Velocidad máxima: 38 kmh)"/>
    <x v="111"/>
    <s v="Válido"/>
  </r>
  <r>
    <x v="16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403"/>
    <d v="2026-06-01T16:56:34"/>
    <d v="1899-12-30T00:00:29"/>
    <n v="0.13932821154594421"/>
    <s v="Exceso Velocidad 10 Km/h (Velocidad máxima: 21 kmh)"/>
    <x v="48"/>
    <s v="Válido"/>
  </r>
  <r>
    <x v="16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404"/>
    <d v="2026-06-01T17:00:15"/>
    <d v="1899-12-30T00:00:24"/>
    <n v="0.27968403697013855"/>
    <s v="Exceso Velocidad 40 Km/h (Velocidad máxima: 44 kmh)"/>
    <x v="54"/>
    <s v="Válido"/>
  </r>
  <r>
    <x v="16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322"/>
    <d v="2026-06-01T17:00:39"/>
    <d v="1899-12-30T00:00:15"/>
    <n v="0.17225900292396545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405"/>
    <d v="2026-06-01T17:01:55"/>
    <d v="1899-12-30T00:00:13"/>
    <n v="0.14392058551311493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Qf 48 36 79 Dw1, Puerto Gaitán, Meta, Colombia"/>
    <s v="Cliente, Vel Max 40 Km/h"/>
    <x v="1406"/>
    <d v="2026-06-01T17:02:36"/>
    <d v="1899-12-30T00:00:24"/>
    <n v="0.26867902278900146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407"/>
    <d v="2026-06-01T17:03:03"/>
    <d v="1899-12-30T00:00:19"/>
    <n v="0.21432431042194366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408"/>
    <d v="2026-06-01T17:03:27"/>
    <d v="1899-12-30T00:01:06"/>
    <n v="0.81365519762039185"/>
    <s v="Exceso Velocidad 40 Km/h (Velocidad máxima: 46 kmh)"/>
    <x v="106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409"/>
    <d v="2026-06-01T17:04:43"/>
    <d v="1899-12-30T00:00:03"/>
    <n v="3.0058782547712326E-2"/>
    <s v="Exceso Velocidad 40 Km/h (Velocidad máxima: 41 kmh)"/>
    <x v="47"/>
    <s v="Válido"/>
  </r>
  <r>
    <x v="16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410"/>
    <d v="2026-06-01T17:05:21"/>
    <d v="1899-12-30T00:14:09"/>
    <n v="9.928165003657341E-3"/>
    <s v="Tiempo en ralentí (Ignición: 1.00)"/>
    <x v="0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411"/>
    <d v="2026-06-01T17:21:49"/>
    <d v="1899-12-30T00:00:29"/>
    <n v="0.34324789047241211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412"/>
    <d v="2026-06-01T17:22:30"/>
    <d v="1899-12-30T00:00:39"/>
    <n v="0.44095170497894287"/>
    <s v="Exceso Velocidad 40 Km/h (Velocidad máxima: 43 kmh)"/>
    <x v="104"/>
    <s v="Válido"/>
  </r>
  <r>
    <x v="16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413"/>
    <d v="2026-06-01T17:23:21"/>
    <d v="1899-12-30T00:00:39"/>
    <n v="0.44976136088371277"/>
    <s v="Exceso Velocidad 40 Km/h (Velocidad máxima: 42 kmh)"/>
    <x v="51"/>
    <s v="Válido"/>
  </r>
  <r>
    <x v="16"/>
    <s v="Vehicle, Diesel, Frontera Energy Col 2679"/>
    <x v="2"/>
    <x v="2"/>
    <x v="2"/>
    <n v="0"/>
    <x v="10"/>
    <s v="ECOPETROL RUBIALES- Quifa - CAÑO SUR: Qf 48 36 79 Dw1, Puerto Gaitán, Meta, Colombia"/>
    <s v="Cliente, Vel Max 40 Km/h"/>
    <x v="1414"/>
    <d v="2026-06-01T17:24:14"/>
    <d v="1899-12-30T00:00:01"/>
    <n v="7.1536703035235405E-3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Qf 12, Puerto Gaitán, Meta, Colombia"/>
    <s v="Cliente, Vel Max 40 Km/h"/>
    <x v="1415"/>
    <d v="2026-06-01T17:24:25"/>
    <d v="1899-12-30T00:00:05"/>
    <n v="5.0294879823923111E-2"/>
    <s v="Exceso Velocidad 40 Km/h (Velocidad máxima: 41 kmh)"/>
    <x v="47"/>
    <s v="Válido"/>
  </r>
  <r>
    <x v="16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1416"/>
    <d v="2026-06-01T17:33:35"/>
    <d v="1899-12-30T00:00:03"/>
    <n v="3.7296444177627563E-2"/>
    <s v="Exceso Velocidad 40 Km/h (Velocidad máxima: 43 kmh)"/>
    <x v="104"/>
    <s v="Válido"/>
  </r>
  <r>
    <x v="16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17"/>
    <d v="2026-06-01T17:35:08"/>
    <d v="1899-12-30T00:00:23"/>
    <n v="0.12586846947669983"/>
    <s v="Exceso Velocidad 10 Km/h (Velocidad máxima: 27 kmh)"/>
    <x v="110"/>
    <s v="Válido"/>
  </r>
  <r>
    <x v="16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1418"/>
    <d v="2026-06-01T17:35:41"/>
    <d v="1899-12-30T00:00:08"/>
    <n v="7.0119105279445648E-2"/>
    <s v="Exceso Velocidad 30 Km/h (Velocidad máxima: 37 kmh)"/>
    <x v="55"/>
    <s v="Válido"/>
  </r>
  <r>
    <x v="16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1419"/>
    <d v="2026-06-01T17:35:58"/>
    <d v="1899-12-30T00:01:10"/>
    <n v="0.53490114212036133"/>
    <s v="Exceso Velocidad 10 Km/h (Velocidad máxima: 29 kmh)"/>
    <x v="58"/>
    <s v="Válido"/>
  </r>
  <r>
    <x v="16"/>
    <s v="Vehicle, Diesel, Frontera Energy Col 2679"/>
    <x v="2"/>
    <x v="2"/>
    <x v="2"/>
    <n v="0"/>
    <x v="4"/>
    <s v="ECOPETROL RUBIALES- Quifa - CAÑO SUR, Campamento Quifa - CMA: Vía Sin Nombre, Puerto Gaitán, Meta, Colombia"/>
    <s v="Cliente, Vel Max 40 Km/h, Vel Max 10 Km/h"/>
    <x v="1420"/>
    <d v="2026-06-01T17:58:45"/>
    <d v="1899-12-30T00:01:11"/>
    <n v="0.5354350209236145"/>
    <s v="Exceso Velocidad 10 Km/h (Velocidad máxima: 30 kmh)"/>
    <x v="88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21"/>
    <d v="2026-06-01T18:00:13"/>
    <d v="1899-12-30T00:00:30"/>
    <n v="0.28822341561317444"/>
    <s v="Exceso Velocidad 30 Km/h (Velocidad máxima: 37 kmh)"/>
    <x v="55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22"/>
    <d v="2026-06-01T18:00:53"/>
    <d v="1899-12-30T00:00:10"/>
    <n v="9.3411467969417572E-2"/>
    <s v="Exceso Velocidad 30 Km/h (Velocidad máxima: 37 kmh)"/>
    <x v="55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23"/>
    <d v="2026-06-01T18:01:07"/>
    <d v="1899-12-30T00:00:01"/>
    <n v="9.5417164266109467E-3"/>
    <s v="Exceso Velocidad 30 Km/h (Velocidad máxima: 31 kmh)"/>
    <x v="49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24"/>
    <d v="2026-06-01T18:01:21"/>
    <d v="1899-12-30T00:00:02"/>
    <n v="1.6719674691557884E-2"/>
    <s v="Exceso Velocidad 30 Km/h (Velocidad máxima: 32 kmh)"/>
    <x v="102"/>
    <s v="Válido"/>
  </r>
  <r>
    <x v="16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25"/>
    <d v="2026-06-01T18:02:01"/>
    <d v="1899-12-30T00:00:26"/>
    <n v="0.18379375338554382"/>
    <s v="Exceso Velocidad 10 Km/h (Velocidad máxima: 25 kmh)"/>
    <x v="35"/>
    <s v="Válido"/>
  </r>
  <r>
    <x v="16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26"/>
    <d v="2026-06-01T18:02:50"/>
    <d v="1899-12-30T00:00:22"/>
    <n v="0.19939406216144562"/>
    <s v="Exceso Velocidad 30 Km/h (Velocidad máxima: 34 kmh)"/>
    <x v="100"/>
    <s v="Válido"/>
  </r>
  <r>
    <x v="17"/>
    <s v="Vehicle, Diesel, Frontera Energy Col 2679"/>
    <x v="2"/>
    <x v="2"/>
    <x v="2"/>
    <n v="0"/>
    <x v="0"/>
    <s v="ECOPETROL RUBIALES- Quifa - CAÑO SUR: Vía La Culebra, Puerto Gaitán, Meta, Colombia"/>
    <s v="Cliente, Vel Max 40 Km/h"/>
    <x v="1427"/>
    <d v="2026-06-01T00:08:32"/>
    <d v="1899-12-30T00:06:28"/>
    <n v="4.5392373576760292E-3"/>
    <s v="Tiempo en ralentí (Ignición: 1.00)"/>
    <x v="0"/>
    <s v="Válido"/>
  </r>
  <r>
    <x v="17"/>
    <s v="Vehicle, Diesel, Frontera Energy Col 2679"/>
    <x v="2"/>
    <x v="2"/>
    <x v="2"/>
    <n v="0"/>
    <x v="9"/>
    <s v="ECOPETROL RUBIALES- Quifa - CAÑO SUR: Vía La Culebra, Puerto Gaitán, Meta, Colombia"/>
    <s v="Cliente, Vel Max 40 Km/h"/>
    <x v="1428"/>
    <d v="2026-06-01T00:16:28"/>
    <d v="1899-12-30T00:00:17"/>
    <n v="8.2688279449939728E-2"/>
    <s v="Uso del cinturón de seguridad (Velocidad máxima: 15 kmh Cinturón de seguridad del conductor (1. Desabrochado): 1.00)"/>
    <x v="82"/>
    <s v="Válido"/>
  </r>
  <r>
    <x v="1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429"/>
    <d v="2026-06-01T01:08:06"/>
    <d v="1899-12-30T00:00:21"/>
    <n v="5.2955590188503265E-2"/>
    <s v="Exceso Velocidad 10 Km/h (Velocidad máxima: 11 kmh)"/>
    <x v="31"/>
    <s v="Válido"/>
  </r>
  <r>
    <x v="17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430"/>
    <d v="2026-06-01T02:24:55"/>
    <d v="1899-12-30T00:00:18"/>
    <n v="5.0523638725280762E-2"/>
    <s v="Exceso Velocidad 10 Km/h (Velocidad máxima: 11 kmh)"/>
    <x v="31"/>
    <s v="Válido"/>
  </r>
  <r>
    <x v="17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431"/>
    <d v="2026-06-01T02:27:53"/>
    <d v="1899-12-30T00:01:18"/>
    <n v="0.22012625634670258"/>
    <s v="Exceso Velocidad 10 Km/h (Velocidad máxima: 11 kmh)"/>
    <x v="31"/>
    <s v="Válido"/>
  </r>
  <r>
    <x v="17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432"/>
    <d v="2026-06-01T02:30:18"/>
    <d v="1899-12-30T00:02:57"/>
    <n v="0.53964823484420776"/>
    <s v="Exceso Velocidad 10 Km/h (Velocidad máxima: 14 kmh)"/>
    <x v="10"/>
    <s v="Válido"/>
  </r>
  <r>
    <x v="17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1433"/>
    <d v="2026-06-01T02:33:15"/>
    <d v="1899-12-30T00:00:18"/>
    <n v="6.4384713768959045E-2"/>
    <s v="Exceso Velocidad 10 Km/h (Velocidad máxima: 13 kmh)"/>
    <x v="34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34"/>
    <d v="2026-06-01T03:03:21"/>
    <d v="1899-12-30T00:00:09"/>
    <n v="4.7139637172222137E-2"/>
    <s v="Exceso Velocidad 10 Km/h (Velocidad máxima: 19 kmh)"/>
    <x v="123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35"/>
    <d v="2026-06-01T03:03:35"/>
    <d v="1899-12-30T00:00:14"/>
    <n v="4.9763817340135574E-2"/>
    <s v="Exceso Velocidad 10 Km/h (Velocidad máxima: 14 kmh)"/>
    <x v="10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1436"/>
    <d v="2026-06-01T03:03:51"/>
    <d v="1899-12-30T00:00:03"/>
    <n v="1.3480017893016338E-2"/>
    <s v="Exceso Velocidad 10 Km/h (Velocidad máxima: 15 kmh)"/>
    <x v="50"/>
    <s v="Válido"/>
  </r>
  <r>
    <x v="17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1437"/>
    <d v="2026-06-01T03:04:25"/>
    <d v="1899-12-30T00:00:14"/>
    <n v="6.7848503589630127E-2"/>
    <s v="Exceso Velocidad 10 Km/h (Velocidad máxima: 21 kmh)"/>
    <x v="48"/>
    <s v="Válido"/>
  </r>
  <r>
    <x v="17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1438"/>
    <d v="2026-06-01T03:13:36"/>
    <d v="1899-12-30T00:00:19"/>
    <n v="5.8877520263195038E-2"/>
    <s v="Exceso Velocidad 10 Km/h (Velocidad máxima: 11 kmh)"/>
    <x v="31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439"/>
    <d v="2026-06-01T03:14:37"/>
    <d v="1899-12-30T00:00:18"/>
    <n v="7.4546016752719879E-2"/>
    <s v="Exceso Velocidad 10 Km/h (Velocidad máxima: 16 kmh)"/>
    <x v="32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40"/>
    <d v="2026-06-01T03:14:57"/>
    <d v="1899-12-30T00:00:15"/>
    <n v="6.8960472941398621E-2"/>
    <s v="Exceso Velocidad 10 Km/h (Velocidad máxima: 16 kmh)"/>
    <x v="32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41"/>
    <d v="2026-06-01T04:38:34"/>
    <d v="1899-12-30T00:00:09"/>
    <n v="4.0219400078058243E-2"/>
    <s v="Exceso Velocidad 10 Km/h (Velocidad máxima: 20 kmh)"/>
    <x v="30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42"/>
    <d v="2026-06-01T04:38:44"/>
    <d v="1899-12-30T00:00:16"/>
    <n v="7.3787860572338104E-2"/>
    <s v="Exceso Velocidad 10 Km/h (Velocidad máxima: 20 kmh)"/>
    <x v="30"/>
    <s v="Válido"/>
  </r>
  <r>
    <x v="1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43"/>
    <d v="2026-06-01T04:39:38"/>
    <d v="1899-12-30T00:00:05"/>
    <n v="3.8293641060590744E-2"/>
    <s v="Exceso Velocidad 30 Km/h (Velocidad máxima: 31 kmh)"/>
    <x v="49"/>
    <s v="Válido"/>
  </r>
  <r>
    <x v="17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44"/>
    <d v="2026-06-01T04:39:42"/>
    <d v="1899-12-30T00:00:25"/>
    <n v="0.21577966213226318"/>
    <s v="Exceso Velocidad 30 Km/h (Velocidad máxima: 31 kmh)"/>
    <x v="49"/>
    <s v="Válido"/>
  </r>
  <r>
    <x v="1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445"/>
    <d v="2026-06-01T04:41:12"/>
    <d v="1899-12-30T00:00:48"/>
    <n v="0.30516701936721802"/>
    <s v="Exceso de velocidad (nuevo) (Velocidad máxima: 27 kmh (Velocidad máxima en carretera: 7 kmh))"/>
    <x v="211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46"/>
    <d v="2026-06-01T04:42:07"/>
    <d v="1899-12-30T00:00:39"/>
    <n v="0.13130097091197968"/>
    <s v="Exceso Velocidad 10 Km/h (Velocidad máxima: 13 kmh)"/>
    <x v="34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47"/>
    <d v="2026-06-01T05:09:12"/>
    <d v="1899-12-30T00:00:38"/>
    <n v="0.16488735377788544"/>
    <s v="Exceso Velocidad 10 Km/h (Velocidad máxima: 17 kmh)"/>
    <x v="43"/>
    <s v="Válido"/>
  </r>
  <r>
    <x v="1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448"/>
    <d v="2026-06-01T05:09:57"/>
    <d v="1899-12-30T00:00:47"/>
    <n v="0.30317482352256775"/>
    <s v="Exceso de velocidad (nuevo) (Velocidad máxima: 30 kmh (Velocidad máxima en carretera: 7 kmh))"/>
    <x v="202"/>
    <s v="Válido"/>
  </r>
  <r>
    <x v="1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49"/>
    <d v="2026-06-01T05:11:00"/>
    <d v="1899-12-30T00:00:25"/>
    <n v="0.18367443978786469"/>
    <s v="Exceso Velocidad 10 Km/h (Velocidad máxima: 27 kmh)"/>
    <x v="110"/>
    <s v="Válido"/>
  </r>
  <r>
    <x v="1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50"/>
    <d v="2026-06-01T05:23:25"/>
    <d v="1899-12-30T00:00:33"/>
    <n v="0.18294687569141388"/>
    <s v="Exceso Velocidad 10 Km/h (Velocidad máxima: 21 kmh)"/>
    <x v="48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451"/>
    <d v="2026-06-01T05:27:49"/>
    <d v="1899-12-30T00:00:02"/>
    <n v="3.8947127759456635E-3"/>
    <s v="Exceso Velocidad 10 Km/h (Velocidad máxima: 11 kmh)"/>
    <x v="31"/>
    <s v="Válido"/>
  </r>
  <r>
    <x v="1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52"/>
    <d v="2026-06-01T06:16:28"/>
    <d v="1899-12-30T00:00:30"/>
    <n v="0.15045176446437836"/>
    <s v="Exceso Velocidad 10 Km/h (Velocidad máxima: 17 kmh)"/>
    <x v="43"/>
    <s v="Válido"/>
  </r>
  <r>
    <x v="1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53"/>
    <d v="2026-06-01T06:20:22"/>
    <d v="1899-12-30T00:00:11"/>
    <n v="2.5627128779888153E-2"/>
    <s v="Exceso Velocidad 10 Km/h (Velocidad máxima: 12 kmh)"/>
    <x v="33"/>
    <s v="Válido"/>
  </r>
  <r>
    <x v="1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54"/>
    <d v="2026-06-01T06:20:33"/>
    <d v="1899-12-30T00:00:40"/>
    <n v="0.17111454904079437"/>
    <s v="Exceso Velocidad 10 Km/h (Velocidad máxima: 17 kmh)"/>
    <x v="43"/>
    <s v="Válido"/>
  </r>
  <r>
    <x v="1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455"/>
    <d v="2026-06-01T06:21:39"/>
    <d v="1899-12-30T00:02:35"/>
    <n v="0.77633994817733765"/>
    <s v="Exceso de velocidad (nuevo) (Velocidad máxima: 21 kmh (Velocidad máxima en carretera: 7 kmh))"/>
    <x v="212"/>
    <s v="Válido"/>
  </r>
  <r>
    <x v="17"/>
    <s v="Vehicle, Diesel, Frontera Energy Col 2679"/>
    <x v="2"/>
    <x v="2"/>
    <x v="2"/>
    <n v="0"/>
    <x v="5"/>
    <s v="ECOPETROL RUBIALES- Quifa - CAÑO SUR: Vía Sin Nombre, Puerto Gaitán, Meta, Colombia"/>
    <s v="Cliente, Vel Max 40 Km/h"/>
    <x v="1456"/>
    <d v="2026-06-01T06:24:26"/>
    <d v="1899-12-30T00:01:02"/>
    <n v="0.46691873669624329"/>
    <s v="Exceso de velocidad (nuevo) (Velocidad máxima: 29 kmh (Velocidad máxima en carretera: 7 kmh))"/>
    <x v="68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57"/>
    <d v="2026-06-01T06:25:53"/>
    <d v="1899-12-30T00:00:28"/>
    <n v="8.2784950733184814E-2"/>
    <s v="Exceso Velocidad 10 Km/h (Velocidad máxima: 11 kmh)"/>
    <x v="31"/>
    <s v="Válido"/>
  </r>
  <r>
    <x v="17"/>
    <s v="Vehicle, Diesel, Frontera Energy Col 2679"/>
    <x v="2"/>
    <x v="2"/>
    <x v="2"/>
    <n v="0"/>
    <x v="5"/>
    <s v="ECOPETROL RUBIALES- Quifa - CAÑO SUR: Vía Sin Nombre, Puerto Gaitán, Meta, Colombia"/>
    <s v="Cliente, Vel Max 40 Km/h"/>
    <x v="1458"/>
    <d v="2026-06-01T07:55:25"/>
    <d v="1899-12-30T00:02:22"/>
    <n v="0.75372970104217529"/>
    <s v="Exceso de velocidad (nuevo) (Velocidad máxima: 20 kmh (Velocidad máxima en carretera: 7 kmh))"/>
    <x v="121"/>
    <s v="Válido"/>
  </r>
  <r>
    <x v="17"/>
    <s v="Vehicle, Diesel, Frontera Energy Col 2679"/>
    <x v="2"/>
    <x v="2"/>
    <x v="2"/>
    <n v="0"/>
    <x v="5"/>
    <s v="ECOPETROL RUBIALES- Quifa - CAÑO SUR: Vía Sin Nombre, Puerto Gaitán, Meta, Colombia"/>
    <s v="Cliente, Vel Max 40 Km/h"/>
    <x v="1459"/>
    <d v="2026-06-01T08:26:17"/>
    <d v="1899-12-30T00:02:42"/>
    <n v="1.0111510753631592"/>
    <s v="Exceso de velocidad (nuevo) (Velocidad máxima: 27 kmh (Velocidad máxima en carretera: 7 kmh))"/>
    <x v="211"/>
    <s v="Válido"/>
  </r>
  <r>
    <x v="1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60"/>
    <d v="2026-06-01T08:29:14"/>
    <d v="1899-12-30T00:00:30"/>
    <n v="0.1492164134979248"/>
    <s v="Exceso Velocidad 10 Km/h (Velocidad máxima: 21 kmh)"/>
    <x v="48"/>
    <s v="Válido"/>
  </r>
  <r>
    <x v="17"/>
    <s v="Vehicle, Diesel, Frontera Energy Col 2679"/>
    <x v="2"/>
    <x v="2"/>
    <x v="2"/>
    <n v="0"/>
    <x v="0"/>
    <s v="ECOPETROL RUBIALES- Quifa - CAÑO SUR, PUESTRO CONTROL QUIFA: Puerto Gaitan - Rubiales, Puerto Gaitán, Meta, Colombia"/>
    <s v="Cliente, Vel Max 40 Km/h, Vel Max 10 Km/h"/>
    <x v="1461"/>
    <d v="2026-06-01T08:30:29"/>
    <d v="1899-12-30T00:06:58"/>
    <n v="5.1757898181676865E-3"/>
    <s v="Tiempo en ralentí (Ignición: 1.00)"/>
    <x v="0"/>
    <s v="Válido"/>
  </r>
  <r>
    <x v="17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462"/>
    <d v="2026-06-01T08:47:45"/>
    <d v="1899-12-30T00:00:47"/>
    <n v="0.18975785374641418"/>
    <s v="Exceso Velocidad 10 Km/h (Velocidad máxima: 18 kmh)"/>
    <x v="39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463"/>
    <d v="2026-06-01T08:52:28"/>
    <d v="1899-12-30T00:00:03"/>
    <n v="1.038664486259222E-2"/>
    <s v="Exceso Velocidad 10 Km/h (Velocidad máxima: 12 kmh)"/>
    <x v="33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1464"/>
    <d v="2026-06-01T08:52:34"/>
    <d v="1899-12-30T00:00:13"/>
    <n v="4.7632794827222824E-2"/>
    <s v="Exceso Velocidad 10 Km/h (Velocidad máxima: 15 kmh)"/>
    <x v="50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65"/>
    <d v="2026-06-01T08:52:53"/>
    <d v="1899-12-30T00:00:11"/>
    <n v="4.0749568492174149E-2"/>
    <s v="Exceso Velocidad 10 Km/h (Velocidad máxima: 15 kmh)"/>
    <x v="50"/>
    <s v="Válido"/>
  </r>
  <r>
    <x v="17"/>
    <s v="Vehicle, Diesel, Frontera Energy Col 2679"/>
    <x v="2"/>
    <x v="2"/>
    <x v="2"/>
    <n v="0"/>
    <x v="0"/>
    <s v="ECOPETROL RUBIALES- Quifa - CAÑO SUR: Vía a QF-306, Puerto Gaitán, Meta, Colombia"/>
    <s v="Cliente, Vel Max 40 Km/h"/>
    <x v="1466"/>
    <d v="2026-06-01T10:34:45"/>
    <d v="1899-12-30T00:08:09"/>
    <n v="6.3045849092304707E-3"/>
    <s v="Tiempo en ralentí (Ignición: 1.00)"/>
    <x v="0"/>
    <s v="Válido"/>
  </r>
  <r>
    <x v="17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482"/>
    <d v="2026-06-01T11:03:56"/>
    <d v="1899-12-30T00:07:16"/>
    <n v="5.2785915322601795E-3"/>
    <s v="Tiempo en ralentí (Ignición: 1.00)"/>
    <x v="0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67"/>
    <d v="2026-06-01T11:26:45"/>
    <d v="1899-12-30T00:00:04"/>
    <n v="1.6346588730812073E-2"/>
    <s v="Exceso Velocidad 10 Km/h (Velocidad máxima: 17 kmh)"/>
    <x v="43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68"/>
    <d v="2026-06-01T11:26:52"/>
    <d v="1899-12-30T00:00:21"/>
    <n v="8.2810893654823303E-2"/>
    <s v="Exceso Velocidad 10 Km/h (Velocidad máxima: 17 kmh)"/>
    <x v="43"/>
    <s v="Válido"/>
  </r>
  <r>
    <x v="1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469"/>
    <d v="2026-06-01T12:02:49"/>
    <d v="1899-12-30T00:00:58"/>
    <n v="0.307466059923172"/>
    <s v="Exceso de velocidad (nuevo) (Velocidad máxima: 24 kmh (Velocidad máxima en carretera: 7 kmh))"/>
    <x v="114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70"/>
    <d v="2026-06-01T12:04:23"/>
    <d v="1899-12-30T00:00:22"/>
    <n v="6.4995422959327698E-2"/>
    <s v="Exceso Velocidad 10 Km/h (Velocidad máxima: 11 kmh)"/>
    <x v="31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71"/>
    <d v="2026-06-01T12:46:23"/>
    <d v="1899-12-30T00:00:45"/>
    <n v="0.12605759501457214"/>
    <s v="Exceso Velocidad 10 Km/h (Velocidad máxima: 12 kmh)"/>
    <x v="33"/>
    <s v="Válido"/>
  </r>
  <r>
    <x v="1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472"/>
    <d v="2026-06-01T12:47:15"/>
    <d v="1899-12-30T00:00:43"/>
    <n v="0.29337120056152344"/>
    <s v="Exceso de velocidad (nuevo) (Velocidad máxima: 31 kmh (Velocidad máxima en carretera: 7 kmh))"/>
    <x v="67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473"/>
    <d v="2026-06-01T12:51:15"/>
    <d v="1899-12-30T00:00:03"/>
    <n v="7.8424941748380661E-3"/>
    <s v="Exceso Velocidad 10 Km/h (Velocidad máxima: 11 kmh)"/>
    <x v="31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474"/>
    <d v="2026-06-01T12:51:45"/>
    <d v="1899-12-30T00:00:44"/>
    <n v="0.13227364420890808"/>
    <s v="Exceso Velocidad 10 Km/h (Velocidad máxima: 11 kmh)"/>
    <x v="31"/>
    <s v="Válido"/>
  </r>
  <r>
    <x v="17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1475"/>
    <d v="2026-06-01T12:52:42"/>
    <d v="1899-12-30T00:00:28"/>
    <n v="7.5600206851959229E-2"/>
    <s v="Exceso Velocidad 10 Km/h (Velocidad máxima: 12 kmh)"/>
    <x v="33"/>
    <s v="Válido"/>
  </r>
  <r>
    <x v="17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1476"/>
    <d v="2026-06-01T12:54:50"/>
    <d v="1899-12-30T00:00:32"/>
    <n v="9.13081094622612E-2"/>
    <s v="Exceso Velocidad 10 Km/h (Velocidad máxima: 11 kmh)"/>
    <x v="31"/>
    <s v="Válido"/>
  </r>
  <r>
    <x v="1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477"/>
    <d v="2026-06-01T13:28:51"/>
    <d v="1899-12-30T00:00:55"/>
    <n v="0.29454463720321655"/>
    <s v="Exceso de velocidad (nuevo) (Velocidad máxima: 22 kmh (Velocidad máxima en carretera: 7 kmh))"/>
    <x v="124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78"/>
    <d v="2026-06-01T13:31:56"/>
    <d v="1899-12-30T00:00:28"/>
    <n v="8.0340132117271423E-2"/>
    <s v="Exceso Velocidad 10 Km/h (Velocidad máxima: 11 kmh)"/>
    <x v="31"/>
    <s v="Válido"/>
  </r>
  <r>
    <x v="1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479"/>
    <d v="2026-06-01T13:39:27"/>
    <d v="1899-12-30T00:01:13"/>
    <n v="0.30160501599311829"/>
    <s v="Exceso de velocidad (nuevo) (Velocidad máxima: 18 kmh (Velocidad máxima en carretera: 7 kmh))"/>
    <x v="120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1480"/>
    <d v="2026-06-01T13:44:21"/>
    <d v="1899-12-30T00:00:12"/>
    <n v="4.5176509767770767E-2"/>
    <s v="Exceso Velocidad 10 Km/h (Velocidad máxima: 15 kmh)"/>
    <x v="50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81"/>
    <d v="2026-06-01T13:44:47"/>
    <d v="1899-12-30T00:00:05"/>
    <n v="1.518365740776062E-2"/>
    <s v="Exceso Velocidad 10 Km/h (Velocidad máxima: 11 kmh)"/>
    <x v="31"/>
    <s v="Válido"/>
  </r>
  <r>
    <x v="17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1482"/>
    <d v="2026-06-01T14:27:36"/>
    <d v="1899-12-30T00:07:54"/>
    <n v="1.3944544829428196E-2"/>
    <s v="Tiempo en ralentí (Ignición: 1.00)"/>
    <x v="0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83"/>
    <d v="2026-06-01T17:19:17"/>
    <d v="1899-12-30T00:00:08"/>
    <n v="3.6346051841974258E-2"/>
    <s v="Exceso Velocidad 10 Km/h (Velocidad máxima: 16 kmh)"/>
    <x v="32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84"/>
    <d v="2026-06-01T17:19:29"/>
    <d v="1899-12-30T00:00:19"/>
    <n v="6.8209104239940643E-2"/>
    <s v="Exceso Velocidad 10 Km/h (Velocidad máxima: 15 kmh)"/>
    <x v="50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485"/>
    <d v="2026-06-01T17:20:22"/>
    <d v="1899-12-30T00:00:15"/>
    <n v="3.6870084702968597E-2"/>
    <s v="Exceso Velocidad 10 Km/h (Velocidad máxima: 11 kmh)"/>
    <x v="31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486"/>
    <d v="2026-06-01T17:59:12"/>
    <d v="1899-12-30T00:00:01"/>
    <n v="3.7098182365298271E-3"/>
    <s v="Exceso Velocidad 10 Km/h (Velocidad máxima: 10 kmh)"/>
    <x v="9"/>
    <s v="Válido"/>
  </r>
  <r>
    <x v="1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487"/>
    <d v="2026-06-01T18:02:34"/>
    <d v="1899-12-30T00:01:08"/>
    <n v="0.30862930417060852"/>
    <s v="Exceso de velocidad (nuevo) (Velocidad máxima: 20 kmh (Velocidad máxima en carretera: 7 kmh))"/>
    <x v="121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88"/>
    <d v="2026-06-01T18:03:50"/>
    <d v="1899-12-30T00:00:42"/>
    <n v="0.1299457848072052"/>
    <s v="Exceso Velocidad 10 Km/h (Velocidad máxima: 11 kmh)"/>
    <x v="31"/>
    <s v="Válido"/>
  </r>
  <r>
    <x v="1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489"/>
    <d v="2026-06-01T18:10:30"/>
    <d v="1899-12-30T00:01:03"/>
    <n v="0.22359070181846619"/>
    <s v="Exceso de velocidad (nuevo) (Velocidad máxima: 14 kmh (Velocidad máxima en carretera: 7 kmh))"/>
    <x v="213"/>
    <s v="Válido"/>
  </r>
  <r>
    <x v="1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490"/>
    <d v="2026-06-01T18:11:55"/>
    <d v="1899-12-30T00:00:16"/>
    <n v="6.1692163348197937E-2"/>
    <s v="Exceso de velocidad (nuevo) (Velocidad máxima: 17 kmh (Velocidad máxima en carretera: 7 kmh))"/>
    <x v="214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491"/>
    <d v="2026-06-01T18:15:47"/>
    <d v="1899-12-30T00:00:16"/>
    <n v="4.6416137367486954E-2"/>
    <s v="Exceso Velocidad 10 Km/h (Velocidad máxima: 12 kmh)"/>
    <x v="33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92"/>
    <d v="2026-06-01T18:16:31"/>
    <d v="1899-12-30T00:00:10"/>
    <n v="2.8465963900089264E-2"/>
    <s v="Exceso Velocidad 10 Km/h (Velocidad máxima: 11 kmh)"/>
    <x v="31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493"/>
    <d v="2026-06-01T20:52:25"/>
    <d v="1899-12-30T00:00:08"/>
    <n v="2.8818909078836441E-2"/>
    <s v="Exceso Velocidad 10 Km/h (Velocidad máxima: 13 kmh)"/>
    <x v="34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494"/>
    <d v="2026-06-01T21:29:43"/>
    <d v="1899-12-30T00:00:03"/>
    <n v="8.626159280538559E-3"/>
    <s v="Exceso Velocidad 10 Km/h (Velocidad máxima: 12 kmh)"/>
    <x v="33"/>
    <s v="Válido"/>
  </r>
  <r>
    <x v="17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495"/>
    <d v="2026-06-01T21:32:26"/>
    <d v="1899-12-30T00:00:54"/>
    <n v="0.30578452348709106"/>
    <s v="Exceso de velocidad (nuevo) (Velocidad máxima: 25 kmh (Velocidad máxima en carretera: 7 kmh))"/>
    <x v="215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96"/>
    <d v="2026-06-01T21:33:26"/>
    <d v="1899-12-30T00:00:40"/>
    <n v="0.13629704713821411"/>
    <s v="Exceso Velocidad 10 Km/h (Velocidad máxima: 13 kmh)"/>
    <x v="34"/>
    <s v="Válido"/>
  </r>
  <r>
    <x v="17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497"/>
    <d v="2026-06-01T23:14:55"/>
    <d v="1899-12-30T00:00:20"/>
    <n v="5.6226745247840881E-2"/>
    <s v="Exceso Velocidad 10 Km/h (Velocidad máxima: 11 kmh)"/>
    <x v="31"/>
    <s v="Válido"/>
  </r>
  <r>
    <x v="17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498"/>
    <d v="2026-06-01T23:15:49"/>
    <d v="1899-12-30T00:01:09"/>
    <n v="0.30988553166389465"/>
    <s v="Exceso de velocidad (nuevo) (Velocidad máxima: 19 kmh (Velocidad máxima en carretera: 7 kmh))"/>
    <x v="216"/>
    <s v="Válido"/>
  </r>
  <r>
    <x v="17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499"/>
    <d v="2026-06-01T23:19:48"/>
    <d v="1899-12-30T00:00:16"/>
    <n v="7.0226565003395081E-2"/>
    <s v="Exceso Velocidad 10 Km/h (Velocidad máxima: 19 kmh)"/>
    <x v="123"/>
    <s v="Válido"/>
  </r>
  <r>
    <x v="17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500"/>
    <d v="2026-06-01T23:20:16"/>
    <d v="1899-12-30T00:00:12"/>
    <n v="4.2247258126735687E-2"/>
    <s v="Exceso Velocidad 10 Km/h (Velocidad máxima: 12 kmh)"/>
    <x v="33"/>
    <s v="Válido"/>
  </r>
  <r>
    <x v="18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1501"/>
    <d v="2026-05-31T23:55:53"/>
    <d v="1899-12-30T00:36:20"/>
    <n v="0"/>
    <s v="Tiempo en ralentí (Ignición: 1.00)"/>
    <x v="0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02"/>
    <d v="2026-06-01T00:33:52"/>
    <d v="1899-12-30T00:00:03"/>
    <n v="2.1611742675304413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03"/>
    <d v="2026-06-01T00:34:21"/>
    <d v="1899-12-30T00:00:21"/>
    <n v="0.17813679575920105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04"/>
    <d v="2026-06-01T00:35:33"/>
    <d v="1899-12-30T00:00:19"/>
    <n v="0.1661936491727829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05"/>
    <d v="2026-06-01T00:36:01"/>
    <d v="1899-12-30T00:00:03"/>
    <n v="2.3596517741680145E-2"/>
    <s v="Exceso Velocidad 30 Km/h (Velocidad máxima: 31 kmh)"/>
    <x v="49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06"/>
    <d v="2026-06-01T00:36:05"/>
    <d v="1899-12-30T00:00:23"/>
    <n v="0.18249154090881348"/>
    <s v="Exceso Velocidad 10 Km/h (Velocidad máxima: 31 kmh)"/>
    <x v="127"/>
    <s v="Válido"/>
  </r>
  <r>
    <x v="18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794"/>
    <d v="2026-06-01T00:36:20"/>
    <d v="1899-12-30T00:00:19"/>
    <n v="0.16346666216850281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07"/>
    <d v="2026-06-01T00:37:02"/>
    <d v="1899-12-30T00:00:03"/>
    <n v="2.6686497032642365E-2"/>
    <s v="Exceso Velocidad 30 Km/h (Velocidad máxima: 31 kmh)"/>
    <x v="49"/>
    <s v="Válido"/>
  </r>
  <r>
    <x v="18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1508"/>
    <d v="2026-06-01T00:37:10"/>
    <d v="1899-12-30T00:00:00"/>
    <n v="8.3005426859017462E-5"/>
    <s v="Giro brusco (Velocidad máxima: 14 kmh Aceleración de lado a lado: -0.48 g-force, Ignición: 1.00)"/>
    <x v="217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09"/>
    <d v="2026-06-01T00:37:21"/>
    <d v="1899-12-30T00:00:08"/>
    <n v="7.4884288012981415E-2"/>
    <s v="Exceso Velocidad 30 Km/h (Velocidad máxima: 39 kmh)"/>
    <x v="6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10"/>
    <d v="2026-06-01T00:37:37"/>
    <d v="1899-12-30T00:00:04"/>
    <n v="3.8961872458457947E-2"/>
    <s v="Exceso Velocidad 30 Km/h (Velocidad máxima: 33 kmh)"/>
    <x v="56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511"/>
    <d v="2026-06-01T00:38:57"/>
    <d v="1899-12-30T00:00:30"/>
    <n v="0.14615383744239807"/>
    <s v="Exceso Velocidad 10 Km/h (Velocidad máxima: 20 kmh)"/>
    <x v="30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512"/>
    <d v="2026-06-01T00:39:30"/>
    <d v="1899-12-30T00:00:08"/>
    <n v="2.9899155721068382E-2"/>
    <s v="Exceso Velocidad 10 Km/h (Velocidad máxima: 16 kmh)"/>
    <x v="32"/>
    <s v="Válido"/>
  </r>
  <r>
    <x v="18"/>
    <s v="Vehicle, Diesel, Frontera Energy Col 2679"/>
    <x v="2"/>
    <x v="2"/>
    <x v="2"/>
    <n v="0"/>
    <x v="4"/>
    <s v="CAMPAMENTO QUIFA, ECOPETROL RUBIALES- Quifa - CAÑO SUR, Campamento Quifa - CMA: Puerto Gaitan - Rubiales, Puerto Gaitán, Meta, Colombia"/>
    <s v="Vel Max 10 Km/h, Cliente, Vel Max 40 Km/h"/>
    <x v="1513"/>
    <d v="2026-06-01T00:40:28"/>
    <d v="1899-12-30T00:00:03"/>
    <n v="6.9242985919117928E-3"/>
    <s v="Exceso Velocidad 10 Km/h (Velocidad máxima: 11 kmh)"/>
    <x v="31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514"/>
    <d v="2026-06-01T00:44:33"/>
    <d v="1899-12-30T00:00:02"/>
    <n v="7.3631801642477512E-3"/>
    <s v="Exceso Velocidad 10 Km/h (Velocidad máxima: 19 kmh)"/>
    <x v="123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515"/>
    <d v="2026-06-01T00:44:38"/>
    <d v="1899-12-30T00:00:11"/>
    <n v="6.7201092839241028E-2"/>
    <s v="Exceso Velocidad 10 Km/h (Velocidad máxima: 29 kmh)"/>
    <x v="58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516"/>
    <d v="2026-06-01T00:44:50"/>
    <d v="1899-12-30T00:00:14"/>
    <n v="5.7381603866815567E-2"/>
    <s v="Exceso Velocidad 10 Km/h (Velocidad máxima: 18 kmh)"/>
    <x v="39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1517"/>
    <d v="2026-06-01T00:45:07"/>
    <d v="1899-12-30T00:00:04"/>
    <n v="1.3404831290245056E-2"/>
    <s v="Exceso Velocidad 10 Km/h (Velocidad máxima: 13 kmh)"/>
    <x v="34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18"/>
    <d v="2026-06-01T00:45:53"/>
    <d v="1899-12-30T00:00:23"/>
    <n v="0.19307759404182434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19"/>
    <d v="2026-06-01T00:46:40"/>
    <d v="1899-12-30T00:00:07"/>
    <n v="5.9882417321205139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20"/>
    <d v="2026-06-01T00:47:05"/>
    <d v="1899-12-30T00:00:05"/>
    <n v="4.8141118139028549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21"/>
    <d v="2026-06-01T00:47:32"/>
    <d v="1899-12-30T00:00:38"/>
    <n v="0.32483693957328796"/>
    <s v="Exceso Velocidad 30 Km/h (Velocidad máxima: 33 kmh)"/>
    <x v="56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22"/>
    <d v="2026-06-01T00:47:44"/>
    <d v="1899-12-30T00:00:22"/>
    <n v="0.18276239931583405"/>
    <s v="Exceso Velocidad 10 Km/h (Velocidad máxima: 33 kmh)"/>
    <x v="107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23"/>
    <d v="2026-06-01T00:48:17"/>
    <d v="1899-12-30T00:00:25"/>
    <n v="0.22378149628639221"/>
    <s v="Exceso Velocidad 30 Km/h (Velocidad máxima: 35 kmh)"/>
    <x v="5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24"/>
    <d v="2026-06-01T00:49:31"/>
    <d v="1899-12-30T00:00:06"/>
    <n v="4.7364659607410431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25"/>
    <d v="2026-06-01T00:50:08"/>
    <d v="1899-12-30T00:00:16"/>
    <n v="0.13639150559902191"/>
    <s v="Exceso Velocidad 30 Km/h (Velocidad máxima: 33 kmh)"/>
    <x v="56"/>
    <s v="Válido"/>
  </r>
  <r>
    <x v="18"/>
    <s v="Vehicle, Diesel, Frontera Energy Col 2679"/>
    <x v="2"/>
    <x v="2"/>
    <x v="2"/>
    <n v="0"/>
    <x v="7"/>
    <s v="ECOPETROL RUBIALES- Quifa - CAÑO SUR, Puerto Triunfo - Estacion Policia: Puerto Gaitan - Rubiales #Km 129, Puerto Gaitán, Meta, Colombia"/>
    <s v="Cliente, Vel Max 40 Km/h, Vel Max 30 Km/h"/>
    <x v="1526"/>
    <d v="2026-06-01T00:53:31"/>
    <d v="1899-12-30T00:00:00"/>
    <n v="6.5015658037737012E-5"/>
    <s v="Giro brusco (Velocidad máxima: 18 kmh Aceleración de lado a lado: -0.48 g-force, Ignición: 1.00)"/>
    <x v="218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27"/>
    <d v="2026-06-01T06:18:27"/>
    <d v="1899-12-30T00:00:11"/>
    <n v="0.10290048271417618"/>
    <s v="Exceso Velocidad 30 Km/h (Velocidad máxima: 41 kmh)"/>
    <x v="109"/>
    <s v="Válido"/>
  </r>
  <r>
    <x v="18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528"/>
    <d v="2026-06-01T06:18:30"/>
    <d v="1899-12-30T00:00:01"/>
    <n v="1.3969643972814083E-2"/>
    <s v="Exceso Velocidad 40 Km/h (Velocidad máxima: 41 kmh)"/>
    <x v="47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29"/>
    <d v="2026-06-01T06:18:52"/>
    <d v="1899-12-30T00:00:04"/>
    <n v="3.3899538218975067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30"/>
    <d v="2026-06-01T06:21:26"/>
    <d v="1899-12-30T00:00:27"/>
    <n v="0.24147224426269531"/>
    <s v="Exceso Velocidad 30 Km/h (Velocidad máxima: 35 kmh)"/>
    <x v="59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31"/>
    <d v="2026-06-01T06:22:07"/>
    <d v="1899-12-30T00:00:24"/>
    <n v="0.18418240547180176"/>
    <s v="Exceso Velocidad 10 Km/h (Velocidad máxima: 29 kmh)"/>
    <x v="58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32"/>
    <d v="2026-06-01T06:22:56"/>
    <d v="1899-12-30T00:00:03"/>
    <n v="2.6382490992546082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33"/>
    <d v="2026-06-01T06:23:09"/>
    <d v="1899-12-30T00:00:02"/>
    <n v="1.8286589533090591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34"/>
    <d v="2026-06-01T06:24:22"/>
    <d v="1899-12-30T00:00:11"/>
    <n v="9.8625831305980682E-2"/>
    <s v="Exceso Velocidad 30 Km/h (Velocidad máxima: 35 kmh)"/>
    <x v="59"/>
    <s v="Válido"/>
  </r>
  <r>
    <x v="18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1535"/>
    <d v="2026-06-01T06:24:42"/>
    <d v="1899-12-30T00:00:00"/>
    <n v="4.7432346036657691E-5"/>
    <s v="Giro brusco (Velocidad máxima: 7 kmh Aceleración de lado a lado: -0.48 g-force, Ignición: 1.00)"/>
    <x v="219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536"/>
    <d v="2026-06-01T06:25:17"/>
    <d v="1899-12-30T00:00:04"/>
    <n v="1.1657283641397953E-2"/>
    <s v="Exceso Velocidad 10 Km/h (Velocidad máxima: 13 kmh)"/>
    <x v="34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537"/>
    <d v="2026-06-01T06:25:27"/>
    <d v="1899-12-30T00:00:20"/>
    <n v="5.9641610831022263E-2"/>
    <s v="Exceso Velocidad 10 Km/h (Velocidad máxima: 12 kmh)"/>
    <x v="33"/>
    <s v="Válido"/>
  </r>
  <r>
    <x v="18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1538"/>
    <d v="2026-06-01T06:25:47"/>
    <d v="1899-12-30T00:00:30"/>
    <n v="8.8123731315135956E-2"/>
    <s v="Exceso Velocidad 10 Km/h (Velocidad máxima: 11 kmh)"/>
    <x v="31"/>
    <s v="Válido"/>
  </r>
  <r>
    <x v="18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1539"/>
    <d v="2026-06-01T06:26:34"/>
    <d v="1899-12-30T00:00:03"/>
    <n v="8.1352544948458672E-3"/>
    <s v="Exceso Velocidad 10 Km/h (Velocidad máxima: 11 kmh)"/>
    <x v="31"/>
    <s v="Válido"/>
  </r>
  <r>
    <x v="18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1540"/>
    <d v="2026-06-01T06:45:20"/>
    <d v="1899-12-30T00:00:21"/>
    <n v="5.4327201098203659E-2"/>
    <s v="Exceso Velocidad 10 Km/h (Velocidad máxima: 11 kmh)"/>
    <x v="31"/>
    <s v="Válido"/>
  </r>
  <r>
    <x v="18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1541"/>
    <d v="2026-06-01T06:46:43"/>
    <d v="1899-12-30T00:07:31"/>
    <n v="8.7455462198704481E-4"/>
    <s v="Tiempo en ralentí (Ignición: 1.00)"/>
    <x v="0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42"/>
    <d v="2026-06-01T08:23:08"/>
    <d v="1899-12-30T00:00:27"/>
    <n v="0.18322007358074188"/>
    <s v="Exceso Velocidad 10 Km/h (Velocidad máxima: 25 kmh)"/>
    <x v="35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43"/>
    <d v="2026-06-01T08:23:51"/>
    <d v="1899-12-30T00:00:09"/>
    <n v="7.6056398451328278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44"/>
    <d v="2026-06-01T08:24:03"/>
    <d v="1899-12-30T00:00:07"/>
    <n v="5.3530953824520111E-2"/>
    <s v="Exceso Velocidad 30 Km/h (Velocidad máxima: 33 kmh)"/>
    <x v="56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545"/>
    <d v="2026-06-01T08:42:34"/>
    <d v="1899-12-30T00:06:52"/>
    <n v="0"/>
    <s v="Tiempo en ralentí (Ignición: 1.00)"/>
    <x v="0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546"/>
    <d v="2026-06-01T09:09:44"/>
    <d v="1899-12-30T00:12:06"/>
    <n v="5.765942856669426E-3"/>
    <s v="Tiempo en ralentí (Ignición: 1.00)"/>
    <x v="0"/>
    <s v="Válido"/>
  </r>
  <r>
    <x v="18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547"/>
    <d v="2026-06-01T09:22:11"/>
    <d v="1899-12-30T00:00:14"/>
    <n v="5.2432127296924591E-2"/>
    <s v="Uso del cinturón de seguridad (Velocidad máxima: 17 kmh Cinturón de seguridad del conductor (1. Desabrochado): 1.00)"/>
    <x v="199"/>
    <s v="Válido"/>
  </r>
  <r>
    <x v="18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548"/>
    <d v="2026-06-01T09:22:51"/>
    <d v="1899-12-30T00:00:05"/>
    <n v="1.5835147351026535E-2"/>
    <s v="Uso del cinturón de seguridad (Velocidad máxima: 12 kmh Cinturón de seguridad del conductor (1. Desabrochado): 1.00)"/>
    <x v="63"/>
    <s v="Válido"/>
  </r>
  <r>
    <x v="18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549"/>
    <d v="2026-06-01T09:23:01"/>
    <d v="1899-12-30T00:00:11"/>
    <n v="4.630635678768158E-2"/>
    <s v="Uso del cinturón de seguridad (Velocidad máxima: 18 kmh Cinturón de seguridad del conductor (1. Desabrochado): 1.00)"/>
    <x v="74"/>
    <s v="Válido"/>
  </r>
  <r>
    <x v="18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550"/>
    <d v="2026-06-01T09:23:14"/>
    <d v="1899-12-30T00:00:02"/>
    <n v="3.734953235834837E-3"/>
    <s v="Uso del cinturón de seguridad (Velocidad máxima: 12 kmh Cinturón de seguridad del conductor (1. Desabrochado): 1.00)"/>
    <x v="63"/>
    <s v="Válido"/>
  </r>
  <r>
    <x v="18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1551"/>
    <d v="2026-06-01T10:24:03"/>
    <d v="1899-12-30T00:00:06"/>
    <n v="5.2441500127315521E-2"/>
    <s v="Exceso Velocidad 30 Km/h (Velocidad máxima: 35 kmh)"/>
    <x v="5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52"/>
    <d v="2026-06-01T10:25:01"/>
    <d v="1899-12-30T00:00:17"/>
    <n v="0.15072664618492126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53"/>
    <d v="2026-06-01T10:25:28"/>
    <d v="1899-12-30T00:00:05"/>
    <n v="4.0878567844629288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54"/>
    <d v="2026-06-01T10:26:01"/>
    <d v="1899-12-30T00:00:06"/>
    <n v="5.0696507096290588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55"/>
    <d v="2026-06-01T10:26:50"/>
    <d v="1899-12-30T00:00:06"/>
    <n v="4.7406021505594254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63"/>
    <d v="2026-06-01T10:27:29"/>
    <d v="1899-12-30T00:00:03"/>
    <n v="2.7887504547834396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56"/>
    <d v="2026-06-01T10:27:42"/>
    <d v="1899-12-30T00:00:25"/>
    <n v="0.22751016914844513"/>
    <s v="Exceso Velocidad 30 Km/h (Velocidad máxima: 35 kmh)"/>
    <x v="59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57"/>
    <d v="2026-06-01T10:28:21"/>
    <d v="1899-12-30T00:00:26"/>
    <n v="0.18426238000392914"/>
    <s v="Exceso Velocidad 10 Km/h (Velocidad máxima: 29 kmh)"/>
    <x v="58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58"/>
    <d v="2026-06-01T10:29:06"/>
    <d v="1899-12-30T00:00:10"/>
    <n v="7.8060127794742584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59"/>
    <d v="2026-06-01T10:29:22"/>
    <d v="1899-12-30T00:00:03"/>
    <n v="2.7074873447418213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60"/>
    <d v="2026-06-01T10:29:52"/>
    <d v="1899-12-30T00:00:05"/>
    <n v="3.7417244166135788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61"/>
    <d v="2026-06-01T10:30:11"/>
    <d v="1899-12-30T00:00:30"/>
    <n v="0.26441407203674316"/>
    <s v="Exceso Velocidad 30 Km/h (Velocidad máxima: 33 kmh)"/>
    <x v="56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562"/>
    <d v="2026-06-01T10:31:21"/>
    <d v="1899-12-30T00:00:03"/>
    <n v="1.1661798693239689E-2"/>
    <s v="Exceso Velocidad 10 Km/h (Velocidad máxima: 15 kmh)"/>
    <x v="50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563"/>
    <d v="2026-06-01T10:31:29"/>
    <d v="1899-12-30T00:00:38"/>
    <n v="0.12113858759403229"/>
    <s v="Exceso Velocidad 10 Km/h (Velocidad máxima: 13 kmh)"/>
    <x v="34"/>
    <s v="Válido"/>
  </r>
  <r>
    <x v="18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1564"/>
    <d v="2026-06-01T10:32:48"/>
    <d v="1899-12-30T00:07:09"/>
    <n v="1.292597851715982E-3"/>
    <s v="Tiempo en ralentí (Ignición: 1.00)"/>
    <x v="0"/>
    <s v="Válido"/>
  </r>
  <r>
    <x v="18"/>
    <s v="Vehicle, Diesel, Frontera Energy Col 2679"/>
    <x v="2"/>
    <x v="2"/>
    <x v="2"/>
    <n v="0"/>
    <x v="4"/>
    <s v="CAMPAMENTO QUIFA, ECOPETROL RUBIALES- Quifa - CAÑO SUR, Campamento Quifa - CMA: Ent. CAMPAMENTO, Puerto Gaitán, Meta, Colombia"/>
    <s v="Vel Max 10 Km/h, Cliente, Vel Max 40 Km/h"/>
    <x v="1565"/>
    <d v="2026-06-01T11:42:56"/>
    <d v="1899-12-30T00:00:06"/>
    <n v="1.6083290800452232E-2"/>
    <s v="Exceso Velocidad 10 Km/h (Velocidad máxima: 11 kmh)"/>
    <x v="31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566"/>
    <d v="2026-06-01T11:44:13"/>
    <d v="1899-12-30T00:00:01"/>
    <n v="3.6319349892437458E-3"/>
    <s v="Exceso Velocidad 10 Km/h (Velocidad máxima: 11 kmh)"/>
    <x v="31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67"/>
    <d v="2026-06-01T11:47:19"/>
    <d v="1899-12-30T00:00:31"/>
    <n v="0.18386624753475189"/>
    <s v="Exceso Velocidad 10 Km/h (Velocidad máxima: 28 kmh)"/>
    <x v="62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68"/>
    <d v="2026-06-01T11:48:11"/>
    <d v="1899-12-30T00:00:20"/>
    <n v="0.17949581146240234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69"/>
    <d v="2026-06-01T11:50:54"/>
    <d v="1899-12-30T00:00:03"/>
    <n v="2.8667479753494263E-2"/>
    <s v="Exceso Velocidad 30 Km/h (Velocidad máxima: 31 kmh)"/>
    <x v="49"/>
    <s v="Válido"/>
  </r>
  <r>
    <x v="18"/>
    <s v="Vehicle, Diesel, Frontera Energy Col 2679"/>
    <x v="2"/>
    <x v="2"/>
    <x v="2"/>
    <n v="0"/>
    <x v="7"/>
    <s v="ECOPETROL RUBIALES- Quifa - CAÑO SUR, Puerto Triunfo - Estacion Policia: vereda puerto triunfo Km 129+300 vía rubiales, Puerto Gaitán, Meta, Colombia"/>
    <s v="Cliente, Vel Max 40 Km/h, Vel Max 30 Km/h"/>
    <x v="1570"/>
    <d v="2026-06-01T13:55:04"/>
    <d v="1899-12-30T00:00:00"/>
    <n v="6.0759088228223845E-5"/>
    <s v="Giro brusco (Velocidad máxima: 14 kmh Aceleración de lado a lado: 0.48 g-force, Ignición: 1.00)"/>
    <x v="220"/>
    <s v="Válido"/>
  </r>
  <r>
    <x v="18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1571"/>
    <d v="2026-06-01T13:55:42"/>
    <d v="1899-12-30T00:00:03"/>
    <n v="2.8333995491266251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72"/>
    <d v="2026-06-01T13:57:03"/>
    <d v="1899-12-30T00:00:06"/>
    <n v="5.2887216210365295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73"/>
    <d v="2026-06-01T13:57:37"/>
    <d v="1899-12-30T00:00:05"/>
    <n v="4.0234077721834183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74"/>
    <d v="2026-06-01T13:59:18"/>
    <d v="1899-12-30T00:00:07"/>
    <n v="6.1792772263288498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75"/>
    <d v="2026-06-01T13:59:36"/>
    <d v="1899-12-30T00:00:24"/>
    <n v="0.22319628298282623"/>
    <s v="Exceso Velocidad 30 Km/h (Velocidad máxima: 35 kmh)"/>
    <x v="5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76"/>
    <d v="2026-06-01T14:00:06"/>
    <d v="1899-12-30T00:00:03"/>
    <n v="2.3149775341153145E-2"/>
    <s v="Exceso Velocidad 30 Km/h (Velocidad máxima: 31 kmh)"/>
    <x v="49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77"/>
    <d v="2026-06-01T14:00:12"/>
    <d v="1899-12-30T00:00:25"/>
    <n v="0.18421156704425812"/>
    <s v="Exceso Velocidad 10 Km/h (Velocidad máxima: 28 kmh)"/>
    <x v="62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78"/>
    <d v="2026-06-01T14:01:59"/>
    <d v="1899-12-30T00:00:04"/>
    <n v="3.0460517853498459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79"/>
    <d v="2026-06-01T14:02:27"/>
    <d v="1899-12-30T00:00:23"/>
    <n v="0.20740406215190887"/>
    <s v="Exceso Velocidad 30 Km/h (Velocidad máxima: 33 kmh)"/>
    <x v="56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580"/>
    <d v="2026-06-01T14:03:25"/>
    <d v="1899-12-30T00:00:25"/>
    <n v="0.13028468191623688"/>
    <s v="Exceso Velocidad 10 Km/h (Velocidad máxima: 23 kmh)"/>
    <x v="5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581"/>
    <d v="2026-06-01T14:03:57"/>
    <d v="1899-12-30T00:00:05"/>
    <n v="1.7676189541816711E-2"/>
    <s v="Exceso Velocidad 10 Km/h (Velocidad máxima: 17 kmh)"/>
    <x v="43"/>
    <s v="Válido"/>
  </r>
  <r>
    <x v="18"/>
    <s v="Vehicle, Diesel, Frontera Energy Col 2679"/>
    <x v="2"/>
    <x v="2"/>
    <x v="2"/>
    <n v="0"/>
    <x v="4"/>
    <s v="CAMPAMENTO QUIFA, ECOPETROL RUBIALES- Quifa - CAÑO SUR, Campamento Quifa - CMA: Puerto Gaitan - Rubiales, Puerto Gaitán, Meta, Colombia"/>
    <s v="Vel Max 10 Km/h, Cliente, Vel Max 40 Km/h"/>
    <x v="1582"/>
    <d v="2026-06-01T14:04:10"/>
    <d v="1899-12-30T00:00:08"/>
    <n v="2.5224223732948303E-2"/>
    <s v="Exceso Velocidad 10 Km/h (Velocidad máxima: 13 kmh)"/>
    <x v="34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583"/>
    <d v="2026-06-01T14:21:16"/>
    <d v="1899-12-30T00:11:13"/>
    <n v="7.8898832725826651E-5"/>
    <s v="Tiempo en ralentí (Ignición: 1.00)"/>
    <x v="0"/>
    <s v="Válido"/>
  </r>
  <r>
    <x v="18"/>
    <s v="Vehicle, Diesel, Frontera Energy Col 2679"/>
    <x v="2"/>
    <x v="2"/>
    <x v="2"/>
    <n v="0"/>
    <x v="10"/>
    <s v="ECOPETROL RUBIALES- Quifa - CAÑO SUR: Via Quifa 13, Puerto Gaitán, Meta, Colombia"/>
    <s v="Cliente, Vel Max 40 Km/h"/>
    <x v="1584"/>
    <d v="2026-06-01T14:43:15"/>
    <d v="1899-12-30T00:00:06"/>
    <n v="6.3333511352539063E-2"/>
    <s v="Exceso Velocidad 40 Km/h (Velocidad máxima: 41 kmh)"/>
    <x v="47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585"/>
    <d v="2026-06-01T14:49:28"/>
    <d v="1899-12-30T00:00:19"/>
    <n v="0.10447823256254196"/>
    <s v="Exceso Velocidad 10 Km/h (Velocidad máxima: 28 kmh)"/>
    <x v="62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86"/>
    <d v="2026-06-01T14:50:20"/>
    <d v="1899-12-30T00:00:30"/>
    <n v="0.2842068076133728"/>
    <s v="Exceso Velocidad 30 Km/h (Velocidad máxima: 35 kmh)"/>
    <x v="5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87"/>
    <d v="2026-06-01T14:51:14"/>
    <d v="1899-12-30T00:00:02"/>
    <n v="1.2724298052489758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88"/>
    <d v="2026-06-01T14:51:20"/>
    <d v="1899-12-30T00:00:01"/>
    <n v="7.9112118110060692E-3"/>
    <s v="Exceso Velocidad 30 Km/h (Velocidad máxima: 31 kmh)"/>
    <x v="49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589"/>
    <d v="2026-06-01T14:52:22"/>
    <d v="1899-12-30T00:00:26"/>
    <n v="0.18376223742961884"/>
    <s v="Exceso Velocidad 10 Km/h (Velocidad máxima: 28 kmh)"/>
    <x v="62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0"/>
    <d v="2026-06-01T14:52:58"/>
    <d v="1899-12-30T00:00:30"/>
    <n v="0.29007294774055481"/>
    <s v="Exceso Velocidad 30 Km/h (Velocidad máxima: 35 kmh)"/>
    <x v="5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1"/>
    <d v="2026-06-01T14:53:35"/>
    <d v="1899-12-30T00:00:05"/>
    <n v="4.3635353446006775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2"/>
    <d v="2026-06-01T14:54:06"/>
    <d v="1899-12-30T00:00:20"/>
    <n v="0.17888976633548737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3"/>
    <d v="2026-06-01T14:54:59"/>
    <d v="1899-12-30T00:00:11"/>
    <n v="9.6474796533584595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4"/>
    <d v="2026-06-01T14:55:37"/>
    <d v="1899-12-30T00:00:07"/>
    <n v="6.4067564904689789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5"/>
    <d v="2026-06-01T14:55:57"/>
    <d v="1899-12-30T00:00:12"/>
    <n v="0.10895577818155289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6"/>
    <d v="2026-06-01T14:56:16"/>
    <d v="1899-12-30T00:00:05"/>
    <n v="3.9634495973587036E-2"/>
    <s v="Exceso Velocidad 30 Km/h (Velocidad máxima: 31 kmh)"/>
    <x v="49"/>
    <s v="Válido"/>
  </r>
  <r>
    <x v="18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1597"/>
    <d v="2026-06-01T14:56:30"/>
    <d v="1899-12-30T00:00:00"/>
    <n v="5.4197507779463194E-6"/>
    <s v="Giro brusco (Velocidad máxima: 15 kmh Aceleración de lado a lado: -0.47 g-force, Ignición: 1.00)"/>
    <x v="221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598"/>
    <d v="2026-06-01T14:57:00"/>
    <d v="1899-12-30T00:00:13"/>
    <n v="0.11236201226711273"/>
    <s v="Exceso Velocidad 30 Km/h (Velocidad máxima: 31 kmh)"/>
    <x v="49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599"/>
    <d v="2026-06-01T15:48:05"/>
    <d v="1899-12-30T00:13:59"/>
    <n v="0"/>
    <s v="Tiempo en ralentí (Ignición: 1.00)"/>
    <x v="0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600"/>
    <d v="2026-06-01T16:16:41"/>
    <d v="1899-12-30T00:20:18"/>
    <n v="4.7383629716932774E-3"/>
    <s v="Tiempo en ralentí (Ignición: 1.00)"/>
    <x v="0"/>
    <s v="Válido"/>
  </r>
  <r>
    <x v="18"/>
    <s v="Vehicle, Diesel, Frontera Energy Col 2679"/>
    <x v="2"/>
    <x v="2"/>
    <x v="2"/>
    <n v="0"/>
    <x v="7"/>
    <s v="ECOPETROL RUBIALES- Quifa - CAÑO SUR, Puerto Triunfo - Estacion Policia: vereda puerto triunfo Km 129+300 vía rubiales, Puerto Gaitán, Meta, Colombia"/>
    <s v="Cliente, Vel Max 40 Km/h, Vel Max 30 Km/h"/>
    <x v="1601"/>
    <d v="2026-06-01T16:45:32"/>
    <d v="1899-12-30T00:00:00"/>
    <n v="7.3077368142548949E-5"/>
    <s v="Giro brusco (Velocidad máxima: 11 kmh Aceleración de lado a lado: -0.49 g-force, Ignición: 1.00)"/>
    <x v="222"/>
    <s v="Válido"/>
  </r>
  <r>
    <x v="18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1602"/>
    <d v="2026-06-01T16:45:59"/>
    <d v="1899-12-30T00:00:03"/>
    <n v="2.4750038981437683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03"/>
    <d v="2026-06-01T16:47:18"/>
    <d v="1899-12-30T00:00:04"/>
    <n v="2.8191655874252319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04"/>
    <d v="2026-06-01T16:47:35"/>
    <d v="1899-12-30T00:00:07"/>
    <n v="6.4640037715435028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05"/>
    <d v="2026-06-01T16:49:10"/>
    <d v="1899-12-30T00:00:04"/>
    <n v="3.209298849105835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06"/>
    <d v="2026-06-01T16:50:03"/>
    <d v="1899-12-30T00:00:13"/>
    <n v="0.11268774420022964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07"/>
    <d v="2026-06-01T16:50:24"/>
    <d v="1899-12-30T00:00:05"/>
    <n v="4.3793674558401108E-2"/>
    <s v="Exceso Velocidad 30 Km/h (Velocidad máxima: 31 kmh)"/>
    <x v="49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608"/>
    <d v="2026-06-01T16:50:47"/>
    <d v="1899-12-30T00:00:28"/>
    <n v="0.18428535759449005"/>
    <s v="Exceso Velocidad 10 Km/h (Velocidad máxima: 26 kmh)"/>
    <x v="42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609"/>
    <d v="2026-06-01T16:54:09"/>
    <d v="1899-12-30T00:00:03"/>
    <n v="9.5359589904546738E-3"/>
    <s v="Exceso Velocidad 10 Km/h (Velocidad máxima: 13 kmh)"/>
    <x v="34"/>
    <s v="Válido"/>
  </r>
  <r>
    <x v="18"/>
    <s v="Vehicle, Diesel, Frontera Energy Col 2679"/>
    <x v="2"/>
    <x v="2"/>
    <x v="2"/>
    <n v="0"/>
    <x v="0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610"/>
    <d v="2026-06-01T17:27:56"/>
    <d v="1899-12-30T00:08:16"/>
    <n v="0"/>
    <s v="Tiempo en ralentí (Ignición: 1.00)"/>
    <x v="0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611"/>
    <d v="2026-06-01T17:37:20"/>
    <d v="1899-12-30T00:00:04"/>
    <n v="1.0878822766244411E-2"/>
    <s v="Exceso Velocidad 10 Km/h (Velocidad máxima: 11 kmh)"/>
    <x v="31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12"/>
    <d v="2026-06-01T17:38:30"/>
    <d v="1899-12-30T00:00:21"/>
    <n v="0.17804498970508575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13"/>
    <d v="2026-06-01T17:38:58"/>
    <d v="1899-12-30T00:00:03"/>
    <n v="2.8556037694215775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14"/>
    <d v="2026-06-01T17:39:15"/>
    <d v="1899-12-30T00:00:12"/>
    <n v="0.10074289888143539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15"/>
    <d v="2026-06-01T17:39:43"/>
    <d v="1899-12-30T00:00:01"/>
    <n v="1.2266203761100769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16"/>
    <d v="2026-06-01T17:39:53"/>
    <d v="1899-12-30T00:00:02"/>
    <n v="1.6094984486699104E-2"/>
    <s v="Exceso Velocidad 30 Km/h (Velocidad máxima: 31 kmh)"/>
    <x v="49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617"/>
    <d v="2026-06-01T17:40:21"/>
    <d v="1899-12-30T00:00:26"/>
    <n v="0.18333369493484497"/>
    <s v="Exceso Velocidad 10 Km/h (Velocidad máxima: 29 kmh)"/>
    <x v="58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18"/>
    <d v="2026-06-01T17:41:03"/>
    <d v="1899-12-30T00:00:28"/>
    <n v="0.25000786781311035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19"/>
    <d v="2026-06-01T17:41:41"/>
    <d v="1899-12-30T00:00:09"/>
    <n v="8.0856412649154663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1620"/>
    <d v="2026-06-01T17:45:31"/>
    <d v="1899-12-30T00:00:02"/>
    <n v="1.9411081448197365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21"/>
    <d v="2026-06-01T17:55:20"/>
    <d v="1899-12-30T00:00:01"/>
    <n v="1.1157657019793987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22"/>
    <d v="2026-06-01T17:55:35"/>
    <d v="1899-12-30T00:00:10"/>
    <n v="9.1228753328323364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23"/>
    <d v="2026-06-01T17:55:54"/>
    <d v="1899-12-30T00:00:05"/>
    <n v="4.074394702911377E-2"/>
    <s v="Exceso Velocidad 30 Km/h (Velocidad máxima: 33 kmh)"/>
    <x v="56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24"/>
    <d v="2026-06-01T17:56:38"/>
    <d v="1899-12-30T00:00:08"/>
    <n v="6.3078954815864563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25"/>
    <d v="2026-06-01T17:58:24"/>
    <d v="1899-12-30T00:00:05"/>
    <n v="3.8278643041849136E-2"/>
    <s v="Exceso Velocidad 30 Km/h (Velocidad máxima: 31 kmh)"/>
    <x v="49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26"/>
    <d v="2026-06-01T17:58:41"/>
    <d v="1899-12-30T00:00:16"/>
    <n v="0.14481370151042938"/>
    <s v="Exceso Velocidad 30 Km/h (Velocidad máxima: 33 kmh)"/>
    <x v="56"/>
    <s v="Válido"/>
  </r>
  <r>
    <x v="18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627"/>
    <d v="2026-06-01T17:59:29"/>
    <d v="1899-12-30T00:00:33"/>
    <n v="0.18491466343402863"/>
    <s v="Exceso Velocidad 10 Km/h (Velocidad máxima: 24 kmh)"/>
    <x v="41"/>
    <s v="Válido"/>
  </r>
  <r>
    <x v="18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28"/>
    <d v="2026-06-01T18:02:04"/>
    <d v="1899-12-30T00:00:18"/>
    <n v="0.1547386646270752"/>
    <s v="Exceso Velocidad 30 Km/h (Velocidad máxima: 31 kmh)"/>
    <x v="49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629"/>
    <d v="2026-06-01T18:03:04"/>
    <d v="1899-12-30T00:00:02"/>
    <n v="4.7395052388310432E-3"/>
    <s v="Exceso Velocidad 10 Km/h (Velocidad máxima: 14 kmh)"/>
    <x v="10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630"/>
    <d v="2026-06-01T18:04:22"/>
    <d v="1899-12-30T00:00:11"/>
    <n v="3.4455589950084686E-2"/>
    <s v="Exceso Velocidad 10 Km/h (Velocidad máxima: 11 kmh)"/>
    <x v="31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631"/>
    <d v="2026-06-01T18:46:04"/>
    <d v="1899-12-30T00:00:00"/>
    <n v="5.5725680431351066E-4"/>
    <s v="Exceso Velocidad 10 Km/h (Velocidad máxima: 11 kmh)"/>
    <x v="31"/>
    <s v="Válido"/>
  </r>
  <r>
    <x v="18"/>
    <s v="Vehicle, Diesel, Frontera Energy Col 2679"/>
    <x v="2"/>
    <x v="2"/>
    <x v="2"/>
    <n v="0"/>
    <x v="4"/>
    <s v="ECOPETROL RUBIALES- Quifa - CAÑO SUR, Campamento Quifa - CMA: Puerto Gaitan - Rubiales, Puerto Gaitán, Meta, Colombia"/>
    <s v="Cliente, Vel Max 40 Km/h, Vel Max 10 Km/h"/>
    <x v="1632"/>
    <d v="2026-06-01T18:46:51"/>
    <d v="1899-12-30T00:01:10"/>
    <n v="0.53460711240768433"/>
    <s v="Exceso Velocidad 10 Km/h (Velocidad máxima: 29 kmh)"/>
    <x v="58"/>
    <s v="Válido"/>
  </r>
  <r>
    <x v="18"/>
    <s v="Vehicle, Diesel, Frontera Energy Col 2679"/>
    <x v="2"/>
    <x v="2"/>
    <x v="2"/>
    <n v="0"/>
    <x v="4"/>
    <s v="ECOPETROL RUBIALES- Quifa - CAÑO SUR, Campamento Quifa - CMA: Vía Sin Nombre, Puerto Gaitán, Meta, Colombia"/>
    <s v="Cliente, Vel Max 40 Km/h, Vel Max 10 Km/h"/>
    <x v="1633"/>
    <d v="2026-06-01T18:53:09"/>
    <d v="1899-12-30T00:01:10"/>
    <n v="0.535908043384552"/>
    <s v="Exceso Velocidad 10 Km/h (Velocidad máxima: 35 kmh)"/>
    <x v="223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634"/>
    <d v="2026-06-01T18:54:51"/>
    <d v="1899-12-30T00:00:17"/>
    <n v="8.0283567309379578E-2"/>
    <s v="Exceso Velocidad 10 Km/h (Velocidad máxima: 22 kmh)"/>
    <x v="38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635"/>
    <d v="2026-06-01T18:55:08"/>
    <d v="1899-12-30T00:00:17"/>
    <n v="8.5776068270206451E-2"/>
    <s v="Exceso Velocidad 10 Km/h (Velocidad máxima: 20 kmh)"/>
    <x v="30"/>
    <s v="Válido"/>
  </r>
  <r>
    <x v="18"/>
    <s v="Vehicle, Diesel, Frontera Energy Col 2679"/>
    <x v="2"/>
    <x v="2"/>
    <x v="2"/>
    <n v="0"/>
    <x v="10"/>
    <s v="ECOPETROL RUBIALES- Quifa - CAÑO SUR: Puerto Gaitan - Rubiales, Puerto Gaitán, Meta, Colombia"/>
    <s v="Cliente, Vel Max 40 Km/h"/>
    <x v="1636"/>
    <d v="2026-06-01T18:58:16"/>
    <d v="1899-12-30T00:00:07"/>
    <n v="7.9501152038574219E-2"/>
    <s v="Exceso Velocidad 40 Km/h (Velocidad máxima: 42 kmh)"/>
    <x v="51"/>
    <s v="Válido"/>
  </r>
  <r>
    <x v="1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637"/>
    <d v="2026-06-01T18:59:18"/>
    <d v="1899-12-30T00:00:13"/>
    <n v="0.14971043169498444"/>
    <s v="Exceso Velocidad 40 Km/h (Velocidad máxima: 42 kmh)"/>
    <x v="51"/>
    <s v="Válido"/>
  </r>
  <r>
    <x v="1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638"/>
    <d v="2026-06-01T18:59:41"/>
    <d v="1899-12-30T00:00:08"/>
    <n v="8.5796244442462921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Via Quifa 13, Puerto Gaitán, Meta, Colombia"/>
    <s v="Cliente, Vel Max 40 Km/h"/>
    <x v="1639"/>
    <d v="2026-06-01T19:01:02"/>
    <d v="1899-12-30T00:00:15"/>
    <n v="0.16307908296585083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Via Quifa 13, Puerto Gaitán, Meta, Colombia"/>
    <s v="Cliente, Vel Max 40 Km/h"/>
    <x v="1640"/>
    <d v="2026-06-01T19:01:39"/>
    <d v="1899-12-30T00:00:04"/>
    <n v="4.35287244617939E-2"/>
    <s v="Exceso Velocidad 40 Km/h (Velocidad máxima: 41 kmh)"/>
    <x v="47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641"/>
    <d v="2026-06-01T19:05:18"/>
    <d v="1899-12-30T00:06:00"/>
    <n v="0"/>
    <s v="Tiempo en ralentí (Ignición: 1.00)"/>
    <x v="0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642"/>
    <d v="2026-06-01T19:11:59"/>
    <d v="1899-12-30T00:24:29"/>
    <n v="0"/>
    <s v="Tiempo en ralentí (Ignición: 1.00)"/>
    <x v="0"/>
    <s v="Válido"/>
  </r>
  <r>
    <x v="18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643"/>
    <d v="2026-06-01T21:25:46"/>
    <d v="1899-12-30T00:12:11"/>
    <n v="3.5227721091359854E-3"/>
    <s v="Tiempo en ralentí (Ignición: 1.00)"/>
    <x v="0"/>
    <s v="Válido"/>
  </r>
  <r>
    <x v="1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644"/>
    <d v="2026-06-01T22:08:15"/>
    <d v="1899-12-30T00:00:03"/>
    <n v="3.6571048200130463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Via Quifa 13, Puerto Gaitán, Meta, Colombia"/>
    <s v="Cliente, Vel Max 40 Km/h"/>
    <x v="1645"/>
    <d v="2026-06-01T22:11:10"/>
    <d v="1899-12-30T00:00:17"/>
    <n v="0.18039454519748688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646"/>
    <d v="2026-06-01T22:12:59"/>
    <d v="1899-12-30T00:00:16"/>
    <n v="0.17581146955490112"/>
    <s v="Exceso Velocidad 40 Km/h (Velocidad máxima: 41 kmh)"/>
    <x v="47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647"/>
    <d v="2026-06-01T22:17:49"/>
    <d v="1899-12-30T00:00:46"/>
    <n v="0.17655317485332489"/>
    <s v="Exceso Velocidad 10 Km/h (Velocidad máxima: 15 kmh)"/>
    <x v="50"/>
    <s v="Válido"/>
  </r>
  <r>
    <x v="18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Puerto Gaitan - Rubiales, Puerto Gaitán, Meta, Colombia"/>
    <s v="Vel Max 10 Km/h, Cliente, Vel Max 40 Km/h, Centro de servicios del proveedor, Vel Max 30 Km/h"/>
    <x v="1648"/>
    <d v="2026-06-01T23:27:07"/>
    <d v="1899-12-30T00:00:18"/>
    <n v="6.25300332903862E-2"/>
    <s v="Exceso Velocidad 10 Km/h (Velocidad máxima: 17 kmh)"/>
    <x v="43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649"/>
    <d v="2026-06-01T23:27:25"/>
    <d v="1899-12-30T00:00:11"/>
    <n v="6.0771670192480087E-2"/>
    <s v="Exceso Velocidad 10 Km/h (Velocidad máxima: 26 kmh)"/>
    <x v="42"/>
    <s v="Válido"/>
  </r>
  <r>
    <x v="18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650"/>
    <d v="2026-06-01T23:27:42"/>
    <d v="1899-12-30T00:00:03"/>
    <n v="1.8540194258093834E-2"/>
    <s v="Exceso Velocidad 10 Km/h (Velocidad máxima: 22 kmh)"/>
    <x v="38"/>
    <s v="Válido"/>
  </r>
  <r>
    <x v="18"/>
    <s v="Vehicle, Diesel, Frontera Energy Col 2679"/>
    <x v="2"/>
    <x v="2"/>
    <x v="2"/>
    <n v="0"/>
    <x v="6"/>
    <s v="ECOPETROL RUBIALES- Quifa - CAÑO SUR: Qf 48 36 79 Dw1, Puerto Gaitán, Meta, Colombia"/>
    <s v="Cliente, Vel Max 40 Km/h"/>
    <x v="1651"/>
    <d v="2026-06-01T23:37:52"/>
    <d v="1899-12-30T00:00:00"/>
    <n v="0"/>
    <s v="Giro brusco (nuevo) (Clase de vehículo para métricas de seguridad: Otra clase (no estandarizada), Velocidad máxima: 32 kmh,  Ignición: 1)"/>
    <x v="224"/>
    <s v="Válido"/>
  </r>
  <r>
    <x v="18"/>
    <s v="Vehicle, Diesel, Frontera Energy Col 2679"/>
    <x v="2"/>
    <x v="2"/>
    <x v="2"/>
    <n v="0"/>
    <x v="10"/>
    <s v="ECOPETROL RUBIALES- Quifa - CAÑO SUR: Qf 48 36 79 Dw1, Puerto Gaitán, Meta, Colombia"/>
    <s v="Cliente, Vel Max 40 Km/h"/>
    <x v="1652"/>
    <d v="2026-06-01T23:39:47"/>
    <d v="1899-12-30T00:00:07"/>
    <n v="8.1098988652229309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53"/>
    <d v="2026-06-01T23:44:31"/>
    <d v="1899-12-30T00:00:02"/>
    <n v="1.8774870783090591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54"/>
    <d v="2026-06-01T23:44:43"/>
    <d v="1899-12-30T00:00:07"/>
    <n v="7.8276507556438446E-2"/>
    <s v="Exceso Velocidad 40 Km/h (Velocidad máxima: 42 kmh)"/>
    <x v="51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55"/>
    <d v="2026-06-01T23:44:58"/>
    <d v="1899-12-30T00:00:02"/>
    <n v="2.5681329891085625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56"/>
    <d v="2026-06-01T23:46:37"/>
    <d v="1899-12-30T00:00:03"/>
    <n v="3.2676458358764648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57"/>
    <d v="2026-06-01T23:47:48"/>
    <d v="1899-12-30T00:00:01"/>
    <n v="1.3007260859012604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58"/>
    <d v="2026-06-01T23:48:23"/>
    <d v="1899-12-30T00:00:19"/>
    <n v="0.22503040730953217"/>
    <s v="Exceso Velocidad 40 Km/h (Velocidad máxima: 44 kmh)"/>
    <x v="54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59"/>
    <d v="2026-06-01T23:49:06"/>
    <d v="1899-12-30T00:00:08"/>
    <n v="8.5854485630989075E-2"/>
    <s v="Exceso Velocidad 40 Km/h (Velocidad máxima: 41 kmh)"/>
    <x v="47"/>
    <s v="Válido"/>
  </r>
  <r>
    <x v="18"/>
    <s v="Vehicle, Diesel, Frontera Energy Col 2679"/>
    <x v="2"/>
    <x v="2"/>
    <x v="2"/>
    <n v="0"/>
    <x v="10"/>
    <s v="ECOPETROL RUBIALES- Quifa - CAÑO SUR: Qf 12 48 36 79 Dw1, Puerto Gaitán, Meta, Colombia"/>
    <s v="Cliente, Vel Max 40 Km/h"/>
    <x v="1660"/>
    <d v="2026-06-01T23:50:52"/>
    <d v="1899-12-30T00:00:05"/>
    <n v="5.2662473171949387E-2"/>
    <s v="Exceso Velocidad 40 Km/h (Velocidad máxima: 41 kmh)"/>
    <x v="47"/>
    <s v="Válido"/>
  </r>
  <r>
    <x v="18"/>
    <s v="Vehicle, Diesel, Frontera Energy Col 2679"/>
    <x v="2"/>
    <x v="2"/>
    <x v="2"/>
    <n v="0"/>
    <x v="0"/>
    <s v="ECOPETROL RUBIALES- Quifa - CAÑO SUR: Qf 12 48 36 79 Dw1, Puerto Gaitán, Meta, Colombia"/>
    <s v="Cliente, Vel Max 40 Km/h"/>
    <x v="1661"/>
    <d v="2026-06-01T23:52:35"/>
    <d v="1899-12-30T00:09:27"/>
    <n v="0"/>
    <s v="Tiempo en ralentí (Ignición: 1.00)"/>
    <x v="0"/>
    <s v="Válido"/>
  </r>
  <r>
    <x v="19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662"/>
    <d v="2026-06-01T01:00:11"/>
    <d v="1899-12-30T00:13:00"/>
    <n v="0"/>
    <s v="Tiempo en ralentí (Ignición: 1.00)"/>
    <x v="0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663"/>
    <d v="2026-06-01T01:13:15"/>
    <d v="1899-12-30T00:00:07"/>
    <n v="2.7539094910025597E-2"/>
    <s v="Uso del cinturón de seguridad (Velocidad máxima: 15 kmh Cinturón de seguridad del conductor (1. Desabrochado): 1.00)"/>
    <x v="82"/>
    <s v="Válido"/>
  </r>
  <r>
    <x v="19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664"/>
    <d v="2026-06-01T01:14:55"/>
    <d v="1899-12-30T00:16:01"/>
    <n v="0"/>
    <s v="Tiempo en ralentí (Ignición: 1.00)"/>
    <x v="0"/>
    <s v="Válido"/>
  </r>
  <r>
    <x v="19"/>
    <s v="Vehicle, Diesel, Frontera Energy Col 2679"/>
    <x v="2"/>
    <x v="2"/>
    <x v="2"/>
    <n v="0"/>
    <x v="10"/>
    <s v="ECOPETROL RUBIALES- Quifa - CAÑO SUR: Qf 78, Puerto Gaitán, Meta, Colombia"/>
    <s v="Cliente, Vel Max 40 Km/h"/>
    <x v="1665"/>
    <d v="2026-06-01T02:27:35"/>
    <d v="1899-12-30T00:00:02"/>
    <n v="1.9647575914859772E-2"/>
    <s v="Exceso Velocidad 40 Km/h (Velocidad máxima: 41 kmh)"/>
    <x v="47"/>
    <s v="Válido"/>
  </r>
  <r>
    <x v="19"/>
    <s v="Vehicle, Diesel, Frontera Energy Col 2679"/>
    <x v="2"/>
    <x v="2"/>
    <x v="2"/>
    <n v="0"/>
    <x v="7"/>
    <s v="ECOPETROL RUBIALES- Quifa - CAÑO SUR: Qf 78, Puerto Gaitán, Meta, Colombia"/>
    <s v="Cliente, Vel Max 40 Km/h"/>
    <x v="1666"/>
    <d v="2026-06-01T02:27:45"/>
    <d v="1899-12-30T00:00:00"/>
    <n v="3.845023165922612E-4"/>
    <s v="Giro brusco (Velocidad máxima: 17 kmh Aceleración de lado a lado: 0.57 g-force, Ignición: 1.00)"/>
    <x v="225"/>
    <s v="Válido"/>
  </r>
  <r>
    <x v="19"/>
    <s v="Vehicle, Diesel, Frontera Energy Col 2679"/>
    <x v="2"/>
    <x v="2"/>
    <x v="2"/>
    <n v="0"/>
    <x v="7"/>
    <s v="ECOPETROL RUBIALES- Quifa - CAÑO SUR: Qf 78, Puerto Gaitán, Meta, Colombia"/>
    <s v="Cliente, Vel Max 40 Km/h"/>
    <x v="1667"/>
    <d v="2026-06-01T02:27:46"/>
    <d v="1899-12-30T00:00:00"/>
    <n v="3.2041859230957925E-4"/>
    <s v="Giro brusco (Velocidad máxima: 16 kmh Aceleración de lado a lado: -0.52 g-force, Ignición: 1.00)"/>
    <x v="226"/>
    <s v="Válido"/>
  </r>
  <r>
    <x v="19"/>
    <s v="Vehicle, Diesel, Frontera Energy Col 2679"/>
    <x v="2"/>
    <x v="2"/>
    <x v="2"/>
    <n v="0"/>
    <x v="7"/>
    <s v="ECOPETROL RUBIALES- Quifa - CAÑO SUR: Qf 78, Puerto Gaitán, Meta, Colombia"/>
    <s v="Cliente, Vel Max 40 Km/h"/>
    <x v="1668"/>
    <d v="2026-06-01T02:27:47"/>
    <d v="1899-12-30T00:00:00"/>
    <n v="1.0053234291262925E-5"/>
    <s v="Giro brusco (Velocidad máxima: 17 kmh Aceleración de lado a lado: -0.47 g-force, Ignición: 1.00)"/>
    <x v="227"/>
    <s v="Válido"/>
  </r>
  <r>
    <x v="19"/>
    <s v="Vehicle, Diesel, Frontera Energy Col 2679"/>
    <x v="2"/>
    <x v="2"/>
    <x v="2"/>
    <n v="0"/>
    <x v="7"/>
    <s v="ECOPETROL RUBIALES- Quifa - CAÑO SUR: Qf 045, Puerto Gaitán, Meta, Colombia"/>
    <s v="Cliente, Vel Max 40 Km/h"/>
    <x v="1669"/>
    <d v="2026-06-01T02:50:00"/>
    <d v="1899-12-30T00:00:00"/>
    <n v="1.6520591452717781E-4"/>
    <s v="Giro brusco (Velocidad máxima: 14 kmh Aceleración de lado a lado: 0.54 g-force, Ignición: 1.00)"/>
    <x v="228"/>
    <s v="Válido"/>
  </r>
  <r>
    <x v="19"/>
    <s v="Vehicle, Diesel, Frontera Energy Col 2679"/>
    <x v="2"/>
    <x v="2"/>
    <x v="2"/>
    <n v="0"/>
    <x v="7"/>
    <s v="ECOPETROL RUBIALES- Quifa - CAÑO SUR: Qf 045, Puerto Gaitán, Meta, Colombia"/>
    <s v="Cliente, Vel Max 40 Km/h"/>
    <x v="1670"/>
    <d v="2026-06-01T02:50:01"/>
    <d v="1899-12-30T00:00:00"/>
    <n v="1.22943936730735E-4"/>
    <s v="Giro brusco (Velocidad máxima: 14 kmh Aceleración de lado a lado: 0.50 g-force, Ignición: 1.00)"/>
    <x v="125"/>
    <s v="Válido"/>
  </r>
  <r>
    <x v="19"/>
    <s v="Vehicle, Diesel, Frontera Energy Col 2679"/>
    <x v="2"/>
    <x v="2"/>
    <x v="2"/>
    <n v="0"/>
    <x v="7"/>
    <s v="ECOPETROL RUBIALES- Quifa - CAÑO SUR: Vía Sin Nombre, Puerto Gaitán, Meta, Colombia"/>
    <s v="Cliente, Vel Max 40 Km/h"/>
    <x v="1671"/>
    <d v="2026-06-01T02:52:24"/>
    <d v="1899-12-30T00:00:00"/>
    <n v="6.5707507019396871E-5"/>
    <s v="Giro brusco (Velocidad máxima: 12 kmh Aceleración de lado a lado: -0.49 g-force, Ignición: 1.00)"/>
    <x v="229"/>
    <s v="Válido"/>
  </r>
  <r>
    <x v="19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672"/>
    <d v="2026-06-01T02:57:35"/>
    <d v="1899-12-30T00:00:02"/>
    <n v="2.1910170093178749E-2"/>
    <s v="Exceso Velocidad 40 Km/h (Velocidad máxima: 41 kmh)"/>
    <x v="47"/>
    <s v="Válido"/>
  </r>
  <r>
    <x v="19"/>
    <s v="Vehicle, Diesel, Frontera Energy Col 2679"/>
    <x v="2"/>
    <x v="2"/>
    <x v="2"/>
    <n v="0"/>
    <x v="7"/>
    <s v="ECOPETROL RUBIALES- Quifa - CAÑO SUR: Qf 045, Puerto Gaitán, Meta, Colombia"/>
    <s v="Cliente, Vel Max 40 Km/h"/>
    <x v="1673"/>
    <d v="2026-06-01T02:58:35"/>
    <d v="1899-12-30T00:00:00"/>
    <n v="8.8212305854540318E-5"/>
    <s v="Giro brusco (Velocidad máxima: 26 kmh Aceleración de lado a lado: -0.48 g-force, Ignición: 1.00)"/>
    <x v="230"/>
    <s v="Válido"/>
  </r>
  <r>
    <x v="19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674"/>
    <d v="2026-06-01T03:04:36"/>
    <d v="1899-12-30T00:00:01"/>
    <n v="1.3736987486481667E-2"/>
    <s v="Exceso Velocidad 40 Km/h (Velocidad máxima: 41 kmh)"/>
    <x v="47"/>
    <s v="Válido"/>
  </r>
  <r>
    <x v="19"/>
    <s v="Vehicle, Diesel, Frontera Energy Col 2679"/>
    <x v="2"/>
    <x v="2"/>
    <x v="2"/>
    <n v="0"/>
    <x v="11"/>
    <s v="ECOPETROL RUBIALES- Quifa - CAÑO SUR, Puerto Triunfo - Estacion Policia: Vía La Primera Vara, Puerto Gaitán, Meta, Colombia"/>
    <s v="Cliente, Vel Max 40 Km/h, Vel Max 30 Km/h"/>
    <x v="1675"/>
    <d v="2026-06-01T03:12:42"/>
    <d v="1899-12-30T00:00:03"/>
    <n v="2.3088885471224785E-2"/>
    <s v="Exceso Velocidad 30 Km/h (Velocidad máxima: 33 kmh)"/>
    <x v="56"/>
    <s v="Válido"/>
  </r>
  <r>
    <x v="19"/>
    <s v="Vehicle, Diesel, Frontera Energy Col 2679"/>
    <x v="2"/>
    <x v="2"/>
    <x v="2"/>
    <n v="0"/>
    <x v="0"/>
    <s v="ECOPETROL RUBIALES- Quifa - CAÑO SUR, Puerto Triunfo - Estacion Policia: Vía La Primera Vara, Puerto Gaitán, Meta, Colombia"/>
    <s v="Cliente, Vel Max 40 Km/h, Vel Max 30 Km/h"/>
    <x v="1676"/>
    <d v="2026-06-01T03:14:11"/>
    <d v="1899-12-30T00:05:43"/>
    <n v="1.8108960939571261E-3"/>
    <s v="Tiempo en ralentí (Ignición: 1.00)"/>
    <x v="0"/>
    <s v="Válido"/>
  </r>
  <r>
    <x v="19"/>
    <s v="Vehicle, Diesel, Frontera Energy Col 2679"/>
    <x v="2"/>
    <x v="2"/>
    <x v="2"/>
    <n v="0"/>
    <x v="11"/>
    <s v="ECOPETROL RUBIALES- Quifa - CAÑO SUR, Puerto Triunfo - Estacion Policia: Km 128 +500, Lavadero De Autos EL OASIS, Puerto Gaitan - Rubiales, Puerto Gaitán, Meta, Colombia"/>
    <s v="Cliente, Vel Max 40 Km/h, Vel Max 30 Km/h"/>
    <x v="1677"/>
    <d v="2026-06-01T03:21:32"/>
    <d v="1899-12-30T00:00:03"/>
    <n v="2.6460867375135422E-2"/>
    <s v="Exceso Velocidad 30 Km/h (Velocidad máxima: 31 kmh)"/>
    <x v="49"/>
    <s v="Válido"/>
  </r>
  <r>
    <x v="19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678"/>
    <d v="2026-06-01T03:37:28"/>
    <d v="1899-12-30T00:08:19"/>
    <n v="0"/>
    <s v="Tiempo en ralentí (Ignición: 1.00)"/>
    <x v="0"/>
    <s v="Válido"/>
  </r>
  <r>
    <x v="19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679"/>
    <d v="2026-06-01T03:47:55"/>
    <d v="1899-12-30T00:00:02"/>
    <n v="1.5314759686589241E-2"/>
    <s v="Exceso Velocidad 40 Km/h (Velocidad máxima: 41 kmh)"/>
    <x v="47"/>
    <s v="Válido"/>
  </r>
  <r>
    <x v="1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680"/>
    <d v="2026-06-01T04:02:08"/>
    <d v="1899-12-30T00:00:23"/>
    <n v="0.18281574547290802"/>
    <s v="Exceso Velocidad 10 Km/h (Velocidad máxima: 33 kmh)"/>
    <x v="107"/>
    <s v="Válido"/>
  </r>
  <r>
    <x v="19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1681"/>
    <d v="2026-06-01T04:02:21"/>
    <d v="1899-12-30T00:00:05"/>
    <n v="4.0628407150506973E-2"/>
    <s v="Exceso Velocidad 30 Km/h (Velocidad máxima: 33 kmh)"/>
    <x v="56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682"/>
    <d v="2026-06-01T04:02:46"/>
    <d v="1899-12-30T00:00:38"/>
    <n v="0.28358736634254456"/>
    <s v="Exceso de velocidad (nuevo) (Velocidad máxima: 29 kmh (Velocidad máxima en carretera: 7 kmh))"/>
    <x v="68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683"/>
    <d v="2026-06-01T04:03:30"/>
    <d v="1899-12-30T00:00:40"/>
    <n v="0.15019766986370087"/>
    <s v="Exceso Velocidad 10 Km/h (Velocidad máxima: 17 kmh)"/>
    <x v="43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684"/>
    <d v="2026-06-01T04:57:44"/>
    <d v="1899-12-30T00:00:19"/>
    <n v="5.6173048913478851E-2"/>
    <s v="Exceso Velocidad 10 Km/h (Velocidad máxima: 11 kmh)"/>
    <x v="31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685"/>
    <d v="2026-06-01T04:58:21"/>
    <d v="1899-12-30T00:00:54"/>
    <n v="0.29469990730285645"/>
    <s v="Exceso de velocidad (nuevo) (Velocidad máxima: 22 kmh (Velocidad máxima en carretera: 7 kmh))"/>
    <x v="124"/>
    <s v="Válido"/>
  </r>
  <r>
    <x v="1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686"/>
    <d v="2026-06-01T05:11:21"/>
    <d v="1899-12-30T00:00:15"/>
    <n v="0.13140201568603516"/>
    <s v="Exceso Velocidad 30 Km/h (Velocidad máxima: 35 kmh)"/>
    <x v="59"/>
    <s v="Válido"/>
  </r>
  <r>
    <x v="1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687"/>
    <d v="2026-06-01T05:11:54"/>
    <d v="1899-12-30T00:00:25"/>
    <n v="0.18443521857261658"/>
    <s v="Exceso Velocidad 10 Km/h (Velocidad máxima: 29 kmh)"/>
    <x v="58"/>
    <s v="Válido"/>
  </r>
  <r>
    <x v="19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688"/>
    <d v="2026-06-01T05:15:00"/>
    <d v="1899-12-30T00:00:02"/>
    <n v="5.0906953401863575E-3"/>
    <s v="Exceso Velocidad 10 Km/h (Velocidad máxima: 13 kmh)"/>
    <x v="34"/>
    <s v="Válido"/>
  </r>
  <r>
    <x v="19"/>
    <s v="Vehicle, Diesel, Frontera Energy Col 2679"/>
    <x v="2"/>
    <x v="2"/>
    <x v="2"/>
    <n v="0"/>
    <x v="0"/>
    <s v="CAMPAMENTO QUIFA, ECOPETROL RUBIALES- Quifa - CAÑO SUR, Campamento Quifa - CMA: Ent. CAMPAMENTO, Puerto Gaitán, Meta, Colombia"/>
    <s v="Vel Max 10 Km/h, Cliente, Vel Max 40 Km/h"/>
    <x v="1689"/>
    <d v="2026-06-01T05:16:18"/>
    <d v="1899-12-30T00:07:52"/>
    <n v="1.8748926231637597E-3"/>
    <s v="Tiempo en ralentí (Ignición: 1.00)"/>
    <x v="0"/>
    <s v="Válido"/>
  </r>
  <r>
    <x v="19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690"/>
    <d v="2026-06-01T06:15:52"/>
    <d v="1899-12-30T00:00:55"/>
    <n v="0.28986743092536926"/>
    <s v="Exceso de velocidad (nuevo) (Velocidad máxima: 22 kmh (Velocidad máxima en carretera: 7 kmh))"/>
    <x v="124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691"/>
    <d v="2026-06-01T06:16:55"/>
    <d v="1899-12-30T00:00:47"/>
    <n v="0.15743044018745422"/>
    <s v="Exceso Velocidad 10 Km/h (Velocidad máxima: 14 kmh)"/>
    <x v="10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692"/>
    <d v="2026-06-01T08:16:47"/>
    <d v="1899-12-30T00:00:08"/>
    <n v="2.4821512401103973E-2"/>
    <s v="Exceso Velocidad 10 Km/h (Velocidad máxima: 12 kmh)"/>
    <x v="33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693"/>
    <d v="2026-06-01T08:17:01"/>
    <d v="1899-12-30T00:00:49"/>
    <n v="0.29233595728874207"/>
    <s v="Exceso de velocidad (nuevo) (Velocidad máxima: 28 kmh (Velocidad máxima en carretera: 7 kmh))"/>
    <x v="89"/>
    <s v="Válido"/>
  </r>
  <r>
    <x v="1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694"/>
    <d v="2026-06-01T08:18:15"/>
    <d v="1899-12-30T00:00:25"/>
    <n v="0.18345679342746735"/>
    <s v="Exceso Velocidad 10 Km/h (Velocidad máxima: 28 kmh)"/>
    <x v="62"/>
    <s v="Válido"/>
  </r>
  <r>
    <x v="19"/>
    <s v="Vehicle, Diesel, Frontera Energy Col 2679"/>
    <x v="2"/>
    <x v="2"/>
    <x v="2"/>
    <n v="0"/>
    <x v="9"/>
    <s v="ECOPETROL RUBIALES- Quifa - CAÑO SUR: VIA QF-393H, Puerto Gaitán, Meta, Colombia"/>
    <s v="Cliente, Vel Max 40 Km/h"/>
    <x v="1695"/>
    <d v="2026-06-01T08:53:35"/>
    <d v="1899-12-30T00:00:03"/>
    <n v="9.5915189012885094E-3"/>
    <s v="Uso del cinturón de seguridad (Velocidad máxima: 12 kmh Cinturón de seguridad del conductor (1. Desabrochado): 1.00)"/>
    <x v="63"/>
    <s v="Válido"/>
  </r>
  <r>
    <x v="19"/>
    <s v="Vehicle, Diesel, Frontera Energy Col 2679"/>
    <x v="2"/>
    <x v="2"/>
    <x v="2"/>
    <n v="0"/>
    <x v="0"/>
    <s v="ECOPETROL RUBIALES- Quifa - CAÑO SUR: VIA QF-393H, Puerto Gaitán, Meta, Colombia"/>
    <s v="Cliente, Vel Max 40 Km/h"/>
    <x v="1696"/>
    <d v="2026-06-01T08:55:41"/>
    <d v="1899-12-30T00:11:40"/>
    <n v="0"/>
    <s v="Tiempo en ralentí (Ignición: 1.00)"/>
    <x v="0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697"/>
    <d v="2026-06-01T10:50:45"/>
    <d v="1899-12-30T00:00:42"/>
    <n v="0.22257652878761292"/>
    <s v="Uso del cinturón de seguridad (Velocidad máxima: 23 kmh Cinturón de seguridad del conductor (1. Desabrochado): 1.00)"/>
    <x v="231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698"/>
    <d v="2026-06-01T11:14:44"/>
    <d v="1899-12-30T00:00:08"/>
    <n v="2.3495674133300781E-2"/>
    <s v="Uso del cinturón de seguridad (Velocidad máxima: 18 kmh Cinturón de seguridad del conductor (1. Desabrochado): 1.00)"/>
    <x v="74"/>
    <s v="Válido"/>
  </r>
  <r>
    <x v="19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699"/>
    <d v="2026-06-01T11:17:02"/>
    <d v="1899-12-30T00:00:02"/>
    <n v="1.617191918194294E-2"/>
    <s v="Exceso Velocidad 40 Km/h (Velocidad máxima: 41 kmh)"/>
    <x v="47"/>
    <s v="Válido"/>
  </r>
  <r>
    <x v="19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700"/>
    <d v="2026-06-01T11:19:41"/>
    <d v="1899-12-30T00:00:02"/>
    <n v="1.9385270774364471E-2"/>
    <s v="Exceso Velocidad 40 Km/h (Velocidad máxima: 41 kmh)"/>
    <x v="47"/>
    <s v="Válido"/>
  </r>
  <r>
    <x v="19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701"/>
    <d v="2026-06-01T11:28:55"/>
    <d v="1899-12-30T00:00:01"/>
    <n v="8.5446136072278023E-3"/>
    <s v="Exceso Velocidad 40 Km/h (Velocidad máxima: 41 kmh)"/>
    <x v="47"/>
    <s v="Válido"/>
  </r>
  <r>
    <x v="19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702"/>
    <d v="2026-06-01T11:30:59"/>
    <d v="1899-12-30T00:09:59"/>
    <n v="7.8898832725826651E-5"/>
    <s v="Tiempo en ralentí (Ignición: 1.00)"/>
    <x v="0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703"/>
    <d v="2026-06-01T11:41:30"/>
    <d v="1899-12-30T00:00:04"/>
    <n v="1.1340665630996227E-2"/>
    <s v="Uso del cinturón de seguridad (Velocidad máxima: 13 kmh Cinturón de seguridad del conductor (1. Desabrochado): 1.00)"/>
    <x v="64"/>
    <s v="Válido"/>
  </r>
  <r>
    <x v="19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704"/>
    <d v="2026-06-01T11:47:37"/>
    <d v="1899-12-30T00:00:02"/>
    <n v="2.5871308520436287E-2"/>
    <s v="Exceso Velocidad 40 Km/h (Velocidad máxima: 41 kmh)"/>
    <x v="47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705"/>
    <d v="2026-06-01T12:12:42"/>
    <d v="1899-12-30T00:00:05"/>
    <n v="1.7255021259188652E-2"/>
    <s v="Uso del cinturón de seguridad (Velocidad máxima: 16 kmh Cinturón de seguridad del conductor (1. Desabrochado): 1.00)"/>
    <x v="85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706"/>
    <d v="2026-06-01T12:27:53"/>
    <d v="1899-12-30T00:00:06"/>
    <n v="2.0283518359065056E-2"/>
    <s v="Uso del cinturón de seguridad (Velocidad máxima: 13 kmh Cinturón de seguridad del conductor (1. Desabrochado): 1.00)"/>
    <x v="64"/>
    <s v="Válido"/>
  </r>
  <r>
    <x v="19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1707"/>
    <d v="2026-06-01T12:37:54"/>
    <d v="1899-12-30T00:00:00"/>
    <n v="2.4542485334677622E-5"/>
    <s v="Giro brusco (Velocidad máxima: 9 kmh Aceleración de lado a lado: -0.48 g-force, Ignición: 1.00)"/>
    <x v="232"/>
    <s v="Válido"/>
  </r>
  <r>
    <x v="19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1708"/>
    <d v="2026-06-01T12:39:25"/>
    <d v="1899-12-30T00:00:00"/>
    <n v="5.5945891654118896E-4"/>
    <s v="Giro brusco (Velocidad máxima: 16 kmh Aceleración de lado a lado: -0.66 g-force, Ignición: 1.00)"/>
    <x v="233"/>
    <s v="Válido"/>
  </r>
  <r>
    <x v="1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09"/>
    <d v="2026-06-01T12:42:41"/>
    <d v="1899-12-30T00:00:34"/>
    <n v="0.18407177925109863"/>
    <s v="Exceso Velocidad 10 Km/h (Velocidad máxima: 24 kmh)"/>
    <x v="41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10"/>
    <d v="2026-06-01T12:43:36"/>
    <d v="1899-12-30T00:00:49"/>
    <n v="0.26625606417655945"/>
    <s v="Exceso de velocidad (nuevo) (Velocidad máxima: 24 kmh (Velocidad máxima en carretera: 7 kmh))"/>
    <x v="114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11"/>
    <d v="2026-06-01T12:44:37"/>
    <d v="1899-12-30T00:00:03"/>
    <n v="6.5884366631507874E-3"/>
    <s v="Exceso Velocidad 10 Km/h (Velocidad máxima: 11 kmh)"/>
    <x v="31"/>
    <s v="Válido"/>
  </r>
  <r>
    <x v="19"/>
    <s v="Vehicle, Diesel, Frontera Energy Col 2679"/>
    <x v="2"/>
    <x v="2"/>
    <x v="2"/>
    <n v="0"/>
    <x v="9"/>
    <s v="ECOPETROL RUBIALES- Quifa - CAÑO SUR, Centralizado de combustible Quifa: Vía Sin Nombre, Puerto Gaitán, Meta, Colombia"/>
    <s v="Cliente, Vel Max 40 Km/h, Vel Max 10 Km/h"/>
    <x v="1712"/>
    <d v="2026-06-01T12:45:58"/>
    <d v="1899-12-30T00:00:05"/>
    <n v="2.1658355370163918E-2"/>
    <s v="Uso del cinturón de seguridad (Velocidad máxima: 17 kmh Cinturón de seguridad del conductor (1. Desabrochado): 1.00)"/>
    <x v="199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12"/>
    <d v="2026-06-01T12:45:58"/>
    <d v="1899-12-30T00:00:07"/>
    <n v="3.3392477780580521E-2"/>
    <s v="Exceso Velocidad 10 Km/h (Velocidad máxima: 17 kmh)"/>
    <x v="43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13"/>
    <d v="2026-06-01T12:46:11"/>
    <d v="1899-12-30T00:00:46"/>
    <n v="0.32816281914710999"/>
    <s v="Exceso de velocidad (nuevo) (Velocidad máxima: 31 kmh (Velocidad máxima en carretera: 7 kmh))"/>
    <x v="67"/>
    <s v="Válido"/>
  </r>
  <r>
    <x v="1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14"/>
    <d v="2026-06-01T12:47:05"/>
    <d v="1899-12-30T00:00:01"/>
    <n v="1.056627556681633E-2"/>
    <s v="Exceso Velocidad 30 Km/h (Velocidad máxima: 31 kmh)"/>
    <x v="49"/>
    <s v="Válido"/>
  </r>
  <r>
    <x v="1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472"/>
    <d v="2026-06-01T12:47:15"/>
    <d v="1899-12-30T00:00:04"/>
    <n v="3.741806373000145E-2"/>
    <s v="Exceso Velocidad 30 Km/h (Velocidad máxima: 31 kmh)"/>
    <x v="49"/>
    <s v="Válido"/>
  </r>
  <r>
    <x v="1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15"/>
    <d v="2026-06-01T12:48:09"/>
    <d v="1899-12-30T00:00:25"/>
    <n v="0.23891815543174744"/>
    <s v="Exceso Velocidad 30 Km/h (Velocidad máxima: 37 kmh)"/>
    <x v="55"/>
    <s v="Válido"/>
  </r>
  <r>
    <x v="19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716"/>
    <d v="2026-06-01T12:49:10"/>
    <d v="1899-12-30T00:00:04"/>
    <n v="1.0391369462013245E-2"/>
    <s v="Exceso Velocidad 10 Km/h (Velocidad máxima: 15 kmh)"/>
    <x v="50"/>
    <s v="Válido"/>
  </r>
  <r>
    <x v="19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717"/>
    <d v="2026-06-01T12:49:27"/>
    <d v="1899-12-30T00:00:09"/>
    <n v="2.5641538202762604E-2"/>
    <s v="Exceso Velocidad 10 Km/h (Velocidad máxima: 12 kmh)"/>
    <x v="33"/>
    <s v="Válido"/>
  </r>
  <r>
    <x v="1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18"/>
    <d v="2026-06-01T14:06:25"/>
    <d v="1899-12-30T00:00:08"/>
    <n v="6.9835729897022247E-2"/>
    <s v="Exceso Velocidad 30 Km/h (Velocidad máxima: 33 kmh)"/>
    <x v="56"/>
    <s v="Válido"/>
  </r>
  <r>
    <x v="19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719"/>
    <d v="2026-06-01T14:09:13"/>
    <d v="1899-12-30T00:01:05"/>
    <n v="0.30223432183265686"/>
    <s v="Exceso de velocidad (nuevo) (Velocidad máxima: 20 kmh (Velocidad máxima en carretera: 7 kmh))"/>
    <x v="121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20"/>
    <d v="2026-06-01T14:10:25"/>
    <d v="1899-12-30T00:00:51"/>
    <n v="0.16982689499855042"/>
    <s v="Exceso Velocidad 10 Km/h (Velocidad máxima: 13 kmh)"/>
    <x v="34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21"/>
    <d v="2026-06-01T15:04:15"/>
    <d v="1899-12-30T00:00:25"/>
    <n v="7.796371728181839E-2"/>
    <s v="Exceso Velocidad 10 Km/h (Velocidad máxima: 12 kmh)"/>
    <x v="33"/>
    <s v="Válido"/>
  </r>
  <r>
    <x v="19"/>
    <s v="Vehicle, Diesel, Frontera Energy Col 2679"/>
    <x v="2"/>
    <x v="2"/>
    <x v="2"/>
    <n v="0"/>
    <x v="9"/>
    <s v="ECOPETROL RUBIALES- Quifa - CAÑO SUR, Centralizado de combustible Quifa: Vía Sin Nombre, Puerto Gaitán, Meta, Colombia"/>
    <s v="Cliente, Vel Max 40 Km/h, Vel Max 10 Km/h"/>
    <x v="1721"/>
    <d v="2026-06-01T15:04:15"/>
    <d v="1899-12-30T00:00:25"/>
    <n v="7.796371728181839E-2"/>
    <s v="Uso del cinturón de seguridad (Velocidad máxima: 12 kmh Cinturón de seguridad del conductor (1. Desabrochado): 1.00)"/>
    <x v="63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22"/>
    <d v="2026-06-01T15:32:22"/>
    <d v="1899-12-30T00:01:18"/>
    <n v="0.29672738909721375"/>
    <s v="Exceso de velocidad (nuevo) (Velocidad máxima: 16 kmh (Velocidad máxima en carretera: 7 kmh))"/>
    <x v="234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723"/>
    <d v="2026-06-01T16:09:56"/>
    <d v="1899-12-30T00:00:03"/>
    <n v="6.1849495396018028E-3"/>
    <s v="Uso del cinturón de seguridad (Velocidad máxima: 12 kmh Cinturón de seguridad del conductor (1. Desabrochado): 1.00)"/>
    <x v="63"/>
    <s v="Válido"/>
  </r>
  <r>
    <x v="19"/>
    <s v="Vehicle, Diesel, Frontera Energy Col 2679"/>
    <x v="2"/>
    <x v="2"/>
    <x v="2"/>
    <n v="0"/>
    <x v="9"/>
    <s v="ECOPETROL RUBIALES- Quifa - CAÑO SUR: Vía Sin Nombre, Puerto Gaitán, Meta, Colombia"/>
    <s v="Cliente, Vel Max 40 Km/h"/>
    <x v="1724"/>
    <d v="2026-06-01T16:10:13"/>
    <d v="1899-12-30T00:02:00"/>
    <n v="0.5422050952911377"/>
    <s v="Uso del cinturón de seguridad (Velocidad máxima: 22 kmh Cinturón de seguridad del conductor (1. Desabrochado): 1.00)"/>
    <x v="83"/>
    <s v="Válido"/>
  </r>
  <r>
    <x v="19"/>
    <s v="Vehicle, Diesel, Frontera Energy Col 2679"/>
    <x v="2"/>
    <x v="2"/>
    <x v="2"/>
    <n v="0"/>
    <x v="9"/>
    <s v="ECOPETROL RUBIALES- Quifa - CAÑO SUR, Puerto Triunfo - Estacion Policia: Puerto Gaitan - Rubiales, Puerto Gaitán, Meta, Colombia"/>
    <s v="Cliente, Vel Max 40 Km/h, Vel Max 30 Km/h"/>
    <x v="1725"/>
    <d v="2026-06-01T16:12:31"/>
    <d v="1899-12-30T00:00:21"/>
    <n v="7.1791678667068481E-2"/>
    <s v="Uso del cinturón de seguridad (Velocidad máxima: 16 kmh Cinturón de seguridad del conductor (1. Desabrochado): 1.00)"/>
    <x v="85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26"/>
    <d v="2026-06-01T16:12:47"/>
    <d v="1899-12-30T00:01:18"/>
    <n v="0.28446048498153687"/>
    <s v="Exceso de velocidad (nuevo) (Velocidad máxima: 16 kmh (Velocidad máxima en carretera: 7 kmh))"/>
    <x v="234"/>
    <s v="Válido"/>
  </r>
  <r>
    <x v="19"/>
    <s v="Vehicle, Diesel, Frontera Energy Col 2679"/>
    <x v="2"/>
    <x v="2"/>
    <x v="2"/>
    <n v="0"/>
    <x v="9"/>
    <s v="ECOPETROL RUBIALES- Quifa - CAÑO SUR: Puerto Gaitan - Rubiales, Puerto Gaitán, Meta, Colombia"/>
    <s v="Cliente, Vel Max 40 Km/h"/>
    <x v="1727"/>
    <d v="2026-06-01T16:12:52"/>
    <d v="1899-12-30T00:01:06"/>
    <n v="0.25102570652961731"/>
    <s v="Uso del cinturón de seguridad (Velocidad máxima: 16 kmh Cinturón de seguridad del conductor (1. Desabrochado): 1.00)"/>
    <x v="85"/>
    <s v="Válido"/>
  </r>
  <r>
    <x v="19"/>
    <s v="Vehicle, Diesel, Frontera Energy Col 2679"/>
    <x v="2"/>
    <x v="2"/>
    <x v="2"/>
    <n v="0"/>
    <x v="0"/>
    <s v="ECOPETROL RUBIALES- Quifa - CAÑO SUR, Centralizado de combustible Quifa: Vía Sin Nombre, Puerto Gaitán, Meta, Colombia"/>
    <s v="Cliente, Vel Max 40 Km/h, Vel Max 10 Km/h"/>
    <x v="1728"/>
    <d v="2026-06-01T16:46:05"/>
    <d v="1899-12-30T00:07:20"/>
    <n v="4.2938673868775368E-3"/>
    <s v="Tiempo en ralentí (Ignición: 1.00)"/>
    <x v="0"/>
    <s v="Válido"/>
  </r>
  <r>
    <x v="19"/>
    <s v="Vehicle, Diesel, Frontera Energy Col 2679"/>
    <x v="2"/>
    <x v="2"/>
    <x v="2"/>
    <n v="0"/>
    <x v="9"/>
    <s v="ECOPETROL RUBIALES- Quifa - CAÑO SUR, Centralizado de combustible Quifa: Vía Sin Nombre, Puerto Gaitán, Meta, Colombia"/>
    <s v="Cliente, Vel Max 40 Km/h, Vel Max 10 Km/h"/>
    <x v="1729"/>
    <d v="2026-06-01T17:14:52"/>
    <d v="1899-12-30T00:00:08"/>
    <n v="3.367922455072403E-2"/>
    <s v="Uso del cinturón de seguridad (Velocidad máxima: 17 kmh Cinturón de seguridad del conductor (1. Desabrochado): 1.00)"/>
    <x v="199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29"/>
    <d v="2026-06-01T17:14:52"/>
    <d v="1899-12-30T00:00:08"/>
    <n v="3.367922455072403E-2"/>
    <s v="Exceso Velocidad 10 Km/h (Velocidad máxima: 17 kmh)"/>
    <x v="43"/>
    <s v="Válido"/>
  </r>
  <r>
    <x v="19"/>
    <s v="Vehicle, Diesel, Frontera Energy Col 2679"/>
    <x v="2"/>
    <x v="2"/>
    <x v="2"/>
    <n v="0"/>
    <x v="9"/>
    <s v="ECOPETROL RUBIALES- Quifa - CAÑO SUR, Centralizado de combustible Quifa: Vía Sin Nombre, Puerto Gaitán, Meta, Colombia"/>
    <s v="Cliente, Vel Max 40 Km/h, Vel Max 10 Km/h"/>
    <x v="1730"/>
    <d v="2026-06-01T17:15:46"/>
    <d v="1899-12-30T00:00:11"/>
    <n v="4.4947393238544464E-2"/>
    <s v="Uso del cinturón de seguridad (Velocidad máxima: 16 kmh Cinturón de seguridad del conductor (1. Desabrochado): 1.00)"/>
    <x v="85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30"/>
    <d v="2026-06-01T17:15:46"/>
    <d v="1899-12-30T00:00:10"/>
    <n v="3.9800271391868591E-2"/>
    <s v="Exceso Velocidad 10 Km/h (Velocidad máxima: 15 kmh)"/>
    <x v="50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31"/>
    <d v="2026-06-01T17:16:01"/>
    <d v="1899-12-30T00:00:42"/>
    <n v="0.29617038369178772"/>
    <s v="Exceso de velocidad (nuevo) (Velocidad máxima: 29 kmh (Velocidad máxima en carretera: 7 kmh))"/>
    <x v="68"/>
    <s v="Válido"/>
  </r>
  <r>
    <x v="1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32"/>
    <d v="2026-06-01T17:17:00"/>
    <d v="1899-12-30T00:00:23"/>
    <n v="0.1839371919631958"/>
    <s v="Exceso Velocidad 10 Km/h (Velocidad máxima: 31 kmh)"/>
    <x v="127"/>
    <s v="Válido"/>
  </r>
  <r>
    <x v="19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1733"/>
    <d v="2026-06-01T17:17:17"/>
    <d v="1899-12-30T00:00:08"/>
    <n v="6.8269290030002594E-2"/>
    <s v="Exceso Velocidad 30 Km/h (Velocidad máxima: 31 kmh)"/>
    <x v="49"/>
    <s v="Válido"/>
  </r>
  <r>
    <x v="1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34"/>
    <d v="2026-06-01T17:17:54"/>
    <d v="1899-12-30T00:00:16"/>
    <n v="0.13888730108737946"/>
    <s v="Exceso Velocidad 30 Km/h (Velocidad máxima: 33 kmh)"/>
    <x v="56"/>
    <s v="Válido"/>
  </r>
  <r>
    <x v="19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35"/>
    <d v="2026-06-01T17:18:19"/>
    <d v="1899-12-30T00:00:02"/>
    <n v="1.6704956069588661E-2"/>
    <s v="Exceso Velocidad 30 Km/h (Velocidad máxima: 31 kmh)"/>
    <x v="49"/>
    <s v="Válido"/>
  </r>
  <r>
    <x v="19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36"/>
    <d v="2026-06-01T17:25:35"/>
    <d v="1899-12-30T00:00:30"/>
    <n v="0.1845305860042572"/>
    <s v="Exceso Velocidad 10 Km/h (Velocidad máxima: 26 kmh)"/>
    <x v="42"/>
    <s v="Válido"/>
  </r>
  <r>
    <x v="19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737"/>
    <d v="2026-06-01T17:29:38"/>
    <d v="1899-12-30T00:00:02"/>
    <n v="4.910551942884922E-3"/>
    <s v="Exceso Velocidad 10 Km/h (Velocidad máxima: 13 kmh)"/>
    <x v="34"/>
    <s v="Válido"/>
  </r>
  <r>
    <x v="19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738"/>
    <d v="2026-06-01T17:30:31"/>
    <d v="1899-12-30T00:00:10"/>
    <n v="2.6162400841712952E-2"/>
    <s v="Exceso Velocidad 10 Km/h (Velocidad máxima: 12 kmh)"/>
    <x v="33"/>
    <s v="Válido"/>
  </r>
  <r>
    <x v="19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739"/>
    <d v="2026-06-01T18:11:24"/>
    <d v="1899-12-30T00:00:19"/>
    <n v="6.0350358486175537E-2"/>
    <s v="Exceso de velocidad (nuevo) (Velocidad máxima: 12 kmh (Velocidad máxima en carretera: 7 kmh))"/>
    <x v="235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40"/>
    <d v="2026-06-01T18:12:00"/>
    <d v="1899-12-30T00:00:46"/>
    <n v="0.20608831942081451"/>
    <s v="Exceso de velocidad (nuevo) (Velocidad máxima: 18 kmh (Velocidad máxima en carretera: 7 kmh))"/>
    <x v="120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41"/>
    <d v="2026-06-01T18:13:01"/>
    <d v="1899-12-30T00:00:17"/>
    <n v="5.3714968264102936E-2"/>
    <s v="Exceso Velocidad 10 Km/h (Velocidad máxima: 13 kmh)"/>
    <x v="34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42"/>
    <d v="2026-06-01T18:13:18"/>
    <d v="1899-12-30T00:00:27"/>
    <n v="7.651451975107193E-2"/>
    <s v="Exceso Velocidad 10 Km/h (Velocidad máxima: 11 kmh)"/>
    <x v="31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43"/>
    <d v="2026-06-01T19:57:58"/>
    <d v="1899-12-30T00:00:01"/>
    <n v="2.3180046118795872E-3"/>
    <s v="Exceso Velocidad 10 Km/h (Velocidad máxima: 11 kmh)"/>
    <x v="31"/>
    <s v="Válido"/>
  </r>
  <r>
    <x v="19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44"/>
    <d v="2026-06-01T19:58:11"/>
    <d v="1899-12-30T00:00:15"/>
    <n v="3.7960220128297806E-2"/>
    <s v="Exceso Velocidad 10 Km/h (Velocidad máxima: 11 kmh)"/>
    <x v="31"/>
    <s v="Válido"/>
  </r>
  <r>
    <x v="19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45"/>
    <d v="2026-06-01T19:59:30"/>
    <d v="1899-12-30T00:01:05"/>
    <n v="0.32024544477462769"/>
    <s v="Exceso de velocidad (nuevo) (Velocidad máxima: 22 kmh (Velocidad máxima en carretera: 7 kmh))"/>
    <x v="124"/>
    <s v="Válido"/>
  </r>
  <r>
    <x v="19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746"/>
    <d v="2026-06-01T20:03:19"/>
    <d v="1899-12-30T00:00:34"/>
    <n v="0.15137162804603577"/>
    <s v="Exceso Velocidad 10 Km/h (Velocidad máxima: 20 kmh)"/>
    <x v="30"/>
    <s v="Válido"/>
  </r>
  <r>
    <x v="19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1747"/>
    <d v="2026-06-01T20:27:57"/>
    <d v="1899-12-30T00:19:37"/>
    <n v="0"/>
    <s v="Tiempo en ralentí (Ignición: 1.00)"/>
    <x v="0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748"/>
    <d v="2026-06-01T22:57:48"/>
    <d v="1899-12-30T00:00:17"/>
    <n v="5.2619542926549911E-2"/>
    <s v="Exceso Velocidad 10 Km/h (Velocidad máxima: 13 kmh)"/>
    <x v="34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749"/>
    <d v="2026-06-01T22:58:04"/>
    <d v="1899-12-30T00:00:23"/>
    <n v="7.5186803936958313E-2"/>
    <s v="Exceso Velocidad 10 Km/h (Velocidad máxima: 13 kmh)"/>
    <x v="34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1750"/>
    <d v="2026-06-01T22:58:50"/>
    <d v="1899-12-30T00:00:19"/>
    <n v="5.2646968513727188E-2"/>
    <s v="Exceso Velocidad 10 Km/h (Velocidad máxima: 11 kmh)"/>
    <x v="31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751"/>
    <d v="2026-06-01T23:00:09"/>
    <d v="1899-12-30T00:00:12"/>
    <n v="3.4764420241117477E-2"/>
    <s v="Exceso Velocidad 10 Km/h (Velocidad máxima: 11 kmh)"/>
    <x v="31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752"/>
    <d v="2026-06-01T23:01:05"/>
    <d v="1899-12-30T00:00:23"/>
    <n v="6.2284190207719803E-2"/>
    <s v="Exceso Velocidad 10 Km/h (Velocidad máxima: 12 kmh)"/>
    <x v="33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753"/>
    <d v="2026-06-01T23:01:28"/>
    <d v="1899-12-30T00:01:06"/>
    <n v="0.20076324045658112"/>
    <s v="Exceso Velocidad 10 Km/h (Velocidad máxima: 12 kmh)"/>
    <x v="33"/>
    <s v="Válido"/>
  </r>
  <r>
    <x v="19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754"/>
    <d v="2026-06-01T23:03:07"/>
    <d v="1899-12-30T00:00:35"/>
    <n v="0.10719262808561325"/>
    <s v="Exceso Velocidad 10 Km/h (Velocidad máxima: 14 kmh)"/>
    <x v="10"/>
    <s v="Válido"/>
  </r>
  <r>
    <x v="19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755"/>
    <d v="2026-06-01T23:38:11"/>
    <d v="1899-12-30T00:00:10"/>
    <n v="2.4836026132106781E-2"/>
    <s v="Exceso Velocidad 10 Km/h (Velocidad máxima: 11 kmh)"/>
    <x v="31"/>
    <s v="Válido"/>
  </r>
  <r>
    <x v="19"/>
    <s v="Vehicle, Diesel, Frontera Energy Col 2679"/>
    <x v="2"/>
    <x v="2"/>
    <x v="2"/>
    <n v="0"/>
    <x v="4"/>
    <s v="ECOPETROL RUBIALES- Quifa - CAÑO SUR, BATERIA 4: Rb 4, Puerto Gaitán, Meta, Colombia"/>
    <s v="Cliente, Vel Max 40 Km/h, Vel Max 10 Km/h"/>
    <x v="1756"/>
    <d v="2026-06-01T23:39:10"/>
    <d v="1899-12-30T00:00:51"/>
    <n v="0.17678062617778778"/>
    <s v="Exceso Velocidad 10 Km/h (Velocidad máxima: 15 kmh)"/>
    <x v="50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757"/>
    <d v="2026-06-01T23:40:01"/>
    <d v="1899-12-30T00:01:23"/>
    <n v="0.27181044220924377"/>
    <s v="Exceso Velocidad 10 Km/h (Velocidad máxima: 14 kmh)"/>
    <x v="10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Puerto Gaitán, Meta, Colombia"/>
    <s v="Cliente, Vel Max 40 Km/h, Vel Max 10 Km/h"/>
    <x v="1758"/>
    <d v="2026-06-01T23:41:58"/>
    <d v="1899-12-30T00:00:13"/>
    <n v="3.9253376424312592E-2"/>
    <s v="Exceso Velocidad 10 Km/h (Velocidad máxima: 13 kmh)"/>
    <x v="34"/>
    <s v="Válido"/>
  </r>
  <r>
    <x v="19"/>
    <s v="Vehicle, Diesel, Frontera Energy Col 2679"/>
    <x v="2"/>
    <x v="2"/>
    <x v="2"/>
    <n v="0"/>
    <x v="4"/>
    <s v="ECOPETROL RUBIALES- Quifa - CAÑO SUR, BATERIA 4: Rb 4 324 126 129 195 14 325 316 143 217 1 26 523 256 28, Meta, 502057, Colombia"/>
    <s v="Cliente, Vel Max 40 Km/h, Vel Max 10 Km/h"/>
    <x v="1759"/>
    <d v="2026-06-01T23:42:16"/>
    <d v="1899-12-30T00:00:03"/>
    <n v="6.5388539806008339E-3"/>
    <s v="Exceso Velocidad 10 Km/h (Velocidad máxima: 11 kmh)"/>
    <x v="31"/>
    <s v="Válido"/>
  </r>
  <r>
    <x v="20"/>
    <s v="Vehicle, Diesel, Frontera Energy Col 2679"/>
    <x v="2"/>
    <x v="2"/>
    <x v="2"/>
    <n v="0"/>
    <x v="4"/>
    <s v="CAMPAMENTO QUIFA, ECOPETROL RUBIALES- Quifa - CAÑO SUR, Puerto Triunfo - Estacion Policia: Puerto Gaitan - Rubiales, Puerto Gaitán, Meta, Colombia"/>
    <s v="Vel Max 10 Km/h, Cliente, Vel Max 40 Km/h, Vel Max 30 Km/h"/>
    <x v="1760"/>
    <d v="2026-06-01T04:44:53"/>
    <d v="1899-12-30T00:00:21"/>
    <n v="0.12039940059185028"/>
    <s v="Exceso Velocidad 10 Km/h (Velocidad máxima: 25 kmh)"/>
    <x v="35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61"/>
    <d v="2026-06-01T04:46:08"/>
    <d v="1899-12-30T00:00:13"/>
    <n v="0.11459910124540329"/>
    <s v="Exceso Velocidad 30 Km/h (Velocidad máxima: 33 kmh)"/>
    <x v="56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62"/>
    <d v="2026-06-01T04:46:42"/>
    <d v="1899-12-30T00:00:06"/>
    <n v="4.7665979713201523E-2"/>
    <s v="Exceso Velocidad 30 Km/h (Velocidad máxima: 31 kmh)"/>
    <x v="49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63"/>
    <d v="2026-06-01T04:46:55"/>
    <d v="1899-12-30T00:00:06"/>
    <n v="5.035669356584549E-2"/>
    <s v="Exceso Velocidad 30 Km/h (Velocidad máxima: 33 kmh)"/>
    <x v="56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64"/>
    <d v="2026-06-01T04:47:06"/>
    <d v="1899-12-30T00:01:25"/>
    <n v="0.76584106683731079"/>
    <s v="Exceso Velocidad 30 Km/h (Velocidad máxima: 33 kmh)"/>
    <x v="56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65"/>
    <d v="2026-06-01T04:47:31"/>
    <d v="1899-12-30T00:00:21"/>
    <n v="0.18380694091320038"/>
    <s v="Exceso Velocidad 10 Km/h (Velocidad máxima: 32 kmh)"/>
    <x v="72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66"/>
    <d v="2026-06-01T04:49:09"/>
    <d v="1899-12-30T00:00:17"/>
    <n v="0.14202013611793518"/>
    <s v="Exceso Velocidad 30 Km/h (Velocidad máxima: 31 kmh)"/>
    <x v="49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67"/>
    <d v="2026-06-01T05:05:40"/>
    <d v="1899-12-30T00:00:03"/>
    <n v="2.6179609820246696E-2"/>
    <s v="Exceso Velocidad 30 Km/h (Velocidad máxima: 31 kmh)"/>
    <x v="49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68"/>
    <d v="2026-06-01T05:11:10"/>
    <d v="1899-12-30T00:00:31"/>
    <n v="0.18246108293533325"/>
    <s v="Exceso Velocidad 10 Km/h (Velocidad máxima: 24 kmh)"/>
    <x v="41"/>
    <s v="Válido"/>
  </r>
  <r>
    <x v="20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769"/>
    <d v="2026-06-01T05:14:52"/>
    <d v="1899-12-30T00:00:02"/>
    <n v="5.4169045761227608E-3"/>
    <s v="Exceso Velocidad 10 Km/h (Velocidad máxima: 11 kmh)"/>
    <x v="31"/>
    <s v="Válido"/>
  </r>
  <r>
    <x v="20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770"/>
    <d v="2026-06-01T05:15:25"/>
    <d v="1899-12-30T00:00:08"/>
    <n v="2.229965478181839E-2"/>
    <s v="Exceso Velocidad 10 Km/h (Velocidad máxima: 11 kmh)"/>
    <x v="31"/>
    <s v="Válido"/>
  </r>
  <r>
    <x v="20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452"/>
    <d v="2026-06-01T06:16:28"/>
    <d v="1899-12-30T00:00:45"/>
    <n v="0.27345570921897888"/>
    <s v="Exceso de velocidad (nuevo) (Velocidad máxima: 24 kmh (Velocidad máxima en carretera: 7 kmh))"/>
    <x v="114"/>
    <s v="Válido"/>
  </r>
  <r>
    <x v="20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71"/>
    <d v="2026-06-01T06:18:53"/>
    <d v="1899-12-30T00:00:13"/>
    <n v="3.6867890506982803E-2"/>
    <s v="Exceso Velocidad 10 Km/h (Velocidad máxima: 11 kmh)"/>
    <x v="31"/>
    <s v="Válido"/>
  </r>
  <r>
    <x v="20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72"/>
    <d v="2026-06-01T06:24:23"/>
    <d v="1899-12-30T00:00:31"/>
    <n v="8.3773218095302582E-2"/>
    <s v="Exceso Velocidad 10 Km/h (Velocidad máxima: 12 kmh)"/>
    <x v="33"/>
    <s v="Válido"/>
  </r>
  <r>
    <x v="20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425"/>
    <d v="2026-06-01T06:25:13"/>
    <d v="1899-12-30T00:00:50"/>
    <n v="0.26661598682403564"/>
    <s v="Exceso de velocidad (nuevo) (Velocidad máxima: 24 kmh (Velocidad máxima en carretera: 7 kmh))"/>
    <x v="114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73"/>
    <d v="2026-06-01T06:26:28"/>
    <d v="1899-12-30T00:00:32"/>
    <n v="0.18358376622200012"/>
    <s v="Exceso Velocidad 10 Km/h (Velocidad máxima: 20 kmh)"/>
    <x v="30"/>
    <s v="Válido"/>
  </r>
  <r>
    <x v="20"/>
    <s v="Vehicle, Diesel, Frontera Energy Col 2679"/>
    <x v="2"/>
    <x v="2"/>
    <x v="2"/>
    <n v="0"/>
    <x v="0"/>
    <s v="ECOPETROL RUBIALES- Quifa - CAÑO SUR, Puerto Triunfo - Estacion Policia: Puerto Gaitan - Rubiales, Puerto Gaitán, Meta, Colombia"/>
    <s v="Cliente, Vel Max 40 Km/h, Vel Max 30 Km/h"/>
    <x v="1774"/>
    <d v="2026-06-01T06:32:50"/>
    <d v="1899-12-30T00:06:14"/>
    <n v="0"/>
    <s v="Tiempo en ralentí (Ignición: 1.00)"/>
    <x v="0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75"/>
    <d v="2026-06-01T06:42:47"/>
    <d v="1899-12-30T00:00:29"/>
    <n v="0.18402376770973206"/>
    <s v="Exceso Velocidad 10 Km/h (Velocidad máxima: 26 kmh)"/>
    <x v="42"/>
    <s v="Válido"/>
  </r>
  <r>
    <x v="20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76"/>
    <d v="2026-06-01T06:43:40"/>
    <d v="1899-12-30T00:00:47"/>
    <n v="0.27379956841468811"/>
    <s v="Exceso de velocidad (nuevo) (Velocidad máxima: 22 kmh (Velocidad máxima en carretera: 7 kmh))"/>
    <x v="124"/>
    <s v="Válido"/>
  </r>
  <r>
    <x v="20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777"/>
    <d v="2026-06-01T06:44:35"/>
    <d v="1899-12-30T00:00:53"/>
    <n v="0.17585296928882599"/>
    <s v="Exceso Velocidad 10 Km/h (Velocidad máxima: 14 kmh)"/>
    <x v="10"/>
    <s v="Válido"/>
  </r>
  <r>
    <x v="20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778"/>
    <d v="2026-06-01T07:43:33"/>
    <d v="1899-12-30T00:01:08"/>
    <n v="0.29166612029075623"/>
    <s v="Exceso de velocidad (nuevo) (Velocidad máxima: 20 kmh (Velocidad máxima en carretera: 7 kmh))"/>
    <x v="121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779"/>
    <d v="2026-06-01T07:45:06"/>
    <d v="1899-12-30T00:00:29"/>
    <n v="0.1834721714258194"/>
    <s v="Exceso Velocidad 10 Km/h (Velocidad máxima: 25 kmh)"/>
    <x v="35"/>
    <s v="Válido"/>
  </r>
  <r>
    <x v="20"/>
    <s v="Vehicle, Diesel, Frontera Energy Col 2679"/>
    <x v="2"/>
    <x v="2"/>
    <x v="2"/>
    <n v="0"/>
    <x v="11"/>
    <s v="ECOPETROL RUBIALES- Quifa - CAÑO SUR, Puerto Triunfo - Estacion Policia: Vía La Primera Vara, Puerto Gaitán, Meta, Colombia"/>
    <s v="Cliente, Vel Max 40 Km/h, Vel Max 30 Km/h"/>
    <x v="1780"/>
    <d v="2026-06-01T07:58:27"/>
    <d v="1899-12-30T00:00:01"/>
    <n v="7.1456246078014374E-3"/>
    <s v="Exceso Velocidad 30 Km/h (Velocidad máxima: 31 kmh)"/>
    <x v="49"/>
    <s v="Válido"/>
  </r>
  <r>
    <x v="20"/>
    <s v="Vehicle, Diesel, Frontera Energy Col 2679"/>
    <x v="2"/>
    <x v="2"/>
    <x v="2"/>
    <n v="0"/>
    <x v="9"/>
    <s v="ECOPETROL RUBIALES- Quifa - CAÑO SUR: Qf 045 120x Pwa 127 Qf 78, Puerto Gaitán, Meta, Colombia"/>
    <s v="Cliente, Vel Max 40 Km/h"/>
    <x v="1781"/>
    <d v="2026-06-01T08:02:37"/>
    <d v="1899-12-30T00:00:01"/>
    <n v="4.0691872127354145E-3"/>
    <s v="Uso del cinturón de seguridad (Velocidad máxima: 16 kmh Cinturón de seguridad del conductor (1. Desabrochado): 1.00)"/>
    <x v="85"/>
    <s v="Válido"/>
  </r>
  <r>
    <x v="20"/>
    <s v="Vehicle, Diesel, Frontera Energy Col 2679"/>
    <x v="2"/>
    <x v="2"/>
    <x v="2"/>
    <n v="0"/>
    <x v="0"/>
    <s v="ECOPETROL RUBIALES- Quifa - CAÑO SUR: Qf 78, Puerto Gaitán, Meta, Colombia"/>
    <s v="Cliente, Vel Max 40 Km/h"/>
    <x v="1782"/>
    <d v="2026-06-01T08:57:19"/>
    <d v="1899-12-30T00:06:41"/>
    <n v="0"/>
    <s v="Tiempo en ralentí (Ignición: 1.00)"/>
    <x v="0"/>
    <s v="Válido"/>
  </r>
  <r>
    <x v="20"/>
    <s v="Vehicle, Diesel, Frontera Energy Col 2679"/>
    <x v="2"/>
    <x v="2"/>
    <x v="2"/>
    <n v="0"/>
    <x v="0"/>
    <s v="ECOPETROL RUBIALES- Quifa - CAÑO SUR: Qf 78, Puerto Gaitán, Meta, Colombia"/>
    <s v="Cliente, Vel Max 40 Km/h"/>
    <x v="1783"/>
    <d v="2026-06-01T09:09:11"/>
    <d v="1899-12-30T00:11:11"/>
    <n v="0"/>
    <s v="Tiempo en ralentí (Ignición: 1.00)"/>
    <x v="0"/>
    <s v="Válido"/>
  </r>
  <r>
    <x v="20"/>
    <s v="Vehicle, Diesel, Frontera Energy Col 2679"/>
    <x v="2"/>
    <x v="2"/>
    <x v="2"/>
    <n v="0"/>
    <x v="7"/>
    <s v="ECOPETROL RUBIALES- Quifa - CAÑO SUR: Pwa 127 Qf 78, Puerto Gaitán, Meta, Colombia"/>
    <s v="Cliente, Vel Max 40 Km/h"/>
    <x v="1784"/>
    <d v="2026-06-01T10:15:25"/>
    <d v="1899-12-30T00:00:00"/>
    <n v="7.5872718298342079E-5"/>
    <s v="Giro brusco (Velocidad máxima: 12 kmh Ignición: 1.00 , Aceleración de lado a lado: 0.50 g-force)"/>
    <x v="236"/>
    <s v="Válido"/>
  </r>
  <r>
    <x v="20"/>
    <s v="Vehicle, Diesel, Frontera Energy Col 2679"/>
    <x v="2"/>
    <x v="2"/>
    <x v="2"/>
    <n v="0"/>
    <x v="0"/>
    <s v="ECOPETROL RUBIALES- Quifa - CAÑO SUR: Pwa 127 Qf 78, Puerto Gaitán, Meta, Colombia"/>
    <s v="Cliente, Vel Max 40 Km/h"/>
    <x v="1785"/>
    <d v="2026-06-01T10:17:31"/>
    <d v="1899-12-30T00:08:16"/>
    <n v="0"/>
    <s v="Tiempo en ralentí (Ignición: 1.00)"/>
    <x v="0"/>
    <s v="Válido"/>
  </r>
  <r>
    <x v="20"/>
    <s v="Vehicle, Diesel, Frontera Energy Col 2679"/>
    <x v="2"/>
    <x v="2"/>
    <x v="2"/>
    <n v="0"/>
    <x v="0"/>
    <s v="ECOPETROL RUBIALES- Quifa - CAÑO SUR: QF-392, Puerto Gaitán, Meta, Colombia"/>
    <s v="Cliente, Vel Max 40 Km/h"/>
    <x v="1786"/>
    <d v="2026-06-01T10:53:03"/>
    <d v="1899-12-30T00:05:57"/>
    <n v="0"/>
    <s v="Tiempo en ralentí (Ignición: 1.00)"/>
    <x v="0"/>
    <s v="Válido"/>
  </r>
  <r>
    <x v="20"/>
    <s v="Vehicle, Diesel, Frontera Energy Col 2679"/>
    <x v="2"/>
    <x v="2"/>
    <x v="2"/>
    <n v="0"/>
    <x v="7"/>
    <s v="ECOPETROL RUBIALES- Quifa - CAÑO SUR: Qf 045, Puerto Gaitán, Meta, Colombia"/>
    <s v="Cliente, Vel Max 40 Km/h"/>
    <x v="1787"/>
    <d v="2026-06-01T11:33:48"/>
    <d v="1899-12-30T00:00:00"/>
    <n v="2.5366098270751536E-4"/>
    <s v="Giro brusco (Velocidad máxima: 19 kmh Aceleración de lado a lado: -0.52 g-force, Ignición: 1.00)"/>
    <x v="237"/>
    <s v="Válido"/>
  </r>
  <r>
    <x v="20"/>
    <s v="Vehicle, Diesel, Frontera Energy Col 2679"/>
    <x v="2"/>
    <x v="2"/>
    <x v="2"/>
    <n v="0"/>
    <x v="10"/>
    <s v="ECOPETROL RUBIALES- Quifa - CAÑO SUR: Qf 045, Puerto Gaitán, Meta, Colombia"/>
    <s v="Cliente, Vel Max 40 Km/h"/>
    <x v="1788"/>
    <d v="2026-06-01T11:56:08"/>
    <d v="1899-12-30T00:00:02"/>
    <n v="1.8465865403413773E-2"/>
    <s v="Exceso Velocidad 40 Km/h (Velocidad máxima: 41 kmh)"/>
    <x v="47"/>
    <s v="Válido"/>
  </r>
  <r>
    <x v="20"/>
    <s v="Vehicle, Diesel, Frontera Energy Col 2679"/>
    <x v="2"/>
    <x v="2"/>
    <x v="2"/>
    <n v="0"/>
    <x v="1"/>
    <s v="ECOPETROL RUBIALES- Quifa - CAÑO SUR: Qf 045, Puerto Gaitán, Meta, Colombia"/>
    <s v="Cliente, Vel Max 40 Km/h"/>
    <x v="1789"/>
    <d v="2026-06-01T11:56:16"/>
    <d v="1899-12-30T00:00:00"/>
    <n v="0"/>
    <s v="Frenado brusco (nuevo) (Clase de vehículo para métricas de seguridad: Otra clase (no estandarizada), Velocidad máxima: 20 kmh,  Ignición: 1)"/>
    <x v="205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0"/>
    <d v="2026-06-01T11:57:10"/>
    <d v="1899-12-30T00:00:13"/>
    <n v="0.14254829287528992"/>
    <s v="Exceso Velocidad 40 Km/h (Velocidad máxima: 42 kmh)"/>
    <x v="51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1"/>
    <d v="2026-06-01T11:57:27"/>
    <d v="1899-12-30T00:00:04"/>
    <n v="4.5539509505033493E-2"/>
    <s v="Exceso Velocidad 40 Km/h (Velocidad máxima: 41 kmh)"/>
    <x v="47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2"/>
    <d v="2026-06-01T11:57:41"/>
    <d v="1899-12-30T00:00:03"/>
    <n v="3.3534877002239227E-2"/>
    <s v="Exceso Velocidad 40 Km/h (Velocidad máxima: 41 kmh)"/>
    <x v="47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3"/>
    <d v="2026-06-01T11:57:55"/>
    <d v="1899-12-30T00:00:04"/>
    <n v="4.1348934173583984E-2"/>
    <s v="Exceso Velocidad 40 Km/h (Velocidad máxima: 41 kmh)"/>
    <x v="47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4"/>
    <d v="2026-06-01T11:58:14"/>
    <d v="1899-12-30T00:00:21"/>
    <n v="0.23155805468559265"/>
    <s v="Exceso Velocidad 40 Km/h (Velocidad máxima: 42 kmh)"/>
    <x v="51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5"/>
    <d v="2026-06-01T11:59:07"/>
    <d v="1899-12-30T00:00:12"/>
    <n v="0.13302163779735565"/>
    <s v="Exceso Velocidad 40 Km/h (Velocidad máxima: 41 kmh)"/>
    <x v="47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6"/>
    <d v="2026-06-01T11:59:33"/>
    <d v="1899-12-30T00:00:12"/>
    <n v="0.12665280699729919"/>
    <s v="Exceso Velocidad 40 Km/h (Velocidad máxima: 41 kmh)"/>
    <x v="47"/>
    <s v="Válido"/>
  </r>
  <r>
    <x v="20"/>
    <s v="Vehicle, Diesel, Frontera Energy Col 2679"/>
    <x v="2"/>
    <x v="2"/>
    <x v="2"/>
    <n v="0"/>
    <x v="10"/>
    <s v="ECOPETROL RUBIALES- Quifa - CAÑO SUR: Qf 045 120x Pwa 127 Qf 78, Puerto Gaitán, Meta, Colombia"/>
    <s v="Cliente, Vel Max 40 Km/h"/>
    <x v="1797"/>
    <d v="2026-06-01T12:06:37"/>
    <d v="1899-12-30T00:00:05"/>
    <n v="4.9685977399349213E-2"/>
    <s v="Exceso Velocidad 40 Km/h (Velocidad máxima: 41 kmh)"/>
    <x v="47"/>
    <s v="Válido"/>
  </r>
  <r>
    <x v="20"/>
    <s v="Vehicle, Diesel, Frontera Energy Col 2679"/>
    <x v="2"/>
    <x v="2"/>
    <x v="2"/>
    <n v="0"/>
    <x v="11"/>
    <s v="ECOPETROL RUBIALES- Quifa - CAÑO SUR, Puerto Triunfo - Estacion Policia: Vía La Primera Vara, Puerto Gaitán, Meta, Colombia"/>
    <s v="Cliente, Vel Max 40 Km/h, Vel Max 30 Km/h"/>
    <x v="1798"/>
    <d v="2026-06-01T12:10:13"/>
    <d v="1899-12-30T00:00:00"/>
    <n v="3.8662315346300602E-3"/>
    <s v="Exceso Velocidad 30 Km/h (Velocidad máxima: 30 kmh)"/>
    <x v="238"/>
    <s v="Válido"/>
  </r>
  <r>
    <x v="20"/>
    <s v="Vehicle, Diesel, Frontera Energy Col 2679"/>
    <x v="2"/>
    <x v="2"/>
    <x v="2"/>
    <n v="0"/>
    <x v="7"/>
    <s v="ECOPETROL RUBIALES- Quifa - CAÑO SUR, Puerto Triunfo - Estacion Policia: Vía La Primera Vara, Puerto Gaitán, Meta, Colombia"/>
    <s v="Cliente, Vel Max 40 Km/h, Vel Max 30 Km/h"/>
    <x v="1799"/>
    <d v="2026-06-01T12:11:09"/>
    <d v="1899-12-30T00:00:00"/>
    <n v="3.573928916011937E-5"/>
    <s v="Giro brusco (Velocidad máxima: 6 kmh Aceleración de lado a lado: 0.49 g-force, Ignición: 1.00)"/>
    <x v="239"/>
    <s v="Válido"/>
  </r>
  <r>
    <x v="20"/>
    <s v="Vehicle, Diesel, Frontera Energy Col 2679"/>
    <x v="2"/>
    <x v="2"/>
    <x v="2"/>
    <n v="0"/>
    <x v="7"/>
    <s v="ECOPETROL RUBIALES- Quifa - CAÑO SUR, Puerto Triunfo - Estacion Policia: Puerto Gaitan - Rubiales, Puerto Gaitán, Meta, Colombia"/>
    <s v="Cliente, Vel Max 40 Km/h, Vel Max 30 Km/h"/>
    <x v="1800"/>
    <d v="2026-06-01T12:19:00"/>
    <d v="1899-12-30T00:00:00"/>
    <n v="1.4200445730239153E-4"/>
    <s v="Giro brusco (Velocidad máxima: 15 kmh Ignición: 1.00 , Aceleración de lado a lado: -0.50 g-force)"/>
    <x v="240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01"/>
    <d v="2026-06-01T12:19:29"/>
    <d v="1899-12-30T00:00:09"/>
    <n v="7.6022550463676453E-2"/>
    <s v="Exceso Velocidad 30 Km/h (Velocidad máxima: 31 kmh)"/>
    <x v="49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02"/>
    <d v="2026-06-01T12:23:35"/>
    <d v="1899-12-30T00:00:27"/>
    <n v="0.2664787769317627"/>
    <s v="Exceso Velocidad 30 Km/h (Velocidad máxima: 44 kmh)"/>
    <x v="241"/>
    <s v="Válido"/>
  </r>
  <r>
    <x v="20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803"/>
    <d v="2026-06-01T12:23:49"/>
    <d v="1899-12-30T00:00:07"/>
    <n v="8.5418835282325745E-2"/>
    <s v="Exceso Velocidad 40 Km/h (Velocidad máxima: 44 kmh)"/>
    <x v="54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804"/>
    <d v="2026-06-01T12:24:03"/>
    <d v="1899-12-30T00:00:20"/>
    <n v="0.18296585977077484"/>
    <s v="Exceso Velocidad 10 Km/h (Velocidad máxima: 37 kmh)"/>
    <x v="117"/>
    <s v="Válido"/>
  </r>
  <r>
    <x v="20"/>
    <s v="Vehicle, Diesel, Frontera Energy Col 2679"/>
    <x v="2"/>
    <x v="2"/>
    <x v="2"/>
    <n v="0"/>
    <x v="11"/>
    <s v="ECOPETROL RUBIALES- Quifa - CAÑO SUR, Puerto Triunfo - Estacion Policia, PUESTRO CONTROL QUIFA: Puerto Gaitan - Rubiales, Puerto Gaitán, Meta, Colombia"/>
    <s v="Cliente, Vel Max 40 Km/h, Vel Max 30 Km/h, Vel Max 10 Km/h"/>
    <x v="1805"/>
    <d v="2026-06-01T12:24:05"/>
    <d v="1899-12-30T00:00:42"/>
    <n v="0.40515249967575073"/>
    <s v="Exceso Velocidad 30 Km/h (Velocidad máxima: 44 kmh)"/>
    <x v="241"/>
    <s v="Válido"/>
  </r>
  <r>
    <x v="20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806"/>
    <d v="2026-06-01T12:24:33"/>
    <d v="1899-12-30T00:00:04"/>
    <n v="3.984706848859787E-2"/>
    <s v="Exceso Velocidad 40 Km/h (Velocidad máxima: 44 kmh)"/>
    <x v="54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07"/>
    <d v="2026-06-01T12:24:53"/>
    <d v="1899-12-30T00:00:06"/>
    <n v="5.0727915018796921E-2"/>
    <s v="Exceso Velocidad 30 Km/h (Velocidad máxima: 35 kmh)"/>
    <x v="59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08"/>
    <d v="2026-06-01T12:25:18"/>
    <d v="1899-12-30T00:00:08"/>
    <n v="7.8943416476249695E-2"/>
    <s v="Exceso Velocidad 30 Km/h (Velocidad máxima: 37 kmh)"/>
    <x v="55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09"/>
    <d v="2026-06-01T12:25:30"/>
    <d v="1899-12-30T00:00:30"/>
    <n v="0.31466418504714966"/>
    <s v="Exceso Velocidad 30 Km/h (Velocidad máxima: 41 kmh)"/>
    <x v="109"/>
    <s v="Válido"/>
  </r>
  <r>
    <x v="20"/>
    <s v="Vehicle, Diesel, Frontera Energy Col 2679"/>
    <x v="2"/>
    <x v="2"/>
    <x v="2"/>
    <n v="0"/>
    <x v="10"/>
    <s v="ECOPETROL RUBIALES- Quifa - CAÑO SUR, Puerto Triunfo - Estacion Policia: Puerto Gaitan - Rubiales, Puerto Gaitán, Meta, Colombia"/>
    <s v="Cliente, Vel Max 40 Km/h, Vel Max 30 Km/h"/>
    <x v="1810"/>
    <d v="2026-06-01T12:25:47"/>
    <d v="1899-12-30T00:00:06"/>
    <n v="6.6688723862171173E-2"/>
    <s v="Exceso Velocidad 40 Km/h (Velocidad máxima: 41 kmh)"/>
    <x v="47"/>
    <s v="Válido"/>
  </r>
  <r>
    <x v="20"/>
    <s v="Vehicle, Diesel, Frontera Energy Col 2679"/>
    <x v="2"/>
    <x v="2"/>
    <x v="2"/>
    <n v="0"/>
    <x v="11"/>
    <s v="ECOPETROL RUBIALES- Quifa - CAÑO SUR, Puerto Gaitan - Rubiales, Puerto Gaitán, Meta, Colombia, Puerto Triunfo - Estacion Policia: Puerto Gaitan - Rubiales, Puerto Gaitán, Meta, Colombia"/>
    <s v="Cliente, Vel Max 40 Km/h, Centro de servicios del proveedor, Vel Max 30 Km/h"/>
    <x v="1811"/>
    <d v="2026-06-01T12:26:14"/>
    <d v="1899-12-30T00:00:03"/>
    <n v="2.7885697782039642E-2"/>
    <s v="Exceso Velocidad 30 Km/h (Velocidad máxima: 31 kmh)"/>
    <x v="49"/>
    <s v="Válido"/>
  </r>
  <r>
    <x v="20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812"/>
    <d v="2026-06-01T12:26:33"/>
    <d v="1899-12-30T00:00:07"/>
    <n v="2.2167511284351349E-2"/>
    <s v="Exceso Velocidad 10 Km/h (Velocidad máxima: 12 kmh)"/>
    <x v="33"/>
    <s v="Válido"/>
  </r>
  <r>
    <x v="20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813"/>
    <d v="2026-06-01T12:26:40"/>
    <d v="1899-12-30T00:00:26"/>
    <n v="7.9869017004966736E-2"/>
    <s v="Exceso Velocidad 10 Km/h (Velocidad máxima: 12 kmh)"/>
    <x v="33"/>
    <s v="Válido"/>
  </r>
  <r>
    <x v="20"/>
    <s v="Vehicle, Diesel, Frontera Energy Col 2679"/>
    <x v="2"/>
    <x v="2"/>
    <x v="2"/>
    <n v="0"/>
    <x v="5"/>
    <s v="ECOPETROL RUBIALES- Quifa - CAÑO SUR, Puerto Triunfo - Estacion Policia: Puerto Gaitan - Rubiales, Puerto Gaitán, Meta, Colombia"/>
    <s v="Cliente, Vel Max 40 Km/h, Vel Max 30 Km/h"/>
    <x v="1814"/>
    <d v="2026-06-01T13:40:08"/>
    <d v="1899-12-30T00:02:50"/>
    <n v="1.0654145479202271"/>
    <s v="Exceso de velocidad (nuevo) (Velocidad máxima: 28 kmh (Velocidad máxima en carretera: 7 kmh))"/>
    <x v="89"/>
    <s v="Válido"/>
  </r>
  <r>
    <x v="2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570"/>
    <d v="2026-06-01T13:55:04"/>
    <d v="1899-12-30T00:06:19"/>
    <n v="0"/>
    <s v="Tiempo en ralentí (Ignición: 1.00)"/>
    <x v="0"/>
    <s v="Válido"/>
  </r>
  <r>
    <x v="20"/>
    <s v="Vehicle, Diesel, Frontera Energy Col 2679"/>
    <x v="2"/>
    <x v="2"/>
    <x v="2"/>
    <n v="0"/>
    <x v="5"/>
    <s v="ECOPETROL RUBIALES- Quifa - CAÑO SUR: Vía Sin Nombre, Puerto Gaitán, Meta, Colombia"/>
    <s v="Cliente, Vel Max 40 Km/h"/>
    <x v="1815"/>
    <d v="2026-06-01T14:03:00"/>
    <d v="1899-12-30T00:02:30"/>
    <n v="1.1011337041854858"/>
    <s v="Exceso de velocidad (nuevo) (Velocidad máxima: 31 kmh (Velocidad máxima en carretera: 7 kmh))"/>
    <x v="67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816"/>
    <d v="2026-06-01T14:05:42"/>
    <d v="1899-12-30T00:00:31"/>
    <n v="0.18396936357021332"/>
    <s v="Exceso Velocidad 10 Km/h (Velocidad máxima: 24 kmh)"/>
    <x v="41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17"/>
    <d v="2026-06-01T14:06:35"/>
    <d v="1899-12-30T00:00:15"/>
    <n v="0.12771596014499664"/>
    <s v="Exceso Velocidad 30 Km/h (Velocidad máxima: 33 kmh)"/>
    <x v="56"/>
    <s v="Válido"/>
  </r>
  <r>
    <x v="2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818"/>
    <d v="2026-06-01T14:39:13"/>
    <d v="1899-12-30T00:05:01"/>
    <n v="0"/>
    <s v="Tiempo en ralentí (Ignición: 1.00)"/>
    <x v="0"/>
    <s v="Válido"/>
  </r>
  <r>
    <x v="20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819"/>
    <d v="2026-06-01T14:45:19"/>
    <d v="1899-12-30T00:00:09"/>
    <n v="9.6251673996448517E-2"/>
    <s v="Exceso Velocidad 40 Km/h (Velocidad máxima: 41 kmh)"/>
    <x v="47"/>
    <s v="Válido"/>
  </r>
  <r>
    <x v="20"/>
    <s v="Vehicle, Diesel, Frontera Energy Col 2679"/>
    <x v="2"/>
    <x v="2"/>
    <x v="2"/>
    <n v="0"/>
    <x v="7"/>
    <s v="ECOPETROL RUBIALES- Quifa - CAÑO SUR: Vía Quifa17 a Vara, Puerto Gaitán, Meta, Colombia"/>
    <s v="Cliente, Vel Max 40 Km/h"/>
    <x v="1820"/>
    <d v="2026-06-01T15:06:18"/>
    <d v="1899-12-30T00:00:00"/>
    <n v="2.1023752924520522E-4"/>
    <s v="Giro brusco (Velocidad máxima: 16 kmh Aceleración de lado a lado: -0.57 g-force, Ignición: 1.00)"/>
    <x v="242"/>
    <s v="Válido"/>
  </r>
  <r>
    <x v="20"/>
    <s v="Vehicle, Diesel, Frontera Energy Col 2679"/>
    <x v="2"/>
    <x v="2"/>
    <x v="2"/>
    <n v="0"/>
    <x v="7"/>
    <s v="ECOPETROL RUBIALES- Quifa - CAÑO SUR: Vía Quifa17 a Vara, Puerto Gaitán, Meta, Colombia"/>
    <s v="Cliente, Vel Max 40 Km/h"/>
    <x v="1821"/>
    <d v="2026-06-01T15:06:19"/>
    <d v="1899-12-30T00:00:00"/>
    <n v="8.7598964455537498E-5"/>
    <s v="Giro brusco (Velocidad máxima: 16 kmh Aceleración de lado a lado: -0.50 g-force, Ignición: 1.00)"/>
    <x v="243"/>
    <s v="Válido"/>
  </r>
  <r>
    <x v="20"/>
    <s v="Vehicle, Diesel, Frontera Energy Col 2679"/>
    <x v="2"/>
    <x v="2"/>
    <x v="2"/>
    <n v="0"/>
    <x v="7"/>
    <s v="ECOPETROL RUBIALES- Quifa - CAÑO SUR: Vía Quifa17 a Vara, Puerto Gaitán, Meta, Colombia"/>
    <s v="Cliente, Vel Max 40 Km/h"/>
    <x v="1822"/>
    <d v="2026-06-01T15:16:04"/>
    <d v="1899-12-30T00:00:00"/>
    <n v="1.6529302229173481E-5"/>
    <s v="Giro brusco (Velocidad máxima: 9 kmh Aceleración de lado a lado: -0.47 g-force, Ignición: 1.00)"/>
    <x v="244"/>
    <s v="Válido"/>
  </r>
  <r>
    <x v="2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823"/>
    <d v="2026-06-01T15:41:31"/>
    <d v="1899-12-30T00:05:02"/>
    <n v="0"/>
    <s v="Tiempo en ralentí (Ignición: 1.00)"/>
    <x v="0"/>
    <s v="Válido"/>
  </r>
  <r>
    <x v="20"/>
    <s v="Vehicle, Diesel, Frontera Energy Col 2679"/>
    <x v="2"/>
    <x v="2"/>
    <x v="2"/>
    <n v="0"/>
    <x v="10"/>
    <s v="ECOPETROL RUBIALES- Quifa - CAÑO SUR: Vía Sin Nombre, Puerto Gaitán, Meta, Colombia"/>
    <s v="Cliente, Vel Max 40 Km/h"/>
    <x v="1824"/>
    <d v="2026-06-01T15:58:00"/>
    <d v="1899-12-30T00:00:05"/>
    <n v="4.8715643584728241E-2"/>
    <s v="Exceso Velocidad 40 Km/h (Velocidad máxima: 41 kmh)"/>
    <x v="47"/>
    <s v="Válido"/>
  </r>
  <r>
    <x v="20"/>
    <s v="Vehicle, Diesel, Frontera Energy Col 2679"/>
    <x v="2"/>
    <x v="2"/>
    <x v="2"/>
    <n v="0"/>
    <x v="10"/>
    <s v="ECOPETROL RUBIALES- Quifa - CAÑO SUR: Vía Quifa17 a Vara, Puerto Gaitán, Meta, Colombia"/>
    <s v="Cliente, Vel Max 40 Km/h"/>
    <x v="1825"/>
    <d v="2026-06-01T15:58:50"/>
    <d v="1899-12-30T00:00:23"/>
    <n v="0.24547749757766724"/>
    <s v="Exceso Velocidad 40 Km/h (Velocidad máxima: 41 kmh)"/>
    <x v="47"/>
    <s v="Válido"/>
  </r>
  <r>
    <x v="20"/>
    <s v="Vehicle, Diesel, Frontera Energy Col 2679"/>
    <x v="2"/>
    <x v="2"/>
    <x v="2"/>
    <n v="0"/>
    <x v="10"/>
    <s v="ECOPETROL RUBIALES- Quifa - CAÑO SUR: Vía Quifa17 a Vara, Puerto Gaitán, Meta, Colombia"/>
    <s v="Cliente, Vel Max 40 Km/h"/>
    <x v="1826"/>
    <d v="2026-06-01T15:59:53"/>
    <d v="1899-12-30T00:00:09"/>
    <n v="0.10362815856933594"/>
    <s v="Exceso Velocidad 40 Km/h (Velocidad máxima: 42 kmh)"/>
    <x v="51"/>
    <s v="Válido"/>
  </r>
  <r>
    <x v="20"/>
    <s v="Vehicle, Diesel, Frontera Energy Col 2679"/>
    <x v="2"/>
    <x v="2"/>
    <x v="2"/>
    <n v="0"/>
    <x v="11"/>
    <s v="ECOPETROL RUBIALES- Quifa - CAÑO SUR, Puerto Triunfo - Estacion Policia: Vía La Primera Vara, Puerto Gaitán, Meta, Colombia"/>
    <s v="Cliente, Vel Max 40 Km/h, Vel Max 30 Km/h"/>
    <x v="1827"/>
    <d v="2026-06-01T16:00:51"/>
    <d v="1899-12-30T00:00:02"/>
    <n v="2.0468462258577347E-2"/>
    <s v="Exceso Velocidad 30 Km/h (Velocidad máxima: 36 kmh)"/>
    <x v="101"/>
    <s v="Válido"/>
  </r>
  <r>
    <x v="20"/>
    <s v="Vehicle, Diesel, Frontera Energy Col 2679"/>
    <x v="2"/>
    <x v="2"/>
    <x v="2"/>
    <n v="0"/>
    <x v="11"/>
    <s v="ECOPETROL RUBIALES- Quifa - CAÑO SUR, Puerto Triunfo - Estacion Policia: Vía La Primera Vara, Puerto Gaitán, Meta, Colombia"/>
    <s v="Cliente, Vel Max 40 Km/h, Vel Max 30 Km/h"/>
    <x v="1828"/>
    <d v="2026-06-01T16:01:12"/>
    <d v="1899-12-30T00:00:01"/>
    <n v="9.6814688295125961E-3"/>
    <s v="Exceso Velocidad 30 Km/h (Velocidad máxima: 31 kmh)"/>
    <x v="49"/>
    <s v="Válido"/>
  </r>
  <r>
    <x v="20"/>
    <s v="Vehicle, Diesel, Frontera Energy Col 2679"/>
    <x v="2"/>
    <x v="2"/>
    <x v="2"/>
    <n v="0"/>
    <x v="11"/>
    <s v="ECOPETROL RUBIALES- Quifa - CAÑO SUR, Puerto Triunfo - Estacion Policia: Vía La Primera Vara, Puerto Gaitán, Meta, Colombia"/>
    <s v="Cliente, Vel Max 40 Km/h, Vel Max 30 Km/h"/>
    <x v="1829"/>
    <d v="2026-06-01T16:01:31"/>
    <d v="1899-12-30T00:00:06"/>
    <n v="4.6838894486427307E-2"/>
    <s v="Exceso Velocidad 30 Km/h (Velocidad máxima: 33 kmh)"/>
    <x v="56"/>
    <s v="Válido"/>
  </r>
  <r>
    <x v="20"/>
    <s v="Vehicle, Diesel, Frontera Energy Col 2679"/>
    <x v="2"/>
    <x v="2"/>
    <x v="2"/>
    <n v="0"/>
    <x v="11"/>
    <s v="ECOPETROL RUBIALES- Quifa - CAÑO SUR, Puerto Triunfo - Estacion Policia: Km 128 +500, Lavadero De Autos EL OASIS, Puerto Gaitan - Rubiales, Puerto Gaitán, Meta, Colombia"/>
    <s v="Cliente, Vel Max 40 Km/h, Vel Max 30 Km/h"/>
    <x v="1830"/>
    <d v="2026-06-01T16:03:50"/>
    <d v="1899-12-30T00:00:04"/>
    <n v="3.3434849232435226E-2"/>
    <s v="Exceso Velocidad 30 Km/h (Velocidad máxima: 31 kmh)"/>
    <x v="49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1"/>
    <d v="2026-06-01T16:04:05"/>
    <d v="1899-12-30T00:00:10"/>
    <n v="0.10286609083414078"/>
    <s v="Exceso Velocidad 30 Km/h (Velocidad máxima: 39 kmh)"/>
    <x v="66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2"/>
    <d v="2026-06-01T16:04:18"/>
    <d v="1899-12-30T00:00:02"/>
    <n v="2.009410597383976E-2"/>
    <s v="Exceso Velocidad 30 Km/h (Velocidad máxima: 31 kmh)"/>
    <x v="49"/>
    <s v="Válido"/>
  </r>
  <r>
    <x v="20"/>
    <s v="Vehicle, Diesel, Frontera Energy Col 2679"/>
    <x v="2"/>
    <x v="2"/>
    <x v="2"/>
    <n v="0"/>
    <x v="11"/>
    <s v="ECOPETROL RUBIALES- Quifa - CAÑO SUR, Puerto Triunfo - Estacion Policia: vereda puerto triunfo Km 129+300 vía rubiales, Puerto Gaitán, Meta, Colombia"/>
    <s v="Cliente, Vel Max 40 Km/h, Vel Max 30 Km/h"/>
    <x v="1833"/>
    <d v="2026-06-01T16:06:42"/>
    <d v="1899-12-30T00:00:16"/>
    <n v="0.14549227058887482"/>
    <s v="Exceso Velocidad 30 Km/h (Velocidad máxima: 33 kmh)"/>
    <x v="56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4"/>
    <d v="2026-06-01T16:07:25"/>
    <d v="1899-12-30T00:00:08"/>
    <n v="7.3310650885105133E-2"/>
    <s v="Exceso Velocidad 30 Km/h (Velocidad máxima: 35 kmh)"/>
    <x v="59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5"/>
    <d v="2026-06-01T16:07:43"/>
    <d v="1899-12-30T00:00:13"/>
    <n v="0.11866039782762527"/>
    <s v="Exceso Velocidad 30 Km/h (Velocidad máxima: 33 kmh)"/>
    <x v="56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6"/>
    <d v="2026-06-01T16:07:59"/>
    <d v="1899-12-30T00:00:12"/>
    <n v="0.11785893142223358"/>
    <s v="Exceso Velocidad 30 Km/h (Velocidad máxima: 37 kmh)"/>
    <x v="55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7"/>
    <d v="2026-06-01T16:08:25"/>
    <d v="1899-12-30T00:00:21"/>
    <n v="0.20104937255382538"/>
    <s v="Exceso Velocidad 30 Km/h (Velocidad máxima: 37 kmh)"/>
    <x v="55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8"/>
    <d v="2026-06-01T16:09:12"/>
    <d v="1899-12-30T00:00:18"/>
    <n v="0.16010801494121552"/>
    <s v="Exceso Velocidad 30 Km/h (Velocidad máxima: 33 kmh)"/>
    <x v="56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39"/>
    <d v="2026-06-01T16:09:41"/>
    <d v="1899-12-30T00:00:05"/>
    <n v="4.5302342623472214E-2"/>
    <s v="Exceso Velocidad 30 Km/h (Velocidad máxima: 31 kmh)"/>
    <x v="49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723"/>
    <d v="2026-06-01T16:09:56"/>
    <d v="1899-12-30T00:00:53"/>
    <n v="0.50001543760299683"/>
    <s v="Exceso Velocidad 30 Km/h (Velocidad máxima: 39 kmh)"/>
    <x v="66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840"/>
    <d v="2026-06-01T16:10:34"/>
    <d v="1899-12-30T00:00:21"/>
    <n v="0.18271937966346741"/>
    <s v="Exceso Velocidad 10 Km/h (Velocidad máxima: 32 kmh)"/>
    <x v="72"/>
    <s v="Válido"/>
  </r>
  <r>
    <x v="20"/>
    <s v="Vehicle, Diesel, Frontera Energy Col 2679"/>
    <x v="2"/>
    <x v="2"/>
    <x v="2"/>
    <n v="0"/>
    <x v="11"/>
    <s v="ECOPETROL RUBIALES- Quifa - CAÑO SUR, Puerto Triunfo - Estacion Policia: Puerto Gaitan - Rubiales, Puerto Gaitán, Meta, Colombia"/>
    <s v="Cliente, Vel Max 40 Km/h, Vel Max 30 Km/h"/>
    <x v="1841"/>
    <d v="2026-06-01T16:11:04"/>
    <d v="1899-12-30T00:00:04"/>
    <n v="3.2945763319730759E-2"/>
    <s v="Exceso Velocidad 30 Km/h (Velocidad máxima: 31 kmh)"/>
    <x v="49"/>
    <s v="Válido"/>
  </r>
  <r>
    <x v="20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842"/>
    <d v="2026-06-01T16:11:10"/>
    <d v="1899-12-30T00:00:34"/>
    <n v="0.28150439262390137"/>
    <s v="Exceso de velocidad (nuevo) (Velocidad máxima: 35 kmh (Velocidad máxima en carretera: 7 kmh))"/>
    <x v="75"/>
    <s v="Válido"/>
  </r>
  <r>
    <x v="20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843"/>
    <d v="2026-06-01T16:11:49"/>
    <d v="1899-12-30T00:00:12"/>
    <n v="4.8321172595024109E-2"/>
    <s v="Exceso Velocidad 10 Km/h (Velocidad máxima: 16 kmh)"/>
    <x v="32"/>
    <s v="Válido"/>
  </r>
  <r>
    <x v="20"/>
    <s v="Vehicle, Diesel, Frontera Energy Col 2679"/>
    <x v="2"/>
    <x v="2"/>
    <x v="2"/>
    <n v="0"/>
    <x v="0"/>
    <s v="ECOPETROL RUBIALES- Quifa - CAÑO SUR, Centralizado de combustible Quifa: Vía Sin Nombre, Puerto Gaitán, Meta, Colombia"/>
    <s v="Cliente, Vel Max 40 Km/h, Vel Max 10 Km/h"/>
    <x v="1369"/>
    <d v="2026-06-01T16:17:13"/>
    <d v="1899-12-30T00:07:45"/>
    <n v="0"/>
    <s v="Tiempo en ralentí (Ignición: 1.00)"/>
    <x v="0"/>
    <s v="Válido"/>
  </r>
  <r>
    <x v="20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844"/>
    <d v="2026-06-01T16:34:38"/>
    <d v="1899-12-30T00:00:26"/>
    <n v="7.7099300920963287E-2"/>
    <s v="Exceso Velocidad 10 Km/h (Velocidad máxima: 13 kmh)"/>
    <x v="34"/>
    <s v="Válido"/>
  </r>
  <r>
    <x v="20"/>
    <s v="Vehicle, Diesel, Frontera Energy Col 2679"/>
    <x v="2"/>
    <x v="2"/>
    <x v="2"/>
    <n v="0"/>
    <x v="0"/>
    <s v="ECOPETROL RUBIALES- Quifa - CAÑO SUR, Centralizado de combustible Quifa: Vía Sin Nombre, Puerto Gaitán, Meta, Colombia"/>
    <s v="Cliente, Vel Max 40 Km/h, Vel Max 10 Km/h"/>
    <x v="1845"/>
    <d v="2026-06-01T16:35:22"/>
    <d v="1899-12-30T00:08:16"/>
    <n v="0"/>
    <s v="Tiempo en ralentí (Ignición: 1.00)"/>
    <x v="0"/>
    <s v="Válido"/>
  </r>
  <r>
    <x v="20"/>
    <s v="Vehicle, Diesel, Frontera Energy Col 2679"/>
    <x v="2"/>
    <x v="2"/>
    <x v="2"/>
    <n v="0"/>
    <x v="4"/>
    <s v="ECOPETROL RUBIALES- Quifa - CAÑO SUR, Centralizado de combustible Quifa: Vía Sin Nombre, Puerto Gaitán, Meta, Colombia"/>
    <s v="Cliente, Vel Max 40 Km/h, Vel Max 10 Km/h"/>
    <x v="1846"/>
    <d v="2026-06-01T16:43:55"/>
    <d v="1899-12-30T00:00:52"/>
    <n v="0.15691131353378296"/>
    <s v="Exceso Velocidad 10 Km/h (Velocidad máxima: 12 kmh)"/>
    <x v="33"/>
    <s v="Válido"/>
  </r>
  <r>
    <x v="20"/>
    <s v="Vehicle, Diesel, Frontera Energy Col 2679"/>
    <x v="2"/>
    <x v="2"/>
    <x v="2"/>
    <n v="0"/>
    <x v="5"/>
    <s v="ECOPETROL RUBIALES- Quifa - CAÑO SUR: Puerto Gaitan - Rubiales, Puerto Gaitán, Meta, Colombia"/>
    <s v="Cliente, Vel Max 40 Km/h"/>
    <x v="1847"/>
    <d v="2026-06-01T16:44:59"/>
    <d v="1899-12-30T00:00:37"/>
    <n v="0.26120075583457947"/>
    <s v="Exceso de velocidad (nuevo) (Velocidad máxima: 26 kmh (Velocidad máxima en carretera: 7 kmh))"/>
    <x v="93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848"/>
    <d v="2026-06-01T16:45:54"/>
    <d v="1899-12-30T00:00:24"/>
    <n v="0.18389974534511566"/>
    <s v="Exceso Velocidad 10 Km/h (Velocidad máxima: 28 kmh)"/>
    <x v="62"/>
    <s v="Válido"/>
  </r>
  <r>
    <x v="20"/>
    <s v="Vehicle, Diesel, Frontera Energy Col 2679"/>
    <x v="2"/>
    <x v="2"/>
    <x v="2"/>
    <n v="0"/>
    <x v="0"/>
    <s v="ECOPETROL RUBIALES- Quifa - CAÑO SUR: Puerto Gaitan - Rubiales, Puerto Gaitán, Meta, Colombia"/>
    <s v="Cliente, Vel Max 40 Km/h"/>
    <x v="1849"/>
    <d v="2026-06-01T16:49:08"/>
    <d v="1899-12-30T00:14:52"/>
    <n v="0"/>
    <s v="Tiempo en ralentí (Ignición: 1.00)"/>
    <x v="0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850"/>
    <d v="2026-06-01T17:11:32"/>
    <d v="1899-12-30T00:00:29"/>
    <n v="0.18320493400096893"/>
    <s v="Exceso Velocidad 10 Km/h (Velocidad máxima: 21 kmh)"/>
    <x v="48"/>
    <s v="Válido"/>
  </r>
  <r>
    <x v="20"/>
    <s v="Vehicle, Diesel, Frontera Energy Col 2679"/>
    <x v="2"/>
    <x v="2"/>
    <x v="2"/>
    <n v="0"/>
    <x v="4"/>
    <s v="CAMPAMENTO QUIFA, ECOPETROL RUBIALES- Quifa - CAÑO SUR, Puerto Gaitan - Rubiales, Puerto Gaitán, Meta, Colombia: Ent. CAMPAMENTO, Puerto Gaitán, Meta, Colombia"/>
    <s v="Vel Max 10 Km/h, Cliente, Vel Max 40 Km/h, Centro de servicios del proveedor"/>
    <x v="1851"/>
    <d v="2026-06-01T17:15:11"/>
    <d v="1899-12-30T00:00:01"/>
    <n v="3.233801107853651E-3"/>
    <s v="Exceso Velocidad 10 Km/h (Velocidad máxima: 11 kmh)"/>
    <x v="31"/>
    <s v="Válido"/>
  </r>
  <r>
    <x v="20"/>
    <s v="Vehicle, Diesel, Frontera Energy Col 2679"/>
    <x v="2"/>
    <x v="2"/>
    <x v="2"/>
    <n v="0"/>
    <x v="4"/>
    <s v="CAMPAMENTO QUIFA, ECOPETROL RUBIALES- Quifa - CAÑO SUR, Puerto Gaitan - Rubiales, Puerto Gaitán, Meta, Colombia, Campamento Quifa - CMA: Ent. CAMPAMENTO, Puerto Gaitán, Meta, Colombia"/>
    <s v="Vel Max 10 Km/h, Cliente, Vel Max 40 Km/h, Centro de servicios del proveedor"/>
    <x v="1852"/>
    <d v="2026-06-01T17:15:54"/>
    <d v="1899-12-30T00:00:09"/>
    <n v="2.4345716461539268E-2"/>
    <s v="Exceso Velocidad 10 Km/h (Velocidad máxima: 11 kmh)"/>
    <x v="31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853"/>
    <d v="2026-06-01T18:11:08"/>
    <d v="1899-12-30T00:00:29"/>
    <n v="0.18308284878730774"/>
    <s v="Exceso Velocidad 10 Km/h (Velocidad máxima: 23 kmh)"/>
    <x v="5"/>
    <s v="Válido"/>
  </r>
  <r>
    <x v="20"/>
    <s v="Vehicle, Diesel, Frontera Energy Col 2679"/>
    <x v="2"/>
    <x v="2"/>
    <x v="2"/>
    <n v="0"/>
    <x v="4"/>
    <s v="ECOPETROL RUBIALES- Quifa - CAÑO SUR, Puerto Triunfo - Estacion Policia, PUESTRO CONTROL QUIFA: Puerto Gaitan - Rubiales, Puerto Gaitán, Meta, Colombia"/>
    <s v="Cliente, Vel Max 40 Km/h, Vel Max 30 Km/h, Vel Max 10 Km/h"/>
    <x v="1854"/>
    <d v="2026-06-01T18:33:58"/>
    <d v="1899-12-30T00:00:33"/>
    <n v="0.18395073711872101"/>
    <s v="Exceso Velocidad 10 Km/h (Velocidad máxima: 24 kmh)"/>
    <x v="41"/>
    <s v="Válido"/>
  </r>
  <r>
    <x v="20"/>
    <s v="Vehicle, Diesel, Frontera Energy Col 2679"/>
    <x v="2"/>
    <x v="2"/>
    <x v="2"/>
    <n v="0"/>
    <x v="4"/>
    <s v="CAMPAMENTO QUIFA, ECOPETROL RUBIALES- Quifa - CAÑO SUR, Puerto Gaitan - Rubiales, Puerto Gaitán, Meta, Colombia, Puerto Triunfo - Estacion Policia: Ent. CAMPAMENTO, Puerto Gaitán, Meta, Colombia"/>
    <s v="Vel Max 10 Km/h, Cliente, Vel Max 40 Km/h, Centro de servicios del proveedor, Vel Max 30 Km/h"/>
    <x v="1855"/>
    <d v="2026-06-01T18:38:33"/>
    <d v="1899-12-30T00:00:38"/>
    <n v="0.15052372217178345"/>
    <s v="Exceso Velocidad 10 Km/h (Velocidad máxima: 16 kmh)"/>
    <x v="32"/>
    <s v="Válido"/>
  </r>
  <r>
    <x v="20"/>
    <s v="Vehicle, Diesel, Frontera Energy Col 2679"/>
    <x v="2"/>
    <x v="2"/>
    <x v="2"/>
    <n v="0"/>
    <x v="0"/>
    <s v="ECOPETROL RUBIALES- Quifa - CAÑO SUR: Qf 12, Puerto Gaitán, Meta, Colombia"/>
    <s v="Cliente, Vel Max 40 Km/h"/>
    <x v="1856"/>
    <d v="2026-06-01T19:25:57"/>
    <d v="1899-12-30T00:14:47"/>
    <n v="0"/>
    <s v="Tiempo en ralentí (Ignición: 1.00)"/>
    <x v="0"/>
    <s v="Válido"/>
  </r>
  <r>
    <x v="20"/>
    <s v="Vehicle, Diesel, Frontera Energy Col 2679"/>
    <x v="2"/>
    <x v="2"/>
    <x v="2"/>
    <n v="0"/>
    <x v="7"/>
    <s v="ECOPETROL RUBIALES- Quifa - CAÑO SUR: Rb 443 358, Puerto Gaitán, Meta, Colombia"/>
    <s v="Cliente, Vel Max 40 Km/h"/>
    <x v="1857"/>
    <d v="2026-06-01T19:55:24"/>
    <d v="1899-12-30T00:00:00"/>
    <n v="7.2386965621262789E-4"/>
    <s v="Giro brusco (Velocidad máxima: 19 kmh Aceleración de lado a lado: -0.70 g-force, Ignición: 1.00)"/>
    <x v="245"/>
    <s v="Válido"/>
  </r>
  <r>
    <x v="20"/>
    <s v="Vehicle, Diesel, Frontera Energy Col 2679"/>
    <x v="2"/>
    <x v="2"/>
    <x v="2"/>
    <n v="0"/>
    <x v="7"/>
    <s v="ECOPETROL RUBIALES- Quifa - CAÑO SUR: Rb 443 358, Puerto Gaitán, Meta, Colombia"/>
    <s v="Cliente, Vel Max 40 Km/h"/>
    <x v="1858"/>
    <d v="2026-06-01T19:55:25"/>
    <d v="1899-12-30T00:00:00"/>
    <n v="3.1826546182855964E-4"/>
    <s v="Giro brusco (Velocidad máxima: 18 kmh Aceleración de lado a lado: -0.56 g-force, Ignición: 1.00)"/>
    <x v="246"/>
    <s v="Válido"/>
  </r>
  <r>
    <x v="20"/>
    <s v="Vehicle, Diesel, Frontera Energy Col 2679"/>
    <x v="2"/>
    <x v="2"/>
    <x v="2"/>
    <n v="0"/>
    <x v="7"/>
    <s v="ECOPETROL RUBIALES- Quifa - CAÑO SUR: Rb 443 358, Puerto Gaitán, Meta, Colombia"/>
    <s v="Cliente, Vel Max 40 Km/h"/>
    <x v="1859"/>
    <d v="2026-06-01T20:14:28"/>
    <d v="1899-12-30T00:00:00"/>
    <n v="5.6239537661895156E-4"/>
    <s v="Giro brusco (Velocidad máxima: 14 kmh Ignición: 1.00 , Aceleración de lado a lado: -0.59 g-force)"/>
    <x v="247"/>
    <s v="Válido"/>
  </r>
  <r>
    <x v="2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860"/>
    <d v="2026-06-01T20:27:33"/>
    <d v="1899-12-30T00:05:01"/>
    <n v="0"/>
    <s v="Tiempo en ralentí (Ignición: 1.00)"/>
    <x v="0"/>
    <s v="Válido"/>
  </r>
  <r>
    <x v="20"/>
    <s v="Vehicle, Diesel, Frontera Energy Col 2679"/>
    <x v="2"/>
    <x v="2"/>
    <x v="2"/>
    <n v="0"/>
    <x v="0"/>
    <s v="ECOPETROL RUBIALES- Quifa - CAÑO SUR: Qf 53, Puerto Gaitán, Meta, Colombia"/>
    <s v="Cliente, Vel Max 40 Km/h"/>
    <x v="1861"/>
    <d v="2026-06-01T20:39:19"/>
    <d v="1899-12-30T00:09:55"/>
    <n v="0"/>
    <s v="Tiempo en ralentí (Ignición: 1.00)"/>
    <x v="0"/>
    <s v="Válido"/>
  </r>
  <r>
    <x v="20"/>
    <s v="Vehicle, Diesel, Frontera Energy Col 2679"/>
    <x v="2"/>
    <x v="2"/>
    <x v="2"/>
    <n v="0"/>
    <x v="0"/>
    <s v="ECOPETROL RUBIALES- Quifa - CAÑO SUR: Vía a QF-306, Puerto Gaitán, Meta, Colombia"/>
    <s v="Cliente, Vel Max 40 Km/h"/>
    <x v="1862"/>
    <d v="2026-06-01T21:59:41"/>
    <d v="1899-12-30T00:06:41"/>
    <n v="0"/>
    <s v="Tiempo en ralentí (Ignición: 1.00)"/>
    <x v="0"/>
    <s v="Válido"/>
  </r>
  <r>
    <x v="20"/>
    <s v="Vehicle, Diesel, Frontera Energy Col 2679"/>
    <x v="2"/>
    <x v="2"/>
    <x v="2"/>
    <n v="0"/>
    <x v="7"/>
    <s v="ECOPETROL RUBIALES- Quifa - CAÑO SUR: Rb 222 273 150 278 277 360 446 453 454 447, Puerto Gaitán, Meta, Colombia"/>
    <s v="Cliente, Vel Max 40 Km/h"/>
    <x v="1863"/>
    <d v="2026-06-01T22:15:27"/>
    <d v="1899-12-30T00:00:00"/>
    <n v="2.8451542675611563E-5"/>
    <s v="Giro brusco (Velocidad máxima: 13 kmh Aceleración de lado a lado: 0.47 g-force, Ignición: 1.00)"/>
    <x v="57"/>
    <s v="Válido"/>
  </r>
  <r>
    <x v="20"/>
    <s v="Vehicle, Diesel, Frontera Energy Col 2679"/>
    <x v="2"/>
    <x v="2"/>
    <x v="2"/>
    <n v="0"/>
    <x v="0"/>
    <s v="ECOPETROL RUBIALES- Quifa - CAÑO SUR: Rb 222 273 150 278 277 360 446 453 454 447, Puerto Gaitán, Meta, Colombia"/>
    <s v="Cliente, Vel Max 40 Km/h"/>
    <x v="1864"/>
    <d v="2026-06-01T22:19:50"/>
    <d v="1899-12-30T00:06:06"/>
    <n v="5.3340056183515117E-5"/>
    <s v="Tiempo en ralentí (Ignición: 1.00)"/>
    <x v="0"/>
    <s v="Válido"/>
  </r>
  <r>
    <x v="20"/>
    <s v="Vehicle, Diesel, Frontera Energy Col 2679"/>
    <x v="2"/>
    <x v="2"/>
    <x v="2"/>
    <n v="0"/>
    <x v="0"/>
    <s v="ECOPETROL RUBIALES- Quifa - CAÑO SUR: Rb 222 273 150 278 277 360 446 453 454 447, Puerto Gaitán, Meta, Colombia"/>
    <s v="Cliente, Vel Max 40 Km/h"/>
    <x v="1865"/>
    <d v="2026-06-01T22:29:29"/>
    <d v="1899-12-30T00:05:12"/>
    <n v="0"/>
    <s v="Tiempo en ralentí (Ignición: 1.00)"/>
    <x v="0"/>
    <s v="Válido"/>
  </r>
  <r>
    <x v="20"/>
    <s v="Vehicle, Diesel, Frontera Energy Col 2679"/>
    <x v="2"/>
    <x v="2"/>
    <x v="2"/>
    <n v="0"/>
    <x v="0"/>
    <s v="ECOPETROL RUBIALES- Quifa - CAÑO SUR: Vía Sin Nombre, Puerto Gaitán, Meta, Colombia"/>
    <s v="Cliente, Vel Max 40 Km/h"/>
    <x v="1866"/>
    <d v="2026-06-01T22:59:12"/>
    <d v="1899-12-30T00:05:07"/>
    <n v="0"/>
    <s v="Tiempo en ralentí (Ignición: 1.00)"/>
    <x v="0"/>
    <s v="Válido"/>
  </r>
  <r>
    <x v="20"/>
    <s v="Vehicle, Diesel, Frontera Energy Col 2679"/>
    <x v="2"/>
    <x v="2"/>
    <x v="2"/>
    <n v="0"/>
    <x v="0"/>
    <s v="ECOPETROL RUBIALES- Quifa - CAÑO SUR: Qf 12 48 36 79 Dw1, Puerto Gaitán, Meta, Colombia"/>
    <s v="Cliente, Vel Max 40 Km/h"/>
    <x v="1867"/>
    <d v="2026-06-01T23:31:06"/>
    <d v="1899-12-30T00:06:41"/>
    <n v="0"/>
    <s v="Tiempo en ralentí (Ignición: 1.00)"/>
    <x v="0"/>
    <s v="Válido"/>
  </r>
  <r>
    <x v="20"/>
    <s v="Vehicle, Diesel, Frontera Energy Col 2679"/>
    <x v="2"/>
    <x v="2"/>
    <x v="2"/>
    <n v="0"/>
    <x v="10"/>
    <s v="ECOPETROL RUBIALES- Quifa - CAÑO SUR: Vía La Culebra, Puerto Gaitán, Meta, Colombia"/>
    <s v="Cliente, Vel Max 40 Km/h"/>
    <x v="1868"/>
    <d v="2026-06-01T23:52:26"/>
    <d v="1899-12-30T00:00:02"/>
    <n v="2.4153947830200195E-2"/>
    <s v="Exceso Velocidad 40 Km/h (Velocidad máxima: 41 kmh)"/>
    <x v="47"/>
    <s v="Váli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64A51-08FD-4845-97C0-700300B80735}" name="PivotTable1" cacheId="257" applyNumberFormats="0" applyBorderFormats="0" applyFontFormats="0" applyPatternFormats="0" applyAlignmentFormats="0" applyWidthHeightFormats="1" dataCaption="Values" updatedVersion="7" minRefreshableVersion="3" showDrill="0" itemPrintTitles="1" createdVersion="8" indent="0" compact="0" compactData="0">
  <location ref="A13:H611" firstHeaderRow="1" firstDataRow="2" firstDataCol="6"/>
  <pivotFields count="16">
    <pivotField axis="axisRow" compact="0" outline="0" showAll="0" defaultSubtotal="0">
      <items count="22"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howAll="0"/>
    <pivotField axis="axisRow" compact="0" outline="0" showAll="0" defaultSubtotal="0">
      <items count="7">
        <item m="1" x="6"/>
        <item x="0"/>
        <item x="1"/>
        <item x="2"/>
        <item x="3"/>
        <item x="4"/>
        <item x="5"/>
      </items>
    </pivotField>
    <pivotField axis="axisRow" compact="0" outline="0" showAll="0" defaultSubtotal="0">
      <items count="7">
        <item m="1" x="6"/>
        <item x="0"/>
        <item x="1"/>
        <item x="2"/>
        <item x="3"/>
        <item x="4"/>
        <item x="5"/>
      </items>
    </pivotField>
    <pivotField axis="axisRow" compact="0" outline="0" showAll="0" defaultSubtotal="0">
      <items count="7">
        <item m="1" x="6"/>
        <item x="0"/>
        <item x="1"/>
        <item x="2"/>
        <item x="3"/>
        <item x="4"/>
        <item x="5"/>
      </items>
    </pivotField>
    <pivotField compact="0" outline="0" showAll="0"/>
    <pivotField axis="axisRow" compact="0" outline="0" showAll="0" defaultSubtotal="0">
      <items count="18"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howAll="0"/>
    <pivotField compact="0" outline="0" showAll="0"/>
    <pivotField compact="0" numFmtId="164" outline="0" showAll="0"/>
    <pivotField compact="0" numFmtId="168" outline="0" showAll="0"/>
    <pivotField name="**Duration2" dataField="1" compact="0" numFmtId="166" outline="0" showAll="0"/>
    <pivotField name="**Distance2" dataField="1" compact="0" numFmtId="2" outline="0" showAll="0"/>
    <pivotField compact="0" outline="0" showAll="0"/>
    <pivotField axis="axisRow" compact="0" outline="0" showAll="0" defaultSubtotal="0">
      <items count="249">
        <item m="1" x="2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</items>
    </pivotField>
    <pivotField compact="0" outline="0" showAll="0"/>
  </pivotFields>
  <rowFields count="6">
    <field x="0"/>
    <field x="2"/>
    <field x="3"/>
    <field x="4"/>
    <field x="6"/>
    <field x="14"/>
  </rowFields>
  <rowItems count="597">
    <i>
      <x v="1"/>
      <x v="1"/>
      <x v="1"/>
      <x v="1"/>
      <x v="1"/>
      <x v="1"/>
    </i>
    <i r="1">
      <x v="2"/>
      <x v="2"/>
      <x v="2"/>
      <x v="1"/>
      <x v="1"/>
    </i>
    <i r="4">
      <x v="2"/>
      <x v="2"/>
    </i>
    <i r="5">
      <x v="3"/>
    </i>
    <i>
      <x v="2"/>
      <x v="3"/>
      <x v="3"/>
      <x v="3"/>
      <x v="1"/>
      <x v="1"/>
    </i>
    <i r="4">
      <x v="3"/>
      <x v="4"/>
    </i>
    <i r="4">
      <x v="4"/>
      <x v="5"/>
    </i>
    <i r="4">
      <x v="5"/>
      <x v="6"/>
    </i>
    <i>
      <x v="3"/>
      <x v="3"/>
      <x v="3"/>
      <x v="3"/>
      <x v="1"/>
      <x v="1"/>
    </i>
    <i r="4">
      <x v="2"/>
      <x v="13"/>
    </i>
    <i r="4">
      <x v="3"/>
      <x v="4"/>
    </i>
    <i r="5">
      <x v="7"/>
    </i>
    <i r="4">
      <x v="5"/>
      <x v="10"/>
    </i>
    <i r="5">
      <x v="11"/>
    </i>
    <i r="4">
      <x v="6"/>
      <x v="8"/>
    </i>
    <i r="5">
      <x v="9"/>
    </i>
    <i r="5">
      <x v="12"/>
    </i>
    <i>
      <x v="4"/>
      <x v="3"/>
      <x v="3"/>
      <x v="3"/>
      <x v="1"/>
      <x v="1"/>
    </i>
    <i r="4">
      <x v="6"/>
      <x v="12"/>
    </i>
    <i r="5">
      <x v="15"/>
    </i>
    <i r="5">
      <x v="16"/>
    </i>
    <i r="5">
      <x v="17"/>
    </i>
    <i r="5">
      <x v="21"/>
    </i>
    <i r="5">
      <x v="24"/>
    </i>
    <i r="5">
      <x v="25"/>
    </i>
    <i r="5">
      <x v="26"/>
    </i>
    <i r="5">
      <x v="27"/>
    </i>
    <i r="5">
      <x v="28"/>
    </i>
    <i r="4">
      <x v="7"/>
      <x v="14"/>
    </i>
    <i r="5">
      <x v="18"/>
    </i>
    <i r="5">
      <x v="20"/>
    </i>
    <i r="5">
      <x v="23"/>
    </i>
    <i r="4">
      <x v="8"/>
      <x v="19"/>
    </i>
    <i r="5">
      <x v="22"/>
    </i>
    <i>
      <x v="5"/>
      <x v="3"/>
      <x v="3"/>
      <x v="3"/>
      <x v="1"/>
      <x v="1"/>
    </i>
    <i r="4">
      <x v="6"/>
      <x v="24"/>
    </i>
    <i r="5">
      <x v="29"/>
    </i>
    <i r="5">
      <x v="30"/>
    </i>
    <i>
      <x v="6"/>
      <x v="3"/>
      <x v="3"/>
      <x v="3"/>
      <x v="1"/>
      <x v="1"/>
    </i>
    <i r="4">
      <x v="2"/>
      <x v="41"/>
    </i>
    <i r="5">
      <x v="47"/>
    </i>
    <i r="4">
      <x v="5"/>
      <x v="11"/>
    </i>
    <i r="5">
      <x v="31"/>
    </i>
    <i r="5">
      <x v="32"/>
    </i>
    <i r="5">
      <x v="33"/>
    </i>
    <i r="5">
      <x v="34"/>
    </i>
    <i r="5">
      <x v="35"/>
    </i>
    <i r="5">
      <x v="36"/>
    </i>
    <i r="5">
      <x v="39"/>
    </i>
    <i r="5">
      <x v="40"/>
    </i>
    <i r="5">
      <x v="42"/>
    </i>
    <i r="5">
      <x v="43"/>
    </i>
    <i r="5">
      <x v="44"/>
    </i>
    <i r="5">
      <x v="49"/>
    </i>
    <i r="4">
      <x v="8"/>
      <x v="38"/>
    </i>
    <i r="5">
      <x v="45"/>
    </i>
    <i r="4">
      <x v="9"/>
      <x v="37"/>
    </i>
    <i r="4">
      <x v="10"/>
      <x v="46"/>
    </i>
    <i r="4">
      <x v="11"/>
      <x v="48"/>
    </i>
    <i r="4">
      <x v="12"/>
      <x v="50"/>
    </i>
    <i>
      <x v="7"/>
      <x v="4"/>
      <x v="4"/>
      <x v="4"/>
      <x v="1"/>
      <x v="1"/>
    </i>
    <i r="4">
      <x v="5"/>
      <x v="6"/>
    </i>
    <i r="5">
      <x v="10"/>
    </i>
    <i r="5">
      <x v="11"/>
    </i>
    <i r="5">
      <x v="32"/>
    </i>
    <i r="5">
      <x v="33"/>
    </i>
    <i r="5">
      <x v="34"/>
    </i>
    <i r="5">
      <x v="35"/>
    </i>
    <i r="5">
      <x v="36"/>
    </i>
    <i r="5">
      <x v="39"/>
    </i>
    <i r="5">
      <x v="40"/>
    </i>
    <i r="5">
      <x v="42"/>
    </i>
    <i r="5">
      <x v="43"/>
    </i>
    <i r="5">
      <x v="51"/>
    </i>
    <i r="5">
      <x v="59"/>
    </i>
    <i r="5">
      <x v="63"/>
    </i>
    <i r="4">
      <x v="8"/>
      <x v="53"/>
    </i>
    <i r="5">
      <x v="54"/>
    </i>
    <i r="5">
      <x v="58"/>
    </i>
    <i r="5">
      <x v="61"/>
    </i>
    <i r="5">
      <x v="62"/>
    </i>
    <i r="4">
      <x v="10"/>
      <x v="64"/>
    </i>
    <i r="5">
      <x v="65"/>
    </i>
    <i r="4">
      <x v="11"/>
      <x v="48"/>
    </i>
    <i r="5">
      <x v="52"/>
    </i>
    <i r="5">
      <x v="55"/>
    </i>
    <i r="4">
      <x v="12"/>
      <x v="50"/>
    </i>
    <i r="5">
      <x v="56"/>
    </i>
    <i r="5">
      <x v="57"/>
    </i>
    <i r="5">
      <x v="60"/>
    </i>
    <i>
      <x v="8"/>
      <x v="3"/>
      <x v="3"/>
      <x v="3"/>
      <x v="1"/>
      <x v="1"/>
    </i>
    <i r="4">
      <x v="2"/>
      <x v="77"/>
    </i>
    <i r="4">
      <x v="3"/>
      <x v="95"/>
    </i>
    <i r="5">
      <x v="96"/>
    </i>
    <i r="4">
      <x v="5"/>
      <x v="11"/>
    </i>
    <i r="5">
      <x v="31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2"/>
    </i>
    <i r="5">
      <x v="43"/>
    </i>
    <i r="5">
      <x v="44"/>
    </i>
    <i r="5">
      <x v="51"/>
    </i>
    <i r="5">
      <x v="59"/>
    </i>
    <i r="5">
      <x v="63"/>
    </i>
    <i r="5">
      <x v="73"/>
    </i>
    <i r="5">
      <x v="89"/>
    </i>
    <i r="4">
      <x v="6"/>
      <x v="68"/>
    </i>
    <i r="5">
      <x v="69"/>
    </i>
    <i r="5">
      <x v="74"/>
    </i>
    <i r="5">
      <x v="76"/>
    </i>
    <i r="5">
      <x v="90"/>
    </i>
    <i r="5">
      <x v="94"/>
    </i>
    <i r="5">
      <x v="98"/>
    </i>
    <i r="4">
      <x v="8"/>
      <x v="38"/>
    </i>
    <i r="5">
      <x v="71"/>
    </i>
    <i r="5">
      <x v="85"/>
    </i>
    <i r="5">
      <x v="87"/>
    </i>
    <i r="5">
      <x v="88"/>
    </i>
    <i r="5">
      <x v="91"/>
    </i>
    <i r="5">
      <x v="92"/>
    </i>
    <i r="5">
      <x v="93"/>
    </i>
    <i r="4">
      <x v="9"/>
      <x v="81"/>
    </i>
    <i r="4">
      <x v="10"/>
      <x v="46"/>
    </i>
    <i r="5">
      <x v="64"/>
    </i>
    <i r="5">
      <x v="65"/>
    </i>
    <i r="5">
      <x v="66"/>
    </i>
    <i r="5">
      <x v="70"/>
    </i>
    <i r="5">
      <x v="72"/>
    </i>
    <i r="5">
      <x v="75"/>
    </i>
    <i r="5">
      <x v="78"/>
    </i>
    <i r="5">
      <x v="79"/>
    </i>
    <i r="5">
      <x v="80"/>
    </i>
    <i r="5">
      <x v="82"/>
    </i>
    <i r="5">
      <x v="83"/>
    </i>
    <i r="5">
      <x v="84"/>
    </i>
    <i r="5">
      <x v="86"/>
    </i>
    <i r="4">
      <x v="11"/>
      <x v="48"/>
    </i>
    <i r="5">
      <x v="52"/>
    </i>
    <i r="4">
      <x v="12"/>
      <x v="50"/>
    </i>
    <i r="5">
      <x v="56"/>
    </i>
    <i r="5">
      <x v="57"/>
    </i>
    <i r="5">
      <x v="60"/>
    </i>
    <i r="5">
      <x v="67"/>
    </i>
    <i r="4">
      <x v="13"/>
      <x v="97"/>
    </i>
    <i>
      <x v="9"/>
      <x v="3"/>
      <x v="3"/>
      <x v="3"/>
      <x v="1"/>
      <x v="1"/>
    </i>
    <i r="4">
      <x v="5"/>
      <x v="6"/>
    </i>
    <i r="5">
      <x v="11"/>
    </i>
    <i r="5">
      <x v="32"/>
    </i>
    <i r="5">
      <x v="34"/>
    </i>
    <i r="5">
      <x v="35"/>
    </i>
    <i r="5">
      <x v="39"/>
    </i>
    <i r="5">
      <x v="42"/>
    </i>
    <i r="5">
      <x v="43"/>
    </i>
    <i r="5">
      <x v="49"/>
    </i>
    <i r="5">
      <x v="51"/>
    </i>
    <i r="5">
      <x v="59"/>
    </i>
    <i r="5">
      <x v="73"/>
    </i>
    <i r="5">
      <x v="108"/>
    </i>
    <i r="5">
      <x v="111"/>
    </i>
    <i r="5">
      <x v="117"/>
    </i>
    <i r="5">
      <x v="118"/>
    </i>
    <i r="4">
      <x v="6"/>
      <x v="69"/>
    </i>
    <i r="5">
      <x v="115"/>
    </i>
    <i r="5">
      <x v="120"/>
    </i>
    <i r="4">
      <x v="8"/>
      <x v="113"/>
    </i>
    <i r="4">
      <x v="10"/>
      <x v="75"/>
    </i>
    <i r="4">
      <x v="11"/>
      <x v="48"/>
    </i>
    <i r="5">
      <x v="52"/>
    </i>
    <i r="5">
      <x v="55"/>
    </i>
    <i r="5">
      <x v="100"/>
    </i>
    <i r="5">
      <x v="105"/>
    </i>
    <i r="5">
      <x v="106"/>
    </i>
    <i r="5">
      <x v="107"/>
    </i>
    <i r="5">
      <x v="114"/>
    </i>
    <i r="4">
      <x v="12"/>
      <x v="50"/>
    </i>
    <i r="5">
      <x v="56"/>
    </i>
    <i r="5">
      <x v="57"/>
    </i>
    <i r="5">
      <x v="60"/>
    </i>
    <i r="5">
      <x v="67"/>
    </i>
    <i r="5">
      <x v="99"/>
    </i>
    <i r="5">
      <x v="101"/>
    </i>
    <i r="5">
      <x v="102"/>
    </i>
    <i r="5">
      <x v="103"/>
    </i>
    <i r="5">
      <x v="104"/>
    </i>
    <i r="5">
      <x v="109"/>
    </i>
    <i r="5">
      <x v="110"/>
    </i>
    <i r="5">
      <x v="112"/>
    </i>
    <i r="5">
      <x v="116"/>
    </i>
    <i r="5">
      <x v="119"/>
    </i>
    <i>
      <x v="10"/>
      <x v="3"/>
      <x v="3"/>
      <x v="3"/>
      <x v="1"/>
      <x v="1"/>
    </i>
    <i r="4">
      <x v="5"/>
      <x v="11"/>
    </i>
    <i r="5">
      <x v="31"/>
    </i>
    <i r="5">
      <x v="32"/>
    </i>
    <i r="5">
      <x v="33"/>
    </i>
    <i r="5">
      <x v="34"/>
    </i>
    <i r="5">
      <x v="35"/>
    </i>
    <i r="5">
      <x v="36"/>
    </i>
    <i r="5">
      <x v="39"/>
    </i>
    <i r="5">
      <x v="40"/>
    </i>
    <i r="5">
      <x v="42"/>
    </i>
    <i r="5">
      <x v="44"/>
    </i>
    <i r="5">
      <x v="49"/>
    </i>
    <i r="5">
      <x v="51"/>
    </i>
    <i r="5">
      <x v="59"/>
    </i>
    <i r="5">
      <x v="124"/>
    </i>
    <i r="5">
      <x v="128"/>
    </i>
    <i r="4">
      <x v="6"/>
      <x v="68"/>
    </i>
    <i r="5">
      <x v="69"/>
    </i>
    <i r="5">
      <x v="90"/>
    </i>
    <i r="5">
      <x v="115"/>
    </i>
    <i r="5">
      <x v="121"/>
    </i>
    <i r="5">
      <x v="122"/>
    </i>
    <i r="5">
      <x v="125"/>
    </i>
    <i r="5">
      <x v="127"/>
    </i>
    <i r="4">
      <x v="8"/>
      <x v="123"/>
    </i>
    <i r="5">
      <x v="126"/>
    </i>
    <i r="4">
      <x v="10"/>
      <x v="75"/>
    </i>
    <i r="4">
      <x v="11"/>
      <x v="48"/>
    </i>
    <i r="4">
      <x v="12"/>
      <x v="50"/>
    </i>
    <i r="5">
      <x v="56"/>
    </i>
    <i r="5">
      <x v="57"/>
    </i>
    <i r="5">
      <x v="60"/>
    </i>
    <i>
      <x v="11"/>
      <x v="3"/>
      <x v="3"/>
      <x v="3"/>
      <x v="1"/>
      <x v="1"/>
    </i>
    <i r="4">
      <x v="2"/>
      <x v="2"/>
    </i>
    <i r="4">
      <x v="3"/>
      <x v="144"/>
    </i>
    <i r="4">
      <x v="5"/>
      <x v="31"/>
    </i>
    <i r="5">
      <x v="33"/>
    </i>
    <i r="5">
      <x v="34"/>
    </i>
    <i r="5">
      <x v="39"/>
    </i>
    <i r="5">
      <x v="40"/>
    </i>
    <i r="5">
      <x v="42"/>
    </i>
    <i r="5">
      <x v="43"/>
    </i>
    <i r="5">
      <x v="111"/>
    </i>
    <i r="4">
      <x v="8"/>
      <x v="129"/>
    </i>
    <i r="5">
      <x v="130"/>
    </i>
    <i r="5">
      <x v="131"/>
    </i>
    <i r="5">
      <x v="136"/>
    </i>
    <i r="5">
      <x v="138"/>
    </i>
    <i r="5">
      <x v="140"/>
    </i>
    <i r="5">
      <x v="142"/>
    </i>
    <i r="5">
      <x v="146"/>
    </i>
    <i r="5">
      <x v="149"/>
    </i>
    <i r="4">
      <x v="9"/>
      <x v="141"/>
    </i>
    <i r="5">
      <x v="145"/>
    </i>
    <i r="4">
      <x v="11"/>
      <x v="48"/>
    </i>
    <i r="5">
      <x v="52"/>
    </i>
    <i r="4">
      <x v="12"/>
      <x v="50"/>
    </i>
    <i r="4">
      <x v="14"/>
      <x v="132"/>
    </i>
    <i r="5">
      <x v="133"/>
    </i>
    <i r="5">
      <x v="134"/>
    </i>
    <i r="5">
      <x v="135"/>
    </i>
    <i r="4">
      <x v="15"/>
      <x v="137"/>
    </i>
    <i r="5">
      <x v="143"/>
    </i>
    <i r="5">
      <x v="147"/>
    </i>
    <i r="5">
      <x v="148"/>
    </i>
    <i r="4">
      <x v="16"/>
      <x v="139"/>
    </i>
    <i>
      <x v="12"/>
      <x v="5"/>
      <x v="5"/>
      <x v="5"/>
      <x v="2"/>
      <x v="154"/>
    </i>
    <i r="5">
      <x v="156"/>
    </i>
    <i r="4">
      <x v="5"/>
      <x v="11"/>
    </i>
    <i r="5">
      <x v="32"/>
    </i>
    <i r="5">
      <x v="33"/>
    </i>
    <i r="5">
      <x v="34"/>
    </i>
    <i r="5">
      <x v="35"/>
    </i>
    <i r="5">
      <x v="40"/>
    </i>
    <i r="5">
      <x v="49"/>
    </i>
    <i r="5">
      <x v="51"/>
    </i>
    <i r="5">
      <x v="63"/>
    </i>
    <i r="4">
      <x v="8"/>
      <x v="153"/>
    </i>
    <i r="5">
      <x v="155"/>
    </i>
    <i r="5">
      <x v="158"/>
    </i>
    <i r="5">
      <x v="159"/>
    </i>
    <i r="4">
      <x v="10"/>
      <x v="65"/>
    </i>
    <i r="5">
      <x v="78"/>
    </i>
    <i r="5">
      <x v="157"/>
    </i>
    <i r="4">
      <x v="11"/>
      <x v="48"/>
    </i>
    <i r="5">
      <x v="52"/>
    </i>
    <i r="5">
      <x v="55"/>
    </i>
    <i r="5">
      <x v="107"/>
    </i>
    <i r="4">
      <x v="12"/>
      <x v="50"/>
    </i>
    <i r="4">
      <x v="14"/>
      <x v="132"/>
    </i>
    <i r="5">
      <x v="133"/>
    </i>
    <i r="5">
      <x v="134"/>
    </i>
    <i r="5">
      <x v="150"/>
    </i>
    <i r="5">
      <x v="151"/>
    </i>
    <i r="5">
      <x v="152"/>
    </i>
    <i>
      <x v="13"/>
      <x v="3"/>
      <x v="3"/>
      <x v="3"/>
      <x v="1"/>
      <x v="1"/>
    </i>
    <i r="4">
      <x v="9"/>
      <x v="160"/>
    </i>
    <i>
      <x v="14"/>
      <x v="3"/>
      <x v="3"/>
      <x v="3"/>
      <x v="1"/>
      <x v="1"/>
    </i>
    <i r="4">
      <x v="2"/>
      <x v="13"/>
    </i>
    <i r="5">
      <x v="163"/>
    </i>
    <i r="5">
      <x v="174"/>
    </i>
    <i r="5">
      <x v="176"/>
    </i>
    <i r="5">
      <x v="177"/>
    </i>
    <i r="5">
      <x v="179"/>
    </i>
    <i r="5">
      <x v="182"/>
    </i>
    <i r="5">
      <x v="194"/>
    </i>
    <i r="5">
      <x v="196"/>
    </i>
    <i r="4">
      <x v="5"/>
      <x v="10"/>
    </i>
    <i r="5">
      <x v="11"/>
    </i>
    <i r="5">
      <x v="33"/>
    </i>
    <i r="5">
      <x v="34"/>
    </i>
    <i r="5">
      <x v="35"/>
    </i>
    <i r="5">
      <x v="39"/>
    </i>
    <i r="5">
      <x v="40"/>
    </i>
    <i r="5">
      <x v="42"/>
    </i>
    <i r="5">
      <x v="43"/>
    </i>
    <i r="5">
      <x v="44"/>
    </i>
    <i r="5">
      <x v="63"/>
    </i>
    <i r="4">
      <x v="7"/>
      <x v="172"/>
    </i>
    <i r="5">
      <x v="184"/>
    </i>
    <i r="5">
      <x v="189"/>
    </i>
    <i r="5">
      <x v="190"/>
    </i>
    <i r="5">
      <x v="191"/>
    </i>
    <i r="5">
      <x v="193"/>
    </i>
    <i r="4">
      <x v="8"/>
      <x v="58"/>
    </i>
    <i r="5">
      <x v="62"/>
    </i>
    <i r="5">
      <x v="198"/>
    </i>
    <i r="5">
      <x v="199"/>
    </i>
    <i r="4">
      <x v="10"/>
      <x v="46"/>
    </i>
    <i r="5">
      <x v="64"/>
    </i>
    <i r="5">
      <x v="65"/>
    </i>
    <i r="5">
      <x v="66"/>
    </i>
    <i r="5">
      <x v="70"/>
    </i>
    <i r="5">
      <x v="79"/>
    </i>
    <i r="5">
      <x v="80"/>
    </i>
    <i r="5">
      <x v="83"/>
    </i>
    <i r="5">
      <x v="84"/>
    </i>
    <i r="5">
      <x v="86"/>
    </i>
    <i r="5">
      <x v="192"/>
    </i>
    <i r="5">
      <x v="195"/>
    </i>
    <i r="5">
      <x v="200"/>
    </i>
    <i r="4">
      <x v="11"/>
      <x v="48"/>
    </i>
    <i r="5">
      <x v="52"/>
    </i>
    <i r="5">
      <x v="55"/>
    </i>
    <i r="5">
      <x v="107"/>
    </i>
    <i r="5">
      <x v="169"/>
    </i>
    <i r="5">
      <x v="183"/>
    </i>
    <i r="5">
      <x v="187"/>
    </i>
    <i r="5">
      <x v="188"/>
    </i>
    <i r="4">
      <x v="14"/>
      <x v="132"/>
    </i>
    <i r="5">
      <x v="133"/>
    </i>
    <i r="5">
      <x v="134"/>
    </i>
    <i r="5">
      <x v="135"/>
    </i>
    <i r="5">
      <x v="150"/>
    </i>
    <i r="5">
      <x v="151"/>
    </i>
    <i r="5">
      <x v="152"/>
    </i>
    <i r="5">
      <x v="164"/>
    </i>
    <i r="5">
      <x v="165"/>
    </i>
    <i r="5">
      <x v="166"/>
    </i>
    <i r="5">
      <x v="167"/>
    </i>
    <i r="5">
      <x v="178"/>
    </i>
    <i r="5">
      <x v="180"/>
    </i>
    <i r="5">
      <x v="181"/>
    </i>
    <i r="5">
      <x v="186"/>
    </i>
    <i r="5">
      <x v="197"/>
    </i>
    <i r="4">
      <x v="17"/>
      <x v="161"/>
    </i>
    <i r="5">
      <x v="162"/>
    </i>
    <i r="5">
      <x v="168"/>
    </i>
    <i r="5">
      <x v="170"/>
    </i>
    <i r="5">
      <x v="171"/>
    </i>
    <i r="5">
      <x v="173"/>
    </i>
    <i r="5">
      <x v="175"/>
    </i>
    <i r="5">
      <x v="185"/>
    </i>
    <i>
      <x v="15"/>
      <x v="6"/>
      <x v="6"/>
      <x v="6"/>
      <x v="1"/>
      <x v="1"/>
    </i>
    <i r="4">
      <x v="5"/>
      <x v="11"/>
    </i>
    <i r="5">
      <x v="31"/>
    </i>
    <i r="5">
      <x v="32"/>
    </i>
    <i r="5">
      <x v="33"/>
    </i>
    <i r="5">
      <x v="34"/>
    </i>
    <i r="5">
      <x v="35"/>
    </i>
    <i r="5">
      <x v="40"/>
    </i>
    <i r="5">
      <x v="42"/>
    </i>
    <i r="5">
      <x v="43"/>
    </i>
    <i r="4">
      <x v="12"/>
      <x v="50"/>
    </i>
    <i r="5">
      <x v="60"/>
    </i>
    <i>
      <x v="16"/>
      <x v="3"/>
      <x v="3"/>
      <x v="3"/>
      <x v="1"/>
      <x v="1"/>
    </i>
    <i r="4">
      <x v="10"/>
      <x v="64"/>
    </i>
    <i r="5">
      <x v="65"/>
    </i>
    <i r="5">
      <x v="79"/>
    </i>
    <i>
      <x v="17"/>
      <x v="3"/>
      <x v="3"/>
      <x v="3"/>
      <x v="1"/>
      <x v="1"/>
    </i>
    <i r="4">
      <x v="2"/>
      <x v="47"/>
    </i>
    <i r="5">
      <x v="179"/>
    </i>
    <i r="5">
      <x v="206"/>
    </i>
    <i r="5">
      <x v="211"/>
    </i>
    <i r="4">
      <x v="5"/>
      <x v="10"/>
    </i>
    <i r="5">
      <x v="32"/>
    </i>
    <i r="5">
      <x v="33"/>
    </i>
    <i r="5">
      <x v="34"/>
    </i>
    <i r="5">
      <x v="35"/>
    </i>
    <i r="5">
      <x v="36"/>
    </i>
    <i r="5">
      <x v="42"/>
    </i>
    <i r="5">
      <x v="43"/>
    </i>
    <i r="5">
      <x v="49"/>
    </i>
    <i r="5">
      <x v="51"/>
    </i>
    <i r="5">
      <x v="59"/>
    </i>
    <i r="5">
      <x v="89"/>
    </i>
    <i r="5">
      <x v="111"/>
    </i>
    <i r="5">
      <x v="118"/>
    </i>
    <i r="5">
      <x v="124"/>
    </i>
    <i r="5">
      <x v="128"/>
    </i>
    <i r="5">
      <x v="210"/>
    </i>
    <i r="4">
      <x v="6"/>
      <x v="94"/>
    </i>
    <i r="5">
      <x v="201"/>
    </i>
    <i r="5">
      <x v="202"/>
    </i>
    <i r="5">
      <x v="203"/>
    </i>
    <i r="4">
      <x v="8"/>
      <x v="53"/>
    </i>
    <i r="5">
      <x v="205"/>
    </i>
    <i r="5">
      <x v="207"/>
    </i>
    <i r="5">
      <x v="208"/>
    </i>
    <i r="4">
      <x v="11"/>
      <x v="48"/>
    </i>
    <i r="5">
      <x v="52"/>
    </i>
    <i r="5">
      <x v="55"/>
    </i>
    <i r="5">
      <x v="100"/>
    </i>
    <i r="5">
      <x v="105"/>
    </i>
    <i r="5">
      <x v="106"/>
    </i>
    <i r="5">
      <x v="107"/>
    </i>
    <i r="5">
      <x v="209"/>
    </i>
    <i r="4">
      <x v="12"/>
      <x v="50"/>
    </i>
    <i r="5">
      <x v="56"/>
    </i>
    <i r="5">
      <x v="57"/>
    </i>
    <i r="5">
      <x v="60"/>
    </i>
    <i r="5">
      <x v="67"/>
    </i>
    <i r="5">
      <x v="101"/>
    </i>
    <i r="5">
      <x v="102"/>
    </i>
    <i r="5">
      <x v="103"/>
    </i>
    <i r="5">
      <x v="110"/>
    </i>
    <i r="5">
      <x v="112"/>
    </i>
    <i r="5">
      <x v="116"/>
    </i>
    <i r="4">
      <x v="14"/>
      <x v="134"/>
    </i>
    <i r="5">
      <x v="151"/>
    </i>
    <i r="5">
      <x v="197"/>
    </i>
    <i r="5">
      <x v="204"/>
    </i>
    <i>
      <x v="18"/>
      <x v="3"/>
      <x v="3"/>
      <x v="3"/>
      <x v="1"/>
      <x v="1"/>
    </i>
    <i r="4">
      <x v="5"/>
      <x v="10"/>
    </i>
    <i r="5">
      <x v="11"/>
    </i>
    <i r="5">
      <x v="31"/>
    </i>
    <i r="5">
      <x v="32"/>
    </i>
    <i r="5">
      <x v="33"/>
    </i>
    <i r="5">
      <x v="34"/>
    </i>
    <i r="5">
      <x v="35"/>
    </i>
    <i r="5">
      <x v="40"/>
    </i>
    <i r="5">
      <x v="44"/>
    </i>
    <i r="5">
      <x v="49"/>
    </i>
    <i r="5">
      <x v="51"/>
    </i>
    <i r="5">
      <x v="111"/>
    </i>
    <i r="5">
      <x v="124"/>
    </i>
    <i r="4">
      <x v="6"/>
      <x v="68"/>
    </i>
    <i r="5">
      <x v="69"/>
    </i>
    <i r="5">
      <x v="115"/>
    </i>
    <i r="5">
      <x v="121"/>
    </i>
    <i r="5">
      <x v="122"/>
    </i>
    <i r="5">
      <x v="125"/>
    </i>
    <i r="5">
      <x v="203"/>
    </i>
    <i r="5">
      <x v="212"/>
    </i>
    <i r="5">
      <x v="213"/>
    </i>
    <i r="5">
      <x v="214"/>
    </i>
    <i r="5">
      <x v="215"/>
    </i>
    <i r="5">
      <x v="216"/>
    </i>
    <i r="5">
      <x v="217"/>
    </i>
    <i r="4">
      <x v="10"/>
      <x v="83"/>
    </i>
    <i r="4">
      <x v="12"/>
      <x v="50"/>
    </i>
    <i>
      <x v="19"/>
      <x v="3"/>
      <x v="3"/>
      <x v="3"/>
      <x v="1"/>
      <x v="1"/>
    </i>
    <i r="4">
      <x v="5"/>
      <x v="6"/>
    </i>
    <i r="5">
      <x v="11"/>
    </i>
    <i r="5">
      <x v="31"/>
    </i>
    <i r="5">
      <x v="32"/>
    </i>
    <i r="5">
      <x v="33"/>
    </i>
    <i r="5">
      <x v="34"/>
    </i>
    <i r="5">
      <x v="35"/>
    </i>
    <i r="5">
      <x v="36"/>
    </i>
    <i r="5">
      <x v="39"/>
    </i>
    <i r="5">
      <x v="40"/>
    </i>
    <i r="5">
      <x v="42"/>
    </i>
    <i r="5">
      <x v="43"/>
    </i>
    <i r="5">
      <x v="44"/>
    </i>
    <i r="5">
      <x v="51"/>
    </i>
    <i r="5">
      <x v="59"/>
    </i>
    <i r="5">
      <x v="63"/>
    </i>
    <i r="5">
      <x v="108"/>
    </i>
    <i r="5">
      <x v="124"/>
    </i>
    <i r="5">
      <x v="128"/>
    </i>
    <i r="5">
      <x v="224"/>
    </i>
    <i r="4">
      <x v="7"/>
      <x v="225"/>
    </i>
    <i r="4">
      <x v="8"/>
      <x v="218"/>
    </i>
    <i r="5">
      <x v="219"/>
    </i>
    <i r="5">
      <x v="220"/>
    </i>
    <i r="5">
      <x v="221"/>
    </i>
    <i r="5">
      <x v="222"/>
    </i>
    <i r="5">
      <x v="223"/>
    </i>
    <i r="4">
      <x v="10"/>
      <x v="64"/>
    </i>
    <i r="5">
      <x v="75"/>
    </i>
    <i r="5">
      <x v="200"/>
    </i>
    <i r="4">
      <x v="11"/>
      <x v="48"/>
    </i>
    <i r="5">
      <x v="52"/>
    </i>
    <i r="5">
      <x v="55"/>
    </i>
    <i r="4">
      <x v="12"/>
      <x v="50"/>
    </i>
    <i r="5">
      <x v="57"/>
    </i>
    <i r="5">
      <x v="60"/>
    </i>
    <i r="5">
      <x v="67"/>
    </i>
    <i r="5">
      <x v="110"/>
    </i>
    <i>
      <x v="20"/>
      <x v="3"/>
      <x v="3"/>
      <x v="3"/>
      <x v="1"/>
      <x v="1"/>
    </i>
    <i r="4">
      <x v="5"/>
      <x v="11"/>
    </i>
    <i r="5">
      <x v="31"/>
    </i>
    <i r="5">
      <x v="32"/>
    </i>
    <i r="5">
      <x v="34"/>
    </i>
    <i r="5">
      <x v="35"/>
    </i>
    <i r="5">
      <x v="42"/>
    </i>
    <i r="5">
      <x v="43"/>
    </i>
    <i r="5">
      <x v="44"/>
    </i>
    <i r="5">
      <x v="51"/>
    </i>
    <i r="5">
      <x v="59"/>
    </i>
    <i r="5">
      <x v="63"/>
    </i>
    <i r="5">
      <x v="108"/>
    </i>
    <i r="5">
      <x v="128"/>
    </i>
    <i r="4">
      <x v="6"/>
      <x v="68"/>
    </i>
    <i r="5">
      <x v="69"/>
    </i>
    <i r="5">
      <x v="90"/>
    </i>
    <i r="5">
      <x v="115"/>
    </i>
    <i r="5">
      <x v="121"/>
    </i>
    <i r="5">
      <x v="122"/>
    </i>
    <i r="5">
      <x v="125"/>
    </i>
    <i r="5">
      <x v="235"/>
    </i>
    <i r="5">
      <x v="236"/>
    </i>
    <i r="4">
      <x v="8"/>
      <x v="126"/>
    </i>
    <i r="5">
      <x v="226"/>
    </i>
    <i r="5">
      <x v="227"/>
    </i>
    <i r="5">
      <x v="228"/>
    </i>
    <i r="5">
      <x v="229"/>
    </i>
    <i r="5">
      <x v="230"/>
    </i>
    <i r="5">
      <x v="231"/>
    </i>
    <i r="5">
      <x v="233"/>
    </i>
    <i r="5">
      <x v="234"/>
    </i>
    <i r="4">
      <x v="10"/>
      <x v="64"/>
    </i>
    <i r="5">
      <x v="65"/>
    </i>
    <i r="5">
      <x v="75"/>
    </i>
    <i r="5">
      <x v="83"/>
    </i>
    <i r="5">
      <x v="84"/>
    </i>
    <i r="5">
      <x v="86"/>
    </i>
    <i r="5">
      <x v="200"/>
    </i>
    <i r="5">
      <x v="232"/>
    </i>
    <i r="4">
      <x v="11"/>
      <x v="48"/>
    </i>
    <i r="4">
      <x v="12"/>
      <x v="50"/>
    </i>
    <i r="5">
      <x v="56"/>
    </i>
    <i r="5">
      <x v="57"/>
    </i>
    <i r="5">
      <x v="60"/>
    </i>
    <i>
      <x v="21"/>
      <x v="3"/>
      <x v="3"/>
      <x v="3"/>
      <x v="1"/>
      <x v="1"/>
    </i>
    <i r="4">
      <x v="2"/>
      <x v="206"/>
    </i>
    <i r="4">
      <x v="5"/>
      <x v="6"/>
    </i>
    <i r="5">
      <x v="11"/>
    </i>
    <i r="5">
      <x v="31"/>
    </i>
    <i r="5">
      <x v="32"/>
    </i>
    <i r="5">
      <x v="33"/>
    </i>
    <i r="5">
      <x v="34"/>
    </i>
    <i r="5">
      <x v="35"/>
    </i>
    <i r="5">
      <x v="36"/>
    </i>
    <i r="5">
      <x v="42"/>
    </i>
    <i r="5">
      <x v="43"/>
    </i>
    <i r="5">
      <x v="49"/>
    </i>
    <i r="5">
      <x v="63"/>
    </i>
    <i r="5">
      <x v="73"/>
    </i>
    <i r="5">
      <x v="118"/>
    </i>
    <i r="4">
      <x v="6"/>
      <x v="68"/>
    </i>
    <i r="5">
      <x v="76"/>
    </i>
    <i r="5">
      <x v="90"/>
    </i>
    <i r="5">
      <x v="94"/>
    </i>
    <i r="5">
      <x v="115"/>
    </i>
    <i r="5">
      <x v="122"/>
    </i>
    <i r="5">
      <x v="125"/>
    </i>
    <i r="4">
      <x v="8"/>
      <x v="58"/>
    </i>
    <i r="5">
      <x v="237"/>
    </i>
    <i r="5">
      <x v="238"/>
    </i>
    <i r="5">
      <x v="240"/>
    </i>
    <i r="5">
      <x v="241"/>
    </i>
    <i r="5">
      <x v="243"/>
    </i>
    <i r="5">
      <x v="244"/>
    </i>
    <i r="5">
      <x v="245"/>
    </i>
    <i r="5">
      <x v="246"/>
    </i>
    <i r="5">
      <x v="247"/>
    </i>
    <i r="5">
      <x v="248"/>
    </i>
    <i r="4">
      <x v="10"/>
      <x v="86"/>
    </i>
    <i r="4">
      <x v="11"/>
      <x v="48"/>
    </i>
    <i r="5">
      <x v="52"/>
    </i>
    <i r="5">
      <x v="55"/>
    </i>
    <i r="4">
      <x v="12"/>
      <x v="50"/>
    </i>
    <i r="5">
      <x v="56"/>
    </i>
    <i r="5">
      <x v="57"/>
    </i>
    <i r="5">
      <x v="60"/>
    </i>
    <i r="5">
      <x v="67"/>
    </i>
    <i r="5">
      <x v="102"/>
    </i>
    <i r="5">
      <x v="110"/>
    </i>
    <i r="5">
      <x v="239"/>
    </i>
    <i r="5">
      <x v="242"/>
    </i>
    <i t="grand">
      <x/>
    </i>
  </rowItems>
  <colFields count="1">
    <field x="-2"/>
  </colFields>
  <colItems count="2">
    <i>
      <x/>
    </i>
    <i i="1">
      <x v="1"/>
    </i>
  </colItems>
  <dataFields count="2">
    <dataField name="Distancia" fld="12" baseField="14" baseItem="0" numFmtId="2"/>
    <dataField name="duración" fld="11" baseField="14" baseItem="0" numFmtId="166"/>
  </dataFields>
  <pivotTableStyleInfo name="PivotTable Style 1" showRowHeaders="0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941"/>
  <sheetViews>
    <sheetView topLeftCell="C1" zoomScaleNormal="100" workbookViewId="0">
      <pane ySplit="11" topLeftCell="A12" activePane="bottomLeft" state="frozen"/>
      <selection activeCell="M1" sqref="M1"/>
      <selection pane="bottomLeft" activeCell="E12" sqref="E12"/>
    </sheetView>
  </sheetViews>
  <sheetFormatPr defaultColWidth="8.85546875" defaultRowHeight="12.75"/>
  <cols>
    <col min="1" max="1" width="16" customWidth="1"/>
    <col min="2" max="2" width="18.42578125" customWidth="1"/>
    <col min="3" max="3" width="12.85546875" customWidth="1"/>
    <col min="4" max="7" width="15.42578125" customWidth="1"/>
    <col min="8" max="8" width="17.42578125" customWidth="1"/>
    <col min="9" max="9" width="12.42578125" customWidth="1"/>
    <col min="10" max="10" width="18.140625" customWidth="1"/>
    <col min="11" max="11" width="13" customWidth="1"/>
    <col min="12" max="12" width="15.140625" customWidth="1"/>
    <col min="13" max="13" width="16.42578125" customWidth="1"/>
    <col min="14" max="14" width="15.42578125" customWidth="1"/>
    <col min="15" max="15" width="12.42578125" customWidth="1"/>
    <col min="16" max="16" width="37.42578125" customWidth="1"/>
    <col min="17" max="18" width="21.42578125" customWidth="1"/>
    <col min="19" max="19" width="18.42578125" customWidth="1"/>
    <col min="20" max="21" width="10.42578125" customWidth="1"/>
    <col min="22" max="22" width="15.140625" customWidth="1"/>
    <col min="23" max="23" width="38" customWidth="1"/>
    <col min="24" max="24" width="24.42578125" customWidth="1"/>
  </cols>
  <sheetData>
    <row r="1" spans="1:24">
      <c r="A1" s="1" t="s">
        <v>0</v>
      </c>
      <c r="B1" s="2" t="s">
        <v>600</v>
      </c>
    </row>
    <row r="2" spans="1:24">
      <c r="A2" s="1" t="s">
        <v>1</v>
      </c>
      <c r="B2" s="2">
        <v>46175.845932222219</v>
      </c>
    </row>
    <row r="3" spans="1:24">
      <c r="A3" s="1" t="s">
        <v>2</v>
      </c>
      <c r="B3" s="2">
        <v>46174</v>
      </c>
    </row>
    <row r="4" spans="1:24">
      <c r="A4" s="1" t="s">
        <v>3</v>
      </c>
      <c r="B4" s="2">
        <v>46174.999988425923</v>
      </c>
    </row>
    <row r="5" spans="1:24">
      <c r="A5" s="1" t="s">
        <v>4</v>
      </c>
      <c r="B5" s="2" t="s">
        <v>601</v>
      </c>
    </row>
    <row r="6" spans="1:24">
      <c r="A6" s="1" t="s">
        <v>5</v>
      </c>
      <c r="B6" s="2" t="s">
        <v>6</v>
      </c>
    </row>
    <row r="7" spans="1:24">
      <c r="A7" s="1" t="s">
        <v>7</v>
      </c>
      <c r="B7" s="2" t="s">
        <v>8</v>
      </c>
    </row>
    <row r="8" spans="1:24">
      <c r="A8" s="1" t="s">
        <v>9</v>
      </c>
      <c r="B8" s="2" t="b">
        <f>TRUE()</f>
        <v>1</v>
      </c>
    </row>
    <row r="9" spans="1:24">
      <c r="A9" s="1" t="s">
        <v>10</v>
      </c>
      <c r="B9" s="2" t="s">
        <v>602</v>
      </c>
    </row>
    <row r="10" spans="1:24">
      <c r="A10" s="1" t="s">
        <v>11</v>
      </c>
      <c r="B10" s="2" t="s">
        <v>603</v>
      </c>
    </row>
    <row r="11" spans="1:24" ht="26.25" customHeight="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422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423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</row>
    <row r="12" spans="1:24">
      <c r="A12" s="4" t="s">
        <v>604</v>
      </c>
      <c r="B12" s="4" t="s">
        <v>605</v>
      </c>
      <c r="C12" s="4"/>
      <c r="D12" s="4" t="s">
        <v>606</v>
      </c>
      <c r="E12" s="4" t="s">
        <v>607</v>
      </c>
      <c r="F12" s="4" t="s">
        <v>608</v>
      </c>
      <c r="G12" s="4" t="s">
        <v>609</v>
      </c>
      <c r="H12" s="4" t="s">
        <v>610</v>
      </c>
      <c r="I12" s="4" t="s">
        <v>611</v>
      </c>
      <c r="J12" s="4" t="s">
        <v>612</v>
      </c>
      <c r="K12" s="4" t="s">
        <v>613</v>
      </c>
      <c r="L12" s="4" t="s">
        <v>613</v>
      </c>
      <c r="M12" s="4" t="s">
        <v>614</v>
      </c>
      <c r="N12" s="4">
        <v>-73.321411100000006</v>
      </c>
      <c r="O12" s="4">
        <v>4.64537859</v>
      </c>
      <c r="P12" s="4" t="s">
        <v>615</v>
      </c>
      <c r="S12" s="2">
        <v>46174.25824880787</v>
      </c>
      <c r="T12" s="5">
        <v>4.5984143518518518E-3</v>
      </c>
      <c r="U12" s="4">
        <v>6.5716234967112541E-3</v>
      </c>
      <c r="V12" s="4" t="s">
        <v>616</v>
      </c>
      <c r="W12" s="4" t="s">
        <v>614</v>
      </c>
      <c r="X12" s="6" t="s">
        <v>617</v>
      </c>
    </row>
    <row r="13" spans="1:24">
      <c r="A13" s="4" t="s">
        <v>604</v>
      </c>
      <c r="B13" s="4" t="s">
        <v>605</v>
      </c>
      <c r="D13" s="4" t="s">
        <v>606</v>
      </c>
      <c r="E13" s="4" t="s">
        <v>607</v>
      </c>
      <c r="F13" s="4" t="s">
        <v>618</v>
      </c>
      <c r="G13" s="4" t="s">
        <v>619</v>
      </c>
      <c r="H13" s="4" t="s">
        <v>620</v>
      </c>
      <c r="I13" s="4" t="s">
        <v>621</v>
      </c>
      <c r="K13" s="4" t="s">
        <v>622</v>
      </c>
      <c r="L13" s="4" t="s">
        <v>622</v>
      </c>
      <c r="M13" s="4" t="s">
        <v>614</v>
      </c>
      <c r="N13" s="4">
        <v>-73.249404900000002</v>
      </c>
      <c r="O13" s="4">
        <v>4.62885714</v>
      </c>
      <c r="P13" s="4" t="s">
        <v>623</v>
      </c>
      <c r="S13" s="2">
        <v>46174.526979166665</v>
      </c>
      <c r="T13" s="5">
        <v>1.1441099537037038E-2</v>
      </c>
      <c r="U13" s="4">
        <v>5.2228802815079689E-5</v>
      </c>
      <c r="V13" s="4" t="s">
        <v>616</v>
      </c>
      <c r="W13" s="4" t="s">
        <v>614</v>
      </c>
      <c r="X13" s="6" t="s">
        <v>617</v>
      </c>
    </row>
    <row r="14" spans="1:24">
      <c r="A14" s="4" t="s">
        <v>604</v>
      </c>
      <c r="B14" s="4" t="s">
        <v>605</v>
      </c>
      <c r="D14" s="4" t="s">
        <v>606</v>
      </c>
      <c r="E14" s="4" t="s">
        <v>607</v>
      </c>
      <c r="F14" s="4" t="s">
        <v>618</v>
      </c>
      <c r="G14" s="4" t="s">
        <v>619</v>
      </c>
      <c r="H14" s="4" t="s">
        <v>620</v>
      </c>
      <c r="I14" s="4" t="s">
        <v>621</v>
      </c>
      <c r="K14" s="4" t="s">
        <v>622</v>
      </c>
      <c r="L14" s="4" t="s">
        <v>622</v>
      </c>
      <c r="M14" s="4" t="s">
        <v>614</v>
      </c>
      <c r="N14" s="4">
        <v>-73.2492752</v>
      </c>
      <c r="O14" s="4">
        <v>4.6288147000000004</v>
      </c>
      <c r="P14" s="4" t="s">
        <v>623</v>
      </c>
      <c r="S14" s="2">
        <v>46174.574421296296</v>
      </c>
      <c r="T14" s="5">
        <v>8.7037037037037031E-3</v>
      </c>
      <c r="U14" s="4">
        <v>0</v>
      </c>
      <c r="V14" s="4" t="s">
        <v>616</v>
      </c>
      <c r="W14" s="4" t="s">
        <v>614</v>
      </c>
      <c r="X14" s="6" t="s">
        <v>617</v>
      </c>
    </row>
    <row r="15" spans="1:24">
      <c r="A15" s="4" t="s">
        <v>604</v>
      </c>
      <c r="B15" s="4" t="s">
        <v>605</v>
      </c>
      <c r="D15" s="4" t="s">
        <v>606</v>
      </c>
      <c r="E15" s="4" t="s">
        <v>607</v>
      </c>
      <c r="F15" s="4" t="s">
        <v>618</v>
      </c>
      <c r="G15" s="4" t="s">
        <v>619</v>
      </c>
      <c r="H15" s="4" t="s">
        <v>620</v>
      </c>
      <c r="I15" s="4" t="s">
        <v>621</v>
      </c>
      <c r="K15" s="4" t="s">
        <v>622</v>
      </c>
      <c r="L15" s="4" t="s">
        <v>622</v>
      </c>
      <c r="M15" s="4" t="s">
        <v>614</v>
      </c>
      <c r="N15" s="4">
        <v>-73.2451401</v>
      </c>
      <c r="O15" s="4">
        <v>4.6373705899999997</v>
      </c>
      <c r="P15" s="4" t="s">
        <v>624</v>
      </c>
      <c r="S15" s="2">
        <v>46174.589050925926</v>
      </c>
      <c r="T15" s="5">
        <v>7.8472222222222224E-3</v>
      </c>
      <c r="U15" s="4">
        <v>0</v>
      </c>
      <c r="V15" s="4" t="s">
        <v>616</v>
      </c>
      <c r="W15" s="4" t="s">
        <v>614</v>
      </c>
      <c r="X15" s="6" t="s">
        <v>617</v>
      </c>
    </row>
    <row r="16" spans="1:24">
      <c r="A16" s="4" t="s">
        <v>604</v>
      </c>
      <c r="B16" s="4" t="s">
        <v>605</v>
      </c>
      <c r="D16" s="4" t="s">
        <v>606</v>
      </c>
      <c r="E16" s="4" t="s">
        <v>607</v>
      </c>
      <c r="F16" s="4" t="s">
        <v>618</v>
      </c>
      <c r="G16" s="4" t="s">
        <v>619</v>
      </c>
      <c r="H16" s="4" t="s">
        <v>620</v>
      </c>
      <c r="I16" s="4" t="s">
        <v>621</v>
      </c>
      <c r="K16" s="4" t="s">
        <v>622</v>
      </c>
      <c r="L16" s="4" t="s">
        <v>622</v>
      </c>
      <c r="M16" s="4" t="s">
        <v>625</v>
      </c>
      <c r="N16" s="4">
        <v>-73.303497300000004</v>
      </c>
      <c r="O16" s="4">
        <v>4.6407513600000003</v>
      </c>
      <c r="P16" s="4" t="s">
        <v>626</v>
      </c>
      <c r="S16" s="2">
        <v>46174.740983796299</v>
      </c>
      <c r="T16" s="5">
        <v>0</v>
      </c>
      <c r="U16" s="4">
        <v>0</v>
      </c>
      <c r="V16" s="4" t="s">
        <v>627</v>
      </c>
      <c r="W16" s="4" t="s">
        <v>625</v>
      </c>
      <c r="X16" s="6" t="s">
        <v>617</v>
      </c>
    </row>
    <row r="17" spans="1:24">
      <c r="A17" s="4" t="s">
        <v>604</v>
      </c>
      <c r="B17" s="4" t="s">
        <v>605</v>
      </c>
      <c r="D17" s="4" t="s">
        <v>606</v>
      </c>
      <c r="E17" s="4" t="s">
        <v>607</v>
      </c>
      <c r="F17" s="4" t="s">
        <v>618</v>
      </c>
      <c r="G17" s="4" t="s">
        <v>619</v>
      </c>
      <c r="H17" s="4" t="s">
        <v>620</v>
      </c>
      <c r="I17" s="4" t="s">
        <v>621</v>
      </c>
      <c r="K17" s="4" t="s">
        <v>622</v>
      </c>
      <c r="L17" s="4" t="s">
        <v>622</v>
      </c>
      <c r="M17" s="4" t="s">
        <v>625</v>
      </c>
      <c r="N17" s="4">
        <v>-73.309928900000003</v>
      </c>
      <c r="O17" s="4">
        <v>4.6393365900000001</v>
      </c>
      <c r="P17" s="4" t="s">
        <v>626</v>
      </c>
      <c r="S17" s="2">
        <v>46174.741956018515</v>
      </c>
      <c r="T17" s="5">
        <v>1.1574074074074073E-5</v>
      </c>
      <c r="U17" s="4">
        <v>8.6521878838539124E-3</v>
      </c>
      <c r="V17" s="4" t="s">
        <v>628</v>
      </c>
      <c r="W17" s="4" t="s">
        <v>625</v>
      </c>
      <c r="X17" s="6" t="s">
        <v>617</v>
      </c>
    </row>
    <row r="18" spans="1:24">
      <c r="A18" s="4" t="s">
        <v>604</v>
      </c>
      <c r="B18" s="4" t="s">
        <v>605</v>
      </c>
      <c r="D18" s="4" t="s">
        <v>606</v>
      </c>
      <c r="E18" s="4" t="s">
        <v>607</v>
      </c>
      <c r="F18" s="4" t="s">
        <v>618</v>
      </c>
      <c r="G18" s="4" t="s">
        <v>619</v>
      </c>
      <c r="H18" s="4" t="s">
        <v>620</v>
      </c>
      <c r="I18" s="4" t="s">
        <v>621</v>
      </c>
      <c r="K18" s="4" t="s">
        <v>622</v>
      </c>
      <c r="L18" s="4" t="s">
        <v>622</v>
      </c>
      <c r="M18" s="4" t="s">
        <v>614</v>
      </c>
      <c r="N18" s="4">
        <v>-73.324409500000002</v>
      </c>
      <c r="O18" s="4">
        <v>4.6458683000000001</v>
      </c>
      <c r="P18" s="4" t="s">
        <v>629</v>
      </c>
      <c r="S18" s="2">
        <v>46174.746215277781</v>
      </c>
      <c r="T18" s="5">
        <v>5.37037037037037E-3</v>
      </c>
      <c r="U18" s="4">
        <v>0</v>
      </c>
      <c r="V18" s="4" t="s">
        <v>616</v>
      </c>
      <c r="W18" s="4" t="s">
        <v>614</v>
      </c>
      <c r="X18" s="6" t="s">
        <v>617</v>
      </c>
    </row>
    <row r="19" spans="1:24">
      <c r="A19" s="4" t="s">
        <v>604</v>
      </c>
      <c r="B19" s="4" t="s">
        <v>605</v>
      </c>
      <c r="D19" s="4" t="s">
        <v>606</v>
      </c>
      <c r="E19" s="4" t="s">
        <v>607</v>
      </c>
      <c r="F19" s="4" t="s">
        <v>618</v>
      </c>
      <c r="G19" s="4" t="s">
        <v>619</v>
      </c>
      <c r="H19" s="4" t="s">
        <v>620</v>
      </c>
      <c r="I19" s="4" t="s">
        <v>621</v>
      </c>
      <c r="K19" s="4" t="s">
        <v>622</v>
      </c>
      <c r="L19" s="4" t="s">
        <v>622</v>
      </c>
      <c r="M19" s="4" t="s">
        <v>614</v>
      </c>
      <c r="N19" s="4">
        <v>-73.311798100000004</v>
      </c>
      <c r="O19" s="4">
        <v>4.6406769800000003</v>
      </c>
      <c r="P19" s="4" t="s">
        <v>626</v>
      </c>
      <c r="S19" s="2">
        <v>46174.871307870373</v>
      </c>
      <c r="T19" s="5">
        <v>1.0204479166666667E-2</v>
      </c>
      <c r="U19" s="4">
        <v>0</v>
      </c>
      <c r="V19" s="4" t="s">
        <v>616</v>
      </c>
      <c r="W19" s="4" t="s">
        <v>614</v>
      </c>
      <c r="X19" s="6" t="s">
        <v>617</v>
      </c>
    </row>
    <row r="20" spans="1:24">
      <c r="A20" s="4" t="s">
        <v>630</v>
      </c>
      <c r="B20" s="4" t="s">
        <v>631</v>
      </c>
      <c r="D20" s="4" t="s">
        <v>632</v>
      </c>
      <c r="E20" s="4" t="s">
        <v>633</v>
      </c>
      <c r="M20" s="4" t="s">
        <v>634</v>
      </c>
      <c r="N20" s="4">
        <v>-72.6297607421875</v>
      </c>
      <c r="O20" s="4">
        <v>11.126324653625488</v>
      </c>
      <c r="P20" s="4" t="s">
        <v>635</v>
      </c>
      <c r="Q20" s="4" t="s">
        <v>636</v>
      </c>
      <c r="R20" s="4" t="s">
        <v>637</v>
      </c>
      <c r="S20" s="2">
        <v>46174.292129629626</v>
      </c>
      <c r="T20" s="5">
        <v>0</v>
      </c>
      <c r="U20" s="4">
        <v>0</v>
      </c>
      <c r="V20" s="4" t="s">
        <v>638</v>
      </c>
      <c r="W20" s="4" t="s">
        <v>634</v>
      </c>
      <c r="X20" s="6" t="s">
        <v>617</v>
      </c>
    </row>
    <row r="21" spans="1:24">
      <c r="A21" s="4" t="s">
        <v>630</v>
      </c>
      <c r="B21" s="4" t="s">
        <v>631</v>
      </c>
      <c r="D21" s="4" t="s">
        <v>632</v>
      </c>
      <c r="E21" s="4" t="s">
        <v>633</v>
      </c>
      <c r="M21" s="4" t="s">
        <v>614</v>
      </c>
      <c r="N21" s="4">
        <v>-72.6296921</v>
      </c>
      <c r="O21" s="4">
        <v>11.126325599999999</v>
      </c>
      <c r="P21" s="4" t="s">
        <v>635</v>
      </c>
      <c r="Q21" s="4" t="s">
        <v>636</v>
      </c>
      <c r="R21" s="4" t="s">
        <v>637</v>
      </c>
      <c r="S21" s="2">
        <v>46174.293229166666</v>
      </c>
      <c r="T21" s="5">
        <v>1.0335648148148148E-2</v>
      </c>
      <c r="U21" s="4">
        <v>2.469366230070591E-2</v>
      </c>
      <c r="V21" s="4" t="s">
        <v>616</v>
      </c>
      <c r="W21" s="4" t="s">
        <v>614</v>
      </c>
      <c r="X21" s="6" t="s">
        <v>617</v>
      </c>
    </row>
    <row r="22" spans="1:24">
      <c r="A22" s="4" t="s">
        <v>630</v>
      </c>
      <c r="B22" s="4" t="s">
        <v>631</v>
      </c>
      <c r="D22" s="4" t="s">
        <v>632</v>
      </c>
      <c r="E22" s="4" t="s">
        <v>633</v>
      </c>
      <c r="M22" s="4" t="s">
        <v>634</v>
      </c>
      <c r="N22" s="4">
        <v>-72.631263732910156</v>
      </c>
      <c r="O22" s="4">
        <v>11.132134437561035</v>
      </c>
      <c r="P22" s="4" t="s">
        <v>639</v>
      </c>
      <c r="Q22" s="4" t="s">
        <v>640</v>
      </c>
      <c r="R22" s="4" t="s">
        <v>637</v>
      </c>
      <c r="S22" s="2">
        <v>46174.663854166669</v>
      </c>
      <c r="T22" s="5">
        <v>0</v>
      </c>
      <c r="U22" s="4">
        <v>0</v>
      </c>
      <c r="V22" s="4" t="s">
        <v>638</v>
      </c>
      <c r="W22" s="4" t="s">
        <v>634</v>
      </c>
      <c r="X22" s="6" t="s">
        <v>617</v>
      </c>
    </row>
    <row r="23" spans="1:24">
      <c r="A23" s="4" t="s">
        <v>630</v>
      </c>
      <c r="B23" s="4" t="s">
        <v>631</v>
      </c>
      <c r="D23" s="4" t="s">
        <v>632</v>
      </c>
      <c r="E23" s="4" t="s">
        <v>633</v>
      </c>
      <c r="M23" s="4" t="s">
        <v>641</v>
      </c>
      <c r="N23" s="4">
        <v>-72.612842599999993</v>
      </c>
      <c r="O23" s="4">
        <v>11.14037845</v>
      </c>
      <c r="P23" s="4" t="s">
        <v>642</v>
      </c>
      <c r="Q23" s="4" t="s">
        <v>643</v>
      </c>
      <c r="S23" s="2">
        <v>46174.718159722222</v>
      </c>
      <c r="T23" s="5">
        <v>1.3310195185185187E-4</v>
      </c>
      <c r="U23" s="4">
        <v>0.19335001707077026</v>
      </c>
      <c r="V23" s="4" t="s">
        <v>644</v>
      </c>
      <c r="W23" s="4" t="s">
        <v>641</v>
      </c>
      <c r="X23" s="6" t="s">
        <v>617</v>
      </c>
    </row>
    <row r="24" spans="1:24">
      <c r="A24" s="4" t="s">
        <v>630</v>
      </c>
      <c r="B24" s="4" t="s">
        <v>631</v>
      </c>
      <c r="D24" s="4" t="s">
        <v>632</v>
      </c>
      <c r="E24" s="4" t="s">
        <v>633</v>
      </c>
      <c r="M24" s="4" t="s">
        <v>645</v>
      </c>
      <c r="N24" s="4">
        <v>-72.602465584533334</v>
      </c>
      <c r="O24" s="4">
        <v>11.155538689566667</v>
      </c>
      <c r="P24" s="4" t="s">
        <v>646</v>
      </c>
      <c r="Q24" s="4" t="s">
        <v>647</v>
      </c>
      <c r="R24" s="4" t="s">
        <v>648</v>
      </c>
      <c r="S24" s="2">
        <v>46174.720660752311</v>
      </c>
      <c r="T24" s="5">
        <v>1.378587962962963E-4</v>
      </c>
      <c r="U24" s="4">
        <v>6.5561726689338684E-2</v>
      </c>
      <c r="V24" s="4" t="s">
        <v>649</v>
      </c>
      <c r="W24" s="4" t="s">
        <v>645</v>
      </c>
      <c r="X24" s="6" t="s">
        <v>617</v>
      </c>
    </row>
    <row r="25" spans="1:24">
      <c r="A25" s="4" t="s">
        <v>650</v>
      </c>
      <c r="B25" s="4" t="s">
        <v>651</v>
      </c>
      <c r="D25" s="4" t="s">
        <v>652</v>
      </c>
      <c r="E25" s="4" t="s">
        <v>653</v>
      </c>
      <c r="M25" s="4" t="s">
        <v>634</v>
      </c>
      <c r="N25" s="4">
        <v>-73.853538513183594</v>
      </c>
      <c r="O25" s="4">
        <v>7.079714298248291</v>
      </c>
      <c r="P25" s="4" t="s">
        <v>654</v>
      </c>
      <c r="S25" s="2">
        <v>46174.324097222219</v>
      </c>
      <c r="T25" s="5">
        <v>0</v>
      </c>
      <c r="U25" s="4">
        <v>0</v>
      </c>
      <c r="V25" s="4" t="s">
        <v>655</v>
      </c>
      <c r="W25" s="4" t="s">
        <v>634</v>
      </c>
      <c r="X25" s="6" t="s">
        <v>617</v>
      </c>
    </row>
    <row r="26" spans="1:24">
      <c r="A26" s="4" t="s">
        <v>650</v>
      </c>
      <c r="B26" s="4" t="s">
        <v>651</v>
      </c>
      <c r="D26" s="4" t="s">
        <v>652</v>
      </c>
      <c r="E26" s="4" t="s">
        <v>653</v>
      </c>
      <c r="M26" s="4" t="s">
        <v>634</v>
      </c>
      <c r="N26" s="4">
        <v>-73.853538513183594</v>
      </c>
      <c r="O26" s="4">
        <v>7.079714298248291</v>
      </c>
      <c r="P26" s="4" t="s">
        <v>654</v>
      </c>
      <c r="S26" s="2">
        <v>46174.324502314812</v>
      </c>
      <c r="T26" s="5">
        <v>0</v>
      </c>
      <c r="U26" s="4">
        <v>0</v>
      </c>
      <c r="V26" s="4" t="s">
        <v>638</v>
      </c>
      <c r="W26" s="4" t="s">
        <v>634</v>
      </c>
      <c r="X26" s="6" t="s">
        <v>617</v>
      </c>
    </row>
    <row r="27" spans="1:24">
      <c r="A27" s="4" t="s">
        <v>650</v>
      </c>
      <c r="B27" s="4" t="s">
        <v>651</v>
      </c>
      <c r="D27" s="4" t="s">
        <v>652</v>
      </c>
      <c r="E27" s="4" t="s">
        <v>653</v>
      </c>
      <c r="M27" s="4" t="s">
        <v>656</v>
      </c>
      <c r="N27" s="4">
        <v>-73.849194822139992</v>
      </c>
      <c r="O27" s="4">
        <v>7.0708719600860004</v>
      </c>
      <c r="P27" s="4" t="s">
        <v>657</v>
      </c>
      <c r="S27" s="2">
        <v>46174.331199849534</v>
      </c>
      <c r="T27" s="5">
        <v>9.9340277777777784E-5</v>
      </c>
      <c r="U27" s="4">
        <v>9.3072600662708282E-2</v>
      </c>
      <c r="V27" s="4" t="s">
        <v>658</v>
      </c>
      <c r="W27" s="4" t="s">
        <v>656</v>
      </c>
      <c r="X27" s="6" t="s">
        <v>617</v>
      </c>
    </row>
    <row r="28" spans="1:24">
      <c r="A28" s="4" t="s">
        <v>650</v>
      </c>
      <c r="B28" s="4" t="s">
        <v>651</v>
      </c>
      <c r="D28" s="4" t="s">
        <v>652</v>
      </c>
      <c r="E28" s="4" t="s">
        <v>653</v>
      </c>
      <c r="M28" s="4" t="s">
        <v>634</v>
      </c>
      <c r="N28" s="4">
        <v>-73.849029541015625</v>
      </c>
      <c r="O28" s="4">
        <v>7.0695695877075195</v>
      </c>
      <c r="P28" s="4" t="s">
        <v>659</v>
      </c>
      <c r="S28" s="2">
        <v>46174.371261574073</v>
      </c>
      <c r="T28" s="5">
        <v>0</v>
      </c>
      <c r="U28" s="4">
        <v>0</v>
      </c>
      <c r="V28" s="4" t="s">
        <v>638</v>
      </c>
      <c r="W28" s="4" t="s">
        <v>634</v>
      </c>
      <c r="X28" s="6" t="s">
        <v>617</v>
      </c>
    </row>
    <row r="29" spans="1:24">
      <c r="A29" s="4" t="s">
        <v>650</v>
      </c>
      <c r="B29" s="4" t="s">
        <v>651</v>
      </c>
      <c r="D29" s="4" t="s">
        <v>652</v>
      </c>
      <c r="E29" s="4" t="s">
        <v>653</v>
      </c>
      <c r="M29" s="4" t="s">
        <v>656</v>
      </c>
      <c r="N29" s="4">
        <v>-73.849210737500002</v>
      </c>
      <c r="O29" s="4">
        <v>7.0685120225000002</v>
      </c>
      <c r="P29" s="4" t="s">
        <v>660</v>
      </c>
      <c r="S29" s="2">
        <v>46174.415160590281</v>
      </c>
      <c r="T29" s="5">
        <v>1.0666666666666667E-4</v>
      </c>
      <c r="U29" s="4">
        <v>9.6195898950099945E-2</v>
      </c>
      <c r="V29" s="4" t="s">
        <v>661</v>
      </c>
      <c r="W29" s="4" t="s">
        <v>656</v>
      </c>
      <c r="X29" s="6" t="s">
        <v>617</v>
      </c>
    </row>
    <row r="30" spans="1:24">
      <c r="A30" s="4" t="s">
        <v>650</v>
      </c>
      <c r="B30" s="4" t="s">
        <v>651</v>
      </c>
      <c r="D30" s="4" t="s">
        <v>652</v>
      </c>
      <c r="E30" s="4" t="s">
        <v>653</v>
      </c>
      <c r="M30" s="4" t="s">
        <v>645</v>
      </c>
      <c r="N30" s="4">
        <v>-73.849441021199993</v>
      </c>
      <c r="O30" s="4">
        <v>7.0793343823750003</v>
      </c>
      <c r="P30" s="4" t="s">
        <v>662</v>
      </c>
      <c r="Q30" s="4" t="s">
        <v>663</v>
      </c>
      <c r="S30" s="2">
        <v>46174.419490011576</v>
      </c>
      <c r="T30" s="5">
        <v>7.2916666666666664E-7</v>
      </c>
      <c r="U30" s="4">
        <v>2.0554753427859396E-4</v>
      </c>
      <c r="V30" s="4" t="s">
        <v>664</v>
      </c>
      <c r="W30" s="4" t="s">
        <v>645</v>
      </c>
      <c r="X30" s="6" t="s">
        <v>617</v>
      </c>
    </row>
    <row r="31" spans="1:24">
      <c r="A31" s="4" t="s">
        <v>650</v>
      </c>
      <c r="B31" s="4" t="s">
        <v>651</v>
      </c>
      <c r="D31" s="4" t="s">
        <v>652</v>
      </c>
      <c r="E31" s="4" t="s">
        <v>653</v>
      </c>
      <c r="M31" s="4" t="s">
        <v>645</v>
      </c>
      <c r="N31" s="4">
        <v>-73.849642069793745</v>
      </c>
      <c r="O31" s="4">
        <v>7.0798074173925007</v>
      </c>
      <c r="P31" s="4" t="s">
        <v>665</v>
      </c>
      <c r="Q31" s="4" t="s">
        <v>663</v>
      </c>
      <c r="S31" s="2">
        <v>46174.420496030092</v>
      </c>
      <c r="T31" s="5">
        <v>1.8497685185185186E-4</v>
      </c>
      <c r="U31" s="4">
        <v>5.6960124522447586E-2</v>
      </c>
      <c r="V31" s="4" t="s">
        <v>666</v>
      </c>
      <c r="W31" s="4" t="s">
        <v>645</v>
      </c>
      <c r="X31" s="6" t="s">
        <v>617</v>
      </c>
    </row>
    <row r="32" spans="1:24">
      <c r="A32" s="4" t="s">
        <v>650</v>
      </c>
      <c r="B32" s="4" t="s">
        <v>651</v>
      </c>
      <c r="D32" s="4" t="s">
        <v>652</v>
      </c>
      <c r="E32" s="4" t="s">
        <v>653</v>
      </c>
      <c r="M32" s="4" t="s">
        <v>656</v>
      </c>
      <c r="N32" s="4">
        <v>-73.849598809844451</v>
      </c>
      <c r="O32" s="4">
        <v>7.0719953019655559</v>
      </c>
      <c r="P32" s="4" t="s">
        <v>667</v>
      </c>
      <c r="S32" s="2">
        <v>46174.571700497683</v>
      </c>
      <c r="T32" s="5">
        <v>1.9833333333333332E-4</v>
      </c>
      <c r="U32" s="4">
        <v>0.1778407096862793</v>
      </c>
      <c r="V32" s="4" t="s">
        <v>668</v>
      </c>
      <c r="W32" s="4" t="s">
        <v>656</v>
      </c>
      <c r="X32" s="6" t="s">
        <v>617</v>
      </c>
    </row>
    <row r="33" spans="1:24">
      <c r="A33" s="4" t="s">
        <v>650</v>
      </c>
      <c r="B33" s="4" t="s">
        <v>651</v>
      </c>
      <c r="D33" s="4" t="s">
        <v>652</v>
      </c>
      <c r="E33" s="4" t="s">
        <v>653</v>
      </c>
      <c r="M33" s="4" t="s">
        <v>656</v>
      </c>
      <c r="N33" s="4">
        <v>-73.826408412500001</v>
      </c>
      <c r="O33" s="4">
        <v>7.0487238162499999</v>
      </c>
      <c r="P33" s="4" t="s">
        <v>669</v>
      </c>
      <c r="S33" s="2">
        <v>46174.59161747685</v>
      </c>
      <c r="T33" s="5">
        <v>9.4039351851851852E-5</v>
      </c>
      <c r="U33" s="4">
        <v>8.7702341377735138E-2</v>
      </c>
      <c r="V33" s="4" t="s">
        <v>661</v>
      </c>
      <c r="W33" s="4" t="s">
        <v>656</v>
      </c>
      <c r="X33" s="6" t="s">
        <v>617</v>
      </c>
    </row>
    <row r="34" spans="1:24">
      <c r="A34" s="4" t="s">
        <v>650</v>
      </c>
      <c r="B34" s="4" t="s">
        <v>651</v>
      </c>
      <c r="D34" s="4" t="s">
        <v>652</v>
      </c>
      <c r="E34" s="4" t="s">
        <v>653</v>
      </c>
      <c r="M34" s="4" t="s">
        <v>614</v>
      </c>
      <c r="N34" s="4">
        <v>-73.412040700000006</v>
      </c>
      <c r="O34" s="4">
        <v>7.8059182199999997</v>
      </c>
      <c r="P34" s="4" t="s">
        <v>670</v>
      </c>
      <c r="S34" s="2">
        <v>46174.720509259256</v>
      </c>
      <c r="T34" s="5">
        <v>3.5756597222222223E-3</v>
      </c>
      <c r="U34" s="4">
        <v>0</v>
      </c>
      <c r="V34" s="4" t="s">
        <v>616</v>
      </c>
      <c r="W34" s="4" t="s">
        <v>614</v>
      </c>
      <c r="X34" s="6" t="s">
        <v>617</v>
      </c>
    </row>
    <row r="35" spans="1:24">
      <c r="A35" s="4" t="s">
        <v>650</v>
      </c>
      <c r="B35" s="4" t="s">
        <v>651</v>
      </c>
      <c r="D35" s="4" t="s">
        <v>652</v>
      </c>
      <c r="E35" s="4" t="s">
        <v>653</v>
      </c>
      <c r="M35" s="4" t="s">
        <v>625</v>
      </c>
      <c r="N35" s="4">
        <v>-73.419532799999999</v>
      </c>
      <c r="O35" s="4">
        <v>7.82077694</v>
      </c>
      <c r="P35" s="4" t="s">
        <v>670</v>
      </c>
      <c r="S35" s="2">
        <v>46174.733796296299</v>
      </c>
      <c r="T35" s="5">
        <v>0</v>
      </c>
      <c r="U35" s="4">
        <v>0</v>
      </c>
      <c r="V35" s="4" t="s">
        <v>671</v>
      </c>
      <c r="W35" s="4" t="s">
        <v>625</v>
      </c>
      <c r="X35" s="6" t="s">
        <v>617</v>
      </c>
    </row>
    <row r="36" spans="1:24">
      <c r="A36" s="4" t="s">
        <v>672</v>
      </c>
      <c r="B36" s="4" t="s">
        <v>673</v>
      </c>
      <c r="C36" s="4"/>
      <c r="D36" s="4" t="s">
        <v>652</v>
      </c>
      <c r="E36" s="4" t="s">
        <v>653</v>
      </c>
      <c r="M36" s="4" t="s">
        <v>674</v>
      </c>
      <c r="N36" s="4">
        <v>-73.853561400000004</v>
      </c>
      <c r="O36" s="4">
        <v>7.0595722199999997</v>
      </c>
      <c r="P36" s="4" t="s">
        <v>675</v>
      </c>
      <c r="S36" s="2">
        <v>46174.273553240739</v>
      </c>
      <c r="T36" s="5">
        <v>0</v>
      </c>
      <c r="U36" s="4">
        <v>0</v>
      </c>
      <c r="V36" s="4" t="s">
        <v>676</v>
      </c>
      <c r="W36" s="4" t="s">
        <v>674</v>
      </c>
      <c r="X36" s="6" t="s">
        <v>617</v>
      </c>
    </row>
    <row r="37" spans="1:24">
      <c r="A37" s="4" t="s">
        <v>672</v>
      </c>
      <c r="B37" s="4" t="s">
        <v>673</v>
      </c>
      <c r="D37" s="4" t="s">
        <v>652</v>
      </c>
      <c r="E37" s="4" t="s">
        <v>653</v>
      </c>
      <c r="M37" s="4" t="s">
        <v>656</v>
      </c>
      <c r="N37" s="4">
        <v>-73.846279150000001</v>
      </c>
      <c r="O37" s="4">
        <v>7.0508022300000004</v>
      </c>
      <c r="P37" s="4" t="s">
        <v>677</v>
      </c>
      <c r="S37" s="2">
        <v>46174.275995370372</v>
      </c>
      <c r="T37" s="5">
        <v>1.9675925925925926E-4</v>
      </c>
      <c r="U37" s="4">
        <v>0.37499135732650757</v>
      </c>
      <c r="V37" s="4" t="s">
        <v>678</v>
      </c>
      <c r="W37" s="4" t="s">
        <v>656</v>
      </c>
      <c r="X37" s="6" t="s">
        <v>617</v>
      </c>
    </row>
    <row r="38" spans="1:24">
      <c r="A38" s="4" t="s">
        <v>672</v>
      </c>
      <c r="B38" s="4" t="s">
        <v>673</v>
      </c>
      <c r="D38" s="4" t="s">
        <v>652</v>
      </c>
      <c r="E38" s="4" t="s">
        <v>653</v>
      </c>
      <c r="M38" s="4" t="s">
        <v>656</v>
      </c>
      <c r="N38" s="4">
        <v>-73.832549154400013</v>
      </c>
      <c r="O38" s="4">
        <v>7.0417393413200005</v>
      </c>
      <c r="P38" s="4" t="s">
        <v>679</v>
      </c>
      <c r="S38" s="2">
        <v>46174.277390694442</v>
      </c>
      <c r="T38" s="5">
        <v>8.6157407407407407E-5</v>
      </c>
      <c r="U38" s="4">
        <v>0.16537246108055115</v>
      </c>
      <c r="V38" s="4" t="s">
        <v>680</v>
      </c>
      <c r="W38" s="4" t="s">
        <v>656</v>
      </c>
      <c r="X38" s="6" t="s">
        <v>617</v>
      </c>
    </row>
    <row r="39" spans="1:24">
      <c r="A39" s="4" t="s">
        <v>672</v>
      </c>
      <c r="B39" s="4" t="s">
        <v>673</v>
      </c>
      <c r="D39" s="4" t="s">
        <v>652</v>
      </c>
      <c r="E39" s="4" t="s">
        <v>653</v>
      </c>
      <c r="M39" s="4" t="s">
        <v>656</v>
      </c>
      <c r="N39" s="4">
        <v>-73.827735899999993</v>
      </c>
      <c r="O39" s="4">
        <v>7.0422625500000002</v>
      </c>
      <c r="P39" s="4" t="s">
        <v>681</v>
      </c>
      <c r="S39" s="2">
        <v>46174.277777777781</v>
      </c>
      <c r="T39" s="5">
        <v>5.6327546296296301E-4</v>
      </c>
      <c r="U39" s="4">
        <v>0.83146542310714722</v>
      </c>
      <c r="V39" s="4" t="s">
        <v>682</v>
      </c>
      <c r="W39" s="4" t="s">
        <v>656</v>
      </c>
      <c r="X39" s="6" t="s">
        <v>617</v>
      </c>
    </row>
    <row r="40" spans="1:24">
      <c r="A40" s="4" t="s">
        <v>672</v>
      </c>
      <c r="B40" s="4" t="s">
        <v>673</v>
      </c>
      <c r="D40" s="4" t="s">
        <v>652</v>
      </c>
      <c r="E40" s="4" t="s">
        <v>653</v>
      </c>
      <c r="M40" s="4" t="s">
        <v>674</v>
      </c>
      <c r="N40" s="4">
        <v>-73.826301599999994</v>
      </c>
      <c r="O40" s="4">
        <v>7.0414118800000001</v>
      </c>
      <c r="P40" s="4" t="s">
        <v>683</v>
      </c>
      <c r="S40" s="2">
        <v>46174.277939814812</v>
      </c>
      <c r="T40" s="5">
        <v>0</v>
      </c>
      <c r="U40" s="4">
        <v>0</v>
      </c>
      <c r="V40" s="4" t="s">
        <v>684</v>
      </c>
      <c r="W40" s="4" t="s">
        <v>674</v>
      </c>
      <c r="X40" s="6" t="s">
        <v>617</v>
      </c>
    </row>
    <row r="41" spans="1:24">
      <c r="A41" s="4" t="s">
        <v>672</v>
      </c>
      <c r="B41" s="4" t="s">
        <v>673</v>
      </c>
      <c r="D41" s="4" t="s">
        <v>652</v>
      </c>
      <c r="E41" s="4" t="s">
        <v>653</v>
      </c>
      <c r="M41" s="4" t="s">
        <v>685</v>
      </c>
      <c r="N41" s="4">
        <v>-73.823943698500003</v>
      </c>
      <c r="O41" s="4">
        <v>7.0355818860000001</v>
      </c>
      <c r="P41" s="4" t="s">
        <v>686</v>
      </c>
      <c r="S41" s="2">
        <v>46174.278384317127</v>
      </c>
      <c r="T41" s="5">
        <v>1.2627314814814814E-5</v>
      </c>
      <c r="U41" s="4">
        <v>2.2239429876208305E-2</v>
      </c>
      <c r="V41" s="4" t="s">
        <v>687</v>
      </c>
      <c r="W41" s="4" t="s">
        <v>685</v>
      </c>
      <c r="X41" s="6" t="s">
        <v>617</v>
      </c>
    </row>
    <row r="42" spans="1:24">
      <c r="A42" s="4" t="s">
        <v>672</v>
      </c>
      <c r="B42" s="4" t="s">
        <v>673</v>
      </c>
      <c r="D42" s="4" t="s">
        <v>652</v>
      </c>
      <c r="E42" s="4" t="s">
        <v>653</v>
      </c>
      <c r="M42" s="4" t="s">
        <v>674</v>
      </c>
      <c r="N42" s="4">
        <v>-73.823638900000006</v>
      </c>
      <c r="O42" s="4">
        <v>7.0352253899999999</v>
      </c>
      <c r="P42" s="4" t="s">
        <v>686</v>
      </c>
      <c r="S42" s="2">
        <v>46174.278414351851</v>
      </c>
      <c r="T42" s="5">
        <v>0</v>
      </c>
      <c r="U42" s="4">
        <v>0</v>
      </c>
      <c r="V42" s="4" t="s">
        <v>688</v>
      </c>
      <c r="W42" s="4" t="s">
        <v>674</v>
      </c>
      <c r="X42" s="6" t="s">
        <v>617</v>
      </c>
    </row>
    <row r="43" spans="1:24">
      <c r="A43" s="4" t="s">
        <v>672</v>
      </c>
      <c r="B43" s="4" t="s">
        <v>673</v>
      </c>
      <c r="D43" s="4" t="s">
        <v>652</v>
      </c>
      <c r="E43" s="4" t="s">
        <v>653</v>
      </c>
      <c r="M43" s="4" t="s">
        <v>656</v>
      </c>
      <c r="N43" s="4">
        <v>-73.823463450000006</v>
      </c>
      <c r="O43" s="4">
        <v>7.035157205</v>
      </c>
      <c r="P43" s="4" t="s">
        <v>686</v>
      </c>
      <c r="S43" s="2">
        <v>46174.278425925928</v>
      </c>
      <c r="T43" s="5">
        <v>1.0206018518518519E-4</v>
      </c>
      <c r="U43" s="4">
        <v>0.18297208845615387</v>
      </c>
      <c r="V43" s="4" t="s">
        <v>689</v>
      </c>
      <c r="W43" s="4" t="s">
        <v>656</v>
      </c>
      <c r="X43" s="6" t="s">
        <v>617</v>
      </c>
    </row>
    <row r="44" spans="1:24">
      <c r="A44" s="4" t="s">
        <v>672</v>
      </c>
      <c r="B44" s="4" t="s">
        <v>673</v>
      </c>
      <c r="D44" s="4" t="s">
        <v>652</v>
      </c>
      <c r="E44" s="4" t="s">
        <v>653</v>
      </c>
      <c r="M44" s="4" t="s">
        <v>685</v>
      </c>
      <c r="N44" s="4">
        <v>-73.823301860550004</v>
      </c>
      <c r="O44" s="4">
        <v>7.0350944066150003</v>
      </c>
      <c r="P44" s="4" t="s">
        <v>686</v>
      </c>
      <c r="S44" s="2">
        <v>46174.27843658565</v>
      </c>
      <c r="T44" s="5">
        <v>2.1238425925925926E-5</v>
      </c>
      <c r="U44" s="4">
        <v>3.8444988429546356E-2</v>
      </c>
      <c r="V44" s="4" t="s">
        <v>690</v>
      </c>
      <c r="W44" s="4" t="s">
        <v>685</v>
      </c>
      <c r="X44" s="6" t="s">
        <v>617</v>
      </c>
    </row>
    <row r="45" spans="1:24">
      <c r="A45" s="4" t="s">
        <v>672</v>
      </c>
      <c r="B45" s="4" t="s">
        <v>673</v>
      </c>
      <c r="D45" s="4" t="s">
        <v>652</v>
      </c>
      <c r="E45" s="4" t="s">
        <v>653</v>
      </c>
      <c r="M45" s="4" t="s">
        <v>674</v>
      </c>
      <c r="N45" s="4">
        <v>-73.818992600000001</v>
      </c>
      <c r="O45" s="4">
        <v>7.0337481500000001</v>
      </c>
      <c r="P45" s="4" t="s">
        <v>686</v>
      </c>
      <c r="S45" s="2">
        <v>46174.278773148151</v>
      </c>
      <c r="T45" s="5">
        <v>0</v>
      </c>
      <c r="U45" s="4">
        <v>0</v>
      </c>
      <c r="V45" s="4" t="s">
        <v>691</v>
      </c>
      <c r="W45" s="4" t="s">
        <v>674</v>
      </c>
      <c r="X45" s="6" t="s">
        <v>617</v>
      </c>
    </row>
    <row r="46" spans="1:24">
      <c r="A46" s="4" t="s">
        <v>672</v>
      </c>
      <c r="B46" s="4" t="s">
        <v>673</v>
      </c>
      <c r="D46" s="4" t="s">
        <v>652</v>
      </c>
      <c r="E46" s="4" t="s">
        <v>653</v>
      </c>
      <c r="M46" s="4" t="s">
        <v>656</v>
      </c>
      <c r="N46" s="4">
        <v>-73.80672073768001</v>
      </c>
      <c r="O46" s="4">
        <v>7.0167114747640005</v>
      </c>
      <c r="P46" s="4" t="s">
        <v>692</v>
      </c>
      <c r="S46" s="2">
        <v>46174.281738043981</v>
      </c>
      <c r="T46" s="5">
        <v>1.022337962962963E-4</v>
      </c>
      <c r="U46" s="4">
        <v>9.4803698360919952E-2</v>
      </c>
      <c r="V46" s="4" t="s">
        <v>693</v>
      </c>
      <c r="W46" s="4" t="s">
        <v>656</v>
      </c>
      <c r="X46" s="6" t="s">
        <v>617</v>
      </c>
    </row>
    <row r="47" spans="1:24">
      <c r="A47" s="4" t="s">
        <v>672</v>
      </c>
      <c r="B47" s="4" t="s">
        <v>673</v>
      </c>
      <c r="D47" s="4" t="s">
        <v>652</v>
      </c>
      <c r="E47" s="4" t="s">
        <v>653</v>
      </c>
      <c r="M47" s="4" t="s">
        <v>656</v>
      </c>
      <c r="N47" s="4">
        <v>-73.783698999999999</v>
      </c>
      <c r="O47" s="4">
        <v>7.0083999600000002</v>
      </c>
      <c r="P47" s="4" t="s">
        <v>686</v>
      </c>
      <c r="S47" s="2">
        <v>46174.284120370372</v>
      </c>
      <c r="T47" s="5">
        <v>4.43287037037037E-3</v>
      </c>
      <c r="U47" s="4">
        <v>5.691164493560791</v>
      </c>
      <c r="V47" s="4" t="s">
        <v>694</v>
      </c>
      <c r="W47" s="4" t="s">
        <v>656</v>
      </c>
      <c r="X47" s="6" t="s">
        <v>617</v>
      </c>
    </row>
    <row r="48" spans="1:24">
      <c r="A48" s="4" t="s">
        <v>672</v>
      </c>
      <c r="B48" s="4" t="s">
        <v>673</v>
      </c>
      <c r="D48" s="4" t="s">
        <v>652</v>
      </c>
      <c r="E48" s="4" t="s">
        <v>653</v>
      </c>
      <c r="M48" s="4" t="s">
        <v>656</v>
      </c>
      <c r="N48" s="4">
        <v>-73.766345950000002</v>
      </c>
      <c r="O48" s="4">
        <v>6.9442696574999996</v>
      </c>
      <c r="P48" s="4" t="s">
        <v>695</v>
      </c>
      <c r="S48" s="2">
        <v>46174.290752314817</v>
      </c>
      <c r="T48" s="5">
        <v>7.5231581481481481E-5</v>
      </c>
      <c r="U48" s="4">
        <v>6.847042590379715E-2</v>
      </c>
      <c r="V48" s="4" t="s">
        <v>668</v>
      </c>
      <c r="W48" s="4" t="s">
        <v>656</v>
      </c>
      <c r="X48" s="6" t="s">
        <v>617</v>
      </c>
    </row>
    <row r="49" spans="1:24">
      <c r="A49" s="4" t="s">
        <v>672</v>
      </c>
      <c r="B49" s="4" t="s">
        <v>673</v>
      </c>
      <c r="D49" s="4" t="s">
        <v>652</v>
      </c>
      <c r="E49" s="4" t="s">
        <v>653</v>
      </c>
      <c r="M49" s="4" t="s">
        <v>614</v>
      </c>
      <c r="N49" s="4">
        <v>-73.760436999999996</v>
      </c>
      <c r="O49" s="4">
        <v>6.9330239300000001</v>
      </c>
      <c r="P49" s="4" t="s">
        <v>696</v>
      </c>
      <c r="S49" s="2">
        <v>46174.513935185183</v>
      </c>
      <c r="T49" s="5">
        <v>4.8406828703703702E-3</v>
      </c>
      <c r="U49" s="4">
        <v>0</v>
      </c>
      <c r="V49" s="4" t="s">
        <v>616</v>
      </c>
      <c r="W49" s="4" t="s">
        <v>614</v>
      </c>
      <c r="X49" s="6" t="s">
        <v>617</v>
      </c>
    </row>
    <row r="50" spans="1:24">
      <c r="A50" s="4" t="s">
        <v>672</v>
      </c>
      <c r="B50" s="4" t="s">
        <v>673</v>
      </c>
      <c r="D50" s="4" t="s">
        <v>652</v>
      </c>
      <c r="E50" s="4" t="s">
        <v>653</v>
      </c>
      <c r="M50" s="4" t="s">
        <v>656</v>
      </c>
      <c r="N50" s="4">
        <v>-73.774780300000003</v>
      </c>
      <c r="O50" s="4">
        <v>6.9644985200000002</v>
      </c>
      <c r="P50" s="4" t="s">
        <v>697</v>
      </c>
      <c r="S50" s="2">
        <v>46174.703333333331</v>
      </c>
      <c r="T50" s="5">
        <v>3.1684027777777778E-3</v>
      </c>
      <c r="U50" s="4">
        <v>3.7818548679351807</v>
      </c>
      <c r="V50" s="4" t="s">
        <v>698</v>
      </c>
      <c r="W50" s="4" t="s">
        <v>656</v>
      </c>
      <c r="X50" s="6" t="s">
        <v>617</v>
      </c>
    </row>
    <row r="51" spans="1:24">
      <c r="A51" s="4" t="s">
        <v>672</v>
      </c>
      <c r="B51" s="4" t="s">
        <v>673</v>
      </c>
      <c r="D51" s="4" t="s">
        <v>652</v>
      </c>
      <c r="E51" s="4" t="s">
        <v>653</v>
      </c>
      <c r="M51" s="4" t="s">
        <v>656</v>
      </c>
      <c r="N51" s="4">
        <v>-73.783159046899996</v>
      </c>
      <c r="O51" s="4">
        <v>6.9945763156199998</v>
      </c>
      <c r="P51" s="4" t="s">
        <v>686</v>
      </c>
      <c r="S51" s="2">
        <v>46174.706520057873</v>
      </c>
      <c r="T51" s="5">
        <v>1.3503472222222223E-4</v>
      </c>
      <c r="U51" s="4">
        <v>0.1405646800994873</v>
      </c>
      <c r="V51" s="4" t="s">
        <v>699</v>
      </c>
      <c r="W51" s="4" t="s">
        <v>656</v>
      </c>
      <c r="X51" s="6" t="s">
        <v>617</v>
      </c>
    </row>
    <row r="52" spans="1:24">
      <c r="A52" s="4" t="s">
        <v>672</v>
      </c>
      <c r="B52" s="4" t="s">
        <v>673</v>
      </c>
      <c r="D52" s="4" t="s">
        <v>652</v>
      </c>
      <c r="E52" s="4" t="s">
        <v>653</v>
      </c>
      <c r="M52" s="4" t="s">
        <v>656</v>
      </c>
      <c r="N52" s="4">
        <v>-73.7825139444125</v>
      </c>
      <c r="O52" s="4">
        <v>6.9960228972087499</v>
      </c>
      <c r="P52" s="4" t="s">
        <v>686</v>
      </c>
      <c r="S52" s="2">
        <v>46174.706685960649</v>
      </c>
      <c r="T52" s="5">
        <v>1.323298611111111E-3</v>
      </c>
      <c r="U52" s="4">
        <v>1.6439336538314819</v>
      </c>
      <c r="V52" s="4" t="s">
        <v>700</v>
      </c>
      <c r="W52" s="4" t="s">
        <v>656</v>
      </c>
      <c r="X52" s="6" t="s">
        <v>617</v>
      </c>
    </row>
    <row r="53" spans="1:24">
      <c r="A53" s="4" t="s">
        <v>672</v>
      </c>
      <c r="B53" s="4" t="s">
        <v>673</v>
      </c>
      <c r="D53" s="4" t="s">
        <v>652</v>
      </c>
      <c r="E53" s="4" t="s">
        <v>653</v>
      </c>
      <c r="M53" s="4" t="s">
        <v>614</v>
      </c>
      <c r="N53" s="4">
        <v>-73.861648599999995</v>
      </c>
      <c r="O53" s="4">
        <v>7.0611481700000001</v>
      </c>
      <c r="P53" s="4" t="s">
        <v>701</v>
      </c>
      <c r="S53" s="2">
        <v>46174.744108796294</v>
      </c>
      <c r="T53" s="5">
        <v>9.2013888888888892E-3</v>
      </c>
      <c r="U53" s="4">
        <v>0</v>
      </c>
      <c r="V53" s="4" t="s">
        <v>616</v>
      </c>
      <c r="W53" s="4" t="s">
        <v>614</v>
      </c>
      <c r="X53" s="6" t="s">
        <v>617</v>
      </c>
    </row>
    <row r="54" spans="1:24">
      <c r="A54" s="4" t="s">
        <v>702</v>
      </c>
      <c r="B54" s="4" t="s">
        <v>703</v>
      </c>
      <c r="D54" s="4" t="s">
        <v>704</v>
      </c>
      <c r="E54" s="4" t="s">
        <v>705</v>
      </c>
      <c r="M54" s="4" t="s">
        <v>656</v>
      </c>
      <c r="N54" s="4">
        <v>-74.0808258</v>
      </c>
      <c r="O54" s="4">
        <v>4.5941046099999996</v>
      </c>
      <c r="P54" s="4" t="s">
        <v>706</v>
      </c>
      <c r="S54" s="2">
        <v>46174.660462962966</v>
      </c>
      <c r="T54" s="5">
        <v>2.199074074074074E-4</v>
      </c>
      <c r="U54" s="4">
        <v>0.2348802387714386</v>
      </c>
      <c r="V54" s="4" t="s">
        <v>707</v>
      </c>
      <c r="W54" s="4" t="s">
        <v>656</v>
      </c>
      <c r="X54" s="6" t="s">
        <v>617</v>
      </c>
    </row>
    <row r="55" spans="1:24">
      <c r="A55" s="4" t="s">
        <v>702</v>
      </c>
      <c r="B55" s="4" t="s">
        <v>703</v>
      </c>
      <c r="D55" s="4" t="s">
        <v>704</v>
      </c>
      <c r="E55" s="4" t="s">
        <v>705</v>
      </c>
      <c r="M55" s="4" t="s">
        <v>614</v>
      </c>
      <c r="N55" s="4">
        <v>-74.077987699999994</v>
      </c>
      <c r="O55" s="4">
        <v>4.58680296</v>
      </c>
      <c r="P55" s="4" t="s">
        <v>708</v>
      </c>
      <c r="S55" s="2">
        <v>46174.663842592592</v>
      </c>
      <c r="T55" s="5">
        <v>1.3194444444444444E-2</v>
      </c>
      <c r="U55" s="4">
        <v>0</v>
      </c>
      <c r="V55" s="4" t="s">
        <v>616</v>
      </c>
      <c r="W55" s="4" t="s">
        <v>614</v>
      </c>
      <c r="X55" s="6" t="s">
        <v>617</v>
      </c>
    </row>
    <row r="56" spans="1:24">
      <c r="A56" s="4" t="s">
        <v>702</v>
      </c>
      <c r="B56" s="4" t="s">
        <v>703</v>
      </c>
      <c r="D56" s="4" t="s">
        <v>704</v>
      </c>
      <c r="E56" s="4" t="s">
        <v>705</v>
      </c>
      <c r="M56" s="4" t="s">
        <v>656</v>
      </c>
      <c r="N56" s="4">
        <v>-74.081115699999998</v>
      </c>
      <c r="O56" s="4">
        <v>4.5930814700000004</v>
      </c>
      <c r="P56" s="4" t="s">
        <v>709</v>
      </c>
      <c r="S56" s="2">
        <v>46174.699548611112</v>
      </c>
      <c r="T56" s="5">
        <v>1.0684027777777778E-4</v>
      </c>
      <c r="U56" s="4">
        <v>0.12300074100494385</v>
      </c>
      <c r="V56" s="4" t="s">
        <v>710</v>
      </c>
      <c r="W56" s="4" t="s">
        <v>656</v>
      </c>
      <c r="X56" s="6" t="s">
        <v>617</v>
      </c>
    </row>
    <row r="57" spans="1:24">
      <c r="A57" s="4" t="s">
        <v>702</v>
      </c>
      <c r="B57" s="4" t="s">
        <v>703</v>
      </c>
      <c r="D57" s="4" t="s">
        <v>704</v>
      </c>
      <c r="E57" s="4" t="s">
        <v>705</v>
      </c>
      <c r="M57" s="4" t="s">
        <v>614</v>
      </c>
      <c r="N57" s="4">
        <v>-74.080070500000005</v>
      </c>
      <c r="O57" s="4">
        <v>4.6014800100000004</v>
      </c>
      <c r="P57" s="4" t="s">
        <v>711</v>
      </c>
      <c r="S57" s="2">
        <v>46174.779629629629</v>
      </c>
      <c r="T57" s="5">
        <v>1.5983796296296298E-2</v>
      </c>
      <c r="U57" s="4">
        <v>3.1781781581230462E-4</v>
      </c>
      <c r="V57" s="4" t="s">
        <v>616</v>
      </c>
      <c r="W57" s="4" t="s">
        <v>614</v>
      </c>
      <c r="X57" s="6" t="s">
        <v>617</v>
      </c>
    </row>
    <row r="58" spans="1:24">
      <c r="A58" s="4" t="s">
        <v>702</v>
      </c>
      <c r="B58" s="4" t="s">
        <v>703</v>
      </c>
      <c r="D58" s="4" t="s">
        <v>704</v>
      </c>
      <c r="E58" s="4" t="s">
        <v>705</v>
      </c>
      <c r="M58" s="4" t="s">
        <v>656</v>
      </c>
      <c r="N58" s="4">
        <v>-74.071540799999994</v>
      </c>
      <c r="O58" s="4">
        <v>4.6126394299999998</v>
      </c>
      <c r="P58" s="4" t="s">
        <v>712</v>
      </c>
      <c r="S58" s="2">
        <v>46174.81108796296</v>
      </c>
      <c r="T58" s="5">
        <v>1.0416666666666667E-4</v>
      </c>
      <c r="U58" s="4">
        <v>8.088432252407074E-2</v>
      </c>
      <c r="V58" s="4" t="s">
        <v>693</v>
      </c>
      <c r="W58" s="4" t="s">
        <v>656</v>
      </c>
      <c r="X58" s="6" t="s">
        <v>617</v>
      </c>
    </row>
    <row r="59" spans="1:24">
      <c r="A59" s="4" t="s">
        <v>702</v>
      </c>
      <c r="B59" s="4" t="s">
        <v>703</v>
      </c>
      <c r="D59" s="4" t="s">
        <v>704</v>
      </c>
      <c r="E59" s="4" t="s">
        <v>705</v>
      </c>
      <c r="M59" s="4" t="s">
        <v>614</v>
      </c>
      <c r="N59" s="4">
        <v>-74.0695877</v>
      </c>
      <c r="O59" s="4">
        <v>4.6127591099999998</v>
      </c>
      <c r="P59" s="4" t="s">
        <v>713</v>
      </c>
      <c r="S59" s="2">
        <v>46174.814513888887</v>
      </c>
      <c r="T59" s="5">
        <v>3.3101851851851855E-2</v>
      </c>
      <c r="U59" s="4">
        <v>0</v>
      </c>
      <c r="V59" s="4" t="s">
        <v>616</v>
      </c>
      <c r="W59" s="4" t="s">
        <v>614</v>
      </c>
      <c r="X59" s="6" t="s">
        <v>617</v>
      </c>
    </row>
    <row r="60" spans="1:24">
      <c r="A60" s="4" t="s">
        <v>714</v>
      </c>
      <c r="B60" s="4" t="s">
        <v>715</v>
      </c>
      <c r="D60" s="4" t="s">
        <v>716</v>
      </c>
      <c r="E60" s="4" t="s">
        <v>717</v>
      </c>
      <c r="M60" s="4" t="s">
        <v>645</v>
      </c>
      <c r="N60" s="4">
        <v>-71.636698599520003</v>
      </c>
      <c r="O60" s="4">
        <v>3.7843131207840002</v>
      </c>
      <c r="P60" s="4" t="s">
        <v>718</v>
      </c>
      <c r="Q60" s="4" t="s">
        <v>719</v>
      </c>
      <c r="R60" s="4" t="s">
        <v>720</v>
      </c>
      <c r="S60" s="2">
        <v>46174.264926388889</v>
      </c>
      <c r="T60" s="5">
        <v>3.7057870370370369E-4</v>
      </c>
      <c r="U60" s="4">
        <v>0.18355429172515869</v>
      </c>
      <c r="V60" s="4" t="s">
        <v>721</v>
      </c>
      <c r="W60" s="4" t="s">
        <v>645</v>
      </c>
      <c r="X60" s="6" t="s">
        <v>617</v>
      </c>
    </row>
    <row r="61" spans="1:24">
      <c r="A61" s="4" t="s">
        <v>714</v>
      </c>
      <c r="B61" s="4" t="s">
        <v>715</v>
      </c>
      <c r="D61" s="4" t="s">
        <v>716</v>
      </c>
      <c r="E61" s="4" t="s">
        <v>717</v>
      </c>
      <c r="M61" s="4" t="s">
        <v>645</v>
      </c>
      <c r="N61" s="4">
        <v>-71.626469637500009</v>
      </c>
      <c r="O61" s="4">
        <v>3.78067422125</v>
      </c>
      <c r="P61" s="4" t="s">
        <v>722</v>
      </c>
      <c r="Q61" s="4" t="s">
        <v>723</v>
      </c>
      <c r="R61" s="4" t="s">
        <v>720</v>
      </c>
      <c r="S61" s="2">
        <v>46174.267611400464</v>
      </c>
      <c r="T61" s="5">
        <v>5.0636574074074073E-5</v>
      </c>
      <c r="U61" s="4">
        <v>1.3679411262273788E-2</v>
      </c>
      <c r="V61" s="4" t="s">
        <v>724</v>
      </c>
      <c r="W61" s="4" t="s">
        <v>645</v>
      </c>
      <c r="X61" s="6" t="s">
        <v>617</v>
      </c>
    </row>
    <row r="62" spans="1:24">
      <c r="A62" s="4" t="s">
        <v>714</v>
      </c>
      <c r="B62" s="4" t="s">
        <v>715</v>
      </c>
      <c r="D62" s="4" t="s">
        <v>716</v>
      </c>
      <c r="E62" s="4" t="s">
        <v>717</v>
      </c>
      <c r="M62" s="4" t="s">
        <v>645</v>
      </c>
      <c r="N62" s="4">
        <v>-71.626510600000003</v>
      </c>
      <c r="O62" s="4">
        <v>3.7805581099999999</v>
      </c>
      <c r="P62" s="4" t="s">
        <v>722</v>
      </c>
      <c r="Q62" s="4" t="s">
        <v>723</v>
      </c>
      <c r="R62" s="4" t="s">
        <v>720</v>
      </c>
      <c r="S62" s="2">
        <v>46174.26766203704</v>
      </c>
      <c r="T62" s="5">
        <v>3.5494212962962964E-4</v>
      </c>
      <c r="U62" s="4">
        <v>0.11819932609796524</v>
      </c>
      <c r="V62" s="4" t="s">
        <v>725</v>
      </c>
      <c r="W62" s="4" t="s">
        <v>645</v>
      </c>
      <c r="X62" s="6" t="s">
        <v>617</v>
      </c>
    </row>
    <row r="63" spans="1:24">
      <c r="A63" s="4" t="s">
        <v>714</v>
      </c>
      <c r="B63" s="4" t="s">
        <v>715</v>
      </c>
      <c r="D63" s="4" t="s">
        <v>716</v>
      </c>
      <c r="E63" s="4" t="s">
        <v>717</v>
      </c>
      <c r="M63" s="4" t="s">
        <v>614</v>
      </c>
      <c r="N63" s="4">
        <v>-71.626701400000002</v>
      </c>
      <c r="O63" s="4">
        <v>3.7794475599999999</v>
      </c>
      <c r="P63" s="4" t="s">
        <v>726</v>
      </c>
      <c r="Q63" s="4" t="s">
        <v>727</v>
      </c>
      <c r="R63" s="4" t="s">
        <v>720</v>
      </c>
      <c r="S63" s="2">
        <v>46174.292384259257</v>
      </c>
      <c r="T63" s="5">
        <v>6.1689814814814819E-3</v>
      </c>
      <c r="U63" s="4">
        <v>0</v>
      </c>
      <c r="V63" s="4" t="s">
        <v>616</v>
      </c>
      <c r="W63" s="4" t="s">
        <v>614</v>
      </c>
      <c r="X63" s="6" t="s">
        <v>617</v>
      </c>
    </row>
    <row r="64" spans="1:24">
      <c r="A64" s="4" t="s">
        <v>714</v>
      </c>
      <c r="B64" s="4" t="s">
        <v>715</v>
      </c>
      <c r="D64" s="4" t="s">
        <v>716</v>
      </c>
      <c r="E64" s="4" t="s">
        <v>717</v>
      </c>
      <c r="M64" s="4" t="s">
        <v>645</v>
      </c>
      <c r="N64" s="4">
        <v>-71.626599119999995</v>
      </c>
      <c r="O64" s="4">
        <v>3.7797224539999998</v>
      </c>
      <c r="P64" s="4" t="s">
        <v>726</v>
      </c>
      <c r="Q64" s="4" t="s">
        <v>727</v>
      </c>
      <c r="R64" s="4" t="s">
        <v>720</v>
      </c>
      <c r="S64" s="2">
        <v>46174.298819444448</v>
      </c>
      <c r="T64" s="5">
        <v>4.1666666666666669E-4</v>
      </c>
      <c r="U64" s="4">
        <v>0.1068144291639328</v>
      </c>
      <c r="V64" s="4" t="s">
        <v>728</v>
      </c>
      <c r="W64" s="4" t="s">
        <v>645</v>
      </c>
      <c r="X64" s="6" t="s">
        <v>617</v>
      </c>
    </row>
    <row r="65" spans="1:24">
      <c r="A65" s="4" t="s">
        <v>714</v>
      </c>
      <c r="B65" s="4" t="s">
        <v>715</v>
      </c>
      <c r="D65" s="4" t="s">
        <v>716</v>
      </c>
      <c r="E65" s="4" t="s">
        <v>717</v>
      </c>
      <c r="M65" s="4" t="s">
        <v>645</v>
      </c>
      <c r="N65" s="4">
        <v>-71.626403800000006</v>
      </c>
      <c r="O65" s="4">
        <v>3.7808551800000001</v>
      </c>
      <c r="P65" s="4" t="s">
        <v>729</v>
      </c>
      <c r="Q65" s="4" t="s">
        <v>723</v>
      </c>
      <c r="R65" s="4" t="s">
        <v>730</v>
      </c>
      <c r="S65" s="2">
        <v>46174.299328703702</v>
      </c>
      <c r="T65" s="5">
        <v>1.795138888888889E-5</v>
      </c>
      <c r="U65" s="4">
        <v>5.2476390264928341E-3</v>
      </c>
      <c r="V65" s="4" t="s">
        <v>731</v>
      </c>
      <c r="W65" s="4" t="s">
        <v>645</v>
      </c>
      <c r="X65" s="6" t="s">
        <v>617</v>
      </c>
    </row>
    <row r="66" spans="1:24">
      <c r="A66" s="4" t="s">
        <v>714</v>
      </c>
      <c r="B66" s="4" t="s">
        <v>715</v>
      </c>
      <c r="D66" s="4" t="s">
        <v>716</v>
      </c>
      <c r="E66" s="4" t="s">
        <v>717</v>
      </c>
      <c r="M66" s="4" t="s">
        <v>645</v>
      </c>
      <c r="N66" s="4">
        <v>-71.635059621133337</v>
      </c>
      <c r="O66" s="4">
        <v>3.7842662078066667</v>
      </c>
      <c r="P66" s="4" t="s">
        <v>718</v>
      </c>
      <c r="Q66" s="4" t="s">
        <v>719</v>
      </c>
      <c r="R66" s="4" t="s">
        <v>720</v>
      </c>
      <c r="S66" s="2">
        <v>46174.301177199071</v>
      </c>
      <c r="T66" s="5">
        <v>3.1686342592592595E-4</v>
      </c>
      <c r="U66" s="4">
        <v>0.18358427286148071</v>
      </c>
      <c r="V66" s="4" t="s">
        <v>732</v>
      </c>
      <c r="W66" s="4" t="s">
        <v>645</v>
      </c>
      <c r="X66" s="6" t="s">
        <v>617</v>
      </c>
    </row>
    <row r="67" spans="1:24">
      <c r="A67" s="4" t="s">
        <v>714</v>
      </c>
      <c r="B67" s="4" t="s">
        <v>715</v>
      </c>
      <c r="D67" s="4" t="s">
        <v>716</v>
      </c>
      <c r="E67" s="4" t="s">
        <v>717</v>
      </c>
      <c r="M67" s="4" t="s">
        <v>733</v>
      </c>
      <c r="N67" s="4">
        <v>-71.648520589100002</v>
      </c>
      <c r="O67" s="4">
        <v>3.7777437106733336</v>
      </c>
      <c r="P67" s="4" t="s">
        <v>734</v>
      </c>
      <c r="Q67" s="4" t="s">
        <v>735</v>
      </c>
      <c r="R67" s="4" t="s">
        <v>730</v>
      </c>
      <c r="S67" s="2">
        <v>46174.304515428237</v>
      </c>
      <c r="T67" s="5">
        <v>8.1018518518518515E-8</v>
      </c>
      <c r="U67" s="4">
        <v>1.4320127775135916E-5</v>
      </c>
      <c r="V67" s="4" t="s">
        <v>736</v>
      </c>
      <c r="W67" s="4" t="s">
        <v>733</v>
      </c>
      <c r="X67" s="6" t="s">
        <v>617</v>
      </c>
    </row>
    <row r="68" spans="1:24">
      <c r="A68" s="4" t="s">
        <v>714</v>
      </c>
      <c r="B68" s="4" t="s">
        <v>715</v>
      </c>
      <c r="D68" s="4" t="s">
        <v>716</v>
      </c>
      <c r="E68" s="4" t="s">
        <v>717</v>
      </c>
      <c r="M68" s="4" t="s">
        <v>685</v>
      </c>
      <c r="N68" s="4">
        <v>-71.645279469533335</v>
      </c>
      <c r="O68" s="4">
        <v>3.781102114906667</v>
      </c>
      <c r="P68" s="4" t="s">
        <v>734</v>
      </c>
      <c r="Q68" s="4" t="s">
        <v>735</v>
      </c>
      <c r="R68" s="4" t="s">
        <v>730</v>
      </c>
      <c r="S68" s="2">
        <v>46174.316537939812</v>
      </c>
      <c r="T68" s="5">
        <v>2.3148148148148148E-8</v>
      </c>
      <c r="U68" s="4">
        <v>9.5031637101783417E-6</v>
      </c>
      <c r="V68" s="4" t="s">
        <v>737</v>
      </c>
      <c r="W68" s="4" t="s">
        <v>685</v>
      </c>
      <c r="X68" s="6" t="s">
        <v>617</v>
      </c>
    </row>
    <row r="69" spans="1:24">
      <c r="A69" s="4" t="s">
        <v>714</v>
      </c>
      <c r="B69" s="4" t="s">
        <v>715</v>
      </c>
      <c r="D69" s="4" t="s">
        <v>716</v>
      </c>
      <c r="E69" s="4" t="s">
        <v>717</v>
      </c>
      <c r="M69" s="4" t="s">
        <v>645</v>
      </c>
      <c r="N69" s="4">
        <v>-71.636698548075003</v>
      </c>
      <c r="O69" s="4">
        <v>3.7843085397837499</v>
      </c>
      <c r="P69" s="4" t="s">
        <v>718</v>
      </c>
      <c r="Q69" s="4" t="s">
        <v>719</v>
      </c>
      <c r="R69" s="4" t="s">
        <v>720</v>
      </c>
      <c r="S69" s="2">
        <v>46174.318608125002</v>
      </c>
      <c r="T69" s="5">
        <v>3.7914351851851851E-4</v>
      </c>
      <c r="U69" s="4">
        <v>0.18388620018959045</v>
      </c>
      <c r="V69" s="4" t="s">
        <v>738</v>
      </c>
      <c r="W69" s="4" t="s">
        <v>645</v>
      </c>
      <c r="X69" s="6" t="s">
        <v>617</v>
      </c>
    </row>
    <row r="70" spans="1:24">
      <c r="A70" s="4" t="s">
        <v>714</v>
      </c>
      <c r="B70" s="4" t="s">
        <v>715</v>
      </c>
      <c r="D70" s="4" t="s">
        <v>716</v>
      </c>
      <c r="E70" s="4" t="s">
        <v>717</v>
      </c>
      <c r="M70" s="4" t="s">
        <v>645</v>
      </c>
      <c r="N70" s="4">
        <v>-71.62638477290001</v>
      </c>
      <c r="O70" s="4">
        <v>3.7809752354999997</v>
      </c>
      <c r="P70" s="4" t="s">
        <v>739</v>
      </c>
      <c r="Q70" s="4" t="s">
        <v>740</v>
      </c>
      <c r="R70" s="4" t="s">
        <v>730</v>
      </c>
      <c r="S70" s="2">
        <v>46174.320980520832</v>
      </c>
      <c r="T70" s="5">
        <v>2.6177083333333331E-4</v>
      </c>
      <c r="U70" s="4">
        <v>0.10585183650255203</v>
      </c>
      <c r="V70" s="4" t="s">
        <v>741</v>
      </c>
      <c r="W70" s="4" t="s">
        <v>645</v>
      </c>
      <c r="X70" s="6" t="s">
        <v>617</v>
      </c>
    </row>
    <row r="71" spans="1:24">
      <c r="A71" s="4" t="s">
        <v>714</v>
      </c>
      <c r="B71" s="4" t="s">
        <v>715</v>
      </c>
      <c r="D71" s="4" t="s">
        <v>716</v>
      </c>
      <c r="E71" s="4" t="s">
        <v>717</v>
      </c>
      <c r="M71" s="4" t="s">
        <v>625</v>
      </c>
      <c r="N71" s="4">
        <v>-71.563148499999997</v>
      </c>
      <c r="O71" s="4">
        <v>3.7824358899999999</v>
      </c>
      <c r="P71" s="4" t="s">
        <v>742</v>
      </c>
      <c r="Q71" s="4" t="s">
        <v>743</v>
      </c>
      <c r="R71" s="4" t="s">
        <v>730</v>
      </c>
      <c r="S71" s="2">
        <v>46174.333194444444</v>
      </c>
      <c r="T71" s="5">
        <v>0</v>
      </c>
      <c r="U71" s="4">
        <v>0</v>
      </c>
      <c r="V71" s="4" t="s">
        <v>744</v>
      </c>
      <c r="W71" s="4" t="s">
        <v>625</v>
      </c>
      <c r="X71" s="6" t="s">
        <v>617</v>
      </c>
    </row>
    <row r="72" spans="1:24">
      <c r="A72" s="4" t="s">
        <v>714</v>
      </c>
      <c r="B72" s="4" t="s">
        <v>715</v>
      </c>
      <c r="D72" s="4" t="s">
        <v>716</v>
      </c>
      <c r="E72" s="4" t="s">
        <v>717</v>
      </c>
      <c r="M72" s="4" t="s">
        <v>645</v>
      </c>
      <c r="N72" s="4">
        <v>-71.535145818800004</v>
      </c>
      <c r="O72" s="4">
        <v>3.8026503619400001</v>
      </c>
      <c r="P72" s="4" t="s">
        <v>745</v>
      </c>
      <c r="Q72" s="4" t="s">
        <v>746</v>
      </c>
      <c r="R72" s="4" t="s">
        <v>720</v>
      </c>
      <c r="S72" s="2">
        <v>46174.341922916668</v>
      </c>
      <c r="T72" s="5">
        <v>1.5516203703703703E-3</v>
      </c>
      <c r="U72" s="4">
        <v>0.51166272163391113</v>
      </c>
      <c r="V72" s="4" t="s">
        <v>741</v>
      </c>
      <c r="W72" s="4" t="s">
        <v>645</v>
      </c>
      <c r="X72" s="6" t="s">
        <v>617</v>
      </c>
    </row>
    <row r="73" spans="1:24">
      <c r="A73" s="4" t="s">
        <v>714</v>
      </c>
      <c r="B73" s="4" t="s">
        <v>715</v>
      </c>
      <c r="D73" s="4" t="s">
        <v>716</v>
      </c>
      <c r="E73" s="4" t="s">
        <v>717</v>
      </c>
      <c r="M73" s="4" t="s">
        <v>645</v>
      </c>
      <c r="N73" s="4">
        <v>-71.533062555399994</v>
      </c>
      <c r="O73" s="4">
        <v>3.8041965175399999</v>
      </c>
      <c r="P73" s="4" t="s">
        <v>745</v>
      </c>
      <c r="Q73" s="4" t="s">
        <v>746</v>
      </c>
      <c r="R73" s="4" t="s">
        <v>720</v>
      </c>
      <c r="S73" s="2">
        <v>46174.343503634256</v>
      </c>
      <c r="T73" s="5">
        <v>1.6149999999999999E-3</v>
      </c>
      <c r="U73" s="4">
        <v>0.5166437029838562</v>
      </c>
      <c r="V73" s="4" t="s">
        <v>725</v>
      </c>
      <c r="W73" s="4" t="s">
        <v>645</v>
      </c>
      <c r="X73" s="6" t="s">
        <v>617</v>
      </c>
    </row>
    <row r="74" spans="1:24">
      <c r="A74" s="4" t="s">
        <v>714</v>
      </c>
      <c r="B74" s="4" t="s">
        <v>715</v>
      </c>
      <c r="D74" s="4" t="s">
        <v>716</v>
      </c>
      <c r="E74" s="4" t="s">
        <v>717</v>
      </c>
      <c r="M74" s="4" t="s">
        <v>645</v>
      </c>
      <c r="N74" s="4">
        <v>-71.529998774999996</v>
      </c>
      <c r="O74" s="4">
        <v>3.8018637874999999</v>
      </c>
      <c r="P74" s="4" t="s">
        <v>747</v>
      </c>
      <c r="Q74" s="4" t="s">
        <v>746</v>
      </c>
      <c r="R74" s="4" t="s">
        <v>720</v>
      </c>
      <c r="S74" s="2">
        <v>46174.435399305657</v>
      </c>
      <c r="T74" s="5">
        <v>2.0254629629629629E-5</v>
      </c>
      <c r="U74" s="4">
        <v>4.5306063257157803E-3</v>
      </c>
      <c r="V74" s="4" t="s">
        <v>724</v>
      </c>
      <c r="W74" s="4" t="s">
        <v>645</v>
      </c>
      <c r="X74" s="6" t="s">
        <v>617</v>
      </c>
    </row>
    <row r="75" spans="1:24">
      <c r="A75" s="4" t="s">
        <v>714</v>
      </c>
      <c r="B75" s="4" t="s">
        <v>715</v>
      </c>
      <c r="D75" s="4" t="s">
        <v>716</v>
      </c>
      <c r="E75" s="4" t="s">
        <v>717</v>
      </c>
      <c r="M75" s="4" t="s">
        <v>645</v>
      </c>
      <c r="N75" s="4">
        <v>-71.530242950000002</v>
      </c>
      <c r="O75" s="4">
        <v>3.8016012899999998</v>
      </c>
      <c r="P75" s="4" t="s">
        <v>747</v>
      </c>
      <c r="Q75" s="4" t="s">
        <v>746</v>
      </c>
      <c r="R75" s="4" t="s">
        <v>720</v>
      </c>
      <c r="S75" s="2">
        <v>46174.435752314814</v>
      </c>
      <c r="T75" s="5">
        <v>4.9189814814814815E-5</v>
      </c>
      <c r="U75" s="4">
        <v>9.4486996531486511E-3</v>
      </c>
      <c r="V75" s="4" t="s">
        <v>731</v>
      </c>
      <c r="W75" s="4" t="s">
        <v>645</v>
      </c>
      <c r="X75" s="6" t="s">
        <v>617</v>
      </c>
    </row>
    <row r="76" spans="1:24">
      <c r="A76" s="4" t="s">
        <v>714</v>
      </c>
      <c r="B76" s="4" t="s">
        <v>715</v>
      </c>
      <c r="D76" s="4" t="s">
        <v>716</v>
      </c>
      <c r="E76" s="4" t="s">
        <v>717</v>
      </c>
      <c r="M76" s="4" t="s">
        <v>645</v>
      </c>
      <c r="N76" s="4">
        <v>-71.530417100000008</v>
      </c>
      <c r="O76" s="4">
        <v>3.8014927333333333</v>
      </c>
      <c r="P76" s="4" t="s">
        <v>748</v>
      </c>
      <c r="Q76" s="4" t="s">
        <v>746</v>
      </c>
      <c r="R76" s="4" t="s">
        <v>720</v>
      </c>
      <c r="S76" s="2">
        <v>46174.435873842696</v>
      </c>
      <c r="T76" s="5">
        <v>2.1215277777777779E-5</v>
      </c>
      <c r="U76" s="4">
        <v>4.9832682125270367E-3</v>
      </c>
      <c r="V76" s="4" t="s">
        <v>724</v>
      </c>
      <c r="W76" s="4" t="s">
        <v>645</v>
      </c>
      <c r="X76" s="6" t="s">
        <v>617</v>
      </c>
    </row>
    <row r="77" spans="1:24">
      <c r="A77" s="4" t="s">
        <v>714</v>
      </c>
      <c r="B77" s="4" t="s">
        <v>715</v>
      </c>
      <c r="D77" s="4" t="s">
        <v>716</v>
      </c>
      <c r="E77" s="4" t="s">
        <v>717</v>
      </c>
      <c r="M77" s="4" t="s">
        <v>645</v>
      </c>
      <c r="N77" s="4">
        <v>-71.5305252</v>
      </c>
      <c r="O77" s="4">
        <v>3.8012943300000002</v>
      </c>
      <c r="P77" s="4" t="s">
        <v>748</v>
      </c>
      <c r="Q77" s="4" t="s">
        <v>746</v>
      </c>
      <c r="R77" s="4" t="s">
        <v>720</v>
      </c>
      <c r="S77" s="2">
        <v>46174.435995370368</v>
      </c>
      <c r="T77" s="5">
        <v>3.0092592592592595E-4</v>
      </c>
      <c r="U77" s="4">
        <v>7.5384125113487244E-2</v>
      </c>
      <c r="V77" s="4" t="s">
        <v>724</v>
      </c>
      <c r="W77" s="4" t="s">
        <v>645</v>
      </c>
      <c r="X77" s="6" t="s">
        <v>617</v>
      </c>
    </row>
    <row r="78" spans="1:24">
      <c r="A78" s="4" t="s">
        <v>714</v>
      </c>
      <c r="B78" s="4" t="s">
        <v>715</v>
      </c>
      <c r="D78" s="4" t="s">
        <v>716</v>
      </c>
      <c r="E78" s="4" t="s">
        <v>717</v>
      </c>
      <c r="M78" s="4" t="s">
        <v>614</v>
      </c>
      <c r="N78" s="4">
        <v>-71.530372600000007</v>
      </c>
      <c r="O78" s="4">
        <v>3.8002531500000001</v>
      </c>
      <c r="P78" s="4" t="s">
        <v>748</v>
      </c>
      <c r="Q78" s="4" t="s">
        <v>746</v>
      </c>
      <c r="R78" s="4" t="s">
        <v>720</v>
      </c>
      <c r="S78" s="2">
        <v>46174.436863425923</v>
      </c>
      <c r="T78" s="5">
        <v>3.2094907407407405E-2</v>
      </c>
      <c r="U78" s="4">
        <v>0</v>
      </c>
      <c r="V78" s="4" t="s">
        <v>616</v>
      </c>
      <c r="W78" s="4" t="s">
        <v>614</v>
      </c>
      <c r="X78" s="6" t="s">
        <v>617</v>
      </c>
    </row>
    <row r="79" spans="1:24">
      <c r="A79" s="4" t="s">
        <v>714</v>
      </c>
      <c r="B79" s="4" t="s">
        <v>715</v>
      </c>
      <c r="D79" s="4" t="s">
        <v>716</v>
      </c>
      <c r="E79" s="4" t="s">
        <v>717</v>
      </c>
      <c r="M79" s="4" t="s">
        <v>645</v>
      </c>
      <c r="N79" s="4">
        <v>-71.530612210000001</v>
      </c>
      <c r="O79" s="4">
        <v>3.800660846</v>
      </c>
      <c r="P79" s="4" t="s">
        <v>748</v>
      </c>
      <c r="Q79" s="4" t="s">
        <v>746</v>
      </c>
      <c r="R79" s="4" t="s">
        <v>720</v>
      </c>
      <c r="S79" s="2">
        <v>46174.469797453807</v>
      </c>
      <c r="T79" s="5">
        <v>3.1002314814814814E-4</v>
      </c>
      <c r="U79" s="4">
        <v>8.8347762823104858E-2</v>
      </c>
      <c r="V79" s="4" t="s">
        <v>731</v>
      </c>
      <c r="W79" s="4" t="s">
        <v>645</v>
      </c>
      <c r="X79" s="6" t="s">
        <v>617</v>
      </c>
    </row>
    <row r="80" spans="1:24">
      <c r="A80" s="4" t="s">
        <v>714</v>
      </c>
      <c r="B80" s="4" t="s">
        <v>715</v>
      </c>
      <c r="D80" s="4" t="s">
        <v>716</v>
      </c>
      <c r="E80" s="4" t="s">
        <v>717</v>
      </c>
      <c r="M80" s="4" t="s">
        <v>645</v>
      </c>
      <c r="N80" s="4">
        <v>-71.530301433333335</v>
      </c>
      <c r="O80" s="4">
        <v>3.8015307566666667</v>
      </c>
      <c r="P80" s="4" t="s">
        <v>748</v>
      </c>
      <c r="Q80" s="4" t="s">
        <v>746</v>
      </c>
      <c r="R80" s="4" t="s">
        <v>720</v>
      </c>
      <c r="S80" s="2">
        <v>46174.470196759263</v>
      </c>
      <c r="T80" s="5">
        <v>6.9444444444444444E-5</v>
      </c>
      <c r="U80" s="4">
        <v>1.7473626881837845E-2</v>
      </c>
      <c r="V80" s="4" t="s">
        <v>728</v>
      </c>
      <c r="W80" s="4" t="s">
        <v>645</v>
      </c>
      <c r="X80" s="6" t="s">
        <v>617</v>
      </c>
    </row>
    <row r="81" spans="1:24">
      <c r="A81" s="4" t="s">
        <v>714</v>
      </c>
      <c r="B81" s="4" t="s">
        <v>715</v>
      </c>
      <c r="D81" s="4" t="s">
        <v>716</v>
      </c>
      <c r="E81" s="4" t="s">
        <v>717</v>
      </c>
      <c r="M81" s="4" t="s">
        <v>645</v>
      </c>
      <c r="N81" s="4">
        <v>-71.530212399999996</v>
      </c>
      <c r="O81" s="4">
        <v>3.8021495299999999</v>
      </c>
      <c r="P81" s="4" t="s">
        <v>747</v>
      </c>
      <c r="Q81" s="4" t="s">
        <v>746</v>
      </c>
      <c r="R81" s="4" t="s">
        <v>720</v>
      </c>
      <c r="S81" s="2">
        <v>46174.47284722222</v>
      </c>
      <c r="T81" s="5">
        <v>3.2118055555555556E-4</v>
      </c>
      <c r="U81" s="4">
        <v>8.322848379611969E-2</v>
      </c>
      <c r="V81" s="4" t="s">
        <v>731</v>
      </c>
      <c r="W81" s="4" t="s">
        <v>645</v>
      </c>
      <c r="X81" s="6" t="s">
        <v>617</v>
      </c>
    </row>
    <row r="82" spans="1:24">
      <c r="A82" s="4" t="s">
        <v>714</v>
      </c>
      <c r="B82" s="4" t="s">
        <v>715</v>
      </c>
      <c r="D82" s="4" t="s">
        <v>716</v>
      </c>
      <c r="E82" s="4" t="s">
        <v>717</v>
      </c>
      <c r="M82" s="4" t="s">
        <v>645</v>
      </c>
      <c r="N82" s="4">
        <v>-71.530741366666675</v>
      </c>
      <c r="O82" s="4">
        <v>3.8027804700000001</v>
      </c>
      <c r="P82" s="4" t="s">
        <v>747</v>
      </c>
      <c r="Q82" s="4" t="s">
        <v>746</v>
      </c>
      <c r="R82" s="4" t="s">
        <v>720</v>
      </c>
      <c r="S82" s="2">
        <v>46174.473229166666</v>
      </c>
      <c r="T82" s="5">
        <v>3.9351851851851852E-4</v>
      </c>
      <c r="U82" s="4">
        <v>9.5633745193481445E-2</v>
      </c>
      <c r="V82" s="4" t="s">
        <v>728</v>
      </c>
      <c r="W82" s="4" t="s">
        <v>645</v>
      </c>
      <c r="X82" s="6" t="s">
        <v>617</v>
      </c>
    </row>
    <row r="83" spans="1:24">
      <c r="A83" s="4" t="s">
        <v>714</v>
      </c>
      <c r="B83" s="4" t="s">
        <v>715</v>
      </c>
      <c r="D83" s="4" t="s">
        <v>716</v>
      </c>
      <c r="E83" s="4" t="s">
        <v>717</v>
      </c>
      <c r="M83" s="4" t="s">
        <v>645</v>
      </c>
      <c r="N83" s="4">
        <v>-71.531738300000001</v>
      </c>
      <c r="O83" s="4">
        <v>3.8030919999999999</v>
      </c>
      <c r="P83" s="4" t="s">
        <v>747</v>
      </c>
      <c r="Q83" s="4" t="s">
        <v>746</v>
      </c>
      <c r="R83" s="4" t="s">
        <v>720</v>
      </c>
      <c r="S83" s="2">
        <v>46174.473865740743</v>
      </c>
      <c r="T83" s="5">
        <v>6.4814814814814813E-4</v>
      </c>
      <c r="U83" s="4">
        <v>0.17257057130336761</v>
      </c>
      <c r="V83" s="4" t="s">
        <v>728</v>
      </c>
      <c r="W83" s="4" t="s">
        <v>645</v>
      </c>
      <c r="X83" s="6" t="s">
        <v>617</v>
      </c>
    </row>
    <row r="84" spans="1:24">
      <c r="A84" s="4" t="s">
        <v>714</v>
      </c>
      <c r="B84" s="4" t="s">
        <v>715</v>
      </c>
      <c r="D84" s="4" t="s">
        <v>716</v>
      </c>
      <c r="E84" s="4" t="s">
        <v>717</v>
      </c>
      <c r="M84" s="4" t="s">
        <v>645</v>
      </c>
      <c r="N84" s="4">
        <v>-71.534010320000007</v>
      </c>
      <c r="O84" s="4">
        <v>3.804770376</v>
      </c>
      <c r="P84" s="4" t="s">
        <v>749</v>
      </c>
      <c r="Q84" s="4" t="s">
        <v>746</v>
      </c>
      <c r="R84" s="4" t="s">
        <v>720</v>
      </c>
      <c r="S84" s="2">
        <v>46174.475465277777</v>
      </c>
      <c r="T84" s="5">
        <v>1.3448148148148147E-3</v>
      </c>
      <c r="U84" s="4">
        <v>0.37788048386573792</v>
      </c>
      <c r="V84" s="4" t="s">
        <v>666</v>
      </c>
      <c r="W84" s="4" t="s">
        <v>645</v>
      </c>
      <c r="X84" s="6" t="s">
        <v>617</v>
      </c>
    </row>
    <row r="85" spans="1:24">
      <c r="A85" s="4" t="s">
        <v>714</v>
      </c>
      <c r="B85" s="4" t="s">
        <v>715</v>
      </c>
      <c r="D85" s="4" t="s">
        <v>716</v>
      </c>
      <c r="E85" s="4" t="s">
        <v>717</v>
      </c>
      <c r="M85" s="4" t="s">
        <v>645</v>
      </c>
      <c r="N85" s="4">
        <v>-71.535125700000009</v>
      </c>
      <c r="O85" s="4">
        <v>3.8026805380000002</v>
      </c>
      <c r="P85" s="4" t="s">
        <v>745</v>
      </c>
      <c r="Q85" s="4" t="s">
        <v>746</v>
      </c>
      <c r="R85" s="4" t="s">
        <v>720</v>
      </c>
      <c r="S85" s="2">
        <v>46174.490335648145</v>
      </c>
      <c r="T85" s="5">
        <v>5.2083333333333333E-4</v>
      </c>
      <c r="U85" s="4">
        <v>0.13499197363853455</v>
      </c>
      <c r="V85" s="4" t="s">
        <v>728</v>
      </c>
      <c r="W85" s="4" t="s">
        <v>645</v>
      </c>
      <c r="X85" s="6" t="s">
        <v>617</v>
      </c>
    </row>
    <row r="86" spans="1:24">
      <c r="A86" s="4" t="s">
        <v>714</v>
      </c>
      <c r="B86" s="4" t="s">
        <v>715</v>
      </c>
      <c r="D86" s="4" t="s">
        <v>716</v>
      </c>
      <c r="E86" s="4" t="s">
        <v>717</v>
      </c>
      <c r="M86" s="4" t="s">
        <v>645</v>
      </c>
      <c r="N86" s="4">
        <v>-71.534999874999997</v>
      </c>
      <c r="O86" s="4">
        <v>3.804267045</v>
      </c>
      <c r="P86" s="4" t="s">
        <v>749</v>
      </c>
      <c r="Q86" s="4" t="s">
        <v>746</v>
      </c>
      <c r="R86" s="4" t="s">
        <v>720</v>
      </c>
      <c r="S86" s="2">
        <v>46174.49113425926</v>
      </c>
      <c r="T86" s="5">
        <v>2.6041676666666664E-4</v>
      </c>
      <c r="U86" s="4">
        <v>7.1353599429130554E-2</v>
      </c>
      <c r="V86" s="4" t="s">
        <v>728</v>
      </c>
      <c r="W86" s="4" t="s">
        <v>645</v>
      </c>
      <c r="X86" s="6" t="s">
        <v>617</v>
      </c>
    </row>
    <row r="87" spans="1:24">
      <c r="A87" s="4" t="s">
        <v>714</v>
      </c>
      <c r="B87" s="4" t="s">
        <v>715</v>
      </c>
      <c r="D87" s="4" t="s">
        <v>716</v>
      </c>
      <c r="E87" s="4" t="s">
        <v>717</v>
      </c>
      <c r="M87" s="4" t="s">
        <v>645</v>
      </c>
      <c r="N87" s="4">
        <v>-71.534405991100002</v>
      </c>
      <c r="O87" s="4">
        <v>3.8049690766712501</v>
      </c>
      <c r="P87" s="4" t="s">
        <v>749</v>
      </c>
      <c r="Q87" s="4" t="s">
        <v>746</v>
      </c>
      <c r="R87" s="4" t="s">
        <v>720</v>
      </c>
      <c r="S87" s="2">
        <v>46174.491535497684</v>
      </c>
      <c r="T87" s="5">
        <v>3.2214120370370372E-4</v>
      </c>
      <c r="U87" s="4">
        <v>9.4795040786266327E-2</v>
      </c>
      <c r="V87" s="4" t="s">
        <v>666</v>
      </c>
      <c r="W87" s="4" t="s">
        <v>645</v>
      </c>
      <c r="X87" s="6" t="s">
        <v>617</v>
      </c>
    </row>
    <row r="88" spans="1:24">
      <c r="A88" s="4" t="s">
        <v>714</v>
      </c>
      <c r="B88" s="4" t="s">
        <v>715</v>
      </c>
      <c r="D88" s="4" t="s">
        <v>716</v>
      </c>
      <c r="E88" s="4" t="s">
        <v>717</v>
      </c>
      <c r="M88" s="4" t="s">
        <v>645</v>
      </c>
      <c r="N88" s="4">
        <v>-71.533769624999991</v>
      </c>
      <c r="O88" s="4">
        <v>3.8044148050000004</v>
      </c>
      <c r="P88" s="4" t="s">
        <v>745</v>
      </c>
      <c r="Q88" s="4" t="s">
        <v>746</v>
      </c>
      <c r="R88" s="4" t="s">
        <v>720</v>
      </c>
      <c r="S88" s="2">
        <v>46174.491901041663</v>
      </c>
      <c r="T88" s="5">
        <v>1.9386574074074073E-4</v>
      </c>
      <c r="U88" s="4">
        <v>4.8936162143945694E-2</v>
      </c>
      <c r="V88" s="4" t="s">
        <v>724</v>
      </c>
      <c r="W88" s="4" t="s">
        <v>645</v>
      </c>
      <c r="X88" s="6" t="s">
        <v>617</v>
      </c>
    </row>
    <row r="89" spans="1:24">
      <c r="A89" s="4" t="s">
        <v>714</v>
      </c>
      <c r="B89" s="4" t="s">
        <v>715</v>
      </c>
      <c r="D89" s="4" t="s">
        <v>716</v>
      </c>
      <c r="E89" s="4" t="s">
        <v>717</v>
      </c>
      <c r="M89" s="4" t="s">
        <v>645</v>
      </c>
      <c r="N89" s="4">
        <v>-71.533470199999996</v>
      </c>
      <c r="O89" s="4">
        <v>3.8040935999999999</v>
      </c>
      <c r="P89" s="4" t="s">
        <v>749</v>
      </c>
      <c r="Q89" s="4" t="s">
        <v>746</v>
      </c>
      <c r="R89" s="4" t="s">
        <v>720</v>
      </c>
      <c r="S89" s="2">
        <v>46174.492094907408</v>
      </c>
      <c r="T89" s="5">
        <v>1.1243055555555556E-4</v>
      </c>
      <c r="U89" s="4">
        <v>2.6549603790044785E-2</v>
      </c>
      <c r="V89" s="4" t="s">
        <v>724</v>
      </c>
      <c r="W89" s="4" t="s">
        <v>645</v>
      </c>
      <c r="X89" s="6" t="s">
        <v>617</v>
      </c>
    </row>
    <row r="90" spans="1:24">
      <c r="A90" s="4" t="s">
        <v>714</v>
      </c>
      <c r="B90" s="4" t="s">
        <v>715</v>
      </c>
      <c r="D90" s="4" t="s">
        <v>716</v>
      </c>
      <c r="E90" s="4" t="s">
        <v>717</v>
      </c>
      <c r="M90" s="4" t="s">
        <v>645</v>
      </c>
      <c r="N90" s="4">
        <v>-71.533036839999994</v>
      </c>
      <c r="O90" s="4">
        <v>3.8042623519999998</v>
      </c>
      <c r="P90" s="4" t="s">
        <v>745</v>
      </c>
      <c r="Q90" s="4" t="s">
        <v>746</v>
      </c>
      <c r="R90" s="4" t="s">
        <v>720</v>
      </c>
      <c r="S90" s="2">
        <v>46174.49253703704</v>
      </c>
      <c r="T90" s="5">
        <v>1.4814814814814815E-4</v>
      </c>
      <c r="U90" s="4">
        <v>3.3927489072084427E-2</v>
      </c>
      <c r="V90" s="4" t="s">
        <v>728</v>
      </c>
      <c r="W90" s="4" t="s">
        <v>645</v>
      </c>
      <c r="X90" s="6" t="s">
        <v>617</v>
      </c>
    </row>
    <row r="91" spans="1:24">
      <c r="A91" s="4" t="s">
        <v>714</v>
      </c>
      <c r="B91" s="4" t="s">
        <v>715</v>
      </c>
      <c r="D91" s="4" t="s">
        <v>716</v>
      </c>
      <c r="E91" s="4" t="s">
        <v>717</v>
      </c>
      <c r="M91" s="4" t="s">
        <v>645</v>
      </c>
      <c r="N91" s="4">
        <v>-71.532546999999994</v>
      </c>
      <c r="O91" s="4">
        <v>3.8042600200000001</v>
      </c>
      <c r="P91" s="4" t="s">
        <v>747</v>
      </c>
      <c r="Q91" s="4" t="s">
        <v>746</v>
      </c>
      <c r="R91" s="4" t="s">
        <v>720</v>
      </c>
      <c r="S91" s="2">
        <v>46174.492847222224</v>
      </c>
      <c r="T91" s="5">
        <v>1.1053241740740741E-3</v>
      </c>
      <c r="U91" s="4">
        <v>0.28936365246772766</v>
      </c>
      <c r="V91" s="4" t="s">
        <v>728</v>
      </c>
      <c r="W91" s="4" t="s">
        <v>645</v>
      </c>
      <c r="X91" s="6" t="s">
        <v>617</v>
      </c>
    </row>
    <row r="92" spans="1:24">
      <c r="A92" s="4" t="s">
        <v>714</v>
      </c>
      <c r="B92" s="4" t="s">
        <v>715</v>
      </c>
      <c r="D92" s="4" t="s">
        <v>716</v>
      </c>
      <c r="E92" s="4" t="s">
        <v>717</v>
      </c>
      <c r="M92" s="4" t="s">
        <v>645</v>
      </c>
      <c r="N92" s="4">
        <v>-71.530578600000013</v>
      </c>
      <c r="O92" s="4">
        <v>3.8026245850000002</v>
      </c>
      <c r="P92" s="4" t="s">
        <v>747</v>
      </c>
      <c r="Q92" s="4" t="s">
        <v>746</v>
      </c>
      <c r="R92" s="4" t="s">
        <v>720</v>
      </c>
      <c r="S92" s="2">
        <v>46174.494137731584</v>
      </c>
      <c r="T92" s="5">
        <v>3.6458343333333333E-4</v>
      </c>
      <c r="U92" s="4">
        <v>8.8210344314575195E-2</v>
      </c>
      <c r="V92" s="4" t="s">
        <v>724</v>
      </c>
      <c r="W92" s="4" t="s">
        <v>645</v>
      </c>
      <c r="X92" s="6" t="s">
        <v>617</v>
      </c>
    </row>
    <row r="93" spans="1:24">
      <c r="A93" s="4" t="s">
        <v>714</v>
      </c>
      <c r="B93" s="4" t="s">
        <v>715</v>
      </c>
      <c r="D93" s="4" t="s">
        <v>716</v>
      </c>
      <c r="E93" s="4" t="s">
        <v>717</v>
      </c>
      <c r="M93" s="4" t="s">
        <v>645</v>
      </c>
      <c r="N93" s="4">
        <v>-71.530221949999998</v>
      </c>
      <c r="O93" s="4">
        <v>3.8021777874999998</v>
      </c>
      <c r="P93" s="4" t="s">
        <v>747</v>
      </c>
      <c r="Q93" s="4" t="s">
        <v>746</v>
      </c>
      <c r="R93" s="4" t="s">
        <v>720</v>
      </c>
      <c r="S93" s="2">
        <v>46174.498297696759</v>
      </c>
      <c r="T93" s="5">
        <v>7.2118055555555561E-5</v>
      </c>
      <c r="U93" s="4">
        <v>1.529239397495985E-2</v>
      </c>
      <c r="V93" s="4" t="s">
        <v>724</v>
      </c>
      <c r="W93" s="4" t="s">
        <v>645</v>
      </c>
      <c r="X93" s="6" t="s">
        <v>617</v>
      </c>
    </row>
    <row r="94" spans="1:24">
      <c r="A94" s="4" t="s">
        <v>714</v>
      </c>
      <c r="B94" s="4" t="s">
        <v>715</v>
      </c>
      <c r="D94" s="4" t="s">
        <v>716</v>
      </c>
      <c r="E94" s="4" t="s">
        <v>717</v>
      </c>
      <c r="M94" s="4" t="s">
        <v>645</v>
      </c>
      <c r="N94" s="4">
        <v>-71.530513799999994</v>
      </c>
      <c r="O94" s="4">
        <v>3.8026196949999997</v>
      </c>
      <c r="P94" s="4" t="s">
        <v>747</v>
      </c>
      <c r="Q94" s="4" t="s">
        <v>746</v>
      </c>
      <c r="R94" s="4" t="s">
        <v>720</v>
      </c>
      <c r="S94" s="2">
        <v>46174.498559027881</v>
      </c>
      <c r="T94" s="5">
        <v>6.9444444444444444E-5</v>
      </c>
      <c r="U94" s="4">
        <v>1.7692528665065765E-2</v>
      </c>
      <c r="V94" s="4" t="s">
        <v>728</v>
      </c>
      <c r="W94" s="4" t="s">
        <v>645</v>
      </c>
      <c r="X94" s="6" t="s">
        <v>617</v>
      </c>
    </row>
    <row r="95" spans="1:24">
      <c r="A95" s="4" t="s">
        <v>714</v>
      </c>
      <c r="B95" s="4" t="s">
        <v>715</v>
      </c>
      <c r="D95" s="4" t="s">
        <v>716</v>
      </c>
      <c r="E95" s="4" t="s">
        <v>717</v>
      </c>
      <c r="M95" s="4" t="s">
        <v>645</v>
      </c>
      <c r="N95" s="4">
        <v>-71.530698133333331</v>
      </c>
      <c r="O95" s="4">
        <v>3.8027955733333334</v>
      </c>
      <c r="P95" s="4" t="s">
        <v>747</v>
      </c>
      <c r="Q95" s="4" t="s">
        <v>746</v>
      </c>
      <c r="R95" s="4" t="s">
        <v>720</v>
      </c>
      <c r="S95" s="2">
        <v>46174.498692129629</v>
      </c>
      <c r="T95" s="5">
        <v>1E-3</v>
      </c>
      <c r="U95" s="4">
        <v>0.38972482085227966</v>
      </c>
      <c r="V95" s="4" t="s">
        <v>750</v>
      </c>
      <c r="W95" s="4" t="s">
        <v>645</v>
      </c>
      <c r="X95" s="6" t="s">
        <v>617</v>
      </c>
    </row>
    <row r="96" spans="1:24">
      <c r="A96" s="4" t="s">
        <v>714</v>
      </c>
      <c r="B96" s="4" t="s">
        <v>715</v>
      </c>
      <c r="D96" s="4" t="s">
        <v>716</v>
      </c>
      <c r="E96" s="4" t="s">
        <v>717</v>
      </c>
      <c r="M96" s="4" t="s">
        <v>645</v>
      </c>
      <c r="N96" s="4">
        <v>-71.533139491392305</v>
      </c>
      <c r="O96" s="4">
        <v>3.8041168050876926</v>
      </c>
      <c r="P96" s="4" t="s">
        <v>745</v>
      </c>
      <c r="Q96" s="4" t="s">
        <v>746</v>
      </c>
      <c r="R96" s="4" t="s">
        <v>720</v>
      </c>
      <c r="S96" s="2">
        <v>46174.499807094908</v>
      </c>
      <c r="T96" s="5">
        <v>1.4660879629629629E-4</v>
      </c>
      <c r="U96" s="4">
        <v>3.9317920804023743E-2</v>
      </c>
      <c r="V96" s="4" t="s">
        <v>666</v>
      </c>
      <c r="W96" s="4" t="s">
        <v>645</v>
      </c>
      <c r="X96" s="6" t="s">
        <v>617</v>
      </c>
    </row>
    <row r="97" spans="1:24">
      <c r="A97" s="4" t="s">
        <v>714</v>
      </c>
      <c r="B97" s="4" t="s">
        <v>715</v>
      </c>
      <c r="D97" s="4" t="s">
        <v>716</v>
      </c>
      <c r="E97" s="4" t="s">
        <v>717</v>
      </c>
      <c r="M97" s="4" t="s">
        <v>645</v>
      </c>
      <c r="N97" s="4">
        <v>-71.533485400000004</v>
      </c>
      <c r="O97" s="4">
        <v>3.8041029000000002</v>
      </c>
      <c r="P97" s="4" t="s">
        <v>749</v>
      </c>
      <c r="Q97" s="4" t="s">
        <v>746</v>
      </c>
      <c r="R97" s="4" t="s">
        <v>720</v>
      </c>
      <c r="S97" s="2">
        <v>46174.4999537037</v>
      </c>
      <c r="T97" s="5">
        <v>1.1633680555555555E-3</v>
      </c>
      <c r="U97" s="4">
        <v>0.47662156820297241</v>
      </c>
      <c r="V97" s="4" t="s">
        <v>751</v>
      </c>
      <c r="W97" s="4" t="s">
        <v>645</v>
      </c>
      <c r="X97" s="6" t="s">
        <v>617</v>
      </c>
    </row>
    <row r="98" spans="1:24">
      <c r="A98" s="4" t="s">
        <v>714</v>
      </c>
      <c r="B98" s="4" t="s">
        <v>715</v>
      </c>
      <c r="D98" s="4" t="s">
        <v>716</v>
      </c>
      <c r="E98" s="4" t="s">
        <v>717</v>
      </c>
      <c r="M98" s="4" t="s">
        <v>645</v>
      </c>
      <c r="N98" s="4">
        <v>-71.534774776502132</v>
      </c>
      <c r="O98" s="4">
        <v>3.802996167746918</v>
      </c>
      <c r="P98" s="4" t="s">
        <v>745</v>
      </c>
      <c r="Q98" s="4" t="s">
        <v>746</v>
      </c>
      <c r="R98" s="4" t="s">
        <v>720</v>
      </c>
      <c r="S98" s="2">
        <v>46174.51914246528</v>
      </c>
      <c r="T98" s="5">
        <v>1.3706481481481482E-3</v>
      </c>
      <c r="U98" s="4">
        <v>0.42304325103759766</v>
      </c>
      <c r="V98" s="4" t="s">
        <v>752</v>
      </c>
      <c r="W98" s="4" t="s">
        <v>645</v>
      </c>
      <c r="X98" s="6" t="s">
        <v>617</v>
      </c>
    </row>
    <row r="99" spans="1:24">
      <c r="A99" s="4" t="s">
        <v>714</v>
      </c>
      <c r="B99" s="4" t="s">
        <v>715</v>
      </c>
      <c r="D99" s="4" t="s">
        <v>716</v>
      </c>
      <c r="E99" s="4" t="s">
        <v>717</v>
      </c>
      <c r="M99" s="4" t="s">
        <v>645</v>
      </c>
      <c r="N99" s="4">
        <v>-71.533065800000003</v>
      </c>
      <c r="O99" s="4">
        <v>3.80413961</v>
      </c>
      <c r="P99" s="4" t="s">
        <v>745</v>
      </c>
      <c r="Q99" s="4" t="s">
        <v>746</v>
      </c>
      <c r="R99" s="4" t="s">
        <v>720</v>
      </c>
      <c r="S99" s="2">
        <v>46174.52065972222</v>
      </c>
      <c r="T99" s="5">
        <v>1.1458333333333333E-3</v>
      </c>
      <c r="U99" s="4">
        <v>0.3373546302318573</v>
      </c>
      <c r="V99" s="4" t="s">
        <v>666</v>
      </c>
      <c r="W99" s="4" t="s">
        <v>645</v>
      </c>
      <c r="X99" s="6" t="s">
        <v>617</v>
      </c>
    </row>
    <row r="100" spans="1:24">
      <c r="A100" s="4" t="s">
        <v>714</v>
      </c>
      <c r="B100" s="4" t="s">
        <v>715</v>
      </c>
      <c r="D100" s="4" t="s">
        <v>716</v>
      </c>
      <c r="E100" s="4" t="s">
        <v>717</v>
      </c>
      <c r="M100" s="4" t="s">
        <v>645</v>
      </c>
      <c r="N100" s="4">
        <v>-71.531196600000001</v>
      </c>
      <c r="O100" s="4">
        <v>3.8025143099999998</v>
      </c>
      <c r="P100" s="4" t="s">
        <v>748</v>
      </c>
      <c r="Q100" s="4" t="s">
        <v>746</v>
      </c>
      <c r="R100" s="4" t="s">
        <v>720</v>
      </c>
      <c r="S100" s="2">
        <v>46174.521805555552</v>
      </c>
      <c r="T100" s="5">
        <v>3.5879629629629629E-4</v>
      </c>
      <c r="U100" s="4">
        <v>8.8975057005882263E-2</v>
      </c>
      <c r="V100" s="4" t="s">
        <v>728</v>
      </c>
      <c r="W100" s="4" t="s">
        <v>645</v>
      </c>
      <c r="X100" s="6" t="s">
        <v>617</v>
      </c>
    </row>
    <row r="101" spans="1:24">
      <c r="A101" s="4" t="s">
        <v>714</v>
      </c>
      <c r="B101" s="4" t="s">
        <v>715</v>
      </c>
      <c r="D101" s="4" t="s">
        <v>716</v>
      </c>
      <c r="E101" s="4" t="s">
        <v>717</v>
      </c>
      <c r="M101" s="4" t="s">
        <v>645</v>
      </c>
      <c r="N101" s="4">
        <v>-71.530563400000005</v>
      </c>
      <c r="O101" s="4">
        <v>3.8026335200000001</v>
      </c>
      <c r="P101" s="4" t="s">
        <v>747</v>
      </c>
      <c r="Q101" s="4" t="s">
        <v>746</v>
      </c>
      <c r="R101" s="4" t="s">
        <v>720</v>
      </c>
      <c r="S101" s="2">
        <v>46174.522164351853</v>
      </c>
      <c r="T101" s="5">
        <v>3.5300935925925922E-4</v>
      </c>
      <c r="U101" s="4">
        <v>8.7675504386425018E-2</v>
      </c>
      <c r="V101" s="4" t="s">
        <v>724</v>
      </c>
      <c r="W101" s="4" t="s">
        <v>645</v>
      </c>
      <c r="X101" s="6" t="s">
        <v>617</v>
      </c>
    </row>
    <row r="102" spans="1:24">
      <c r="A102" s="4" t="s">
        <v>714</v>
      </c>
      <c r="B102" s="4" t="s">
        <v>715</v>
      </c>
      <c r="D102" s="4" t="s">
        <v>716</v>
      </c>
      <c r="E102" s="4" t="s">
        <v>717</v>
      </c>
      <c r="M102" s="4" t="s">
        <v>645</v>
      </c>
      <c r="N102" s="4">
        <v>-71.530621320000009</v>
      </c>
      <c r="O102" s="4">
        <v>3.80398054</v>
      </c>
      <c r="P102" s="4" t="s">
        <v>747</v>
      </c>
      <c r="Q102" s="4" t="s">
        <v>746</v>
      </c>
      <c r="R102" s="4" t="s">
        <v>720</v>
      </c>
      <c r="S102" s="2">
        <v>46174.547092592591</v>
      </c>
      <c r="T102" s="5">
        <v>7.5462962962962962E-4</v>
      </c>
      <c r="U102" s="4">
        <v>0.20581527054309845</v>
      </c>
      <c r="V102" s="4" t="s">
        <v>731</v>
      </c>
      <c r="W102" s="4" t="s">
        <v>645</v>
      </c>
      <c r="X102" s="6" t="s">
        <v>617</v>
      </c>
    </row>
    <row r="103" spans="1:24">
      <c r="A103" s="4" t="s">
        <v>714</v>
      </c>
      <c r="B103" s="4" t="s">
        <v>715</v>
      </c>
      <c r="D103" s="4" t="s">
        <v>716</v>
      </c>
      <c r="E103" s="4" t="s">
        <v>717</v>
      </c>
      <c r="M103" s="4" t="s">
        <v>645</v>
      </c>
      <c r="N103" s="4">
        <v>-71.531822200000008</v>
      </c>
      <c r="O103" s="4">
        <v>3.8055980200000001</v>
      </c>
      <c r="P103" s="4" t="s">
        <v>747</v>
      </c>
      <c r="Q103" s="4" t="s">
        <v>746</v>
      </c>
      <c r="R103" s="4" t="s">
        <v>720</v>
      </c>
      <c r="S103" s="2">
        <v>46174.550150462965</v>
      </c>
      <c r="T103" s="5">
        <v>1.0416666666666667E-4</v>
      </c>
      <c r="U103" s="4">
        <v>2.7107713744044304E-2</v>
      </c>
      <c r="V103" s="4" t="s">
        <v>728</v>
      </c>
      <c r="W103" s="4" t="s">
        <v>645</v>
      </c>
      <c r="X103" s="6" t="s">
        <v>617</v>
      </c>
    </row>
    <row r="104" spans="1:24">
      <c r="A104" s="4" t="s">
        <v>714</v>
      </c>
      <c r="B104" s="4" t="s">
        <v>715</v>
      </c>
      <c r="D104" s="4" t="s">
        <v>716</v>
      </c>
      <c r="E104" s="4" t="s">
        <v>717</v>
      </c>
      <c r="M104" s="4" t="s">
        <v>645</v>
      </c>
      <c r="N104" s="4">
        <v>-71.531990100000002</v>
      </c>
      <c r="O104" s="4">
        <v>3.80577517</v>
      </c>
      <c r="P104" s="4" t="s">
        <v>749</v>
      </c>
      <c r="Q104" s="4" t="s">
        <v>746</v>
      </c>
      <c r="R104" s="4" t="s">
        <v>720</v>
      </c>
      <c r="S104" s="2">
        <v>46174.550254629627</v>
      </c>
      <c r="T104" s="5">
        <v>1.4274305555555554E-4</v>
      </c>
      <c r="U104" s="4">
        <v>3.6279886960983276E-2</v>
      </c>
      <c r="V104" s="4" t="s">
        <v>724</v>
      </c>
      <c r="W104" s="4" t="s">
        <v>645</v>
      </c>
      <c r="X104" s="6" t="s">
        <v>617</v>
      </c>
    </row>
    <row r="105" spans="1:24">
      <c r="A105" s="4" t="s">
        <v>714</v>
      </c>
      <c r="B105" s="4" t="s">
        <v>715</v>
      </c>
      <c r="D105" s="4" t="s">
        <v>716</v>
      </c>
      <c r="E105" s="4" t="s">
        <v>717</v>
      </c>
      <c r="M105" s="4" t="s">
        <v>645</v>
      </c>
      <c r="N105" s="4">
        <v>-71.533042899999998</v>
      </c>
      <c r="O105" s="4">
        <v>3.8060071500000001</v>
      </c>
      <c r="P105" s="4" t="s">
        <v>745</v>
      </c>
      <c r="Q105" s="4" t="s">
        <v>746</v>
      </c>
      <c r="R105" s="4" t="s">
        <v>720</v>
      </c>
      <c r="S105" s="2">
        <v>46174.550810185188</v>
      </c>
      <c r="T105" s="5">
        <v>4.8738425925925924E-4</v>
      </c>
      <c r="U105" s="4">
        <v>0.12689173221588135</v>
      </c>
      <c r="V105" s="4" t="s">
        <v>728</v>
      </c>
      <c r="W105" s="4" t="s">
        <v>645</v>
      </c>
      <c r="X105" s="6" t="s">
        <v>617</v>
      </c>
    </row>
    <row r="106" spans="1:24">
      <c r="A106" s="4" t="s">
        <v>714</v>
      </c>
      <c r="B106" s="4" t="s">
        <v>715</v>
      </c>
      <c r="D106" s="4" t="s">
        <v>716</v>
      </c>
      <c r="E106" s="4" t="s">
        <v>717</v>
      </c>
      <c r="M106" s="4" t="s">
        <v>645</v>
      </c>
      <c r="N106" s="4">
        <v>-71.534189494550006</v>
      </c>
      <c r="O106" s="4">
        <v>3.8052037486449999</v>
      </c>
      <c r="P106" s="4" t="s">
        <v>745</v>
      </c>
      <c r="Q106" s="4" t="s">
        <v>746</v>
      </c>
      <c r="R106" s="4" t="s">
        <v>720</v>
      </c>
      <c r="S106" s="2">
        <v>46174.551420300922</v>
      </c>
      <c r="T106" s="5">
        <v>4.9606481481481481E-5</v>
      </c>
      <c r="U106" s="4">
        <v>1.2051924131810665E-2</v>
      </c>
      <c r="V106" s="4" t="s">
        <v>666</v>
      </c>
      <c r="W106" s="4" t="s">
        <v>645</v>
      </c>
      <c r="X106" s="6" t="s">
        <v>617</v>
      </c>
    </row>
    <row r="107" spans="1:24">
      <c r="A107" s="4" t="s">
        <v>714</v>
      </c>
      <c r="B107" s="4" t="s">
        <v>715</v>
      </c>
      <c r="D107" s="4" t="s">
        <v>716</v>
      </c>
      <c r="E107" s="4" t="s">
        <v>717</v>
      </c>
      <c r="M107" s="4" t="s">
        <v>645</v>
      </c>
      <c r="N107" s="4">
        <v>-71.534255999999999</v>
      </c>
      <c r="O107" s="4">
        <v>3.8050320100000001</v>
      </c>
      <c r="P107" s="4" t="s">
        <v>745</v>
      </c>
      <c r="Q107" s="4" t="s">
        <v>746</v>
      </c>
      <c r="R107" s="4" t="s">
        <v>720</v>
      </c>
      <c r="S107" s="2">
        <v>46174.551550925928</v>
      </c>
      <c r="T107" s="5">
        <v>2.0543981481481482E-4</v>
      </c>
      <c r="U107" s="4">
        <v>5.0240051001310349E-2</v>
      </c>
      <c r="V107" s="4" t="s">
        <v>724</v>
      </c>
      <c r="W107" s="4" t="s">
        <v>645</v>
      </c>
      <c r="X107" s="6" t="s">
        <v>617</v>
      </c>
    </row>
    <row r="108" spans="1:24">
      <c r="A108" s="4" t="s">
        <v>714</v>
      </c>
      <c r="B108" s="4" t="s">
        <v>715</v>
      </c>
      <c r="D108" s="4" t="s">
        <v>716</v>
      </c>
      <c r="E108" s="4" t="s">
        <v>717</v>
      </c>
      <c r="M108" s="4" t="s">
        <v>645</v>
      </c>
      <c r="N108" s="4">
        <v>-71.5298157</v>
      </c>
      <c r="O108" s="4">
        <v>3.8016071299999998</v>
      </c>
      <c r="P108" s="4" t="s">
        <v>747</v>
      </c>
      <c r="Q108" s="4" t="s">
        <v>746</v>
      </c>
      <c r="R108" s="4" t="s">
        <v>720</v>
      </c>
      <c r="S108" s="2">
        <v>46174.645254629628</v>
      </c>
      <c r="T108" s="5">
        <v>2.0833333333333335E-4</v>
      </c>
      <c r="U108" s="4">
        <v>4.0991872549057007E-2</v>
      </c>
      <c r="V108" s="4" t="s">
        <v>728</v>
      </c>
      <c r="W108" s="4" t="s">
        <v>645</v>
      </c>
      <c r="X108" s="6" t="s">
        <v>617</v>
      </c>
    </row>
    <row r="109" spans="1:24">
      <c r="A109" s="4" t="s">
        <v>714</v>
      </c>
      <c r="B109" s="4" t="s">
        <v>715</v>
      </c>
      <c r="D109" s="4" t="s">
        <v>716</v>
      </c>
      <c r="E109" s="4" t="s">
        <v>717</v>
      </c>
      <c r="M109" s="4" t="s">
        <v>645</v>
      </c>
      <c r="N109" s="4">
        <v>-71.529853848729687</v>
      </c>
      <c r="O109" s="4">
        <v>3.8014268368047608</v>
      </c>
      <c r="P109" s="4" t="s">
        <v>748</v>
      </c>
      <c r="Q109" s="4" t="s">
        <v>746</v>
      </c>
      <c r="R109" s="4" t="s">
        <v>720</v>
      </c>
      <c r="S109" s="2">
        <v>46174.679100138892</v>
      </c>
      <c r="T109" s="5">
        <v>5.109953703703704E-5</v>
      </c>
      <c r="U109" s="4">
        <v>1.1292950250208378E-2</v>
      </c>
      <c r="V109" s="4" t="s">
        <v>724</v>
      </c>
      <c r="W109" s="4" t="s">
        <v>645</v>
      </c>
      <c r="X109" s="6" t="s">
        <v>617</v>
      </c>
    </row>
    <row r="110" spans="1:24">
      <c r="A110" s="4" t="s">
        <v>714</v>
      </c>
      <c r="B110" s="4" t="s">
        <v>715</v>
      </c>
      <c r="D110" s="4" t="s">
        <v>716</v>
      </c>
      <c r="E110" s="4" t="s">
        <v>717</v>
      </c>
      <c r="M110" s="4" t="s">
        <v>685</v>
      </c>
      <c r="N110" s="4">
        <v>-71.529969884620002</v>
      </c>
      <c r="O110" s="4">
        <v>3.801681486448</v>
      </c>
      <c r="P110" s="4" t="s">
        <v>747</v>
      </c>
      <c r="Q110" s="4" t="s">
        <v>746</v>
      </c>
      <c r="R110" s="4" t="s">
        <v>720</v>
      </c>
      <c r="S110" s="2">
        <v>46174.679304328703</v>
      </c>
      <c r="T110" s="5">
        <v>1.3541666666666667E-6</v>
      </c>
      <c r="U110" s="4">
        <v>2.088816836476326E-4</v>
      </c>
      <c r="V110" s="4" t="s">
        <v>753</v>
      </c>
      <c r="W110" s="4" t="s">
        <v>685</v>
      </c>
      <c r="X110" s="6" t="s">
        <v>617</v>
      </c>
    </row>
    <row r="111" spans="1:24">
      <c r="A111" s="4" t="s">
        <v>714</v>
      </c>
      <c r="B111" s="4" t="s">
        <v>715</v>
      </c>
      <c r="D111" s="4" t="s">
        <v>716</v>
      </c>
      <c r="E111" s="4" t="s">
        <v>717</v>
      </c>
      <c r="M111" s="4" t="s">
        <v>645</v>
      </c>
      <c r="N111" s="4">
        <v>-71.530038875000002</v>
      </c>
      <c r="O111" s="4">
        <v>3.8016732950000001</v>
      </c>
      <c r="P111" s="4" t="s">
        <v>747</v>
      </c>
      <c r="Q111" s="4" t="s">
        <v>746</v>
      </c>
      <c r="R111" s="4" t="s">
        <v>720</v>
      </c>
      <c r="S111" s="2">
        <v>46174.679359085647</v>
      </c>
      <c r="T111" s="5">
        <v>3.9062500000000001E-5</v>
      </c>
      <c r="U111" s="4">
        <v>1.0381230153143406E-2</v>
      </c>
      <c r="V111" s="4" t="s">
        <v>724</v>
      </c>
      <c r="W111" s="4" t="s">
        <v>645</v>
      </c>
      <c r="X111" s="6" t="s">
        <v>617</v>
      </c>
    </row>
    <row r="112" spans="1:24">
      <c r="A112" s="4" t="s">
        <v>714</v>
      </c>
      <c r="B112" s="4" t="s">
        <v>715</v>
      </c>
      <c r="D112" s="4" t="s">
        <v>716</v>
      </c>
      <c r="E112" s="4" t="s">
        <v>717</v>
      </c>
      <c r="M112" s="4" t="s">
        <v>645</v>
      </c>
      <c r="N112" s="4">
        <v>-71.530223825000007</v>
      </c>
      <c r="O112" s="4">
        <v>3.8015676725000001</v>
      </c>
      <c r="P112" s="4" t="s">
        <v>747</v>
      </c>
      <c r="Q112" s="4" t="s">
        <v>746</v>
      </c>
      <c r="R112" s="4" t="s">
        <v>720</v>
      </c>
      <c r="S112" s="2">
        <v>46174.679467592592</v>
      </c>
      <c r="T112" s="5">
        <v>2.1215277777777779E-5</v>
      </c>
      <c r="U112" s="4">
        <v>4.0662712417542934E-3</v>
      </c>
      <c r="V112" s="4" t="s">
        <v>724</v>
      </c>
      <c r="W112" s="4" t="s">
        <v>645</v>
      </c>
      <c r="X112" s="6" t="s">
        <v>617</v>
      </c>
    </row>
    <row r="113" spans="1:24">
      <c r="A113" s="4" t="s">
        <v>714</v>
      </c>
      <c r="B113" s="4" t="s">
        <v>715</v>
      </c>
      <c r="D113" s="4" t="s">
        <v>716</v>
      </c>
      <c r="E113" s="4" t="s">
        <v>717</v>
      </c>
      <c r="M113" s="4" t="s">
        <v>645</v>
      </c>
      <c r="N113" s="4">
        <v>-71.530473674999996</v>
      </c>
      <c r="O113" s="4">
        <v>3.8013184099999999</v>
      </c>
      <c r="P113" s="4" t="s">
        <v>748</v>
      </c>
      <c r="Q113" s="4" t="s">
        <v>746</v>
      </c>
      <c r="R113" s="4" t="s">
        <v>720</v>
      </c>
      <c r="S113" s="2">
        <v>46174.679681713067</v>
      </c>
      <c r="T113" s="5">
        <v>4.9575231481481486E-4</v>
      </c>
      <c r="U113" s="4">
        <v>0.12583039700984955</v>
      </c>
      <c r="V113" s="4" t="s">
        <v>728</v>
      </c>
      <c r="W113" s="4" t="s">
        <v>645</v>
      </c>
      <c r="X113" s="6" t="s">
        <v>617</v>
      </c>
    </row>
    <row r="114" spans="1:24">
      <c r="A114" s="4" t="s">
        <v>714</v>
      </c>
      <c r="B114" s="4" t="s">
        <v>715</v>
      </c>
      <c r="D114" s="4" t="s">
        <v>716</v>
      </c>
      <c r="E114" s="4" t="s">
        <v>717</v>
      </c>
      <c r="M114" s="4" t="s">
        <v>645</v>
      </c>
      <c r="N114" s="4">
        <v>-71.529563899999999</v>
      </c>
      <c r="O114" s="4">
        <v>3.8013696700000001</v>
      </c>
      <c r="P114" s="4" t="s">
        <v>748</v>
      </c>
      <c r="Q114" s="4" t="s">
        <v>746</v>
      </c>
      <c r="R114" s="4" t="s">
        <v>720</v>
      </c>
      <c r="S114" s="2">
        <v>46174.682245370372</v>
      </c>
      <c r="T114" s="5">
        <v>1.1574074074074075E-4</v>
      </c>
      <c r="U114" s="4">
        <v>2.8997115790843964E-2</v>
      </c>
      <c r="V114" s="4" t="s">
        <v>728</v>
      </c>
      <c r="W114" s="4" t="s">
        <v>645</v>
      </c>
      <c r="X114" s="6" t="s">
        <v>617</v>
      </c>
    </row>
    <row r="115" spans="1:24">
      <c r="A115" s="4" t="s">
        <v>714</v>
      </c>
      <c r="B115" s="4" t="s">
        <v>715</v>
      </c>
      <c r="D115" s="4" t="s">
        <v>716</v>
      </c>
      <c r="E115" s="4" t="s">
        <v>717</v>
      </c>
      <c r="M115" s="4" t="s">
        <v>614</v>
      </c>
      <c r="N115" s="4">
        <v>-71.5296783</v>
      </c>
      <c r="O115" s="4">
        <v>3.80227637</v>
      </c>
      <c r="P115" s="4" t="s">
        <v>747</v>
      </c>
      <c r="Q115" s="4" t="s">
        <v>746</v>
      </c>
      <c r="R115" s="4" t="s">
        <v>720</v>
      </c>
      <c r="S115" s="2">
        <v>46174.682766203703</v>
      </c>
      <c r="T115" s="5">
        <v>5.8449074074074072E-3</v>
      </c>
      <c r="U115" s="4">
        <v>0</v>
      </c>
      <c r="V115" s="4" t="s">
        <v>616</v>
      </c>
      <c r="W115" s="4" t="s">
        <v>614</v>
      </c>
      <c r="X115" s="6" t="s">
        <v>617</v>
      </c>
    </row>
    <row r="116" spans="1:24">
      <c r="A116" s="4" t="s">
        <v>714</v>
      </c>
      <c r="B116" s="4" t="s">
        <v>715</v>
      </c>
      <c r="D116" s="4" t="s">
        <v>716</v>
      </c>
      <c r="E116" s="4" t="s">
        <v>717</v>
      </c>
      <c r="M116" s="4" t="s">
        <v>645</v>
      </c>
      <c r="N116" s="4">
        <v>-71.529823300000004</v>
      </c>
      <c r="O116" s="4">
        <v>3.8026016949999999</v>
      </c>
      <c r="P116" s="4" t="s">
        <v>747</v>
      </c>
      <c r="Q116" s="4" t="s">
        <v>746</v>
      </c>
      <c r="R116" s="4" t="s">
        <v>720</v>
      </c>
      <c r="S116" s="2">
        <v>46174.688778935284</v>
      </c>
      <c r="T116" s="5">
        <v>1.420138888888889E-3</v>
      </c>
      <c r="U116" s="4">
        <v>0.42664322257041931</v>
      </c>
      <c r="V116" s="4" t="s">
        <v>731</v>
      </c>
      <c r="W116" s="4" t="s">
        <v>645</v>
      </c>
      <c r="X116" s="6" t="s">
        <v>617</v>
      </c>
    </row>
    <row r="117" spans="1:24">
      <c r="A117" s="4" t="s">
        <v>714</v>
      </c>
      <c r="B117" s="4" t="s">
        <v>715</v>
      </c>
      <c r="D117" s="4" t="s">
        <v>716</v>
      </c>
      <c r="E117" s="4" t="s">
        <v>717</v>
      </c>
      <c r="M117" s="4" t="s">
        <v>645</v>
      </c>
      <c r="N117" s="4">
        <v>-71.531661999999997</v>
      </c>
      <c r="O117" s="4">
        <v>3.8060951200000002</v>
      </c>
      <c r="P117" s="4" t="s">
        <v>747</v>
      </c>
      <c r="Q117" s="4" t="s">
        <v>746</v>
      </c>
      <c r="R117" s="4" t="s">
        <v>720</v>
      </c>
      <c r="S117" s="2">
        <v>46174.690266203703</v>
      </c>
      <c r="T117" s="5">
        <v>2.5231481481481481E-4</v>
      </c>
      <c r="U117" s="4">
        <v>6.5492600202560425E-2</v>
      </c>
      <c r="V117" s="4" t="s">
        <v>728</v>
      </c>
      <c r="W117" s="4" t="s">
        <v>645</v>
      </c>
      <c r="X117" s="6" t="s">
        <v>617</v>
      </c>
    </row>
    <row r="118" spans="1:24">
      <c r="A118" s="4" t="s">
        <v>714</v>
      </c>
      <c r="B118" s="4" t="s">
        <v>715</v>
      </c>
      <c r="D118" s="4" t="s">
        <v>716</v>
      </c>
      <c r="E118" s="4" t="s">
        <v>717</v>
      </c>
      <c r="M118" s="4" t="s">
        <v>645</v>
      </c>
      <c r="N118" s="4">
        <v>-71.532644038787495</v>
      </c>
      <c r="O118" s="4">
        <v>3.80595441653875</v>
      </c>
      <c r="P118" s="4" t="s">
        <v>749</v>
      </c>
      <c r="Q118" s="4" t="s">
        <v>746</v>
      </c>
      <c r="R118" s="4" t="s">
        <v>720</v>
      </c>
      <c r="S118" s="2">
        <v>46174.690745706015</v>
      </c>
      <c r="T118" s="5">
        <v>8.9942129629629636E-5</v>
      </c>
      <c r="U118" s="4">
        <v>2.4206826463341713E-2</v>
      </c>
      <c r="V118" s="4" t="s">
        <v>666</v>
      </c>
      <c r="W118" s="4" t="s">
        <v>645</v>
      </c>
      <c r="X118" s="6" t="s">
        <v>617</v>
      </c>
    </row>
    <row r="119" spans="1:24">
      <c r="A119" s="4" t="s">
        <v>714</v>
      </c>
      <c r="B119" s="4" t="s">
        <v>715</v>
      </c>
      <c r="D119" s="4" t="s">
        <v>716</v>
      </c>
      <c r="E119" s="4" t="s">
        <v>717</v>
      </c>
      <c r="M119" s="4" t="s">
        <v>645</v>
      </c>
      <c r="N119" s="4">
        <v>-71.533037453600002</v>
      </c>
      <c r="O119" s="4">
        <v>3.8059016954675</v>
      </c>
      <c r="P119" s="4" t="s">
        <v>749</v>
      </c>
      <c r="Q119" s="4" t="s">
        <v>746</v>
      </c>
      <c r="R119" s="4" t="s">
        <v>720</v>
      </c>
      <c r="S119" s="2">
        <v>46174.691838622683</v>
      </c>
      <c r="T119" s="5">
        <v>3.059027777777778E-5</v>
      </c>
      <c r="U119" s="4">
        <v>7.007804699242115E-3</v>
      </c>
      <c r="V119" s="4" t="s">
        <v>728</v>
      </c>
      <c r="W119" s="4" t="s">
        <v>645</v>
      </c>
      <c r="X119" s="6" t="s">
        <v>617</v>
      </c>
    </row>
    <row r="120" spans="1:24">
      <c r="A120" s="4" t="s">
        <v>714</v>
      </c>
      <c r="B120" s="4" t="s">
        <v>715</v>
      </c>
      <c r="D120" s="4" t="s">
        <v>716</v>
      </c>
      <c r="E120" s="4" t="s">
        <v>717</v>
      </c>
      <c r="M120" s="4" t="s">
        <v>645</v>
      </c>
      <c r="N120" s="4">
        <v>-71.533195500000005</v>
      </c>
      <c r="O120" s="4">
        <v>3.80587411</v>
      </c>
      <c r="P120" s="4" t="s">
        <v>749</v>
      </c>
      <c r="Q120" s="4" t="s">
        <v>746</v>
      </c>
      <c r="R120" s="4" t="s">
        <v>720</v>
      </c>
      <c r="S120" s="2">
        <v>46174.691921296297</v>
      </c>
      <c r="T120" s="5">
        <v>3.9351851851851852E-4</v>
      </c>
      <c r="U120" s="4">
        <v>0.11764762550592422</v>
      </c>
      <c r="V120" s="4" t="s">
        <v>666</v>
      </c>
      <c r="W120" s="4" t="s">
        <v>645</v>
      </c>
      <c r="X120" s="6" t="s">
        <v>617</v>
      </c>
    </row>
    <row r="121" spans="1:24">
      <c r="A121" s="4" t="s">
        <v>714</v>
      </c>
      <c r="B121" s="4" t="s">
        <v>715</v>
      </c>
      <c r="D121" s="4" t="s">
        <v>716</v>
      </c>
      <c r="E121" s="4" t="s">
        <v>717</v>
      </c>
      <c r="M121" s="4" t="s">
        <v>645</v>
      </c>
      <c r="N121" s="4">
        <v>-71.534190538499999</v>
      </c>
      <c r="O121" s="4">
        <v>3.8051985055499999</v>
      </c>
      <c r="P121" s="4" t="s">
        <v>745</v>
      </c>
      <c r="Q121" s="4" t="s">
        <v>746</v>
      </c>
      <c r="R121" s="4" t="s">
        <v>720</v>
      </c>
      <c r="S121" s="2">
        <v>46174.692404097223</v>
      </c>
      <c r="T121" s="5">
        <v>1.2681365740740741E-3</v>
      </c>
      <c r="U121" s="4">
        <v>0.35870605707168579</v>
      </c>
      <c r="V121" s="4" t="s">
        <v>731</v>
      </c>
      <c r="W121" s="4" t="s">
        <v>645</v>
      </c>
      <c r="X121" s="6" t="s">
        <v>617</v>
      </c>
    </row>
    <row r="122" spans="1:24">
      <c r="A122" s="4" t="s">
        <v>714</v>
      </c>
      <c r="B122" s="4" t="s">
        <v>715</v>
      </c>
      <c r="D122" s="4" t="s">
        <v>716</v>
      </c>
      <c r="E122" s="4" t="s">
        <v>717</v>
      </c>
      <c r="M122" s="4" t="s">
        <v>614</v>
      </c>
      <c r="N122" s="4">
        <v>-71.550651599999995</v>
      </c>
      <c r="O122" s="4">
        <v>3.7804384199999999</v>
      </c>
      <c r="P122" s="4" t="s">
        <v>742</v>
      </c>
      <c r="Q122" s="4" t="s">
        <v>743</v>
      </c>
      <c r="R122" s="4" t="s">
        <v>730</v>
      </c>
      <c r="S122" s="2">
        <v>46174.701979166668</v>
      </c>
      <c r="T122" s="5">
        <v>5.5439814814814813E-3</v>
      </c>
      <c r="U122" s="4">
        <v>1.3223888527136296E-4</v>
      </c>
      <c r="V122" s="4" t="s">
        <v>616</v>
      </c>
      <c r="W122" s="4" t="s">
        <v>614</v>
      </c>
      <c r="X122" s="6" t="s">
        <v>617</v>
      </c>
    </row>
    <row r="123" spans="1:24">
      <c r="A123" s="4" t="s">
        <v>714</v>
      </c>
      <c r="B123" s="4" t="s">
        <v>715</v>
      </c>
      <c r="D123" s="4" t="s">
        <v>716</v>
      </c>
      <c r="E123" s="4" t="s">
        <v>717</v>
      </c>
      <c r="M123" s="4" t="s">
        <v>754</v>
      </c>
      <c r="N123" s="4">
        <v>-71.550694769199993</v>
      </c>
      <c r="O123" s="4">
        <v>3.78040464039</v>
      </c>
      <c r="P123" s="4" t="s">
        <v>742</v>
      </c>
      <c r="Q123" s="4" t="s">
        <v>743</v>
      </c>
      <c r="R123" s="4" t="s">
        <v>730</v>
      </c>
      <c r="S123" s="2">
        <v>46174.708051701389</v>
      </c>
      <c r="T123" s="5">
        <v>9.1967592592592586E-5</v>
      </c>
      <c r="U123" s="4">
        <v>4.4498056173324585E-2</v>
      </c>
      <c r="V123" s="4" t="s">
        <v>755</v>
      </c>
      <c r="W123" s="4" t="s">
        <v>754</v>
      </c>
      <c r="X123" s="6" t="s">
        <v>617</v>
      </c>
    </row>
    <row r="124" spans="1:24">
      <c r="A124" s="4" t="s">
        <v>714</v>
      </c>
      <c r="B124" s="4" t="s">
        <v>715</v>
      </c>
      <c r="D124" s="4" t="s">
        <v>716</v>
      </c>
      <c r="E124" s="4" t="s">
        <v>717</v>
      </c>
      <c r="M124" s="4" t="s">
        <v>625</v>
      </c>
      <c r="N124" s="4">
        <v>-71.574554399999997</v>
      </c>
      <c r="O124" s="4">
        <v>3.7746713199999999</v>
      </c>
      <c r="P124" s="4" t="s">
        <v>742</v>
      </c>
      <c r="Q124" s="4" t="s">
        <v>743</v>
      </c>
      <c r="R124" s="4" t="s">
        <v>730</v>
      </c>
      <c r="S124" s="2">
        <v>46174.71503472222</v>
      </c>
      <c r="T124" s="5">
        <v>0</v>
      </c>
      <c r="U124" s="4">
        <v>0</v>
      </c>
      <c r="V124" s="4" t="s">
        <v>756</v>
      </c>
      <c r="W124" s="4" t="s">
        <v>625</v>
      </c>
      <c r="X124" s="6" t="s">
        <v>617</v>
      </c>
    </row>
    <row r="125" spans="1:24">
      <c r="A125" s="4" t="s">
        <v>714</v>
      </c>
      <c r="B125" s="4" t="s">
        <v>715</v>
      </c>
      <c r="D125" s="4" t="s">
        <v>716</v>
      </c>
      <c r="E125" s="4" t="s">
        <v>717</v>
      </c>
      <c r="M125" s="4" t="s">
        <v>757</v>
      </c>
      <c r="N125" s="4">
        <v>-71.600961101140001</v>
      </c>
      <c r="O125" s="4">
        <v>3.7713651512420001</v>
      </c>
      <c r="P125" s="4" t="s">
        <v>742</v>
      </c>
      <c r="Q125" s="4" t="s">
        <v>743</v>
      </c>
      <c r="R125" s="4" t="s">
        <v>730</v>
      </c>
      <c r="S125" s="2">
        <v>46174.721332951391</v>
      </c>
      <c r="T125" s="5">
        <v>1.8321759259259261E-5</v>
      </c>
      <c r="U125" s="4">
        <v>1.6746198758482933E-2</v>
      </c>
      <c r="V125" s="4" t="s">
        <v>758</v>
      </c>
      <c r="W125" s="4" t="s">
        <v>757</v>
      </c>
      <c r="X125" s="6" t="s">
        <v>617</v>
      </c>
    </row>
    <row r="126" spans="1:24">
      <c r="A126" s="4" t="s">
        <v>714</v>
      </c>
      <c r="B126" s="4" t="s">
        <v>715</v>
      </c>
      <c r="D126" s="4" t="s">
        <v>716</v>
      </c>
      <c r="E126" s="4" t="s">
        <v>717</v>
      </c>
      <c r="M126" s="4" t="s">
        <v>645</v>
      </c>
      <c r="N126" s="4">
        <v>-71.624674272999997</v>
      </c>
      <c r="O126" s="4">
        <v>3.7810785513000003</v>
      </c>
      <c r="P126" s="4" t="s">
        <v>759</v>
      </c>
      <c r="Q126" s="4" t="s">
        <v>760</v>
      </c>
      <c r="R126" s="4" t="s">
        <v>730</v>
      </c>
      <c r="S126" s="2">
        <v>46174.727094097223</v>
      </c>
      <c r="T126" s="5">
        <v>2.9016203703703702E-4</v>
      </c>
      <c r="U126" s="4">
        <v>0.11328008025884628</v>
      </c>
      <c r="V126" s="4" t="s">
        <v>741</v>
      </c>
      <c r="W126" s="4" t="s">
        <v>645</v>
      </c>
      <c r="X126" s="6" t="s">
        <v>617</v>
      </c>
    </row>
    <row r="127" spans="1:24">
      <c r="A127" s="4" t="s">
        <v>714</v>
      </c>
      <c r="B127" s="4" t="s">
        <v>715</v>
      </c>
      <c r="D127" s="4" t="s">
        <v>716</v>
      </c>
      <c r="E127" s="4" t="s">
        <v>717</v>
      </c>
      <c r="M127" s="4" t="s">
        <v>645</v>
      </c>
      <c r="N127" s="4">
        <v>-71.625686599999995</v>
      </c>
      <c r="O127" s="4">
        <v>3.7809603200000002</v>
      </c>
      <c r="P127" s="4" t="s">
        <v>759</v>
      </c>
      <c r="Q127" s="4" t="s">
        <v>760</v>
      </c>
      <c r="R127" s="4" t="s">
        <v>730</v>
      </c>
      <c r="S127" s="2">
        <v>46174.727384259262</v>
      </c>
      <c r="T127" s="5">
        <v>1.3362268518518519E-4</v>
      </c>
      <c r="U127" s="4">
        <v>4.8398774117231369E-2</v>
      </c>
      <c r="V127" s="4" t="s">
        <v>752</v>
      </c>
      <c r="W127" s="4" t="s">
        <v>645</v>
      </c>
      <c r="X127" s="6" t="s">
        <v>617</v>
      </c>
    </row>
    <row r="128" spans="1:24">
      <c r="A128" s="4" t="s">
        <v>714</v>
      </c>
      <c r="B128" s="4" t="s">
        <v>715</v>
      </c>
      <c r="D128" s="4" t="s">
        <v>716</v>
      </c>
      <c r="E128" s="4" t="s">
        <v>717</v>
      </c>
      <c r="M128" s="4" t="s">
        <v>645</v>
      </c>
      <c r="N128" s="4">
        <v>-71.626441999999997</v>
      </c>
      <c r="O128" s="4">
        <v>3.7805011300000002</v>
      </c>
      <c r="P128" s="4" t="s">
        <v>722</v>
      </c>
      <c r="Q128" s="4" t="s">
        <v>723</v>
      </c>
      <c r="R128" s="4" t="s">
        <v>720</v>
      </c>
      <c r="S128" s="2">
        <v>46174.728935185187</v>
      </c>
      <c r="T128" s="5">
        <v>4.907407407407407E-4</v>
      </c>
      <c r="U128" s="4">
        <v>0.12297337502241135</v>
      </c>
      <c r="V128" s="4" t="s">
        <v>728</v>
      </c>
      <c r="W128" s="4" t="s">
        <v>645</v>
      </c>
      <c r="X128" s="6" t="s">
        <v>617</v>
      </c>
    </row>
    <row r="129" spans="1:24">
      <c r="A129" s="4" t="s">
        <v>714</v>
      </c>
      <c r="B129" s="4" t="s">
        <v>715</v>
      </c>
      <c r="D129" s="4" t="s">
        <v>716</v>
      </c>
      <c r="E129" s="4" t="s">
        <v>717</v>
      </c>
      <c r="M129" s="4" t="s">
        <v>645</v>
      </c>
      <c r="N129" s="4">
        <v>-71.625846899999999</v>
      </c>
      <c r="O129" s="4">
        <v>3.7793490900000002</v>
      </c>
      <c r="P129" s="4" t="s">
        <v>726</v>
      </c>
      <c r="Q129" s="4" t="s">
        <v>727</v>
      </c>
      <c r="R129" s="4" t="s">
        <v>720</v>
      </c>
      <c r="S129" s="2">
        <v>46174.731041666666</v>
      </c>
      <c r="T129" s="5">
        <v>1.6666666666666666E-4</v>
      </c>
      <c r="U129" s="4">
        <v>3.4538432955741882E-2</v>
      </c>
      <c r="V129" s="4" t="s">
        <v>724</v>
      </c>
      <c r="W129" s="4" t="s">
        <v>645</v>
      </c>
      <c r="X129" s="6" t="s">
        <v>617</v>
      </c>
    </row>
    <row r="130" spans="1:24">
      <c r="A130" s="4" t="s">
        <v>714</v>
      </c>
      <c r="B130" s="4" t="s">
        <v>715</v>
      </c>
      <c r="D130" s="4" t="s">
        <v>716</v>
      </c>
      <c r="E130" s="4" t="s">
        <v>717</v>
      </c>
      <c r="M130" s="4" t="s">
        <v>645</v>
      </c>
      <c r="N130" s="4">
        <v>-71.626380900000001</v>
      </c>
      <c r="O130" s="4">
        <v>3.7807831799999998</v>
      </c>
      <c r="P130" s="4" t="s">
        <v>722</v>
      </c>
      <c r="Q130" s="4" t="s">
        <v>723</v>
      </c>
      <c r="R130" s="4" t="s">
        <v>720</v>
      </c>
      <c r="S130" s="2">
        <v>46174.765694444446</v>
      </c>
      <c r="T130" s="5">
        <v>5.1550925925925924E-5</v>
      </c>
      <c r="U130" s="4">
        <v>1.1888864450156689E-2</v>
      </c>
      <c r="V130" s="4" t="s">
        <v>731</v>
      </c>
      <c r="W130" s="4" t="s">
        <v>645</v>
      </c>
      <c r="X130" s="6" t="s">
        <v>617</v>
      </c>
    </row>
    <row r="131" spans="1:24">
      <c r="A131" s="4" t="s">
        <v>714</v>
      </c>
      <c r="B131" s="4" t="s">
        <v>715</v>
      </c>
      <c r="D131" s="4" t="s">
        <v>716</v>
      </c>
      <c r="E131" s="4" t="s">
        <v>717</v>
      </c>
      <c r="M131" s="4" t="s">
        <v>645</v>
      </c>
      <c r="N131" s="4">
        <v>-71.635059146399996</v>
      </c>
      <c r="O131" s="4">
        <v>3.7842224711200001</v>
      </c>
      <c r="P131" s="4" t="s">
        <v>718</v>
      </c>
      <c r="Q131" s="4" t="s">
        <v>719</v>
      </c>
      <c r="R131" s="4" t="s">
        <v>720</v>
      </c>
      <c r="S131" s="2">
        <v>46174.768063009258</v>
      </c>
      <c r="T131" s="5">
        <v>4.0538194444444443E-4</v>
      </c>
      <c r="U131" s="4">
        <v>0.18333487212657928</v>
      </c>
      <c r="V131" s="4" t="s">
        <v>761</v>
      </c>
      <c r="W131" s="4" t="s">
        <v>645</v>
      </c>
      <c r="X131" s="6" t="s">
        <v>617</v>
      </c>
    </row>
    <row r="132" spans="1:24">
      <c r="A132" s="4" t="s">
        <v>714</v>
      </c>
      <c r="B132" s="4" t="s">
        <v>715</v>
      </c>
      <c r="D132" s="4" t="s">
        <v>716</v>
      </c>
      <c r="E132" s="4" t="s">
        <v>717</v>
      </c>
      <c r="M132" s="4" t="s">
        <v>645</v>
      </c>
      <c r="N132" s="4">
        <v>-71.636698446757137</v>
      </c>
      <c r="O132" s="4">
        <v>3.7842875390052377</v>
      </c>
      <c r="P132" s="4" t="s">
        <v>718</v>
      </c>
      <c r="Q132" s="4" t="s">
        <v>719</v>
      </c>
      <c r="R132" s="4" t="s">
        <v>720</v>
      </c>
      <c r="S132" s="2">
        <v>46174.847306493059</v>
      </c>
      <c r="T132" s="5">
        <v>3.2320601851851851E-4</v>
      </c>
      <c r="U132" s="4">
        <v>0.18356221914291382</v>
      </c>
      <c r="V132" s="4" t="s">
        <v>732</v>
      </c>
      <c r="W132" s="4" t="s">
        <v>645</v>
      </c>
      <c r="X132" s="6" t="s">
        <v>617</v>
      </c>
    </row>
    <row r="133" spans="1:24">
      <c r="A133" s="4" t="s">
        <v>714</v>
      </c>
      <c r="B133" s="4" t="s">
        <v>715</v>
      </c>
      <c r="D133" s="4" t="s">
        <v>716</v>
      </c>
      <c r="E133" s="4" t="s">
        <v>717</v>
      </c>
      <c r="M133" s="4" t="s">
        <v>762</v>
      </c>
      <c r="N133" s="4">
        <v>-71.631426507900002</v>
      </c>
      <c r="O133" s="4">
        <v>3.7835818094399998</v>
      </c>
      <c r="P133" s="4" t="s">
        <v>734</v>
      </c>
      <c r="Q133" s="4" t="s">
        <v>735</v>
      </c>
      <c r="R133" s="4" t="s">
        <v>730</v>
      </c>
      <c r="S133" s="2">
        <v>46174.848364201389</v>
      </c>
      <c r="T133" s="5">
        <v>6.1689814814814813E-6</v>
      </c>
      <c r="U133" s="4">
        <v>4.4034449383616447E-3</v>
      </c>
      <c r="V133" s="4" t="s">
        <v>763</v>
      </c>
      <c r="W133" s="4" t="s">
        <v>762</v>
      </c>
      <c r="X133" s="6" t="s">
        <v>617</v>
      </c>
    </row>
    <row r="134" spans="1:24">
      <c r="A134" s="4" t="s">
        <v>714</v>
      </c>
      <c r="B134" s="4" t="s">
        <v>715</v>
      </c>
      <c r="D134" s="4" t="s">
        <v>716</v>
      </c>
      <c r="E134" s="4" t="s">
        <v>717</v>
      </c>
      <c r="M134" s="4" t="s">
        <v>645</v>
      </c>
      <c r="N134" s="4">
        <v>-71.626462263739995</v>
      </c>
      <c r="O134" s="4">
        <v>3.7808463489380002</v>
      </c>
      <c r="P134" s="4" t="s">
        <v>729</v>
      </c>
      <c r="Q134" s="4" t="s">
        <v>723</v>
      </c>
      <c r="R134" s="4" t="s">
        <v>730</v>
      </c>
      <c r="S134" s="2">
        <v>46174.849474872688</v>
      </c>
      <c r="T134" s="5">
        <v>3.1296296296296295E-5</v>
      </c>
      <c r="U134" s="4">
        <v>7.307850755751133E-3</v>
      </c>
      <c r="V134" s="4" t="s">
        <v>731</v>
      </c>
      <c r="W134" s="4" t="s">
        <v>645</v>
      </c>
      <c r="X134" s="6" t="s">
        <v>617</v>
      </c>
    </row>
    <row r="135" spans="1:24">
      <c r="A135" s="4" t="s">
        <v>714</v>
      </c>
      <c r="B135" s="4" t="s">
        <v>715</v>
      </c>
      <c r="D135" s="4" t="s">
        <v>716</v>
      </c>
      <c r="E135" s="4" t="s">
        <v>717</v>
      </c>
      <c r="M135" s="4" t="s">
        <v>645</v>
      </c>
      <c r="N135" s="4">
        <v>-71.626411399999995</v>
      </c>
      <c r="O135" s="4">
        <v>3.7805967300000001</v>
      </c>
      <c r="P135" s="4" t="s">
        <v>722</v>
      </c>
      <c r="Q135" s="4" t="s">
        <v>723</v>
      </c>
      <c r="R135" s="4" t="s">
        <v>720</v>
      </c>
      <c r="S135" s="2">
        <v>46174.849918981483</v>
      </c>
      <c r="T135" s="5">
        <v>2.5752314814814816E-4</v>
      </c>
      <c r="U135" s="4">
        <v>7.6544187963008881E-2</v>
      </c>
      <c r="V135" s="4" t="s">
        <v>666</v>
      </c>
      <c r="W135" s="4" t="s">
        <v>645</v>
      </c>
      <c r="X135" s="6" t="s">
        <v>617</v>
      </c>
    </row>
    <row r="136" spans="1:24">
      <c r="A136" s="4" t="s">
        <v>714</v>
      </c>
      <c r="B136" s="4" t="s">
        <v>715</v>
      </c>
      <c r="D136" s="4" t="s">
        <v>716</v>
      </c>
      <c r="E136" s="4" t="s">
        <v>717</v>
      </c>
      <c r="M136" s="4" t="s">
        <v>645</v>
      </c>
      <c r="N136" s="4">
        <v>-71.635059873900005</v>
      </c>
      <c r="O136" s="4">
        <v>3.7842900927922223</v>
      </c>
      <c r="P136" s="4" t="s">
        <v>718</v>
      </c>
      <c r="Q136" s="4" t="s">
        <v>719</v>
      </c>
      <c r="R136" s="4" t="s">
        <v>720</v>
      </c>
      <c r="S136" s="2">
        <v>46174.855114733793</v>
      </c>
      <c r="T136" s="5">
        <v>2.9327546296296296E-4</v>
      </c>
      <c r="U136" s="4">
        <v>0.18289859592914581</v>
      </c>
      <c r="V136" s="4" t="s">
        <v>751</v>
      </c>
      <c r="W136" s="4" t="s">
        <v>645</v>
      </c>
      <c r="X136" s="6" t="s">
        <v>617</v>
      </c>
    </row>
    <row r="137" spans="1:24">
      <c r="A137" s="4" t="s">
        <v>764</v>
      </c>
      <c r="B137" s="4" t="s">
        <v>765</v>
      </c>
      <c r="D137" s="4" t="s">
        <v>716</v>
      </c>
      <c r="E137" s="4" t="s">
        <v>717</v>
      </c>
      <c r="F137" s="4" t="s">
        <v>766</v>
      </c>
      <c r="G137" s="4" t="s">
        <v>767</v>
      </c>
      <c r="H137" s="4" t="s">
        <v>768</v>
      </c>
      <c r="I137" s="4" t="s">
        <v>769</v>
      </c>
      <c r="K137" s="4" t="s">
        <v>730</v>
      </c>
      <c r="L137" s="4" t="s">
        <v>730</v>
      </c>
      <c r="M137" s="4" t="s">
        <v>614</v>
      </c>
      <c r="N137" s="4">
        <v>-71.642822300000006</v>
      </c>
      <c r="O137" s="4">
        <v>3.7843339399999998</v>
      </c>
      <c r="P137" s="4" t="s">
        <v>734</v>
      </c>
      <c r="Q137" s="4" t="s">
        <v>735</v>
      </c>
      <c r="R137" s="4" t="s">
        <v>730</v>
      </c>
      <c r="S137" s="2">
        <v>46174.291342592594</v>
      </c>
      <c r="T137" s="5">
        <v>3.6805555555555554E-3</v>
      </c>
      <c r="U137" s="4">
        <v>5.3340056183515117E-5</v>
      </c>
      <c r="V137" s="4" t="s">
        <v>616</v>
      </c>
      <c r="W137" s="4" t="s">
        <v>614</v>
      </c>
      <c r="X137" s="6" t="s">
        <v>617</v>
      </c>
    </row>
    <row r="138" spans="1:24">
      <c r="A138" s="4" t="s">
        <v>764</v>
      </c>
      <c r="B138" s="4" t="s">
        <v>765</v>
      </c>
      <c r="D138" s="4" t="s">
        <v>716</v>
      </c>
      <c r="E138" s="4" t="s">
        <v>717</v>
      </c>
      <c r="F138" s="4" t="s">
        <v>766</v>
      </c>
      <c r="G138" s="4" t="s">
        <v>767</v>
      </c>
      <c r="H138" s="4" t="s">
        <v>768</v>
      </c>
      <c r="I138" s="4" t="s">
        <v>769</v>
      </c>
      <c r="K138" s="4" t="s">
        <v>730</v>
      </c>
      <c r="L138" s="4" t="s">
        <v>730</v>
      </c>
      <c r="M138" s="4" t="s">
        <v>645</v>
      </c>
      <c r="N138" s="4">
        <v>-71.636698714156253</v>
      </c>
      <c r="O138" s="4">
        <v>3.7843369021531248</v>
      </c>
      <c r="P138" s="4" t="s">
        <v>718</v>
      </c>
      <c r="Q138" s="4" t="s">
        <v>719</v>
      </c>
      <c r="R138" s="4" t="s">
        <v>720</v>
      </c>
      <c r="S138" s="2">
        <v>46174.298378530089</v>
      </c>
      <c r="T138" s="5">
        <v>3.3774305555555554E-4</v>
      </c>
      <c r="U138" s="4">
        <v>0.18289376795291901</v>
      </c>
      <c r="V138" s="4" t="s">
        <v>732</v>
      </c>
      <c r="W138" s="4" t="s">
        <v>645</v>
      </c>
      <c r="X138" s="6" t="s">
        <v>617</v>
      </c>
    </row>
    <row r="139" spans="1:24">
      <c r="A139" s="4" t="s">
        <v>764</v>
      </c>
      <c r="B139" s="4" t="s">
        <v>765</v>
      </c>
      <c r="D139" s="4" t="s">
        <v>716</v>
      </c>
      <c r="E139" s="4" t="s">
        <v>717</v>
      </c>
      <c r="F139" s="4" t="s">
        <v>766</v>
      </c>
      <c r="G139" s="4" t="s">
        <v>767</v>
      </c>
      <c r="H139" s="4" t="s">
        <v>768</v>
      </c>
      <c r="I139" s="4" t="s">
        <v>769</v>
      </c>
      <c r="K139" s="4" t="s">
        <v>730</v>
      </c>
      <c r="L139" s="4" t="s">
        <v>730</v>
      </c>
      <c r="M139" s="4" t="s">
        <v>645</v>
      </c>
      <c r="N139" s="4">
        <v>-71.626134257221423</v>
      </c>
      <c r="O139" s="4">
        <v>3.7809565902099997</v>
      </c>
      <c r="P139" s="4" t="s">
        <v>770</v>
      </c>
      <c r="Q139" s="4" t="s">
        <v>740</v>
      </c>
      <c r="R139" s="4" t="s">
        <v>730</v>
      </c>
      <c r="S139" s="2">
        <v>46174.301153553242</v>
      </c>
      <c r="T139" s="5">
        <v>1.3695601851851851E-4</v>
      </c>
      <c r="U139" s="4">
        <v>3.6603514105081558E-2</v>
      </c>
      <c r="V139" s="4" t="s">
        <v>666</v>
      </c>
      <c r="W139" s="4" t="s">
        <v>645</v>
      </c>
      <c r="X139" s="6" t="s">
        <v>617</v>
      </c>
    </row>
    <row r="140" spans="1:24">
      <c r="A140" s="4" t="s">
        <v>764</v>
      </c>
      <c r="B140" s="4" t="s">
        <v>765</v>
      </c>
      <c r="D140" s="4" t="s">
        <v>716</v>
      </c>
      <c r="E140" s="4" t="s">
        <v>717</v>
      </c>
      <c r="F140" s="4" t="s">
        <v>766</v>
      </c>
      <c r="G140" s="4" t="s">
        <v>767</v>
      </c>
      <c r="H140" s="4" t="s">
        <v>768</v>
      </c>
      <c r="I140" s="4" t="s">
        <v>769</v>
      </c>
      <c r="K140" s="4" t="s">
        <v>730</v>
      </c>
      <c r="L140" s="4" t="s">
        <v>730</v>
      </c>
      <c r="M140" s="4" t="s">
        <v>645</v>
      </c>
      <c r="N140" s="4">
        <v>-71.625621800000005</v>
      </c>
      <c r="O140" s="4">
        <v>3.7810031200000003</v>
      </c>
      <c r="P140" s="4" t="s">
        <v>759</v>
      </c>
      <c r="Q140" s="4" t="s">
        <v>760</v>
      </c>
      <c r="R140" s="4" t="s">
        <v>730</v>
      </c>
      <c r="S140" s="2">
        <v>46174.301388888889</v>
      </c>
      <c r="T140" s="5">
        <v>1.0178240740740741E-4</v>
      </c>
      <c r="U140" s="4">
        <v>3.0579600483179092E-2</v>
      </c>
      <c r="V140" s="4" t="s">
        <v>666</v>
      </c>
      <c r="W140" s="4" t="s">
        <v>645</v>
      </c>
      <c r="X140" s="6" t="s">
        <v>617</v>
      </c>
    </row>
    <row r="141" spans="1:24">
      <c r="A141" s="4" t="s">
        <v>764</v>
      </c>
      <c r="B141" s="4" t="s">
        <v>765</v>
      </c>
      <c r="D141" s="4" t="s">
        <v>716</v>
      </c>
      <c r="E141" s="4" t="s">
        <v>717</v>
      </c>
      <c r="F141" s="4" t="s">
        <v>766</v>
      </c>
      <c r="G141" s="4" t="s">
        <v>767</v>
      </c>
      <c r="H141" s="4" t="s">
        <v>768</v>
      </c>
      <c r="I141" s="4" t="s">
        <v>769</v>
      </c>
      <c r="K141" s="4" t="s">
        <v>730</v>
      </c>
      <c r="L141" s="4" t="s">
        <v>730</v>
      </c>
      <c r="M141" s="4" t="s">
        <v>757</v>
      </c>
      <c r="N141" s="4">
        <v>-71.589188587500004</v>
      </c>
      <c r="O141" s="4">
        <v>3.7716289137499999</v>
      </c>
      <c r="P141" s="4" t="s">
        <v>742</v>
      </c>
      <c r="Q141" s="4" t="s">
        <v>743</v>
      </c>
      <c r="R141" s="4" t="s">
        <v>730</v>
      </c>
      <c r="S141" s="2">
        <v>46174.312624421298</v>
      </c>
      <c r="T141" s="5">
        <v>2.6041666666666668E-5</v>
      </c>
      <c r="U141" s="4">
        <v>2.3334033787250519E-2</v>
      </c>
      <c r="V141" s="4" t="s">
        <v>758</v>
      </c>
      <c r="W141" s="4" t="s">
        <v>757</v>
      </c>
      <c r="X141" s="6" t="s">
        <v>617</v>
      </c>
    </row>
    <row r="142" spans="1:24">
      <c r="A142" s="4" t="s">
        <v>764</v>
      </c>
      <c r="B142" s="4" t="s">
        <v>765</v>
      </c>
      <c r="D142" s="4" t="s">
        <v>716</v>
      </c>
      <c r="E142" s="4" t="s">
        <v>717</v>
      </c>
      <c r="F142" s="4" t="s">
        <v>766</v>
      </c>
      <c r="G142" s="4" t="s">
        <v>767</v>
      </c>
      <c r="H142" s="4" t="s">
        <v>768</v>
      </c>
      <c r="I142" s="4" t="s">
        <v>769</v>
      </c>
      <c r="K142" s="4" t="s">
        <v>730</v>
      </c>
      <c r="L142" s="4" t="s">
        <v>730</v>
      </c>
      <c r="M142" s="4" t="s">
        <v>757</v>
      </c>
      <c r="N142" s="4">
        <v>-71.582578675000008</v>
      </c>
      <c r="O142" s="4">
        <v>3.7738405449999997</v>
      </c>
      <c r="P142" s="4" t="s">
        <v>742</v>
      </c>
      <c r="Q142" s="4" t="s">
        <v>743</v>
      </c>
      <c r="R142" s="4" t="s">
        <v>730</v>
      </c>
      <c r="S142" s="2">
        <v>46174.313680555555</v>
      </c>
      <c r="T142" s="5">
        <v>2.6041666666666668E-5</v>
      </c>
      <c r="U142" s="4">
        <v>2.394549548625946E-2</v>
      </c>
      <c r="V142" s="4" t="s">
        <v>758</v>
      </c>
      <c r="W142" s="4" t="s">
        <v>757</v>
      </c>
      <c r="X142" s="6" t="s">
        <v>617</v>
      </c>
    </row>
    <row r="143" spans="1:24">
      <c r="A143" s="4" t="s">
        <v>764</v>
      </c>
      <c r="B143" s="4" t="s">
        <v>765</v>
      </c>
      <c r="D143" s="4" t="s">
        <v>716</v>
      </c>
      <c r="E143" s="4" t="s">
        <v>717</v>
      </c>
      <c r="F143" s="4" t="s">
        <v>766</v>
      </c>
      <c r="G143" s="4" t="s">
        <v>767</v>
      </c>
      <c r="H143" s="4" t="s">
        <v>768</v>
      </c>
      <c r="I143" s="4" t="s">
        <v>769</v>
      </c>
      <c r="K143" s="4" t="s">
        <v>730</v>
      </c>
      <c r="L143" s="4" t="s">
        <v>730</v>
      </c>
      <c r="M143" s="4" t="s">
        <v>645</v>
      </c>
      <c r="N143" s="4">
        <v>-71.534832025</v>
      </c>
      <c r="O143" s="4">
        <v>3.8027929624999999</v>
      </c>
      <c r="P143" s="4" t="s">
        <v>749</v>
      </c>
      <c r="Q143" s="4" t="s">
        <v>746</v>
      </c>
      <c r="R143" s="4" t="s">
        <v>720</v>
      </c>
      <c r="S143" s="2">
        <v>46174.32675925926</v>
      </c>
      <c r="T143" s="5">
        <v>1.099538037037037E-4</v>
      </c>
      <c r="U143" s="4">
        <v>2.5780469179153442E-2</v>
      </c>
      <c r="V143" s="4" t="s">
        <v>724</v>
      </c>
      <c r="W143" s="4" t="s">
        <v>645</v>
      </c>
      <c r="X143" s="6" t="s">
        <v>617</v>
      </c>
    </row>
    <row r="144" spans="1:24">
      <c r="A144" s="4" t="s">
        <v>764</v>
      </c>
      <c r="B144" s="4" t="s">
        <v>765</v>
      </c>
      <c r="D144" s="4" t="s">
        <v>716</v>
      </c>
      <c r="E144" s="4" t="s">
        <v>717</v>
      </c>
      <c r="F144" s="4" t="s">
        <v>766</v>
      </c>
      <c r="G144" s="4" t="s">
        <v>767</v>
      </c>
      <c r="H144" s="4" t="s">
        <v>768</v>
      </c>
      <c r="I144" s="4" t="s">
        <v>769</v>
      </c>
      <c r="K144" s="4" t="s">
        <v>730</v>
      </c>
      <c r="L144" s="4" t="s">
        <v>730</v>
      </c>
      <c r="M144" s="4" t="s">
        <v>645</v>
      </c>
      <c r="N144" s="4">
        <v>-71.534900649999997</v>
      </c>
      <c r="O144" s="4">
        <v>3.8040934799999997</v>
      </c>
      <c r="P144" s="4" t="s">
        <v>749</v>
      </c>
      <c r="Q144" s="4" t="s">
        <v>746</v>
      </c>
      <c r="R144" s="4" t="s">
        <v>720</v>
      </c>
      <c r="S144" s="2">
        <v>46174.327407407407</v>
      </c>
      <c r="T144" s="5">
        <v>4.0674768518518517E-4</v>
      </c>
      <c r="U144" s="4">
        <v>9.9535435438156128E-2</v>
      </c>
      <c r="V144" s="4" t="s">
        <v>728</v>
      </c>
      <c r="W144" s="4" t="s">
        <v>645</v>
      </c>
      <c r="X144" s="6" t="s">
        <v>617</v>
      </c>
    </row>
    <row r="145" spans="1:24">
      <c r="A145" s="4" t="s">
        <v>764</v>
      </c>
      <c r="B145" s="4" t="s">
        <v>765</v>
      </c>
      <c r="D145" s="4" t="s">
        <v>716</v>
      </c>
      <c r="E145" s="4" t="s">
        <v>717</v>
      </c>
      <c r="F145" s="4" t="s">
        <v>766</v>
      </c>
      <c r="G145" s="4" t="s">
        <v>767</v>
      </c>
      <c r="H145" s="4" t="s">
        <v>768</v>
      </c>
      <c r="I145" s="4" t="s">
        <v>769</v>
      </c>
      <c r="K145" s="4" t="s">
        <v>730</v>
      </c>
      <c r="L145" s="4" t="s">
        <v>730</v>
      </c>
      <c r="M145" s="4" t="s">
        <v>645</v>
      </c>
      <c r="N145" s="4">
        <v>-71.532897899999995</v>
      </c>
      <c r="O145" s="4">
        <v>3.8044140299999998</v>
      </c>
      <c r="P145" s="4" t="s">
        <v>749</v>
      </c>
      <c r="Q145" s="4" t="s">
        <v>746</v>
      </c>
      <c r="R145" s="4" t="s">
        <v>720</v>
      </c>
      <c r="S145" s="2">
        <v>46174.32917824074</v>
      </c>
      <c r="T145" s="5">
        <v>2.3726861851851853E-4</v>
      </c>
      <c r="U145" s="4">
        <v>6.1212349683046341E-2</v>
      </c>
      <c r="V145" s="4" t="s">
        <v>724</v>
      </c>
      <c r="W145" s="4" t="s">
        <v>645</v>
      </c>
      <c r="X145" s="6" t="s">
        <v>617</v>
      </c>
    </row>
    <row r="146" spans="1:24">
      <c r="A146" s="4" t="s">
        <v>764</v>
      </c>
      <c r="B146" s="4" t="s">
        <v>765</v>
      </c>
      <c r="D146" s="4" t="s">
        <v>716</v>
      </c>
      <c r="E146" s="4" t="s">
        <v>717</v>
      </c>
      <c r="F146" s="4" t="s">
        <v>766</v>
      </c>
      <c r="G146" s="4" t="s">
        <v>767</v>
      </c>
      <c r="H146" s="4" t="s">
        <v>768</v>
      </c>
      <c r="I146" s="4" t="s">
        <v>769</v>
      </c>
      <c r="K146" s="4" t="s">
        <v>730</v>
      </c>
      <c r="L146" s="4" t="s">
        <v>730</v>
      </c>
      <c r="M146" s="4" t="s">
        <v>645</v>
      </c>
      <c r="N146" s="4">
        <v>-71.532254528246881</v>
      </c>
      <c r="O146" s="4">
        <v>3.8037687029318747</v>
      </c>
      <c r="P146" s="4" t="s">
        <v>747</v>
      </c>
      <c r="Q146" s="4" t="s">
        <v>746</v>
      </c>
      <c r="R146" s="4" t="s">
        <v>720</v>
      </c>
      <c r="S146" s="2">
        <v>46174.32959105324</v>
      </c>
      <c r="T146" s="5">
        <v>5.478356481481481E-4</v>
      </c>
      <c r="U146" s="4">
        <v>0.13350094854831696</v>
      </c>
      <c r="V146" s="4" t="s">
        <v>728</v>
      </c>
      <c r="W146" s="4" t="s">
        <v>645</v>
      </c>
      <c r="X146" s="6" t="s">
        <v>617</v>
      </c>
    </row>
    <row r="147" spans="1:24">
      <c r="A147" s="4" t="s">
        <v>764</v>
      </c>
      <c r="B147" s="4" t="s">
        <v>765</v>
      </c>
      <c r="D147" s="4" t="s">
        <v>716</v>
      </c>
      <c r="E147" s="4" t="s">
        <v>717</v>
      </c>
      <c r="F147" s="4" t="s">
        <v>766</v>
      </c>
      <c r="G147" s="4" t="s">
        <v>767</v>
      </c>
      <c r="H147" s="4" t="s">
        <v>768</v>
      </c>
      <c r="I147" s="4" t="s">
        <v>769</v>
      </c>
      <c r="K147" s="4" t="s">
        <v>730</v>
      </c>
      <c r="L147" s="4" t="s">
        <v>730</v>
      </c>
      <c r="M147" s="4" t="s">
        <v>645</v>
      </c>
      <c r="N147" s="4">
        <v>-71.530075100000005</v>
      </c>
      <c r="O147" s="4">
        <v>3.8019919400000002</v>
      </c>
      <c r="P147" s="4" t="s">
        <v>747</v>
      </c>
      <c r="Q147" s="4" t="s">
        <v>746</v>
      </c>
      <c r="R147" s="4" t="s">
        <v>720</v>
      </c>
      <c r="S147" s="2">
        <v>46174.474398148152</v>
      </c>
      <c r="T147" s="5">
        <v>3.2338310185185187E-3</v>
      </c>
      <c r="U147" s="4">
        <v>1.0362744331359863</v>
      </c>
      <c r="V147" s="4" t="s">
        <v>725</v>
      </c>
      <c r="W147" s="4" t="s">
        <v>645</v>
      </c>
      <c r="X147" s="6" t="s">
        <v>617</v>
      </c>
    </row>
    <row r="148" spans="1:24">
      <c r="A148" s="4" t="s">
        <v>764</v>
      </c>
      <c r="B148" s="4" t="s">
        <v>765</v>
      </c>
      <c r="D148" s="4" t="s">
        <v>716</v>
      </c>
      <c r="E148" s="4" t="s">
        <v>717</v>
      </c>
      <c r="F148" s="4" t="s">
        <v>766</v>
      </c>
      <c r="G148" s="4" t="s">
        <v>767</v>
      </c>
      <c r="H148" s="4" t="s">
        <v>768</v>
      </c>
      <c r="I148" s="4" t="s">
        <v>769</v>
      </c>
      <c r="K148" s="4" t="s">
        <v>730</v>
      </c>
      <c r="L148" s="4" t="s">
        <v>730</v>
      </c>
      <c r="M148" s="4" t="s">
        <v>645</v>
      </c>
      <c r="N148" s="4">
        <v>-71.5349121</v>
      </c>
      <c r="O148" s="4">
        <v>3.8027484399999998</v>
      </c>
      <c r="P148" s="4" t="s">
        <v>749</v>
      </c>
      <c r="Q148" s="4" t="s">
        <v>746</v>
      </c>
      <c r="R148" s="4" t="s">
        <v>720</v>
      </c>
      <c r="S148" s="2">
        <v>46174.493282986114</v>
      </c>
      <c r="T148" s="5">
        <v>9.6469907407407409E-4</v>
      </c>
      <c r="U148" s="4">
        <v>0.28003722429275513</v>
      </c>
      <c r="V148" s="4" t="s">
        <v>771</v>
      </c>
      <c r="W148" s="4" t="s">
        <v>645</v>
      </c>
      <c r="X148" s="6" t="s">
        <v>617</v>
      </c>
    </row>
    <row r="149" spans="1:24">
      <c r="A149" s="4" t="s">
        <v>764</v>
      </c>
      <c r="B149" s="4" t="s">
        <v>765</v>
      </c>
      <c r="D149" s="4" t="s">
        <v>716</v>
      </c>
      <c r="E149" s="4" t="s">
        <v>717</v>
      </c>
      <c r="F149" s="4" t="s">
        <v>766</v>
      </c>
      <c r="G149" s="4" t="s">
        <v>767</v>
      </c>
      <c r="H149" s="4" t="s">
        <v>768</v>
      </c>
      <c r="I149" s="4" t="s">
        <v>769</v>
      </c>
      <c r="K149" s="4" t="s">
        <v>730</v>
      </c>
      <c r="L149" s="4" t="s">
        <v>730</v>
      </c>
      <c r="M149" s="4" t="s">
        <v>645</v>
      </c>
      <c r="N149" s="4">
        <v>-71.534492499999999</v>
      </c>
      <c r="O149" s="4">
        <v>3.80490518</v>
      </c>
      <c r="P149" s="4" t="s">
        <v>749</v>
      </c>
      <c r="Q149" s="4" t="s">
        <v>746</v>
      </c>
      <c r="R149" s="4" t="s">
        <v>720</v>
      </c>
      <c r="S149" s="2">
        <v>46174.494247685187</v>
      </c>
      <c r="T149" s="5">
        <v>7.5231481481481482E-4</v>
      </c>
      <c r="U149" s="4">
        <v>0.21594990789890289</v>
      </c>
      <c r="V149" s="4" t="s">
        <v>666</v>
      </c>
      <c r="W149" s="4" t="s">
        <v>645</v>
      </c>
      <c r="X149" s="6" t="s">
        <v>617</v>
      </c>
    </row>
    <row r="150" spans="1:24">
      <c r="A150" s="4" t="s">
        <v>764</v>
      </c>
      <c r="B150" s="4" t="s">
        <v>765</v>
      </c>
      <c r="D150" s="4" t="s">
        <v>716</v>
      </c>
      <c r="E150" s="4" t="s">
        <v>717</v>
      </c>
      <c r="F150" s="4" t="s">
        <v>766</v>
      </c>
      <c r="G150" s="4" t="s">
        <v>767</v>
      </c>
      <c r="H150" s="4" t="s">
        <v>768</v>
      </c>
      <c r="I150" s="4" t="s">
        <v>769</v>
      </c>
      <c r="K150" s="4" t="s">
        <v>730</v>
      </c>
      <c r="L150" s="4" t="s">
        <v>730</v>
      </c>
      <c r="M150" s="4" t="s">
        <v>645</v>
      </c>
      <c r="N150" s="4">
        <v>-71.533035299999995</v>
      </c>
      <c r="O150" s="4">
        <v>3.8041303200000001</v>
      </c>
      <c r="P150" s="4" t="s">
        <v>745</v>
      </c>
      <c r="Q150" s="4" t="s">
        <v>746</v>
      </c>
      <c r="R150" s="4" t="s">
        <v>720</v>
      </c>
      <c r="S150" s="2">
        <v>46174.495000000003</v>
      </c>
      <c r="T150" s="5">
        <v>1.6333912037037037E-3</v>
      </c>
      <c r="U150" s="4">
        <v>0.52000302076339722</v>
      </c>
      <c r="V150" s="4" t="s">
        <v>725</v>
      </c>
      <c r="W150" s="4" t="s">
        <v>645</v>
      </c>
      <c r="X150" s="6" t="s">
        <v>617</v>
      </c>
    </row>
    <row r="151" spans="1:24">
      <c r="A151" s="4" t="s">
        <v>764</v>
      </c>
      <c r="B151" s="4" t="s">
        <v>765</v>
      </c>
      <c r="D151" s="4" t="s">
        <v>716</v>
      </c>
      <c r="E151" s="4" t="s">
        <v>717</v>
      </c>
      <c r="F151" s="4" t="s">
        <v>766</v>
      </c>
      <c r="G151" s="4" t="s">
        <v>767</v>
      </c>
      <c r="H151" s="4" t="s">
        <v>768</v>
      </c>
      <c r="I151" s="4" t="s">
        <v>769</v>
      </c>
      <c r="K151" s="4" t="s">
        <v>730</v>
      </c>
      <c r="L151" s="4" t="s">
        <v>730</v>
      </c>
      <c r="M151" s="4" t="s">
        <v>645</v>
      </c>
      <c r="N151" s="4">
        <v>-71.530263640677788</v>
      </c>
      <c r="O151" s="4">
        <v>3.8022710911522224</v>
      </c>
      <c r="P151" s="4" t="s">
        <v>747</v>
      </c>
      <c r="Q151" s="4" t="s">
        <v>746</v>
      </c>
      <c r="R151" s="4" t="s">
        <v>720</v>
      </c>
      <c r="S151" s="2">
        <v>46174.497961307869</v>
      </c>
      <c r="T151" s="5">
        <v>2.4471064814814814E-4</v>
      </c>
      <c r="U151" s="4">
        <v>6.6771820187568665E-2</v>
      </c>
      <c r="V151" s="4" t="s">
        <v>666</v>
      </c>
      <c r="W151" s="4" t="s">
        <v>645</v>
      </c>
      <c r="X151" s="6" t="s">
        <v>617</v>
      </c>
    </row>
    <row r="152" spans="1:24">
      <c r="A152" s="4" t="s">
        <v>764</v>
      </c>
      <c r="B152" s="4" t="s">
        <v>765</v>
      </c>
      <c r="D152" s="4" t="s">
        <v>716</v>
      </c>
      <c r="E152" s="4" t="s">
        <v>717</v>
      </c>
      <c r="F152" s="4" t="s">
        <v>766</v>
      </c>
      <c r="G152" s="4" t="s">
        <v>767</v>
      </c>
      <c r="H152" s="4" t="s">
        <v>768</v>
      </c>
      <c r="I152" s="4" t="s">
        <v>769</v>
      </c>
      <c r="K152" s="4" t="s">
        <v>730</v>
      </c>
      <c r="L152" s="4" t="s">
        <v>730</v>
      </c>
      <c r="M152" s="4" t="s">
        <v>645</v>
      </c>
      <c r="N152" s="4">
        <v>-71.530677800000007</v>
      </c>
      <c r="O152" s="4">
        <v>3.8028292700000002</v>
      </c>
      <c r="P152" s="4" t="s">
        <v>747</v>
      </c>
      <c r="Q152" s="4" t="s">
        <v>746</v>
      </c>
      <c r="R152" s="4" t="s">
        <v>720</v>
      </c>
      <c r="S152" s="2">
        <v>46174.498252314814</v>
      </c>
      <c r="T152" s="5">
        <v>2.5462962962962961E-4</v>
      </c>
      <c r="U152" s="4">
        <v>6.8583212792873383E-2</v>
      </c>
      <c r="V152" s="4" t="s">
        <v>731</v>
      </c>
      <c r="W152" s="4" t="s">
        <v>645</v>
      </c>
      <c r="X152" s="6" t="s">
        <v>617</v>
      </c>
    </row>
    <row r="153" spans="1:24">
      <c r="A153" s="4" t="s">
        <v>764</v>
      </c>
      <c r="B153" s="4" t="s">
        <v>765</v>
      </c>
      <c r="D153" s="4" t="s">
        <v>716</v>
      </c>
      <c r="E153" s="4" t="s">
        <v>717</v>
      </c>
      <c r="F153" s="4" t="s">
        <v>766</v>
      </c>
      <c r="G153" s="4" t="s">
        <v>767</v>
      </c>
      <c r="H153" s="4" t="s">
        <v>768</v>
      </c>
      <c r="I153" s="4" t="s">
        <v>769</v>
      </c>
      <c r="K153" s="4" t="s">
        <v>730</v>
      </c>
      <c r="L153" s="4" t="s">
        <v>730</v>
      </c>
      <c r="M153" s="4" t="s">
        <v>645</v>
      </c>
      <c r="N153" s="4">
        <v>-71.531204200000005</v>
      </c>
      <c r="O153" s="4">
        <v>3.8025054900000002</v>
      </c>
      <c r="P153" s="4" t="s">
        <v>748</v>
      </c>
      <c r="Q153" s="4" t="s">
        <v>746</v>
      </c>
      <c r="R153" s="4" t="s">
        <v>720</v>
      </c>
      <c r="S153" s="2">
        <v>46174.498506944445</v>
      </c>
      <c r="T153" s="5">
        <v>9.8958343333333345E-4</v>
      </c>
      <c r="U153" s="4">
        <v>0.30639755725860596</v>
      </c>
      <c r="V153" s="4" t="s">
        <v>666</v>
      </c>
      <c r="W153" s="4" t="s">
        <v>645</v>
      </c>
      <c r="X153" s="6" t="s">
        <v>617</v>
      </c>
    </row>
    <row r="154" spans="1:24">
      <c r="A154" s="4" t="s">
        <v>764</v>
      </c>
      <c r="B154" s="4" t="s">
        <v>765</v>
      </c>
      <c r="D154" s="4" t="s">
        <v>716</v>
      </c>
      <c r="E154" s="4" t="s">
        <v>717</v>
      </c>
      <c r="F154" s="4" t="s">
        <v>766</v>
      </c>
      <c r="G154" s="4" t="s">
        <v>767</v>
      </c>
      <c r="H154" s="4" t="s">
        <v>768</v>
      </c>
      <c r="I154" s="4" t="s">
        <v>769</v>
      </c>
      <c r="K154" s="4" t="s">
        <v>730</v>
      </c>
      <c r="L154" s="4" t="s">
        <v>730</v>
      </c>
      <c r="M154" s="4" t="s">
        <v>645</v>
      </c>
      <c r="N154" s="4">
        <v>-71.53305435</v>
      </c>
      <c r="O154" s="4">
        <v>3.804099205</v>
      </c>
      <c r="P154" s="4" t="s">
        <v>745</v>
      </c>
      <c r="Q154" s="4" t="s">
        <v>746</v>
      </c>
      <c r="R154" s="4" t="s">
        <v>720</v>
      </c>
      <c r="S154" s="2">
        <v>46174.499641203707</v>
      </c>
      <c r="T154" s="5">
        <v>5.4976851851851851E-5</v>
      </c>
      <c r="U154" s="4">
        <v>1.2888935394585133E-2</v>
      </c>
      <c r="V154" s="4" t="s">
        <v>724</v>
      </c>
      <c r="W154" s="4" t="s">
        <v>645</v>
      </c>
      <c r="X154" s="6" t="s">
        <v>617</v>
      </c>
    </row>
    <row r="155" spans="1:24">
      <c r="A155" s="4" t="s">
        <v>764</v>
      </c>
      <c r="B155" s="4" t="s">
        <v>765</v>
      </c>
      <c r="D155" s="4" t="s">
        <v>716</v>
      </c>
      <c r="E155" s="4" t="s">
        <v>717</v>
      </c>
      <c r="F155" s="4" t="s">
        <v>766</v>
      </c>
      <c r="G155" s="4" t="s">
        <v>767</v>
      </c>
      <c r="H155" s="4" t="s">
        <v>768</v>
      </c>
      <c r="I155" s="4" t="s">
        <v>769</v>
      </c>
      <c r="K155" s="4" t="s">
        <v>730</v>
      </c>
      <c r="L155" s="4" t="s">
        <v>730</v>
      </c>
      <c r="M155" s="4" t="s">
        <v>645</v>
      </c>
      <c r="N155" s="4">
        <v>-71.533193587500008</v>
      </c>
      <c r="O155" s="4">
        <v>3.8039914637499996</v>
      </c>
      <c r="P155" s="4" t="s">
        <v>745</v>
      </c>
      <c r="Q155" s="4" t="s">
        <v>746</v>
      </c>
      <c r="R155" s="4" t="s">
        <v>720</v>
      </c>
      <c r="S155" s="2">
        <v>46174.501572627312</v>
      </c>
      <c r="T155" s="5">
        <v>1.4033564814814814E-4</v>
      </c>
      <c r="U155" s="4">
        <v>3.3409480005502701E-2</v>
      </c>
      <c r="V155" s="4" t="s">
        <v>724</v>
      </c>
      <c r="W155" s="4" t="s">
        <v>645</v>
      </c>
      <c r="X155" s="6" t="s">
        <v>617</v>
      </c>
    </row>
    <row r="156" spans="1:24">
      <c r="A156" s="4" t="s">
        <v>764</v>
      </c>
      <c r="B156" s="4" t="s">
        <v>765</v>
      </c>
      <c r="D156" s="4" t="s">
        <v>716</v>
      </c>
      <c r="E156" s="4" t="s">
        <v>717</v>
      </c>
      <c r="F156" s="4" t="s">
        <v>766</v>
      </c>
      <c r="G156" s="4" t="s">
        <v>767</v>
      </c>
      <c r="H156" s="4" t="s">
        <v>768</v>
      </c>
      <c r="I156" s="4" t="s">
        <v>769</v>
      </c>
      <c r="K156" s="4" t="s">
        <v>730</v>
      </c>
      <c r="L156" s="4" t="s">
        <v>730</v>
      </c>
      <c r="M156" s="4" t="s">
        <v>645</v>
      </c>
      <c r="N156" s="4">
        <v>-71.5334778</v>
      </c>
      <c r="O156" s="4">
        <v>3.8040640400000001</v>
      </c>
      <c r="P156" s="4" t="s">
        <v>749</v>
      </c>
      <c r="Q156" s="4" t="s">
        <v>746</v>
      </c>
      <c r="R156" s="4" t="s">
        <v>720</v>
      </c>
      <c r="S156" s="2">
        <v>46174.501712962963</v>
      </c>
      <c r="T156" s="5">
        <v>1.4609837962962964E-3</v>
      </c>
      <c r="U156" s="4">
        <v>0.47833913564682007</v>
      </c>
      <c r="V156" s="4" t="s">
        <v>725</v>
      </c>
      <c r="W156" s="4" t="s">
        <v>645</v>
      </c>
      <c r="X156" s="6" t="s">
        <v>617</v>
      </c>
    </row>
    <row r="157" spans="1:24">
      <c r="A157" s="4" t="s">
        <v>764</v>
      </c>
      <c r="B157" s="4" t="s">
        <v>765</v>
      </c>
      <c r="D157" s="4" t="s">
        <v>716</v>
      </c>
      <c r="E157" s="4" t="s">
        <v>717</v>
      </c>
      <c r="F157" s="4" t="s">
        <v>766</v>
      </c>
      <c r="G157" s="4" t="s">
        <v>767</v>
      </c>
      <c r="H157" s="4" t="s">
        <v>768</v>
      </c>
      <c r="I157" s="4" t="s">
        <v>769</v>
      </c>
      <c r="K157" s="4" t="s">
        <v>730</v>
      </c>
      <c r="L157" s="4" t="s">
        <v>730</v>
      </c>
      <c r="M157" s="4" t="s">
        <v>614</v>
      </c>
      <c r="N157" s="4">
        <v>-71.5353317</v>
      </c>
      <c r="O157" s="4">
        <v>3.8026487800000002</v>
      </c>
      <c r="P157" s="4" t="s">
        <v>772</v>
      </c>
      <c r="Q157" s="4" t="s">
        <v>743</v>
      </c>
      <c r="R157" s="4" t="s">
        <v>730</v>
      </c>
      <c r="S157" s="2">
        <v>46174.503819444442</v>
      </c>
      <c r="T157" s="5">
        <v>6.8865740740740745E-3</v>
      </c>
      <c r="U157" s="4">
        <v>5.3340056183515117E-5</v>
      </c>
      <c r="V157" s="4" t="s">
        <v>616</v>
      </c>
      <c r="W157" s="4" t="s">
        <v>614</v>
      </c>
      <c r="X157" s="6" t="s">
        <v>617</v>
      </c>
    </row>
    <row r="158" spans="1:24">
      <c r="A158" s="4" t="s">
        <v>764</v>
      </c>
      <c r="B158" s="4" t="s">
        <v>765</v>
      </c>
      <c r="D158" s="4" t="s">
        <v>716</v>
      </c>
      <c r="E158" s="4" t="s">
        <v>717</v>
      </c>
      <c r="F158" s="4" t="s">
        <v>766</v>
      </c>
      <c r="G158" s="4" t="s">
        <v>767</v>
      </c>
      <c r="H158" s="4" t="s">
        <v>768</v>
      </c>
      <c r="I158" s="4" t="s">
        <v>769</v>
      </c>
      <c r="K158" s="4" t="s">
        <v>730</v>
      </c>
      <c r="L158" s="4" t="s">
        <v>730</v>
      </c>
      <c r="M158" s="4" t="s">
        <v>645</v>
      </c>
      <c r="N158" s="4">
        <v>-71.53514165384</v>
      </c>
      <c r="O158" s="4">
        <v>3.8026432978279998</v>
      </c>
      <c r="P158" s="4" t="s">
        <v>745</v>
      </c>
      <c r="Q158" s="4" t="s">
        <v>746</v>
      </c>
      <c r="R158" s="4" t="s">
        <v>720</v>
      </c>
      <c r="S158" s="2">
        <v>46174.511352731482</v>
      </c>
      <c r="T158" s="5">
        <v>8.2453703703703698E-5</v>
      </c>
      <c r="U158" s="4">
        <v>2.0059186965227127E-2</v>
      </c>
      <c r="V158" s="4" t="s">
        <v>724</v>
      </c>
      <c r="W158" s="4" t="s">
        <v>645</v>
      </c>
      <c r="X158" s="6" t="s">
        <v>617</v>
      </c>
    </row>
    <row r="159" spans="1:24">
      <c r="A159" s="4" t="s">
        <v>764</v>
      </c>
      <c r="B159" s="4" t="s">
        <v>765</v>
      </c>
      <c r="D159" s="4" t="s">
        <v>716</v>
      </c>
      <c r="E159" s="4" t="s">
        <v>717</v>
      </c>
      <c r="F159" s="4" t="s">
        <v>766</v>
      </c>
      <c r="G159" s="4" t="s">
        <v>767</v>
      </c>
      <c r="H159" s="4" t="s">
        <v>768</v>
      </c>
      <c r="I159" s="4" t="s">
        <v>769</v>
      </c>
      <c r="K159" s="4" t="s">
        <v>730</v>
      </c>
      <c r="L159" s="4" t="s">
        <v>730</v>
      </c>
      <c r="M159" s="4" t="s">
        <v>645</v>
      </c>
      <c r="N159" s="4">
        <v>-71.534777302738462</v>
      </c>
      <c r="O159" s="4">
        <v>3.8029597547992307</v>
      </c>
      <c r="P159" s="4" t="s">
        <v>745</v>
      </c>
      <c r="Q159" s="4" t="s">
        <v>746</v>
      </c>
      <c r="R159" s="4" t="s">
        <v>720</v>
      </c>
      <c r="S159" s="2">
        <v>46174.511589502312</v>
      </c>
      <c r="T159" s="5">
        <v>8.1790509259259262E-4</v>
      </c>
      <c r="U159" s="4">
        <v>0.24263708293437958</v>
      </c>
      <c r="V159" s="4" t="s">
        <v>666</v>
      </c>
      <c r="W159" s="4" t="s">
        <v>645</v>
      </c>
      <c r="X159" s="6" t="s">
        <v>617</v>
      </c>
    </row>
    <row r="160" spans="1:24">
      <c r="A160" s="4" t="s">
        <v>764</v>
      </c>
      <c r="B160" s="4" t="s">
        <v>765</v>
      </c>
      <c r="D160" s="4" t="s">
        <v>716</v>
      </c>
      <c r="E160" s="4" t="s">
        <v>717</v>
      </c>
      <c r="F160" s="4" t="s">
        <v>766</v>
      </c>
      <c r="G160" s="4" t="s">
        <v>767</v>
      </c>
      <c r="H160" s="4" t="s">
        <v>768</v>
      </c>
      <c r="I160" s="4" t="s">
        <v>769</v>
      </c>
      <c r="K160" s="4" t="s">
        <v>730</v>
      </c>
      <c r="L160" s="4" t="s">
        <v>730</v>
      </c>
      <c r="M160" s="4" t="s">
        <v>645</v>
      </c>
      <c r="N160" s="4">
        <v>-71.534442900000002</v>
      </c>
      <c r="O160" s="4">
        <v>3.8049653800000001</v>
      </c>
      <c r="P160" s="4" t="s">
        <v>749</v>
      </c>
      <c r="Q160" s="4" t="s">
        <v>746</v>
      </c>
      <c r="R160" s="4" t="s">
        <v>720</v>
      </c>
      <c r="S160" s="2">
        <v>46174.512471064918</v>
      </c>
      <c r="T160" s="5">
        <v>5.4976861851851859E-4</v>
      </c>
      <c r="U160" s="4">
        <v>0.15103155374526978</v>
      </c>
      <c r="V160" s="4" t="s">
        <v>731</v>
      </c>
      <c r="W160" s="4" t="s">
        <v>645</v>
      </c>
      <c r="X160" s="6" t="s">
        <v>617</v>
      </c>
    </row>
    <row r="161" spans="1:24">
      <c r="A161" s="4" t="s">
        <v>764</v>
      </c>
      <c r="B161" s="4" t="s">
        <v>765</v>
      </c>
      <c r="D161" s="4" t="s">
        <v>716</v>
      </c>
      <c r="E161" s="4" t="s">
        <v>717</v>
      </c>
      <c r="F161" s="4" t="s">
        <v>766</v>
      </c>
      <c r="G161" s="4" t="s">
        <v>767</v>
      </c>
      <c r="H161" s="4" t="s">
        <v>768</v>
      </c>
      <c r="I161" s="4" t="s">
        <v>769</v>
      </c>
      <c r="K161" s="4" t="s">
        <v>730</v>
      </c>
      <c r="L161" s="4" t="s">
        <v>730</v>
      </c>
      <c r="M161" s="4" t="s">
        <v>614</v>
      </c>
      <c r="N161" s="4">
        <v>-71.533203099999994</v>
      </c>
      <c r="O161" s="4">
        <v>3.80394363</v>
      </c>
      <c r="P161" s="4" t="s">
        <v>745</v>
      </c>
      <c r="Q161" s="4" t="s">
        <v>746</v>
      </c>
      <c r="R161" s="4" t="s">
        <v>720</v>
      </c>
      <c r="S161" s="2">
        <v>46174.513252314813</v>
      </c>
      <c r="T161" s="5">
        <v>4.5949074074074078E-3</v>
      </c>
      <c r="U161" s="4">
        <v>0</v>
      </c>
      <c r="V161" s="4" t="s">
        <v>616</v>
      </c>
      <c r="W161" s="4" t="s">
        <v>614</v>
      </c>
      <c r="X161" s="6" t="s">
        <v>617</v>
      </c>
    </row>
    <row r="162" spans="1:24">
      <c r="A162" s="4" t="s">
        <v>764</v>
      </c>
      <c r="B162" s="4" t="s">
        <v>765</v>
      </c>
      <c r="D162" s="4" t="s">
        <v>716</v>
      </c>
      <c r="E162" s="4" t="s">
        <v>717</v>
      </c>
      <c r="F162" s="4" t="s">
        <v>766</v>
      </c>
      <c r="G162" s="4" t="s">
        <v>767</v>
      </c>
      <c r="H162" s="4" t="s">
        <v>768</v>
      </c>
      <c r="I162" s="4" t="s">
        <v>769</v>
      </c>
      <c r="K162" s="4" t="s">
        <v>730</v>
      </c>
      <c r="L162" s="4" t="s">
        <v>730</v>
      </c>
      <c r="M162" s="4" t="s">
        <v>645</v>
      </c>
      <c r="N162" s="4">
        <v>-71.533164937500004</v>
      </c>
      <c r="O162" s="4">
        <v>3.8040092912500003</v>
      </c>
      <c r="P162" s="4" t="s">
        <v>745</v>
      </c>
      <c r="Q162" s="4" t="s">
        <v>746</v>
      </c>
      <c r="R162" s="4" t="s">
        <v>720</v>
      </c>
      <c r="S162" s="2">
        <v>46174.518407118056</v>
      </c>
      <c r="T162" s="5">
        <v>4.1956018518518515E-5</v>
      </c>
      <c r="U162" s="4">
        <v>1.023205928504467E-2</v>
      </c>
      <c r="V162" s="4" t="s">
        <v>724</v>
      </c>
      <c r="W162" s="4" t="s">
        <v>645</v>
      </c>
      <c r="X162" s="6" t="s">
        <v>617</v>
      </c>
    </row>
    <row r="163" spans="1:24">
      <c r="A163" s="4" t="s">
        <v>764</v>
      </c>
      <c r="B163" s="4" t="s">
        <v>765</v>
      </c>
      <c r="D163" s="4" t="s">
        <v>716</v>
      </c>
      <c r="E163" s="4" t="s">
        <v>717</v>
      </c>
      <c r="F163" s="4" t="s">
        <v>766</v>
      </c>
      <c r="G163" s="4" t="s">
        <v>767</v>
      </c>
      <c r="H163" s="4" t="s">
        <v>768</v>
      </c>
      <c r="I163" s="4" t="s">
        <v>769</v>
      </c>
      <c r="K163" s="4" t="s">
        <v>730</v>
      </c>
      <c r="L163" s="4" t="s">
        <v>730</v>
      </c>
      <c r="M163" s="4" t="s">
        <v>645</v>
      </c>
      <c r="N163" s="4">
        <v>-71.533081100000004</v>
      </c>
      <c r="O163" s="4">
        <v>3.8043130024999998</v>
      </c>
      <c r="P163" s="4" t="s">
        <v>745</v>
      </c>
      <c r="Q163" s="4" t="s">
        <v>746</v>
      </c>
      <c r="R163" s="4" t="s">
        <v>720</v>
      </c>
      <c r="S163" s="2">
        <v>46174.518582176024</v>
      </c>
      <c r="T163" s="5">
        <v>1.6575694444444444E-3</v>
      </c>
      <c r="U163" s="4">
        <v>0.50029420852661133</v>
      </c>
      <c r="V163" s="4" t="s">
        <v>666</v>
      </c>
      <c r="W163" s="4" t="s">
        <v>645</v>
      </c>
      <c r="X163" s="6" t="s">
        <v>617</v>
      </c>
    </row>
    <row r="164" spans="1:24">
      <c r="A164" s="4" t="s">
        <v>764</v>
      </c>
      <c r="B164" s="4" t="s">
        <v>765</v>
      </c>
      <c r="D164" s="4" t="s">
        <v>716</v>
      </c>
      <c r="E164" s="4" t="s">
        <v>717</v>
      </c>
      <c r="F164" s="4" t="s">
        <v>766</v>
      </c>
      <c r="G164" s="4" t="s">
        <v>767</v>
      </c>
      <c r="H164" s="4" t="s">
        <v>768</v>
      </c>
      <c r="I164" s="4" t="s">
        <v>769</v>
      </c>
      <c r="K164" s="4" t="s">
        <v>730</v>
      </c>
      <c r="L164" s="4" t="s">
        <v>730</v>
      </c>
      <c r="M164" s="4" t="s">
        <v>645</v>
      </c>
      <c r="N164" s="4">
        <v>-71.530130400000004</v>
      </c>
      <c r="O164" s="4">
        <v>3.8020782500000001</v>
      </c>
      <c r="P164" s="4" t="s">
        <v>747</v>
      </c>
      <c r="Q164" s="4" t="s">
        <v>746</v>
      </c>
      <c r="R164" s="4" t="s">
        <v>720</v>
      </c>
      <c r="S164" s="2">
        <v>46174.548732638992</v>
      </c>
      <c r="T164" s="5">
        <v>4.1087972962962962E-4</v>
      </c>
      <c r="U164" s="4">
        <v>0.12375166267156601</v>
      </c>
      <c r="V164" s="4" t="s">
        <v>666</v>
      </c>
      <c r="W164" s="4" t="s">
        <v>645</v>
      </c>
      <c r="X164" s="6" t="s">
        <v>617</v>
      </c>
    </row>
    <row r="165" spans="1:24">
      <c r="A165" s="4" t="s">
        <v>764</v>
      </c>
      <c r="B165" s="4" t="s">
        <v>765</v>
      </c>
      <c r="D165" s="4" t="s">
        <v>716</v>
      </c>
      <c r="E165" s="4" t="s">
        <v>717</v>
      </c>
      <c r="F165" s="4" t="s">
        <v>766</v>
      </c>
      <c r="G165" s="4" t="s">
        <v>767</v>
      </c>
      <c r="H165" s="4" t="s">
        <v>768</v>
      </c>
      <c r="I165" s="4" t="s">
        <v>769</v>
      </c>
      <c r="K165" s="4" t="s">
        <v>730</v>
      </c>
      <c r="L165" s="4" t="s">
        <v>730</v>
      </c>
      <c r="M165" s="4" t="s">
        <v>645</v>
      </c>
      <c r="N165" s="4">
        <v>-71.530410799999999</v>
      </c>
      <c r="O165" s="4">
        <v>3.8030903299999999</v>
      </c>
      <c r="P165" s="4" t="s">
        <v>747</v>
      </c>
      <c r="Q165" s="4" t="s">
        <v>746</v>
      </c>
      <c r="R165" s="4" t="s">
        <v>720</v>
      </c>
      <c r="S165" s="2">
        <v>46174.549247685187</v>
      </c>
      <c r="T165" s="5">
        <v>4.6296296296296298E-4</v>
      </c>
      <c r="U165" s="4">
        <v>0.14864590764045715</v>
      </c>
      <c r="V165" s="4" t="s">
        <v>771</v>
      </c>
      <c r="W165" s="4" t="s">
        <v>645</v>
      </c>
      <c r="X165" s="6" t="s">
        <v>617</v>
      </c>
    </row>
    <row r="166" spans="1:24">
      <c r="A166" s="4" t="s">
        <v>764</v>
      </c>
      <c r="B166" s="4" t="s">
        <v>765</v>
      </c>
      <c r="D166" s="4" t="s">
        <v>716</v>
      </c>
      <c r="E166" s="4" t="s">
        <v>717</v>
      </c>
      <c r="F166" s="4" t="s">
        <v>766</v>
      </c>
      <c r="G166" s="4" t="s">
        <v>767</v>
      </c>
      <c r="H166" s="4" t="s">
        <v>768</v>
      </c>
      <c r="I166" s="4" t="s">
        <v>769</v>
      </c>
      <c r="K166" s="4" t="s">
        <v>730</v>
      </c>
      <c r="L166" s="4" t="s">
        <v>730</v>
      </c>
      <c r="M166" s="4" t="s">
        <v>645</v>
      </c>
      <c r="N166" s="4">
        <v>-71.531263546139996</v>
      </c>
      <c r="O166" s="4">
        <v>3.804335834368</v>
      </c>
      <c r="P166" s="4" t="s">
        <v>747</v>
      </c>
      <c r="Q166" s="4" t="s">
        <v>746</v>
      </c>
      <c r="R166" s="4" t="s">
        <v>720</v>
      </c>
      <c r="S166" s="2">
        <v>46174.550021863426</v>
      </c>
      <c r="T166" s="5">
        <v>3.0799768518518519E-4</v>
      </c>
      <c r="U166" s="4">
        <v>9.3345850706100464E-2</v>
      </c>
      <c r="V166" s="4" t="s">
        <v>728</v>
      </c>
      <c r="W166" s="4" t="s">
        <v>645</v>
      </c>
      <c r="X166" s="6" t="s">
        <v>617</v>
      </c>
    </row>
    <row r="167" spans="1:24">
      <c r="A167" s="4" t="s">
        <v>764</v>
      </c>
      <c r="B167" s="4" t="s">
        <v>765</v>
      </c>
      <c r="D167" s="4" t="s">
        <v>716</v>
      </c>
      <c r="E167" s="4" t="s">
        <v>717</v>
      </c>
      <c r="F167" s="4" t="s">
        <v>766</v>
      </c>
      <c r="G167" s="4" t="s">
        <v>767</v>
      </c>
      <c r="H167" s="4" t="s">
        <v>768</v>
      </c>
      <c r="I167" s="4" t="s">
        <v>769</v>
      </c>
      <c r="K167" s="4" t="s">
        <v>730</v>
      </c>
      <c r="L167" s="4" t="s">
        <v>730</v>
      </c>
      <c r="M167" s="4" t="s">
        <v>645</v>
      </c>
      <c r="N167" s="4">
        <v>-71.531766875000002</v>
      </c>
      <c r="O167" s="4">
        <v>3.8050469150000001</v>
      </c>
      <c r="P167" s="4" t="s">
        <v>747</v>
      </c>
      <c r="Q167" s="4" t="s">
        <v>746</v>
      </c>
      <c r="R167" s="4" t="s">
        <v>720</v>
      </c>
      <c r="S167" s="2">
        <v>46174.550364583432</v>
      </c>
      <c r="T167" s="5">
        <v>2.4305555555555555E-4</v>
      </c>
      <c r="U167" s="4">
        <v>7.6604530215263367E-2</v>
      </c>
      <c r="V167" s="4" t="s">
        <v>725</v>
      </c>
      <c r="W167" s="4" t="s">
        <v>645</v>
      </c>
      <c r="X167" s="6" t="s">
        <v>617</v>
      </c>
    </row>
    <row r="168" spans="1:24">
      <c r="A168" s="4" t="s">
        <v>764</v>
      </c>
      <c r="B168" s="4" t="s">
        <v>765</v>
      </c>
      <c r="D168" s="4" t="s">
        <v>716</v>
      </c>
      <c r="E168" s="4" t="s">
        <v>717</v>
      </c>
      <c r="F168" s="4" t="s">
        <v>766</v>
      </c>
      <c r="G168" s="4" t="s">
        <v>767</v>
      </c>
      <c r="H168" s="4" t="s">
        <v>768</v>
      </c>
      <c r="I168" s="4" t="s">
        <v>769</v>
      </c>
      <c r="K168" s="4" t="s">
        <v>730</v>
      </c>
      <c r="L168" s="4" t="s">
        <v>730</v>
      </c>
      <c r="M168" s="4" t="s">
        <v>645</v>
      </c>
      <c r="N168" s="4">
        <v>-71.532727892272732</v>
      </c>
      <c r="O168" s="4">
        <v>3.8044607662800001</v>
      </c>
      <c r="P168" s="4" t="s">
        <v>749</v>
      </c>
      <c r="Q168" s="4" t="s">
        <v>746</v>
      </c>
      <c r="R168" s="4" t="s">
        <v>720</v>
      </c>
      <c r="S168" s="2">
        <v>46174.550783726852</v>
      </c>
      <c r="T168" s="5">
        <v>2.2321759259259259E-4</v>
      </c>
      <c r="U168" s="4">
        <v>5.4767552763223648E-2</v>
      </c>
      <c r="V168" s="4" t="s">
        <v>666</v>
      </c>
      <c r="W168" s="4" t="s">
        <v>645</v>
      </c>
      <c r="X168" s="6" t="s">
        <v>617</v>
      </c>
    </row>
    <row r="169" spans="1:24">
      <c r="A169" s="4" t="s">
        <v>764</v>
      </c>
      <c r="B169" s="4" t="s">
        <v>765</v>
      </c>
      <c r="D169" s="4" t="s">
        <v>716</v>
      </c>
      <c r="E169" s="4" t="s">
        <v>717</v>
      </c>
      <c r="F169" s="4" t="s">
        <v>766</v>
      </c>
      <c r="G169" s="4" t="s">
        <v>767</v>
      </c>
      <c r="H169" s="4" t="s">
        <v>768</v>
      </c>
      <c r="I169" s="4" t="s">
        <v>769</v>
      </c>
      <c r="K169" s="4" t="s">
        <v>730</v>
      </c>
      <c r="L169" s="4" t="s">
        <v>730</v>
      </c>
      <c r="M169" s="4" t="s">
        <v>645</v>
      </c>
      <c r="N169" s="4">
        <v>-71.532997100000003</v>
      </c>
      <c r="O169" s="4">
        <v>3.8041520100000001</v>
      </c>
      <c r="P169" s="4" t="s">
        <v>749</v>
      </c>
      <c r="Q169" s="4" t="s">
        <v>746</v>
      </c>
      <c r="R169" s="4" t="s">
        <v>720</v>
      </c>
      <c r="S169" s="2">
        <v>46174.551006944443</v>
      </c>
      <c r="T169" s="5">
        <v>1.7129629629629629E-4</v>
      </c>
      <c r="U169" s="4">
        <v>4.8890005797147751E-2</v>
      </c>
      <c r="V169" s="4" t="s">
        <v>728</v>
      </c>
      <c r="W169" s="4" t="s">
        <v>645</v>
      </c>
      <c r="X169" s="6" t="s">
        <v>617</v>
      </c>
    </row>
    <row r="170" spans="1:24">
      <c r="A170" s="4" t="s">
        <v>764</v>
      </c>
      <c r="B170" s="4" t="s">
        <v>765</v>
      </c>
      <c r="D170" s="4" t="s">
        <v>716</v>
      </c>
      <c r="E170" s="4" t="s">
        <v>717</v>
      </c>
      <c r="F170" s="4" t="s">
        <v>766</v>
      </c>
      <c r="G170" s="4" t="s">
        <v>767</v>
      </c>
      <c r="H170" s="4" t="s">
        <v>768</v>
      </c>
      <c r="I170" s="4" t="s">
        <v>769</v>
      </c>
      <c r="K170" s="4" t="s">
        <v>730</v>
      </c>
      <c r="L170" s="4" t="s">
        <v>730</v>
      </c>
      <c r="M170" s="4" t="s">
        <v>645</v>
      </c>
      <c r="N170" s="4">
        <v>-71.533552795550008</v>
      </c>
      <c r="O170" s="4">
        <v>3.8042298479099999</v>
      </c>
      <c r="P170" s="4" t="s">
        <v>745</v>
      </c>
      <c r="Q170" s="4" t="s">
        <v>746</v>
      </c>
      <c r="R170" s="4" t="s">
        <v>720</v>
      </c>
      <c r="S170" s="2">
        <v>46174.551288576389</v>
      </c>
      <c r="T170" s="5">
        <v>6.5590277777777777E-5</v>
      </c>
      <c r="U170" s="4">
        <v>1.5077591873705387E-2</v>
      </c>
      <c r="V170" s="4" t="s">
        <v>724</v>
      </c>
      <c r="W170" s="4" t="s">
        <v>645</v>
      </c>
      <c r="X170" s="6" t="s">
        <v>617</v>
      </c>
    </row>
    <row r="171" spans="1:24">
      <c r="A171" s="4" t="s">
        <v>764</v>
      </c>
      <c r="B171" s="4" t="s">
        <v>765</v>
      </c>
      <c r="D171" s="4" t="s">
        <v>716</v>
      </c>
      <c r="E171" s="4" t="s">
        <v>717</v>
      </c>
      <c r="F171" s="4" t="s">
        <v>766</v>
      </c>
      <c r="G171" s="4" t="s">
        <v>767</v>
      </c>
      <c r="H171" s="4" t="s">
        <v>768</v>
      </c>
      <c r="I171" s="4" t="s">
        <v>769</v>
      </c>
      <c r="K171" s="4" t="s">
        <v>730</v>
      </c>
      <c r="L171" s="4" t="s">
        <v>730</v>
      </c>
      <c r="M171" s="4" t="s">
        <v>645</v>
      </c>
      <c r="N171" s="4">
        <v>-71.533637999999996</v>
      </c>
      <c r="O171" s="4">
        <v>3.80433559</v>
      </c>
      <c r="P171" s="4" t="s">
        <v>749</v>
      </c>
      <c r="Q171" s="4" t="s">
        <v>746</v>
      </c>
      <c r="R171" s="4" t="s">
        <v>720</v>
      </c>
      <c r="S171" s="2">
        <v>46174.551354166666</v>
      </c>
      <c r="T171" s="5">
        <v>1.2546990740740741E-3</v>
      </c>
      <c r="U171" s="4">
        <v>0.44743594527244568</v>
      </c>
      <c r="V171" s="4" t="s">
        <v>741</v>
      </c>
      <c r="W171" s="4" t="s">
        <v>645</v>
      </c>
      <c r="X171" s="6" t="s">
        <v>617</v>
      </c>
    </row>
    <row r="172" spans="1:24">
      <c r="A172" s="4" t="s">
        <v>764</v>
      </c>
      <c r="B172" s="4" t="s">
        <v>765</v>
      </c>
      <c r="D172" s="4" t="s">
        <v>716</v>
      </c>
      <c r="E172" s="4" t="s">
        <v>717</v>
      </c>
      <c r="F172" s="4" t="s">
        <v>766</v>
      </c>
      <c r="G172" s="4" t="s">
        <v>767</v>
      </c>
      <c r="H172" s="4" t="s">
        <v>768</v>
      </c>
      <c r="I172" s="4" t="s">
        <v>769</v>
      </c>
      <c r="K172" s="4" t="s">
        <v>730</v>
      </c>
      <c r="L172" s="4" t="s">
        <v>730</v>
      </c>
      <c r="M172" s="4" t="s">
        <v>757</v>
      </c>
      <c r="N172" s="4">
        <v>-71.544639592371425</v>
      </c>
      <c r="O172" s="4">
        <v>3.7901602167799999</v>
      </c>
      <c r="P172" s="4" t="s">
        <v>773</v>
      </c>
      <c r="Q172" s="4" t="s">
        <v>743</v>
      </c>
      <c r="R172" s="4" t="s">
        <v>730</v>
      </c>
      <c r="S172" s="2">
        <v>46174.55626542824</v>
      </c>
      <c r="T172" s="5">
        <v>6.7905092592592591E-5</v>
      </c>
      <c r="U172" s="4">
        <v>6.6365189850330353E-2</v>
      </c>
      <c r="V172" s="4" t="s">
        <v>774</v>
      </c>
      <c r="W172" s="4" t="s">
        <v>757</v>
      </c>
      <c r="X172" s="6" t="s">
        <v>617</v>
      </c>
    </row>
    <row r="173" spans="1:24">
      <c r="A173" s="4" t="s">
        <v>764</v>
      </c>
      <c r="B173" s="4" t="s">
        <v>765</v>
      </c>
      <c r="D173" s="4" t="s">
        <v>716</v>
      </c>
      <c r="E173" s="4" t="s">
        <v>717</v>
      </c>
      <c r="F173" s="4" t="s">
        <v>766</v>
      </c>
      <c r="G173" s="4" t="s">
        <v>767</v>
      </c>
      <c r="H173" s="4" t="s">
        <v>768</v>
      </c>
      <c r="I173" s="4" t="s">
        <v>769</v>
      </c>
      <c r="K173" s="4" t="s">
        <v>730</v>
      </c>
      <c r="L173" s="4" t="s">
        <v>730</v>
      </c>
      <c r="M173" s="4" t="s">
        <v>685</v>
      </c>
      <c r="N173" s="4">
        <v>-71.563973101266669</v>
      </c>
      <c r="O173" s="4">
        <v>3.7820078598599998</v>
      </c>
      <c r="P173" s="4" t="s">
        <v>742</v>
      </c>
      <c r="Q173" s="4" t="s">
        <v>743</v>
      </c>
      <c r="R173" s="4" t="s">
        <v>730</v>
      </c>
      <c r="S173" s="2">
        <v>46174.565734097225</v>
      </c>
      <c r="T173" s="5">
        <v>1.5046296296296297E-7</v>
      </c>
      <c r="U173" s="4">
        <v>4.6137945901136845E-5</v>
      </c>
      <c r="V173" s="4" t="s">
        <v>775</v>
      </c>
      <c r="W173" s="4" t="s">
        <v>685</v>
      </c>
      <c r="X173" s="6" t="s">
        <v>617</v>
      </c>
    </row>
    <row r="174" spans="1:24">
      <c r="A174" s="4" t="s">
        <v>764</v>
      </c>
      <c r="B174" s="4" t="s">
        <v>765</v>
      </c>
      <c r="D174" s="4" t="s">
        <v>716</v>
      </c>
      <c r="E174" s="4" t="s">
        <v>717</v>
      </c>
      <c r="F174" s="4" t="s">
        <v>766</v>
      </c>
      <c r="G174" s="4" t="s">
        <v>767</v>
      </c>
      <c r="H174" s="4" t="s">
        <v>768</v>
      </c>
      <c r="I174" s="4" t="s">
        <v>769</v>
      </c>
      <c r="K174" s="4" t="s">
        <v>730</v>
      </c>
      <c r="L174" s="4" t="s">
        <v>730</v>
      </c>
      <c r="M174" s="4" t="s">
        <v>685</v>
      </c>
      <c r="N174" s="4">
        <v>-71.613786760560004</v>
      </c>
      <c r="O174" s="4">
        <v>3.7799117712600001</v>
      </c>
      <c r="P174" s="4" t="s">
        <v>776</v>
      </c>
      <c r="Q174" s="4" t="s">
        <v>743</v>
      </c>
      <c r="R174" s="4" t="s">
        <v>730</v>
      </c>
      <c r="S174" s="2">
        <v>46174.575912754626</v>
      </c>
      <c r="T174" s="5">
        <v>1.5046296296296297E-7</v>
      </c>
      <c r="U174" s="4">
        <v>8.1992322520818561E-5</v>
      </c>
      <c r="V174" s="4" t="s">
        <v>777</v>
      </c>
      <c r="W174" s="4" t="s">
        <v>685</v>
      </c>
      <c r="X174" s="6" t="s">
        <v>617</v>
      </c>
    </row>
    <row r="175" spans="1:24">
      <c r="A175" s="4" t="s">
        <v>764</v>
      </c>
      <c r="B175" s="4" t="s">
        <v>765</v>
      </c>
      <c r="D175" s="4" t="s">
        <v>716</v>
      </c>
      <c r="E175" s="4" t="s">
        <v>717</v>
      </c>
      <c r="F175" s="4" t="s">
        <v>766</v>
      </c>
      <c r="G175" s="4" t="s">
        <v>767</v>
      </c>
      <c r="H175" s="4" t="s">
        <v>768</v>
      </c>
      <c r="I175" s="4" t="s">
        <v>769</v>
      </c>
      <c r="K175" s="4" t="s">
        <v>730</v>
      </c>
      <c r="L175" s="4" t="s">
        <v>730</v>
      </c>
      <c r="M175" s="4" t="s">
        <v>757</v>
      </c>
      <c r="N175" s="4">
        <v>-71.614823920000006</v>
      </c>
      <c r="O175" s="4">
        <v>3.7794319139999999</v>
      </c>
      <c r="P175" s="4" t="s">
        <v>776</v>
      </c>
      <c r="Q175" s="4" t="s">
        <v>743</v>
      </c>
      <c r="R175" s="4" t="s">
        <v>730</v>
      </c>
      <c r="S175" s="2">
        <v>46174.576060185187</v>
      </c>
      <c r="T175" s="5">
        <v>1.2962962962962963E-4</v>
      </c>
      <c r="U175" s="4">
        <v>0.13103482127189636</v>
      </c>
      <c r="V175" s="4" t="s">
        <v>778</v>
      </c>
      <c r="W175" s="4" t="s">
        <v>757</v>
      </c>
      <c r="X175" s="6" t="s">
        <v>617</v>
      </c>
    </row>
    <row r="176" spans="1:24">
      <c r="A176" s="4" t="s">
        <v>764</v>
      </c>
      <c r="B176" s="4" t="s">
        <v>765</v>
      </c>
      <c r="D176" s="4" t="s">
        <v>716</v>
      </c>
      <c r="E176" s="4" t="s">
        <v>717</v>
      </c>
      <c r="F176" s="4" t="s">
        <v>766</v>
      </c>
      <c r="G176" s="4" t="s">
        <v>767</v>
      </c>
      <c r="H176" s="4" t="s">
        <v>768</v>
      </c>
      <c r="I176" s="4" t="s">
        <v>769</v>
      </c>
      <c r="K176" s="4" t="s">
        <v>730</v>
      </c>
      <c r="L176" s="4" t="s">
        <v>730</v>
      </c>
      <c r="M176" s="4" t="s">
        <v>757</v>
      </c>
      <c r="N176" s="4">
        <v>-71.618679025000006</v>
      </c>
      <c r="O176" s="4">
        <v>3.7696106999999999</v>
      </c>
      <c r="P176" s="4" t="s">
        <v>779</v>
      </c>
      <c r="Q176" s="4" t="s">
        <v>743</v>
      </c>
      <c r="R176" s="4" t="s">
        <v>730</v>
      </c>
      <c r="S176" s="2">
        <v>46174.577699652778</v>
      </c>
      <c r="T176" s="5">
        <v>5.4976851851851851E-5</v>
      </c>
      <c r="U176" s="4">
        <v>5.212850496172905E-2</v>
      </c>
      <c r="V176" s="4" t="s">
        <v>758</v>
      </c>
      <c r="W176" s="4" t="s">
        <v>757</v>
      </c>
      <c r="X176" s="6" t="s">
        <v>617</v>
      </c>
    </row>
    <row r="177" spans="1:24">
      <c r="A177" s="4" t="s">
        <v>764</v>
      </c>
      <c r="B177" s="4" t="s">
        <v>765</v>
      </c>
      <c r="D177" s="4" t="s">
        <v>716</v>
      </c>
      <c r="E177" s="4" t="s">
        <v>717</v>
      </c>
      <c r="F177" s="4" t="s">
        <v>766</v>
      </c>
      <c r="G177" s="4" t="s">
        <v>767</v>
      </c>
      <c r="H177" s="4" t="s">
        <v>768</v>
      </c>
      <c r="I177" s="4" t="s">
        <v>769</v>
      </c>
      <c r="K177" s="4" t="s">
        <v>730</v>
      </c>
      <c r="L177" s="4" t="s">
        <v>730</v>
      </c>
      <c r="M177" s="4" t="s">
        <v>757</v>
      </c>
      <c r="N177" s="4">
        <v>-71.615249640000002</v>
      </c>
      <c r="O177" s="4">
        <v>3.76628747</v>
      </c>
      <c r="P177" s="4" t="s">
        <v>779</v>
      </c>
      <c r="Q177" s="4" t="s">
        <v>743</v>
      </c>
      <c r="R177" s="4" t="s">
        <v>730</v>
      </c>
      <c r="S177" s="2">
        <v>46174.578296296299</v>
      </c>
      <c r="T177" s="5">
        <v>7.7546296296296301E-5</v>
      </c>
      <c r="U177" s="4">
        <v>7.609722763299942E-2</v>
      </c>
      <c r="V177" s="4" t="s">
        <v>778</v>
      </c>
      <c r="W177" s="4" t="s">
        <v>757</v>
      </c>
      <c r="X177" s="6" t="s">
        <v>617</v>
      </c>
    </row>
    <row r="178" spans="1:24">
      <c r="A178" s="4" t="s">
        <v>764</v>
      </c>
      <c r="B178" s="4" t="s">
        <v>765</v>
      </c>
      <c r="D178" s="4" t="s">
        <v>716</v>
      </c>
      <c r="E178" s="4" t="s">
        <v>717</v>
      </c>
      <c r="F178" s="4" t="s">
        <v>766</v>
      </c>
      <c r="G178" s="4" t="s">
        <v>767</v>
      </c>
      <c r="H178" s="4" t="s">
        <v>768</v>
      </c>
      <c r="I178" s="4" t="s">
        <v>769</v>
      </c>
      <c r="K178" s="4" t="s">
        <v>730</v>
      </c>
      <c r="L178" s="4" t="s">
        <v>730</v>
      </c>
      <c r="M178" s="4" t="s">
        <v>757</v>
      </c>
      <c r="N178" s="4">
        <v>-71.613815299999999</v>
      </c>
      <c r="O178" s="4">
        <v>3.764412165</v>
      </c>
      <c r="P178" s="4" t="s">
        <v>779</v>
      </c>
      <c r="Q178" s="4" t="s">
        <v>743</v>
      </c>
      <c r="R178" s="4" t="s">
        <v>730</v>
      </c>
      <c r="S178" s="2">
        <v>46174.578582176029</v>
      </c>
      <c r="T178" s="5">
        <v>8.9699074074074073E-5</v>
      </c>
      <c r="U178" s="4">
        <v>8.4801800549030304E-2</v>
      </c>
      <c r="V178" s="4" t="s">
        <v>758</v>
      </c>
      <c r="W178" s="4" t="s">
        <v>757</v>
      </c>
      <c r="X178" s="6" t="s">
        <v>617</v>
      </c>
    </row>
    <row r="179" spans="1:24">
      <c r="A179" s="4" t="s">
        <v>764</v>
      </c>
      <c r="B179" s="4" t="s">
        <v>765</v>
      </c>
      <c r="D179" s="4" t="s">
        <v>716</v>
      </c>
      <c r="E179" s="4" t="s">
        <v>717</v>
      </c>
      <c r="F179" s="4" t="s">
        <v>766</v>
      </c>
      <c r="G179" s="4" t="s">
        <v>767</v>
      </c>
      <c r="H179" s="4" t="s">
        <v>768</v>
      </c>
      <c r="I179" s="4" t="s">
        <v>769</v>
      </c>
      <c r="K179" s="4" t="s">
        <v>730</v>
      </c>
      <c r="L179" s="4" t="s">
        <v>730</v>
      </c>
      <c r="M179" s="4" t="s">
        <v>757</v>
      </c>
      <c r="N179" s="4">
        <v>-71.615174557649993</v>
      </c>
      <c r="O179" s="4">
        <v>3.7662594120210002</v>
      </c>
      <c r="P179" s="4" t="s">
        <v>779</v>
      </c>
      <c r="Q179" s="4" t="s">
        <v>743</v>
      </c>
      <c r="R179" s="4" t="s">
        <v>730</v>
      </c>
      <c r="S179" s="2">
        <v>46174.588128854164</v>
      </c>
      <c r="T179" s="5">
        <v>5.2083433333333337E-5</v>
      </c>
      <c r="U179" s="4">
        <v>4.8191048204898834E-2</v>
      </c>
      <c r="V179" s="4" t="s">
        <v>758</v>
      </c>
      <c r="W179" s="4" t="s">
        <v>757</v>
      </c>
      <c r="X179" s="6" t="s">
        <v>617</v>
      </c>
    </row>
    <row r="180" spans="1:24">
      <c r="A180" s="4" t="s">
        <v>764</v>
      </c>
      <c r="B180" s="4" t="s">
        <v>765</v>
      </c>
      <c r="D180" s="4" t="s">
        <v>716</v>
      </c>
      <c r="E180" s="4" t="s">
        <v>717</v>
      </c>
      <c r="F180" s="4" t="s">
        <v>766</v>
      </c>
      <c r="G180" s="4" t="s">
        <v>767</v>
      </c>
      <c r="H180" s="4" t="s">
        <v>768</v>
      </c>
      <c r="I180" s="4" t="s">
        <v>769</v>
      </c>
      <c r="K180" s="4" t="s">
        <v>730</v>
      </c>
      <c r="L180" s="4" t="s">
        <v>730</v>
      </c>
      <c r="M180" s="4" t="s">
        <v>757</v>
      </c>
      <c r="N180" s="4">
        <v>-71.614702225000002</v>
      </c>
      <c r="O180" s="4">
        <v>3.7794146574999998</v>
      </c>
      <c r="P180" s="4" t="s">
        <v>776</v>
      </c>
      <c r="Q180" s="4" t="s">
        <v>743</v>
      </c>
      <c r="R180" s="4" t="s">
        <v>730</v>
      </c>
      <c r="S180" s="2">
        <v>46174.590460069441</v>
      </c>
      <c r="T180" s="5">
        <v>6.9444444444444444E-5</v>
      </c>
      <c r="U180" s="4">
        <v>6.3590884208679199E-2</v>
      </c>
      <c r="V180" s="4" t="s">
        <v>758</v>
      </c>
      <c r="W180" s="4" t="s">
        <v>757</v>
      </c>
      <c r="X180" s="6" t="s">
        <v>617</v>
      </c>
    </row>
    <row r="181" spans="1:24">
      <c r="A181" s="4" t="s">
        <v>764</v>
      </c>
      <c r="B181" s="4" t="s">
        <v>765</v>
      </c>
      <c r="D181" s="4" t="s">
        <v>716</v>
      </c>
      <c r="E181" s="4" t="s">
        <v>717</v>
      </c>
      <c r="F181" s="4" t="s">
        <v>766</v>
      </c>
      <c r="G181" s="4" t="s">
        <v>767</v>
      </c>
      <c r="H181" s="4" t="s">
        <v>768</v>
      </c>
      <c r="I181" s="4" t="s">
        <v>769</v>
      </c>
      <c r="K181" s="4" t="s">
        <v>730</v>
      </c>
      <c r="L181" s="4" t="s">
        <v>730</v>
      </c>
      <c r="M181" s="4" t="s">
        <v>762</v>
      </c>
      <c r="N181" s="4">
        <v>-71.621176872449993</v>
      </c>
      <c r="O181" s="4">
        <v>3.7807345472850002</v>
      </c>
      <c r="P181" s="4" t="s">
        <v>734</v>
      </c>
      <c r="Q181" s="4" t="s">
        <v>735</v>
      </c>
      <c r="R181" s="4" t="s">
        <v>730</v>
      </c>
      <c r="S181" s="2">
        <v>46174.592225219909</v>
      </c>
      <c r="T181" s="5">
        <v>4.7928240740740743E-5</v>
      </c>
      <c r="U181" s="4">
        <v>3.867219015955925E-2</v>
      </c>
      <c r="V181" s="4" t="s">
        <v>780</v>
      </c>
      <c r="W181" s="4" t="s">
        <v>762</v>
      </c>
      <c r="X181" s="6" t="s">
        <v>617</v>
      </c>
    </row>
    <row r="182" spans="1:24">
      <c r="A182" s="4" t="s">
        <v>764</v>
      </c>
      <c r="B182" s="4" t="s">
        <v>765</v>
      </c>
      <c r="D182" s="4" t="s">
        <v>716</v>
      </c>
      <c r="E182" s="4" t="s">
        <v>717</v>
      </c>
      <c r="F182" s="4" t="s">
        <v>766</v>
      </c>
      <c r="G182" s="4" t="s">
        <v>767</v>
      </c>
      <c r="H182" s="4" t="s">
        <v>768</v>
      </c>
      <c r="I182" s="4" t="s">
        <v>769</v>
      </c>
      <c r="K182" s="4" t="s">
        <v>730</v>
      </c>
      <c r="L182" s="4" t="s">
        <v>730</v>
      </c>
      <c r="M182" s="4" t="s">
        <v>762</v>
      </c>
      <c r="N182" s="4">
        <v>-71.621961416799991</v>
      </c>
      <c r="O182" s="4">
        <v>3.7804974693666664</v>
      </c>
      <c r="P182" s="4" t="s">
        <v>734</v>
      </c>
      <c r="Q182" s="4" t="s">
        <v>735</v>
      </c>
      <c r="R182" s="4" t="s">
        <v>730</v>
      </c>
      <c r="S182" s="2">
        <v>46174.592365324075</v>
      </c>
      <c r="T182" s="5">
        <v>3.9768518518518516E-5</v>
      </c>
      <c r="U182" s="4">
        <v>2.8652079403400421E-2</v>
      </c>
      <c r="V182" s="4" t="s">
        <v>781</v>
      </c>
      <c r="W182" s="4" t="s">
        <v>762</v>
      </c>
      <c r="X182" s="6" t="s">
        <v>617</v>
      </c>
    </row>
    <row r="183" spans="1:24">
      <c r="A183" s="4" t="s">
        <v>764</v>
      </c>
      <c r="B183" s="4" t="s">
        <v>765</v>
      </c>
      <c r="D183" s="4" t="s">
        <v>716</v>
      </c>
      <c r="E183" s="4" t="s">
        <v>717</v>
      </c>
      <c r="F183" s="4" t="s">
        <v>766</v>
      </c>
      <c r="G183" s="4" t="s">
        <v>767</v>
      </c>
      <c r="H183" s="4" t="s">
        <v>768</v>
      </c>
      <c r="I183" s="4" t="s">
        <v>769</v>
      </c>
      <c r="K183" s="4" t="s">
        <v>730</v>
      </c>
      <c r="L183" s="4" t="s">
        <v>730</v>
      </c>
      <c r="M183" s="4" t="s">
        <v>645</v>
      </c>
      <c r="N183" s="4">
        <v>-71.625486035500003</v>
      </c>
      <c r="O183" s="4">
        <v>3.7810411145440002</v>
      </c>
      <c r="P183" s="4" t="s">
        <v>759</v>
      </c>
      <c r="Q183" s="4" t="s">
        <v>760</v>
      </c>
      <c r="R183" s="4" t="s">
        <v>730</v>
      </c>
      <c r="S183" s="2">
        <v>46174.593053344906</v>
      </c>
      <c r="T183" s="5">
        <v>2.3983796296296296E-4</v>
      </c>
      <c r="U183" s="4">
        <v>9.8465338349342346E-2</v>
      </c>
      <c r="V183" s="4" t="s">
        <v>649</v>
      </c>
      <c r="W183" s="4" t="s">
        <v>645</v>
      </c>
      <c r="X183" s="6" t="s">
        <v>617</v>
      </c>
    </row>
    <row r="184" spans="1:24">
      <c r="A184" s="4" t="s">
        <v>764</v>
      </c>
      <c r="B184" s="4" t="s">
        <v>765</v>
      </c>
      <c r="D184" s="4" t="s">
        <v>716</v>
      </c>
      <c r="E184" s="4" t="s">
        <v>717</v>
      </c>
      <c r="F184" s="4" t="s">
        <v>766</v>
      </c>
      <c r="G184" s="4" t="s">
        <v>767</v>
      </c>
      <c r="H184" s="4" t="s">
        <v>768</v>
      </c>
      <c r="I184" s="4" t="s">
        <v>769</v>
      </c>
      <c r="K184" s="4" t="s">
        <v>730</v>
      </c>
      <c r="L184" s="4" t="s">
        <v>730</v>
      </c>
      <c r="M184" s="4" t="s">
        <v>762</v>
      </c>
      <c r="N184" s="4">
        <v>-71.628320725000009</v>
      </c>
      <c r="O184" s="4">
        <v>3.7812885024999998</v>
      </c>
      <c r="P184" s="4" t="s">
        <v>734</v>
      </c>
      <c r="Q184" s="4" t="s">
        <v>735</v>
      </c>
      <c r="R184" s="4" t="s">
        <v>730</v>
      </c>
      <c r="S184" s="2">
        <v>46174.593692129631</v>
      </c>
      <c r="T184" s="5">
        <v>3.2118055555555556E-4</v>
      </c>
      <c r="U184" s="4">
        <v>0.24966175854206085</v>
      </c>
      <c r="V184" s="4" t="s">
        <v>781</v>
      </c>
      <c r="W184" s="4" t="s">
        <v>762</v>
      </c>
      <c r="X184" s="6" t="s">
        <v>617</v>
      </c>
    </row>
    <row r="185" spans="1:24">
      <c r="A185" s="4" t="s">
        <v>764</v>
      </c>
      <c r="B185" s="4" t="s">
        <v>765</v>
      </c>
      <c r="D185" s="4" t="s">
        <v>716</v>
      </c>
      <c r="E185" s="4" t="s">
        <v>717</v>
      </c>
      <c r="F185" s="4" t="s">
        <v>766</v>
      </c>
      <c r="G185" s="4" t="s">
        <v>767</v>
      </c>
      <c r="H185" s="4" t="s">
        <v>768</v>
      </c>
      <c r="I185" s="4" t="s">
        <v>769</v>
      </c>
      <c r="K185" s="4" t="s">
        <v>730</v>
      </c>
      <c r="L185" s="4" t="s">
        <v>730</v>
      </c>
      <c r="M185" s="4" t="s">
        <v>685</v>
      </c>
      <c r="N185" s="4">
        <v>-71.630354824000008</v>
      </c>
      <c r="O185" s="4">
        <v>3.7832985309600002</v>
      </c>
      <c r="P185" s="4" t="s">
        <v>734</v>
      </c>
      <c r="Q185" s="4" t="s">
        <v>735</v>
      </c>
      <c r="R185" s="4" t="s">
        <v>730</v>
      </c>
      <c r="S185" s="2">
        <v>46174.594131574071</v>
      </c>
      <c r="T185" s="5">
        <v>2.3148148148148148E-8</v>
      </c>
      <c r="U185" s="4">
        <v>8.2457181633799337E-6</v>
      </c>
      <c r="V185" s="4" t="s">
        <v>782</v>
      </c>
      <c r="W185" s="4" t="s">
        <v>685</v>
      </c>
      <c r="X185" s="6" t="s">
        <v>617</v>
      </c>
    </row>
    <row r="186" spans="1:24">
      <c r="A186" s="4" t="s">
        <v>764</v>
      </c>
      <c r="B186" s="4" t="s">
        <v>765</v>
      </c>
      <c r="D186" s="4" t="s">
        <v>716</v>
      </c>
      <c r="E186" s="4" t="s">
        <v>717</v>
      </c>
      <c r="F186" s="4" t="s">
        <v>766</v>
      </c>
      <c r="G186" s="4" t="s">
        <v>767</v>
      </c>
      <c r="H186" s="4" t="s">
        <v>768</v>
      </c>
      <c r="I186" s="4" t="s">
        <v>769</v>
      </c>
      <c r="K186" s="4" t="s">
        <v>730</v>
      </c>
      <c r="L186" s="4" t="s">
        <v>730</v>
      </c>
      <c r="M186" s="4" t="s">
        <v>645</v>
      </c>
      <c r="N186" s="4">
        <v>-71.635059475230008</v>
      </c>
      <c r="O186" s="4">
        <v>3.784251844935</v>
      </c>
      <c r="P186" s="4" t="s">
        <v>718</v>
      </c>
      <c r="Q186" s="4" t="s">
        <v>719</v>
      </c>
      <c r="R186" s="4" t="s">
        <v>720</v>
      </c>
      <c r="S186" s="2">
        <v>46174.595221863427</v>
      </c>
      <c r="T186" s="5">
        <v>2.6899305555555558E-4</v>
      </c>
      <c r="U186" s="4">
        <v>0.18344235420227051</v>
      </c>
      <c r="V186" s="4" t="s">
        <v>783</v>
      </c>
      <c r="W186" s="4" t="s">
        <v>645</v>
      </c>
      <c r="X186" s="6" t="s">
        <v>617</v>
      </c>
    </row>
    <row r="187" spans="1:24">
      <c r="A187" s="4" t="s">
        <v>764</v>
      </c>
      <c r="B187" s="4" t="s">
        <v>765</v>
      </c>
      <c r="D187" s="4" t="s">
        <v>716</v>
      </c>
      <c r="E187" s="4" t="s">
        <v>717</v>
      </c>
      <c r="F187" s="4" t="s">
        <v>766</v>
      </c>
      <c r="G187" s="4" t="s">
        <v>767</v>
      </c>
      <c r="H187" s="4" t="s">
        <v>768</v>
      </c>
      <c r="I187" s="4" t="s">
        <v>769</v>
      </c>
      <c r="K187" s="4" t="s">
        <v>730</v>
      </c>
      <c r="L187" s="4" t="s">
        <v>730</v>
      </c>
      <c r="M187" s="4" t="s">
        <v>762</v>
      </c>
      <c r="N187" s="4">
        <v>-71.637018249999997</v>
      </c>
      <c r="O187" s="4">
        <v>3.7843992725</v>
      </c>
      <c r="P187" s="4" t="s">
        <v>734</v>
      </c>
      <c r="Q187" s="4" t="s">
        <v>735</v>
      </c>
      <c r="R187" s="4" t="s">
        <v>730</v>
      </c>
      <c r="S187" s="2">
        <v>46174.595538194546</v>
      </c>
      <c r="T187" s="5">
        <v>4.2034722222222224E-4</v>
      </c>
      <c r="U187" s="4">
        <v>0.32632294297218323</v>
      </c>
      <c r="V187" s="4" t="s">
        <v>781</v>
      </c>
      <c r="W187" s="4" t="s">
        <v>762</v>
      </c>
      <c r="X187" s="6" t="s">
        <v>617</v>
      </c>
    </row>
    <row r="188" spans="1:24">
      <c r="A188" s="4" t="s">
        <v>764</v>
      </c>
      <c r="B188" s="4" t="s">
        <v>765</v>
      </c>
      <c r="D188" s="4" t="s">
        <v>716</v>
      </c>
      <c r="E188" s="4" t="s">
        <v>717</v>
      </c>
      <c r="F188" s="4" t="s">
        <v>766</v>
      </c>
      <c r="G188" s="4" t="s">
        <v>767</v>
      </c>
      <c r="H188" s="4" t="s">
        <v>768</v>
      </c>
      <c r="I188" s="4" t="s">
        <v>769</v>
      </c>
      <c r="K188" s="4" t="s">
        <v>730</v>
      </c>
      <c r="L188" s="4" t="s">
        <v>730</v>
      </c>
      <c r="M188" s="4" t="s">
        <v>762</v>
      </c>
      <c r="N188" s="4">
        <v>-71.640498320000006</v>
      </c>
      <c r="O188" s="4">
        <v>3.7846474140000002</v>
      </c>
      <c r="P188" s="4" t="s">
        <v>734</v>
      </c>
      <c r="Q188" s="4" t="s">
        <v>735</v>
      </c>
      <c r="R188" s="4" t="s">
        <v>730</v>
      </c>
      <c r="S188" s="2">
        <v>46174.596055555558</v>
      </c>
      <c r="T188" s="5">
        <v>3.2407407407407408E-5</v>
      </c>
      <c r="U188" s="4">
        <v>2.2902080789208412E-2</v>
      </c>
      <c r="V188" s="4" t="s">
        <v>763</v>
      </c>
      <c r="W188" s="4" t="s">
        <v>762</v>
      </c>
      <c r="X188" s="6" t="s">
        <v>617</v>
      </c>
    </row>
    <row r="189" spans="1:24">
      <c r="A189" s="4" t="s">
        <v>764</v>
      </c>
      <c r="B189" s="4" t="s">
        <v>765</v>
      </c>
      <c r="D189" s="4" t="s">
        <v>716</v>
      </c>
      <c r="E189" s="4" t="s">
        <v>717</v>
      </c>
      <c r="F189" s="4" t="s">
        <v>766</v>
      </c>
      <c r="G189" s="4" t="s">
        <v>767</v>
      </c>
      <c r="H189" s="4" t="s">
        <v>768</v>
      </c>
      <c r="I189" s="4" t="s">
        <v>769</v>
      </c>
      <c r="K189" s="4" t="s">
        <v>730</v>
      </c>
      <c r="L189" s="4" t="s">
        <v>730</v>
      </c>
      <c r="M189" s="4" t="s">
        <v>762</v>
      </c>
      <c r="N189" s="4">
        <v>-71.642227166666672</v>
      </c>
      <c r="O189" s="4">
        <v>3.7846384866666667</v>
      </c>
      <c r="P189" s="4" t="s">
        <v>734</v>
      </c>
      <c r="Q189" s="4" t="s">
        <v>735</v>
      </c>
      <c r="R189" s="4" t="s">
        <v>730</v>
      </c>
      <c r="S189" s="2">
        <v>46174.596377314818</v>
      </c>
      <c r="T189" s="5">
        <v>1.1188657407407408E-4</v>
      </c>
      <c r="U189" s="4">
        <v>8.3806157112121582E-2</v>
      </c>
      <c r="V189" s="4" t="s">
        <v>781</v>
      </c>
      <c r="W189" s="4" t="s">
        <v>762</v>
      </c>
      <c r="X189" s="6" t="s">
        <v>617</v>
      </c>
    </row>
    <row r="190" spans="1:24">
      <c r="A190" s="4" t="s">
        <v>764</v>
      </c>
      <c r="B190" s="4" t="s">
        <v>765</v>
      </c>
      <c r="D190" s="4" t="s">
        <v>716</v>
      </c>
      <c r="E190" s="4" t="s">
        <v>717</v>
      </c>
      <c r="F190" s="4" t="s">
        <v>766</v>
      </c>
      <c r="G190" s="4" t="s">
        <v>767</v>
      </c>
      <c r="H190" s="4" t="s">
        <v>768</v>
      </c>
      <c r="I190" s="4" t="s">
        <v>769</v>
      </c>
      <c r="K190" s="4" t="s">
        <v>730</v>
      </c>
      <c r="L190" s="4" t="s">
        <v>730</v>
      </c>
      <c r="M190" s="4" t="s">
        <v>762</v>
      </c>
      <c r="N190" s="4">
        <v>-71.643572500000005</v>
      </c>
      <c r="O190" s="4">
        <v>3.7830638066666666</v>
      </c>
      <c r="P190" s="4" t="s">
        <v>734</v>
      </c>
      <c r="Q190" s="4" t="s">
        <v>735</v>
      </c>
      <c r="R190" s="4" t="s">
        <v>730</v>
      </c>
      <c r="S190" s="2">
        <v>46174.59684027778</v>
      </c>
      <c r="T190" s="5">
        <v>1.6840277777777778E-5</v>
      </c>
      <c r="U190" s="4">
        <v>1.1196726933121681E-2</v>
      </c>
      <c r="V190" s="4" t="s">
        <v>763</v>
      </c>
      <c r="W190" s="4" t="s">
        <v>762</v>
      </c>
      <c r="X190" s="6" t="s">
        <v>617</v>
      </c>
    </row>
    <row r="191" spans="1:24">
      <c r="A191" s="4" t="s">
        <v>764</v>
      </c>
      <c r="B191" s="4" t="s">
        <v>765</v>
      </c>
      <c r="D191" s="4" t="s">
        <v>716</v>
      </c>
      <c r="E191" s="4" t="s">
        <v>717</v>
      </c>
      <c r="F191" s="4" t="s">
        <v>766</v>
      </c>
      <c r="G191" s="4" t="s">
        <v>767</v>
      </c>
      <c r="H191" s="4" t="s">
        <v>768</v>
      </c>
      <c r="I191" s="4" t="s">
        <v>769</v>
      </c>
      <c r="K191" s="4" t="s">
        <v>730</v>
      </c>
      <c r="L191" s="4" t="s">
        <v>730</v>
      </c>
      <c r="M191" s="4" t="s">
        <v>762</v>
      </c>
      <c r="N191" s="4">
        <v>-71.643850181199994</v>
      </c>
      <c r="O191" s="4">
        <v>3.78255638039</v>
      </c>
      <c r="P191" s="4" t="s">
        <v>734</v>
      </c>
      <c r="Q191" s="4" t="s">
        <v>735</v>
      </c>
      <c r="R191" s="4" t="s">
        <v>730</v>
      </c>
      <c r="S191" s="2">
        <v>46174.596941284719</v>
      </c>
      <c r="T191" s="5">
        <v>2.6357638888888888E-4</v>
      </c>
      <c r="U191" s="4">
        <v>0.19885639846324921</v>
      </c>
      <c r="V191" s="4" t="s">
        <v>781</v>
      </c>
      <c r="W191" s="4" t="s">
        <v>762</v>
      </c>
      <c r="X191" s="6" t="s">
        <v>617</v>
      </c>
    </row>
    <row r="192" spans="1:24">
      <c r="A192" s="4" t="s">
        <v>764</v>
      </c>
      <c r="B192" s="4" t="s">
        <v>765</v>
      </c>
      <c r="D192" s="4" t="s">
        <v>716</v>
      </c>
      <c r="E192" s="4" t="s">
        <v>717</v>
      </c>
      <c r="F192" s="4" t="s">
        <v>766</v>
      </c>
      <c r="G192" s="4" t="s">
        <v>767</v>
      </c>
      <c r="H192" s="4" t="s">
        <v>768</v>
      </c>
      <c r="I192" s="4" t="s">
        <v>769</v>
      </c>
      <c r="K192" s="4" t="s">
        <v>730</v>
      </c>
      <c r="L192" s="4" t="s">
        <v>730</v>
      </c>
      <c r="M192" s="4" t="s">
        <v>762</v>
      </c>
      <c r="N192" s="4">
        <v>-71.645746875899988</v>
      </c>
      <c r="O192" s="4">
        <v>3.7806597159949997</v>
      </c>
      <c r="P192" s="4" t="s">
        <v>734</v>
      </c>
      <c r="Q192" s="4" t="s">
        <v>735</v>
      </c>
      <c r="R192" s="4" t="s">
        <v>730</v>
      </c>
      <c r="S192" s="2">
        <v>46174.597391979165</v>
      </c>
      <c r="T192" s="5">
        <v>1.2290509259259259E-4</v>
      </c>
      <c r="U192" s="4">
        <v>9.8271414637565613E-2</v>
      </c>
      <c r="V192" s="4" t="s">
        <v>784</v>
      </c>
      <c r="W192" s="4" t="s">
        <v>762</v>
      </c>
      <c r="X192" s="6" t="s">
        <v>617</v>
      </c>
    </row>
    <row r="193" spans="1:24">
      <c r="A193" s="4" t="s">
        <v>764</v>
      </c>
      <c r="B193" s="4" t="s">
        <v>765</v>
      </c>
      <c r="D193" s="4" t="s">
        <v>716</v>
      </c>
      <c r="E193" s="4" t="s">
        <v>717</v>
      </c>
      <c r="F193" s="4" t="s">
        <v>766</v>
      </c>
      <c r="G193" s="4" t="s">
        <v>767</v>
      </c>
      <c r="H193" s="4" t="s">
        <v>768</v>
      </c>
      <c r="I193" s="4" t="s">
        <v>769</v>
      </c>
      <c r="K193" s="4" t="s">
        <v>730</v>
      </c>
      <c r="L193" s="4" t="s">
        <v>730</v>
      </c>
      <c r="M193" s="4" t="s">
        <v>762</v>
      </c>
      <c r="N193" s="4">
        <v>-71.648936844999994</v>
      </c>
      <c r="O193" s="4">
        <v>3.7772645564999996</v>
      </c>
      <c r="P193" s="4" t="s">
        <v>734</v>
      </c>
      <c r="Q193" s="4" t="s">
        <v>735</v>
      </c>
      <c r="R193" s="4" t="s">
        <v>730</v>
      </c>
      <c r="S193" s="2">
        <v>46174.598280671293</v>
      </c>
      <c r="T193" s="5">
        <v>1.7939814814814815E-5</v>
      </c>
      <c r="U193" s="4">
        <v>1.1803912930190563E-2</v>
      </c>
      <c r="V193" s="4" t="s">
        <v>763</v>
      </c>
      <c r="W193" s="4" t="s">
        <v>762</v>
      </c>
      <c r="X193" s="6" t="s">
        <v>617</v>
      </c>
    </row>
    <row r="194" spans="1:24">
      <c r="A194" s="4" t="s">
        <v>764</v>
      </c>
      <c r="B194" s="4" t="s">
        <v>765</v>
      </c>
      <c r="D194" s="4" t="s">
        <v>716</v>
      </c>
      <c r="E194" s="4" t="s">
        <v>717</v>
      </c>
      <c r="F194" s="4" t="s">
        <v>766</v>
      </c>
      <c r="G194" s="4" t="s">
        <v>767</v>
      </c>
      <c r="H194" s="4" t="s">
        <v>768</v>
      </c>
      <c r="I194" s="4" t="s">
        <v>769</v>
      </c>
      <c r="K194" s="4" t="s">
        <v>730</v>
      </c>
      <c r="L194" s="4" t="s">
        <v>730</v>
      </c>
      <c r="M194" s="4" t="s">
        <v>762</v>
      </c>
      <c r="N194" s="4">
        <v>-71.652456300000011</v>
      </c>
      <c r="O194" s="4">
        <v>3.7721634474999997</v>
      </c>
      <c r="P194" s="4" t="s">
        <v>734</v>
      </c>
      <c r="Q194" s="4" t="s">
        <v>735</v>
      </c>
      <c r="R194" s="4" t="s">
        <v>730</v>
      </c>
      <c r="S194" s="2">
        <v>46174.600370370368</v>
      </c>
      <c r="T194" s="5">
        <v>1.1959490740740741E-4</v>
      </c>
      <c r="U194" s="4">
        <v>9.4867855310440063E-2</v>
      </c>
      <c r="V194" s="4" t="s">
        <v>781</v>
      </c>
      <c r="W194" s="4" t="s">
        <v>762</v>
      </c>
      <c r="X194" s="6" t="s">
        <v>617</v>
      </c>
    </row>
    <row r="195" spans="1:24">
      <c r="A195" s="4" t="s">
        <v>764</v>
      </c>
      <c r="B195" s="4" t="s">
        <v>765</v>
      </c>
      <c r="D195" s="4" t="s">
        <v>716</v>
      </c>
      <c r="E195" s="4" t="s">
        <v>717</v>
      </c>
      <c r="F195" s="4" t="s">
        <v>766</v>
      </c>
      <c r="G195" s="4" t="s">
        <v>767</v>
      </c>
      <c r="H195" s="4" t="s">
        <v>768</v>
      </c>
      <c r="I195" s="4" t="s">
        <v>769</v>
      </c>
      <c r="K195" s="4" t="s">
        <v>730</v>
      </c>
      <c r="L195" s="4" t="s">
        <v>730</v>
      </c>
      <c r="M195" s="4" t="s">
        <v>762</v>
      </c>
      <c r="N195" s="4">
        <v>-71.654166625571435</v>
      </c>
      <c r="O195" s="4">
        <v>3.7724129312357144</v>
      </c>
      <c r="P195" s="4" t="s">
        <v>785</v>
      </c>
      <c r="Q195" s="4" t="s">
        <v>735</v>
      </c>
      <c r="R195" s="4" t="s">
        <v>730</v>
      </c>
      <c r="S195" s="2">
        <v>46174.600652604167</v>
      </c>
      <c r="T195" s="5">
        <v>6.730324074074074E-5</v>
      </c>
      <c r="U195" s="4">
        <v>4.9306999891996384E-2</v>
      </c>
      <c r="V195" s="4" t="s">
        <v>781</v>
      </c>
      <c r="W195" s="4" t="s">
        <v>762</v>
      </c>
      <c r="X195" s="6" t="s">
        <v>617</v>
      </c>
    </row>
    <row r="196" spans="1:24">
      <c r="A196" s="4" t="s">
        <v>764</v>
      </c>
      <c r="B196" s="4" t="s">
        <v>765</v>
      </c>
      <c r="D196" s="4" t="s">
        <v>716</v>
      </c>
      <c r="E196" s="4" t="s">
        <v>717</v>
      </c>
      <c r="F196" s="4" t="s">
        <v>766</v>
      </c>
      <c r="G196" s="4" t="s">
        <v>767</v>
      </c>
      <c r="H196" s="4" t="s">
        <v>768</v>
      </c>
      <c r="I196" s="4" t="s">
        <v>769</v>
      </c>
      <c r="K196" s="4" t="s">
        <v>730</v>
      </c>
      <c r="L196" s="4" t="s">
        <v>730</v>
      </c>
      <c r="M196" s="4" t="s">
        <v>685</v>
      </c>
      <c r="N196" s="4">
        <v>-71.65019320559999</v>
      </c>
      <c r="O196" s="4">
        <v>3.7750015372000001</v>
      </c>
      <c r="P196" s="4" t="s">
        <v>786</v>
      </c>
      <c r="Q196" s="4" t="s">
        <v>735</v>
      </c>
      <c r="R196" s="4" t="s">
        <v>730</v>
      </c>
      <c r="S196" s="2">
        <v>46174.745884722222</v>
      </c>
      <c r="T196" s="5">
        <v>2.199074074074074E-7</v>
      </c>
      <c r="U196" s="4">
        <v>7.9390098107978702E-5</v>
      </c>
      <c r="V196" s="4" t="s">
        <v>787</v>
      </c>
      <c r="W196" s="4" t="s">
        <v>685</v>
      </c>
      <c r="X196" s="6" t="s">
        <v>617</v>
      </c>
    </row>
    <row r="197" spans="1:24">
      <c r="A197" s="4" t="s">
        <v>764</v>
      </c>
      <c r="B197" s="4" t="s">
        <v>765</v>
      </c>
      <c r="D197" s="4" t="s">
        <v>716</v>
      </c>
      <c r="E197" s="4" t="s">
        <v>717</v>
      </c>
      <c r="F197" s="4" t="s">
        <v>766</v>
      </c>
      <c r="G197" s="4" t="s">
        <v>767</v>
      </c>
      <c r="H197" s="4" t="s">
        <v>768</v>
      </c>
      <c r="I197" s="4" t="s">
        <v>769</v>
      </c>
      <c r="K197" s="4" t="s">
        <v>730</v>
      </c>
      <c r="L197" s="4" t="s">
        <v>730</v>
      </c>
      <c r="M197" s="4" t="s">
        <v>762</v>
      </c>
      <c r="N197" s="4">
        <v>-71.64304347782857</v>
      </c>
      <c r="O197" s="4">
        <v>3.7841802522171428</v>
      </c>
      <c r="P197" s="4" t="s">
        <v>734</v>
      </c>
      <c r="Q197" s="4" t="s">
        <v>735</v>
      </c>
      <c r="R197" s="4" t="s">
        <v>730</v>
      </c>
      <c r="S197" s="2">
        <v>46174.748615324075</v>
      </c>
      <c r="T197" s="5">
        <v>1.2310185185185186E-4</v>
      </c>
      <c r="U197" s="4">
        <v>8.8279493153095245E-2</v>
      </c>
      <c r="V197" s="4" t="s">
        <v>763</v>
      </c>
      <c r="W197" s="4" t="s">
        <v>762</v>
      </c>
      <c r="X197" s="6" t="s">
        <v>617</v>
      </c>
    </row>
    <row r="198" spans="1:24">
      <c r="A198" s="4" t="s">
        <v>764</v>
      </c>
      <c r="B198" s="4" t="s">
        <v>765</v>
      </c>
      <c r="D198" s="4" t="s">
        <v>716</v>
      </c>
      <c r="E198" s="4" t="s">
        <v>717</v>
      </c>
      <c r="F198" s="4" t="s">
        <v>766</v>
      </c>
      <c r="G198" s="4" t="s">
        <v>767</v>
      </c>
      <c r="H198" s="4" t="s">
        <v>768</v>
      </c>
      <c r="I198" s="4" t="s">
        <v>769</v>
      </c>
      <c r="K198" s="4" t="s">
        <v>730</v>
      </c>
      <c r="L198" s="4" t="s">
        <v>730</v>
      </c>
      <c r="M198" s="4" t="s">
        <v>762</v>
      </c>
      <c r="N198" s="4">
        <v>-71.640998877488883</v>
      </c>
      <c r="O198" s="4">
        <v>3.7846387147266665</v>
      </c>
      <c r="P198" s="4" t="s">
        <v>734</v>
      </c>
      <c r="Q198" s="4" t="s">
        <v>735</v>
      </c>
      <c r="R198" s="4" t="s">
        <v>730</v>
      </c>
      <c r="S198" s="2">
        <v>46174.748966597224</v>
      </c>
      <c r="T198" s="5">
        <v>3.8032407407407409E-5</v>
      </c>
      <c r="U198" s="4">
        <v>2.6886800304055214E-2</v>
      </c>
      <c r="V198" s="4" t="s">
        <v>763</v>
      </c>
      <c r="W198" s="4" t="s">
        <v>762</v>
      </c>
      <c r="X198" s="6" t="s">
        <v>617</v>
      </c>
    </row>
    <row r="199" spans="1:24">
      <c r="A199" s="4" t="s">
        <v>764</v>
      </c>
      <c r="B199" s="4" t="s">
        <v>765</v>
      </c>
      <c r="D199" s="4" t="s">
        <v>716</v>
      </c>
      <c r="E199" s="4" t="s">
        <v>717</v>
      </c>
      <c r="F199" s="4" t="s">
        <v>766</v>
      </c>
      <c r="G199" s="4" t="s">
        <v>767</v>
      </c>
      <c r="H199" s="4" t="s">
        <v>768</v>
      </c>
      <c r="I199" s="4" t="s">
        <v>769</v>
      </c>
      <c r="K199" s="4" t="s">
        <v>730</v>
      </c>
      <c r="L199" s="4" t="s">
        <v>730</v>
      </c>
      <c r="M199" s="4" t="s">
        <v>645</v>
      </c>
      <c r="N199" s="4">
        <v>-71.636698593066669</v>
      </c>
      <c r="O199" s="4">
        <v>3.78431578512</v>
      </c>
      <c r="P199" s="4" t="s">
        <v>718</v>
      </c>
      <c r="Q199" s="4" t="s">
        <v>719</v>
      </c>
      <c r="R199" s="4" t="s">
        <v>720</v>
      </c>
      <c r="S199" s="2">
        <v>46174.749703148147</v>
      </c>
      <c r="T199" s="5">
        <v>2.9837962962962961E-4</v>
      </c>
      <c r="U199" s="4">
        <v>0.1825089305639267</v>
      </c>
      <c r="V199" s="4" t="s">
        <v>783</v>
      </c>
      <c r="W199" s="4" t="s">
        <v>645</v>
      </c>
      <c r="X199" s="6" t="s">
        <v>617</v>
      </c>
    </row>
    <row r="200" spans="1:24">
      <c r="A200" s="4" t="s">
        <v>764</v>
      </c>
      <c r="B200" s="4" t="s">
        <v>765</v>
      </c>
      <c r="D200" s="4" t="s">
        <v>716</v>
      </c>
      <c r="E200" s="4" t="s">
        <v>717</v>
      </c>
      <c r="F200" s="4" t="s">
        <v>766</v>
      </c>
      <c r="G200" s="4" t="s">
        <v>767</v>
      </c>
      <c r="H200" s="4" t="s">
        <v>768</v>
      </c>
      <c r="I200" s="4" t="s">
        <v>769</v>
      </c>
      <c r="K200" s="4" t="s">
        <v>730</v>
      </c>
      <c r="L200" s="4" t="s">
        <v>730</v>
      </c>
      <c r="M200" s="4" t="s">
        <v>762</v>
      </c>
      <c r="N200" s="4">
        <v>-71.629539480000005</v>
      </c>
      <c r="O200" s="4">
        <v>3.7826220999999998</v>
      </c>
      <c r="P200" s="4" t="s">
        <v>734</v>
      </c>
      <c r="Q200" s="4" t="s">
        <v>735</v>
      </c>
      <c r="R200" s="4" t="s">
        <v>730</v>
      </c>
      <c r="S200" s="2">
        <v>46174.75133564815</v>
      </c>
      <c r="T200" s="5">
        <v>2.5000000000000001E-4</v>
      </c>
      <c r="U200" s="4">
        <v>0.18898926675319672</v>
      </c>
      <c r="V200" s="4" t="s">
        <v>781</v>
      </c>
      <c r="W200" s="4" t="s">
        <v>762</v>
      </c>
      <c r="X200" s="6" t="s">
        <v>617</v>
      </c>
    </row>
    <row r="201" spans="1:24">
      <c r="A201" s="4" t="s">
        <v>764</v>
      </c>
      <c r="B201" s="4" t="s">
        <v>765</v>
      </c>
      <c r="D201" s="4" t="s">
        <v>716</v>
      </c>
      <c r="E201" s="4" t="s">
        <v>717</v>
      </c>
      <c r="F201" s="4" t="s">
        <v>766</v>
      </c>
      <c r="G201" s="4" t="s">
        <v>767</v>
      </c>
      <c r="H201" s="4" t="s">
        <v>768</v>
      </c>
      <c r="I201" s="4" t="s">
        <v>769</v>
      </c>
      <c r="K201" s="4" t="s">
        <v>730</v>
      </c>
      <c r="L201" s="4" t="s">
        <v>730</v>
      </c>
      <c r="M201" s="4" t="s">
        <v>645</v>
      </c>
      <c r="N201" s="4">
        <v>-71.626444895066669</v>
      </c>
      <c r="O201" s="4">
        <v>3.7808752810733335</v>
      </c>
      <c r="P201" s="4" t="s">
        <v>739</v>
      </c>
      <c r="Q201" s="4" t="s">
        <v>740</v>
      </c>
      <c r="R201" s="4" t="s">
        <v>730</v>
      </c>
      <c r="S201" s="2">
        <v>46174.752101990744</v>
      </c>
      <c r="T201" s="5">
        <v>5.0787037037037039E-5</v>
      </c>
      <c r="U201" s="4">
        <v>1.3689666986465454E-2</v>
      </c>
      <c r="V201" s="4" t="s">
        <v>728</v>
      </c>
      <c r="W201" s="4" t="s">
        <v>645</v>
      </c>
      <c r="X201" s="6" t="s">
        <v>617</v>
      </c>
    </row>
    <row r="202" spans="1:24">
      <c r="A202" s="4" t="s">
        <v>764</v>
      </c>
      <c r="B202" s="4" t="s">
        <v>765</v>
      </c>
      <c r="D202" s="4" t="s">
        <v>716</v>
      </c>
      <c r="E202" s="4" t="s">
        <v>717</v>
      </c>
      <c r="F202" s="4" t="s">
        <v>766</v>
      </c>
      <c r="G202" s="4" t="s">
        <v>767</v>
      </c>
      <c r="H202" s="4" t="s">
        <v>768</v>
      </c>
      <c r="I202" s="4" t="s">
        <v>769</v>
      </c>
      <c r="K202" s="4" t="s">
        <v>730</v>
      </c>
      <c r="L202" s="4" t="s">
        <v>730</v>
      </c>
      <c r="M202" s="4" t="s">
        <v>614</v>
      </c>
      <c r="N202" s="4">
        <v>-71.6257935</v>
      </c>
      <c r="O202" s="4">
        <v>3.78056788</v>
      </c>
      <c r="P202" s="4" t="s">
        <v>722</v>
      </c>
      <c r="Q202" s="4" t="s">
        <v>723</v>
      </c>
      <c r="R202" s="4" t="s">
        <v>720</v>
      </c>
      <c r="S202" s="2">
        <v>46174.753460648149</v>
      </c>
      <c r="T202" s="5">
        <v>4.1666666666666666E-3</v>
      </c>
      <c r="U202" s="4">
        <v>0</v>
      </c>
      <c r="V202" s="4" t="s">
        <v>616</v>
      </c>
      <c r="W202" s="4" t="s">
        <v>614</v>
      </c>
      <c r="X202" s="6" t="s">
        <v>617</v>
      </c>
    </row>
    <row r="203" spans="1:24">
      <c r="A203" s="4" t="s">
        <v>764</v>
      </c>
      <c r="B203" s="4" t="s">
        <v>765</v>
      </c>
      <c r="D203" s="4" t="s">
        <v>716</v>
      </c>
      <c r="E203" s="4" t="s">
        <v>717</v>
      </c>
      <c r="F203" s="4" t="s">
        <v>766</v>
      </c>
      <c r="G203" s="4" t="s">
        <v>767</v>
      </c>
      <c r="H203" s="4" t="s">
        <v>768</v>
      </c>
      <c r="I203" s="4" t="s">
        <v>769</v>
      </c>
      <c r="K203" s="4" t="s">
        <v>730</v>
      </c>
      <c r="L203" s="4" t="s">
        <v>730</v>
      </c>
      <c r="M203" s="4" t="s">
        <v>645</v>
      </c>
      <c r="N203" s="4">
        <v>-71.635059391999988</v>
      </c>
      <c r="O203" s="4">
        <v>3.7842461784000001</v>
      </c>
      <c r="P203" s="4" t="s">
        <v>718</v>
      </c>
      <c r="Q203" s="4" t="s">
        <v>719</v>
      </c>
      <c r="R203" s="4" t="s">
        <v>720</v>
      </c>
      <c r="S203" s="2">
        <v>46174.760739351848</v>
      </c>
      <c r="T203" s="5">
        <v>2.7344907407407407E-4</v>
      </c>
      <c r="U203" s="4">
        <v>0.18282359838485718</v>
      </c>
      <c r="V203" s="4" t="s">
        <v>783</v>
      </c>
      <c r="W203" s="4" t="s">
        <v>645</v>
      </c>
      <c r="X203" s="6" t="s">
        <v>617</v>
      </c>
    </row>
    <row r="204" spans="1:24">
      <c r="A204" s="4" t="s">
        <v>764</v>
      </c>
      <c r="B204" s="4" t="s">
        <v>765</v>
      </c>
      <c r="D204" s="4" t="s">
        <v>716</v>
      </c>
      <c r="E204" s="4" t="s">
        <v>717</v>
      </c>
      <c r="F204" s="4" t="s">
        <v>766</v>
      </c>
      <c r="G204" s="4" t="s">
        <v>767</v>
      </c>
      <c r="H204" s="4" t="s">
        <v>768</v>
      </c>
      <c r="I204" s="4" t="s">
        <v>769</v>
      </c>
      <c r="K204" s="4" t="s">
        <v>730</v>
      </c>
      <c r="L204" s="4" t="s">
        <v>730</v>
      </c>
      <c r="M204" s="4" t="s">
        <v>762</v>
      </c>
      <c r="N204" s="4">
        <v>-71.638284319999997</v>
      </c>
      <c r="O204" s="4">
        <v>3.7843194500000004</v>
      </c>
      <c r="P204" s="4" t="s">
        <v>734</v>
      </c>
      <c r="Q204" s="4" t="s">
        <v>735</v>
      </c>
      <c r="R204" s="4" t="s">
        <v>730</v>
      </c>
      <c r="S204" s="2">
        <v>46174.761280092593</v>
      </c>
      <c r="T204" s="5">
        <v>5.5555555555555558E-5</v>
      </c>
      <c r="U204" s="4">
        <v>3.8428757339715958E-2</v>
      </c>
      <c r="V204" s="4" t="s">
        <v>763</v>
      </c>
      <c r="W204" s="4" t="s">
        <v>762</v>
      </c>
      <c r="X204" s="6" t="s">
        <v>617</v>
      </c>
    </row>
    <row r="205" spans="1:24">
      <c r="A205" s="4" t="s">
        <v>764</v>
      </c>
      <c r="B205" s="4" t="s">
        <v>765</v>
      </c>
      <c r="D205" s="4" t="s">
        <v>716</v>
      </c>
      <c r="E205" s="4" t="s">
        <v>717</v>
      </c>
      <c r="F205" s="4" t="s">
        <v>766</v>
      </c>
      <c r="G205" s="4" t="s">
        <v>767</v>
      </c>
      <c r="H205" s="4" t="s">
        <v>768</v>
      </c>
      <c r="I205" s="4" t="s">
        <v>769</v>
      </c>
      <c r="K205" s="4" t="s">
        <v>730</v>
      </c>
      <c r="L205" s="4" t="s">
        <v>730</v>
      </c>
      <c r="M205" s="4" t="s">
        <v>685</v>
      </c>
      <c r="N205" s="4">
        <v>-71.648493224980001</v>
      </c>
      <c r="O205" s="4">
        <v>3.7776535320919997</v>
      </c>
      <c r="P205" s="4" t="s">
        <v>734</v>
      </c>
      <c r="Q205" s="4" t="s">
        <v>735</v>
      </c>
      <c r="R205" s="4" t="s">
        <v>730</v>
      </c>
      <c r="S205" s="2">
        <v>46174.799900266204</v>
      </c>
      <c r="T205" s="5">
        <v>1.111111111111111E-6</v>
      </c>
      <c r="U205" s="4">
        <v>4.093252937309444E-4</v>
      </c>
      <c r="V205" s="4" t="s">
        <v>788</v>
      </c>
      <c r="W205" s="4" t="s">
        <v>685</v>
      </c>
      <c r="X205" s="6" t="s">
        <v>617</v>
      </c>
    </row>
    <row r="206" spans="1:24">
      <c r="A206" s="4" t="s">
        <v>764</v>
      </c>
      <c r="B206" s="4" t="s">
        <v>765</v>
      </c>
      <c r="D206" s="4" t="s">
        <v>716</v>
      </c>
      <c r="E206" s="4" t="s">
        <v>717</v>
      </c>
      <c r="F206" s="4" t="s">
        <v>766</v>
      </c>
      <c r="G206" s="4" t="s">
        <v>767</v>
      </c>
      <c r="H206" s="4" t="s">
        <v>768</v>
      </c>
      <c r="I206" s="4" t="s">
        <v>769</v>
      </c>
      <c r="K206" s="4" t="s">
        <v>730</v>
      </c>
      <c r="L206" s="4" t="s">
        <v>730</v>
      </c>
      <c r="M206" s="4" t="s">
        <v>645</v>
      </c>
      <c r="N206" s="4">
        <v>-71.636698195009515</v>
      </c>
      <c r="O206" s="4">
        <v>3.7842441662133335</v>
      </c>
      <c r="P206" s="4" t="s">
        <v>718</v>
      </c>
      <c r="Q206" s="4" t="s">
        <v>719</v>
      </c>
      <c r="R206" s="4" t="s">
        <v>720</v>
      </c>
      <c r="S206" s="2">
        <v>46174.803101898149</v>
      </c>
      <c r="T206" s="5">
        <v>3.1342592592592593E-4</v>
      </c>
      <c r="U206" s="4">
        <v>0.18412473797798157</v>
      </c>
      <c r="V206" s="4" t="s">
        <v>751</v>
      </c>
      <c r="W206" s="4" t="s">
        <v>645</v>
      </c>
      <c r="X206" s="6" t="s">
        <v>617</v>
      </c>
    </row>
    <row r="207" spans="1:24">
      <c r="A207" s="4" t="s">
        <v>764</v>
      </c>
      <c r="B207" s="4" t="s">
        <v>765</v>
      </c>
      <c r="D207" s="4" t="s">
        <v>716</v>
      </c>
      <c r="E207" s="4" t="s">
        <v>717</v>
      </c>
      <c r="F207" s="4" t="s">
        <v>766</v>
      </c>
      <c r="G207" s="4" t="s">
        <v>767</v>
      </c>
      <c r="H207" s="4" t="s">
        <v>768</v>
      </c>
      <c r="I207" s="4" t="s">
        <v>769</v>
      </c>
      <c r="K207" s="4" t="s">
        <v>730</v>
      </c>
      <c r="L207" s="4" t="s">
        <v>730</v>
      </c>
      <c r="M207" s="4" t="s">
        <v>645</v>
      </c>
      <c r="N207" s="4">
        <v>-71.626468027374997</v>
      </c>
      <c r="O207" s="4">
        <v>3.7808367853874998</v>
      </c>
      <c r="P207" s="4" t="s">
        <v>729</v>
      </c>
      <c r="Q207" s="4" t="s">
        <v>723</v>
      </c>
      <c r="R207" s="4" t="s">
        <v>730</v>
      </c>
      <c r="S207" s="2">
        <v>46174.805565625</v>
      </c>
      <c r="T207" s="5">
        <v>3.8194444444444442E-6</v>
      </c>
      <c r="U207" s="4">
        <v>9.0800569159910083E-4</v>
      </c>
      <c r="V207" s="4" t="s">
        <v>664</v>
      </c>
      <c r="W207" s="4" t="s">
        <v>645</v>
      </c>
      <c r="X207" s="6" t="s">
        <v>617</v>
      </c>
    </row>
    <row r="208" spans="1:24">
      <c r="A208" s="4" t="s">
        <v>764</v>
      </c>
      <c r="B208" s="4" t="s">
        <v>765</v>
      </c>
      <c r="D208" s="4" t="s">
        <v>716</v>
      </c>
      <c r="E208" s="4" t="s">
        <v>717</v>
      </c>
      <c r="F208" s="4" t="s">
        <v>766</v>
      </c>
      <c r="G208" s="4" t="s">
        <v>767</v>
      </c>
      <c r="H208" s="4" t="s">
        <v>768</v>
      </c>
      <c r="I208" s="4" t="s">
        <v>769</v>
      </c>
      <c r="K208" s="4" t="s">
        <v>730</v>
      </c>
      <c r="L208" s="4" t="s">
        <v>730</v>
      </c>
      <c r="M208" s="4" t="s">
        <v>645</v>
      </c>
      <c r="N208" s="4">
        <v>-71.626007066666659</v>
      </c>
      <c r="O208" s="4">
        <v>3.7805987233333331</v>
      </c>
      <c r="P208" s="4" t="s">
        <v>722</v>
      </c>
      <c r="Q208" s="4" t="s">
        <v>723</v>
      </c>
      <c r="R208" s="4" t="s">
        <v>720</v>
      </c>
      <c r="S208" s="2">
        <v>46174.806203703702</v>
      </c>
      <c r="T208" s="5">
        <v>1.0802083333333333E-4</v>
      </c>
      <c r="U208" s="4">
        <v>2.5141995400190353E-2</v>
      </c>
      <c r="V208" s="4" t="s">
        <v>724</v>
      </c>
      <c r="W208" s="4" t="s">
        <v>645</v>
      </c>
      <c r="X208" s="6" t="s">
        <v>617</v>
      </c>
    </row>
    <row r="209" spans="1:24">
      <c r="A209" s="4" t="s">
        <v>764</v>
      </c>
      <c r="B209" s="4" t="s">
        <v>765</v>
      </c>
      <c r="D209" s="4" t="s">
        <v>716</v>
      </c>
      <c r="E209" s="4" t="s">
        <v>717</v>
      </c>
      <c r="F209" s="4" t="s">
        <v>766</v>
      </c>
      <c r="G209" s="4" t="s">
        <v>767</v>
      </c>
      <c r="H209" s="4" t="s">
        <v>768</v>
      </c>
      <c r="I209" s="4" t="s">
        <v>769</v>
      </c>
      <c r="K209" s="4" t="s">
        <v>730</v>
      </c>
      <c r="L209" s="4" t="s">
        <v>730</v>
      </c>
      <c r="M209" s="4" t="s">
        <v>762</v>
      </c>
      <c r="N209" s="4">
        <v>-71.630803658942853</v>
      </c>
      <c r="O209" s="4">
        <v>3.7834669565142858</v>
      </c>
      <c r="P209" s="4" t="s">
        <v>734</v>
      </c>
      <c r="Q209" s="4" t="s">
        <v>735</v>
      </c>
      <c r="R209" s="4" t="s">
        <v>730</v>
      </c>
      <c r="S209" s="2">
        <v>46174.810734513892</v>
      </c>
      <c r="T209" s="5">
        <v>6.6412037037037039E-5</v>
      </c>
      <c r="U209" s="4">
        <v>4.7867044806480408E-2</v>
      </c>
      <c r="V209" s="4" t="s">
        <v>763</v>
      </c>
      <c r="W209" s="4" t="s">
        <v>762</v>
      </c>
      <c r="X209" s="6" t="s">
        <v>617</v>
      </c>
    </row>
    <row r="210" spans="1:24">
      <c r="A210" s="4" t="s">
        <v>764</v>
      </c>
      <c r="B210" s="4" t="s">
        <v>765</v>
      </c>
      <c r="D210" s="4" t="s">
        <v>716</v>
      </c>
      <c r="E210" s="4" t="s">
        <v>717</v>
      </c>
      <c r="F210" s="4" t="s">
        <v>766</v>
      </c>
      <c r="G210" s="4" t="s">
        <v>767</v>
      </c>
      <c r="H210" s="4" t="s">
        <v>768</v>
      </c>
      <c r="I210" s="4" t="s">
        <v>769</v>
      </c>
      <c r="K210" s="4" t="s">
        <v>730</v>
      </c>
      <c r="L210" s="4" t="s">
        <v>730</v>
      </c>
      <c r="M210" s="4" t="s">
        <v>645</v>
      </c>
      <c r="N210" s="4">
        <v>-71.635059746845457</v>
      </c>
      <c r="O210" s="4">
        <v>3.784276646820909</v>
      </c>
      <c r="P210" s="4" t="s">
        <v>718</v>
      </c>
      <c r="Q210" s="4" t="s">
        <v>719</v>
      </c>
      <c r="R210" s="4" t="s">
        <v>720</v>
      </c>
      <c r="S210" s="2">
        <v>46174.811522997683</v>
      </c>
      <c r="T210" s="5">
        <v>3.0319444444444442E-4</v>
      </c>
      <c r="U210" s="4">
        <v>0.18352344632148743</v>
      </c>
      <c r="V210" s="4" t="s">
        <v>789</v>
      </c>
      <c r="W210" s="4" t="s">
        <v>645</v>
      </c>
      <c r="X210" s="6" t="s">
        <v>617</v>
      </c>
    </row>
    <row r="211" spans="1:24">
      <c r="A211" s="4" t="s">
        <v>764</v>
      </c>
      <c r="B211" s="4" t="s">
        <v>765</v>
      </c>
      <c r="D211" s="4" t="s">
        <v>716</v>
      </c>
      <c r="E211" s="4" t="s">
        <v>717</v>
      </c>
      <c r="F211" s="4" t="s">
        <v>766</v>
      </c>
      <c r="G211" s="4" t="s">
        <v>767</v>
      </c>
      <c r="H211" s="4" t="s">
        <v>768</v>
      </c>
      <c r="I211" s="4" t="s">
        <v>769</v>
      </c>
      <c r="K211" s="4" t="s">
        <v>730</v>
      </c>
      <c r="L211" s="4" t="s">
        <v>730</v>
      </c>
      <c r="M211" s="4" t="s">
        <v>645</v>
      </c>
      <c r="N211" s="4">
        <v>-71.636698158018177</v>
      </c>
      <c r="O211" s="4">
        <v>3.7842377938572729</v>
      </c>
      <c r="P211" s="4" t="s">
        <v>718</v>
      </c>
      <c r="Q211" s="4" t="s">
        <v>719</v>
      </c>
      <c r="R211" s="4" t="s">
        <v>720</v>
      </c>
      <c r="S211" s="2">
        <v>46174.875472650463</v>
      </c>
      <c r="T211" s="5">
        <v>3.4221064814814813E-4</v>
      </c>
      <c r="U211" s="4">
        <v>0.18259897828102112</v>
      </c>
      <c r="V211" s="4" t="s">
        <v>750</v>
      </c>
      <c r="W211" s="4" t="s">
        <v>645</v>
      </c>
      <c r="X211" s="6" t="s">
        <v>617</v>
      </c>
    </row>
    <row r="212" spans="1:24">
      <c r="A212" s="4" t="s">
        <v>764</v>
      </c>
      <c r="B212" s="4" t="s">
        <v>765</v>
      </c>
      <c r="D212" s="4" t="s">
        <v>716</v>
      </c>
      <c r="E212" s="4" t="s">
        <v>717</v>
      </c>
      <c r="F212" s="4" t="s">
        <v>766</v>
      </c>
      <c r="G212" s="4" t="s">
        <v>767</v>
      </c>
      <c r="H212" s="4" t="s">
        <v>768</v>
      </c>
      <c r="I212" s="4" t="s">
        <v>769</v>
      </c>
      <c r="K212" s="4" t="s">
        <v>730</v>
      </c>
      <c r="L212" s="4" t="s">
        <v>730</v>
      </c>
      <c r="M212" s="4" t="s">
        <v>645</v>
      </c>
      <c r="N212" s="4">
        <v>-71.626413506660001</v>
      </c>
      <c r="O212" s="4">
        <v>3.7809079816279998</v>
      </c>
      <c r="P212" s="4" t="s">
        <v>739</v>
      </c>
      <c r="Q212" s="4" t="s">
        <v>740</v>
      </c>
      <c r="R212" s="4" t="s">
        <v>730</v>
      </c>
      <c r="S212" s="2">
        <v>46174.878776307873</v>
      </c>
      <c r="T212" s="5">
        <v>4.2361111111111114E-6</v>
      </c>
      <c r="U212" s="4">
        <v>1.1163735762238503E-3</v>
      </c>
      <c r="V212" s="4" t="s">
        <v>724</v>
      </c>
      <c r="W212" s="4" t="s">
        <v>645</v>
      </c>
      <c r="X212" s="6" t="s">
        <v>617</v>
      </c>
    </row>
    <row r="213" spans="1:24">
      <c r="A213" s="4" t="s">
        <v>764</v>
      </c>
      <c r="B213" s="4" t="s">
        <v>765</v>
      </c>
      <c r="D213" s="4" t="s">
        <v>716</v>
      </c>
      <c r="E213" s="4" t="s">
        <v>717</v>
      </c>
      <c r="F213" s="4" t="s">
        <v>766</v>
      </c>
      <c r="G213" s="4" t="s">
        <v>767</v>
      </c>
      <c r="H213" s="4" t="s">
        <v>768</v>
      </c>
      <c r="I213" s="4" t="s">
        <v>769</v>
      </c>
      <c r="K213" s="4" t="s">
        <v>730</v>
      </c>
      <c r="L213" s="4" t="s">
        <v>730</v>
      </c>
      <c r="M213" s="4" t="s">
        <v>645</v>
      </c>
      <c r="N213" s="4">
        <v>-71.635059834812125</v>
      </c>
      <c r="O213" s="4">
        <v>3.7842843069587881</v>
      </c>
      <c r="P213" s="4" t="s">
        <v>718</v>
      </c>
      <c r="Q213" s="4" t="s">
        <v>719</v>
      </c>
      <c r="R213" s="4" t="s">
        <v>720</v>
      </c>
      <c r="S213" s="2">
        <v>46174.880836157405</v>
      </c>
      <c r="T213" s="5">
        <v>3.0017361111111114E-4</v>
      </c>
      <c r="U213" s="4">
        <v>0.18301413953304291</v>
      </c>
      <c r="V213" s="4" t="s">
        <v>783</v>
      </c>
      <c r="W213" s="4" t="s">
        <v>645</v>
      </c>
      <c r="X213" s="6" t="s">
        <v>617</v>
      </c>
    </row>
    <row r="214" spans="1:24">
      <c r="A214" s="4" t="s">
        <v>764</v>
      </c>
      <c r="B214" s="4" t="s">
        <v>765</v>
      </c>
      <c r="D214" s="4" t="s">
        <v>716</v>
      </c>
      <c r="E214" s="4" t="s">
        <v>717</v>
      </c>
      <c r="F214" s="4" t="s">
        <v>766</v>
      </c>
      <c r="G214" s="4" t="s">
        <v>767</v>
      </c>
      <c r="H214" s="4" t="s">
        <v>768</v>
      </c>
      <c r="I214" s="4" t="s">
        <v>769</v>
      </c>
      <c r="K214" s="4" t="s">
        <v>730</v>
      </c>
      <c r="L214" s="4" t="s">
        <v>730</v>
      </c>
      <c r="M214" s="4" t="s">
        <v>762</v>
      </c>
      <c r="N214" s="4">
        <v>-71.638160691636358</v>
      </c>
      <c r="O214" s="4">
        <v>3.7842729870209091</v>
      </c>
      <c r="P214" s="4" t="s">
        <v>734</v>
      </c>
      <c r="Q214" s="4" t="s">
        <v>735</v>
      </c>
      <c r="R214" s="4" t="s">
        <v>730</v>
      </c>
      <c r="S214" s="2">
        <v>46174.934899687498</v>
      </c>
      <c r="T214" s="5">
        <v>6.3275462962962962E-5</v>
      </c>
      <c r="U214" s="4">
        <v>4.4563271105289459E-2</v>
      </c>
      <c r="V214" s="4" t="s">
        <v>763</v>
      </c>
      <c r="W214" s="4" t="s">
        <v>762</v>
      </c>
      <c r="X214" s="6" t="s">
        <v>617</v>
      </c>
    </row>
    <row r="215" spans="1:24">
      <c r="A215" s="4" t="s">
        <v>764</v>
      </c>
      <c r="B215" s="4" t="s">
        <v>765</v>
      </c>
      <c r="D215" s="4" t="s">
        <v>716</v>
      </c>
      <c r="E215" s="4" t="s">
        <v>717</v>
      </c>
      <c r="F215" s="4" t="s">
        <v>766</v>
      </c>
      <c r="G215" s="4" t="s">
        <v>767</v>
      </c>
      <c r="H215" s="4" t="s">
        <v>768</v>
      </c>
      <c r="I215" s="4" t="s">
        <v>769</v>
      </c>
      <c r="K215" s="4" t="s">
        <v>730</v>
      </c>
      <c r="L215" s="4" t="s">
        <v>730</v>
      </c>
      <c r="M215" s="4" t="s">
        <v>645</v>
      </c>
      <c r="N215" s="4">
        <v>-71.636698089250004</v>
      </c>
      <c r="O215" s="4">
        <v>3.7842182218412499</v>
      </c>
      <c r="P215" s="4" t="s">
        <v>718</v>
      </c>
      <c r="Q215" s="4" t="s">
        <v>719</v>
      </c>
      <c r="R215" s="4" t="s">
        <v>720</v>
      </c>
      <c r="S215" s="2">
        <v>46174.935154884261</v>
      </c>
      <c r="T215" s="5">
        <v>3.1342592592592593E-4</v>
      </c>
      <c r="U215" s="4">
        <v>0.1827528178691864</v>
      </c>
      <c r="V215" s="4" t="s">
        <v>732</v>
      </c>
      <c r="W215" s="4" t="s">
        <v>645</v>
      </c>
      <c r="X215" s="6" t="s">
        <v>617</v>
      </c>
    </row>
    <row r="216" spans="1:24">
      <c r="A216" s="4" t="s">
        <v>764</v>
      </c>
      <c r="B216" s="4" t="s">
        <v>765</v>
      </c>
      <c r="D216" s="4" t="s">
        <v>716</v>
      </c>
      <c r="E216" s="4" t="s">
        <v>717</v>
      </c>
      <c r="F216" s="4" t="s">
        <v>766</v>
      </c>
      <c r="G216" s="4" t="s">
        <v>767</v>
      </c>
      <c r="H216" s="4" t="s">
        <v>768</v>
      </c>
      <c r="I216" s="4" t="s">
        <v>769</v>
      </c>
      <c r="K216" s="4" t="s">
        <v>730</v>
      </c>
      <c r="L216" s="4" t="s">
        <v>730</v>
      </c>
      <c r="M216" s="4" t="s">
        <v>645</v>
      </c>
      <c r="N216" s="4">
        <v>-71.626413652599993</v>
      </c>
      <c r="O216" s="4">
        <v>3.7809271799999999</v>
      </c>
      <c r="P216" s="4" t="s">
        <v>739</v>
      </c>
      <c r="Q216" s="4" t="s">
        <v>740</v>
      </c>
      <c r="R216" s="4" t="s">
        <v>730</v>
      </c>
      <c r="S216" s="2">
        <v>46174.937524606481</v>
      </c>
      <c r="T216" s="5">
        <v>1.8115740740740741E-4</v>
      </c>
      <c r="U216" s="4">
        <v>7.5734443962574005E-2</v>
      </c>
      <c r="V216" s="4" t="s">
        <v>738</v>
      </c>
      <c r="W216" s="4" t="s">
        <v>645</v>
      </c>
      <c r="X216" s="6" t="s">
        <v>617</v>
      </c>
    </row>
    <row r="217" spans="1:24">
      <c r="A217" s="4" t="s">
        <v>764</v>
      </c>
      <c r="B217" s="4" t="s">
        <v>765</v>
      </c>
      <c r="D217" s="4" t="s">
        <v>716</v>
      </c>
      <c r="E217" s="4" t="s">
        <v>717</v>
      </c>
      <c r="F217" s="4" t="s">
        <v>766</v>
      </c>
      <c r="G217" s="4" t="s">
        <v>767</v>
      </c>
      <c r="H217" s="4" t="s">
        <v>768</v>
      </c>
      <c r="I217" s="4" t="s">
        <v>769</v>
      </c>
      <c r="K217" s="4" t="s">
        <v>730</v>
      </c>
      <c r="L217" s="4" t="s">
        <v>730</v>
      </c>
      <c r="M217" s="4" t="s">
        <v>645</v>
      </c>
      <c r="N217" s="4">
        <v>-71.625704945828573</v>
      </c>
      <c r="O217" s="4">
        <v>3.7809463179185712</v>
      </c>
      <c r="P217" s="4" t="s">
        <v>759</v>
      </c>
      <c r="Q217" s="4" t="s">
        <v>760</v>
      </c>
      <c r="R217" s="4" t="s">
        <v>730</v>
      </c>
      <c r="S217" s="2">
        <v>46174.937713738429</v>
      </c>
      <c r="T217" s="5">
        <v>1.933449074074074E-4</v>
      </c>
      <c r="U217" s="4">
        <v>9.3421861529350281E-2</v>
      </c>
      <c r="V217" s="4" t="s">
        <v>750</v>
      </c>
      <c r="W217" s="4" t="s">
        <v>645</v>
      </c>
      <c r="X217" s="6" t="s">
        <v>617</v>
      </c>
    </row>
    <row r="218" spans="1:24">
      <c r="A218" s="4" t="s">
        <v>764</v>
      </c>
      <c r="B218" s="4" t="s">
        <v>765</v>
      </c>
      <c r="D218" s="4" t="s">
        <v>716</v>
      </c>
      <c r="E218" s="4" t="s">
        <v>717</v>
      </c>
      <c r="F218" s="4" t="s">
        <v>766</v>
      </c>
      <c r="G218" s="4" t="s">
        <v>767</v>
      </c>
      <c r="H218" s="4" t="s">
        <v>768</v>
      </c>
      <c r="I218" s="4" t="s">
        <v>769</v>
      </c>
      <c r="K218" s="4" t="s">
        <v>730</v>
      </c>
      <c r="L218" s="4" t="s">
        <v>730</v>
      </c>
      <c r="M218" s="4" t="s">
        <v>645</v>
      </c>
      <c r="N218" s="4">
        <v>-71.623956184920004</v>
      </c>
      <c r="O218" s="4">
        <v>3.7811116741520001</v>
      </c>
      <c r="P218" s="4" t="s">
        <v>759</v>
      </c>
      <c r="Q218" s="4" t="s">
        <v>760</v>
      </c>
      <c r="R218" s="4" t="s">
        <v>730</v>
      </c>
      <c r="S218" s="2">
        <v>46174.938150856484</v>
      </c>
      <c r="T218" s="5">
        <v>5.2129629629629631E-5</v>
      </c>
      <c r="U218" s="4">
        <v>3.101365827023983E-2</v>
      </c>
      <c r="V218" s="4" t="s">
        <v>751</v>
      </c>
      <c r="W218" s="4" t="s">
        <v>645</v>
      </c>
      <c r="X218" s="6" t="s">
        <v>617</v>
      </c>
    </row>
    <row r="219" spans="1:24">
      <c r="A219" s="4" t="s">
        <v>764</v>
      </c>
      <c r="B219" s="4" t="s">
        <v>765</v>
      </c>
      <c r="D219" s="4" t="s">
        <v>716</v>
      </c>
      <c r="E219" s="4" t="s">
        <v>717</v>
      </c>
      <c r="F219" s="4" t="s">
        <v>766</v>
      </c>
      <c r="G219" s="4" t="s">
        <v>767</v>
      </c>
      <c r="H219" s="4" t="s">
        <v>768</v>
      </c>
      <c r="I219" s="4" t="s">
        <v>769</v>
      </c>
      <c r="K219" s="4" t="s">
        <v>730</v>
      </c>
      <c r="L219" s="4" t="s">
        <v>730</v>
      </c>
      <c r="M219" s="4" t="s">
        <v>757</v>
      </c>
      <c r="N219" s="4">
        <v>-71.573393289999999</v>
      </c>
      <c r="O219" s="4">
        <v>3.7754893300000001</v>
      </c>
      <c r="P219" s="4" t="s">
        <v>742</v>
      </c>
      <c r="Q219" s="4" t="s">
        <v>743</v>
      </c>
      <c r="R219" s="4" t="s">
        <v>730</v>
      </c>
      <c r="S219" s="2">
        <v>46174.948269676024</v>
      </c>
      <c r="T219" s="5">
        <v>9.6412037037037036E-6</v>
      </c>
      <c r="U219" s="4">
        <v>8.7104272097349167E-3</v>
      </c>
      <c r="V219" s="4" t="s">
        <v>758</v>
      </c>
      <c r="W219" s="4" t="s">
        <v>757</v>
      </c>
      <c r="X219" s="6" t="s">
        <v>617</v>
      </c>
    </row>
    <row r="220" spans="1:24">
      <c r="A220" s="4" t="s">
        <v>764</v>
      </c>
      <c r="B220" s="4" t="s">
        <v>765</v>
      </c>
      <c r="D220" s="4" t="s">
        <v>716</v>
      </c>
      <c r="E220" s="4" t="s">
        <v>717</v>
      </c>
      <c r="F220" s="4" t="s">
        <v>766</v>
      </c>
      <c r="G220" s="4" t="s">
        <v>767</v>
      </c>
      <c r="H220" s="4" t="s">
        <v>768</v>
      </c>
      <c r="I220" s="4" t="s">
        <v>769</v>
      </c>
      <c r="K220" s="4" t="s">
        <v>730</v>
      </c>
      <c r="L220" s="4" t="s">
        <v>730</v>
      </c>
      <c r="M220" s="4" t="s">
        <v>614</v>
      </c>
      <c r="N220" s="4">
        <v>-71.549011199999995</v>
      </c>
      <c r="O220" s="4">
        <v>3.7825479500000001</v>
      </c>
      <c r="P220" s="4" t="s">
        <v>742</v>
      </c>
      <c r="Q220" s="4" t="s">
        <v>743</v>
      </c>
      <c r="R220" s="4" t="s">
        <v>730</v>
      </c>
      <c r="S220" s="2">
        <v>46174.957858796297</v>
      </c>
      <c r="T220" s="5">
        <v>7.6305671296296295E-3</v>
      </c>
      <c r="U220" s="4">
        <v>3.3968333154916763E-3</v>
      </c>
      <c r="V220" s="4" t="s">
        <v>616</v>
      </c>
      <c r="W220" s="4" t="s">
        <v>614</v>
      </c>
      <c r="X220" s="6" t="s">
        <v>617</v>
      </c>
    </row>
    <row r="221" spans="1:24">
      <c r="A221" s="4" t="s">
        <v>764</v>
      </c>
      <c r="B221" s="4" t="s">
        <v>765</v>
      </c>
      <c r="D221" s="4" t="s">
        <v>716</v>
      </c>
      <c r="E221" s="4" t="s">
        <v>717</v>
      </c>
      <c r="F221" s="4" t="s">
        <v>766</v>
      </c>
      <c r="G221" s="4" t="s">
        <v>767</v>
      </c>
      <c r="H221" s="4" t="s">
        <v>768</v>
      </c>
      <c r="I221" s="4" t="s">
        <v>769</v>
      </c>
      <c r="K221" s="4" t="s">
        <v>730</v>
      </c>
      <c r="L221" s="4" t="s">
        <v>730</v>
      </c>
      <c r="M221" s="4" t="s">
        <v>757</v>
      </c>
      <c r="N221" s="4">
        <v>-71.544576675000002</v>
      </c>
      <c r="O221" s="4">
        <v>3.7905814025</v>
      </c>
      <c r="P221" s="4" t="s">
        <v>773</v>
      </c>
      <c r="Q221" s="4" t="s">
        <v>743</v>
      </c>
      <c r="R221" s="4" t="s">
        <v>730</v>
      </c>
      <c r="S221" s="2">
        <v>46174.970260416769</v>
      </c>
      <c r="T221" s="5">
        <v>1.0416666666666666E-5</v>
      </c>
      <c r="U221" s="4">
        <v>9.2302765697240829E-3</v>
      </c>
      <c r="V221" s="4" t="s">
        <v>758</v>
      </c>
      <c r="W221" s="4" t="s">
        <v>757</v>
      </c>
      <c r="X221" s="6" t="s">
        <v>617</v>
      </c>
    </row>
    <row r="222" spans="1:24">
      <c r="A222" s="4" t="s">
        <v>764</v>
      </c>
      <c r="B222" s="4" t="s">
        <v>765</v>
      </c>
      <c r="D222" s="4" t="s">
        <v>716</v>
      </c>
      <c r="E222" s="4" t="s">
        <v>717</v>
      </c>
      <c r="F222" s="4" t="s">
        <v>766</v>
      </c>
      <c r="G222" s="4" t="s">
        <v>767</v>
      </c>
      <c r="H222" s="4" t="s">
        <v>768</v>
      </c>
      <c r="I222" s="4" t="s">
        <v>769</v>
      </c>
      <c r="K222" s="4" t="s">
        <v>730</v>
      </c>
      <c r="L222" s="4" t="s">
        <v>730</v>
      </c>
      <c r="M222" s="4" t="s">
        <v>645</v>
      </c>
      <c r="N222" s="4">
        <v>-71.535109291750004</v>
      </c>
      <c r="O222" s="4">
        <v>3.8025886964403846</v>
      </c>
      <c r="P222" s="4" t="s">
        <v>745</v>
      </c>
      <c r="Q222" s="4" t="s">
        <v>746</v>
      </c>
      <c r="R222" s="4" t="s">
        <v>720</v>
      </c>
      <c r="S222" s="2">
        <v>46174.974438252313</v>
      </c>
      <c r="T222" s="5">
        <v>1.1558796296296295E-3</v>
      </c>
      <c r="U222" s="4">
        <v>0.41315051913261414</v>
      </c>
      <c r="V222" s="4" t="s">
        <v>741</v>
      </c>
      <c r="W222" s="4" t="s">
        <v>645</v>
      </c>
      <c r="X222" s="6" t="s">
        <v>617</v>
      </c>
    </row>
    <row r="223" spans="1:24">
      <c r="A223" s="4" t="s">
        <v>764</v>
      </c>
      <c r="B223" s="4" t="s">
        <v>765</v>
      </c>
      <c r="D223" s="4" t="s">
        <v>716</v>
      </c>
      <c r="E223" s="4" t="s">
        <v>717</v>
      </c>
      <c r="F223" s="4" t="s">
        <v>766</v>
      </c>
      <c r="G223" s="4" t="s">
        <v>767</v>
      </c>
      <c r="H223" s="4" t="s">
        <v>768</v>
      </c>
      <c r="I223" s="4" t="s">
        <v>769</v>
      </c>
      <c r="K223" s="4" t="s">
        <v>730</v>
      </c>
      <c r="L223" s="4" t="s">
        <v>730</v>
      </c>
      <c r="M223" s="4" t="s">
        <v>645</v>
      </c>
      <c r="N223" s="4">
        <v>-71.533723440000003</v>
      </c>
      <c r="O223" s="4">
        <v>3.8043397419999998</v>
      </c>
      <c r="P223" s="4" t="s">
        <v>749</v>
      </c>
      <c r="Q223" s="4" t="s">
        <v>746</v>
      </c>
      <c r="R223" s="4" t="s">
        <v>720</v>
      </c>
      <c r="S223" s="2">
        <v>46174.975664351849</v>
      </c>
      <c r="T223" s="5">
        <v>9.9537037037037031E-5</v>
      </c>
      <c r="U223" s="4">
        <v>2.4998785927891731E-2</v>
      </c>
      <c r="V223" s="4" t="s">
        <v>728</v>
      </c>
      <c r="W223" s="4" t="s">
        <v>645</v>
      </c>
      <c r="X223" s="6" t="s">
        <v>617</v>
      </c>
    </row>
    <row r="224" spans="1:24">
      <c r="A224" s="4" t="s">
        <v>764</v>
      </c>
      <c r="B224" s="4" t="s">
        <v>765</v>
      </c>
      <c r="D224" s="4" t="s">
        <v>716</v>
      </c>
      <c r="E224" s="4" t="s">
        <v>717</v>
      </c>
      <c r="F224" s="4" t="s">
        <v>766</v>
      </c>
      <c r="G224" s="4" t="s">
        <v>767</v>
      </c>
      <c r="H224" s="4" t="s">
        <v>768</v>
      </c>
      <c r="I224" s="4" t="s">
        <v>769</v>
      </c>
      <c r="K224" s="4" t="s">
        <v>730</v>
      </c>
      <c r="L224" s="4" t="s">
        <v>730</v>
      </c>
      <c r="M224" s="4" t="s">
        <v>645</v>
      </c>
      <c r="N224" s="4">
        <v>-71.532991999999993</v>
      </c>
      <c r="O224" s="4">
        <v>3.8042237000000001</v>
      </c>
      <c r="P224" s="4" t="s">
        <v>749</v>
      </c>
      <c r="Q224" s="4" t="s">
        <v>746</v>
      </c>
      <c r="R224" s="4" t="s">
        <v>720</v>
      </c>
      <c r="S224" s="2">
        <v>46174.984143518515</v>
      </c>
      <c r="T224" s="5">
        <v>5.7484953703703702E-4</v>
      </c>
      <c r="U224" s="4">
        <v>0.18747149407863617</v>
      </c>
      <c r="V224" s="4" t="s">
        <v>741</v>
      </c>
      <c r="W224" s="4" t="s">
        <v>645</v>
      </c>
      <c r="X224" s="6" t="s">
        <v>617</v>
      </c>
    </row>
    <row r="225" spans="1:24">
      <c r="A225" s="4" t="s">
        <v>764</v>
      </c>
      <c r="B225" s="4" t="s">
        <v>765</v>
      </c>
      <c r="D225" s="4" t="s">
        <v>716</v>
      </c>
      <c r="E225" s="4" t="s">
        <v>717</v>
      </c>
      <c r="F225" s="4" t="s">
        <v>766</v>
      </c>
      <c r="G225" s="4" t="s">
        <v>767</v>
      </c>
      <c r="H225" s="4" t="s">
        <v>768</v>
      </c>
      <c r="I225" s="4" t="s">
        <v>769</v>
      </c>
      <c r="K225" s="4" t="s">
        <v>730</v>
      </c>
      <c r="L225" s="4" t="s">
        <v>730</v>
      </c>
      <c r="M225" s="4" t="s">
        <v>645</v>
      </c>
      <c r="N225" s="4">
        <v>-71.531805419999998</v>
      </c>
      <c r="O225" s="4">
        <v>3.803144122</v>
      </c>
      <c r="P225" s="4" t="s">
        <v>747</v>
      </c>
      <c r="Q225" s="4" t="s">
        <v>746</v>
      </c>
      <c r="R225" s="4" t="s">
        <v>720</v>
      </c>
      <c r="S225" s="2">
        <v>46174.984800925929</v>
      </c>
      <c r="T225" s="5">
        <v>1.0041203703703703E-3</v>
      </c>
      <c r="U225" s="4">
        <v>0.2950032651424408</v>
      </c>
      <c r="V225" s="4" t="s">
        <v>666</v>
      </c>
      <c r="W225" s="4" t="s">
        <v>645</v>
      </c>
      <c r="X225" s="6" t="s">
        <v>617</v>
      </c>
    </row>
    <row r="226" spans="1:24">
      <c r="A226" s="4" t="s">
        <v>764</v>
      </c>
      <c r="B226" s="4" t="s">
        <v>765</v>
      </c>
      <c r="D226" s="4" t="s">
        <v>716</v>
      </c>
      <c r="E226" s="4" t="s">
        <v>717</v>
      </c>
      <c r="F226" s="4" t="s">
        <v>766</v>
      </c>
      <c r="G226" s="4" t="s">
        <v>767</v>
      </c>
      <c r="H226" s="4" t="s">
        <v>768</v>
      </c>
      <c r="I226" s="4" t="s">
        <v>769</v>
      </c>
      <c r="K226" s="4" t="s">
        <v>730</v>
      </c>
      <c r="L226" s="4" t="s">
        <v>730</v>
      </c>
      <c r="M226" s="4" t="s">
        <v>754</v>
      </c>
      <c r="N226" s="4">
        <v>-71.530108172445452</v>
      </c>
      <c r="O226" s="4">
        <v>3.8020576731400002</v>
      </c>
      <c r="P226" s="4" t="s">
        <v>747</v>
      </c>
      <c r="Q226" s="4" t="s">
        <v>746</v>
      </c>
      <c r="R226" s="4" t="s">
        <v>720</v>
      </c>
      <c r="S226" s="2">
        <v>46174.990632719906</v>
      </c>
      <c r="T226" s="5">
        <v>2.7005787037037037E-4</v>
      </c>
      <c r="U226" s="4">
        <v>7.3552511632442474E-2</v>
      </c>
      <c r="V226" s="4" t="s">
        <v>790</v>
      </c>
      <c r="W226" s="4" t="s">
        <v>754</v>
      </c>
      <c r="X226" s="6" t="s">
        <v>617</v>
      </c>
    </row>
    <row r="227" spans="1:24">
      <c r="A227" s="4" t="s">
        <v>764</v>
      </c>
      <c r="B227" s="4" t="s">
        <v>765</v>
      </c>
      <c r="D227" s="4" t="s">
        <v>716</v>
      </c>
      <c r="E227" s="4" t="s">
        <v>717</v>
      </c>
      <c r="F227" s="4" t="s">
        <v>766</v>
      </c>
      <c r="G227" s="4" t="s">
        <v>767</v>
      </c>
      <c r="H227" s="4" t="s">
        <v>768</v>
      </c>
      <c r="I227" s="4" t="s">
        <v>769</v>
      </c>
      <c r="K227" s="4" t="s">
        <v>730</v>
      </c>
      <c r="L227" s="4" t="s">
        <v>730</v>
      </c>
      <c r="M227" s="4" t="s">
        <v>645</v>
      </c>
      <c r="N227" s="4">
        <v>-71.530108172445452</v>
      </c>
      <c r="O227" s="4">
        <v>3.8020576731400002</v>
      </c>
      <c r="P227" s="4" t="s">
        <v>747</v>
      </c>
      <c r="Q227" s="4" t="s">
        <v>746</v>
      </c>
      <c r="R227" s="4" t="s">
        <v>720</v>
      </c>
      <c r="S227" s="2">
        <v>46174.990632719906</v>
      </c>
      <c r="T227" s="5">
        <v>2.7005787037037037E-4</v>
      </c>
      <c r="U227" s="4">
        <v>7.3552511632442474E-2</v>
      </c>
      <c r="V227" s="4" t="s">
        <v>728</v>
      </c>
      <c r="W227" s="4" t="s">
        <v>645</v>
      </c>
      <c r="X227" s="6" t="s">
        <v>617</v>
      </c>
    </row>
    <row r="228" spans="1:24">
      <c r="A228" s="4" t="s">
        <v>764</v>
      </c>
      <c r="B228" s="4" t="s">
        <v>765</v>
      </c>
      <c r="D228" s="4" t="s">
        <v>716</v>
      </c>
      <c r="E228" s="4" t="s">
        <v>717</v>
      </c>
      <c r="F228" s="4" t="s">
        <v>766</v>
      </c>
      <c r="G228" s="4" t="s">
        <v>767</v>
      </c>
      <c r="H228" s="4" t="s">
        <v>768</v>
      </c>
      <c r="I228" s="4" t="s">
        <v>769</v>
      </c>
      <c r="K228" s="4" t="s">
        <v>730</v>
      </c>
      <c r="L228" s="4" t="s">
        <v>730</v>
      </c>
      <c r="M228" s="4" t="s">
        <v>754</v>
      </c>
      <c r="N228" s="4">
        <v>-71.530712100000002</v>
      </c>
      <c r="O228" s="4">
        <v>3.8022217749999996</v>
      </c>
      <c r="P228" s="4" t="s">
        <v>747</v>
      </c>
      <c r="Q228" s="4" t="s">
        <v>746</v>
      </c>
      <c r="R228" s="4" t="s">
        <v>720</v>
      </c>
      <c r="S228" s="2">
        <v>46174.991018518522</v>
      </c>
      <c r="T228" s="5">
        <v>6.655092592592593E-5</v>
      </c>
      <c r="U228" s="4">
        <v>1.9616154953837395E-2</v>
      </c>
      <c r="V228" s="4" t="s">
        <v>791</v>
      </c>
      <c r="W228" s="4" t="s">
        <v>754</v>
      </c>
      <c r="X228" s="6" t="s">
        <v>617</v>
      </c>
    </row>
    <row r="229" spans="1:24">
      <c r="A229" s="4" t="s">
        <v>764</v>
      </c>
      <c r="B229" s="4" t="s">
        <v>765</v>
      </c>
      <c r="D229" s="4" t="s">
        <v>716</v>
      </c>
      <c r="E229" s="4" t="s">
        <v>717</v>
      </c>
      <c r="F229" s="4" t="s">
        <v>766</v>
      </c>
      <c r="G229" s="4" t="s">
        <v>767</v>
      </c>
      <c r="H229" s="4" t="s">
        <v>768</v>
      </c>
      <c r="I229" s="4" t="s">
        <v>769</v>
      </c>
      <c r="K229" s="4" t="s">
        <v>730</v>
      </c>
      <c r="L229" s="4" t="s">
        <v>730</v>
      </c>
      <c r="M229" s="4" t="s">
        <v>645</v>
      </c>
      <c r="N229" s="4">
        <v>-71.530712100000002</v>
      </c>
      <c r="O229" s="4">
        <v>3.8022217749999996</v>
      </c>
      <c r="P229" s="4" t="s">
        <v>747</v>
      </c>
      <c r="Q229" s="4" t="s">
        <v>746</v>
      </c>
      <c r="R229" s="4" t="s">
        <v>720</v>
      </c>
      <c r="S229" s="2">
        <v>46174.991018518522</v>
      </c>
      <c r="T229" s="5">
        <v>6.655092592592593E-5</v>
      </c>
      <c r="U229" s="4">
        <v>1.9616154953837395E-2</v>
      </c>
      <c r="V229" s="4" t="s">
        <v>731</v>
      </c>
      <c r="W229" s="4" t="s">
        <v>645</v>
      </c>
      <c r="X229" s="6" t="s">
        <v>617</v>
      </c>
    </row>
    <row r="230" spans="1:24">
      <c r="A230" s="4" t="s">
        <v>792</v>
      </c>
      <c r="B230" s="4" t="s">
        <v>793</v>
      </c>
      <c r="C230" s="4" t="s">
        <v>794</v>
      </c>
      <c r="D230" s="4" t="s">
        <v>716</v>
      </c>
      <c r="E230" s="4" t="s">
        <v>717</v>
      </c>
      <c r="M230" s="4" t="s">
        <v>614</v>
      </c>
      <c r="N230" s="4">
        <v>-71.6296921</v>
      </c>
      <c r="O230" s="4">
        <v>3.7760448499999999</v>
      </c>
      <c r="P230" s="4" t="s">
        <v>795</v>
      </c>
      <c r="Q230" s="4" t="s">
        <v>743</v>
      </c>
      <c r="R230" s="4" t="s">
        <v>730</v>
      </c>
      <c r="S230" s="2">
        <v>46174.07562822917</v>
      </c>
      <c r="T230" s="5">
        <v>5.3439930555555558E-3</v>
      </c>
      <c r="U230" s="4">
        <v>3.8443794474005699E-3</v>
      </c>
      <c r="V230" s="4" t="s">
        <v>616</v>
      </c>
      <c r="W230" s="4" t="s">
        <v>614</v>
      </c>
      <c r="X230" s="6" t="s">
        <v>617</v>
      </c>
    </row>
    <row r="231" spans="1:24">
      <c r="A231" s="4" t="s">
        <v>792</v>
      </c>
      <c r="B231" s="4" t="s">
        <v>793</v>
      </c>
      <c r="C231" s="4" t="s">
        <v>794</v>
      </c>
      <c r="D231" s="4" t="s">
        <v>716</v>
      </c>
      <c r="E231" s="4" t="s">
        <v>717</v>
      </c>
      <c r="M231" s="4" t="s">
        <v>754</v>
      </c>
      <c r="N231" s="4">
        <v>-71.629679372842858</v>
      </c>
      <c r="O231" s="4">
        <v>3.7762665015828571</v>
      </c>
      <c r="P231" s="4" t="s">
        <v>795</v>
      </c>
      <c r="Q231" s="4" t="s">
        <v>743</v>
      </c>
      <c r="R231" s="4" t="s">
        <v>730</v>
      </c>
      <c r="S231" s="2">
        <v>46174.083132719905</v>
      </c>
      <c r="T231" s="5">
        <v>3.8114583333333333E-4</v>
      </c>
      <c r="U231" s="4">
        <v>0.13309487700462341</v>
      </c>
      <c r="V231" s="4" t="s">
        <v>796</v>
      </c>
      <c r="W231" s="4" t="s">
        <v>754</v>
      </c>
      <c r="X231" s="6" t="s">
        <v>617</v>
      </c>
    </row>
    <row r="232" spans="1:24">
      <c r="A232" s="4" t="s">
        <v>792</v>
      </c>
      <c r="B232" s="4" t="s">
        <v>793</v>
      </c>
      <c r="C232" s="4" t="s">
        <v>794</v>
      </c>
      <c r="D232" s="4" t="s">
        <v>716</v>
      </c>
      <c r="E232" s="4" t="s">
        <v>717</v>
      </c>
      <c r="M232" s="4" t="s">
        <v>645</v>
      </c>
      <c r="N232" s="4">
        <v>-71.629871386618191</v>
      </c>
      <c r="O232" s="4">
        <v>3.7771406685981819</v>
      </c>
      <c r="P232" s="4" t="s">
        <v>797</v>
      </c>
      <c r="Q232" s="4" t="s">
        <v>746</v>
      </c>
      <c r="R232" s="4" t="s">
        <v>720</v>
      </c>
      <c r="S232" s="2">
        <v>46174.083484791663</v>
      </c>
      <c r="T232" s="5">
        <v>1.0145949074074074E-3</v>
      </c>
      <c r="U232" s="4">
        <v>0.53301471471786499</v>
      </c>
      <c r="V232" s="4" t="s">
        <v>789</v>
      </c>
      <c r="W232" s="4" t="s">
        <v>645</v>
      </c>
      <c r="X232" s="6" t="s">
        <v>617</v>
      </c>
    </row>
    <row r="233" spans="1:24">
      <c r="A233" s="4" t="s">
        <v>792</v>
      </c>
      <c r="B233" s="4" t="s">
        <v>793</v>
      </c>
      <c r="C233" s="4" t="s">
        <v>794</v>
      </c>
      <c r="D233" s="4" t="s">
        <v>716</v>
      </c>
      <c r="E233" s="4" t="s">
        <v>717</v>
      </c>
      <c r="M233" s="4" t="s">
        <v>762</v>
      </c>
      <c r="N233" s="4">
        <v>-71.628266733450005</v>
      </c>
      <c r="O233" s="4">
        <v>3.7812052239175</v>
      </c>
      <c r="P233" s="4" t="s">
        <v>734</v>
      </c>
      <c r="Q233" s="4" t="s">
        <v>735</v>
      </c>
      <c r="R233" s="4" t="s">
        <v>730</v>
      </c>
      <c r="S233" s="2">
        <v>46174.084645289353</v>
      </c>
      <c r="T233" s="5">
        <v>3.3541666666666664E-4</v>
      </c>
      <c r="U233" s="4">
        <v>0.2814655601978302</v>
      </c>
      <c r="V233" s="4" t="s">
        <v>798</v>
      </c>
      <c r="W233" s="4" t="s">
        <v>762</v>
      </c>
      <c r="X233" s="6" t="s">
        <v>617</v>
      </c>
    </row>
    <row r="234" spans="1:24">
      <c r="A234" s="4" t="s">
        <v>792</v>
      </c>
      <c r="B234" s="4" t="s">
        <v>793</v>
      </c>
      <c r="C234" s="4" t="s">
        <v>794</v>
      </c>
      <c r="D234" s="4" t="s">
        <v>716</v>
      </c>
      <c r="E234" s="4" t="s">
        <v>717</v>
      </c>
      <c r="M234" s="4" t="s">
        <v>762</v>
      </c>
      <c r="N234" s="4">
        <v>-71.630538130700003</v>
      </c>
      <c r="O234" s="4">
        <v>3.7833386845549999</v>
      </c>
      <c r="P234" s="4" t="s">
        <v>734</v>
      </c>
      <c r="Q234" s="4" t="s">
        <v>735</v>
      </c>
      <c r="R234" s="4" t="s">
        <v>730</v>
      </c>
      <c r="S234" s="2">
        <v>46174.085102881945</v>
      </c>
      <c r="T234" s="5">
        <v>1.6717592592592592E-4</v>
      </c>
      <c r="U234" s="4">
        <v>0.13306093215942383</v>
      </c>
      <c r="V234" s="4" t="s">
        <v>780</v>
      </c>
      <c r="W234" s="4" t="s">
        <v>762</v>
      </c>
      <c r="X234" s="6" t="s">
        <v>617</v>
      </c>
    </row>
    <row r="235" spans="1:24">
      <c r="A235" s="4" t="s">
        <v>792</v>
      </c>
      <c r="B235" s="4" t="s">
        <v>793</v>
      </c>
      <c r="C235" s="4" t="s">
        <v>794</v>
      </c>
      <c r="D235" s="4" t="s">
        <v>716</v>
      </c>
      <c r="E235" s="4" t="s">
        <v>717</v>
      </c>
      <c r="M235" s="4" t="s">
        <v>762</v>
      </c>
      <c r="N235" s="4">
        <v>-71.632265099999998</v>
      </c>
      <c r="O235" s="4">
        <v>3.7837647775000001</v>
      </c>
      <c r="P235" s="4" t="s">
        <v>734</v>
      </c>
      <c r="Q235" s="4" t="s">
        <v>735</v>
      </c>
      <c r="R235" s="4" t="s">
        <v>730</v>
      </c>
      <c r="S235" s="2">
        <v>46174.08539641204</v>
      </c>
      <c r="T235" s="5">
        <v>5.8287037037037038E-5</v>
      </c>
      <c r="U235" s="4">
        <v>4.4427022337913513E-2</v>
      </c>
      <c r="V235" s="4" t="s">
        <v>781</v>
      </c>
      <c r="W235" s="4" t="s">
        <v>762</v>
      </c>
      <c r="X235" s="6" t="s">
        <v>617</v>
      </c>
    </row>
    <row r="236" spans="1:24">
      <c r="A236" s="4" t="s">
        <v>792</v>
      </c>
      <c r="B236" s="4" t="s">
        <v>793</v>
      </c>
      <c r="C236" s="4" t="s">
        <v>794</v>
      </c>
      <c r="D236" s="4" t="s">
        <v>716</v>
      </c>
      <c r="E236" s="4" t="s">
        <v>717</v>
      </c>
      <c r="M236" s="4" t="s">
        <v>762</v>
      </c>
      <c r="N236" s="4">
        <v>-71.632946799999999</v>
      </c>
      <c r="O236" s="4">
        <v>3.7838790879999999</v>
      </c>
      <c r="P236" s="4" t="s">
        <v>734</v>
      </c>
      <c r="Q236" s="4" t="s">
        <v>735</v>
      </c>
      <c r="R236" s="4" t="s">
        <v>730</v>
      </c>
      <c r="S236" s="2">
        <v>46174.085502314818</v>
      </c>
      <c r="T236" s="5">
        <v>8.269675925925926E-5</v>
      </c>
      <c r="U236" s="4">
        <v>6.3132531940937042E-2</v>
      </c>
      <c r="V236" s="4" t="s">
        <v>763</v>
      </c>
      <c r="W236" s="4" t="s">
        <v>762</v>
      </c>
      <c r="X236" s="6" t="s">
        <v>617</v>
      </c>
    </row>
    <row r="237" spans="1:24">
      <c r="A237" s="4" t="s">
        <v>792</v>
      </c>
      <c r="B237" s="4" t="s">
        <v>793</v>
      </c>
      <c r="C237" s="4" t="s">
        <v>794</v>
      </c>
      <c r="D237" s="4" t="s">
        <v>716</v>
      </c>
      <c r="E237" s="4" t="s">
        <v>717</v>
      </c>
      <c r="M237" s="4" t="s">
        <v>656</v>
      </c>
      <c r="N237" s="4">
        <v>-71.633979800000006</v>
      </c>
      <c r="O237" s="4">
        <v>3.7839283899999998</v>
      </c>
      <c r="P237" s="4" t="s">
        <v>734</v>
      </c>
      <c r="Q237" s="4" t="s">
        <v>735</v>
      </c>
      <c r="R237" s="4" t="s">
        <v>730</v>
      </c>
      <c r="S237" s="2">
        <v>46174.085682870369</v>
      </c>
      <c r="T237" s="5">
        <v>5.1542824074074078E-4</v>
      </c>
      <c r="U237" s="4">
        <v>0.30030697584152222</v>
      </c>
      <c r="V237" s="4" t="s">
        <v>799</v>
      </c>
      <c r="W237" s="4" t="s">
        <v>656</v>
      </c>
      <c r="X237" s="6" t="s">
        <v>617</v>
      </c>
    </row>
    <row r="238" spans="1:24">
      <c r="A238" s="4" t="s">
        <v>792</v>
      </c>
      <c r="B238" s="4" t="s">
        <v>793</v>
      </c>
      <c r="C238" s="4" t="s">
        <v>794</v>
      </c>
      <c r="D238" s="4" t="s">
        <v>716</v>
      </c>
      <c r="E238" s="4" t="s">
        <v>717</v>
      </c>
      <c r="M238" s="4" t="s">
        <v>645</v>
      </c>
      <c r="N238" s="4">
        <v>-71.63449061928182</v>
      </c>
      <c r="O238" s="4">
        <v>3.7814235168190908</v>
      </c>
      <c r="P238" s="4" t="s">
        <v>800</v>
      </c>
      <c r="Q238" s="4" t="s">
        <v>746</v>
      </c>
      <c r="R238" s="4" t="s">
        <v>720</v>
      </c>
      <c r="S238" s="2">
        <v>46174.086265474536</v>
      </c>
      <c r="T238" s="5">
        <v>2.3915509259259259E-4</v>
      </c>
      <c r="U238" s="4">
        <v>8.3180665969848633E-2</v>
      </c>
      <c r="V238" s="4" t="s">
        <v>752</v>
      </c>
      <c r="W238" s="4" t="s">
        <v>645</v>
      </c>
      <c r="X238" s="6" t="s">
        <v>617</v>
      </c>
    </row>
    <row r="239" spans="1:24">
      <c r="A239" s="4" t="s">
        <v>792</v>
      </c>
      <c r="B239" s="4" t="s">
        <v>793</v>
      </c>
      <c r="C239" s="4" t="s">
        <v>794</v>
      </c>
      <c r="D239" s="4" t="s">
        <v>716</v>
      </c>
      <c r="E239" s="4" t="s">
        <v>717</v>
      </c>
      <c r="M239" s="4" t="s">
        <v>645</v>
      </c>
      <c r="N239" s="4">
        <v>-71.633762878840002</v>
      </c>
      <c r="O239" s="4">
        <v>3.7812925416719998</v>
      </c>
      <c r="P239" s="4" t="s">
        <v>800</v>
      </c>
      <c r="Q239" s="4" t="s">
        <v>746</v>
      </c>
      <c r="R239" s="4" t="s">
        <v>720</v>
      </c>
      <c r="S239" s="2">
        <v>46174.093012569443</v>
      </c>
      <c r="T239" s="5">
        <v>2.5373842592592592E-4</v>
      </c>
      <c r="U239" s="4">
        <v>8.3101674914360046E-2</v>
      </c>
      <c r="V239" s="4" t="s">
        <v>666</v>
      </c>
      <c r="W239" s="4" t="s">
        <v>645</v>
      </c>
      <c r="X239" s="6" t="s">
        <v>617</v>
      </c>
    </row>
    <row r="240" spans="1:24">
      <c r="A240" s="4" t="s">
        <v>792</v>
      </c>
      <c r="B240" s="4" t="s">
        <v>793</v>
      </c>
      <c r="C240" s="4" t="s">
        <v>794</v>
      </c>
      <c r="D240" s="4" t="s">
        <v>716</v>
      </c>
      <c r="E240" s="4" t="s">
        <v>717</v>
      </c>
      <c r="M240" s="4" t="s">
        <v>656</v>
      </c>
      <c r="N240" s="4">
        <v>-71.634597799999995</v>
      </c>
      <c r="O240" s="4">
        <v>3.7815911799999999</v>
      </c>
      <c r="P240" s="4" t="s">
        <v>742</v>
      </c>
      <c r="Q240" s="4" t="s">
        <v>743</v>
      </c>
      <c r="R240" s="4" t="s">
        <v>730</v>
      </c>
      <c r="S240" s="2">
        <v>46174.09337962963</v>
      </c>
      <c r="T240" s="5">
        <v>5.0925925925925921E-4</v>
      </c>
      <c r="U240" s="4">
        <v>0.302339106798172</v>
      </c>
      <c r="V240" s="4" t="s">
        <v>801</v>
      </c>
      <c r="W240" s="4" t="s">
        <v>656</v>
      </c>
      <c r="X240" s="6" t="s">
        <v>617</v>
      </c>
    </row>
    <row r="241" spans="1:24">
      <c r="A241" s="4" t="s">
        <v>792</v>
      </c>
      <c r="B241" s="4" t="s">
        <v>793</v>
      </c>
      <c r="C241" s="4" t="s">
        <v>794</v>
      </c>
      <c r="D241" s="4" t="s">
        <v>716</v>
      </c>
      <c r="E241" s="4" t="s">
        <v>717</v>
      </c>
      <c r="M241" s="4" t="s">
        <v>762</v>
      </c>
      <c r="N241" s="4">
        <v>-71.632386926857151</v>
      </c>
      <c r="O241" s="4">
        <v>3.783764441977143</v>
      </c>
      <c r="P241" s="4" t="s">
        <v>734</v>
      </c>
      <c r="Q241" s="4" t="s">
        <v>735</v>
      </c>
      <c r="R241" s="4" t="s">
        <v>730</v>
      </c>
      <c r="S241" s="2">
        <v>46174.094146087962</v>
      </c>
      <c r="T241" s="5">
        <v>1.2407407407407408E-5</v>
      </c>
      <c r="U241" s="4">
        <v>8.1963371485471725E-3</v>
      </c>
      <c r="V241" s="4" t="s">
        <v>763</v>
      </c>
      <c r="W241" s="4" t="s">
        <v>762</v>
      </c>
      <c r="X241" s="6" t="s">
        <v>617</v>
      </c>
    </row>
    <row r="242" spans="1:24">
      <c r="A242" s="4" t="s">
        <v>792</v>
      </c>
      <c r="B242" s="4" t="s">
        <v>793</v>
      </c>
      <c r="C242" s="4" t="s">
        <v>794</v>
      </c>
      <c r="D242" s="4" t="s">
        <v>716</v>
      </c>
      <c r="E242" s="4" t="s">
        <v>717</v>
      </c>
      <c r="M242" s="4" t="s">
        <v>762</v>
      </c>
      <c r="N242" s="4">
        <v>-71.631266820000008</v>
      </c>
      <c r="O242" s="4">
        <v>3.7835341479999998</v>
      </c>
      <c r="P242" s="4" t="s">
        <v>734</v>
      </c>
      <c r="Q242" s="4" t="s">
        <v>735</v>
      </c>
      <c r="R242" s="4" t="s">
        <v>730</v>
      </c>
      <c r="S242" s="2">
        <v>46174.094388888887</v>
      </c>
      <c r="T242" s="5">
        <v>8.5312499999999993E-5</v>
      </c>
      <c r="U242" s="4">
        <v>6.2655501067638397E-2</v>
      </c>
      <c r="V242" s="4" t="s">
        <v>781</v>
      </c>
      <c r="W242" s="4" t="s">
        <v>762</v>
      </c>
      <c r="X242" s="6" t="s">
        <v>617</v>
      </c>
    </row>
    <row r="243" spans="1:24">
      <c r="A243" s="4" t="s">
        <v>792</v>
      </c>
      <c r="B243" s="4" t="s">
        <v>793</v>
      </c>
      <c r="C243" s="4" t="s">
        <v>794</v>
      </c>
      <c r="D243" s="4" t="s">
        <v>716</v>
      </c>
      <c r="E243" s="4" t="s">
        <v>717</v>
      </c>
      <c r="M243" s="4" t="s">
        <v>762</v>
      </c>
      <c r="N243" s="4">
        <v>-71.629608149999996</v>
      </c>
      <c r="O243" s="4">
        <v>3.7826398599999997</v>
      </c>
      <c r="P243" s="4" t="s">
        <v>734</v>
      </c>
      <c r="Q243" s="4" t="s">
        <v>735</v>
      </c>
      <c r="R243" s="4" t="s">
        <v>730</v>
      </c>
      <c r="S243" s="2">
        <v>46174.094693287137</v>
      </c>
      <c r="T243" s="5">
        <v>2.5876157407407407E-4</v>
      </c>
      <c r="U243" s="4">
        <v>0.19256363809108734</v>
      </c>
      <c r="V243" s="4" t="s">
        <v>763</v>
      </c>
      <c r="W243" s="4" t="s">
        <v>762</v>
      </c>
      <c r="X243" s="6" t="s">
        <v>617</v>
      </c>
    </row>
    <row r="244" spans="1:24">
      <c r="A244" s="4" t="s">
        <v>792</v>
      </c>
      <c r="B244" s="4" t="s">
        <v>793</v>
      </c>
      <c r="C244" s="4" t="s">
        <v>794</v>
      </c>
      <c r="D244" s="4" t="s">
        <v>716</v>
      </c>
      <c r="E244" s="4" t="s">
        <v>717</v>
      </c>
      <c r="M244" s="4" t="s">
        <v>762</v>
      </c>
      <c r="N244" s="4">
        <v>-71.627443942328568</v>
      </c>
      <c r="O244" s="4">
        <v>3.7810138807899998</v>
      </c>
      <c r="P244" s="4" t="s">
        <v>802</v>
      </c>
      <c r="Q244" s="4" t="s">
        <v>803</v>
      </c>
      <c r="R244" s="4" t="s">
        <v>730</v>
      </c>
      <c r="S244" s="2">
        <v>46174.095169756947</v>
      </c>
      <c r="T244" s="5">
        <v>7.0405092592592598E-5</v>
      </c>
      <c r="U244" s="4">
        <v>5.2651848644018173E-2</v>
      </c>
      <c r="V244" s="4" t="s">
        <v>781</v>
      </c>
      <c r="W244" s="4" t="s">
        <v>762</v>
      </c>
      <c r="X244" s="6" t="s">
        <v>617</v>
      </c>
    </row>
    <row r="245" spans="1:24">
      <c r="A245" s="4" t="s">
        <v>792</v>
      </c>
      <c r="B245" s="4" t="s">
        <v>793</v>
      </c>
      <c r="C245" s="4" t="s">
        <v>794</v>
      </c>
      <c r="D245" s="4" t="s">
        <v>716</v>
      </c>
      <c r="E245" s="4" t="s">
        <v>717</v>
      </c>
      <c r="M245" s="4" t="s">
        <v>645</v>
      </c>
      <c r="N245" s="4">
        <v>-71.6263913385</v>
      </c>
      <c r="O245" s="4">
        <v>3.78096428475</v>
      </c>
      <c r="P245" s="4" t="s">
        <v>739</v>
      </c>
      <c r="Q245" s="4" t="s">
        <v>740</v>
      </c>
      <c r="R245" s="4" t="s">
        <v>730</v>
      </c>
      <c r="S245" s="2">
        <v>46174.095370081021</v>
      </c>
      <c r="T245" s="5">
        <v>3.7936342592592595E-4</v>
      </c>
      <c r="U245" s="4">
        <v>0.17141552269458771</v>
      </c>
      <c r="V245" s="4" t="s">
        <v>751</v>
      </c>
      <c r="W245" s="4" t="s">
        <v>645</v>
      </c>
      <c r="X245" s="6" t="s">
        <v>617</v>
      </c>
    </row>
    <row r="246" spans="1:24">
      <c r="A246" s="4" t="s">
        <v>792</v>
      </c>
      <c r="B246" s="4" t="s">
        <v>793</v>
      </c>
      <c r="C246" s="4" t="s">
        <v>794</v>
      </c>
      <c r="D246" s="4" t="s">
        <v>716</v>
      </c>
      <c r="E246" s="4" t="s">
        <v>717</v>
      </c>
      <c r="M246" s="4" t="s">
        <v>614</v>
      </c>
      <c r="N246" s="4">
        <v>-71.621170000000006</v>
      </c>
      <c r="O246" s="4">
        <v>3.77263284</v>
      </c>
      <c r="P246" s="4" t="s">
        <v>804</v>
      </c>
      <c r="Q246" s="4" t="s">
        <v>743</v>
      </c>
      <c r="R246" s="4" t="s">
        <v>730</v>
      </c>
      <c r="S246" s="2">
        <v>46174.100069444445</v>
      </c>
      <c r="T246" s="5">
        <v>6.851851851851852E-3</v>
      </c>
      <c r="U246" s="4">
        <v>0</v>
      </c>
      <c r="V246" s="4" t="s">
        <v>616</v>
      </c>
      <c r="W246" s="4" t="s">
        <v>614</v>
      </c>
      <c r="X246" s="6" t="s">
        <v>617</v>
      </c>
    </row>
    <row r="247" spans="1:24">
      <c r="A247" s="4" t="s">
        <v>792</v>
      </c>
      <c r="B247" s="4" t="s">
        <v>793</v>
      </c>
      <c r="C247" s="4" t="s">
        <v>794</v>
      </c>
      <c r="D247" s="4" t="s">
        <v>716</v>
      </c>
      <c r="E247" s="4" t="s">
        <v>717</v>
      </c>
      <c r="M247" s="4" t="s">
        <v>754</v>
      </c>
      <c r="N247" s="4">
        <v>-71.621284472387501</v>
      </c>
      <c r="O247" s="4">
        <v>3.7723604757837501</v>
      </c>
      <c r="P247" s="4" t="s">
        <v>804</v>
      </c>
      <c r="Q247" s="4" t="s">
        <v>743</v>
      </c>
      <c r="R247" s="4" t="s">
        <v>730</v>
      </c>
      <c r="S247" s="2">
        <v>46174.107195219905</v>
      </c>
      <c r="T247" s="5">
        <v>2.8859953703703703E-4</v>
      </c>
      <c r="U247" s="4">
        <v>0.15137545764446259</v>
      </c>
      <c r="V247" s="4" t="s">
        <v>805</v>
      </c>
      <c r="W247" s="4" t="s">
        <v>754</v>
      </c>
      <c r="X247" s="6" t="s">
        <v>617</v>
      </c>
    </row>
    <row r="248" spans="1:24">
      <c r="A248" s="4" t="s">
        <v>792</v>
      </c>
      <c r="B248" s="4" t="s">
        <v>793</v>
      </c>
      <c r="C248" s="4" t="s">
        <v>794</v>
      </c>
      <c r="D248" s="4" t="s">
        <v>716</v>
      </c>
      <c r="E248" s="4" t="s">
        <v>717</v>
      </c>
      <c r="M248" s="4" t="s">
        <v>762</v>
      </c>
      <c r="N248" s="4">
        <v>-71.62510044057143</v>
      </c>
      <c r="O248" s="4">
        <v>3.781082914022857</v>
      </c>
      <c r="P248" s="4" t="s">
        <v>734</v>
      </c>
      <c r="Q248" s="4" t="s">
        <v>735</v>
      </c>
      <c r="R248" s="4" t="s">
        <v>730</v>
      </c>
      <c r="S248" s="2">
        <v>46174.111917037037</v>
      </c>
      <c r="T248" s="5">
        <v>1.5833333333333333E-5</v>
      </c>
      <c r="U248" s="4">
        <v>1.0462420992553234E-2</v>
      </c>
      <c r="V248" s="4" t="s">
        <v>763</v>
      </c>
      <c r="W248" s="4" t="s">
        <v>762</v>
      </c>
      <c r="X248" s="6" t="s">
        <v>617</v>
      </c>
    </row>
    <row r="249" spans="1:24">
      <c r="A249" s="4" t="s">
        <v>792</v>
      </c>
      <c r="B249" s="4" t="s">
        <v>793</v>
      </c>
      <c r="C249" s="4" t="s">
        <v>794</v>
      </c>
      <c r="D249" s="4" t="s">
        <v>716</v>
      </c>
      <c r="E249" s="4" t="s">
        <v>717</v>
      </c>
      <c r="M249" s="4" t="s">
        <v>645</v>
      </c>
      <c r="N249" s="4">
        <v>-71.625276319199997</v>
      </c>
      <c r="O249" s="4">
        <v>3.7810507799600002</v>
      </c>
      <c r="P249" s="4" t="s">
        <v>759</v>
      </c>
      <c r="Q249" s="4" t="s">
        <v>760</v>
      </c>
      <c r="R249" s="4" t="s">
        <v>730</v>
      </c>
      <c r="S249" s="2">
        <v>46174.111946365738</v>
      </c>
      <c r="T249" s="5">
        <v>2.5386574074074076E-4</v>
      </c>
      <c r="U249" s="4">
        <v>0.12410613149404526</v>
      </c>
      <c r="V249" s="4" t="s">
        <v>783</v>
      </c>
      <c r="W249" s="4" t="s">
        <v>645</v>
      </c>
      <c r="X249" s="6" t="s">
        <v>617</v>
      </c>
    </row>
    <row r="250" spans="1:24">
      <c r="A250" s="4" t="s">
        <v>792</v>
      </c>
      <c r="B250" s="4" t="s">
        <v>793</v>
      </c>
      <c r="C250" s="4" t="s">
        <v>794</v>
      </c>
      <c r="D250" s="4" t="s">
        <v>716</v>
      </c>
      <c r="E250" s="4" t="s">
        <v>717</v>
      </c>
      <c r="M250" s="4" t="s">
        <v>762</v>
      </c>
      <c r="N250" s="4">
        <v>-71.627190910674997</v>
      </c>
      <c r="O250" s="4">
        <v>3.7810045492274997</v>
      </c>
      <c r="P250" s="4" t="s">
        <v>802</v>
      </c>
      <c r="Q250" s="4" t="s">
        <v>803</v>
      </c>
      <c r="R250" s="4" t="s">
        <v>730</v>
      </c>
      <c r="S250" s="2">
        <v>46174.112380405095</v>
      </c>
      <c r="T250" s="5">
        <v>7.6388888888888887E-5</v>
      </c>
      <c r="U250" s="4">
        <v>5.9400498867034912E-2</v>
      </c>
      <c r="V250" s="4" t="s">
        <v>784</v>
      </c>
      <c r="W250" s="4" t="s">
        <v>762</v>
      </c>
      <c r="X250" s="6" t="s">
        <v>617</v>
      </c>
    </row>
    <row r="251" spans="1:24">
      <c r="A251" s="4" t="s">
        <v>792</v>
      </c>
      <c r="B251" s="4" t="s">
        <v>793</v>
      </c>
      <c r="C251" s="4" t="s">
        <v>794</v>
      </c>
      <c r="D251" s="4" t="s">
        <v>716</v>
      </c>
      <c r="E251" s="4" t="s">
        <v>717</v>
      </c>
      <c r="M251" s="4" t="s">
        <v>762</v>
      </c>
      <c r="N251" s="4">
        <v>-71.628311166666663</v>
      </c>
      <c r="O251" s="4">
        <v>3.7812369633333334</v>
      </c>
      <c r="P251" s="4" t="s">
        <v>734</v>
      </c>
      <c r="Q251" s="4" t="s">
        <v>735</v>
      </c>
      <c r="R251" s="4" t="s">
        <v>730</v>
      </c>
      <c r="S251" s="2">
        <v>46174.112592592595</v>
      </c>
      <c r="T251" s="5">
        <v>2.1122685185185185E-4</v>
      </c>
      <c r="U251" s="4">
        <v>0.16937071084976196</v>
      </c>
      <c r="V251" s="4" t="s">
        <v>781</v>
      </c>
      <c r="W251" s="4" t="s">
        <v>762</v>
      </c>
      <c r="X251" s="6" t="s">
        <v>617</v>
      </c>
    </row>
    <row r="252" spans="1:24">
      <c r="A252" s="4" t="s">
        <v>792</v>
      </c>
      <c r="B252" s="4" t="s">
        <v>793</v>
      </c>
      <c r="C252" s="4" t="s">
        <v>794</v>
      </c>
      <c r="D252" s="4" t="s">
        <v>716</v>
      </c>
      <c r="E252" s="4" t="s">
        <v>717</v>
      </c>
      <c r="M252" s="4" t="s">
        <v>762</v>
      </c>
      <c r="N252" s="4">
        <v>-71.629688249999987</v>
      </c>
      <c r="O252" s="4">
        <v>3.7827987700000003</v>
      </c>
      <c r="P252" s="4" t="s">
        <v>734</v>
      </c>
      <c r="Q252" s="4" t="s">
        <v>735</v>
      </c>
      <c r="R252" s="4" t="s">
        <v>730</v>
      </c>
      <c r="S252" s="2">
        <v>46174.112887731586</v>
      </c>
      <c r="T252" s="5">
        <v>5.722222222222222E-5</v>
      </c>
      <c r="U252" s="4">
        <v>4.1303243488073349E-2</v>
      </c>
      <c r="V252" s="4" t="s">
        <v>763</v>
      </c>
      <c r="W252" s="4" t="s">
        <v>762</v>
      </c>
      <c r="X252" s="6" t="s">
        <v>617</v>
      </c>
    </row>
    <row r="253" spans="1:24">
      <c r="A253" s="4" t="s">
        <v>792</v>
      </c>
      <c r="B253" s="4" t="s">
        <v>793</v>
      </c>
      <c r="C253" s="4" t="s">
        <v>794</v>
      </c>
      <c r="D253" s="4" t="s">
        <v>716</v>
      </c>
      <c r="E253" s="4" t="s">
        <v>717</v>
      </c>
      <c r="M253" s="4" t="s">
        <v>685</v>
      </c>
      <c r="N253" s="4">
        <v>-71.630285436700007</v>
      </c>
      <c r="O253" s="4">
        <v>3.7832339134600002</v>
      </c>
      <c r="P253" s="4" t="s">
        <v>734</v>
      </c>
      <c r="Q253" s="4" t="s">
        <v>735</v>
      </c>
      <c r="R253" s="4" t="s">
        <v>730</v>
      </c>
      <c r="S253" s="2">
        <v>46174.11302409722</v>
      </c>
      <c r="T253" s="5">
        <v>2.8935185185185185E-7</v>
      </c>
      <c r="U253" s="4">
        <v>1.1395020555937663E-4</v>
      </c>
      <c r="V253" s="4" t="s">
        <v>806</v>
      </c>
      <c r="W253" s="4" t="s">
        <v>685</v>
      </c>
      <c r="X253" s="6" t="s">
        <v>617</v>
      </c>
    </row>
    <row r="254" spans="1:24">
      <c r="A254" s="4" t="s">
        <v>792</v>
      </c>
      <c r="B254" s="4" t="s">
        <v>793</v>
      </c>
      <c r="C254" s="4" t="s">
        <v>794</v>
      </c>
      <c r="D254" s="4" t="s">
        <v>716</v>
      </c>
      <c r="E254" s="4" t="s">
        <v>717</v>
      </c>
      <c r="M254" s="4" t="s">
        <v>762</v>
      </c>
      <c r="N254" s="4">
        <v>-71.630590246300002</v>
      </c>
      <c r="O254" s="4">
        <v>3.7833718780200001</v>
      </c>
      <c r="P254" s="4" t="s">
        <v>734</v>
      </c>
      <c r="Q254" s="4" t="s">
        <v>735</v>
      </c>
      <c r="R254" s="4" t="s">
        <v>730</v>
      </c>
      <c r="S254" s="2">
        <v>46174.113098692127</v>
      </c>
      <c r="T254" s="5">
        <v>9.9606481481481483E-5</v>
      </c>
      <c r="U254" s="4">
        <v>7.7152840793132782E-2</v>
      </c>
      <c r="V254" s="4" t="s">
        <v>784</v>
      </c>
      <c r="W254" s="4" t="s">
        <v>762</v>
      </c>
      <c r="X254" s="6" t="s">
        <v>617</v>
      </c>
    </row>
    <row r="255" spans="1:24">
      <c r="A255" s="4" t="s">
        <v>792</v>
      </c>
      <c r="B255" s="4" t="s">
        <v>793</v>
      </c>
      <c r="C255" s="4" t="s">
        <v>794</v>
      </c>
      <c r="D255" s="4" t="s">
        <v>716</v>
      </c>
      <c r="E255" s="4" t="s">
        <v>717</v>
      </c>
      <c r="M255" s="4" t="s">
        <v>762</v>
      </c>
      <c r="N255" s="4">
        <v>-71.632396418714279</v>
      </c>
      <c r="O255" s="4">
        <v>3.783794957714286</v>
      </c>
      <c r="P255" s="4" t="s">
        <v>734</v>
      </c>
      <c r="Q255" s="4" t="s">
        <v>735</v>
      </c>
      <c r="R255" s="4" t="s">
        <v>730</v>
      </c>
      <c r="S255" s="2">
        <v>46174.113407233795</v>
      </c>
      <c r="T255" s="5">
        <v>3.357638888888889E-5</v>
      </c>
      <c r="U255" s="4">
        <v>2.3208165541291237E-2</v>
      </c>
      <c r="V255" s="4" t="s">
        <v>781</v>
      </c>
      <c r="W255" s="4" t="s">
        <v>762</v>
      </c>
      <c r="X255" s="6" t="s">
        <v>617</v>
      </c>
    </row>
    <row r="256" spans="1:24">
      <c r="A256" s="4" t="s">
        <v>792</v>
      </c>
      <c r="B256" s="4" t="s">
        <v>793</v>
      </c>
      <c r="C256" s="4" t="s">
        <v>794</v>
      </c>
      <c r="D256" s="4" t="s">
        <v>716</v>
      </c>
      <c r="E256" s="4" t="s">
        <v>717</v>
      </c>
      <c r="M256" s="4" t="s">
        <v>762</v>
      </c>
      <c r="N256" s="4">
        <v>-71.633197020000011</v>
      </c>
      <c r="O256" s="4">
        <v>3.7839067480000002</v>
      </c>
      <c r="P256" s="4" t="s">
        <v>734</v>
      </c>
      <c r="Q256" s="4" t="s">
        <v>735</v>
      </c>
      <c r="R256" s="4" t="s">
        <v>730</v>
      </c>
      <c r="S256" s="2">
        <v>46174.113543981483</v>
      </c>
      <c r="T256" s="5">
        <v>7.8703703703703702E-5</v>
      </c>
      <c r="U256" s="4">
        <v>5.4913852363824844E-2</v>
      </c>
      <c r="V256" s="4" t="s">
        <v>763</v>
      </c>
      <c r="W256" s="4" t="s">
        <v>762</v>
      </c>
      <c r="X256" s="6" t="s">
        <v>617</v>
      </c>
    </row>
    <row r="257" spans="1:24">
      <c r="A257" s="4" t="s">
        <v>792</v>
      </c>
      <c r="B257" s="4" t="s">
        <v>793</v>
      </c>
      <c r="C257" s="4" t="s">
        <v>794</v>
      </c>
      <c r="D257" s="4" t="s">
        <v>716</v>
      </c>
      <c r="E257" s="4" t="s">
        <v>717</v>
      </c>
      <c r="M257" s="4" t="s">
        <v>645</v>
      </c>
      <c r="N257" s="4">
        <v>-71.635059699500005</v>
      </c>
      <c r="O257" s="4">
        <v>3.7842705526833331</v>
      </c>
      <c r="P257" s="4" t="s">
        <v>718</v>
      </c>
      <c r="Q257" s="4" t="s">
        <v>719</v>
      </c>
      <c r="R257" s="4" t="s">
        <v>720</v>
      </c>
      <c r="S257" s="2">
        <v>46174.11385040509</v>
      </c>
      <c r="T257" s="5">
        <v>2.7586805555555557E-4</v>
      </c>
      <c r="U257" s="4">
        <v>0.18333287537097931</v>
      </c>
      <c r="V257" s="4" t="s">
        <v>783</v>
      </c>
      <c r="W257" s="4" t="s">
        <v>645</v>
      </c>
      <c r="X257" s="6" t="s">
        <v>617</v>
      </c>
    </row>
    <row r="258" spans="1:24">
      <c r="A258" s="4" t="s">
        <v>792</v>
      </c>
      <c r="B258" s="4" t="s">
        <v>793</v>
      </c>
      <c r="C258" s="4" t="s">
        <v>794</v>
      </c>
      <c r="D258" s="4" t="s">
        <v>716</v>
      </c>
      <c r="E258" s="4" t="s">
        <v>717</v>
      </c>
      <c r="M258" s="4" t="s">
        <v>762</v>
      </c>
      <c r="N258" s="4">
        <v>-71.6382172</v>
      </c>
      <c r="O258" s="4">
        <v>3.7843189240000004</v>
      </c>
      <c r="P258" s="4" t="s">
        <v>734</v>
      </c>
      <c r="Q258" s="4" t="s">
        <v>735</v>
      </c>
      <c r="R258" s="4" t="s">
        <v>730</v>
      </c>
      <c r="S258" s="2">
        <v>46174.114372685188</v>
      </c>
      <c r="T258" s="5">
        <v>9.9537037037037031E-5</v>
      </c>
      <c r="U258" s="4">
        <v>7.1282118558883667E-2</v>
      </c>
      <c r="V258" s="4" t="s">
        <v>763</v>
      </c>
      <c r="W258" s="4" t="s">
        <v>762</v>
      </c>
      <c r="X258" s="6" t="s">
        <v>617</v>
      </c>
    </row>
    <row r="259" spans="1:24">
      <c r="A259" s="4" t="s">
        <v>792</v>
      </c>
      <c r="B259" s="4" t="s">
        <v>793</v>
      </c>
      <c r="C259" s="4" t="s">
        <v>794</v>
      </c>
      <c r="D259" s="4" t="s">
        <v>716</v>
      </c>
      <c r="E259" s="4" t="s">
        <v>717</v>
      </c>
      <c r="M259" s="4" t="s">
        <v>762</v>
      </c>
      <c r="N259" s="4">
        <v>-71.644328262628576</v>
      </c>
      <c r="O259" s="4">
        <v>3.7818862559314286</v>
      </c>
      <c r="P259" s="4" t="s">
        <v>734</v>
      </c>
      <c r="Q259" s="4" t="s">
        <v>735</v>
      </c>
      <c r="R259" s="4" t="s">
        <v>730</v>
      </c>
      <c r="S259" s="2">
        <v>46174.168021481484</v>
      </c>
      <c r="T259" s="5">
        <v>1.0886574074074074E-4</v>
      </c>
      <c r="U259" s="4">
        <v>8.1647723913192749E-2</v>
      </c>
      <c r="V259" s="4" t="s">
        <v>784</v>
      </c>
      <c r="W259" s="4" t="s">
        <v>762</v>
      </c>
      <c r="X259" s="6" t="s">
        <v>617</v>
      </c>
    </row>
    <row r="260" spans="1:24">
      <c r="A260" s="4" t="s">
        <v>792</v>
      </c>
      <c r="B260" s="4" t="s">
        <v>793</v>
      </c>
      <c r="C260" s="4" t="s">
        <v>794</v>
      </c>
      <c r="D260" s="4" t="s">
        <v>716</v>
      </c>
      <c r="E260" s="4" t="s">
        <v>717</v>
      </c>
      <c r="M260" s="4" t="s">
        <v>762</v>
      </c>
      <c r="N260" s="4">
        <v>-71.645753416930773</v>
      </c>
      <c r="O260" s="4">
        <v>3.7806266895692309</v>
      </c>
      <c r="P260" s="4" t="s">
        <v>734</v>
      </c>
      <c r="Q260" s="4" t="s">
        <v>735</v>
      </c>
      <c r="R260" s="4" t="s">
        <v>730</v>
      </c>
      <c r="S260" s="2">
        <v>46174.16837457176</v>
      </c>
      <c r="T260" s="5">
        <v>1.172337962962963E-4</v>
      </c>
      <c r="U260" s="4">
        <v>8.8833652436733246E-2</v>
      </c>
      <c r="V260" s="4" t="s">
        <v>781</v>
      </c>
      <c r="W260" s="4" t="s">
        <v>762</v>
      </c>
      <c r="X260" s="6" t="s">
        <v>617</v>
      </c>
    </row>
    <row r="261" spans="1:24">
      <c r="A261" s="4" t="s">
        <v>792</v>
      </c>
      <c r="B261" s="4" t="s">
        <v>793</v>
      </c>
      <c r="C261" s="4" t="s">
        <v>794</v>
      </c>
      <c r="D261" s="4" t="s">
        <v>716</v>
      </c>
      <c r="E261" s="4" t="s">
        <v>717</v>
      </c>
      <c r="M261" s="4" t="s">
        <v>762</v>
      </c>
      <c r="N261" s="4">
        <v>-71.646871082400011</v>
      </c>
      <c r="O261" s="4">
        <v>3.7795987470000001</v>
      </c>
      <c r="P261" s="4" t="s">
        <v>734</v>
      </c>
      <c r="Q261" s="4" t="s">
        <v>735</v>
      </c>
      <c r="R261" s="4" t="s">
        <v>730</v>
      </c>
      <c r="S261" s="2">
        <v>46174.16865295139</v>
      </c>
      <c r="T261" s="5">
        <v>1.5234953703703705E-4</v>
      </c>
      <c r="U261" s="4">
        <v>0.11663622409105301</v>
      </c>
      <c r="V261" s="4" t="s">
        <v>784</v>
      </c>
      <c r="W261" s="4" t="s">
        <v>762</v>
      </c>
      <c r="X261" s="6" t="s">
        <v>617</v>
      </c>
    </row>
    <row r="262" spans="1:24">
      <c r="A262" s="4" t="s">
        <v>792</v>
      </c>
      <c r="B262" s="4" t="s">
        <v>793</v>
      </c>
      <c r="C262" s="4" t="s">
        <v>794</v>
      </c>
      <c r="D262" s="4" t="s">
        <v>716</v>
      </c>
      <c r="E262" s="4" t="s">
        <v>717</v>
      </c>
      <c r="M262" s="4" t="s">
        <v>762</v>
      </c>
      <c r="N262" s="4">
        <v>-71.647813400000004</v>
      </c>
      <c r="O262" s="4">
        <v>3.778571844</v>
      </c>
      <c r="P262" s="4" t="s">
        <v>734</v>
      </c>
      <c r="Q262" s="4" t="s">
        <v>735</v>
      </c>
      <c r="R262" s="4" t="s">
        <v>730</v>
      </c>
      <c r="S262" s="2">
        <v>46174.1688587963</v>
      </c>
      <c r="T262" s="5">
        <v>3.0092592592592593E-5</v>
      </c>
      <c r="U262" s="4">
        <v>2.2149700671434402E-2</v>
      </c>
      <c r="V262" s="4" t="s">
        <v>763</v>
      </c>
      <c r="W262" s="4" t="s">
        <v>762</v>
      </c>
      <c r="X262" s="6" t="s">
        <v>617</v>
      </c>
    </row>
    <row r="263" spans="1:24">
      <c r="A263" s="4" t="s">
        <v>792</v>
      </c>
      <c r="B263" s="4" t="s">
        <v>793</v>
      </c>
      <c r="C263" s="4" t="s">
        <v>794</v>
      </c>
      <c r="D263" s="4" t="s">
        <v>716</v>
      </c>
      <c r="E263" s="4" t="s">
        <v>717</v>
      </c>
      <c r="M263" s="4" t="s">
        <v>762</v>
      </c>
      <c r="N263" s="4">
        <v>-71.64930726</v>
      </c>
      <c r="O263" s="4">
        <v>3.776800062</v>
      </c>
      <c r="P263" s="4" t="s">
        <v>734</v>
      </c>
      <c r="Q263" s="4" t="s">
        <v>735</v>
      </c>
      <c r="R263" s="4" t="s">
        <v>730</v>
      </c>
      <c r="S263" s="2">
        <v>46174.169400462961</v>
      </c>
      <c r="T263" s="5">
        <v>1.4120370370370372E-4</v>
      </c>
      <c r="U263" s="4">
        <v>0.10675789415836334</v>
      </c>
      <c r="V263" s="4" t="s">
        <v>763</v>
      </c>
      <c r="W263" s="4" t="s">
        <v>762</v>
      </c>
      <c r="X263" s="6" t="s">
        <v>617</v>
      </c>
    </row>
    <row r="264" spans="1:24">
      <c r="A264" s="4" t="s">
        <v>792</v>
      </c>
      <c r="B264" s="4" t="s">
        <v>793</v>
      </c>
      <c r="C264" s="4" t="s">
        <v>794</v>
      </c>
      <c r="D264" s="4" t="s">
        <v>716</v>
      </c>
      <c r="E264" s="4" t="s">
        <v>717</v>
      </c>
      <c r="M264" s="4" t="s">
        <v>762</v>
      </c>
      <c r="N264" s="4">
        <v>-71.651012788900005</v>
      </c>
      <c r="O264" s="4">
        <v>3.7722936143800001</v>
      </c>
      <c r="P264" s="4" t="s">
        <v>734</v>
      </c>
      <c r="Q264" s="4" t="s">
        <v>735</v>
      </c>
      <c r="R264" s="4" t="s">
        <v>730</v>
      </c>
      <c r="S264" s="2">
        <v>46174.17042613426</v>
      </c>
      <c r="T264" s="5">
        <v>5.9976851851851851E-5</v>
      </c>
      <c r="U264" s="4">
        <v>4.6439412981271744E-2</v>
      </c>
      <c r="V264" s="4" t="s">
        <v>781</v>
      </c>
      <c r="W264" s="4" t="s">
        <v>762</v>
      </c>
      <c r="X264" s="6" t="s">
        <v>617</v>
      </c>
    </row>
    <row r="265" spans="1:24">
      <c r="A265" s="4" t="s">
        <v>792</v>
      </c>
      <c r="B265" s="4" t="s">
        <v>793</v>
      </c>
      <c r="C265" s="4" t="s">
        <v>794</v>
      </c>
      <c r="D265" s="4" t="s">
        <v>716</v>
      </c>
      <c r="E265" s="4" t="s">
        <v>717</v>
      </c>
      <c r="M265" s="4" t="s">
        <v>762</v>
      </c>
      <c r="N265" s="4">
        <v>-71.652606177549998</v>
      </c>
      <c r="O265" s="4">
        <v>3.7721944821300002</v>
      </c>
      <c r="P265" s="4" t="s">
        <v>734</v>
      </c>
      <c r="Q265" s="4" t="s">
        <v>735</v>
      </c>
      <c r="R265" s="4" t="s">
        <v>730</v>
      </c>
      <c r="S265" s="2">
        <v>46174.170724027776</v>
      </c>
      <c r="T265" s="5">
        <v>1.1427083333333333E-4</v>
      </c>
      <c r="U265" s="4">
        <v>8.7660357356071472E-2</v>
      </c>
      <c r="V265" s="4" t="s">
        <v>781</v>
      </c>
      <c r="W265" s="4" t="s">
        <v>762</v>
      </c>
      <c r="X265" s="6" t="s">
        <v>617</v>
      </c>
    </row>
    <row r="266" spans="1:24">
      <c r="A266" s="4" t="s">
        <v>792</v>
      </c>
      <c r="B266" s="4" t="s">
        <v>793</v>
      </c>
      <c r="C266" s="4" t="s">
        <v>794</v>
      </c>
      <c r="D266" s="4" t="s">
        <v>716</v>
      </c>
      <c r="E266" s="4" t="s">
        <v>717</v>
      </c>
      <c r="M266" s="4" t="s">
        <v>762</v>
      </c>
      <c r="N266" s="4">
        <v>-71.654889670000003</v>
      </c>
      <c r="O266" s="4">
        <v>3.7726793509999998</v>
      </c>
      <c r="P266" s="4" t="s">
        <v>785</v>
      </c>
      <c r="Q266" s="4" t="s">
        <v>735</v>
      </c>
      <c r="R266" s="4" t="s">
        <v>730</v>
      </c>
      <c r="S266" s="2">
        <v>46174.177042824173</v>
      </c>
      <c r="T266" s="5">
        <v>1.2796296296296297E-4</v>
      </c>
      <c r="U266" s="4">
        <v>0.11076043546199799</v>
      </c>
      <c r="V266" s="4" t="s">
        <v>798</v>
      </c>
      <c r="W266" s="4" t="s">
        <v>762</v>
      </c>
      <c r="X266" s="6" t="s">
        <v>617</v>
      </c>
    </row>
    <row r="267" spans="1:24">
      <c r="A267" s="4" t="s">
        <v>792</v>
      </c>
      <c r="B267" s="4" t="s">
        <v>793</v>
      </c>
      <c r="C267" s="4" t="s">
        <v>794</v>
      </c>
      <c r="D267" s="4" t="s">
        <v>716</v>
      </c>
      <c r="E267" s="4" t="s">
        <v>717</v>
      </c>
      <c r="M267" s="4" t="s">
        <v>762</v>
      </c>
      <c r="N267" s="4">
        <v>-71.6500072125</v>
      </c>
      <c r="O267" s="4">
        <v>3.7756893012499999</v>
      </c>
      <c r="P267" s="4" t="s">
        <v>786</v>
      </c>
      <c r="Q267" s="4" t="s">
        <v>735</v>
      </c>
      <c r="R267" s="4" t="s">
        <v>730</v>
      </c>
      <c r="S267" s="2">
        <v>46174.178653067131</v>
      </c>
      <c r="T267" s="5">
        <v>1.808449074074074E-4</v>
      </c>
      <c r="U267" s="4">
        <v>0.15253746509552002</v>
      </c>
      <c r="V267" s="4" t="s">
        <v>780</v>
      </c>
      <c r="W267" s="4" t="s">
        <v>762</v>
      </c>
      <c r="X267" s="6" t="s">
        <v>617</v>
      </c>
    </row>
    <row r="268" spans="1:24">
      <c r="A268" s="4" t="s">
        <v>792</v>
      </c>
      <c r="B268" s="4" t="s">
        <v>793</v>
      </c>
      <c r="C268" s="4" t="s">
        <v>794</v>
      </c>
      <c r="D268" s="4" t="s">
        <v>716</v>
      </c>
      <c r="E268" s="4" t="s">
        <v>717</v>
      </c>
      <c r="M268" s="4" t="s">
        <v>762</v>
      </c>
      <c r="N268" s="4">
        <v>-71.649121598500003</v>
      </c>
      <c r="O268" s="4">
        <v>3.7769354826814285</v>
      </c>
      <c r="P268" s="4" t="s">
        <v>734</v>
      </c>
      <c r="Q268" s="4" t="s">
        <v>735</v>
      </c>
      <c r="R268" s="4" t="s">
        <v>730</v>
      </c>
      <c r="S268" s="2">
        <v>46174.178856099534</v>
      </c>
      <c r="T268" s="5">
        <v>8.6805655555555552E-5</v>
      </c>
      <c r="U268" s="4">
        <v>6.802675873041153E-2</v>
      </c>
      <c r="V268" s="4" t="s">
        <v>784</v>
      </c>
      <c r="W268" s="4" t="s">
        <v>762</v>
      </c>
      <c r="X268" s="6" t="s">
        <v>617</v>
      </c>
    </row>
    <row r="269" spans="1:24">
      <c r="A269" s="4" t="s">
        <v>792</v>
      </c>
      <c r="B269" s="4" t="s">
        <v>793</v>
      </c>
      <c r="C269" s="4" t="s">
        <v>794</v>
      </c>
      <c r="D269" s="4" t="s">
        <v>716</v>
      </c>
      <c r="E269" s="4" t="s">
        <v>717</v>
      </c>
      <c r="M269" s="4" t="s">
        <v>762</v>
      </c>
      <c r="N269" s="4">
        <v>-71.648105954000002</v>
      </c>
      <c r="O269" s="4">
        <v>3.7781332862750001</v>
      </c>
      <c r="P269" s="4" t="s">
        <v>734</v>
      </c>
      <c r="Q269" s="4" t="s">
        <v>735</v>
      </c>
      <c r="R269" s="4" t="s">
        <v>730</v>
      </c>
      <c r="S269" s="2">
        <v>46174.17912458333</v>
      </c>
      <c r="T269" s="5">
        <v>6.6886574074074068E-5</v>
      </c>
      <c r="U269" s="4">
        <v>5.2467986941337585E-2</v>
      </c>
      <c r="V269" s="4" t="s">
        <v>784</v>
      </c>
      <c r="W269" s="4" t="s">
        <v>762</v>
      </c>
      <c r="X269" s="6" t="s">
        <v>617</v>
      </c>
    </row>
    <row r="270" spans="1:24">
      <c r="A270" s="4" t="s">
        <v>792</v>
      </c>
      <c r="B270" s="4" t="s">
        <v>793</v>
      </c>
      <c r="C270" s="4" t="s">
        <v>794</v>
      </c>
      <c r="D270" s="4" t="s">
        <v>716</v>
      </c>
      <c r="E270" s="4" t="s">
        <v>717</v>
      </c>
      <c r="M270" s="4" t="s">
        <v>762</v>
      </c>
      <c r="N270" s="4">
        <v>-71.647711180000002</v>
      </c>
      <c r="O270" s="4">
        <v>3.7786267800000002</v>
      </c>
      <c r="P270" s="4" t="s">
        <v>734</v>
      </c>
      <c r="Q270" s="4" t="s">
        <v>735</v>
      </c>
      <c r="R270" s="4" t="s">
        <v>730</v>
      </c>
      <c r="S270" s="2">
        <v>46174.179215277778</v>
      </c>
      <c r="T270" s="5">
        <v>1.7643518518518518E-4</v>
      </c>
      <c r="U270" s="4">
        <v>0.14730058610439301</v>
      </c>
      <c r="V270" s="4" t="s">
        <v>780</v>
      </c>
      <c r="W270" s="4" t="s">
        <v>762</v>
      </c>
      <c r="X270" s="6" t="s">
        <v>617</v>
      </c>
    </row>
    <row r="271" spans="1:24">
      <c r="A271" s="4" t="s">
        <v>792</v>
      </c>
      <c r="B271" s="4" t="s">
        <v>793</v>
      </c>
      <c r="C271" s="4" t="s">
        <v>794</v>
      </c>
      <c r="D271" s="4" t="s">
        <v>716</v>
      </c>
      <c r="E271" s="4" t="s">
        <v>717</v>
      </c>
      <c r="M271" s="4" t="s">
        <v>762</v>
      </c>
      <c r="N271" s="4">
        <v>-71.646427643919992</v>
      </c>
      <c r="O271" s="4">
        <v>3.7799605838239998</v>
      </c>
      <c r="P271" s="4" t="s">
        <v>734</v>
      </c>
      <c r="Q271" s="4" t="s">
        <v>735</v>
      </c>
      <c r="R271" s="4" t="s">
        <v>730</v>
      </c>
      <c r="S271" s="2">
        <v>46174.179484305554</v>
      </c>
      <c r="T271" s="5">
        <v>1.2112268518518518E-4</v>
      </c>
      <c r="U271" s="4">
        <v>0.10114167630672455</v>
      </c>
      <c r="V271" s="4" t="s">
        <v>780</v>
      </c>
      <c r="W271" s="4" t="s">
        <v>762</v>
      </c>
      <c r="X271" s="6" t="s">
        <v>617</v>
      </c>
    </row>
    <row r="272" spans="1:24">
      <c r="A272" s="4" t="s">
        <v>792</v>
      </c>
      <c r="B272" s="4" t="s">
        <v>793</v>
      </c>
      <c r="C272" s="4" t="s">
        <v>794</v>
      </c>
      <c r="D272" s="4" t="s">
        <v>716</v>
      </c>
      <c r="E272" s="4" t="s">
        <v>717</v>
      </c>
      <c r="M272" s="4" t="s">
        <v>762</v>
      </c>
      <c r="N272" s="4">
        <v>-71.645006853680002</v>
      </c>
      <c r="O272" s="4">
        <v>3.7812706424839999</v>
      </c>
      <c r="P272" s="4" t="s">
        <v>734</v>
      </c>
      <c r="Q272" s="4" t="s">
        <v>735</v>
      </c>
      <c r="R272" s="4" t="s">
        <v>730</v>
      </c>
      <c r="S272" s="2">
        <v>46174.179836030089</v>
      </c>
      <c r="T272" s="5">
        <v>1.3030092592592593E-4</v>
      </c>
      <c r="U272" s="4">
        <v>0.10572067648172379</v>
      </c>
      <c r="V272" s="4" t="s">
        <v>784</v>
      </c>
      <c r="W272" s="4" t="s">
        <v>762</v>
      </c>
      <c r="X272" s="6" t="s">
        <v>617</v>
      </c>
    </row>
    <row r="273" spans="1:24">
      <c r="A273" s="4" t="s">
        <v>792</v>
      </c>
      <c r="B273" s="4" t="s">
        <v>793</v>
      </c>
      <c r="C273" s="4" t="s">
        <v>794</v>
      </c>
      <c r="D273" s="4" t="s">
        <v>716</v>
      </c>
      <c r="E273" s="4" t="s">
        <v>717</v>
      </c>
      <c r="M273" s="4" t="s">
        <v>754</v>
      </c>
      <c r="N273" s="4">
        <v>-71.643829299999993</v>
      </c>
      <c r="O273" s="4">
        <v>3.7824385199999999</v>
      </c>
      <c r="P273" s="4" t="s">
        <v>734</v>
      </c>
      <c r="Q273" s="4" t="s">
        <v>735</v>
      </c>
      <c r="R273" s="4" t="s">
        <v>730</v>
      </c>
      <c r="S273" s="2">
        <v>46174.21303240741</v>
      </c>
      <c r="T273" s="5">
        <v>2.7733217592592592E-3</v>
      </c>
      <c r="U273" s="4">
        <v>1.7263516187667847</v>
      </c>
      <c r="V273" s="4" t="s">
        <v>807</v>
      </c>
      <c r="W273" s="4" t="s">
        <v>754</v>
      </c>
      <c r="X273" s="6" t="s">
        <v>617</v>
      </c>
    </row>
    <row r="274" spans="1:24">
      <c r="A274" s="4" t="s">
        <v>792</v>
      </c>
      <c r="B274" s="4" t="s">
        <v>793</v>
      </c>
      <c r="C274" s="4" t="s">
        <v>794</v>
      </c>
      <c r="D274" s="4" t="s">
        <v>716</v>
      </c>
      <c r="E274" s="4" t="s">
        <v>717</v>
      </c>
      <c r="M274" s="4" t="s">
        <v>762</v>
      </c>
      <c r="N274" s="4">
        <v>-71.639468379999997</v>
      </c>
      <c r="O274" s="4">
        <v>3.784495926</v>
      </c>
      <c r="P274" s="4" t="s">
        <v>734</v>
      </c>
      <c r="Q274" s="4" t="s">
        <v>735</v>
      </c>
      <c r="R274" s="4" t="s">
        <v>730</v>
      </c>
      <c r="S274" s="2">
        <v>46174.214168981482</v>
      </c>
      <c r="T274" s="5">
        <v>5.3240740740740744E-5</v>
      </c>
      <c r="U274" s="4">
        <v>3.6201406270265579E-2</v>
      </c>
      <c r="V274" s="4" t="s">
        <v>763</v>
      </c>
      <c r="W274" s="4" t="s">
        <v>762</v>
      </c>
      <c r="X274" s="6" t="s">
        <v>617</v>
      </c>
    </row>
    <row r="275" spans="1:24">
      <c r="A275" s="4" t="s">
        <v>792</v>
      </c>
      <c r="B275" s="4" t="s">
        <v>793</v>
      </c>
      <c r="C275" s="4" t="s">
        <v>794</v>
      </c>
      <c r="D275" s="4" t="s">
        <v>716</v>
      </c>
      <c r="E275" s="4" t="s">
        <v>717</v>
      </c>
      <c r="M275" s="4" t="s">
        <v>762</v>
      </c>
      <c r="N275" s="4">
        <v>-71.638316340000003</v>
      </c>
      <c r="O275" s="4">
        <v>3.7843384699999998</v>
      </c>
      <c r="P275" s="4" t="s">
        <v>734</v>
      </c>
      <c r="Q275" s="4" t="s">
        <v>735</v>
      </c>
      <c r="R275" s="4" t="s">
        <v>730</v>
      </c>
      <c r="S275" s="2">
        <v>46174.21435185185</v>
      </c>
      <c r="T275" s="5">
        <v>4.6296296296296294E-5</v>
      </c>
      <c r="U275" s="4">
        <v>3.5526107996702194E-2</v>
      </c>
      <c r="V275" s="4" t="s">
        <v>763</v>
      </c>
      <c r="W275" s="4" t="s">
        <v>762</v>
      </c>
      <c r="X275" s="6" t="s">
        <v>617</v>
      </c>
    </row>
    <row r="276" spans="1:24">
      <c r="A276" s="4" t="s">
        <v>792</v>
      </c>
      <c r="B276" s="4" t="s">
        <v>793</v>
      </c>
      <c r="C276" s="4" t="s">
        <v>794</v>
      </c>
      <c r="D276" s="4" t="s">
        <v>716</v>
      </c>
      <c r="E276" s="4" t="s">
        <v>717</v>
      </c>
      <c r="M276" s="4" t="s">
        <v>645</v>
      </c>
      <c r="N276" s="4">
        <v>-71.636698485480011</v>
      </c>
      <c r="O276" s="4">
        <v>3.7843047478940002</v>
      </c>
      <c r="P276" s="4" t="s">
        <v>718</v>
      </c>
      <c r="Q276" s="4" t="s">
        <v>719</v>
      </c>
      <c r="R276" s="4" t="s">
        <v>720</v>
      </c>
      <c r="S276" s="2">
        <v>46174.214592071759</v>
      </c>
      <c r="T276" s="5">
        <v>2.446875E-4</v>
      </c>
      <c r="U276" s="4">
        <v>0.18249921500682831</v>
      </c>
      <c r="V276" s="4" t="s">
        <v>808</v>
      </c>
      <c r="W276" s="4" t="s">
        <v>645</v>
      </c>
      <c r="X276" s="6" t="s">
        <v>617</v>
      </c>
    </row>
    <row r="277" spans="1:24">
      <c r="A277" s="4" t="s">
        <v>792</v>
      </c>
      <c r="B277" s="4" t="s">
        <v>793</v>
      </c>
      <c r="C277" s="4" t="s">
        <v>794</v>
      </c>
      <c r="D277" s="4" t="s">
        <v>716</v>
      </c>
      <c r="E277" s="4" t="s">
        <v>717</v>
      </c>
      <c r="M277" s="4" t="s">
        <v>762</v>
      </c>
      <c r="N277" s="4">
        <v>-71.635539975</v>
      </c>
      <c r="O277" s="4">
        <v>3.7842171800000002</v>
      </c>
      <c r="P277" s="4" t="s">
        <v>718</v>
      </c>
      <c r="Q277" s="4" t="s">
        <v>719</v>
      </c>
      <c r="R277" s="4" t="s">
        <v>720</v>
      </c>
      <c r="S277" s="2">
        <v>46174.214765625002</v>
      </c>
      <c r="T277" s="5">
        <v>2.0386574074074073E-4</v>
      </c>
      <c r="U277" s="4">
        <v>0.15796574950218201</v>
      </c>
      <c r="V277" s="4" t="s">
        <v>784</v>
      </c>
      <c r="W277" s="4" t="s">
        <v>762</v>
      </c>
      <c r="X277" s="6" t="s">
        <v>617</v>
      </c>
    </row>
    <row r="278" spans="1:24">
      <c r="A278" s="4" t="s">
        <v>792</v>
      </c>
      <c r="B278" s="4" t="s">
        <v>793</v>
      </c>
      <c r="C278" s="4" t="s">
        <v>794</v>
      </c>
      <c r="D278" s="4" t="s">
        <v>716</v>
      </c>
      <c r="E278" s="4" t="s">
        <v>717</v>
      </c>
      <c r="M278" s="4" t="s">
        <v>656</v>
      </c>
      <c r="N278" s="4">
        <v>-71.634079</v>
      </c>
      <c r="O278" s="4">
        <v>3.7838196800000001</v>
      </c>
      <c r="P278" s="4" t="s">
        <v>742</v>
      </c>
      <c r="Q278" s="4" t="s">
        <v>743</v>
      </c>
      <c r="R278" s="4" t="s">
        <v>730</v>
      </c>
      <c r="S278" s="2">
        <v>46174.214988425927</v>
      </c>
      <c r="T278" s="5">
        <v>3.8194444444444446E-4</v>
      </c>
      <c r="U278" s="4">
        <v>0.27915593981742859</v>
      </c>
      <c r="V278" s="4" t="s">
        <v>809</v>
      </c>
      <c r="W278" s="4" t="s">
        <v>656</v>
      </c>
      <c r="X278" s="6" t="s">
        <v>617</v>
      </c>
    </row>
    <row r="279" spans="1:24">
      <c r="A279" s="4" t="s">
        <v>792</v>
      </c>
      <c r="B279" s="4" t="s">
        <v>793</v>
      </c>
      <c r="C279" s="4" t="s">
        <v>794</v>
      </c>
      <c r="D279" s="4" t="s">
        <v>716</v>
      </c>
      <c r="E279" s="4" t="s">
        <v>717</v>
      </c>
      <c r="M279" s="4" t="s">
        <v>757</v>
      </c>
      <c r="N279" s="4">
        <v>-71.633933999999996</v>
      </c>
      <c r="O279" s="4">
        <v>3.7825771550000002</v>
      </c>
      <c r="P279" s="4" t="s">
        <v>742</v>
      </c>
      <c r="Q279" s="4" t="s">
        <v>743</v>
      </c>
      <c r="R279" s="4" t="s">
        <v>730</v>
      </c>
      <c r="S279" s="2">
        <v>46174.215167824179</v>
      </c>
      <c r="T279" s="5">
        <v>3.4722222222222222E-5</v>
      </c>
      <c r="U279" s="4">
        <v>3.1439390033483505E-2</v>
      </c>
      <c r="V279" s="4" t="s">
        <v>758</v>
      </c>
      <c r="W279" s="4" t="s">
        <v>757</v>
      </c>
      <c r="X279" s="6" t="s">
        <v>617</v>
      </c>
    </row>
    <row r="280" spans="1:24">
      <c r="A280" s="4" t="s">
        <v>792</v>
      </c>
      <c r="B280" s="4" t="s">
        <v>793</v>
      </c>
      <c r="C280" s="4" t="s">
        <v>794</v>
      </c>
      <c r="D280" s="4" t="s">
        <v>716</v>
      </c>
      <c r="E280" s="4" t="s">
        <v>717</v>
      </c>
      <c r="M280" s="4" t="s">
        <v>645</v>
      </c>
      <c r="N280" s="4">
        <v>-71.634501054499992</v>
      </c>
      <c r="O280" s="4">
        <v>3.7813659631499998</v>
      </c>
      <c r="P280" s="4" t="s">
        <v>800</v>
      </c>
      <c r="Q280" s="4" t="s">
        <v>746</v>
      </c>
      <c r="R280" s="4" t="s">
        <v>720</v>
      </c>
      <c r="S280" s="2">
        <v>46174.215440567132</v>
      </c>
      <c r="T280" s="5">
        <v>3.6516203703703705E-4</v>
      </c>
      <c r="U280" s="4">
        <v>0.18024404346942902</v>
      </c>
      <c r="V280" s="4" t="s">
        <v>750</v>
      </c>
      <c r="W280" s="4" t="s">
        <v>645</v>
      </c>
      <c r="X280" s="6" t="s">
        <v>617</v>
      </c>
    </row>
    <row r="281" spans="1:24">
      <c r="A281" s="4" t="s">
        <v>792</v>
      </c>
      <c r="B281" s="4" t="s">
        <v>793</v>
      </c>
      <c r="C281" s="4" t="s">
        <v>794</v>
      </c>
      <c r="D281" s="4" t="s">
        <v>716</v>
      </c>
      <c r="E281" s="4" t="s">
        <v>717</v>
      </c>
      <c r="M281" s="4" t="s">
        <v>645</v>
      </c>
      <c r="N281" s="4">
        <v>-71.63298290889999</v>
      </c>
      <c r="O281" s="4">
        <v>3.7808648784150001</v>
      </c>
      <c r="P281" s="4" t="s">
        <v>800</v>
      </c>
      <c r="Q281" s="4" t="s">
        <v>746</v>
      </c>
      <c r="R281" s="4" t="s">
        <v>720</v>
      </c>
      <c r="S281" s="2">
        <v>46174.216709108798</v>
      </c>
      <c r="T281" s="5">
        <v>4.1120370370370372E-4</v>
      </c>
      <c r="U281" s="4">
        <v>0.17793351411819458</v>
      </c>
      <c r="V281" s="4" t="s">
        <v>741</v>
      </c>
      <c r="W281" s="4" t="s">
        <v>645</v>
      </c>
      <c r="X281" s="6" t="s">
        <v>617</v>
      </c>
    </row>
    <row r="282" spans="1:24">
      <c r="A282" s="4" t="s">
        <v>792</v>
      </c>
      <c r="B282" s="4" t="s">
        <v>793</v>
      </c>
      <c r="C282" s="4" t="s">
        <v>794</v>
      </c>
      <c r="D282" s="4" t="s">
        <v>716</v>
      </c>
      <c r="E282" s="4" t="s">
        <v>717</v>
      </c>
      <c r="M282" s="4" t="s">
        <v>754</v>
      </c>
      <c r="N282" s="4">
        <v>-71.63298290889999</v>
      </c>
      <c r="O282" s="4">
        <v>3.7808648784150001</v>
      </c>
      <c r="P282" s="4" t="s">
        <v>800</v>
      </c>
      <c r="Q282" s="4" t="s">
        <v>746</v>
      </c>
      <c r="R282" s="4" t="s">
        <v>720</v>
      </c>
      <c r="S282" s="2">
        <v>46174.216709108798</v>
      </c>
      <c r="T282" s="5">
        <v>2.0521990740740741E-4</v>
      </c>
      <c r="U282" s="4">
        <v>7.7874600887298584E-2</v>
      </c>
      <c r="V282" s="4" t="s">
        <v>810</v>
      </c>
      <c r="W282" s="4" t="s">
        <v>754</v>
      </c>
      <c r="X282" s="6" t="s">
        <v>617</v>
      </c>
    </row>
    <row r="283" spans="1:24">
      <c r="A283" s="4" t="s">
        <v>792</v>
      </c>
      <c r="B283" s="4" t="s">
        <v>793</v>
      </c>
      <c r="C283" s="4" t="s">
        <v>794</v>
      </c>
      <c r="D283" s="4" t="s">
        <v>716</v>
      </c>
      <c r="E283" s="4" t="s">
        <v>717</v>
      </c>
      <c r="M283" s="4" t="s">
        <v>656</v>
      </c>
      <c r="N283" s="4">
        <v>-71.634536699999998</v>
      </c>
      <c r="O283" s="4">
        <v>3.7813959100000001</v>
      </c>
      <c r="P283" s="4" t="s">
        <v>795</v>
      </c>
      <c r="Q283" s="4" t="s">
        <v>743</v>
      </c>
      <c r="R283" s="4" t="s">
        <v>730</v>
      </c>
      <c r="S283" s="2">
        <v>46174.217129629629</v>
      </c>
      <c r="T283" s="5">
        <v>4.9768518518518521E-4</v>
      </c>
      <c r="U283" s="4">
        <v>0.32882252335548401</v>
      </c>
      <c r="V283" s="4" t="s">
        <v>811</v>
      </c>
      <c r="W283" s="4" t="s">
        <v>656</v>
      </c>
      <c r="X283" s="6" t="s">
        <v>617</v>
      </c>
    </row>
    <row r="284" spans="1:24">
      <c r="A284" s="4" t="s">
        <v>792</v>
      </c>
      <c r="B284" s="4" t="s">
        <v>793</v>
      </c>
      <c r="C284" s="4" t="s">
        <v>794</v>
      </c>
      <c r="D284" s="4" t="s">
        <v>716</v>
      </c>
      <c r="E284" s="4" t="s">
        <v>717</v>
      </c>
      <c r="M284" s="4" t="s">
        <v>625</v>
      </c>
      <c r="N284" s="4">
        <v>-71.628105199999993</v>
      </c>
      <c r="O284" s="4">
        <v>3.7811040899999999</v>
      </c>
      <c r="P284" s="4" t="s">
        <v>734</v>
      </c>
      <c r="Q284" s="4" t="s">
        <v>735</v>
      </c>
      <c r="R284" s="4" t="s">
        <v>730</v>
      </c>
      <c r="S284" s="2">
        <v>46174.218784722223</v>
      </c>
      <c r="T284" s="5">
        <v>0</v>
      </c>
      <c r="U284" s="4">
        <v>0</v>
      </c>
      <c r="V284" s="4" t="s">
        <v>812</v>
      </c>
      <c r="W284" s="4" t="s">
        <v>625</v>
      </c>
      <c r="X284" s="6" t="s">
        <v>617</v>
      </c>
    </row>
    <row r="285" spans="1:24">
      <c r="A285" s="4" t="s">
        <v>792</v>
      </c>
      <c r="B285" s="4" t="s">
        <v>793</v>
      </c>
      <c r="C285" s="4" t="s">
        <v>794</v>
      </c>
      <c r="D285" s="4" t="s">
        <v>716</v>
      </c>
      <c r="E285" s="4" t="s">
        <v>717</v>
      </c>
      <c r="M285" s="4" t="s">
        <v>645</v>
      </c>
      <c r="N285" s="4">
        <v>-71.626484475769232</v>
      </c>
      <c r="O285" s="4">
        <v>3.7808094519000002</v>
      </c>
      <c r="P285" s="4" t="s">
        <v>722</v>
      </c>
      <c r="Q285" s="4" t="s">
        <v>723</v>
      </c>
      <c r="R285" s="4" t="s">
        <v>720</v>
      </c>
      <c r="S285" s="2">
        <v>46174.219233414355</v>
      </c>
      <c r="T285" s="5">
        <v>8.3715277777777784E-5</v>
      </c>
      <c r="U285" s="4">
        <v>2.14826799929142E-2</v>
      </c>
      <c r="V285" s="4" t="s">
        <v>728</v>
      </c>
      <c r="W285" s="4" t="s">
        <v>645</v>
      </c>
      <c r="X285" s="6" t="s">
        <v>617</v>
      </c>
    </row>
    <row r="286" spans="1:24">
      <c r="A286" s="4" t="s">
        <v>792</v>
      </c>
      <c r="B286" s="4" t="s">
        <v>793</v>
      </c>
      <c r="C286" s="4" t="s">
        <v>794</v>
      </c>
      <c r="D286" s="4" t="s">
        <v>716</v>
      </c>
      <c r="E286" s="4" t="s">
        <v>717</v>
      </c>
      <c r="M286" s="4" t="s">
        <v>645</v>
      </c>
      <c r="N286" s="4">
        <v>-71.626403800000006</v>
      </c>
      <c r="O286" s="4">
        <v>3.7806336900000002</v>
      </c>
      <c r="P286" s="4" t="s">
        <v>722</v>
      </c>
      <c r="Q286" s="4" t="s">
        <v>723</v>
      </c>
      <c r="R286" s="4" t="s">
        <v>720</v>
      </c>
      <c r="S286" s="2">
        <v>46174.219317129631</v>
      </c>
      <c r="T286" s="5">
        <v>2.3842592592592592E-4</v>
      </c>
      <c r="U286" s="4">
        <v>6.8765997886657715E-2</v>
      </c>
      <c r="V286" s="4" t="s">
        <v>666</v>
      </c>
      <c r="W286" s="4" t="s">
        <v>645</v>
      </c>
      <c r="X286" s="6" t="s">
        <v>617</v>
      </c>
    </row>
    <row r="287" spans="1:24">
      <c r="A287" s="4" t="s">
        <v>792</v>
      </c>
      <c r="B287" s="4" t="s">
        <v>793</v>
      </c>
      <c r="C287" s="4" t="s">
        <v>794</v>
      </c>
      <c r="D287" s="4" t="s">
        <v>716</v>
      </c>
      <c r="E287" s="4" t="s">
        <v>717</v>
      </c>
      <c r="M287" s="4" t="s">
        <v>754</v>
      </c>
      <c r="N287" s="4">
        <v>-71.625705684287496</v>
      </c>
      <c r="O287" s="4">
        <v>3.780752390615</v>
      </c>
      <c r="P287" s="4" t="s">
        <v>726</v>
      </c>
      <c r="Q287" s="4" t="s">
        <v>727</v>
      </c>
      <c r="R287" s="4" t="s">
        <v>720</v>
      </c>
      <c r="S287" s="2">
        <v>46174.220829479164</v>
      </c>
      <c r="T287" s="5">
        <v>9.4907407407407408E-4</v>
      </c>
      <c r="U287" s="4">
        <v>0.33264786005020142</v>
      </c>
      <c r="V287" s="4" t="s">
        <v>813</v>
      </c>
      <c r="W287" s="4" t="s">
        <v>754</v>
      </c>
      <c r="X287" s="6" t="s">
        <v>617</v>
      </c>
    </row>
    <row r="288" spans="1:24">
      <c r="A288" s="4" t="s">
        <v>792</v>
      </c>
      <c r="B288" s="4" t="s">
        <v>793</v>
      </c>
      <c r="C288" s="4" t="s">
        <v>794</v>
      </c>
      <c r="D288" s="4" t="s">
        <v>716</v>
      </c>
      <c r="E288" s="4" t="s">
        <v>717</v>
      </c>
      <c r="M288" s="4" t="s">
        <v>645</v>
      </c>
      <c r="N288" s="4">
        <v>-71.625705684287496</v>
      </c>
      <c r="O288" s="4">
        <v>3.780752390615</v>
      </c>
      <c r="P288" s="4" t="s">
        <v>726</v>
      </c>
      <c r="Q288" s="4" t="s">
        <v>727</v>
      </c>
      <c r="R288" s="4" t="s">
        <v>720</v>
      </c>
      <c r="S288" s="2">
        <v>46174.220829479164</v>
      </c>
      <c r="T288" s="5">
        <v>9.4907407407407408E-4</v>
      </c>
      <c r="U288" s="4">
        <v>0.33264786005020142</v>
      </c>
      <c r="V288" s="4" t="s">
        <v>721</v>
      </c>
      <c r="W288" s="4" t="s">
        <v>645</v>
      </c>
      <c r="X288" s="6" t="s">
        <v>617</v>
      </c>
    </row>
    <row r="289" spans="1:24">
      <c r="A289" s="4" t="s">
        <v>792</v>
      </c>
      <c r="B289" s="4" t="s">
        <v>793</v>
      </c>
      <c r="C289" s="4" t="s">
        <v>794</v>
      </c>
      <c r="D289" s="4" t="s">
        <v>716</v>
      </c>
      <c r="E289" s="4" t="s">
        <v>717</v>
      </c>
      <c r="M289" s="4" t="s">
        <v>754</v>
      </c>
      <c r="N289" s="4">
        <v>-71.626533499999994</v>
      </c>
      <c r="O289" s="4">
        <v>3.7794268099999999</v>
      </c>
      <c r="P289" s="4" t="s">
        <v>726</v>
      </c>
      <c r="Q289" s="4" t="s">
        <v>727</v>
      </c>
      <c r="R289" s="4" t="s">
        <v>720</v>
      </c>
      <c r="S289" s="2">
        <v>46174.228692129633</v>
      </c>
      <c r="T289" s="5">
        <v>4.0509259259259258E-4</v>
      </c>
      <c r="U289" s="4">
        <v>0.1034044474363327</v>
      </c>
      <c r="V289" s="4" t="s">
        <v>790</v>
      </c>
      <c r="W289" s="4" t="s">
        <v>754</v>
      </c>
      <c r="X289" s="6" t="s">
        <v>617</v>
      </c>
    </row>
    <row r="290" spans="1:24">
      <c r="A290" s="4" t="s">
        <v>792</v>
      </c>
      <c r="B290" s="4" t="s">
        <v>793</v>
      </c>
      <c r="C290" s="4" t="s">
        <v>794</v>
      </c>
      <c r="D290" s="4" t="s">
        <v>716</v>
      </c>
      <c r="E290" s="4" t="s">
        <v>717</v>
      </c>
      <c r="M290" s="4" t="s">
        <v>645</v>
      </c>
      <c r="N290" s="4">
        <v>-71.626533499999994</v>
      </c>
      <c r="O290" s="4">
        <v>3.7794268099999999</v>
      </c>
      <c r="P290" s="4" t="s">
        <v>726</v>
      </c>
      <c r="Q290" s="4" t="s">
        <v>727</v>
      </c>
      <c r="R290" s="4" t="s">
        <v>720</v>
      </c>
      <c r="S290" s="2">
        <v>46174.228692129633</v>
      </c>
      <c r="T290" s="5">
        <v>4.0509259259259258E-4</v>
      </c>
      <c r="U290" s="4">
        <v>0.1034044474363327</v>
      </c>
      <c r="V290" s="4" t="s">
        <v>728</v>
      </c>
      <c r="W290" s="4" t="s">
        <v>645</v>
      </c>
      <c r="X290" s="6" t="s">
        <v>617</v>
      </c>
    </row>
    <row r="291" spans="1:24">
      <c r="A291" s="4" t="s">
        <v>792</v>
      </c>
      <c r="B291" s="4" t="s">
        <v>793</v>
      </c>
      <c r="C291" s="4" t="s">
        <v>794</v>
      </c>
      <c r="D291" s="4" t="s">
        <v>716</v>
      </c>
      <c r="E291" s="4" t="s">
        <v>717</v>
      </c>
      <c r="M291" s="4" t="s">
        <v>754</v>
      </c>
      <c r="N291" s="4">
        <v>-71.626388500000004</v>
      </c>
      <c r="O291" s="4">
        <v>3.7805483299999998</v>
      </c>
      <c r="P291" s="4" t="s">
        <v>722</v>
      </c>
      <c r="Q291" s="4" t="s">
        <v>723</v>
      </c>
      <c r="R291" s="4" t="s">
        <v>720</v>
      </c>
      <c r="S291" s="2">
        <v>46174.229224537034</v>
      </c>
      <c r="T291" s="5">
        <v>2.5077546296296295E-4</v>
      </c>
      <c r="U291" s="4">
        <v>6.2230050563812256E-2</v>
      </c>
      <c r="V291" s="4" t="s">
        <v>814</v>
      </c>
      <c r="W291" s="4" t="s">
        <v>754</v>
      </c>
      <c r="X291" s="6" t="s">
        <v>617</v>
      </c>
    </row>
    <row r="292" spans="1:24">
      <c r="A292" s="4" t="s">
        <v>792</v>
      </c>
      <c r="B292" s="4" t="s">
        <v>793</v>
      </c>
      <c r="C292" s="4" t="s">
        <v>794</v>
      </c>
      <c r="D292" s="4" t="s">
        <v>716</v>
      </c>
      <c r="E292" s="4" t="s">
        <v>717</v>
      </c>
      <c r="M292" s="4" t="s">
        <v>645</v>
      </c>
      <c r="N292" s="4">
        <v>-71.626388500000004</v>
      </c>
      <c r="O292" s="4">
        <v>3.7805483299999998</v>
      </c>
      <c r="P292" s="4" t="s">
        <v>722</v>
      </c>
      <c r="Q292" s="4" t="s">
        <v>723</v>
      </c>
      <c r="R292" s="4" t="s">
        <v>720</v>
      </c>
      <c r="S292" s="2">
        <v>46174.229224537034</v>
      </c>
      <c r="T292" s="5">
        <v>2.5077546296296295E-4</v>
      </c>
      <c r="U292" s="4">
        <v>6.2230050563812256E-2</v>
      </c>
      <c r="V292" s="4" t="s">
        <v>724</v>
      </c>
      <c r="W292" s="4" t="s">
        <v>645</v>
      </c>
      <c r="X292" s="6" t="s">
        <v>617</v>
      </c>
    </row>
    <row r="293" spans="1:24">
      <c r="A293" s="4" t="s">
        <v>792</v>
      </c>
      <c r="B293" s="4" t="s">
        <v>793</v>
      </c>
      <c r="C293" s="4" t="s">
        <v>794</v>
      </c>
      <c r="D293" s="4" t="s">
        <v>716</v>
      </c>
      <c r="E293" s="4" t="s">
        <v>717</v>
      </c>
      <c r="M293" s="4" t="s">
        <v>754</v>
      </c>
      <c r="N293" s="4">
        <v>-71.625694300000006</v>
      </c>
      <c r="O293" s="4">
        <v>3.78057599</v>
      </c>
      <c r="P293" s="4" t="s">
        <v>726</v>
      </c>
      <c r="Q293" s="4" t="s">
        <v>727</v>
      </c>
      <c r="R293" s="4" t="s">
        <v>720</v>
      </c>
      <c r="S293" s="2">
        <v>46174.259479166663</v>
      </c>
      <c r="T293" s="5">
        <v>0</v>
      </c>
      <c r="U293" s="4">
        <v>0</v>
      </c>
      <c r="V293" s="4" t="s">
        <v>791</v>
      </c>
      <c r="W293" s="4" t="s">
        <v>754</v>
      </c>
      <c r="X293" s="6" t="s">
        <v>617</v>
      </c>
    </row>
    <row r="294" spans="1:24">
      <c r="A294" s="4" t="s">
        <v>792</v>
      </c>
      <c r="B294" s="4" t="s">
        <v>793</v>
      </c>
      <c r="C294" s="4" t="s">
        <v>794</v>
      </c>
      <c r="D294" s="4" t="s">
        <v>716</v>
      </c>
      <c r="E294" s="4" t="s">
        <v>717</v>
      </c>
      <c r="M294" s="4" t="s">
        <v>754</v>
      </c>
      <c r="N294" s="4">
        <v>-71.625694300000006</v>
      </c>
      <c r="O294" s="4">
        <v>3.78057599</v>
      </c>
      <c r="P294" s="4" t="s">
        <v>726</v>
      </c>
      <c r="Q294" s="4" t="s">
        <v>727</v>
      </c>
      <c r="R294" s="4" t="s">
        <v>720</v>
      </c>
      <c r="S294" s="2">
        <v>46174.260027974538</v>
      </c>
      <c r="T294" s="5">
        <v>9.4201388888888894E-5</v>
      </c>
      <c r="U294" s="4">
        <v>0</v>
      </c>
      <c r="V294" s="4" t="s">
        <v>810</v>
      </c>
      <c r="W294" s="4" t="s">
        <v>754</v>
      </c>
      <c r="X294" s="6" t="s">
        <v>617</v>
      </c>
    </row>
    <row r="295" spans="1:24">
      <c r="A295" s="4" t="s">
        <v>792</v>
      </c>
      <c r="B295" s="4" t="s">
        <v>793</v>
      </c>
      <c r="C295" s="4" t="s">
        <v>794</v>
      </c>
      <c r="D295" s="4" t="s">
        <v>716</v>
      </c>
      <c r="E295" s="4" t="s">
        <v>717</v>
      </c>
      <c r="M295" s="4" t="s">
        <v>754</v>
      </c>
      <c r="N295" s="4">
        <v>-71.625694300000006</v>
      </c>
      <c r="O295" s="4">
        <v>3.78057599</v>
      </c>
      <c r="P295" s="4" t="s">
        <v>726</v>
      </c>
      <c r="Q295" s="4" t="s">
        <v>727</v>
      </c>
      <c r="R295" s="4" t="s">
        <v>720</v>
      </c>
      <c r="S295" s="2">
        <v>46174.26013116898</v>
      </c>
      <c r="T295" s="5">
        <v>1.6134259259259259E-5</v>
      </c>
      <c r="U295" s="4">
        <v>0</v>
      </c>
      <c r="V295" s="4" t="s">
        <v>815</v>
      </c>
      <c r="W295" s="4" t="s">
        <v>754</v>
      </c>
      <c r="X295" s="6" t="s">
        <v>617</v>
      </c>
    </row>
    <row r="296" spans="1:24">
      <c r="A296" s="4" t="s">
        <v>792</v>
      </c>
      <c r="B296" s="4" t="s">
        <v>793</v>
      </c>
      <c r="C296" s="4" t="s">
        <v>794</v>
      </c>
      <c r="D296" s="4" t="s">
        <v>716</v>
      </c>
      <c r="E296" s="4" t="s">
        <v>717</v>
      </c>
      <c r="M296" s="4" t="s">
        <v>645</v>
      </c>
      <c r="N296" s="4">
        <v>-71.624807127083344</v>
      </c>
      <c r="O296" s="4">
        <v>3.7810724269750002</v>
      </c>
      <c r="P296" s="4" t="s">
        <v>759</v>
      </c>
      <c r="Q296" s="4" t="s">
        <v>760</v>
      </c>
      <c r="R296" s="4" t="s">
        <v>730</v>
      </c>
      <c r="S296" s="2">
        <v>46174.26032991898</v>
      </c>
      <c r="T296" s="5">
        <v>2.4768518518518518E-5</v>
      </c>
      <c r="U296" s="4">
        <v>1.1884911917150021E-2</v>
      </c>
      <c r="V296" s="4" t="s">
        <v>721</v>
      </c>
      <c r="W296" s="4" t="s">
        <v>645</v>
      </c>
      <c r="X296" s="6" t="s">
        <v>617</v>
      </c>
    </row>
    <row r="297" spans="1:24">
      <c r="A297" s="4" t="s">
        <v>792</v>
      </c>
      <c r="B297" s="4" t="s">
        <v>793</v>
      </c>
      <c r="C297" s="4" t="s">
        <v>794</v>
      </c>
      <c r="D297" s="4" t="s">
        <v>716</v>
      </c>
      <c r="E297" s="4" t="s">
        <v>717</v>
      </c>
      <c r="M297" s="4" t="s">
        <v>762</v>
      </c>
      <c r="N297" s="4">
        <v>-71.623832725940005</v>
      </c>
      <c r="O297" s="4">
        <v>3.781124831764</v>
      </c>
      <c r="P297" s="4" t="s">
        <v>759</v>
      </c>
      <c r="Q297" s="4" t="s">
        <v>760</v>
      </c>
      <c r="R297" s="4" t="s">
        <v>730</v>
      </c>
      <c r="S297" s="2">
        <v>46174.260536261572</v>
      </c>
      <c r="T297" s="5">
        <v>5.0162037037037037E-5</v>
      </c>
      <c r="U297" s="4">
        <v>3.7127815186977386E-2</v>
      </c>
      <c r="V297" s="4" t="s">
        <v>763</v>
      </c>
      <c r="W297" s="4" t="s">
        <v>762</v>
      </c>
      <c r="X297" s="6" t="s">
        <v>617</v>
      </c>
    </row>
    <row r="298" spans="1:24">
      <c r="A298" s="4" t="s">
        <v>792</v>
      </c>
      <c r="B298" s="4" t="s">
        <v>793</v>
      </c>
      <c r="C298" s="4" t="s">
        <v>794</v>
      </c>
      <c r="D298" s="4" t="s">
        <v>716</v>
      </c>
      <c r="E298" s="4" t="s">
        <v>717</v>
      </c>
      <c r="M298" s="4" t="s">
        <v>762</v>
      </c>
      <c r="N298" s="4">
        <v>-71.622172495019996</v>
      </c>
      <c r="O298" s="4">
        <v>3.7804727120179997</v>
      </c>
      <c r="P298" s="4" t="s">
        <v>734</v>
      </c>
      <c r="Q298" s="4" t="s">
        <v>735</v>
      </c>
      <c r="R298" s="4" t="s">
        <v>730</v>
      </c>
      <c r="S298" s="2">
        <v>46174.260852627318</v>
      </c>
      <c r="T298" s="5">
        <v>7.5405092592592597E-5</v>
      </c>
      <c r="U298" s="4">
        <v>5.7001650333404541E-2</v>
      </c>
      <c r="V298" s="4" t="s">
        <v>781</v>
      </c>
      <c r="W298" s="4" t="s">
        <v>762</v>
      </c>
      <c r="X298" s="6" t="s">
        <v>617</v>
      </c>
    </row>
    <row r="299" spans="1:24">
      <c r="A299" s="4" t="s">
        <v>792</v>
      </c>
      <c r="B299" s="4" t="s">
        <v>793</v>
      </c>
      <c r="C299" s="4" t="s">
        <v>794</v>
      </c>
      <c r="D299" s="4" t="s">
        <v>716</v>
      </c>
      <c r="E299" s="4" t="s">
        <v>717</v>
      </c>
      <c r="M299" s="4" t="s">
        <v>762</v>
      </c>
      <c r="N299" s="4">
        <v>-71.621372266666668</v>
      </c>
      <c r="O299" s="4">
        <v>3.7805396333333334</v>
      </c>
      <c r="P299" s="4" t="s">
        <v>734</v>
      </c>
      <c r="Q299" s="4" t="s">
        <v>735</v>
      </c>
      <c r="R299" s="4" t="s">
        <v>730</v>
      </c>
      <c r="S299" s="2">
        <v>46174.260989583432</v>
      </c>
      <c r="T299" s="5">
        <v>4.5358796296296298E-5</v>
      </c>
      <c r="U299" s="4">
        <v>3.5808954387903214E-2</v>
      </c>
      <c r="V299" s="4" t="s">
        <v>784</v>
      </c>
      <c r="W299" s="4" t="s">
        <v>762</v>
      </c>
      <c r="X299" s="6" t="s">
        <v>617</v>
      </c>
    </row>
    <row r="300" spans="1:24">
      <c r="A300" s="4" t="s">
        <v>792</v>
      </c>
      <c r="B300" s="4" t="s">
        <v>793</v>
      </c>
      <c r="C300" s="4" t="s">
        <v>794</v>
      </c>
      <c r="D300" s="4" t="s">
        <v>716</v>
      </c>
      <c r="E300" s="4" t="s">
        <v>717</v>
      </c>
      <c r="M300" s="4" t="s">
        <v>757</v>
      </c>
      <c r="N300" s="4">
        <v>-71.60005855</v>
      </c>
      <c r="O300" s="4">
        <v>3.7707297799999999</v>
      </c>
      <c r="P300" s="4" t="s">
        <v>742</v>
      </c>
      <c r="Q300" s="4" t="s">
        <v>743</v>
      </c>
      <c r="R300" s="4" t="s">
        <v>730</v>
      </c>
      <c r="S300" s="2">
        <v>46174.264934895837</v>
      </c>
      <c r="T300" s="5">
        <v>1.0543981481481482E-5</v>
      </c>
      <c r="U300" s="4">
        <v>9.1146593913435936E-3</v>
      </c>
      <c r="V300" s="4" t="s">
        <v>774</v>
      </c>
      <c r="W300" s="4" t="s">
        <v>757</v>
      </c>
      <c r="X300" s="6" t="s">
        <v>617</v>
      </c>
    </row>
    <row r="301" spans="1:24">
      <c r="A301" s="4" t="s">
        <v>792</v>
      </c>
      <c r="B301" s="4" t="s">
        <v>793</v>
      </c>
      <c r="C301" s="4" t="s">
        <v>794</v>
      </c>
      <c r="D301" s="4" t="s">
        <v>716</v>
      </c>
      <c r="E301" s="4" t="s">
        <v>717</v>
      </c>
      <c r="M301" s="4" t="s">
        <v>757</v>
      </c>
      <c r="N301" s="4">
        <v>-71.578286739999996</v>
      </c>
      <c r="O301" s="4">
        <v>3.7731871620000001</v>
      </c>
      <c r="P301" s="4" t="s">
        <v>742</v>
      </c>
      <c r="Q301" s="4" t="s">
        <v>743</v>
      </c>
      <c r="R301" s="4" t="s">
        <v>730</v>
      </c>
      <c r="S301" s="2">
        <v>46174.268206018518</v>
      </c>
      <c r="T301" s="5">
        <v>1.0802083333333333E-4</v>
      </c>
      <c r="U301" s="4">
        <v>0.10114920884370804</v>
      </c>
      <c r="V301" s="4" t="s">
        <v>774</v>
      </c>
      <c r="W301" s="4" t="s">
        <v>757</v>
      </c>
      <c r="X301" s="6" t="s">
        <v>617</v>
      </c>
    </row>
    <row r="302" spans="1:24">
      <c r="A302" s="4" t="s">
        <v>792</v>
      </c>
      <c r="B302" s="4" t="s">
        <v>793</v>
      </c>
      <c r="C302" s="4" t="s">
        <v>794</v>
      </c>
      <c r="D302" s="4" t="s">
        <v>716</v>
      </c>
      <c r="E302" s="4" t="s">
        <v>717</v>
      </c>
      <c r="M302" s="4" t="s">
        <v>757</v>
      </c>
      <c r="N302" s="4">
        <v>-71.560000083333335</v>
      </c>
      <c r="O302" s="4">
        <v>3.7835178749999998</v>
      </c>
      <c r="P302" s="4" t="s">
        <v>742</v>
      </c>
      <c r="Q302" s="4" t="s">
        <v>743</v>
      </c>
      <c r="R302" s="4" t="s">
        <v>730</v>
      </c>
      <c r="S302" s="2">
        <v>46174.271140046396</v>
      </c>
      <c r="T302" s="5">
        <v>2.6041666666666668E-5</v>
      </c>
      <c r="U302" s="4">
        <v>2.434096671640873E-2</v>
      </c>
      <c r="V302" s="4" t="s">
        <v>758</v>
      </c>
      <c r="W302" s="4" t="s">
        <v>757</v>
      </c>
      <c r="X302" s="6" t="s">
        <v>617</v>
      </c>
    </row>
    <row r="303" spans="1:24">
      <c r="A303" s="4" t="s">
        <v>792</v>
      </c>
      <c r="B303" s="4" t="s">
        <v>793</v>
      </c>
      <c r="C303" s="4" t="s">
        <v>794</v>
      </c>
      <c r="D303" s="4" t="s">
        <v>716</v>
      </c>
      <c r="E303" s="4" t="s">
        <v>717</v>
      </c>
      <c r="M303" s="4" t="s">
        <v>733</v>
      </c>
      <c r="N303" s="4">
        <v>-71.559052465199997</v>
      </c>
      <c r="O303" s="4">
        <v>3.7834094972400001</v>
      </c>
      <c r="P303" s="4" t="s">
        <v>742</v>
      </c>
      <c r="Q303" s="4" t="s">
        <v>743</v>
      </c>
      <c r="R303" s="4" t="s">
        <v>730</v>
      </c>
      <c r="S303" s="2">
        <v>46174.271288090276</v>
      </c>
      <c r="T303" s="5">
        <v>3.9351851851851854E-7</v>
      </c>
      <c r="U303" s="4">
        <v>1.1045602150261402E-4</v>
      </c>
      <c r="V303" s="4" t="s">
        <v>816</v>
      </c>
      <c r="W303" s="4" t="s">
        <v>733</v>
      </c>
      <c r="X303" s="6" t="s">
        <v>617</v>
      </c>
    </row>
    <row r="304" spans="1:24">
      <c r="A304" s="4" t="s">
        <v>792</v>
      </c>
      <c r="B304" s="4" t="s">
        <v>793</v>
      </c>
      <c r="C304" s="4" t="s">
        <v>794</v>
      </c>
      <c r="D304" s="4" t="s">
        <v>716</v>
      </c>
      <c r="E304" s="4" t="s">
        <v>717</v>
      </c>
      <c r="M304" s="4" t="s">
        <v>757</v>
      </c>
      <c r="N304" s="4">
        <v>-71.55700206249999</v>
      </c>
      <c r="O304" s="4">
        <v>3.7811286449999999</v>
      </c>
      <c r="P304" s="4" t="s">
        <v>742</v>
      </c>
      <c r="Q304" s="4" t="s">
        <v>743</v>
      </c>
      <c r="R304" s="4" t="s">
        <v>730</v>
      </c>
      <c r="S304" s="2">
        <v>46174.271786747682</v>
      </c>
      <c r="T304" s="5">
        <v>3.6168981481481479E-5</v>
      </c>
      <c r="U304" s="4">
        <v>3.3477950841188431E-2</v>
      </c>
      <c r="V304" s="4" t="s">
        <v>758</v>
      </c>
      <c r="W304" s="4" t="s">
        <v>757</v>
      </c>
      <c r="X304" s="6" t="s">
        <v>617</v>
      </c>
    </row>
    <row r="305" spans="1:24">
      <c r="A305" s="4" t="s">
        <v>792</v>
      </c>
      <c r="B305" s="4" t="s">
        <v>793</v>
      </c>
      <c r="C305" s="4" t="s">
        <v>794</v>
      </c>
      <c r="D305" s="4" t="s">
        <v>716</v>
      </c>
      <c r="E305" s="4" t="s">
        <v>717</v>
      </c>
      <c r="M305" s="4" t="s">
        <v>757</v>
      </c>
      <c r="N305" s="4">
        <v>-71.544616675</v>
      </c>
      <c r="O305" s="4">
        <v>3.7906950099999999</v>
      </c>
      <c r="P305" s="4" t="s">
        <v>773</v>
      </c>
      <c r="Q305" s="4" t="s">
        <v>743</v>
      </c>
      <c r="R305" s="4" t="s">
        <v>730</v>
      </c>
      <c r="S305" s="2">
        <v>46174.274615162038</v>
      </c>
      <c r="T305" s="5">
        <v>4.0509359259259258E-5</v>
      </c>
      <c r="U305" s="4">
        <v>3.7994954735040665E-2</v>
      </c>
      <c r="V305" s="4" t="s">
        <v>758</v>
      </c>
      <c r="W305" s="4" t="s">
        <v>757</v>
      </c>
      <c r="X305" s="6" t="s">
        <v>617</v>
      </c>
    </row>
    <row r="306" spans="1:24">
      <c r="A306" s="4" t="s">
        <v>792</v>
      </c>
      <c r="B306" s="4" t="s">
        <v>793</v>
      </c>
      <c r="C306" s="4" t="s">
        <v>794</v>
      </c>
      <c r="D306" s="4" t="s">
        <v>716</v>
      </c>
      <c r="E306" s="4" t="s">
        <v>717</v>
      </c>
      <c r="M306" s="4" t="s">
        <v>757</v>
      </c>
      <c r="N306" s="4">
        <v>-71.544297199999988</v>
      </c>
      <c r="O306" s="4">
        <v>3.7944103512499998</v>
      </c>
      <c r="P306" s="4" t="s">
        <v>817</v>
      </c>
      <c r="Q306" s="4" t="s">
        <v>743</v>
      </c>
      <c r="R306" s="4" t="s">
        <v>730</v>
      </c>
      <c r="S306" s="2">
        <v>46174.2751562501</v>
      </c>
      <c r="T306" s="5">
        <v>1.5625010000000001E-4</v>
      </c>
      <c r="U306" s="4">
        <v>0.14805565774440765</v>
      </c>
      <c r="V306" s="4" t="s">
        <v>758</v>
      </c>
      <c r="W306" s="4" t="s">
        <v>757</v>
      </c>
      <c r="X306" s="6" t="s">
        <v>617</v>
      </c>
    </row>
    <row r="307" spans="1:24">
      <c r="A307" s="4" t="s">
        <v>792</v>
      </c>
      <c r="B307" s="4" t="s">
        <v>793</v>
      </c>
      <c r="C307" s="4" t="s">
        <v>794</v>
      </c>
      <c r="D307" s="4" t="s">
        <v>716</v>
      </c>
      <c r="E307" s="4" t="s">
        <v>717</v>
      </c>
      <c r="M307" s="4" t="s">
        <v>757</v>
      </c>
      <c r="N307" s="4">
        <v>-71.542068449999988</v>
      </c>
      <c r="O307" s="4">
        <v>3.797838805</v>
      </c>
      <c r="P307" s="4" t="s">
        <v>817</v>
      </c>
      <c r="Q307" s="4" t="s">
        <v>743</v>
      </c>
      <c r="R307" s="4" t="s">
        <v>730</v>
      </c>
      <c r="S307" s="2">
        <v>46174.275642361215</v>
      </c>
      <c r="T307" s="5">
        <v>7.1377314814814819E-5</v>
      </c>
      <c r="U307" s="4">
        <v>6.67300745844841E-2</v>
      </c>
      <c r="V307" s="4" t="s">
        <v>758</v>
      </c>
      <c r="W307" s="4" t="s">
        <v>757</v>
      </c>
      <c r="X307" s="6" t="s">
        <v>617</v>
      </c>
    </row>
    <row r="308" spans="1:24">
      <c r="A308" s="4" t="s">
        <v>792</v>
      </c>
      <c r="B308" s="4" t="s">
        <v>793</v>
      </c>
      <c r="C308" s="4" t="s">
        <v>794</v>
      </c>
      <c r="D308" s="4" t="s">
        <v>716</v>
      </c>
      <c r="E308" s="4" t="s">
        <v>717</v>
      </c>
      <c r="M308" s="4" t="s">
        <v>757</v>
      </c>
      <c r="N308" s="4">
        <v>-71.541533148228581</v>
      </c>
      <c r="O308" s="4">
        <v>3.7991790876957143</v>
      </c>
      <c r="P308" s="4" t="s">
        <v>817</v>
      </c>
      <c r="Q308" s="4" t="s">
        <v>743</v>
      </c>
      <c r="R308" s="4" t="s">
        <v>730</v>
      </c>
      <c r="S308" s="2">
        <v>46174.275819826391</v>
      </c>
      <c r="T308" s="5">
        <v>1.9293981481481483E-5</v>
      </c>
      <c r="U308" s="4">
        <v>1.7036851495504379E-2</v>
      </c>
      <c r="V308" s="4" t="s">
        <v>758</v>
      </c>
      <c r="W308" s="4" t="s">
        <v>757</v>
      </c>
      <c r="X308" s="6" t="s">
        <v>617</v>
      </c>
    </row>
    <row r="309" spans="1:24">
      <c r="A309" s="4" t="s">
        <v>792</v>
      </c>
      <c r="B309" s="4" t="s">
        <v>793</v>
      </c>
      <c r="C309" s="4" t="s">
        <v>794</v>
      </c>
      <c r="D309" s="4" t="s">
        <v>716</v>
      </c>
      <c r="E309" s="4" t="s">
        <v>717</v>
      </c>
      <c r="M309" s="4" t="s">
        <v>757</v>
      </c>
      <c r="N309" s="4">
        <v>-71.539745350000004</v>
      </c>
      <c r="O309" s="4">
        <v>3.8004466299999997</v>
      </c>
      <c r="P309" s="4" t="s">
        <v>817</v>
      </c>
      <c r="Q309" s="4" t="s">
        <v>743</v>
      </c>
      <c r="R309" s="4" t="s">
        <v>730</v>
      </c>
      <c r="S309" s="2">
        <v>46174.276099537034</v>
      </c>
      <c r="T309" s="5">
        <v>5.7870370370370373E-5</v>
      </c>
      <c r="U309" s="4">
        <v>5.3842421621084213E-2</v>
      </c>
      <c r="V309" s="4" t="s">
        <v>758</v>
      </c>
      <c r="W309" s="4" t="s">
        <v>757</v>
      </c>
      <c r="X309" s="6" t="s">
        <v>617</v>
      </c>
    </row>
    <row r="310" spans="1:24">
      <c r="A310" s="4" t="s">
        <v>792</v>
      </c>
      <c r="B310" s="4" t="s">
        <v>793</v>
      </c>
      <c r="C310" s="4" t="s">
        <v>794</v>
      </c>
      <c r="D310" s="4" t="s">
        <v>716</v>
      </c>
      <c r="E310" s="4" t="s">
        <v>717</v>
      </c>
      <c r="M310" s="4" t="s">
        <v>754</v>
      </c>
      <c r="N310" s="4">
        <v>-71.535514800000001</v>
      </c>
      <c r="O310" s="4">
        <v>3.8024399299999998</v>
      </c>
      <c r="P310" s="4" t="s">
        <v>818</v>
      </c>
      <c r="Q310" s="4" t="s">
        <v>743</v>
      </c>
      <c r="R310" s="4" t="s">
        <v>730</v>
      </c>
      <c r="S310" s="2">
        <v>46174.277962962966</v>
      </c>
      <c r="T310" s="5">
        <v>8.9892361111111108E-4</v>
      </c>
      <c r="U310" s="4">
        <v>0.40598690509796143</v>
      </c>
      <c r="V310" s="4" t="s">
        <v>819</v>
      </c>
      <c r="W310" s="4" t="s">
        <v>754</v>
      </c>
      <c r="X310" s="6" t="s">
        <v>617</v>
      </c>
    </row>
    <row r="311" spans="1:24">
      <c r="A311" s="4" t="s">
        <v>792</v>
      </c>
      <c r="B311" s="4" t="s">
        <v>793</v>
      </c>
      <c r="C311" s="4" t="s">
        <v>794</v>
      </c>
      <c r="D311" s="4" t="s">
        <v>716</v>
      </c>
      <c r="E311" s="4" t="s">
        <v>717</v>
      </c>
      <c r="M311" s="4" t="s">
        <v>645</v>
      </c>
      <c r="N311" s="4">
        <v>-71.53513346297143</v>
      </c>
      <c r="O311" s="4">
        <v>3.8026294856861904</v>
      </c>
      <c r="P311" s="4" t="s">
        <v>745</v>
      </c>
      <c r="Q311" s="4" t="s">
        <v>746</v>
      </c>
      <c r="R311" s="4" t="s">
        <v>720</v>
      </c>
      <c r="S311" s="2">
        <v>46174.278107604165</v>
      </c>
      <c r="T311" s="5">
        <v>7.542824074074074E-4</v>
      </c>
      <c r="U311" s="4">
        <v>0.35874766111373901</v>
      </c>
      <c r="V311" s="4" t="s">
        <v>751</v>
      </c>
      <c r="W311" s="4" t="s">
        <v>645</v>
      </c>
      <c r="X311" s="6" t="s">
        <v>617</v>
      </c>
    </row>
    <row r="312" spans="1:24">
      <c r="A312" s="4" t="s">
        <v>792</v>
      </c>
      <c r="B312" s="4" t="s">
        <v>793</v>
      </c>
      <c r="C312" s="4" t="s">
        <v>794</v>
      </c>
      <c r="D312" s="4" t="s">
        <v>716</v>
      </c>
      <c r="E312" s="4" t="s">
        <v>717</v>
      </c>
      <c r="M312" s="4" t="s">
        <v>754</v>
      </c>
      <c r="N312" s="4">
        <v>-71.534144803819999</v>
      </c>
      <c r="O312" s="4">
        <v>3.8052626701099999</v>
      </c>
      <c r="P312" s="4" t="s">
        <v>749</v>
      </c>
      <c r="Q312" s="4" t="s">
        <v>746</v>
      </c>
      <c r="R312" s="4" t="s">
        <v>720</v>
      </c>
      <c r="S312" s="2">
        <v>46174.278882280094</v>
      </c>
      <c r="T312" s="5">
        <v>1.4549768518518519E-4</v>
      </c>
      <c r="U312" s="4">
        <v>4.1876122355461121E-2</v>
      </c>
      <c r="V312" s="4" t="s">
        <v>820</v>
      </c>
      <c r="W312" s="4" t="s">
        <v>754</v>
      </c>
      <c r="X312" s="6" t="s">
        <v>617</v>
      </c>
    </row>
    <row r="313" spans="1:24">
      <c r="A313" s="4" t="s">
        <v>792</v>
      </c>
      <c r="B313" s="4" t="s">
        <v>793</v>
      </c>
      <c r="C313" s="4" t="s">
        <v>794</v>
      </c>
      <c r="D313" s="4" t="s">
        <v>716</v>
      </c>
      <c r="E313" s="4" t="s">
        <v>717</v>
      </c>
      <c r="M313" s="4" t="s">
        <v>645</v>
      </c>
      <c r="N313" s="4">
        <v>-71.534144803819999</v>
      </c>
      <c r="O313" s="4">
        <v>3.8052626701099999</v>
      </c>
      <c r="P313" s="4" t="s">
        <v>749</v>
      </c>
      <c r="Q313" s="4" t="s">
        <v>746</v>
      </c>
      <c r="R313" s="4" t="s">
        <v>720</v>
      </c>
      <c r="S313" s="2">
        <v>46174.278882280094</v>
      </c>
      <c r="T313" s="5">
        <v>1.4549768518518519E-4</v>
      </c>
      <c r="U313" s="4">
        <v>4.1876122355461121E-2</v>
      </c>
      <c r="V313" s="4" t="s">
        <v>771</v>
      </c>
      <c r="W313" s="4" t="s">
        <v>645</v>
      </c>
      <c r="X313" s="6" t="s">
        <v>617</v>
      </c>
    </row>
    <row r="314" spans="1:24">
      <c r="A314" s="4" t="s">
        <v>792</v>
      </c>
      <c r="B314" s="4" t="s">
        <v>793</v>
      </c>
      <c r="C314" s="4" t="s">
        <v>794</v>
      </c>
      <c r="D314" s="4" t="s">
        <v>716</v>
      </c>
      <c r="E314" s="4" t="s">
        <v>717</v>
      </c>
      <c r="M314" s="4" t="s">
        <v>754</v>
      </c>
      <c r="N314" s="4">
        <v>-71.533947740000002</v>
      </c>
      <c r="O314" s="4">
        <v>3.8056308739999998</v>
      </c>
      <c r="P314" s="4" t="s">
        <v>749</v>
      </c>
      <c r="Q314" s="4" t="s">
        <v>746</v>
      </c>
      <c r="R314" s="4" t="s">
        <v>720</v>
      </c>
      <c r="S314" s="2">
        <v>46174.279087962961</v>
      </c>
      <c r="T314" s="5">
        <v>8.1597222222222216E-5</v>
      </c>
      <c r="U314" s="4">
        <v>2.0015465095639229E-2</v>
      </c>
      <c r="V314" s="4" t="s">
        <v>791</v>
      </c>
      <c r="W314" s="4" t="s">
        <v>754</v>
      </c>
      <c r="X314" s="6" t="s">
        <v>617</v>
      </c>
    </row>
    <row r="315" spans="1:24">
      <c r="A315" s="4" t="s">
        <v>792</v>
      </c>
      <c r="B315" s="4" t="s">
        <v>793</v>
      </c>
      <c r="C315" s="4" t="s">
        <v>794</v>
      </c>
      <c r="D315" s="4" t="s">
        <v>716</v>
      </c>
      <c r="E315" s="4" t="s">
        <v>717</v>
      </c>
      <c r="M315" s="4" t="s">
        <v>645</v>
      </c>
      <c r="N315" s="4">
        <v>-71.533947740000002</v>
      </c>
      <c r="O315" s="4">
        <v>3.8056308739999998</v>
      </c>
      <c r="P315" s="4" t="s">
        <v>749</v>
      </c>
      <c r="Q315" s="4" t="s">
        <v>746</v>
      </c>
      <c r="R315" s="4" t="s">
        <v>720</v>
      </c>
      <c r="S315" s="2">
        <v>46174.279087962961</v>
      </c>
      <c r="T315" s="5">
        <v>8.1597222222222216E-5</v>
      </c>
      <c r="U315" s="4">
        <v>2.0015465095639229E-2</v>
      </c>
      <c r="V315" s="4" t="s">
        <v>731</v>
      </c>
      <c r="W315" s="4" t="s">
        <v>645</v>
      </c>
      <c r="X315" s="6" t="s">
        <v>617</v>
      </c>
    </row>
    <row r="316" spans="1:24">
      <c r="A316" s="4" t="s">
        <v>792</v>
      </c>
      <c r="B316" s="4" t="s">
        <v>793</v>
      </c>
      <c r="C316" s="4" t="s">
        <v>794</v>
      </c>
      <c r="D316" s="4" t="s">
        <v>716</v>
      </c>
      <c r="E316" s="4" t="s">
        <v>717</v>
      </c>
      <c r="M316" s="4" t="s">
        <v>754</v>
      </c>
      <c r="N316" s="4">
        <v>-71.5337715</v>
      </c>
      <c r="O316" s="4">
        <v>3.8055466400000002</v>
      </c>
      <c r="P316" s="4" t="s">
        <v>745</v>
      </c>
      <c r="Q316" s="4" t="s">
        <v>746</v>
      </c>
      <c r="R316" s="4" t="s">
        <v>720</v>
      </c>
      <c r="S316" s="2">
        <v>46174.35800925926</v>
      </c>
      <c r="T316" s="5">
        <v>1.1959490740740741E-4</v>
      </c>
      <c r="U316" s="4">
        <v>3.2981488853693008E-2</v>
      </c>
      <c r="V316" s="4" t="s">
        <v>790</v>
      </c>
      <c r="W316" s="4" t="s">
        <v>754</v>
      </c>
      <c r="X316" s="6" t="s">
        <v>617</v>
      </c>
    </row>
    <row r="317" spans="1:24">
      <c r="A317" s="4" t="s">
        <v>792</v>
      </c>
      <c r="B317" s="4" t="s">
        <v>793</v>
      </c>
      <c r="C317" s="4" t="s">
        <v>794</v>
      </c>
      <c r="D317" s="4" t="s">
        <v>716</v>
      </c>
      <c r="E317" s="4" t="s">
        <v>717</v>
      </c>
      <c r="M317" s="4" t="s">
        <v>645</v>
      </c>
      <c r="N317" s="4">
        <v>-71.5337715</v>
      </c>
      <c r="O317" s="4">
        <v>3.8055466400000002</v>
      </c>
      <c r="P317" s="4" t="s">
        <v>745</v>
      </c>
      <c r="Q317" s="4" t="s">
        <v>746</v>
      </c>
      <c r="R317" s="4" t="s">
        <v>720</v>
      </c>
      <c r="S317" s="2">
        <v>46174.35800925926</v>
      </c>
      <c r="T317" s="5">
        <v>1.1959490740740741E-4</v>
      </c>
      <c r="U317" s="4">
        <v>3.2981488853693008E-2</v>
      </c>
      <c r="V317" s="4" t="s">
        <v>728</v>
      </c>
      <c r="W317" s="4" t="s">
        <v>645</v>
      </c>
      <c r="X317" s="6" t="s">
        <v>617</v>
      </c>
    </row>
    <row r="318" spans="1:24">
      <c r="A318" s="4" t="s">
        <v>792</v>
      </c>
      <c r="B318" s="4" t="s">
        <v>793</v>
      </c>
      <c r="C318" s="4" t="s">
        <v>794</v>
      </c>
      <c r="D318" s="4" t="s">
        <v>716</v>
      </c>
      <c r="E318" s="4" t="s">
        <v>717</v>
      </c>
      <c r="M318" s="4" t="s">
        <v>614</v>
      </c>
      <c r="N318" s="4">
        <v>-71.532264699999999</v>
      </c>
      <c r="O318" s="4">
        <v>3.8059427700000001</v>
      </c>
      <c r="P318" s="4" t="s">
        <v>749</v>
      </c>
      <c r="Q318" s="4" t="s">
        <v>746</v>
      </c>
      <c r="R318" s="4" t="s">
        <v>720</v>
      </c>
      <c r="S318" s="2">
        <v>46174.358877314815</v>
      </c>
      <c r="T318" s="5">
        <v>2.4074074074074074E-2</v>
      </c>
      <c r="U318" s="4">
        <v>0</v>
      </c>
      <c r="V318" s="4" t="s">
        <v>616</v>
      </c>
      <c r="W318" s="4" t="s">
        <v>614</v>
      </c>
      <c r="X318" s="6" t="s">
        <v>617</v>
      </c>
    </row>
    <row r="319" spans="1:24">
      <c r="A319" s="4" t="s">
        <v>792</v>
      </c>
      <c r="B319" s="4" t="s">
        <v>793</v>
      </c>
      <c r="C319" s="4" t="s">
        <v>794</v>
      </c>
      <c r="D319" s="4" t="s">
        <v>716</v>
      </c>
      <c r="E319" s="4" t="s">
        <v>717</v>
      </c>
      <c r="M319" s="4" t="s">
        <v>645</v>
      </c>
      <c r="N319" s="4">
        <v>-71.533088699999993</v>
      </c>
      <c r="O319" s="4">
        <v>3.8060328999999999</v>
      </c>
      <c r="P319" s="4" t="s">
        <v>749</v>
      </c>
      <c r="Q319" s="4" t="s">
        <v>746</v>
      </c>
      <c r="R319" s="4" t="s">
        <v>720</v>
      </c>
      <c r="S319" s="2">
        <v>46174.384467592594</v>
      </c>
      <c r="T319" s="5">
        <v>1.0092592592592592E-3</v>
      </c>
      <c r="U319" s="4">
        <v>0.35196641087532043</v>
      </c>
      <c r="V319" s="4" t="s">
        <v>738</v>
      </c>
      <c r="W319" s="4" t="s">
        <v>645</v>
      </c>
      <c r="X319" s="6" t="s">
        <v>617</v>
      </c>
    </row>
    <row r="320" spans="1:24">
      <c r="A320" s="4" t="s">
        <v>792</v>
      </c>
      <c r="B320" s="4" t="s">
        <v>793</v>
      </c>
      <c r="C320" s="4" t="s">
        <v>794</v>
      </c>
      <c r="D320" s="4" t="s">
        <v>716</v>
      </c>
      <c r="E320" s="4" t="s">
        <v>717</v>
      </c>
      <c r="M320" s="4" t="s">
        <v>754</v>
      </c>
      <c r="N320" s="4">
        <v>-71.533088699999993</v>
      </c>
      <c r="O320" s="4">
        <v>3.8060328999999999</v>
      </c>
      <c r="P320" s="4" t="s">
        <v>749</v>
      </c>
      <c r="Q320" s="4" t="s">
        <v>746</v>
      </c>
      <c r="R320" s="4" t="s">
        <v>720</v>
      </c>
      <c r="S320" s="2">
        <v>46174.384467592594</v>
      </c>
      <c r="T320" s="5">
        <v>1.0092592592592592E-3</v>
      </c>
      <c r="U320" s="4">
        <v>0.35196641087532043</v>
      </c>
      <c r="V320" s="4" t="s">
        <v>821</v>
      </c>
      <c r="W320" s="4" t="s">
        <v>754</v>
      </c>
      <c r="X320" s="6" t="s">
        <v>617</v>
      </c>
    </row>
    <row r="321" spans="1:24">
      <c r="A321" s="4" t="s">
        <v>792</v>
      </c>
      <c r="B321" s="4" t="s">
        <v>793</v>
      </c>
      <c r="C321" s="4" t="s">
        <v>794</v>
      </c>
      <c r="D321" s="4" t="s">
        <v>716</v>
      </c>
      <c r="E321" s="4" t="s">
        <v>717</v>
      </c>
      <c r="M321" s="4" t="s">
        <v>645</v>
      </c>
      <c r="N321" s="4">
        <v>-71.532939900000002</v>
      </c>
      <c r="O321" s="4">
        <v>3.8044013950000002</v>
      </c>
      <c r="P321" s="4" t="s">
        <v>749</v>
      </c>
      <c r="Q321" s="4" t="s">
        <v>746</v>
      </c>
      <c r="R321" s="4" t="s">
        <v>720</v>
      </c>
      <c r="S321" s="2">
        <v>46174.389311342697</v>
      </c>
      <c r="T321" s="5">
        <v>4.3402787777777773E-4</v>
      </c>
      <c r="U321" s="4">
        <v>0.11353500932455063</v>
      </c>
      <c r="V321" s="4" t="s">
        <v>724</v>
      </c>
      <c r="W321" s="4" t="s">
        <v>645</v>
      </c>
      <c r="X321" s="6" t="s">
        <v>617</v>
      </c>
    </row>
    <row r="322" spans="1:24">
      <c r="A322" s="4" t="s">
        <v>792</v>
      </c>
      <c r="B322" s="4" t="s">
        <v>793</v>
      </c>
      <c r="C322" s="4" t="s">
        <v>794</v>
      </c>
      <c r="D322" s="4" t="s">
        <v>716</v>
      </c>
      <c r="E322" s="4" t="s">
        <v>717</v>
      </c>
      <c r="M322" s="4" t="s">
        <v>754</v>
      </c>
      <c r="N322" s="4">
        <v>-71.532939900000002</v>
      </c>
      <c r="O322" s="4">
        <v>3.8044013950000002</v>
      </c>
      <c r="P322" s="4" t="s">
        <v>749</v>
      </c>
      <c r="Q322" s="4" t="s">
        <v>746</v>
      </c>
      <c r="R322" s="4" t="s">
        <v>720</v>
      </c>
      <c r="S322" s="2">
        <v>46174.389311342697</v>
      </c>
      <c r="T322" s="5">
        <v>4.3402787777777773E-4</v>
      </c>
      <c r="U322" s="4">
        <v>0.11353500932455063</v>
      </c>
      <c r="V322" s="4" t="s">
        <v>814</v>
      </c>
      <c r="W322" s="4" t="s">
        <v>754</v>
      </c>
      <c r="X322" s="6" t="s">
        <v>617</v>
      </c>
    </row>
    <row r="323" spans="1:24">
      <c r="A323" s="4" t="s">
        <v>792</v>
      </c>
      <c r="B323" s="4" t="s">
        <v>793</v>
      </c>
      <c r="C323" s="4" t="s">
        <v>794</v>
      </c>
      <c r="D323" s="4" t="s">
        <v>716</v>
      </c>
      <c r="E323" s="4" t="s">
        <v>717</v>
      </c>
      <c r="M323" s="4" t="s">
        <v>754</v>
      </c>
      <c r="N323" s="4">
        <v>-71.532096899999999</v>
      </c>
      <c r="O323" s="4">
        <v>3.80497766</v>
      </c>
      <c r="P323" s="4" t="s">
        <v>747</v>
      </c>
      <c r="Q323" s="4" t="s">
        <v>746</v>
      </c>
      <c r="R323" s="4" t="s">
        <v>720</v>
      </c>
      <c r="S323" s="2">
        <v>46174.389745370368</v>
      </c>
      <c r="T323" s="5">
        <v>6.9444444444444444E-5</v>
      </c>
      <c r="U323" s="4">
        <v>1.720288023352623E-2</v>
      </c>
      <c r="V323" s="4" t="s">
        <v>790</v>
      </c>
      <c r="W323" s="4" t="s">
        <v>754</v>
      </c>
      <c r="X323" s="6" t="s">
        <v>617</v>
      </c>
    </row>
    <row r="324" spans="1:24">
      <c r="A324" s="4" t="s">
        <v>792</v>
      </c>
      <c r="B324" s="4" t="s">
        <v>793</v>
      </c>
      <c r="C324" s="4" t="s">
        <v>794</v>
      </c>
      <c r="D324" s="4" t="s">
        <v>716</v>
      </c>
      <c r="E324" s="4" t="s">
        <v>717</v>
      </c>
      <c r="M324" s="4" t="s">
        <v>645</v>
      </c>
      <c r="N324" s="4">
        <v>-71.532096899999999</v>
      </c>
      <c r="O324" s="4">
        <v>3.80497766</v>
      </c>
      <c r="P324" s="4" t="s">
        <v>747</v>
      </c>
      <c r="Q324" s="4" t="s">
        <v>746</v>
      </c>
      <c r="R324" s="4" t="s">
        <v>720</v>
      </c>
      <c r="S324" s="2">
        <v>46174.389745370368</v>
      </c>
      <c r="T324" s="5">
        <v>6.9444444444444444E-5</v>
      </c>
      <c r="U324" s="4">
        <v>1.720288023352623E-2</v>
      </c>
      <c r="V324" s="4" t="s">
        <v>728</v>
      </c>
      <c r="W324" s="4" t="s">
        <v>645</v>
      </c>
      <c r="X324" s="6" t="s">
        <v>617</v>
      </c>
    </row>
    <row r="325" spans="1:24">
      <c r="A325" s="4" t="s">
        <v>792</v>
      </c>
      <c r="B325" s="4" t="s">
        <v>793</v>
      </c>
      <c r="C325" s="4" t="s">
        <v>794</v>
      </c>
      <c r="D325" s="4" t="s">
        <v>716</v>
      </c>
      <c r="E325" s="4" t="s">
        <v>717</v>
      </c>
      <c r="M325" s="4" t="s">
        <v>645</v>
      </c>
      <c r="N325" s="4">
        <v>-71.531810750000005</v>
      </c>
      <c r="O325" s="4">
        <v>3.8051749499999996</v>
      </c>
      <c r="P325" s="4" t="s">
        <v>747</v>
      </c>
      <c r="Q325" s="4" t="s">
        <v>746</v>
      </c>
      <c r="R325" s="4" t="s">
        <v>720</v>
      </c>
      <c r="S325" s="2">
        <v>46174.389907407407</v>
      </c>
      <c r="T325" s="5">
        <v>8.3912037037037031E-5</v>
      </c>
      <c r="U325" s="4">
        <v>2.0241651684045792E-2</v>
      </c>
      <c r="V325" s="4" t="s">
        <v>731</v>
      </c>
      <c r="W325" s="4" t="s">
        <v>645</v>
      </c>
      <c r="X325" s="6" t="s">
        <v>617</v>
      </c>
    </row>
    <row r="326" spans="1:24">
      <c r="A326" s="4" t="s">
        <v>792</v>
      </c>
      <c r="B326" s="4" t="s">
        <v>793</v>
      </c>
      <c r="C326" s="4" t="s">
        <v>794</v>
      </c>
      <c r="D326" s="4" t="s">
        <v>716</v>
      </c>
      <c r="E326" s="4" t="s">
        <v>717</v>
      </c>
      <c r="M326" s="4" t="s">
        <v>754</v>
      </c>
      <c r="N326" s="4">
        <v>-71.531810750000005</v>
      </c>
      <c r="O326" s="4">
        <v>3.8051749499999996</v>
      </c>
      <c r="P326" s="4" t="s">
        <v>747</v>
      </c>
      <c r="Q326" s="4" t="s">
        <v>746</v>
      </c>
      <c r="R326" s="4" t="s">
        <v>720</v>
      </c>
      <c r="S326" s="2">
        <v>46174.389907407407</v>
      </c>
      <c r="T326" s="5">
        <v>8.3912037037037031E-5</v>
      </c>
      <c r="U326" s="4">
        <v>2.0241651684045792E-2</v>
      </c>
      <c r="V326" s="4" t="s">
        <v>791</v>
      </c>
      <c r="W326" s="4" t="s">
        <v>754</v>
      </c>
      <c r="X326" s="6" t="s">
        <v>617</v>
      </c>
    </row>
    <row r="327" spans="1:24">
      <c r="A327" s="4" t="s">
        <v>792</v>
      </c>
      <c r="B327" s="4" t="s">
        <v>793</v>
      </c>
      <c r="C327" s="4" t="s">
        <v>794</v>
      </c>
      <c r="D327" s="4" t="s">
        <v>716</v>
      </c>
      <c r="E327" s="4" t="s">
        <v>717</v>
      </c>
      <c r="M327" s="4" t="s">
        <v>754</v>
      </c>
      <c r="N327" s="4">
        <v>-71.531700099999995</v>
      </c>
      <c r="O327" s="4">
        <v>3.8054492500000001</v>
      </c>
      <c r="P327" s="4" t="s">
        <v>747</v>
      </c>
      <c r="Q327" s="4" t="s">
        <v>746</v>
      </c>
      <c r="R327" s="4" t="s">
        <v>720</v>
      </c>
      <c r="S327" s="2">
        <v>46174.390729166669</v>
      </c>
      <c r="T327" s="5">
        <v>2.0833333333333335E-4</v>
      </c>
      <c r="U327" s="4">
        <v>5.1638878881931305E-2</v>
      </c>
      <c r="V327" s="4" t="s">
        <v>814</v>
      </c>
      <c r="W327" s="4" t="s">
        <v>754</v>
      </c>
      <c r="X327" s="6" t="s">
        <v>617</v>
      </c>
    </row>
    <row r="328" spans="1:24">
      <c r="A328" s="4" t="s">
        <v>792</v>
      </c>
      <c r="B328" s="4" t="s">
        <v>793</v>
      </c>
      <c r="C328" s="4" t="s">
        <v>794</v>
      </c>
      <c r="D328" s="4" t="s">
        <v>716</v>
      </c>
      <c r="E328" s="4" t="s">
        <v>717</v>
      </c>
      <c r="M328" s="4" t="s">
        <v>645</v>
      </c>
      <c r="N328" s="4">
        <v>-71.531700099999995</v>
      </c>
      <c r="O328" s="4">
        <v>3.8054492500000001</v>
      </c>
      <c r="P328" s="4" t="s">
        <v>747</v>
      </c>
      <c r="Q328" s="4" t="s">
        <v>746</v>
      </c>
      <c r="R328" s="4" t="s">
        <v>720</v>
      </c>
      <c r="S328" s="2">
        <v>46174.390729166669</v>
      </c>
      <c r="T328" s="5">
        <v>2.0833333333333335E-4</v>
      </c>
      <c r="U328" s="4">
        <v>5.1638878881931305E-2</v>
      </c>
      <c r="V328" s="4" t="s">
        <v>724</v>
      </c>
      <c r="W328" s="4" t="s">
        <v>645</v>
      </c>
      <c r="X328" s="6" t="s">
        <v>617</v>
      </c>
    </row>
    <row r="329" spans="1:24">
      <c r="A329" s="4" t="s">
        <v>792</v>
      </c>
      <c r="B329" s="4" t="s">
        <v>793</v>
      </c>
      <c r="C329" s="4" t="s">
        <v>794</v>
      </c>
      <c r="D329" s="4" t="s">
        <v>716</v>
      </c>
      <c r="E329" s="4" t="s">
        <v>717</v>
      </c>
      <c r="M329" s="4" t="s">
        <v>754</v>
      </c>
      <c r="N329" s="4">
        <v>-71.533737200000004</v>
      </c>
      <c r="O329" s="4">
        <v>3.8055477099999999</v>
      </c>
      <c r="P329" s="4" t="s">
        <v>745</v>
      </c>
      <c r="Q329" s="4" t="s">
        <v>746</v>
      </c>
      <c r="R329" s="4" t="s">
        <v>720</v>
      </c>
      <c r="S329" s="2">
        <v>46174.456932870373</v>
      </c>
      <c r="T329" s="5">
        <v>1.1574074074074075E-4</v>
      </c>
      <c r="U329" s="4">
        <v>3.5529825836420059E-2</v>
      </c>
      <c r="V329" s="4" t="s">
        <v>820</v>
      </c>
      <c r="W329" s="4" t="s">
        <v>754</v>
      </c>
      <c r="X329" s="6" t="s">
        <v>617</v>
      </c>
    </row>
    <row r="330" spans="1:24">
      <c r="A330" s="4" t="s">
        <v>792</v>
      </c>
      <c r="B330" s="4" t="s">
        <v>793</v>
      </c>
      <c r="C330" s="4" t="s">
        <v>794</v>
      </c>
      <c r="D330" s="4" t="s">
        <v>716</v>
      </c>
      <c r="E330" s="4" t="s">
        <v>717</v>
      </c>
      <c r="M330" s="4" t="s">
        <v>645</v>
      </c>
      <c r="N330" s="4">
        <v>-71.533737200000004</v>
      </c>
      <c r="O330" s="4">
        <v>3.8055477099999999</v>
      </c>
      <c r="P330" s="4" t="s">
        <v>745</v>
      </c>
      <c r="Q330" s="4" t="s">
        <v>746</v>
      </c>
      <c r="R330" s="4" t="s">
        <v>720</v>
      </c>
      <c r="S330" s="2">
        <v>46174.456932870373</v>
      </c>
      <c r="T330" s="5">
        <v>1.1574074074074075E-4</v>
      </c>
      <c r="U330" s="4">
        <v>3.5529825836420059E-2</v>
      </c>
      <c r="V330" s="4" t="s">
        <v>771</v>
      </c>
      <c r="W330" s="4" t="s">
        <v>645</v>
      </c>
      <c r="X330" s="6" t="s">
        <v>617</v>
      </c>
    </row>
    <row r="331" spans="1:24">
      <c r="A331" s="4" t="s">
        <v>792</v>
      </c>
      <c r="B331" s="4" t="s">
        <v>793</v>
      </c>
      <c r="C331" s="4" t="s">
        <v>794</v>
      </c>
      <c r="D331" s="4" t="s">
        <v>716</v>
      </c>
      <c r="E331" s="4" t="s">
        <v>717</v>
      </c>
      <c r="M331" s="4" t="s">
        <v>645</v>
      </c>
      <c r="N331" s="4">
        <v>-71.53417970000001</v>
      </c>
      <c r="O331" s="4">
        <v>3.80523634</v>
      </c>
      <c r="P331" s="4" t="s">
        <v>745</v>
      </c>
      <c r="Q331" s="4" t="s">
        <v>746</v>
      </c>
      <c r="R331" s="4" t="s">
        <v>720</v>
      </c>
      <c r="S331" s="2">
        <v>46174.457158564917</v>
      </c>
      <c r="T331" s="5">
        <v>1.9097232222222224E-4</v>
      </c>
      <c r="U331" s="4">
        <v>5.0190337002277374E-2</v>
      </c>
      <c r="V331" s="4" t="s">
        <v>728</v>
      </c>
      <c r="W331" s="4" t="s">
        <v>645</v>
      </c>
      <c r="X331" s="6" t="s">
        <v>617</v>
      </c>
    </row>
    <row r="332" spans="1:24">
      <c r="A332" s="4" t="s">
        <v>792</v>
      </c>
      <c r="B332" s="4" t="s">
        <v>793</v>
      </c>
      <c r="C332" s="4" t="s">
        <v>794</v>
      </c>
      <c r="D332" s="4" t="s">
        <v>716</v>
      </c>
      <c r="E332" s="4" t="s">
        <v>717</v>
      </c>
      <c r="M332" s="4" t="s">
        <v>754</v>
      </c>
      <c r="N332" s="4">
        <v>-71.53417970000001</v>
      </c>
      <c r="O332" s="4">
        <v>3.80523634</v>
      </c>
      <c r="P332" s="4" t="s">
        <v>745</v>
      </c>
      <c r="Q332" s="4" t="s">
        <v>746</v>
      </c>
      <c r="R332" s="4" t="s">
        <v>720</v>
      </c>
      <c r="S332" s="2">
        <v>46174.457158564917</v>
      </c>
      <c r="T332" s="5">
        <v>1.9097232222222224E-4</v>
      </c>
      <c r="U332" s="4">
        <v>5.0190337002277374E-2</v>
      </c>
      <c r="V332" s="4" t="s">
        <v>790</v>
      </c>
      <c r="W332" s="4" t="s">
        <v>754</v>
      </c>
      <c r="X332" s="6" t="s">
        <v>617</v>
      </c>
    </row>
    <row r="333" spans="1:24">
      <c r="A333" s="4" t="s">
        <v>792</v>
      </c>
      <c r="B333" s="4" t="s">
        <v>793</v>
      </c>
      <c r="C333" s="4" t="s">
        <v>794</v>
      </c>
      <c r="D333" s="4" t="s">
        <v>716</v>
      </c>
      <c r="E333" s="4" t="s">
        <v>717</v>
      </c>
      <c r="M333" s="4" t="s">
        <v>754</v>
      </c>
      <c r="N333" s="4">
        <v>-71.5345078</v>
      </c>
      <c r="O333" s="4">
        <v>3.8049252</v>
      </c>
      <c r="P333" s="4" t="s">
        <v>749</v>
      </c>
      <c r="Q333" s="4" t="s">
        <v>746</v>
      </c>
      <c r="R333" s="4" t="s">
        <v>720</v>
      </c>
      <c r="S333" s="2">
        <v>46174.457349537035</v>
      </c>
      <c r="T333" s="5">
        <v>7.6736111111111113E-4</v>
      </c>
      <c r="U333" s="4">
        <v>0.3020247220993042</v>
      </c>
      <c r="V333" s="4" t="s">
        <v>813</v>
      </c>
      <c r="W333" s="4" t="s">
        <v>754</v>
      </c>
      <c r="X333" s="6" t="s">
        <v>617</v>
      </c>
    </row>
    <row r="334" spans="1:24">
      <c r="A334" s="4" t="s">
        <v>792</v>
      </c>
      <c r="B334" s="4" t="s">
        <v>793</v>
      </c>
      <c r="C334" s="4" t="s">
        <v>794</v>
      </c>
      <c r="D334" s="4" t="s">
        <v>716</v>
      </c>
      <c r="E334" s="4" t="s">
        <v>717</v>
      </c>
      <c r="M334" s="4" t="s">
        <v>645</v>
      </c>
      <c r="N334" s="4">
        <v>-71.5345078</v>
      </c>
      <c r="O334" s="4">
        <v>3.8049252</v>
      </c>
      <c r="P334" s="4" t="s">
        <v>749</v>
      </c>
      <c r="Q334" s="4" t="s">
        <v>746</v>
      </c>
      <c r="R334" s="4" t="s">
        <v>720</v>
      </c>
      <c r="S334" s="2">
        <v>46174.457349537035</v>
      </c>
      <c r="T334" s="5">
        <v>7.6736111111111113E-4</v>
      </c>
      <c r="U334" s="4">
        <v>0.3020247220993042</v>
      </c>
      <c r="V334" s="4" t="s">
        <v>721</v>
      </c>
      <c r="W334" s="4" t="s">
        <v>645</v>
      </c>
      <c r="X334" s="6" t="s">
        <v>617</v>
      </c>
    </row>
    <row r="335" spans="1:24">
      <c r="A335" s="4" t="s">
        <v>792</v>
      </c>
      <c r="B335" s="4" t="s">
        <v>793</v>
      </c>
      <c r="C335" s="4" t="s">
        <v>794</v>
      </c>
      <c r="D335" s="4" t="s">
        <v>716</v>
      </c>
      <c r="E335" s="4" t="s">
        <v>717</v>
      </c>
      <c r="M335" s="4" t="s">
        <v>754</v>
      </c>
      <c r="N335" s="4">
        <v>-71.534935000000004</v>
      </c>
      <c r="O335" s="4">
        <v>3.8027238799999998</v>
      </c>
      <c r="P335" s="4" t="s">
        <v>749</v>
      </c>
      <c r="Q335" s="4" t="s">
        <v>746</v>
      </c>
      <c r="R335" s="4" t="s">
        <v>720</v>
      </c>
      <c r="S335" s="2">
        <v>46174.471747685187</v>
      </c>
      <c r="T335" s="5">
        <v>1.3323032407407407E-3</v>
      </c>
      <c r="U335" s="4">
        <v>0.57862287759780884</v>
      </c>
      <c r="V335" s="4" t="s">
        <v>819</v>
      </c>
      <c r="W335" s="4" t="s">
        <v>754</v>
      </c>
      <c r="X335" s="6" t="s">
        <v>617</v>
      </c>
    </row>
    <row r="336" spans="1:24">
      <c r="A336" s="4" t="s">
        <v>792</v>
      </c>
      <c r="B336" s="4" t="s">
        <v>793</v>
      </c>
      <c r="C336" s="4" t="s">
        <v>794</v>
      </c>
      <c r="D336" s="4" t="s">
        <v>716</v>
      </c>
      <c r="E336" s="4" t="s">
        <v>717</v>
      </c>
      <c r="M336" s="4" t="s">
        <v>645</v>
      </c>
      <c r="N336" s="4">
        <v>-71.534935000000004</v>
      </c>
      <c r="O336" s="4">
        <v>3.8027238799999998</v>
      </c>
      <c r="P336" s="4" t="s">
        <v>749</v>
      </c>
      <c r="Q336" s="4" t="s">
        <v>746</v>
      </c>
      <c r="R336" s="4" t="s">
        <v>720</v>
      </c>
      <c r="S336" s="2">
        <v>46174.471747685187</v>
      </c>
      <c r="T336" s="5">
        <v>1.3323032407407407E-3</v>
      </c>
      <c r="U336" s="4">
        <v>0.57862287759780884</v>
      </c>
      <c r="V336" s="4" t="s">
        <v>751</v>
      </c>
      <c r="W336" s="4" t="s">
        <v>645</v>
      </c>
      <c r="X336" s="6" t="s">
        <v>617</v>
      </c>
    </row>
    <row r="337" spans="1:24">
      <c r="A337" s="4" t="s">
        <v>792</v>
      </c>
      <c r="B337" s="4" t="s">
        <v>793</v>
      </c>
      <c r="C337" s="4" t="s">
        <v>794</v>
      </c>
      <c r="D337" s="4" t="s">
        <v>716</v>
      </c>
      <c r="E337" s="4" t="s">
        <v>717</v>
      </c>
      <c r="M337" s="4" t="s">
        <v>685</v>
      </c>
      <c r="N337" s="4">
        <v>-71.5324244018</v>
      </c>
      <c r="O337" s="4">
        <v>3.80606768582</v>
      </c>
      <c r="P337" s="4" t="s">
        <v>749</v>
      </c>
      <c r="Q337" s="4" t="s">
        <v>746</v>
      </c>
      <c r="R337" s="4" t="s">
        <v>720</v>
      </c>
      <c r="S337" s="2">
        <v>46174.473271319446</v>
      </c>
      <c r="T337" s="5">
        <v>2.5462962962962963E-7</v>
      </c>
      <c r="U337" s="4">
        <v>5.5888318456709385E-5</v>
      </c>
      <c r="V337" s="4" t="s">
        <v>822</v>
      </c>
      <c r="W337" s="4" t="s">
        <v>685</v>
      </c>
      <c r="X337" s="6" t="s">
        <v>617</v>
      </c>
    </row>
    <row r="338" spans="1:24">
      <c r="A338" s="4" t="s">
        <v>792</v>
      </c>
      <c r="B338" s="4" t="s">
        <v>793</v>
      </c>
      <c r="C338" s="4" t="s">
        <v>794</v>
      </c>
      <c r="D338" s="4" t="s">
        <v>716</v>
      </c>
      <c r="E338" s="4" t="s">
        <v>717</v>
      </c>
      <c r="M338" s="4" t="s">
        <v>614</v>
      </c>
      <c r="N338" s="4">
        <v>-71.532478299999994</v>
      </c>
      <c r="O338" s="4">
        <v>3.8060576899999998</v>
      </c>
      <c r="P338" s="4" t="s">
        <v>745</v>
      </c>
      <c r="Q338" s="4" t="s">
        <v>746</v>
      </c>
      <c r="R338" s="4" t="s">
        <v>720</v>
      </c>
      <c r="S338" s="2">
        <v>46174.506341944441</v>
      </c>
      <c r="T338" s="5">
        <v>1.2433055555555555E-2</v>
      </c>
      <c r="U338" s="4">
        <v>1.0208770632743835E-2</v>
      </c>
      <c r="V338" s="4" t="s">
        <v>616</v>
      </c>
      <c r="W338" s="4" t="s">
        <v>614</v>
      </c>
      <c r="X338" s="6" t="s">
        <v>617</v>
      </c>
    </row>
    <row r="339" spans="1:24">
      <c r="A339" s="4" t="s">
        <v>792</v>
      </c>
      <c r="B339" s="4" t="s">
        <v>793</v>
      </c>
      <c r="C339" s="4" t="s">
        <v>794</v>
      </c>
      <c r="D339" s="4" t="s">
        <v>716</v>
      </c>
      <c r="E339" s="4" t="s">
        <v>717</v>
      </c>
      <c r="M339" s="4" t="s">
        <v>614</v>
      </c>
      <c r="N339" s="4">
        <v>-71.532455400000003</v>
      </c>
      <c r="O339" s="4">
        <v>3.80605364</v>
      </c>
      <c r="P339" s="4" t="s">
        <v>745</v>
      </c>
      <c r="Q339" s="4" t="s">
        <v>746</v>
      </c>
      <c r="R339" s="4" t="s">
        <v>720</v>
      </c>
      <c r="S339" s="2">
        <v>46174.523881446759</v>
      </c>
      <c r="T339" s="5">
        <v>6.38599537037037E-3</v>
      </c>
      <c r="U339" s="4">
        <v>2.0559715107083321E-2</v>
      </c>
      <c r="V339" s="4" t="s">
        <v>616</v>
      </c>
      <c r="W339" s="4" t="s">
        <v>614</v>
      </c>
      <c r="X339" s="6" t="s">
        <v>617</v>
      </c>
    </row>
    <row r="340" spans="1:24">
      <c r="A340" s="4" t="s">
        <v>792</v>
      </c>
      <c r="B340" s="4" t="s">
        <v>793</v>
      </c>
      <c r="C340" s="4" t="s">
        <v>794</v>
      </c>
      <c r="D340" s="4" t="s">
        <v>716</v>
      </c>
      <c r="E340" s="4" t="s">
        <v>717</v>
      </c>
      <c r="M340" s="4" t="s">
        <v>754</v>
      </c>
      <c r="N340" s="4">
        <v>-71.532470700000005</v>
      </c>
      <c r="O340" s="4">
        <v>3.8060452900000001</v>
      </c>
      <c r="P340" s="4" t="s">
        <v>749</v>
      </c>
      <c r="Q340" s="4" t="s">
        <v>746</v>
      </c>
      <c r="R340" s="4" t="s">
        <v>720</v>
      </c>
      <c r="S340" s="2">
        <v>46174.650601851848</v>
      </c>
      <c r="T340" s="5">
        <v>4.5545138888888887E-4</v>
      </c>
      <c r="U340" s="4">
        <v>0</v>
      </c>
      <c r="V340" s="4" t="s">
        <v>790</v>
      </c>
      <c r="W340" s="4" t="s">
        <v>754</v>
      </c>
      <c r="X340" s="6" t="s">
        <v>617</v>
      </c>
    </row>
    <row r="341" spans="1:24">
      <c r="A341" s="4" t="s">
        <v>792</v>
      </c>
      <c r="B341" s="4" t="s">
        <v>793</v>
      </c>
      <c r="C341" s="4" t="s">
        <v>794</v>
      </c>
      <c r="D341" s="4" t="s">
        <v>716</v>
      </c>
      <c r="E341" s="4" t="s">
        <v>717</v>
      </c>
      <c r="M341" s="4" t="s">
        <v>614</v>
      </c>
      <c r="N341" s="4">
        <v>-71.531593299999997</v>
      </c>
      <c r="O341" s="4">
        <v>3.8054356600000001</v>
      </c>
      <c r="P341" s="4" t="s">
        <v>747</v>
      </c>
      <c r="Q341" s="4" t="s">
        <v>746</v>
      </c>
      <c r="R341" s="4" t="s">
        <v>720</v>
      </c>
      <c r="S341" s="2">
        <v>46174.651145833333</v>
      </c>
      <c r="T341" s="5">
        <v>6.828703703703704E-3</v>
      </c>
      <c r="U341" s="4">
        <v>0</v>
      </c>
      <c r="V341" s="4" t="s">
        <v>616</v>
      </c>
      <c r="W341" s="4" t="s">
        <v>614</v>
      </c>
      <c r="X341" s="6" t="s">
        <v>617</v>
      </c>
    </row>
    <row r="342" spans="1:24">
      <c r="A342" s="4" t="s">
        <v>792</v>
      </c>
      <c r="B342" s="4" t="s">
        <v>793</v>
      </c>
      <c r="C342" s="4" t="s">
        <v>794</v>
      </c>
      <c r="D342" s="4" t="s">
        <v>716</v>
      </c>
      <c r="E342" s="4" t="s">
        <v>717</v>
      </c>
      <c r="M342" s="4" t="s">
        <v>754</v>
      </c>
      <c r="N342" s="4">
        <v>-71.532249500000006</v>
      </c>
      <c r="O342" s="4">
        <v>3.8060996500000002</v>
      </c>
      <c r="P342" s="4" t="s">
        <v>749</v>
      </c>
      <c r="Q342" s="4" t="s">
        <v>746</v>
      </c>
      <c r="R342" s="4" t="s">
        <v>720</v>
      </c>
      <c r="S342" s="2">
        <v>46174.658888888887</v>
      </c>
      <c r="T342" s="5">
        <v>8.4490740740740739E-4</v>
      </c>
      <c r="U342" s="4">
        <v>0.23783670365810394</v>
      </c>
      <c r="V342" s="4" t="s">
        <v>823</v>
      </c>
      <c r="W342" s="4" t="s">
        <v>754</v>
      </c>
      <c r="X342" s="6" t="s">
        <v>617</v>
      </c>
    </row>
    <row r="343" spans="1:24">
      <c r="A343" s="4" t="s">
        <v>792</v>
      </c>
      <c r="B343" s="4" t="s">
        <v>793</v>
      </c>
      <c r="C343" s="4" t="s">
        <v>794</v>
      </c>
      <c r="D343" s="4" t="s">
        <v>716</v>
      </c>
      <c r="E343" s="4" t="s">
        <v>717</v>
      </c>
      <c r="M343" s="4" t="s">
        <v>645</v>
      </c>
      <c r="N343" s="4">
        <v>-71.532249500000006</v>
      </c>
      <c r="O343" s="4">
        <v>3.8060996500000002</v>
      </c>
      <c r="P343" s="4" t="s">
        <v>749</v>
      </c>
      <c r="Q343" s="4" t="s">
        <v>746</v>
      </c>
      <c r="R343" s="4" t="s">
        <v>720</v>
      </c>
      <c r="S343" s="2">
        <v>46174.658888888887</v>
      </c>
      <c r="T343" s="5">
        <v>8.4490740740740739E-4</v>
      </c>
      <c r="U343" s="4">
        <v>0.23783670365810394</v>
      </c>
      <c r="V343" s="4" t="s">
        <v>725</v>
      </c>
      <c r="W343" s="4" t="s">
        <v>645</v>
      </c>
      <c r="X343" s="6" t="s">
        <v>617</v>
      </c>
    </row>
    <row r="344" spans="1:24">
      <c r="A344" s="4" t="s">
        <v>792</v>
      </c>
      <c r="B344" s="4" t="s">
        <v>793</v>
      </c>
      <c r="C344" s="4" t="s">
        <v>794</v>
      </c>
      <c r="D344" s="4" t="s">
        <v>716</v>
      </c>
      <c r="E344" s="4" t="s">
        <v>717</v>
      </c>
      <c r="M344" s="4" t="s">
        <v>645</v>
      </c>
      <c r="N344" s="4">
        <v>-71.534231559999995</v>
      </c>
      <c r="O344" s="4">
        <v>3.8051751579999999</v>
      </c>
      <c r="P344" s="4" t="s">
        <v>745</v>
      </c>
      <c r="Q344" s="4" t="s">
        <v>746</v>
      </c>
      <c r="R344" s="4" t="s">
        <v>720</v>
      </c>
      <c r="S344" s="2">
        <v>46174.659777777779</v>
      </c>
      <c r="T344" s="5">
        <v>8.4594907407407405E-4</v>
      </c>
      <c r="U344" s="4">
        <v>0.35110870003700256</v>
      </c>
      <c r="V344" s="4" t="s">
        <v>738</v>
      </c>
      <c r="W344" s="4" t="s">
        <v>645</v>
      </c>
      <c r="X344" s="6" t="s">
        <v>617</v>
      </c>
    </row>
    <row r="345" spans="1:24">
      <c r="A345" s="4" t="s">
        <v>792</v>
      </c>
      <c r="B345" s="4" t="s">
        <v>793</v>
      </c>
      <c r="C345" s="4" t="s">
        <v>794</v>
      </c>
      <c r="D345" s="4" t="s">
        <v>716</v>
      </c>
      <c r="E345" s="4" t="s">
        <v>717</v>
      </c>
      <c r="M345" s="4" t="s">
        <v>754</v>
      </c>
      <c r="N345" s="4">
        <v>-71.534231559999995</v>
      </c>
      <c r="O345" s="4">
        <v>3.8051751579999999</v>
      </c>
      <c r="P345" s="4" t="s">
        <v>745</v>
      </c>
      <c r="Q345" s="4" t="s">
        <v>746</v>
      </c>
      <c r="R345" s="4" t="s">
        <v>720</v>
      </c>
      <c r="S345" s="2">
        <v>46174.659777777779</v>
      </c>
      <c r="T345" s="5">
        <v>1.0450347222222222E-3</v>
      </c>
      <c r="U345" s="4">
        <v>0.44335061311721802</v>
      </c>
      <c r="V345" s="4" t="s">
        <v>755</v>
      </c>
      <c r="W345" s="4" t="s">
        <v>754</v>
      </c>
      <c r="X345" s="6" t="s">
        <v>617</v>
      </c>
    </row>
    <row r="346" spans="1:24">
      <c r="A346" s="4" t="s">
        <v>792</v>
      </c>
      <c r="B346" s="4" t="s">
        <v>793</v>
      </c>
      <c r="C346" s="4" t="s">
        <v>794</v>
      </c>
      <c r="D346" s="4" t="s">
        <v>716</v>
      </c>
      <c r="E346" s="4" t="s">
        <v>717</v>
      </c>
      <c r="M346" s="4" t="s">
        <v>754</v>
      </c>
      <c r="N346" s="4">
        <v>-71.536006200000003</v>
      </c>
      <c r="O346" s="4">
        <v>3.8021069080000003</v>
      </c>
      <c r="P346" s="4" t="s">
        <v>772</v>
      </c>
      <c r="Q346" s="4" t="s">
        <v>743</v>
      </c>
      <c r="R346" s="4" t="s">
        <v>730</v>
      </c>
      <c r="S346" s="2">
        <v>46174.661805555559</v>
      </c>
      <c r="T346" s="5">
        <v>3.4131944444444447E-5</v>
      </c>
      <c r="U346" s="4">
        <v>8.4745734930038452E-3</v>
      </c>
      <c r="V346" s="4" t="s">
        <v>791</v>
      </c>
      <c r="W346" s="4" t="s">
        <v>754</v>
      </c>
      <c r="X346" s="6" t="s">
        <v>617</v>
      </c>
    </row>
    <row r="347" spans="1:24">
      <c r="A347" s="4" t="s">
        <v>792</v>
      </c>
      <c r="B347" s="4" t="s">
        <v>793</v>
      </c>
      <c r="C347" s="4" t="s">
        <v>794</v>
      </c>
      <c r="D347" s="4" t="s">
        <v>716</v>
      </c>
      <c r="E347" s="4" t="s">
        <v>717</v>
      </c>
      <c r="M347" s="4" t="s">
        <v>685</v>
      </c>
      <c r="N347" s="4">
        <v>-71.544638989500001</v>
      </c>
      <c r="O347" s="4">
        <v>3.7941591470000002</v>
      </c>
      <c r="P347" s="4" t="s">
        <v>824</v>
      </c>
      <c r="Q347" s="4" t="s">
        <v>743</v>
      </c>
      <c r="R347" s="4" t="s">
        <v>730</v>
      </c>
      <c r="S347" s="2">
        <v>46174.663935011573</v>
      </c>
      <c r="T347" s="5">
        <v>1.2731481481481482E-7</v>
      </c>
      <c r="U347" s="4">
        <v>6.1572784034069628E-5</v>
      </c>
      <c r="V347" s="4" t="s">
        <v>825</v>
      </c>
      <c r="W347" s="4" t="s">
        <v>685</v>
      </c>
      <c r="X347" s="6" t="s">
        <v>617</v>
      </c>
    </row>
    <row r="348" spans="1:24">
      <c r="A348" s="4" t="s">
        <v>792</v>
      </c>
      <c r="B348" s="4" t="s">
        <v>793</v>
      </c>
      <c r="C348" s="4" t="s">
        <v>794</v>
      </c>
      <c r="D348" s="4" t="s">
        <v>716</v>
      </c>
      <c r="E348" s="4" t="s">
        <v>717</v>
      </c>
      <c r="M348" s="4" t="s">
        <v>685</v>
      </c>
      <c r="N348" s="4">
        <v>-71.544657533999995</v>
      </c>
      <c r="O348" s="4">
        <v>3.79414397648</v>
      </c>
      <c r="P348" s="4" t="s">
        <v>773</v>
      </c>
      <c r="Q348" s="4" t="s">
        <v>743</v>
      </c>
      <c r="R348" s="4" t="s">
        <v>730</v>
      </c>
      <c r="S348" s="2">
        <v>46174.663948796297</v>
      </c>
      <c r="T348" s="5">
        <v>4.3981481481481479E-7</v>
      </c>
      <c r="U348" s="4">
        <v>8.3210186858195812E-5</v>
      </c>
      <c r="V348" s="4" t="s">
        <v>826</v>
      </c>
      <c r="W348" s="4" t="s">
        <v>685</v>
      </c>
      <c r="X348" s="6" t="s">
        <v>617</v>
      </c>
    </row>
    <row r="349" spans="1:24">
      <c r="A349" s="4" t="s">
        <v>792</v>
      </c>
      <c r="B349" s="4" t="s">
        <v>793</v>
      </c>
      <c r="C349" s="4" t="s">
        <v>794</v>
      </c>
      <c r="D349" s="4" t="s">
        <v>716</v>
      </c>
      <c r="E349" s="4" t="s">
        <v>717</v>
      </c>
      <c r="M349" s="4" t="s">
        <v>614</v>
      </c>
      <c r="N349" s="4">
        <v>-71.551933300000002</v>
      </c>
      <c r="O349" s="4">
        <v>3.77965522</v>
      </c>
      <c r="P349" s="4" t="s">
        <v>742</v>
      </c>
      <c r="Q349" s="4" t="s">
        <v>743</v>
      </c>
      <c r="R349" s="4" t="s">
        <v>730</v>
      </c>
      <c r="S349" s="2">
        <v>46174.667314814818</v>
      </c>
      <c r="T349" s="5">
        <v>8.9583333333333338E-3</v>
      </c>
      <c r="U349" s="4">
        <v>0</v>
      </c>
      <c r="V349" s="4" t="s">
        <v>616</v>
      </c>
      <c r="W349" s="4" t="s">
        <v>614</v>
      </c>
      <c r="X349" s="6" t="s">
        <v>617</v>
      </c>
    </row>
    <row r="350" spans="1:24">
      <c r="A350" s="4" t="s">
        <v>792</v>
      </c>
      <c r="B350" s="4" t="s">
        <v>793</v>
      </c>
      <c r="C350" s="4" t="s">
        <v>794</v>
      </c>
      <c r="D350" s="4" t="s">
        <v>716</v>
      </c>
      <c r="E350" s="4" t="s">
        <v>717</v>
      </c>
      <c r="M350" s="4" t="s">
        <v>614</v>
      </c>
      <c r="N350" s="4">
        <v>-71.552467300000004</v>
      </c>
      <c r="O350" s="4">
        <v>3.7794439799999999</v>
      </c>
      <c r="P350" s="4" t="s">
        <v>742</v>
      </c>
      <c r="Q350" s="4" t="s">
        <v>743</v>
      </c>
      <c r="R350" s="4" t="s">
        <v>730</v>
      </c>
      <c r="S350" s="2">
        <v>46174.677719907406</v>
      </c>
      <c r="T350" s="5">
        <v>1.2395833333333333E-2</v>
      </c>
      <c r="U350" s="4">
        <v>0</v>
      </c>
      <c r="V350" s="4" t="s">
        <v>616</v>
      </c>
      <c r="W350" s="4" t="s">
        <v>614</v>
      </c>
      <c r="X350" s="6" t="s">
        <v>617</v>
      </c>
    </row>
    <row r="351" spans="1:24">
      <c r="A351" s="4" t="s">
        <v>792</v>
      </c>
      <c r="B351" s="4" t="s">
        <v>793</v>
      </c>
      <c r="C351" s="4" t="s">
        <v>794</v>
      </c>
      <c r="D351" s="4" t="s">
        <v>716</v>
      </c>
      <c r="E351" s="4" t="s">
        <v>717</v>
      </c>
      <c r="M351" s="4" t="s">
        <v>757</v>
      </c>
      <c r="N351" s="4">
        <v>-71.559893281787495</v>
      </c>
      <c r="O351" s="4">
        <v>3.7835472470662497</v>
      </c>
      <c r="P351" s="4" t="s">
        <v>742</v>
      </c>
      <c r="Q351" s="4" t="s">
        <v>743</v>
      </c>
      <c r="R351" s="4" t="s">
        <v>730</v>
      </c>
      <c r="S351" s="2">
        <v>46174.703560960646</v>
      </c>
      <c r="T351" s="5">
        <v>3.5682870370370369E-5</v>
      </c>
      <c r="U351" s="4">
        <v>3.3251542598009109E-2</v>
      </c>
      <c r="V351" s="4" t="s">
        <v>758</v>
      </c>
      <c r="W351" s="4" t="s">
        <v>757</v>
      </c>
      <c r="X351" s="6" t="s">
        <v>617</v>
      </c>
    </row>
    <row r="352" spans="1:24">
      <c r="A352" s="4" t="s">
        <v>792</v>
      </c>
      <c r="B352" s="4" t="s">
        <v>793</v>
      </c>
      <c r="C352" s="4" t="s">
        <v>794</v>
      </c>
      <c r="D352" s="4" t="s">
        <v>716</v>
      </c>
      <c r="E352" s="4" t="s">
        <v>717</v>
      </c>
      <c r="M352" s="4" t="s">
        <v>757</v>
      </c>
      <c r="N352" s="4">
        <v>-71.562049886524989</v>
      </c>
      <c r="O352" s="4">
        <v>3.7833312967549997</v>
      </c>
      <c r="P352" s="4" t="s">
        <v>742</v>
      </c>
      <c r="Q352" s="4" t="s">
        <v>743</v>
      </c>
      <c r="R352" s="4" t="s">
        <v>730</v>
      </c>
      <c r="S352" s="2">
        <v>46174.703845752316</v>
      </c>
      <c r="T352" s="5">
        <v>2.0517361111111111E-4</v>
      </c>
      <c r="U352" s="4">
        <v>0.19998958706855774</v>
      </c>
      <c r="V352" s="4" t="s">
        <v>774</v>
      </c>
      <c r="W352" s="4" t="s">
        <v>757</v>
      </c>
      <c r="X352" s="6" t="s">
        <v>617</v>
      </c>
    </row>
    <row r="353" spans="1:24">
      <c r="A353" s="4" t="s">
        <v>792</v>
      </c>
      <c r="B353" s="4" t="s">
        <v>793</v>
      </c>
      <c r="C353" s="4" t="s">
        <v>794</v>
      </c>
      <c r="D353" s="4" t="s">
        <v>716</v>
      </c>
      <c r="E353" s="4" t="s">
        <v>717</v>
      </c>
      <c r="M353" s="4" t="s">
        <v>757</v>
      </c>
      <c r="N353" s="4">
        <v>-71.580678328480005</v>
      </c>
      <c r="O353" s="4">
        <v>3.7728491045479999</v>
      </c>
      <c r="P353" s="4" t="s">
        <v>742</v>
      </c>
      <c r="Q353" s="4" t="s">
        <v>743</v>
      </c>
      <c r="R353" s="4" t="s">
        <v>730</v>
      </c>
      <c r="S353" s="2">
        <v>46174.70694059028</v>
      </c>
      <c r="T353" s="5">
        <v>5.7094907407407405E-5</v>
      </c>
      <c r="U353" s="4">
        <v>5.4643824696540833E-2</v>
      </c>
      <c r="V353" s="4" t="s">
        <v>774</v>
      </c>
      <c r="W353" s="4" t="s">
        <v>757</v>
      </c>
      <c r="X353" s="6" t="s">
        <v>617</v>
      </c>
    </row>
    <row r="354" spans="1:24">
      <c r="A354" s="4" t="s">
        <v>792</v>
      </c>
      <c r="B354" s="4" t="s">
        <v>793</v>
      </c>
      <c r="C354" s="4" t="s">
        <v>794</v>
      </c>
      <c r="D354" s="4" t="s">
        <v>716</v>
      </c>
      <c r="E354" s="4" t="s">
        <v>717</v>
      </c>
      <c r="M354" s="4" t="s">
        <v>757</v>
      </c>
      <c r="N354" s="4">
        <v>-71.590681702560005</v>
      </c>
      <c r="O354" s="4">
        <v>3.771623016745</v>
      </c>
      <c r="P354" s="4" t="s">
        <v>742</v>
      </c>
      <c r="Q354" s="4" t="s">
        <v>743</v>
      </c>
      <c r="R354" s="4" t="s">
        <v>730</v>
      </c>
      <c r="S354" s="2">
        <v>46174.708695983798</v>
      </c>
      <c r="T354" s="5">
        <v>2.7974537037037037E-5</v>
      </c>
      <c r="U354" s="4">
        <v>2.5692952796816826E-2</v>
      </c>
      <c r="V354" s="4" t="s">
        <v>758</v>
      </c>
      <c r="W354" s="4" t="s">
        <v>757</v>
      </c>
      <c r="X354" s="6" t="s">
        <v>617</v>
      </c>
    </row>
    <row r="355" spans="1:24">
      <c r="A355" s="4" t="s">
        <v>792</v>
      </c>
      <c r="B355" s="4" t="s">
        <v>793</v>
      </c>
      <c r="C355" s="4" t="s">
        <v>794</v>
      </c>
      <c r="D355" s="4" t="s">
        <v>716</v>
      </c>
      <c r="E355" s="4" t="s">
        <v>717</v>
      </c>
      <c r="M355" s="4" t="s">
        <v>757</v>
      </c>
      <c r="N355" s="4">
        <v>-71.591419224999996</v>
      </c>
      <c r="O355" s="4">
        <v>3.77147722</v>
      </c>
      <c r="P355" s="4" t="s">
        <v>742</v>
      </c>
      <c r="Q355" s="4" t="s">
        <v>743</v>
      </c>
      <c r="R355" s="4" t="s">
        <v>730</v>
      </c>
      <c r="S355" s="2">
        <v>46174.708784722221</v>
      </c>
      <c r="T355" s="5">
        <v>5.2083433333333337E-5</v>
      </c>
      <c r="U355" s="4">
        <v>4.9012988805770874E-2</v>
      </c>
      <c r="V355" s="4" t="s">
        <v>758</v>
      </c>
      <c r="W355" s="4" t="s">
        <v>757</v>
      </c>
      <c r="X355" s="6" t="s">
        <v>617</v>
      </c>
    </row>
    <row r="356" spans="1:24">
      <c r="A356" s="4" t="s">
        <v>792</v>
      </c>
      <c r="B356" s="4" t="s">
        <v>793</v>
      </c>
      <c r="C356" s="4" t="s">
        <v>794</v>
      </c>
      <c r="D356" s="4" t="s">
        <v>716</v>
      </c>
      <c r="E356" s="4" t="s">
        <v>717</v>
      </c>
      <c r="M356" s="4" t="s">
        <v>757</v>
      </c>
      <c r="N356" s="4">
        <v>-71.595176699999996</v>
      </c>
      <c r="O356" s="4">
        <v>3.7703464049999997</v>
      </c>
      <c r="P356" s="4" t="s">
        <v>742</v>
      </c>
      <c r="Q356" s="4" t="s">
        <v>743</v>
      </c>
      <c r="R356" s="4" t="s">
        <v>730</v>
      </c>
      <c r="S356" s="2">
        <v>46174.70929976862</v>
      </c>
      <c r="T356" s="5">
        <v>2.1412047037037038E-4</v>
      </c>
      <c r="U356" s="4">
        <v>0.20167014002799988</v>
      </c>
      <c r="V356" s="4" t="s">
        <v>758</v>
      </c>
      <c r="W356" s="4" t="s">
        <v>757</v>
      </c>
      <c r="X356" s="6" t="s">
        <v>617</v>
      </c>
    </row>
    <row r="357" spans="1:24">
      <c r="A357" s="4" t="s">
        <v>792</v>
      </c>
      <c r="B357" s="4" t="s">
        <v>793</v>
      </c>
      <c r="C357" s="4" t="s">
        <v>794</v>
      </c>
      <c r="D357" s="4" t="s">
        <v>716</v>
      </c>
      <c r="E357" s="4" t="s">
        <v>717</v>
      </c>
      <c r="M357" s="4" t="s">
        <v>757</v>
      </c>
      <c r="N357" s="4">
        <v>-71.601001699999998</v>
      </c>
      <c r="O357" s="4">
        <v>3.7714191700000002</v>
      </c>
      <c r="P357" s="4" t="s">
        <v>742</v>
      </c>
      <c r="Q357" s="4" t="s">
        <v>743</v>
      </c>
      <c r="R357" s="4" t="s">
        <v>730</v>
      </c>
      <c r="S357" s="2">
        <v>46174.710028935289</v>
      </c>
      <c r="T357" s="5">
        <v>8.6805655555555552E-5</v>
      </c>
      <c r="U357" s="4">
        <v>8.2266353070735931E-2</v>
      </c>
      <c r="V357" s="4" t="s">
        <v>758</v>
      </c>
      <c r="W357" s="4" t="s">
        <v>757</v>
      </c>
      <c r="X357" s="6" t="s">
        <v>617</v>
      </c>
    </row>
    <row r="358" spans="1:24">
      <c r="A358" s="4" t="s">
        <v>792</v>
      </c>
      <c r="B358" s="4" t="s">
        <v>793</v>
      </c>
      <c r="C358" s="4" t="s">
        <v>794</v>
      </c>
      <c r="D358" s="4" t="s">
        <v>716</v>
      </c>
      <c r="E358" s="4" t="s">
        <v>717</v>
      </c>
      <c r="M358" s="4" t="s">
        <v>757</v>
      </c>
      <c r="N358" s="4">
        <v>-71.604106900000005</v>
      </c>
      <c r="O358" s="4">
        <v>3.7734004299999997</v>
      </c>
      <c r="P358" s="4" t="s">
        <v>742</v>
      </c>
      <c r="Q358" s="4" t="s">
        <v>743</v>
      </c>
      <c r="R358" s="4" t="s">
        <v>730</v>
      </c>
      <c r="S358" s="2">
        <v>46174.710486111115</v>
      </c>
      <c r="T358" s="5">
        <v>1.4917824074074074E-4</v>
      </c>
      <c r="U358" s="4">
        <v>0.14094211161136627</v>
      </c>
      <c r="V358" s="4" t="s">
        <v>774</v>
      </c>
      <c r="W358" s="4" t="s">
        <v>757</v>
      </c>
      <c r="X358" s="6" t="s">
        <v>617</v>
      </c>
    </row>
    <row r="359" spans="1:24">
      <c r="A359" s="4" t="s">
        <v>792</v>
      </c>
      <c r="B359" s="4" t="s">
        <v>793</v>
      </c>
      <c r="C359" s="4" t="s">
        <v>794</v>
      </c>
      <c r="D359" s="4" t="s">
        <v>716</v>
      </c>
      <c r="E359" s="4" t="s">
        <v>717</v>
      </c>
      <c r="M359" s="4" t="s">
        <v>757</v>
      </c>
      <c r="N359" s="4">
        <v>-71.609689750000001</v>
      </c>
      <c r="O359" s="4">
        <v>3.7770216474999998</v>
      </c>
      <c r="P359" s="4" t="s">
        <v>742</v>
      </c>
      <c r="Q359" s="4" t="s">
        <v>743</v>
      </c>
      <c r="R359" s="4" t="s">
        <v>730</v>
      </c>
      <c r="S359" s="2">
        <v>46174.711562500001</v>
      </c>
      <c r="T359" s="5">
        <v>5.2083433333333337E-5</v>
      </c>
      <c r="U359" s="4">
        <v>4.7919023782014847E-2</v>
      </c>
      <c r="V359" s="4" t="s">
        <v>758</v>
      </c>
      <c r="W359" s="4" t="s">
        <v>757</v>
      </c>
      <c r="X359" s="6" t="s">
        <v>617</v>
      </c>
    </row>
    <row r="360" spans="1:24">
      <c r="A360" s="4" t="s">
        <v>792</v>
      </c>
      <c r="B360" s="4" t="s">
        <v>793</v>
      </c>
      <c r="C360" s="4" t="s">
        <v>794</v>
      </c>
      <c r="D360" s="4" t="s">
        <v>716</v>
      </c>
      <c r="E360" s="4" t="s">
        <v>717</v>
      </c>
      <c r="M360" s="4" t="s">
        <v>757</v>
      </c>
      <c r="N360" s="4">
        <v>-71.611935950000003</v>
      </c>
      <c r="O360" s="4">
        <v>3.7782224416666668</v>
      </c>
      <c r="P360" s="4" t="s">
        <v>742</v>
      </c>
      <c r="Q360" s="4" t="s">
        <v>743</v>
      </c>
      <c r="R360" s="4" t="s">
        <v>730</v>
      </c>
      <c r="S360" s="2">
        <v>46174.711886574078</v>
      </c>
      <c r="T360" s="5">
        <v>2.0254629629629629E-5</v>
      </c>
      <c r="U360" s="4">
        <v>1.8495595082640648E-2</v>
      </c>
      <c r="V360" s="4" t="s">
        <v>758</v>
      </c>
      <c r="W360" s="4" t="s">
        <v>757</v>
      </c>
      <c r="X360" s="6" t="s">
        <v>617</v>
      </c>
    </row>
    <row r="361" spans="1:24">
      <c r="A361" s="4" t="s">
        <v>792</v>
      </c>
      <c r="B361" s="4" t="s">
        <v>793</v>
      </c>
      <c r="C361" s="4" t="s">
        <v>794</v>
      </c>
      <c r="D361" s="4" t="s">
        <v>716</v>
      </c>
      <c r="E361" s="4" t="s">
        <v>717</v>
      </c>
      <c r="M361" s="4" t="s">
        <v>757</v>
      </c>
      <c r="N361" s="4">
        <v>-71.613571149999999</v>
      </c>
      <c r="O361" s="4">
        <v>3.7799639699999998</v>
      </c>
      <c r="P361" s="4" t="s">
        <v>742</v>
      </c>
      <c r="Q361" s="4" t="s">
        <v>743</v>
      </c>
      <c r="R361" s="4" t="s">
        <v>730</v>
      </c>
      <c r="S361" s="2">
        <v>46174.712193287138</v>
      </c>
      <c r="T361" s="5">
        <v>4.9768518518518516E-5</v>
      </c>
      <c r="U361" s="4">
        <v>4.7172155231237411E-2</v>
      </c>
      <c r="V361" s="4" t="s">
        <v>758</v>
      </c>
      <c r="W361" s="4" t="s">
        <v>757</v>
      </c>
      <c r="X361" s="6" t="s">
        <v>617</v>
      </c>
    </row>
    <row r="362" spans="1:24">
      <c r="A362" s="4" t="s">
        <v>792</v>
      </c>
      <c r="B362" s="4" t="s">
        <v>793</v>
      </c>
      <c r="C362" s="4" t="s">
        <v>794</v>
      </c>
      <c r="D362" s="4" t="s">
        <v>716</v>
      </c>
      <c r="E362" s="4" t="s">
        <v>717</v>
      </c>
      <c r="M362" s="4" t="s">
        <v>645</v>
      </c>
      <c r="N362" s="4">
        <v>-71.625297278057147</v>
      </c>
      <c r="O362" s="4">
        <v>3.781049820617143</v>
      </c>
      <c r="P362" s="4" t="s">
        <v>759</v>
      </c>
      <c r="Q362" s="4" t="s">
        <v>760</v>
      </c>
      <c r="R362" s="4" t="s">
        <v>730</v>
      </c>
      <c r="S362" s="2">
        <v>46174.715180462961</v>
      </c>
      <c r="T362" s="5">
        <v>9.731481481481482E-5</v>
      </c>
      <c r="U362" s="4">
        <v>3.9660155773162842E-2</v>
      </c>
      <c r="V362" s="4" t="s">
        <v>721</v>
      </c>
      <c r="W362" s="4" t="s">
        <v>645</v>
      </c>
      <c r="X362" s="6" t="s">
        <v>617</v>
      </c>
    </row>
    <row r="363" spans="1:24">
      <c r="A363" s="4" t="s">
        <v>792</v>
      </c>
      <c r="B363" s="4" t="s">
        <v>793</v>
      </c>
      <c r="C363" s="4" t="s">
        <v>794</v>
      </c>
      <c r="D363" s="4" t="s">
        <v>716</v>
      </c>
      <c r="E363" s="4" t="s">
        <v>717</v>
      </c>
      <c r="M363" s="4" t="s">
        <v>645</v>
      </c>
      <c r="N363" s="4">
        <v>-71.625648499999997</v>
      </c>
      <c r="O363" s="4">
        <v>3.78098249</v>
      </c>
      <c r="P363" s="4" t="s">
        <v>759</v>
      </c>
      <c r="Q363" s="4" t="s">
        <v>760</v>
      </c>
      <c r="R363" s="4" t="s">
        <v>730</v>
      </c>
      <c r="S363" s="2">
        <v>46174.715277777781</v>
      </c>
      <c r="T363" s="5">
        <v>2.3478009259259258E-4</v>
      </c>
      <c r="U363" s="4">
        <v>8.0801501870155334E-2</v>
      </c>
      <c r="V363" s="4" t="s">
        <v>725</v>
      </c>
      <c r="W363" s="4" t="s">
        <v>645</v>
      </c>
      <c r="X363" s="6" t="s">
        <v>617</v>
      </c>
    </row>
    <row r="364" spans="1:24">
      <c r="A364" s="4" t="s">
        <v>792</v>
      </c>
      <c r="B364" s="4" t="s">
        <v>793</v>
      </c>
      <c r="C364" s="4" t="s">
        <v>794</v>
      </c>
      <c r="D364" s="4" t="s">
        <v>716</v>
      </c>
      <c r="E364" s="4" t="s">
        <v>717</v>
      </c>
      <c r="M364" s="4" t="s">
        <v>762</v>
      </c>
      <c r="N364" s="4">
        <v>-71.62912750000001</v>
      </c>
      <c r="O364" s="4">
        <v>3.7822388450000002</v>
      </c>
      <c r="P364" s="4" t="s">
        <v>734</v>
      </c>
      <c r="Q364" s="4" t="s">
        <v>735</v>
      </c>
      <c r="R364" s="4" t="s">
        <v>730</v>
      </c>
      <c r="S364" s="2">
        <v>46174.716296296298</v>
      </c>
      <c r="T364" s="5">
        <v>1.0031250000000001E-4</v>
      </c>
      <c r="U364" s="4">
        <v>7.0783950388431549E-2</v>
      </c>
      <c r="V364" s="4" t="s">
        <v>763</v>
      </c>
      <c r="W364" s="4" t="s">
        <v>762</v>
      </c>
      <c r="X364" s="6" t="s">
        <v>617</v>
      </c>
    </row>
    <row r="365" spans="1:24">
      <c r="A365" s="4" t="s">
        <v>792</v>
      </c>
      <c r="B365" s="4" t="s">
        <v>793</v>
      </c>
      <c r="C365" s="4" t="s">
        <v>794</v>
      </c>
      <c r="D365" s="4" t="s">
        <v>716</v>
      </c>
      <c r="E365" s="4" t="s">
        <v>717</v>
      </c>
      <c r="M365" s="4" t="s">
        <v>685</v>
      </c>
      <c r="N365" s="4">
        <v>-71.631951375399993</v>
      </c>
      <c r="O365" s="4">
        <v>3.7837281218099998</v>
      </c>
      <c r="P365" s="4" t="s">
        <v>734</v>
      </c>
      <c r="Q365" s="4" t="s">
        <v>735</v>
      </c>
      <c r="R365" s="4" t="s">
        <v>730</v>
      </c>
      <c r="S365" s="2">
        <v>46174.71685449074</v>
      </c>
      <c r="T365" s="5">
        <v>5.7870370370370371E-8</v>
      </c>
      <c r="U365" s="4">
        <v>2.8372271117405035E-5</v>
      </c>
      <c r="V365" s="4" t="s">
        <v>737</v>
      </c>
      <c r="W365" s="4" t="s">
        <v>685</v>
      </c>
      <c r="X365" s="6" t="s">
        <v>617</v>
      </c>
    </row>
    <row r="366" spans="1:24">
      <c r="A366" s="4" t="s">
        <v>792</v>
      </c>
      <c r="B366" s="4" t="s">
        <v>793</v>
      </c>
      <c r="C366" s="4" t="s">
        <v>794</v>
      </c>
      <c r="D366" s="4" t="s">
        <v>716</v>
      </c>
      <c r="E366" s="4" t="s">
        <v>717</v>
      </c>
      <c r="M366" s="4" t="s">
        <v>645</v>
      </c>
      <c r="N366" s="4">
        <v>-71.635059443649993</v>
      </c>
      <c r="O366" s="4">
        <v>3.7842464574416663</v>
      </c>
      <c r="P366" s="4" t="s">
        <v>718</v>
      </c>
      <c r="Q366" s="4" t="s">
        <v>719</v>
      </c>
      <c r="R366" s="4" t="s">
        <v>720</v>
      </c>
      <c r="S366" s="2">
        <v>46174.717459502317</v>
      </c>
      <c r="T366" s="5">
        <v>2.6393518518518519E-4</v>
      </c>
      <c r="U366" s="4">
        <v>0.18306021392345428</v>
      </c>
      <c r="V366" s="4" t="s">
        <v>827</v>
      </c>
      <c r="W366" s="4" t="s">
        <v>645</v>
      </c>
      <c r="X366" s="6" t="s">
        <v>617</v>
      </c>
    </row>
    <row r="367" spans="1:24">
      <c r="A367" s="4" t="s">
        <v>792</v>
      </c>
      <c r="B367" s="4" t="s">
        <v>793</v>
      </c>
      <c r="C367" s="4" t="s">
        <v>794</v>
      </c>
      <c r="D367" s="4" t="s">
        <v>716</v>
      </c>
      <c r="E367" s="4" t="s">
        <v>717</v>
      </c>
      <c r="M367" s="4" t="s">
        <v>762</v>
      </c>
      <c r="N367" s="4">
        <v>-71.636525500000005</v>
      </c>
      <c r="O367" s="4">
        <v>3.7843899733333335</v>
      </c>
      <c r="P367" s="4" t="s">
        <v>718</v>
      </c>
      <c r="Q367" s="4" t="s">
        <v>719</v>
      </c>
      <c r="R367" s="4" t="s">
        <v>720</v>
      </c>
      <c r="S367" s="2">
        <v>46174.71769675926</v>
      </c>
      <c r="T367" s="5">
        <v>7.6388888888888887E-5</v>
      </c>
      <c r="U367" s="4">
        <v>5.4799158126115799E-2</v>
      </c>
      <c r="V367" s="4" t="s">
        <v>763</v>
      </c>
      <c r="W367" s="4" t="s">
        <v>762</v>
      </c>
      <c r="X367" s="6" t="s">
        <v>617</v>
      </c>
    </row>
    <row r="368" spans="1:24">
      <c r="A368" s="4" t="s">
        <v>792</v>
      </c>
      <c r="B368" s="4" t="s">
        <v>793</v>
      </c>
      <c r="C368" s="4" t="s">
        <v>794</v>
      </c>
      <c r="D368" s="4" t="s">
        <v>716</v>
      </c>
      <c r="E368" s="4" t="s">
        <v>717</v>
      </c>
      <c r="M368" s="4" t="s">
        <v>762</v>
      </c>
      <c r="N368" s="4">
        <v>-71.637879264418189</v>
      </c>
      <c r="O368" s="4">
        <v>3.7843519007281818</v>
      </c>
      <c r="P368" s="4" t="s">
        <v>734</v>
      </c>
      <c r="Q368" s="4" t="s">
        <v>735</v>
      </c>
      <c r="R368" s="4" t="s">
        <v>730</v>
      </c>
      <c r="S368" s="2">
        <v>46174.717903807868</v>
      </c>
      <c r="T368" s="5">
        <v>1.4789351851851853E-4</v>
      </c>
      <c r="U368" s="4">
        <v>0.11562753468751907</v>
      </c>
      <c r="V368" s="4" t="s">
        <v>784</v>
      </c>
      <c r="W368" s="4" t="s">
        <v>762</v>
      </c>
      <c r="X368" s="6" t="s">
        <v>617</v>
      </c>
    </row>
    <row r="369" spans="1:24">
      <c r="A369" s="4" t="s">
        <v>792</v>
      </c>
      <c r="B369" s="4" t="s">
        <v>793</v>
      </c>
      <c r="C369" s="4" t="s">
        <v>794</v>
      </c>
      <c r="D369" s="4" t="s">
        <v>716</v>
      </c>
      <c r="E369" s="4" t="s">
        <v>717</v>
      </c>
      <c r="M369" s="4" t="s">
        <v>762</v>
      </c>
      <c r="N369" s="4">
        <v>-71.640716522511113</v>
      </c>
      <c r="O369" s="4">
        <v>3.7846716110177776</v>
      </c>
      <c r="P369" s="4" t="s">
        <v>734</v>
      </c>
      <c r="Q369" s="4" t="s">
        <v>735</v>
      </c>
      <c r="R369" s="4" t="s">
        <v>730</v>
      </c>
      <c r="S369" s="2">
        <v>46174.718341597225</v>
      </c>
      <c r="T369" s="5">
        <v>3.8032407407407409E-5</v>
      </c>
      <c r="U369" s="4">
        <v>2.6324890553951263E-2</v>
      </c>
      <c r="V369" s="4" t="s">
        <v>763</v>
      </c>
      <c r="W369" s="4" t="s">
        <v>762</v>
      </c>
      <c r="X369" s="6" t="s">
        <v>617</v>
      </c>
    </row>
    <row r="370" spans="1:24">
      <c r="A370" s="4" t="s">
        <v>792</v>
      </c>
      <c r="B370" s="4" t="s">
        <v>793</v>
      </c>
      <c r="C370" s="4" t="s">
        <v>794</v>
      </c>
      <c r="D370" s="4" t="s">
        <v>716</v>
      </c>
      <c r="E370" s="4" t="s">
        <v>717</v>
      </c>
      <c r="M370" s="4" t="s">
        <v>762</v>
      </c>
      <c r="N370" s="4">
        <v>-71.641886900000003</v>
      </c>
      <c r="O370" s="4">
        <v>3.7846861860000001</v>
      </c>
      <c r="P370" s="4" t="s">
        <v>734</v>
      </c>
      <c r="Q370" s="4" t="s">
        <v>735</v>
      </c>
      <c r="R370" s="4" t="s">
        <v>730</v>
      </c>
      <c r="S370" s="2">
        <v>46174.718527777775</v>
      </c>
      <c r="T370" s="5">
        <v>2.9827546296296297E-4</v>
      </c>
      <c r="U370" s="4">
        <v>0.22489573061466217</v>
      </c>
      <c r="V370" s="4" t="s">
        <v>781</v>
      </c>
      <c r="W370" s="4" t="s">
        <v>762</v>
      </c>
      <c r="X370" s="6" t="s">
        <v>617</v>
      </c>
    </row>
    <row r="371" spans="1:24">
      <c r="A371" s="4" t="s">
        <v>792</v>
      </c>
      <c r="B371" s="4" t="s">
        <v>793</v>
      </c>
      <c r="C371" s="4" t="s">
        <v>794</v>
      </c>
      <c r="D371" s="4" t="s">
        <v>716</v>
      </c>
      <c r="E371" s="4" t="s">
        <v>717</v>
      </c>
      <c r="M371" s="4" t="s">
        <v>762</v>
      </c>
      <c r="N371" s="4">
        <v>-71.638122550000006</v>
      </c>
      <c r="O371" s="4">
        <v>3.7843161799999998</v>
      </c>
      <c r="P371" s="4" t="s">
        <v>734</v>
      </c>
      <c r="Q371" s="4" t="s">
        <v>735</v>
      </c>
      <c r="R371" s="4" t="s">
        <v>730</v>
      </c>
      <c r="S371" s="2">
        <v>46174.726041666669</v>
      </c>
      <c r="T371" s="5">
        <v>5.2604166666666667E-5</v>
      </c>
      <c r="U371" s="4">
        <v>3.7004783749580383E-2</v>
      </c>
      <c r="V371" s="4" t="s">
        <v>763</v>
      </c>
      <c r="W371" s="4" t="s">
        <v>762</v>
      </c>
      <c r="X371" s="6" t="s">
        <v>617</v>
      </c>
    </row>
    <row r="372" spans="1:24">
      <c r="A372" s="4" t="s">
        <v>792</v>
      </c>
      <c r="B372" s="4" t="s">
        <v>793</v>
      </c>
      <c r="C372" s="4" t="s">
        <v>794</v>
      </c>
      <c r="D372" s="4" t="s">
        <v>716</v>
      </c>
      <c r="E372" s="4" t="s">
        <v>717</v>
      </c>
      <c r="M372" s="4" t="s">
        <v>645</v>
      </c>
      <c r="N372" s="4">
        <v>-71.636698705153847</v>
      </c>
      <c r="O372" s="4">
        <v>3.7843347791899999</v>
      </c>
      <c r="P372" s="4" t="s">
        <v>718</v>
      </c>
      <c r="Q372" s="4" t="s">
        <v>719</v>
      </c>
      <c r="R372" s="4" t="s">
        <v>720</v>
      </c>
      <c r="S372" s="2">
        <v>46174.72632613426</v>
      </c>
      <c r="T372" s="5">
        <v>3.5224537037037039E-4</v>
      </c>
      <c r="U372" s="4">
        <v>0.18268090486526489</v>
      </c>
      <c r="V372" s="4" t="s">
        <v>750</v>
      </c>
      <c r="W372" s="4" t="s">
        <v>645</v>
      </c>
      <c r="X372" s="6" t="s">
        <v>617</v>
      </c>
    </row>
    <row r="373" spans="1:24">
      <c r="A373" s="4" t="s">
        <v>792</v>
      </c>
      <c r="B373" s="4" t="s">
        <v>793</v>
      </c>
      <c r="C373" s="4" t="s">
        <v>794</v>
      </c>
      <c r="D373" s="4" t="s">
        <v>716</v>
      </c>
      <c r="E373" s="4" t="s">
        <v>717</v>
      </c>
      <c r="M373" s="4" t="s">
        <v>762</v>
      </c>
      <c r="N373" s="4">
        <v>-71.629573800000003</v>
      </c>
      <c r="O373" s="4">
        <v>3.7826577400000003</v>
      </c>
      <c r="P373" s="4" t="s">
        <v>734</v>
      </c>
      <c r="Q373" s="4" t="s">
        <v>735</v>
      </c>
      <c r="R373" s="4" t="s">
        <v>730</v>
      </c>
      <c r="S373" s="2">
        <v>46174.727951388886</v>
      </c>
      <c r="T373" s="5">
        <v>1.2346064814814815E-4</v>
      </c>
      <c r="U373" s="4">
        <v>8.9903213083744049E-2</v>
      </c>
      <c r="V373" s="4" t="s">
        <v>763</v>
      </c>
      <c r="W373" s="4" t="s">
        <v>762</v>
      </c>
      <c r="X373" s="6" t="s">
        <v>617</v>
      </c>
    </row>
    <row r="374" spans="1:24">
      <c r="A374" s="4" t="s">
        <v>792</v>
      </c>
      <c r="B374" s="4" t="s">
        <v>793</v>
      </c>
      <c r="C374" s="4" t="s">
        <v>794</v>
      </c>
      <c r="D374" s="4" t="s">
        <v>716</v>
      </c>
      <c r="E374" s="4" t="s">
        <v>717</v>
      </c>
      <c r="M374" s="4" t="s">
        <v>645</v>
      </c>
      <c r="N374" s="4">
        <v>-71.625854500000003</v>
      </c>
      <c r="O374" s="4">
        <v>3.7807867499999999</v>
      </c>
      <c r="P374" s="4" t="s">
        <v>828</v>
      </c>
      <c r="Q374" s="4" t="s">
        <v>723</v>
      </c>
      <c r="R374" s="4" t="s">
        <v>720</v>
      </c>
      <c r="S374" s="2">
        <v>46174.735034722224</v>
      </c>
      <c r="T374" s="5">
        <v>6.9444444444444444E-5</v>
      </c>
      <c r="U374" s="4">
        <v>1.630362868309021E-2</v>
      </c>
      <c r="V374" s="4" t="s">
        <v>728</v>
      </c>
      <c r="W374" s="4" t="s">
        <v>645</v>
      </c>
      <c r="X374" s="6" t="s">
        <v>617</v>
      </c>
    </row>
    <row r="375" spans="1:24">
      <c r="A375" s="4" t="s">
        <v>792</v>
      </c>
      <c r="B375" s="4" t="s">
        <v>793</v>
      </c>
      <c r="C375" s="4" t="s">
        <v>794</v>
      </c>
      <c r="D375" s="4" t="s">
        <v>716</v>
      </c>
      <c r="E375" s="4" t="s">
        <v>717</v>
      </c>
      <c r="M375" s="4" t="s">
        <v>645</v>
      </c>
      <c r="N375" s="4">
        <v>-71.626407625000013</v>
      </c>
      <c r="O375" s="4">
        <v>3.7808043924999999</v>
      </c>
      <c r="P375" s="4" t="s">
        <v>722</v>
      </c>
      <c r="Q375" s="4" t="s">
        <v>723</v>
      </c>
      <c r="R375" s="4" t="s">
        <v>720</v>
      </c>
      <c r="S375" s="2">
        <v>46174.756701388891</v>
      </c>
      <c r="T375" s="5">
        <v>1.7361211111111111E-5</v>
      </c>
      <c r="U375" s="4">
        <v>4.1178828105330467E-3</v>
      </c>
      <c r="V375" s="4" t="s">
        <v>724</v>
      </c>
      <c r="W375" s="4" t="s">
        <v>645</v>
      </c>
      <c r="X375" s="6" t="s">
        <v>617</v>
      </c>
    </row>
    <row r="376" spans="1:24">
      <c r="A376" s="4" t="s">
        <v>792</v>
      </c>
      <c r="B376" s="4" t="s">
        <v>793</v>
      </c>
      <c r="C376" s="4" t="s">
        <v>794</v>
      </c>
      <c r="D376" s="4" t="s">
        <v>716</v>
      </c>
      <c r="E376" s="4" t="s">
        <v>717</v>
      </c>
      <c r="M376" s="4" t="s">
        <v>656</v>
      </c>
      <c r="N376" s="4">
        <v>-71.633956900000001</v>
      </c>
      <c r="O376" s="4">
        <v>3.78397965</v>
      </c>
      <c r="P376" s="4" t="s">
        <v>734</v>
      </c>
      <c r="Q376" s="4" t="s">
        <v>735</v>
      </c>
      <c r="R376" s="4" t="s">
        <v>730</v>
      </c>
      <c r="S376" s="2">
        <v>46174.759062500001</v>
      </c>
      <c r="T376" s="5">
        <v>5.9991898148148144E-4</v>
      </c>
      <c r="U376" s="4">
        <v>0.30668511986732483</v>
      </c>
      <c r="V376" s="4" t="s">
        <v>829</v>
      </c>
      <c r="W376" s="4" t="s">
        <v>656</v>
      </c>
      <c r="X376" s="6" t="s">
        <v>617</v>
      </c>
    </row>
    <row r="377" spans="1:24">
      <c r="A377" s="4" t="s">
        <v>792</v>
      </c>
      <c r="B377" s="4" t="s">
        <v>793</v>
      </c>
      <c r="C377" s="4" t="s">
        <v>794</v>
      </c>
      <c r="D377" s="4" t="s">
        <v>716</v>
      </c>
      <c r="E377" s="4" t="s">
        <v>717</v>
      </c>
      <c r="M377" s="4" t="s">
        <v>645</v>
      </c>
      <c r="N377" s="4">
        <v>-71.634492135272723</v>
      </c>
      <c r="O377" s="4">
        <v>3.7814151199345454</v>
      </c>
      <c r="P377" s="4" t="s">
        <v>800</v>
      </c>
      <c r="Q377" s="4" t="s">
        <v>746</v>
      </c>
      <c r="R377" s="4" t="s">
        <v>720</v>
      </c>
      <c r="S377" s="2">
        <v>46174.75972263889</v>
      </c>
      <c r="T377" s="5">
        <v>2.3491898148148149E-4</v>
      </c>
      <c r="U377" s="4">
        <v>8.2810245454311371E-2</v>
      </c>
      <c r="V377" s="4" t="s">
        <v>741</v>
      </c>
      <c r="W377" s="4" t="s">
        <v>645</v>
      </c>
      <c r="X377" s="6" t="s">
        <v>617</v>
      </c>
    </row>
    <row r="378" spans="1:24">
      <c r="A378" s="4" t="s">
        <v>792</v>
      </c>
      <c r="B378" s="4" t="s">
        <v>793</v>
      </c>
      <c r="C378" s="4" t="s">
        <v>794</v>
      </c>
      <c r="D378" s="4" t="s">
        <v>716</v>
      </c>
      <c r="E378" s="4" t="s">
        <v>717</v>
      </c>
      <c r="M378" s="4" t="s">
        <v>645</v>
      </c>
      <c r="N378" s="4">
        <v>-71.633664802399991</v>
      </c>
      <c r="O378" s="4">
        <v>3.7812245931540001</v>
      </c>
      <c r="P378" s="4" t="s">
        <v>800</v>
      </c>
      <c r="Q378" s="4" t="s">
        <v>746</v>
      </c>
      <c r="R378" s="4" t="s">
        <v>720</v>
      </c>
      <c r="S378" s="2">
        <v>46174.760125659719</v>
      </c>
      <c r="T378" s="5">
        <v>7.1099537037037038E-5</v>
      </c>
      <c r="U378" s="4">
        <v>1.8350647762417793E-2</v>
      </c>
      <c r="V378" s="4" t="s">
        <v>731</v>
      </c>
      <c r="W378" s="4" t="s">
        <v>645</v>
      </c>
      <c r="X378" s="6" t="s">
        <v>617</v>
      </c>
    </row>
    <row r="379" spans="1:24">
      <c r="A379" s="4" t="s">
        <v>792</v>
      </c>
      <c r="B379" s="4" t="s">
        <v>793</v>
      </c>
      <c r="C379" s="4" t="s">
        <v>794</v>
      </c>
      <c r="D379" s="4" t="s">
        <v>716</v>
      </c>
      <c r="E379" s="4" t="s">
        <v>717</v>
      </c>
      <c r="M379" s="4" t="s">
        <v>614</v>
      </c>
      <c r="N379" s="4">
        <v>-71.633194000000003</v>
      </c>
      <c r="O379" s="4">
        <v>3.7808303799999998</v>
      </c>
      <c r="P379" s="4" t="s">
        <v>800</v>
      </c>
      <c r="Q379" s="4" t="s">
        <v>746</v>
      </c>
      <c r="R379" s="4" t="s">
        <v>720</v>
      </c>
      <c r="S379" s="2">
        <v>46174.760555555556</v>
      </c>
      <c r="T379" s="5">
        <v>3.5185185185185185E-3</v>
      </c>
      <c r="U379" s="4">
        <v>0</v>
      </c>
      <c r="V379" s="4" t="s">
        <v>616</v>
      </c>
      <c r="W379" s="4" t="s">
        <v>614</v>
      </c>
      <c r="X379" s="6" t="s">
        <v>617</v>
      </c>
    </row>
    <row r="380" spans="1:24">
      <c r="A380" s="4" t="s">
        <v>792</v>
      </c>
      <c r="B380" s="4" t="s">
        <v>793</v>
      </c>
      <c r="C380" s="4" t="s">
        <v>794</v>
      </c>
      <c r="D380" s="4" t="s">
        <v>716</v>
      </c>
      <c r="E380" s="4" t="s">
        <v>717</v>
      </c>
      <c r="M380" s="4" t="s">
        <v>645</v>
      </c>
      <c r="N380" s="4">
        <v>-71.633686062500004</v>
      </c>
      <c r="O380" s="4">
        <v>3.781184825</v>
      </c>
      <c r="P380" s="4" t="s">
        <v>800</v>
      </c>
      <c r="Q380" s="4" t="s">
        <v>746</v>
      </c>
      <c r="R380" s="4" t="s">
        <v>720</v>
      </c>
      <c r="S380" s="2">
        <v>46174.76558738426</v>
      </c>
      <c r="T380" s="5">
        <v>2.9166666666666669E-4</v>
      </c>
      <c r="U380" s="4">
        <v>9.3228161334991455E-2</v>
      </c>
      <c r="V380" s="4" t="s">
        <v>771</v>
      </c>
      <c r="W380" s="4" t="s">
        <v>645</v>
      </c>
      <c r="X380" s="6" t="s">
        <v>617</v>
      </c>
    </row>
    <row r="381" spans="1:24">
      <c r="A381" s="4" t="s">
        <v>792</v>
      </c>
      <c r="B381" s="4" t="s">
        <v>793</v>
      </c>
      <c r="C381" s="4" t="s">
        <v>794</v>
      </c>
      <c r="D381" s="4" t="s">
        <v>716</v>
      </c>
      <c r="E381" s="4" t="s">
        <v>717</v>
      </c>
      <c r="M381" s="4" t="s">
        <v>656</v>
      </c>
      <c r="N381" s="4">
        <v>-71.634581485399991</v>
      </c>
      <c r="O381" s="4">
        <v>3.7815124625125001</v>
      </c>
      <c r="P381" s="4" t="s">
        <v>742</v>
      </c>
      <c r="Q381" s="4" t="s">
        <v>743</v>
      </c>
      <c r="R381" s="4" t="s">
        <v>730</v>
      </c>
      <c r="S381" s="2">
        <v>46174.765975312497</v>
      </c>
      <c r="T381" s="5">
        <v>6.5663194444444449E-4</v>
      </c>
      <c r="U381" s="4">
        <v>0.32938644289970398</v>
      </c>
      <c r="V381" s="4" t="s">
        <v>829</v>
      </c>
      <c r="W381" s="4" t="s">
        <v>656</v>
      </c>
      <c r="X381" s="6" t="s">
        <v>617</v>
      </c>
    </row>
    <row r="382" spans="1:24">
      <c r="A382" s="4" t="s">
        <v>792</v>
      </c>
      <c r="B382" s="4" t="s">
        <v>793</v>
      </c>
      <c r="C382" s="4" t="s">
        <v>794</v>
      </c>
      <c r="D382" s="4" t="s">
        <v>716</v>
      </c>
      <c r="E382" s="4" t="s">
        <v>717</v>
      </c>
      <c r="M382" s="4" t="s">
        <v>645</v>
      </c>
      <c r="N382" s="4">
        <v>-71.635059538933334</v>
      </c>
      <c r="O382" s="4">
        <v>3.7842612844266665</v>
      </c>
      <c r="P382" s="4" t="s">
        <v>718</v>
      </c>
      <c r="Q382" s="4" t="s">
        <v>719</v>
      </c>
      <c r="R382" s="4" t="s">
        <v>720</v>
      </c>
      <c r="S382" s="2">
        <v>46174.766785717591</v>
      </c>
      <c r="T382" s="5">
        <v>5.6767361111111113E-4</v>
      </c>
      <c r="U382" s="4">
        <v>0.25973892211914063</v>
      </c>
      <c r="V382" s="4" t="s">
        <v>783</v>
      </c>
      <c r="W382" s="4" t="s">
        <v>645</v>
      </c>
      <c r="X382" s="6" t="s">
        <v>617</v>
      </c>
    </row>
    <row r="383" spans="1:24">
      <c r="A383" s="4" t="s">
        <v>792</v>
      </c>
      <c r="B383" s="4" t="s">
        <v>793</v>
      </c>
      <c r="C383" s="4" t="s">
        <v>794</v>
      </c>
      <c r="D383" s="4" t="s">
        <v>716</v>
      </c>
      <c r="E383" s="4" t="s">
        <v>717</v>
      </c>
      <c r="M383" s="4" t="s">
        <v>645</v>
      </c>
      <c r="N383" s="4">
        <v>-71.635708438799995</v>
      </c>
      <c r="O383" s="4">
        <v>3.784086803489231</v>
      </c>
      <c r="P383" s="4" t="s">
        <v>718</v>
      </c>
      <c r="Q383" s="4" t="s">
        <v>719</v>
      </c>
      <c r="R383" s="4" t="s">
        <v>720</v>
      </c>
      <c r="S383" s="2">
        <v>46174.769533726852</v>
      </c>
      <c r="T383" s="5">
        <v>1.8024305555555556E-4</v>
      </c>
      <c r="U383" s="4">
        <v>7.2291716933250427E-2</v>
      </c>
      <c r="V383" s="4" t="s">
        <v>721</v>
      </c>
      <c r="W383" s="4" t="s">
        <v>645</v>
      </c>
      <c r="X383" s="6" t="s">
        <v>617</v>
      </c>
    </row>
    <row r="384" spans="1:24">
      <c r="A384" s="4" t="s">
        <v>792</v>
      </c>
      <c r="B384" s="4" t="s">
        <v>793</v>
      </c>
      <c r="C384" s="4" t="s">
        <v>794</v>
      </c>
      <c r="D384" s="4" t="s">
        <v>716</v>
      </c>
      <c r="E384" s="4" t="s">
        <v>717</v>
      </c>
      <c r="M384" s="4" t="s">
        <v>762</v>
      </c>
      <c r="N384" s="4">
        <v>-71.630894999999995</v>
      </c>
      <c r="O384" s="4">
        <v>3.7834359033333333</v>
      </c>
      <c r="P384" s="4" t="s">
        <v>734</v>
      </c>
      <c r="Q384" s="4" t="s">
        <v>735</v>
      </c>
      <c r="R384" s="4" t="s">
        <v>730</v>
      </c>
      <c r="S384" s="2">
        <v>46174.770613425928</v>
      </c>
      <c r="T384" s="5">
        <v>3.1412037037037035E-5</v>
      </c>
      <c r="U384" s="4">
        <v>2.2081449627876282E-2</v>
      </c>
      <c r="V384" s="4" t="s">
        <v>763</v>
      </c>
      <c r="W384" s="4" t="s">
        <v>762</v>
      </c>
      <c r="X384" s="6" t="s">
        <v>617</v>
      </c>
    </row>
    <row r="385" spans="1:24">
      <c r="A385" s="4" t="s">
        <v>792</v>
      </c>
      <c r="B385" s="4" t="s">
        <v>793</v>
      </c>
      <c r="C385" s="4" t="s">
        <v>794</v>
      </c>
      <c r="D385" s="4" t="s">
        <v>716</v>
      </c>
      <c r="E385" s="4" t="s">
        <v>717</v>
      </c>
      <c r="M385" s="4" t="s">
        <v>762</v>
      </c>
      <c r="N385" s="4">
        <v>-71.629734075000002</v>
      </c>
      <c r="O385" s="4">
        <v>3.7827876800000002</v>
      </c>
      <c r="P385" s="4" t="s">
        <v>734</v>
      </c>
      <c r="Q385" s="4" t="s">
        <v>735</v>
      </c>
      <c r="R385" s="4" t="s">
        <v>730</v>
      </c>
      <c r="S385" s="2">
        <v>46174.770836226853</v>
      </c>
      <c r="T385" s="5">
        <v>1.3020833333333333E-4</v>
      </c>
      <c r="U385" s="4">
        <v>9.9145196378231049E-2</v>
      </c>
      <c r="V385" s="4" t="s">
        <v>781</v>
      </c>
      <c r="W385" s="4" t="s">
        <v>762</v>
      </c>
      <c r="X385" s="6" t="s">
        <v>617</v>
      </c>
    </row>
    <row r="386" spans="1:24">
      <c r="A386" s="4" t="s">
        <v>792</v>
      </c>
      <c r="B386" s="4" t="s">
        <v>793</v>
      </c>
      <c r="C386" s="4" t="s">
        <v>794</v>
      </c>
      <c r="D386" s="4" t="s">
        <v>716</v>
      </c>
      <c r="E386" s="4" t="s">
        <v>717</v>
      </c>
      <c r="M386" s="4" t="s">
        <v>762</v>
      </c>
      <c r="N386" s="4">
        <v>-71.628990187499994</v>
      </c>
      <c r="O386" s="4">
        <v>3.7820283737499998</v>
      </c>
      <c r="P386" s="4" t="s">
        <v>734</v>
      </c>
      <c r="Q386" s="4" t="s">
        <v>735</v>
      </c>
      <c r="R386" s="4" t="s">
        <v>730</v>
      </c>
      <c r="S386" s="2">
        <v>46174.770991030091</v>
      </c>
      <c r="T386" s="5">
        <v>1.3826388888888889E-4</v>
      </c>
      <c r="U386" s="4">
        <v>0.11048848181962967</v>
      </c>
      <c r="V386" s="4" t="s">
        <v>780</v>
      </c>
      <c r="W386" s="4" t="s">
        <v>762</v>
      </c>
      <c r="X386" s="6" t="s">
        <v>617</v>
      </c>
    </row>
    <row r="387" spans="1:24">
      <c r="A387" s="4" t="s">
        <v>792</v>
      </c>
      <c r="B387" s="4" t="s">
        <v>793</v>
      </c>
      <c r="C387" s="4" t="s">
        <v>794</v>
      </c>
      <c r="D387" s="4" t="s">
        <v>716</v>
      </c>
      <c r="E387" s="4" t="s">
        <v>717</v>
      </c>
      <c r="M387" s="4" t="s">
        <v>762</v>
      </c>
      <c r="N387" s="4">
        <v>-71.627619280200008</v>
      </c>
      <c r="O387" s="4">
        <v>3.7810079081066665</v>
      </c>
      <c r="P387" s="4" t="s">
        <v>734</v>
      </c>
      <c r="Q387" s="4" t="s">
        <v>735</v>
      </c>
      <c r="R387" s="4" t="s">
        <v>730</v>
      </c>
      <c r="S387" s="2">
        <v>46174.771315787038</v>
      </c>
      <c r="T387" s="5">
        <v>1.1361111111111111E-4</v>
      </c>
      <c r="U387" s="4">
        <v>8.8109038770198822E-2</v>
      </c>
      <c r="V387" s="4" t="s">
        <v>784</v>
      </c>
      <c r="W387" s="4" t="s">
        <v>762</v>
      </c>
      <c r="X387" s="6" t="s">
        <v>617</v>
      </c>
    </row>
    <row r="388" spans="1:24">
      <c r="A388" s="4" t="s">
        <v>792</v>
      </c>
      <c r="B388" s="4" t="s">
        <v>793</v>
      </c>
      <c r="C388" s="4" t="s">
        <v>794</v>
      </c>
      <c r="D388" s="4" t="s">
        <v>716</v>
      </c>
      <c r="E388" s="4" t="s">
        <v>717</v>
      </c>
      <c r="M388" s="4" t="s">
        <v>645</v>
      </c>
      <c r="N388" s="4">
        <v>-71.626468612342862</v>
      </c>
      <c r="O388" s="4">
        <v>3.7808358101485715</v>
      </c>
      <c r="P388" s="4" t="s">
        <v>729</v>
      </c>
      <c r="Q388" s="4" t="s">
        <v>723</v>
      </c>
      <c r="R388" s="4" t="s">
        <v>730</v>
      </c>
      <c r="S388" s="2">
        <v>46174.771541296293</v>
      </c>
      <c r="T388" s="5">
        <v>4.5798611111111108E-5</v>
      </c>
      <c r="U388" s="4">
        <v>1.3508855365216732E-2</v>
      </c>
      <c r="V388" s="4" t="s">
        <v>731</v>
      </c>
      <c r="W388" s="4" t="s">
        <v>645</v>
      </c>
      <c r="X388" s="6" t="s">
        <v>617</v>
      </c>
    </row>
    <row r="389" spans="1:24">
      <c r="A389" s="4" t="s">
        <v>792</v>
      </c>
      <c r="B389" s="4" t="s">
        <v>793</v>
      </c>
      <c r="C389" s="4" t="s">
        <v>794</v>
      </c>
      <c r="D389" s="4" t="s">
        <v>716</v>
      </c>
      <c r="E389" s="4" t="s">
        <v>717</v>
      </c>
      <c r="M389" s="4" t="s">
        <v>645</v>
      </c>
      <c r="N389" s="4">
        <v>-71.626283239999992</v>
      </c>
      <c r="O389" s="4">
        <v>3.7806071779999999</v>
      </c>
      <c r="P389" s="4" t="s">
        <v>722</v>
      </c>
      <c r="Q389" s="4" t="s">
        <v>723</v>
      </c>
      <c r="R389" s="4" t="s">
        <v>720</v>
      </c>
      <c r="S389" s="2">
        <v>46174.772057870374</v>
      </c>
      <c r="T389" s="5">
        <v>2.4537037037037035E-4</v>
      </c>
      <c r="U389" s="4">
        <v>6.6404305398464203E-2</v>
      </c>
      <c r="V389" s="4" t="s">
        <v>731</v>
      </c>
      <c r="W389" s="4" t="s">
        <v>645</v>
      </c>
      <c r="X389" s="6" t="s">
        <v>617</v>
      </c>
    </row>
    <row r="390" spans="1:24">
      <c r="A390" s="4" t="s">
        <v>792</v>
      </c>
      <c r="B390" s="4" t="s">
        <v>793</v>
      </c>
      <c r="C390" s="4" t="s">
        <v>794</v>
      </c>
      <c r="D390" s="4" t="s">
        <v>716</v>
      </c>
      <c r="E390" s="4" t="s">
        <v>717</v>
      </c>
      <c r="M390" s="4" t="s">
        <v>645</v>
      </c>
      <c r="N390" s="4">
        <v>-71.625700602224995</v>
      </c>
      <c r="O390" s="4">
        <v>3.7807480154562501</v>
      </c>
      <c r="P390" s="4" t="s">
        <v>726</v>
      </c>
      <c r="Q390" s="4" t="s">
        <v>727</v>
      </c>
      <c r="R390" s="4" t="s">
        <v>720</v>
      </c>
      <c r="S390" s="2">
        <v>46174.772623460645</v>
      </c>
      <c r="T390" s="5">
        <v>2.8163194444444443E-4</v>
      </c>
      <c r="U390" s="4">
        <v>7.3393292725086212E-2</v>
      </c>
      <c r="V390" s="4" t="s">
        <v>728</v>
      </c>
      <c r="W390" s="4" t="s">
        <v>645</v>
      </c>
      <c r="X390" s="6" t="s">
        <v>617</v>
      </c>
    </row>
    <row r="391" spans="1:24">
      <c r="A391" s="4" t="s">
        <v>792</v>
      </c>
      <c r="B391" s="4" t="s">
        <v>793</v>
      </c>
      <c r="C391" s="4" t="s">
        <v>794</v>
      </c>
      <c r="D391" s="4" t="s">
        <v>716</v>
      </c>
      <c r="E391" s="4" t="s">
        <v>717</v>
      </c>
      <c r="M391" s="4" t="s">
        <v>645</v>
      </c>
      <c r="N391" s="4">
        <v>-71.626374819999995</v>
      </c>
      <c r="O391" s="4">
        <v>3.7808058280000001</v>
      </c>
      <c r="P391" s="4" t="s">
        <v>722</v>
      </c>
      <c r="Q391" s="4" t="s">
        <v>723</v>
      </c>
      <c r="R391" s="4" t="s">
        <v>720</v>
      </c>
      <c r="S391" s="2">
        <v>46174.77316203704</v>
      </c>
      <c r="T391" s="5">
        <v>2.0833333333333333E-5</v>
      </c>
      <c r="U391" s="4">
        <v>5.093058105558157E-3</v>
      </c>
      <c r="V391" s="4" t="s">
        <v>724</v>
      </c>
      <c r="W391" s="4" t="s">
        <v>645</v>
      </c>
      <c r="X391" s="6" t="s">
        <v>617</v>
      </c>
    </row>
    <row r="392" spans="1:24">
      <c r="A392" s="4" t="s">
        <v>792</v>
      </c>
      <c r="B392" s="4" t="s">
        <v>793</v>
      </c>
      <c r="C392" s="4" t="s">
        <v>794</v>
      </c>
      <c r="D392" s="4" t="s">
        <v>716</v>
      </c>
      <c r="E392" s="4" t="s">
        <v>717</v>
      </c>
      <c r="M392" s="4" t="s">
        <v>645</v>
      </c>
      <c r="N392" s="4">
        <v>-71.626386853100001</v>
      </c>
      <c r="O392" s="4">
        <v>3.7808856363099999</v>
      </c>
      <c r="P392" s="4" t="s">
        <v>739</v>
      </c>
      <c r="Q392" s="4" t="s">
        <v>740</v>
      </c>
      <c r="R392" s="4" t="s">
        <v>730</v>
      </c>
      <c r="S392" s="2">
        <v>46174.773199583331</v>
      </c>
      <c r="T392" s="5">
        <v>1.3923611111111111E-5</v>
      </c>
      <c r="U392" s="4">
        <v>4.9308524467051029E-3</v>
      </c>
      <c r="V392" s="4" t="s">
        <v>731</v>
      </c>
      <c r="W392" s="4" t="s">
        <v>645</v>
      </c>
      <c r="X392" s="6" t="s">
        <v>617</v>
      </c>
    </row>
    <row r="393" spans="1:24">
      <c r="A393" s="4" t="s">
        <v>792</v>
      </c>
      <c r="B393" s="4" t="s">
        <v>793</v>
      </c>
      <c r="C393" s="4" t="s">
        <v>794</v>
      </c>
      <c r="D393" s="4" t="s">
        <v>716</v>
      </c>
      <c r="E393" s="4" t="s">
        <v>717</v>
      </c>
      <c r="M393" s="4" t="s">
        <v>762</v>
      </c>
      <c r="N393" s="4">
        <v>-71.628195199999993</v>
      </c>
      <c r="O393" s="4">
        <v>3.7811859640000001</v>
      </c>
      <c r="P393" s="4" t="s">
        <v>734</v>
      </c>
      <c r="Q393" s="4" t="s">
        <v>735</v>
      </c>
      <c r="R393" s="4" t="s">
        <v>730</v>
      </c>
      <c r="S393" s="2">
        <v>46174.773856481479</v>
      </c>
      <c r="T393" s="5">
        <v>3.764699074074074E-4</v>
      </c>
      <c r="U393" s="4">
        <v>0.29025271534919739</v>
      </c>
      <c r="V393" s="4" t="s">
        <v>784</v>
      </c>
      <c r="W393" s="4" t="s">
        <v>762</v>
      </c>
      <c r="X393" s="6" t="s">
        <v>617</v>
      </c>
    </row>
    <row r="394" spans="1:24">
      <c r="A394" s="4" t="s">
        <v>792</v>
      </c>
      <c r="B394" s="4" t="s">
        <v>793</v>
      </c>
      <c r="C394" s="4" t="s">
        <v>794</v>
      </c>
      <c r="D394" s="4" t="s">
        <v>716</v>
      </c>
      <c r="E394" s="4" t="s">
        <v>717</v>
      </c>
      <c r="M394" s="4" t="s">
        <v>762</v>
      </c>
      <c r="N394" s="4">
        <v>-71.630530643299991</v>
      </c>
      <c r="O394" s="4">
        <v>3.7833423681566667</v>
      </c>
      <c r="P394" s="4" t="s">
        <v>734</v>
      </c>
      <c r="Q394" s="4" t="s">
        <v>735</v>
      </c>
      <c r="R394" s="4" t="s">
        <v>730</v>
      </c>
      <c r="S394" s="2">
        <v>46174.774352905093</v>
      </c>
      <c r="T394" s="5">
        <v>1.6519675925925925E-4</v>
      </c>
      <c r="U394" s="4">
        <v>0.1270257979631424</v>
      </c>
      <c r="V394" s="4" t="s">
        <v>780</v>
      </c>
      <c r="W394" s="4" t="s">
        <v>762</v>
      </c>
      <c r="X394" s="6" t="s">
        <v>617</v>
      </c>
    </row>
    <row r="395" spans="1:24">
      <c r="A395" s="4" t="s">
        <v>792</v>
      </c>
      <c r="B395" s="4" t="s">
        <v>793</v>
      </c>
      <c r="C395" s="4" t="s">
        <v>794</v>
      </c>
      <c r="D395" s="4" t="s">
        <v>716</v>
      </c>
      <c r="E395" s="4" t="s">
        <v>717</v>
      </c>
      <c r="M395" s="4" t="s">
        <v>762</v>
      </c>
      <c r="N395" s="4">
        <v>-71.632396700000001</v>
      </c>
      <c r="O395" s="4">
        <v>3.7837953550000001</v>
      </c>
      <c r="P395" s="4" t="s">
        <v>734</v>
      </c>
      <c r="Q395" s="4" t="s">
        <v>735</v>
      </c>
      <c r="R395" s="4" t="s">
        <v>730</v>
      </c>
      <c r="S395" s="2">
        <v>46174.774664351855</v>
      </c>
      <c r="T395" s="5">
        <v>2.7777777777777779E-5</v>
      </c>
      <c r="U395" s="4">
        <v>2.0732186734676361E-2</v>
      </c>
      <c r="V395" s="4" t="s">
        <v>763</v>
      </c>
      <c r="W395" s="4" t="s">
        <v>762</v>
      </c>
      <c r="X395" s="6" t="s">
        <v>617</v>
      </c>
    </row>
    <row r="396" spans="1:24">
      <c r="A396" s="4" t="s">
        <v>792</v>
      </c>
      <c r="B396" s="4" t="s">
        <v>793</v>
      </c>
      <c r="C396" s="4" t="s">
        <v>794</v>
      </c>
      <c r="D396" s="4" t="s">
        <v>716</v>
      </c>
      <c r="E396" s="4" t="s">
        <v>717</v>
      </c>
      <c r="M396" s="4" t="s">
        <v>645</v>
      </c>
      <c r="N396" s="4">
        <v>-71.635059711949992</v>
      </c>
      <c r="O396" s="4">
        <v>3.7842748819137499</v>
      </c>
      <c r="P396" s="4" t="s">
        <v>718</v>
      </c>
      <c r="Q396" s="4" t="s">
        <v>719</v>
      </c>
      <c r="R396" s="4" t="s">
        <v>720</v>
      </c>
      <c r="S396" s="2">
        <v>46174.7751446412</v>
      </c>
      <c r="T396" s="5">
        <v>2.9387731481481479E-4</v>
      </c>
      <c r="U396" s="4">
        <v>0.1829465925693512</v>
      </c>
      <c r="V396" s="4" t="s">
        <v>783</v>
      </c>
      <c r="W396" s="4" t="s">
        <v>645</v>
      </c>
      <c r="X396" s="6" t="s">
        <v>617</v>
      </c>
    </row>
    <row r="397" spans="1:24">
      <c r="A397" s="4" t="s">
        <v>792</v>
      </c>
      <c r="B397" s="4" t="s">
        <v>793</v>
      </c>
      <c r="C397" s="4" t="s">
        <v>794</v>
      </c>
      <c r="D397" s="4" t="s">
        <v>716</v>
      </c>
      <c r="E397" s="4" t="s">
        <v>717</v>
      </c>
      <c r="M397" s="4" t="s">
        <v>762</v>
      </c>
      <c r="N397" s="4">
        <v>-71.638142399999992</v>
      </c>
      <c r="O397" s="4">
        <v>3.784409336</v>
      </c>
      <c r="P397" s="4" t="s">
        <v>734</v>
      </c>
      <c r="Q397" s="4" t="s">
        <v>735</v>
      </c>
      <c r="R397" s="4" t="s">
        <v>730</v>
      </c>
      <c r="S397" s="2">
        <v>46174.775680555555</v>
      </c>
      <c r="T397" s="5">
        <v>2.0138888888888889E-4</v>
      </c>
      <c r="U397" s="4">
        <v>0.15175941586494446</v>
      </c>
      <c r="V397" s="4" t="s">
        <v>781</v>
      </c>
      <c r="W397" s="4" t="s">
        <v>762</v>
      </c>
      <c r="X397" s="6" t="s">
        <v>617</v>
      </c>
    </row>
    <row r="398" spans="1:24">
      <c r="A398" s="4" t="s">
        <v>792</v>
      </c>
      <c r="B398" s="4" t="s">
        <v>793</v>
      </c>
      <c r="C398" s="4" t="s">
        <v>794</v>
      </c>
      <c r="D398" s="4" t="s">
        <v>716</v>
      </c>
      <c r="E398" s="4" t="s">
        <v>717</v>
      </c>
      <c r="M398" s="4" t="s">
        <v>762</v>
      </c>
      <c r="N398" s="4">
        <v>-71.642341553670008</v>
      </c>
      <c r="O398" s="4">
        <v>3.784595396192</v>
      </c>
      <c r="P398" s="4" t="s">
        <v>734</v>
      </c>
      <c r="Q398" s="4" t="s">
        <v>735</v>
      </c>
      <c r="R398" s="4" t="s">
        <v>730</v>
      </c>
      <c r="S398" s="2">
        <v>46174.776395497684</v>
      </c>
      <c r="T398" s="5">
        <v>6.8622685185185182E-5</v>
      </c>
      <c r="U398" s="4">
        <v>4.9961619079113007E-2</v>
      </c>
      <c r="V398" s="4" t="s">
        <v>763</v>
      </c>
      <c r="W398" s="4" t="s">
        <v>762</v>
      </c>
      <c r="X398" s="6" t="s">
        <v>617</v>
      </c>
    </row>
    <row r="399" spans="1:24">
      <c r="A399" s="4" t="s">
        <v>792</v>
      </c>
      <c r="B399" s="4" t="s">
        <v>793</v>
      </c>
      <c r="C399" s="4" t="s">
        <v>794</v>
      </c>
      <c r="D399" s="4" t="s">
        <v>716</v>
      </c>
      <c r="E399" s="4" t="s">
        <v>717</v>
      </c>
      <c r="M399" s="4" t="s">
        <v>614</v>
      </c>
      <c r="N399" s="4">
        <v>-71.643501299999997</v>
      </c>
      <c r="O399" s="4">
        <v>3.78220153</v>
      </c>
      <c r="P399" s="4" t="s">
        <v>734</v>
      </c>
      <c r="Q399" s="4" t="s">
        <v>735</v>
      </c>
      <c r="R399" s="4" t="s">
        <v>730</v>
      </c>
      <c r="S399" s="2">
        <v>46174.777256944442</v>
      </c>
      <c r="T399" s="5">
        <v>6.9097222222222225E-3</v>
      </c>
      <c r="U399" s="4">
        <v>0</v>
      </c>
      <c r="V399" s="4" t="s">
        <v>616</v>
      </c>
      <c r="W399" s="4" t="s">
        <v>614</v>
      </c>
      <c r="X399" s="6" t="s">
        <v>617</v>
      </c>
    </row>
    <row r="400" spans="1:24">
      <c r="A400" s="4" t="s">
        <v>792</v>
      </c>
      <c r="B400" s="4" t="s">
        <v>793</v>
      </c>
      <c r="C400" s="4" t="s">
        <v>794</v>
      </c>
      <c r="D400" s="4" t="s">
        <v>716</v>
      </c>
      <c r="E400" s="4" t="s">
        <v>717</v>
      </c>
      <c r="M400" s="4" t="s">
        <v>762</v>
      </c>
      <c r="N400" s="4">
        <v>-71.644211515699993</v>
      </c>
      <c r="O400" s="4">
        <v>3.7820397026600001</v>
      </c>
      <c r="P400" s="4" t="s">
        <v>734</v>
      </c>
      <c r="Q400" s="4" t="s">
        <v>735</v>
      </c>
      <c r="R400" s="4" t="s">
        <v>730</v>
      </c>
      <c r="S400" s="2">
        <v>46174.785296400463</v>
      </c>
      <c r="T400" s="5">
        <v>1.2219907407407408E-4</v>
      </c>
      <c r="U400" s="4">
        <v>9.7075387835502625E-2</v>
      </c>
      <c r="V400" s="4" t="s">
        <v>784</v>
      </c>
      <c r="W400" s="4" t="s">
        <v>762</v>
      </c>
      <c r="X400" s="6" t="s">
        <v>617</v>
      </c>
    </row>
    <row r="401" spans="1:24">
      <c r="A401" s="4" t="s">
        <v>792</v>
      </c>
      <c r="B401" s="4" t="s">
        <v>793</v>
      </c>
      <c r="C401" s="4" t="s">
        <v>794</v>
      </c>
      <c r="D401" s="4" t="s">
        <v>716</v>
      </c>
      <c r="E401" s="4" t="s">
        <v>717</v>
      </c>
      <c r="M401" s="4" t="s">
        <v>685</v>
      </c>
      <c r="N401" s="4">
        <v>-71.648468192400003</v>
      </c>
      <c r="O401" s="4">
        <v>3.7778072101200002</v>
      </c>
      <c r="P401" s="4" t="s">
        <v>734</v>
      </c>
      <c r="Q401" s="4" t="s">
        <v>735</v>
      </c>
      <c r="R401" s="4" t="s">
        <v>730</v>
      </c>
      <c r="S401" s="2">
        <v>46174.794099675928</v>
      </c>
      <c r="T401" s="5">
        <v>7.8703703703703708E-7</v>
      </c>
      <c r="U401" s="4">
        <v>2.1849546465091407E-4</v>
      </c>
      <c r="V401" s="4" t="s">
        <v>830</v>
      </c>
      <c r="W401" s="4" t="s">
        <v>685</v>
      </c>
      <c r="X401" s="6" t="s">
        <v>617</v>
      </c>
    </row>
    <row r="402" spans="1:24">
      <c r="A402" s="4" t="s">
        <v>792</v>
      </c>
      <c r="B402" s="4" t="s">
        <v>793</v>
      </c>
      <c r="C402" s="4" t="s">
        <v>794</v>
      </c>
      <c r="D402" s="4" t="s">
        <v>716</v>
      </c>
      <c r="E402" s="4" t="s">
        <v>717</v>
      </c>
      <c r="M402" s="4" t="s">
        <v>762</v>
      </c>
      <c r="N402" s="4">
        <v>-71.648799553300009</v>
      </c>
      <c r="O402" s="4">
        <v>3.7774224043800002</v>
      </c>
      <c r="P402" s="4" t="s">
        <v>734</v>
      </c>
      <c r="Q402" s="4" t="s">
        <v>735</v>
      </c>
      <c r="R402" s="4" t="s">
        <v>730</v>
      </c>
      <c r="S402" s="2">
        <v>46174.794208749998</v>
      </c>
      <c r="T402" s="5">
        <v>3.1215277777777775E-5</v>
      </c>
      <c r="U402" s="4">
        <v>1.9816165789961815E-2</v>
      </c>
      <c r="V402" s="4" t="s">
        <v>763</v>
      </c>
      <c r="W402" s="4" t="s">
        <v>762</v>
      </c>
      <c r="X402" s="6" t="s">
        <v>617</v>
      </c>
    </row>
    <row r="403" spans="1:24">
      <c r="A403" s="4" t="s">
        <v>792</v>
      </c>
      <c r="B403" s="4" t="s">
        <v>793</v>
      </c>
      <c r="C403" s="4" t="s">
        <v>794</v>
      </c>
      <c r="D403" s="4" t="s">
        <v>716</v>
      </c>
      <c r="E403" s="4" t="s">
        <v>717</v>
      </c>
      <c r="M403" s="4" t="s">
        <v>762</v>
      </c>
      <c r="N403" s="4">
        <v>-71.649737033333338</v>
      </c>
      <c r="O403" s="4">
        <v>3.776160318333333</v>
      </c>
      <c r="P403" s="4" t="s">
        <v>786</v>
      </c>
      <c r="Q403" s="4" t="s">
        <v>735</v>
      </c>
      <c r="R403" s="4" t="s">
        <v>730</v>
      </c>
      <c r="S403" s="2">
        <v>46174.797777777778</v>
      </c>
      <c r="T403" s="5">
        <v>9.9201388888888893E-5</v>
      </c>
      <c r="U403" s="4">
        <v>7.8148938715457916E-2</v>
      </c>
      <c r="V403" s="4" t="s">
        <v>784</v>
      </c>
      <c r="W403" s="4" t="s">
        <v>762</v>
      </c>
      <c r="X403" s="6" t="s">
        <v>617</v>
      </c>
    </row>
    <row r="404" spans="1:24">
      <c r="A404" s="4" t="s">
        <v>792</v>
      </c>
      <c r="B404" s="4" t="s">
        <v>793</v>
      </c>
      <c r="C404" s="4" t="s">
        <v>794</v>
      </c>
      <c r="D404" s="4" t="s">
        <v>716</v>
      </c>
      <c r="E404" s="4" t="s">
        <v>717</v>
      </c>
      <c r="M404" s="4" t="s">
        <v>762</v>
      </c>
      <c r="N404" s="4">
        <v>-71.649147055225001</v>
      </c>
      <c r="O404" s="4">
        <v>3.77691850744</v>
      </c>
      <c r="P404" s="4" t="s">
        <v>734</v>
      </c>
      <c r="Q404" s="4" t="s">
        <v>735</v>
      </c>
      <c r="R404" s="4" t="s">
        <v>730</v>
      </c>
      <c r="S404" s="2">
        <v>46174.797924386578</v>
      </c>
      <c r="T404" s="5">
        <v>2.46875E-5</v>
      </c>
      <c r="U404" s="4">
        <v>1.4726393856108189E-2</v>
      </c>
      <c r="V404" s="4" t="s">
        <v>763</v>
      </c>
      <c r="W404" s="4" t="s">
        <v>762</v>
      </c>
      <c r="X404" s="6" t="s">
        <v>617</v>
      </c>
    </row>
    <row r="405" spans="1:24">
      <c r="A405" s="4" t="s">
        <v>792</v>
      </c>
      <c r="B405" s="4" t="s">
        <v>793</v>
      </c>
      <c r="C405" s="4" t="s">
        <v>794</v>
      </c>
      <c r="D405" s="4" t="s">
        <v>716</v>
      </c>
      <c r="E405" s="4" t="s">
        <v>717</v>
      </c>
      <c r="M405" s="4" t="s">
        <v>754</v>
      </c>
      <c r="N405" s="4">
        <v>-71.648023381200005</v>
      </c>
      <c r="O405" s="4">
        <v>3.7781966708599999</v>
      </c>
      <c r="P405" s="4" t="s">
        <v>734</v>
      </c>
      <c r="Q405" s="4" t="s">
        <v>735</v>
      </c>
      <c r="R405" s="4" t="s">
        <v>730</v>
      </c>
      <c r="S405" s="2">
        <v>46174.799020416664</v>
      </c>
      <c r="T405" s="5">
        <v>8.5798611111111118E-5</v>
      </c>
      <c r="U405" s="4">
        <v>4.0610548108816147E-2</v>
      </c>
      <c r="V405" s="4" t="s">
        <v>821</v>
      </c>
      <c r="W405" s="4" t="s">
        <v>754</v>
      </c>
      <c r="X405" s="6" t="s">
        <v>617</v>
      </c>
    </row>
    <row r="406" spans="1:24">
      <c r="A406" s="4" t="s">
        <v>792</v>
      </c>
      <c r="B406" s="4" t="s">
        <v>793</v>
      </c>
      <c r="C406" s="4" t="s">
        <v>794</v>
      </c>
      <c r="D406" s="4" t="s">
        <v>716</v>
      </c>
      <c r="E406" s="4" t="s">
        <v>717</v>
      </c>
      <c r="M406" s="4" t="s">
        <v>762</v>
      </c>
      <c r="N406" s="4">
        <v>-71.647407472685714</v>
      </c>
      <c r="O406" s="4">
        <v>3.7789240080685715</v>
      </c>
      <c r="P406" s="4" t="s">
        <v>734</v>
      </c>
      <c r="Q406" s="4" t="s">
        <v>735</v>
      </c>
      <c r="R406" s="4" t="s">
        <v>730</v>
      </c>
      <c r="S406" s="2">
        <v>46174.799218310189</v>
      </c>
      <c r="T406" s="5">
        <v>2.5520833333333335E-5</v>
      </c>
      <c r="U406" s="4">
        <v>1.6647385433316231E-2</v>
      </c>
      <c r="V406" s="4" t="s">
        <v>763</v>
      </c>
      <c r="W406" s="4" t="s">
        <v>762</v>
      </c>
      <c r="X406" s="6" t="s">
        <v>617</v>
      </c>
    </row>
    <row r="407" spans="1:24">
      <c r="A407" s="4" t="s">
        <v>792</v>
      </c>
      <c r="B407" s="4" t="s">
        <v>793</v>
      </c>
      <c r="C407" s="4" t="s">
        <v>794</v>
      </c>
      <c r="D407" s="4" t="s">
        <v>716</v>
      </c>
      <c r="E407" s="4" t="s">
        <v>717</v>
      </c>
      <c r="M407" s="4" t="s">
        <v>762</v>
      </c>
      <c r="N407" s="4">
        <v>-71.646087659999992</v>
      </c>
      <c r="O407" s="4">
        <v>3.7802208880000001</v>
      </c>
      <c r="P407" s="4" t="s">
        <v>734</v>
      </c>
      <c r="Q407" s="4" t="s">
        <v>735</v>
      </c>
      <c r="R407" s="4" t="s">
        <v>730</v>
      </c>
      <c r="S407" s="2">
        <v>46174.799546296294</v>
      </c>
      <c r="T407" s="5">
        <v>2.5462962962962961E-5</v>
      </c>
      <c r="U407" s="4">
        <v>1.7870286479592323E-2</v>
      </c>
      <c r="V407" s="4" t="s">
        <v>763</v>
      </c>
      <c r="W407" s="4" t="s">
        <v>762</v>
      </c>
      <c r="X407" s="6" t="s">
        <v>617</v>
      </c>
    </row>
    <row r="408" spans="1:24">
      <c r="A408" s="4" t="s">
        <v>792</v>
      </c>
      <c r="B408" s="4" t="s">
        <v>793</v>
      </c>
      <c r="C408" s="4" t="s">
        <v>794</v>
      </c>
      <c r="D408" s="4" t="s">
        <v>716</v>
      </c>
      <c r="E408" s="4" t="s">
        <v>717</v>
      </c>
      <c r="M408" s="4" t="s">
        <v>685</v>
      </c>
      <c r="N408" s="4">
        <v>-71.645259935833337</v>
      </c>
      <c r="O408" s="4">
        <v>3.781005194215</v>
      </c>
      <c r="P408" s="4" t="s">
        <v>734</v>
      </c>
      <c r="Q408" s="4" t="s">
        <v>735</v>
      </c>
      <c r="R408" s="4" t="s">
        <v>730</v>
      </c>
      <c r="S408" s="2">
        <v>46174.799806863426</v>
      </c>
      <c r="T408" s="5">
        <v>3.1250000000000003E-7</v>
      </c>
      <c r="U408" s="4">
        <v>1.251999638043344E-4</v>
      </c>
      <c r="V408" s="4" t="s">
        <v>831</v>
      </c>
      <c r="W408" s="4" t="s">
        <v>685</v>
      </c>
      <c r="X408" s="6" t="s">
        <v>617</v>
      </c>
    </row>
    <row r="409" spans="1:24">
      <c r="A409" s="4" t="s">
        <v>792</v>
      </c>
      <c r="B409" s="4" t="s">
        <v>793</v>
      </c>
      <c r="C409" s="4" t="s">
        <v>794</v>
      </c>
      <c r="D409" s="4" t="s">
        <v>716</v>
      </c>
      <c r="E409" s="4" t="s">
        <v>717</v>
      </c>
      <c r="M409" s="4" t="s">
        <v>685</v>
      </c>
      <c r="N409" s="4">
        <v>-71.645244686666672</v>
      </c>
      <c r="O409" s="4">
        <v>3.7810266829199999</v>
      </c>
      <c r="P409" s="4" t="s">
        <v>734</v>
      </c>
      <c r="Q409" s="4" t="s">
        <v>735</v>
      </c>
      <c r="R409" s="4" t="s">
        <v>730</v>
      </c>
      <c r="S409" s="2">
        <v>46174.799814166669</v>
      </c>
      <c r="T409" s="5">
        <v>1.1689814814814815E-6</v>
      </c>
      <c r="U409" s="4">
        <v>4.6834058593958616E-4</v>
      </c>
      <c r="V409" s="4" t="s">
        <v>832</v>
      </c>
      <c r="W409" s="4" t="s">
        <v>685</v>
      </c>
      <c r="X409" s="6" t="s">
        <v>617</v>
      </c>
    </row>
    <row r="410" spans="1:24">
      <c r="A410" s="4" t="s">
        <v>792</v>
      </c>
      <c r="B410" s="4" t="s">
        <v>793</v>
      </c>
      <c r="C410" s="4" t="s">
        <v>794</v>
      </c>
      <c r="D410" s="4" t="s">
        <v>716</v>
      </c>
      <c r="E410" s="4" t="s">
        <v>717</v>
      </c>
      <c r="M410" s="4" t="s">
        <v>762</v>
      </c>
      <c r="N410" s="4">
        <v>-71.644938107900003</v>
      </c>
      <c r="O410" s="4">
        <v>3.7813275911400002</v>
      </c>
      <c r="P410" s="4" t="s">
        <v>734</v>
      </c>
      <c r="Q410" s="4" t="s">
        <v>735</v>
      </c>
      <c r="R410" s="4" t="s">
        <v>730</v>
      </c>
      <c r="S410" s="2">
        <v>46174.799902268518</v>
      </c>
      <c r="T410" s="5">
        <v>1.3939814814814815E-4</v>
      </c>
      <c r="U410" s="4">
        <v>0.10551683604717255</v>
      </c>
      <c r="V410" s="4" t="s">
        <v>781</v>
      </c>
      <c r="W410" s="4" t="s">
        <v>762</v>
      </c>
      <c r="X410" s="6" t="s">
        <v>617</v>
      </c>
    </row>
    <row r="411" spans="1:24">
      <c r="A411" s="4" t="s">
        <v>792</v>
      </c>
      <c r="B411" s="4" t="s">
        <v>793</v>
      </c>
      <c r="C411" s="4" t="s">
        <v>794</v>
      </c>
      <c r="D411" s="4" t="s">
        <v>716</v>
      </c>
      <c r="E411" s="4" t="s">
        <v>717</v>
      </c>
      <c r="M411" s="4" t="s">
        <v>645</v>
      </c>
      <c r="N411" s="4">
        <v>-71.636698291599998</v>
      </c>
      <c r="O411" s="4">
        <v>3.7842542830000001</v>
      </c>
      <c r="P411" s="4" t="s">
        <v>718</v>
      </c>
      <c r="Q411" s="4" t="s">
        <v>719</v>
      </c>
      <c r="R411" s="4" t="s">
        <v>720</v>
      </c>
      <c r="S411" s="2">
        <v>46174.801700648146</v>
      </c>
      <c r="T411" s="5">
        <v>4.0226851851851849E-4</v>
      </c>
      <c r="U411" s="4">
        <v>0.1824304461479187</v>
      </c>
      <c r="V411" s="4" t="s">
        <v>738</v>
      </c>
      <c r="W411" s="4" t="s">
        <v>645</v>
      </c>
      <c r="X411" s="6" t="s">
        <v>617</v>
      </c>
    </row>
    <row r="412" spans="1:24">
      <c r="A412" s="4" t="s">
        <v>792</v>
      </c>
      <c r="B412" s="4" t="s">
        <v>793</v>
      </c>
      <c r="C412" s="4" t="s">
        <v>794</v>
      </c>
      <c r="D412" s="4" t="s">
        <v>716</v>
      </c>
      <c r="E412" s="4" t="s">
        <v>717</v>
      </c>
      <c r="M412" s="4" t="s">
        <v>656</v>
      </c>
      <c r="N412" s="4">
        <v>-71.6340103</v>
      </c>
      <c r="O412" s="4">
        <v>3.7837495799999998</v>
      </c>
      <c r="P412" s="4" t="s">
        <v>742</v>
      </c>
      <c r="Q412" s="4" t="s">
        <v>743</v>
      </c>
      <c r="R412" s="4" t="s">
        <v>730</v>
      </c>
      <c r="S412" s="2">
        <v>46174.802349537036</v>
      </c>
      <c r="T412" s="5">
        <v>5.1157407407407412E-4</v>
      </c>
      <c r="U412" s="4">
        <v>0.28074076771736145</v>
      </c>
      <c r="V412" s="4" t="s">
        <v>799</v>
      </c>
      <c r="W412" s="4" t="s">
        <v>656</v>
      </c>
      <c r="X412" s="6" t="s">
        <v>617</v>
      </c>
    </row>
    <row r="413" spans="1:24">
      <c r="A413" s="4" t="s">
        <v>792</v>
      </c>
      <c r="B413" s="4" t="s">
        <v>793</v>
      </c>
      <c r="C413" s="4" t="s">
        <v>794</v>
      </c>
      <c r="D413" s="4" t="s">
        <v>716</v>
      </c>
      <c r="E413" s="4" t="s">
        <v>717</v>
      </c>
      <c r="M413" s="4" t="s">
        <v>645</v>
      </c>
      <c r="N413" s="4">
        <v>-71.6344419192</v>
      </c>
      <c r="O413" s="4">
        <v>3.781353977692</v>
      </c>
      <c r="P413" s="4" t="s">
        <v>800</v>
      </c>
      <c r="Q413" s="4" t="s">
        <v>746</v>
      </c>
      <c r="R413" s="4" t="s">
        <v>720</v>
      </c>
      <c r="S413" s="2">
        <v>46174.802967928241</v>
      </c>
      <c r="T413" s="5">
        <v>4.579976851851852E-4</v>
      </c>
      <c r="U413" s="4">
        <v>0.14805571734905243</v>
      </c>
      <c r="V413" s="4" t="s">
        <v>666</v>
      </c>
      <c r="W413" s="4" t="s">
        <v>645</v>
      </c>
      <c r="X413" s="6" t="s">
        <v>617</v>
      </c>
    </row>
    <row r="414" spans="1:24">
      <c r="A414" s="4" t="s">
        <v>792</v>
      </c>
      <c r="B414" s="4" t="s">
        <v>793</v>
      </c>
      <c r="C414" s="4" t="s">
        <v>794</v>
      </c>
      <c r="D414" s="4" t="s">
        <v>716</v>
      </c>
      <c r="E414" s="4" t="s">
        <v>717</v>
      </c>
      <c r="M414" s="4" t="s">
        <v>645</v>
      </c>
      <c r="N414" s="4">
        <v>-71.633555793733336</v>
      </c>
      <c r="O414" s="4">
        <v>3.7810392327141669</v>
      </c>
      <c r="P414" s="4" t="s">
        <v>800</v>
      </c>
      <c r="Q414" s="4" t="s">
        <v>746</v>
      </c>
      <c r="R414" s="4" t="s">
        <v>720</v>
      </c>
      <c r="S414" s="2">
        <v>46174.806570763889</v>
      </c>
      <c r="T414" s="5">
        <v>3.7744212962962964E-4</v>
      </c>
      <c r="U414" s="4">
        <v>0.11126343160867691</v>
      </c>
      <c r="V414" s="4" t="s">
        <v>731</v>
      </c>
      <c r="W414" s="4" t="s">
        <v>645</v>
      </c>
      <c r="X414" s="6" t="s">
        <v>617</v>
      </c>
    </row>
    <row r="415" spans="1:24">
      <c r="A415" s="4" t="s">
        <v>792</v>
      </c>
      <c r="B415" s="4" t="s">
        <v>793</v>
      </c>
      <c r="C415" s="4" t="s">
        <v>794</v>
      </c>
      <c r="D415" s="4" t="s">
        <v>716</v>
      </c>
      <c r="E415" s="4" t="s">
        <v>717</v>
      </c>
      <c r="M415" s="4" t="s">
        <v>656</v>
      </c>
      <c r="N415" s="4">
        <v>-71.634544399999996</v>
      </c>
      <c r="O415" s="4">
        <v>3.7816615100000002</v>
      </c>
      <c r="P415" s="4" t="s">
        <v>742</v>
      </c>
      <c r="Q415" s="4" t="s">
        <v>743</v>
      </c>
      <c r="R415" s="4" t="s">
        <v>730</v>
      </c>
      <c r="S415" s="2">
        <v>46174.807071759256</v>
      </c>
      <c r="T415" s="5">
        <v>6.2500000000000001E-4</v>
      </c>
      <c r="U415" s="4">
        <v>0.29594266414642334</v>
      </c>
      <c r="V415" s="4" t="s">
        <v>833</v>
      </c>
      <c r="W415" s="4" t="s">
        <v>656</v>
      </c>
      <c r="X415" s="6" t="s">
        <v>617</v>
      </c>
    </row>
    <row r="416" spans="1:24">
      <c r="A416" s="4" t="s">
        <v>792</v>
      </c>
      <c r="B416" s="4" t="s">
        <v>793</v>
      </c>
      <c r="C416" s="4" t="s">
        <v>794</v>
      </c>
      <c r="D416" s="4" t="s">
        <v>716</v>
      </c>
      <c r="E416" s="4" t="s">
        <v>717</v>
      </c>
      <c r="M416" s="4" t="s">
        <v>762</v>
      </c>
      <c r="N416" s="4">
        <v>-71.629531839999999</v>
      </c>
      <c r="O416" s="4">
        <v>3.7826259100000001</v>
      </c>
      <c r="P416" s="4" t="s">
        <v>734</v>
      </c>
      <c r="Q416" s="4" t="s">
        <v>735</v>
      </c>
      <c r="R416" s="4" t="s">
        <v>730</v>
      </c>
      <c r="S416" s="2">
        <v>46174.808685185184</v>
      </c>
      <c r="T416" s="5">
        <v>7.6388888888888887E-5</v>
      </c>
      <c r="U416" s="4">
        <v>5.434783548116684E-2</v>
      </c>
      <c r="V416" s="4" t="s">
        <v>763</v>
      </c>
      <c r="W416" s="4" t="s">
        <v>762</v>
      </c>
      <c r="X416" s="6" t="s">
        <v>617</v>
      </c>
    </row>
    <row r="417" spans="1:24">
      <c r="A417" s="4" t="s">
        <v>792</v>
      </c>
      <c r="B417" s="4" t="s">
        <v>793</v>
      </c>
      <c r="C417" s="4" t="s">
        <v>794</v>
      </c>
      <c r="D417" s="4" t="s">
        <v>716</v>
      </c>
      <c r="E417" s="4" t="s">
        <v>717</v>
      </c>
      <c r="M417" s="4" t="s">
        <v>645</v>
      </c>
      <c r="N417" s="4">
        <v>-71.626399483500009</v>
      </c>
      <c r="O417" s="4">
        <v>3.7809507362499999</v>
      </c>
      <c r="P417" s="4" t="s">
        <v>739</v>
      </c>
      <c r="Q417" s="4" t="s">
        <v>740</v>
      </c>
      <c r="R417" s="4" t="s">
        <v>730</v>
      </c>
      <c r="S417" s="2">
        <v>46174.809448321757</v>
      </c>
      <c r="T417" s="5">
        <v>1.8130787037037036E-4</v>
      </c>
      <c r="U417" s="4">
        <v>7.3243491351604462E-2</v>
      </c>
      <c r="V417" s="4" t="s">
        <v>738</v>
      </c>
      <c r="W417" s="4" t="s">
        <v>645</v>
      </c>
      <c r="X417" s="6" t="s">
        <v>617</v>
      </c>
    </row>
    <row r="418" spans="1:24">
      <c r="A418" s="4" t="s">
        <v>792</v>
      </c>
      <c r="B418" s="4" t="s">
        <v>793</v>
      </c>
      <c r="C418" s="4" t="s">
        <v>794</v>
      </c>
      <c r="D418" s="4" t="s">
        <v>716</v>
      </c>
      <c r="E418" s="4" t="s">
        <v>717</v>
      </c>
      <c r="M418" s="4" t="s">
        <v>645</v>
      </c>
      <c r="N418" s="4">
        <v>-71.625740100000002</v>
      </c>
      <c r="O418" s="4">
        <v>3.7809436299999999</v>
      </c>
      <c r="P418" s="4" t="s">
        <v>759</v>
      </c>
      <c r="Q418" s="4" t="s">
        <v>760</v>
      </c>
      <c r="R418" s="4" t="s">
        <v>730</v>
      </c>
      <c r="S418" s="2">
        <v>46174.809629629628</v>
      </c>
      <c r="T418" s="5">
        <v>2.2774305555555555E-4</v>
      </c>
      <c r="U418" s="4">
        <v>0.11484766006469727</v>
      </c>
      <c r="V418" s="4" t="s">
        <v>789</v>
      </c>
      <c r="W418" s="4" t="s">
        <v>645</v>
      </c>
      <c r="X418" s="6" t="s">
        <v>617</v>
      </c>
    </row>
    <row r="419" spans="1:24">
      <c r="A419" s="4" t="s">
        <v>792</v>
      </c>
      <c r="B419" s="4" t="s">
        <v>793</v>
      </c>
      <c r="C419" s="4" t="s">
        <v>794</v>
      </c>
      <c r="D419" s="4" t="s">
        <v>716</v>
      </c>
      <c r="E419" s="4" t="s">
        <v>717</v>
      </c>
      <c r="M419" s="4" t="s">
        <v>762</v>
      </c>
      <c r="N419" s="4">
        <v>-71.621228356220001</v>
      </c>
      <c r="O419" s="4">
        <v>3.7806220476119998</v>
      </c>
      <c r="P419" s="4" t="s">
        <v>734</v>
      </c>
      <c r="Q419" s="4" t="s">
        <v>735</v>
      </c>
      <c r="R419" s="4" t="s">
        <v>730</v>
      </c>
      <c r="S419" s="2">
        <v>46174.810644016201</v>
      </c>
      <c r="T419" s="5">
        <v>8.3449074074074074E-6</v>
      </c>
      <c r="U419" s="4">
        <v>5.2984221838414669E-3</v>
      </c>
      <c r="V419" s="4" t="s">
        <v>763</v>
      </c>
      <c r="W419" s="4" t="s">
        <v>762</v>
      </c>
      <c r="X419" s="6" t="s">
        <v>617</v>
      </c>
    </row>
    <row r="420" spans="1:24">
      <c r="A420" s="4" t="s">
        <v>792</v>
      </c>
      <c r="B420" s="4" t="s">
        <v>793</v>
      </c>
      <c r="C420" s="4" t="s">
        <v>794</v>
      </c>
      <c r="D420" s="4" t="s">
        <v>716</v>
      </c>
      <c r="E420" s="4" t="s">
        <v>717</v>
      </c>
      <c r="M420" s="4" t="s">
        <v>614</v>
      </c>
      <c r="N420" s="4">
        <v>-71.600471499999998</v>
      </c>
      <c r="O420" s="4">
        <v>3.7714932000000001</v>
      </c>
      <c r="P420" s="4" t="s">
        <v>742</v>
      </c>
      <c r="Q420" s="4" t="s">
        <v>743</v>
      </c>
      <c r="R420" s="4" t="s">
        <v>730</v>
      </c>
      <c r="S420" s="2">
        <v>46174.845960648148</v>
      </c>
      <c r="T420" s="5">
        <v>5.7754629629629631E-3</v>
      </c>
      <c r="U420" s="4">
        <v>1.3223888527136296E-4</v>
      </c>
      <c r="V420" s="4" t="s">
        <v>616</v>
      </c>
      <c r="W420" s="4" t="s">
        <v>614</v>
      </c>
      <c r="X420" s="6" t="s">
        <v>617</v>
      </c>
    </row>
    <row r="421" spans="1:24">
      <c r="A421" s="4" t="s">
        <v>792</v>
      </c>
      <c r="B421" s="4" t="s">
        <v>793</v>
      </c>
      <c r="C421" s="4" t="s">
        <v>794</v>
      </c>
      <c r="D421" s="4" t="s">
        <v>716</v>
      </c>
      <c r="E421" s="4" t="s">
        <v>717</v>
      </c>
      <c r="M421" s="4" t="s">
        <v>614</v>
      </c>
      <c r="N421" s="4">
        <v>-71.621131899999995</v>
      </c>
      <c r="O421" s="4">
        <v>3.7726447599999999</v>
      </c>
      <c r="P421" s="4" t="s">
        <v>804</v>
      </c>
      <c r="Q421" s="4" t="s">
        <v>743</v>
      </c>
      <c r="R421" s="4" t="s">
        <v>730</v>
      </c>
      <c r="S421" s="2">
        <v>46174.897256944445</v>
      </c>
      <c r="T421" s="5">
        <v>8.1018518518518514E-3</v>
      </c>
      <c r="U421" s="4">
        <v>0</v>
      </c>
      <c r="V421" s="4" t="s">
        <v>616</v>
      </c>
      <c r="W421" s="4" t="s">
        <v>614</v>
      </c>
      <c r="X421" s="6" t="s">
        <v>617</v>
      </c>
    </row>
    <row r="422" spans="1:24">
      <c r="A422" s="4" t="s">
        <v>792</v>
      </c>
      <c r="B422" s="4" t="s">
        <v>793</v>
      </c>
      <c r="C422" s="4" t="s">
        <v>794</v>
      </c>
      <c r="D422" s="4" t="s">
        <v>716</v>
      </c>
      <c r="E422" s="4" t="s">
        <v>717</v>
      </c>
      <c r="M422" s="4" t="s">
        <v>754</v>
      </c>
      <c r="N422" s="4">
        <v>-71.621005999999994</v>
      </c>
      <c r="O422" s="4">
        <v>3.7728362049999999</v>
      </c>
      <c r="P422" s="4" t="s">
        <v>804</v>
      </c>
      <c r="Q422" s="4" t="s">
        <v>743</v>
      </c>
      <c r="R422" s="4" t="s">
        <v>730</v>
      </c>
      <c r="S422" s="2">
        <v>46174.906163194544</v>
      </c>
      <c r="T422" s="5">
        <v>1.0850694444444444E-4</v>
      </c>
      <c r="U422" s="4">
        <v>2.5715751573443413E-2</v>
      </c>
      <c r="V422" s="4" t="s">
        <v>791</v>
      </c>
      <c r="W422" s="4" t="s">
        <v>754</v>
      </c>
      <c r="X422" s="6" t="s">
        <v>617</v>
      </c>
    </row>
    <row r="423" spans="1:24">
      <c r="A423" s="4" t="s">
        <v>792</v>
      </c>
      <c r="B423" s="4" t="s">
        <v>793</v>
      </c>
      <c r="C423" s="4" t="s">
        <v>794</v>
      </c>
      <c r="D423" s="4" t="s">
        <v>716</v>
      </c>
      <c r="E423" s="4" t="s">
        <v>717</v>
      </c>
      <c r="M423" s="4" t="s">
        <v>754</v>
      </c>
      <c r="N423" s="4">
        <v>-71.621045423024995</v>
      </c>
      <c r="O423" s="4">
        <v>3.772948671395</v>
      </c>
      <c r="P423" s="4" t="s">
        <v>804</v>
      </c>
      <c r="Q423" s="4" t="s">
        <v>743</v>
      </c>
      <c r="R423" s="4" t="s">
        <v>730</v>
      </c>
      <c r="S423" s="2">
        <v>46174.906983020832</v>
      </c>
      <c r="T423" s="5">
        <v>3.665509259259259E-5</v>
      </c>
      <c r="U423" s="4">
        <v>8.6021833121776581E-3</v>
      </c>
      <c r="V423" s="4" t="s">
        <v>814</v>
      </c>
      <c r="W423" s="4" t="s">
        <v>754</v>
      </c>
      <c r="X423" s="6" t="s">
        <v>617</v>
      </c>
    </row>
    <row r="424" spans="1:24">
      <c r="A424" s="4" t="s">
        <v>792</v>
      </c>
      <c r="B424" s="4" t="s">
        <v>793</v>
      </c>
      <c r="C424" s="4" t="s">
        <v>794</v>
      </c>
      <c r="D424" s="4" t="s">
        <v>716</v>
      </c>
      <c r="E424" s="4" t="s">
        <v>717</v>
      </c>
      <c r="M424" s="4" t="s">
        <v>645</v>
      </c>
      <c r="N424" s="4">
        <v>-71.62523562341579</v>
      </c>
      <c r="O424" s="4">
        <v>3.7810526638942106</v>
      </c>
      <c r="P424" s="4" t="s">
        <v>759</v>
      </c>
      <c r="Q424" s="4" t="s">
        <v>760</v>
      </c>
      <c r="R424" s="4" t="s">
        <v>730</v>
      </c>
      <c r="S424" s="2">
        <v>46174.912950497688</v>
      </c>
      <c r="T424" s="5">
        <v>1.2675925925925927E-4</v>
      </c>
      <c r="U424" s="4">
        <v>4.8341318964958191E-2</v>
      </c>
      <c r="V424" s="4" t="s">
        <v>771</v>
      </c>
      <c r="W424" s="4" t="s">
        <v>645</v>
      </c>
      <c r="X424" s="6" t="s">
        <v>617</v>
      </c>
    </row>
    <row r="425" spans="1:24">
      <c r="A425" s="4" t="s">
        <v>792</v>
      </c>
      <c r="B425" s="4" t="s">
        <v>793</v>
      </c>
      <c r="C425" s="4" t="s">
        <v>794</v>
      </c>
      <c r="D425" s="4" t="s">
        <v>716</v>
      </c>
      <c r="E425" s="4" t="s">
        <v>717</v>
      </c>
      <c r="M425" s="4" t="s">
        <v>645</v>
      </c>
      <c r="N425" s="4">
        <v>-71.625718699999993</v>
      </c>
      <c r="O425" s="4">
        <v>3.7809632300000002</v>
      </c>
      <c r="P425" s="4" t="s">
        <v>759</v>
      </c>
      <c r="Q425" s="4" t="s">
        <v>760</v>
      </c>
      <c r="R425" s="4" t="s">
        <v>730</v>
      </c>
      <c r="S425" s="2">
        <v>46174.91310416667</v>
      </c>
      <c r="T425" s="5">
        <v>2.0364583333333332E-4</v>
      </c>
      <c r="U425" s="4">
        <v>7.3740497231483459E-2</v>
      </c>
      <c r="V425" s="4" t="s">
        <v>721</v>
      </c>
      <c r="W425" s="4" t="s">
        <v>645</v>
      </c>
      <c r="X425" s="6" t="s">
        <v>617</v>
      </c>
    </row>
    <row r="426" spans="1:24">
      <c r="A426" s="4" t="s">
        <v>792</v>
      </c>
      <c r="B426" s="4" t="s">
        <v>793</v>
      </c>
      <c r="C426" s="4" t="s">
        <v>794</v>
      </c>
      <c r="D426" s="4" t="s">
        <v>716</v>
      </c>
      <c r="E426" s="4" t="s">
        <v>717</v>
      </c>
      <c r="M426" s="4" t="s">
        <v>645</v>
      </c>
      <c r="N426" s="4">
        <v>-71.627848498900008</v>
      </c>
      <c r="O426" s="4">
        <v>3.7807999618650001</v>
      </c>
      <c r="P426" s="4" t="s">
        <v>834</v>
      </c>
      <c r="Q426" s="4" t="s">
        <v>746</v>
      </c>
      <c r="R426" s="4" t="s">
        <v>720</v>
      </c>
      <c r="S426" s="2">
        <v>46174.913727303239</v>
      </c>
      <c r="T426" s="5">
        <v>1.0874305555555555E-3</v>
      </c>
      <c r="U426" s="4">
        <v>0.53470879793167114</v>
      </c>
      <c r="V426" s="4" t="s">
        <v>738</v>
      </c>
      <c r="W426" s="4" t="s">
        <v>645</v>
      </c>
      <c r="X426" s="6" t="s">
        <v>617</v>
      </c>
    </row>
    <row r="427" spans="1:24">
      <c r="A427" s="4" t="s">
        <v>792</v>
      </c>
      <c r="B427" s="4" t="s">
        <v>793</v>
      </c>
      <c r="C427" s="4" t="s">
        <v>794</v>
      </c>
      <c r="D427" s="4" t="s">
        <v>716</v>
      </c>
      <c r="E427" s="4" t="s">
        <v>717</v>
      </c>
      <c r="M427" s="4" t="s">
        <v>754</v>
      </c>
      <c r="N427" s="4">
        <v>-71.629556830880006</v>
      </c>
      <c r="O427" s="4">
        <v>3.7760775419880002</v>
      </c>
      <c r="P427" s="4" t="s">
        <v>795</v>
      </c>
      <c r="Q427" s="4" t="s">
        <v>743</v>
      </c>
      <c r="R427" s="4" t="s">
        <v>730</v>
      </c>
      <c r="S427" s="2">
        <v>46174.916288935186</v>
      </c>
      <c r="T427" s="5">
        <v>9.9953703703703703E-5</v>
      </c>
      <c r="U427" s="4">
        <v>2.6601267978549004E-2</v>
      </c>
      <c r="V427" s="4" t="s">
        <v>815</v>
      </c>
      <c r="W427" s="4" t="s">
        <v>754</v>
      </c>
      <c r="X427" s="6" t="s">
        <v>617</v>
      </c>
    </row>
    <row r="428" spans="1:24">
      <c r="A428" s="4" t="s">
        <v>792</v>
      </c>
      <c r="B428" s="4" t="s">
        <v>793</v>
      </c>
      <c r="C428" s="4" t="s">
        <v>794</v>
      </c>
      <c r="D428" s="4" t="s">
        <v>716</v>
      </c>
      <c r="E428" s="4" t="s">
        <v>717</v>
      </c>
      <c r="M428" s="4" t="s">
        <v>614</v>
      </c>
      <c r="N428" s="4">
        <v>-71.629753100000002</v>
      </c>
      <c r="O428" s="4">
        <v>3.7760036000000001</v>
      </c>
      <c r="P428" s="4" t="s">
        <v>795</v>
      </c>
      <c r="Q428" s="4" t="s">
        <v>743</v>
      </c>
      <c r="R428" s="4" t="s">
        <v>730</v>
      </c>
      <c r="S428" s="2">
        <v>46174.916562500002</v>
      </c>
      <c r="T428" s="5">
        <v>5.347222222222222E-3</v>
      </c>
      <c r="U428" s="4">
        <v>0</v>
      </c>
      <c r="V428" s="4" t="s">
        <v>616</v>
      </c>
      <c r="W428" s="4" t="s">
        <v>614</v>
      </c>
      <c r="X428" s="6" t="s">
        <v>617</v>
      </c>
    </row>
    <row r="429" spans="1:24">
      <c r="A429" s="4" t="s">
        <v>792</v>
      </c>
      <c r="B429" s="4" t="s">
        <v>793</v>
      </c>
      <c r="C429" s="4" t="s">
        <v>794</v>
      </c>
      <c r="D429" s="4" t="s">
        <v>716</v>
      </c>
      <c r="E429" s="4" t="s">
        <v>717</v>
      </c>
      <c r="M429" s="4" t="s">
        <v>645</v>
      </c>
      <c r="N429" s="4">
        <v>-71.629897967760002</v>
      </c>
      <c r="O429" s="4">
        <v>3.7771398380160002</v>
      </c>
      <c r="P429" s="4" t="s">
        <v>797</v>
      </c>
      <c r="Q429" s="4" t="s">
        <v>746</v>
      </c>
      <c r="R429" s="4" t="s">
        <v>720</v>
      </c>
      <c r="S429" s="2">
        <v>46174.922418564813</v>
      </c>
      <c r="T429" s="5">
        <v>1.0267245370370369E-3</v>
      </c>
      <c r="U429" s="4">
        <v>0.53702408075332642</v>
      </c>
      <c r="V429" s="4" t="s">
        <v>789</v>
      </c>
      <c r="W429" s="4" t="s">
        <v>645</v>
      </c>
      <c r="X429" s="6" t="s">
        <v>617</v>
      </c>
    </row>
    <row r="430" spans="1:24">
      <c r="A430" s="4" t="s">
        <v>792</v>
      </c>
      <c r="B430" s="4" t="s">
        <v>793</v>
      </c>
      <c r="C430" s="4" t="s">
        <v>794</v>
      </c>
      <c r="D430" s="4" t="s">
        <v>716</v>
      </c>
      <c r="E430" s="4" t="s">
        <v>717</v>
      </c>
      <c r="M430" s="4" t="s">
        <v>656</v>
      </c>
      <c r="N430" s="4">
        <v>-71.633949299999998</v>
      </c>
      <c r="O430" s="4">
        <v>3.78400874</v>
      </c>
      <c r="P430" s="4" t="s">
        <v>734</v>
      </c>
      <c r="Q430" s="4" t="s">
        <v>735</v>
      </c>
      <c r="R430" s="4" t="s">
        <v>730</v>
      </c>
      <c r="S430" s="2">
        <v>46174.925000000003</v>
      </c>
      <c r="T430" s="5">
        <v>6.5277777777777773E-4</v>
      </c>
      <c r="U430" s="4">
        <v>0.31224039196968079</v>
      </c>
      <c r="V430" s="4" t="s">
        <v>833</v>
      </c>
      <c r="W430" s="4" t="s">
        <v>656</v>
      </c>
      <c r="X430" s="6" t="s">
        <v>617</v>
      </c>
    </row>
    <row r="431" spans="1:24">
      <c r="A431" s="4" t="s">
        <v>792</v>
      </c>
      <c r="B431" s="4" t="s">
        <v>793</v>
      </c>
      <c r="C431" s="4" t="s">
        <v>794</v>
      </c>
      <c r="D431" s="4" t="s">
        <v>716</v>
      </c>
      <c r="E431" s="4" t="s">
        <v>717</v>
      </c>
      <c r="M431" s="4" t="s">
        <v>645</v>
      </c>
      <c r="N431" s="4">
        <v>-71.63450004154285</v>
      </c>
      <c r="O431" s="4">
        <v>3.7813717047542861</v>
      </c>
      <c r="P431" s="4" t="s">
        <v>800</v>
      </c>
      <c r="Q431" s="4" t="s">
        <v>746</v>
      </c>
      <c r="R431" s="4" t="s">
        <v>720</v>
      </c>
      <c r="S431" s="2">
        <v>46174.925743101849</v>
      </c>
      <c r="T431" s="5">
        <v>5.3004629629629626E-4</v>
      </c>
      <c r="U431" s="4">
        <v>0.15075221657752991</v>
      </c>
      <c r="V431" s="4" t="s">
        <v>666</v>
      </c>
      <c r="W431" s="4" t="s">
        <v>645</v>
      </c>
      <c r="X431" s="6" t="s">
        <v>617</v>
      </c>
    </row>
    <row r="432" spans="1:24">
      <c r="A432" s="4" t="s">
        <v>792</v>
      </c>
      <c r="B432" s="4" t="s">
        <v>793</v>
      </c>
      <c r="C432" s="4" t="s">
        <v>794</v>
      </c>
      <c r="D432" s="4" t="s">
        <v>716</v>
      </c>
      <c r="E432" s="4" t="s">
        <v>717</v>
      </c>
      <c r="M432" s="4" t="s">
        <v>645</v>
      </c>
      <c r="N432" s="4">
        <v>-71.633422899999999</v>
      </c>
      <c r="O432" s="4">
        <v>3.7810144399999999</v>
      </c>
      <c r="P432" s="4" t="s">
        <v>800</v>
      </c>
      <c r="Q432" s="4" t="s">
        <v>746</v>
      </c>
      <c r="R432" s="4" t="s">
        <v>720</v>
      </c>
      <c r="S432" s="2">
        <v>46174.958136574074</v>
      </c>
      <c r="T432" s="5">
        <v>1.1574074074074075E-4</v>
      </c>
      <c r="U432" s="4">
        <v>3.4105021506547928E-2</v>
      </c>
      <c r="V432" s="4" t="s">
        <v>728</v>
      </c>
      <c r="W432" s="4" t="s">
        <v>645</v>
      </c>
      <c r="X432" s="6" t="s">
        <v>617</v>
      </c>
    </row>
    <row r="433" spans="1:24">
      <c r="A433" s="4" t="s">
        <v>792</v>
      </c>
      <c r="B433" s="4" t="s">
        <v>793</v>
      </c>
      <c r="C433" s="4" t="s">
        <v>794</v>
      </c>
      <c r="D433" s="4" t="s">
        <v>716</v>
      </c>
      <c r="E433" s="4" t="s">
        <v>717</v>
      </c>
      <c r="M433" s="4" t="s">
        <v>645</v>
      </c>
      <c r="N433" s="4">
        <v>-71.6337051</v>
      </c>
      <c r="O433" s="4">
        <v>3.7811365100000001</v>
      </c>
      <c r="P433" s="4" t="s">
        <v>800</v>
      </c>
      <c r="Q433" s="4" t="s">
        <v>746</v>
      </c>
      <c r="R433" s="4" t="s">
        <v>720</v>
      </c>
      <c r="S433" s="2">
        <v>46174.958252314813</v>
      </c>
      <c r="T433" s="5">
        <v>3.0840277777777778E-4</v>
      </c>
      <c r="U433" s="4">
        <v>9.4684794545173645E-2</v>
      </c>
      <c r="V433" s="4" t="s">
        <v>666</v>
      </c>
      <c r="W433" s="4" t="s">
        <v>645</v>
      </c>
      <c r="X433" s="6" t="s">
        <v>617</v>
      </c>
    </row>
    <row r="434" spans="1:24">
      <c r="A434" s="4" t="s">
        <v>792</v>
      </c>
      <c r="B434" s="4" t="s">
        <v>793</v>
      </c>
      <c r="C434" s="4" t="s">
        <v>794</v>
      </c>
      <c r="D434" s="4" t="s">
        <v>716</v>
      </c>
      <c r="E434" s="4" t="s">
        <v>717</v>
      </c>
      <c r="M434" s="4" t="s">
        <v>634</v>
      </c>
      <c r="N434" s="4">
        <v>-71.63427734375</v>
      </c>
      <c r="O434" s="4">
        <v>3.7812104225158691</v>
      </c>
      <c r="P434" s="4" t="s">
        <v>800</v>
      </c>
      <c r="Q434" s="4" t="s">
        <v>746</v>
      </c>
      <c r="R434" s="4" t="s">
        <v>720</v>
      </c>
      <c r="S434" s="2">
        <v>46174.958494270832</v>
      </c>
      <c r="T434" s="5">
        <v>0</v>
      </c>
      <c r="U434" s="4">
        <v>0</v>
      </c>
      <c r="V434" s="4" t="s">
        <v>835</v>
      </c>
      <c r="W434" s="4" t="s">
        <v>634</v>
      </c>
      <c r="X434" s="6" t="s">
        <v>617</v>
      </c>
    </row>
    <row r="435" spans="1:24">
      <c r="A435" s="4" t="s">
        <v>792</v>
      </c>
      <c r="B435" s="4" t="s">
        <v>793</v>
      </c>
      <c r="C435" s="4" t="s">
        <v>794</v>
      </c>
      <c r="D435" s="4" t="s">
        <v>716</v>
      </c>
      <c r="E435" s="4" t="s">
        <v>717</v>
      </c>
      <c r="M435" s="4" t="s">
        <v>634</v>
      </c>
      <c r="N435" s="4">
        <v>-71.634529113769531</v>
      </c>
      <c r="O435" s="4">
        <v>3.7816336154937744</v>
      </c>
      <c r="P435" s="4" t="s">
        <v>742</v>
      </c>
      <c r="Q435" s="4" t="s">
        <v>743</v>
      </c>
      <c r="R435" s="4" t="s">
        <v>730</v>
      </c>
      <c r="S435" s="2">
        <v>46174.95872386574</v>
      </c>
      <c r="T435" s="5">
        <v>5.5947453703703706E-3</v>
      </c>
      <c r="U435" s="4">
        <v>0.28321126103401184</v>
      </c>
      <c r="V435" s="4" t="s">
        <v>836</v>
      </c>
      <c r="W435" s="4" t="s">
        <v>634</v>
      </c>
      <c r="X435" s="6" t="s">
        <v>617</v>
      </c>
    </row>
    <row r="436" spans="1:24">
      <c r="A436" s="4" t="s">
        <v>792</v>
      </c>
      <c r="B436" s="4" t="s">
        <v>793</v>
      </c>
      <c r="C436" s="4" t="s">
        <v>794</v>
      </c>
      <c r="D436" s="4" t="s">
        <v>716</v>
      </c>
      <c r="E436" s="4" t="s">
        <v>717</v>
      </c>
      <c r="M436" s="4" t="s">
        <v>837</v>
      </c>
      <c r="N436" s="4">
        <v>-71.634529113769531</v>
      </c>
      <c r="O436" s="4">
        <v>3.7816336154937744</v>
      </c>
      <c r="P436" s="4" t="s">
        <v>742</v>
      </c>
      <c r="Q436" s="4" t="s">
        <v>743</v>
      </c>
      <c r="R436" s="4" t="s">
        <v>730</v>
      </c>
      <c r="S436" s="2">
        <v>46174.95872386574</v>
      </c>
      <c r="T436" s="5">
        <v>5.5947453703703706E-3</v>
      </c>
      <c r="U436" s="4">
        <v>0.28321126103401184</v>
      </c>
      <c r="V436" s="4" t="s">
        <v>836</v>
      </c>
      <c r="W436" s="4" t="s">
        <v>837</v>
      </c>
      <c r="X436" s="6" t="s">
        <v>617</v>
      </c>
    </row>
    <row r="437" spans="1:24">
      <c r="A437" s="4" t="s">
        <v>792</v>
      </c>
      <c r="B437" s="4" t="s">
        <v>793</v>
      </c>
      <c r="C437" s="4" t="s">
        <v>794</v>
      </c>
      <c r="D437" s="4" t="s">
        <v>716</v>
      </c>
      <c r="E437" s="4" t="s">
        <v>717</v>
      </c>
      <c r="M437" s="4" t="s">
        <v>634</v>
      </c>
      <c r="N437" s="4">
        <v>-71.634422302246094</v>
      </c>
      <c r="O437" s="4">
        <v>3.7818613052368164</v>
      </c>
      <c r="P437" s="4" t="s">
        <v>742</v>
      </c>
      <c r="Q437" s="4" t="s">
        <v>743</v>
      </c>
      <c r="R437" s="4" t="s">
        <v>730</v>
      </c>
      <c r="S437" s="2">
        <v>46174.960102175923</v>
      </c>
      <c r="T437" s="5">
        <v>0</v>
      </c>
      <c r="U437" s="4">
        <v>0</v>
      </c>
      <c r="V437" s="4" t="s">
        <v>835</v>
      </c>
      <c r="W437" s="4" t="s">
        <v>634</v>
      </c>
      <c r="X437" s="6" t="s">
        <v>617</v>
      </c>
    </row>
    <row r="438" spans="1:24">
      <c r="A438" s="4" t="s">
        <v>792</v>
      </c>
      <c r="B438" s="4" t="s">
        <v>793</v>
      </c>
      <c r="C438" s="4" t="s">
        <v>794</v>
      </c>
      <c r="D438" s="4" t="s">
        <v>716</v>
      </c>
      <c r="E438" s="4" t="s">
        <v>717</v>
      </c>
      <c r="M438" s="4" t="s">
        <v>645</v>
      </c>
      <c r="N438" s="4">
        <v>-71.634254475000006</v>
      </c>
      <c r="O438" s="4">
        <v>3.7812312800000001</v>
      </c>
      <c r="P438" s="4" t="s">
        <v>800</v>
      </c>
      <c r="Q438" s="4" t="s">
        <v>746</v>
      </c>
      <c r="R438" s="4" t="s">
        <v>720</v>
      </c>
      <c r="S438" s="2">
        <v>46174.963330439816</v>
      </c>
      <c r="T438" s="5">
        <v>8.3912037037037031E-5</v>
      </c>
      <c r="U438" s="4">
        <v>2.1446706727147102E-2</v>
      </c>
      <c r="V438" s="4" t="s">
        <v>724</v>
      </c>
      <c r="W438" s="4" t="s">
        <v>645</v>
      </c>
      <c r="X438" s="6" t="s">
        <v>617</v>
      </c>
    </row>
    <row r="439" spans="1:24">
      <c r="A439" s="4" t="s">
        <v>792</v>
      </c>
      <c r="B439" s="4" t="s">
        <v>793</v>
      </c>
      <c r="C439" s="4" t="s">
        <v>794</v>
      </c>
      <c r="D439" s="4" t="s">
        <v>716</v>
      </c>
      <c r="E439" s="4" t="s">
        <v>717</v>
      </c>
      <c r="M439" s="4" t="s">
        <v>645</v>
      </c>
      <c r="N439" s="4">
        <v>-71.633832341900003</v>
      </c>
      <c r="O439" s="4">
        <v>3.7811063925263158</v>
      </c>
      <c r="P439" s="4" t="s">
        <v>800</v>
      </c>
      <c r="Q439" s="4" t="s">
        <v>746</v>
      </c>
      <c r="R439" s="4" t="s">
        <v>720</v>
      </c>
      <c r="S439" s="2">
        <v>46174.963522372687</v>
      </c>
      <c r="T439" s="5">
        <v>2.3341435185185187E-4</v>
      </c>
      <c r="U439" s="4">
        <v>5.8899704366922379E-2</v>
      </c>
      <c r="V439" s="4" t="s">
        <v>728</v>
      </c>
      <c r="W439" s="4" t="s">
        <v>645</v>
      </c>
      <c r="X439" s="6" t="s">
        <v>617</v>
      </c>
    </row>
    <row r="440" spans="1:24">
      <c r="A440" s="4" t="s">
        <v>792</v>
      </c>
      <c r="B440" s="4" t="s">
        <v>793</v>
      </c>
      <c r="C440" s="4" t="s">
        <v>794</v>
      </c>
      <c r="D440" s="4" t="s">
        <v>716</v>
      </c>
      <c r="E440" s="4" t="s">
        <v>717</v>
      </c>
      <c r="M440" s="4" t="s">
        <v>645</v>
      </c>
      <c r="N440" s="4">
        <v>-71.633438100000006</v>
      </c>
      <c r="O440" s="4">
        <v>3.7809920300000002</v>
      </c>
      <c r="P440" s="4" t="s">
        <v>800</v>
      </c>
      <c r="Q440" s="4" t="s">
        <v>746</v>
      </c>
      <c r="R440" s="4" t="s">
        <v>720</v>
      </c>
      <c r="S440" s="2">
        <v>46174.967037037037</v>
      </c>
      <c r="T440" s="5">
        <v>4.0741898148148148E-4</v>
      </c>
      <c r="U440" s="4">
        <v>0.12728102505207062</v>
      </c>
      <c r="V440" s="4" t="s">
        <v>666</v>
      </c>
      <c r="W440" s="4" t="s">
        <v>645</v>
      </c>
      <c r="X440" s="6" t="s">
        <v>617</v>
      </c>
    </row>
    <row r="441" spans="1:24">
      <c r="A441" s="4" t="s">
        <v>792</v>
      </c>
      <c r="B441" s="4" t="s">
        <v>793</v>
      </c>
      <c r="C441" s="4" t="s">
        <v>794</v>
      </c>
      <c r="D441" s="4" t="s">
        <v>716</v>
      </c>
      <c r="E441" s="4" t="s">
        <v>717</v>
      </c>
      <c r="M441" s="4" t="s">
        <v>634</v>
      </c>
      <c r="N441" s="4">
        <v>-71.634483337402344</v>
      </c>
      <c r="O441" s="4">
        <v>3.781339168548584</v>
      </c>
      <c r="P441" s="4" t="s">
        <v>800</v>
      </c>
      <c r="Q441" s="4" t="s">
        <v>746</v>
      </c>
      <c r="R441" s="4" t="s">
        <v>720</v>
      </c>
      <c r="S441" s="2">
        <v>46174.967509629627</v>
      </c>
      <c r="T441" s="5">
        <v>0</v>
      </c>
      <c r="U441" s="4">
        <v>0</v>
      </c>
      <c r="V441" s="4" t="s">
        <v>835</v>
      </c>
      <c r="W441" s="4" t="s">
        <v>634</v>
      </c>
      <c r="X441" s="6" t="s">
        <v>617</v>
      </c>
    </row>
    <row r="442" spans="1:24">
      <c r="A442" s="4" t="s">
        <v>792</v>
      </c>
      <c r="B442" s="4" t="s">
        <v>793</v>
      </c>
      <c r="C442" s="4" t="s">
        <v>794</v>
      </c>
      <c r="D442" s="4" t="s">
        <v>716</v>
      </c>
      <c r="E442" s="4" t="s">
        <v>717</v>
      </c>
      <c r="M442" s="4" t="s">
        <v>656</v>
      </c>
      <c r="N442" s="4">
        <v>-71.634590099999997</v>
      </c>
      <c r="O442" s="4">
        <v>3.78154755</v>
      </c>
      <c r="P442" s="4" t="s">
        <v>742</v>
      </c>
      <c r="Q442" s="4" t="s">
        <v>743</v>
      </c>
      <c r="R442" s="4" t="s">
        <v>730</v>
      </c>
      <c r="S442" s="2">
        <v>46174.967546296299</v>
      </c>
      <c r="T442" s="5">
        <v>1.4930555555555555E-4</v>
      </c>
      <c r="U442" s="4">
        <v>4.1339889168739319E-2</v>
      </c>
      <c r="V442" s="4" t="s">
        <v>838</v>
      </c>
      <c r="W442" s="4" t="s">
        <v>656</v>
      </c>
      <c r="X442" s="6" t="s">
        <v>617</v>
      </c>
    </row>
    <row r="443" spans="1:24">
      <c r="A443" s="4" t="s">
        <v>792</v>
      </c>
      <c r="B443" s="4" t="s">
        <v>793</v>
      </c>
      <c r="C443" s="4" t="s">
        <v>794</v>
      </c>
      <c r="D443" s="4" t="s">
        <v>716</v>
      </c>
      <c r="E443" s="4" t="s">
        <v>717</v>
      </c>
      <c r="M443" s="4" t="s">
        <v>837</v>
      </c>
      <c r="N443" s="4">
        <v>-71.634353637695313</v>
      </c>
      <c r="O443" s="4">
        <v>3.7819209098815918</v>
      </c>
      <c r="P443" s="4" t="s">
        <v>742</v>
      </c>
      <c r="Q443" s="4" t="s">
        <v>743</v>
      </c>
      <c r="R443" s="4" t="s">
        <v>730</v>
      </c>
      <c r="S443" s="2">
        <v>46174.967739803244</v>
      </c>
      <c r="T443" s="5">
        <v>0.23825599537037037</v>
      </c>
      <c r="U443" s="4">
        <v>66.492233276367188</v>
      </c>
      <c r="V443" s="4" t="s">
        <v>836</v>
      </c>
      <c r="W443" s="4" t="s">
        <v>837</v>
      </c>
      <c r="X443" s="6" t="s">
        <v>617</v>
      </c>
    </row>
    <row r="444" spans="1:24">
      <c r="A444" s="4" t="s">
        <v>792</v>
      </c>
      <c r="B444" s="4" t="s">
        <v>793</v>
      </c>
      <c r="C444" s="4" t="s">
        <v>794</v>
      </c>
      <c r="D444" s="4" t="s">
        <v>716</v>
      </c>
      <c r="E444" s="4" t="s">
        <v>717</v>
      </c>
      <c r="M444" s="4" t="s">
        <v>634</v>
      </c>
      <c r="N444" s="4">
        <v>-71.634353637695313</v>
      </c>
      <c r="O444" s="4">
        <v>3.7819209098815918</v>
      </c>
      <c r="P444" s="4" t="s">
        <v>742</v>
      </c>
      <c r="Q444" s="4" t="s">
        <v>743</v>
      </c>
      <c r="R444" s="4" t="s">
        <v>730</v>
      </c>
      <c r="S444" s="2">
        <v>46174.967739803244</v>
      </c>
      <c r="T444" s="5">
        <v>0.23825599537037037</v>
      </c>
      <c r="U444" s="4">
        <v>66.492233276367188</v>
      </c>
      <c r="V444" s="4" t="s">
        <v>836</v>
      </c>
      <c r="W444" s="4" t="s">
        <v>634</v>
      </c>
      <c r="X444" s="6" t="s">
        <v>617</v>
      </c>
    </row>
    <row r="445" spans="1:24">
      <c r="A445" s="4" t="s">
        <v>792</v>
      </c>
      <c r="B445" s="4" t="s">
        <v>793</v>
      </c>
      <c r="C445" s="4" t="s">
        <v>794</v>
      </c>
      <c r="D445" s="4" t="s">
        <v>716</v>
      </c>
      <c r="E445" s="4" t="s">
        <v>717</v>
      </c>
      <c r="M445" s="4" t="s">
        <v>656</v>
      </c>
      <c r="N445" s="4">
        <v>-71.634269355000001</v>
      </c>
      <c r="O445" s="4">
        <v>3.7820148085</v>
      </c>
      <c r="P445" s="4" t="s">
        <v>742</v>
      </c>
      <c r="Q445" s="4" t="s">
        <v>743</v>
      </c>
      <c r="R445" s="4" t="s">
        <v>730</v>
      </c>
      <c r="S445" s="2">
        <v>46174.968075810182</v>
      </c>
      <c r="T445" s="5">
        <v>5.7002314814814817E-4</v>
      </c>
      <c r="U445" s="4">
        <v>0.25083208084106445</v>
      </c>
      <c r="V445" s="4" t="s">
        <v>829</v>
      </c>
      <c r="W445" s="4" t="s">
        <v>656</v>
      </c>
      <c r="X445" s="6" t="s">
        <v>617</v>
      </c>
    </row>
    <row r="446" spans="1:24">
      <c r="A446" s="4" t="s">
        <v>792</v>
      </c>
      <c r="B446" s="4" t="s">
        <v>793</v>
      </c>
      <c r="C446" s="4" t="s">
        <v>794</v>
      </c>
      <c r="D446" s="4" t="s">
        <v>716</v>
      </c>
      <c r="E446" s="4" t="s">
        <v>717</v>
      </c>
      <c r="M446" s="4" t="s">
        <v>645</v>
      </c>
      <c r="N446" s="4">
        <v>-71.635059549999994</v>
      </c>
      <c r="O446" s="4">
        <v>3.7842600854800001</v>
      </c>
      <c r="P446" s="4" t="s">
        <v>718</v>
      </c>
      <c r="Q446" s="4" t="s">
        <v>719</v>
      </c>
      <c r="R446" s="4" t="s">
        <v>720</v>
      </c>
      <c r="S446" s="2">
        <v>46174.968832407409</v>
      </c>
      <c r="T446" s="5">
        <v>3.1400462962962963E-4</v>
      </c>
      <c r="U446" s="4">
        <v>0.18354314565658569</v>
      </c>
      <c r="V446" s="4" t="s">
        <v>789</v>
      </c>
      <c r="W446" s="4" t="s">
        <v>645</v>
      </c>
      <c r="X446" s="6" t="s">
        <v>617</v>
      </c>
    </row>
    <row r="447" spans="1:24">
      <c r="A447" s="4" t="s">
        <v>792</v>
      </c>
      <c r="B447" s="4" t="s">
        <v>793</v>
      </c>
      <c r="C447" s="4" t="s">
        <v>794</v>
      </c>
      <c r="D447" s="4" t="s">
        <v>716</v>
      </c>
      <c r="E447" s="4" t="s">
        <v>717</v>
      </c>
      <c r="M447" s="4" t="s">
        <v>614</v>
      </c>
      <c r="N447" s="4">
        <v>-71.618530300000003</v>
      </c>
      <c r="O447" s="4">
        <v>3.7002632599999998</v>
      </c>
      <c r="P447" s="4" t="s">
        <v>839</v>
      </c>
      <c r="Q447" s="4" t="s">
        <v>743</v>
      </c>
      <c r="R447" s="4" t="s">
        <v>730</v>
      </c>
      <c r="S447" s="2">
        <v>46174.987916666665</v>
      </c>
      <c r="T447" s="5">
        <v>9.2592592592592587E-3</v>
      </c>
      <c r="U447" s="4">
        <v>0</v>
      </c>
      <c r="V447" s="4" t="s">
        <v>616</v>
      </c>
      <c r="W447" s="4" t="s">
        <v>614</v>
      </c>
      <c r="X447" s="6" t="s">
        <v>617</v>
      </c>
    </row>
    <row r="448" spans="1:24">
      <c r="A448" s="4" t="s">
        <v>792</v>
      </c>
      <c r="B448" s="4" t="s">
        <v>793</v>
      </c>
      <c r="C448" s="4" t="s">
        <v>794</v>
      </c>
      <c r="D448" s="4" t="s">
        <v>716</v>
      </c>
      <c r="E448" s="4" t="s">
        <v>717</v>
      </c>
      <c r="M448" s="4" t="s">
        <v>757</v>
      </c>
      <c r="N448" s="4">
        <v>-71.621984499999996</v>
      </c>
      <c r="O448" s="4">
        <v>3.7026129375000001</v>
      </c>
      <c r="P448" s="4" t="s">
        <v>839</v>
      </c>
      <c r="Q448" s="4" t="s">
        <v>743</v>
      </c>
      <c r="R448" s="4" t="s">
        <v>730</v>
      </c>
      <c r="S448" s="2">
        <v>46174.998975694543</v>
      </c>
      <c r="T448" s="5">
        <v>1.542824074074074E-5</v>
      </c>
      <c r="U448" s="4">
        <v>1.4226752333343029E-2</v>
      </c>
      <c r="V448" s="4" t="s">
        <v>758</v>
      </c>
      <c r="W448" s="4" t="s">
        <v>757</v>
      </c>
      <c r="X448" s="6" t="s">
        <v>617</v>
      </c>
    </row>
    <row r="449" spans="1:24">
      <c r="A449" s="4" t="s">
        <v>840</v>
      </c>
      <c r="B449" s="4" t="s">
        <v>841</v>
      </c>
      <c r="D449" s="4" t="s">
        <v>716</v>
      </c>
      <c r="E449" s="4" t="s">
        <v>717</v>
      </c>
      <c r="M449" s="4" t="s">
        <v>762</v>
      </c>
      <c r="N449" s="4">
        <v>-71.646491999999995</v>
      </c>
      <c r="O449" s="4">
        <v>3.7799420399999999</v>
      </c>
      <c r="P449" s="4" t="s">
        <v>734</v>
      </c>
      <c r="Q449" s="4" t="s">
        <v>735</v>
      </c>
      <c r="R449" s="4" t="s">
        <v>730</v>
      </c>
      <c r="S449" s="2">
        <v>46174.263285868059</v>
      </c>
      <c r="T449" s="5">
        <v>1.3354166666666666E-4</v>
      </c>
      <c r="U449" s="4">
        <v>0.13265414535999298</v>
      </c>
      <c r="V449" s="4" t="s">
        <v>842</v>
      </c>
      <c r="W449" s="4" t="s">
        <v>762</v>
      </c>
      <c r="X449" s="6" t="s">
        <v>617</v>
      </c>
    </row>
    <row r="450" spans="1:24">
      <c r="A450" s="4" t="s">
        <v>840</v>
      </c>
      <c r="B450" s="4" t="s">
        <v>841</v>
      </c>
      <c r="D450" s="4" t="s">
        <v>716</v>
      </c>
      <c r="E450" s="4" t="s">
        <v>717</v>
      </c>
      <c r="M450" s="4" t="s">
        <v>757</v>
      </c>
      <c r="N450" s="4">
        <v>-71.646330379455136</v>
      </c>
      <c r="O450" s="4">
        <v>3.7801013895026245</v>
      </c>
      <c r="P450" s="4" t="s">
        <v>734</v>
      </c>
      <c r="Q450" s="4" t="s">
        <v>735</v>
      </c>
      <c r="R450" s="4" t="s">
        <v>730</v>
      </c>
      <c r="S450" s="2">
        <v>46174.263313113428</v>
      </c>
      <c r="T450" s="5">
        <v>7.703703703703704E-5</v>
      </c>
      <c r="U450" s="4">
        <v>8.0934479832649231E-2</v>
      </c>
      <c r="V450" s="4" t="s">
        <v>842</v>
      </c>
      <c r="W450" s="4" t="s">
        <v>757</v>
      </c>
      <c r="X450" s="6" t="s">
        <v>617</v>
      </c>
    </row>
    <row r="451" spans="1:24">
      <c r="A451" s="4" t="s">
        <v>840</v>
      </c>
      <c r="B451" s="4" t="s">
        <v>841</v>
      </c>
      <c r="D451" s="4" t="s">
        <v>716</v>
      </c>
      <c r="E451" s="4" t="s">
        <v>717</v>
      </c>
      <c r="M451" s="4" t="s">
        <v>762</v>
      </c>
      <c r="N451" s="4">
        <v>-71.644744822029665</v>
      </c>
      <c r="O451" s="4">
        <v>3.7815442302282953</v>
      </c>
      <c r="P451" s="4" t="s">
        <v>734</v>
      </c>
      <c r="Q451" s="4" t="s">
        <v>735</v>
      </c>
      <c r="R451" s="4" t="s">
        <v>730</v>
      </c>
      <c r="S451" s="2">
        <v>46174.263702662036</v>
      </c>
      <c r="T451" s="5">
        <v>8.1006944444444448E-5</v>
      </c>
      <c r="U451" s="4">
        <v>6.0546465218067169E-2</v>
      </c>
      <c r="V451" s="4" t="s">
        <v>843</v>
      </c>
      <c r="W451" s="4" t="s">
        <v>762</v>
      </c>
      <c r="X451" s="6" t="s">
        <v>617</v>
      </c>
    </row>
    <row r="452" spans="1:24">
      <c r="A452" s="4" t="s">
        <v>840</v>
      </c>
      <c r="B452" s="4" t="s">
        <v>841</v>
      </c>
      <c r="D452" s="4" t="s">
        <v>716</v>
      </c>
      <c r="E452" s="4" t="s">
        <v>717</v>
      </c>
      <c r="M452" s="4" t="s">
        <v>762</v>
      </c>
      <c r="N452" s="4">
        <v>-71.643299454545456</v>
      </c>
      <c r="O452" s="4">
        <v>3.7838271099999998</v>
      </c>
      <c r="P452" s="4" t="s">
        <v>734</v>
      </c>
      <c r="Q452" s="4" t="s">
        <v>735</v>
      </c>
      <c r="R452" s="4" t="s">
        <v>730</v>
      </c>
      <c r="S452" s="2">
        <v>46174.26431608796</v>
      </c>
      <c r="T452" s="5">
        <v>1.3879629629629629E-4</v>
      </c>
      <c r="U452" s="4">
        <v>0.10378944873809814</v>
      </c>
      <c r="V452" s="4" t="s">
        <v>844</v>
      </c>
      <c r="W452" s="4" t="s">
        <v>762</v>
      </c>
      <c r="X452" s="6" t="s">
        <v>617</v>
      </c>
    </row>
    <row r="453" spans="1:24">
      <c r="A453" s="4" t="s">
        <v>840</v>
      </c>
      <c r="B453" s="4" t="s">
        <v>841</v>
      </c>
      <c r="D453" s="4" t="s">
        <v>716</v>
      </c>
      <c r="E453" s="4" t="s">
        <v>717</v>
      </c>
      <c r="M453" s="4" t="s">
        <v>762</v>
      </c>
      <c r="N453" s="4">
        <v>-71.640757338977778</v>
      </c>
      <c r="O453" s="4">
        <v>3.78464892576</v>
      </c>
      <c r="P453" s="4" t="s">
        <v>734</v>
      </c>
      <c r="Q453" s="4" t="s">
        <v>735</v>
      </c>
      <c r="R453" s="4" t="s">
        <v>730</v>
      </c>
      <c r="S453" s="2">
        <v>46174.264864826386</v>
      </c>
      <c r="T453" s="5">
        <v>6.66087962962963E-5</v>
      </c>
      <c r="U453" s="4">
        <v>4.9795392900705338E-2</v>
      </c>
      <c r="V453" s="4" t="s">
        <v>781</v>
      </c>
      <c r="W453" s="4" t="s">
        <v>762</v>
      </c>
      <c r="X453" s="6" t="s">
        <v>617</v>
      </c>
    </row>
    <row r="454" spans="1:24">
      <c r="A454" s="4" t="s">
        <v>840</v>
      </c>
      <c r="B454" s="4" t="s">
        <v>841</v>
      </c>
      <c r="D454" s="4" t="s">
        <v>716</v>
      </c>
      <c r="E454" s="4" t="s">
        <v>717</v>
      </c>
      <c r="M454" s="4" t="s">
        <v>762</v>
      </c>
      <c r="N454" s="4">
        <v>-71.639740000000003</v>
      </c>
      <c r="O454" s="4">
        <v>3.78455853</v>
      </c>
      <c r="P454" s="4" t="s">
        <v>734</v>
      </c>
      <c r="Q454" s="4" t="s">
        <v>735</v>
      </c>
      <c r="R454" s="4" t="s">
        <v>730</v>
      </c>
      <c r="S454" s="2">
        <v>46174.26504525463</v>
      </c>
      <c r="T454" s="5">
        <v>2.7313657407407408E-4</v>
      </c>
      <c r="U454" s="4">
        <v>0.21304149925708771</v>
      </c>
      <c r="V454" s="4" t="s">
        <v>780</v>
      </c>
      <c r="W454" s="4" t="s">
        <v>762</v>
      </c>
      <c r="X454" s="6" t="s">
        <v>617</v>
      </c>
    </row>
    <row r="455" spans="1:24">
      <c r="A455" s="4" t="s">
        <v>840</v>
      </c>
      <c r="B455" s="4" t="s">
        <v>841</v>
      </c>
      <c r="D455" s="4" t="s">
        <v>716</v>
      </c>
      <c r="E455" s="4" t="s">
        <v>717</v>
      </c>
      <c r="M455" s="4" t="s">
        <v>645</v>
      </c>
      <c r="N455" s="4">
        <v>-71.636698494821061</v>
      </c>
      <c r="O455" s="4">
        <v>3.7842944694871061</v>
      </c>
      <c r="P455" s="4" t="s">
        <v>718</v>
      </c>
      <c r="Q455" s="4" t="s">
        <v>719</v>
      </c>
      <c r="R455" s="4" t="s">
        <v>720</v>
      </c>
      <c r="S455" s="2">
        <v>46174.265561979169</v>
      </c>
      <c r="T455" s="5">
        <v>3.2891203703703706E-4</v>
      </c>
      <c r="U455" s="4">
        <v>0.18423068523406982</v>
      </c>
      <c r="V455" s="4" t="s">
        <v>738</v>
      </c>
      <c r="W455" s="4" t="s">
        <v>645</v>
      </c>
      <c r="X455" s="6" t="s">
        <v>617</v>
      </c>
    </row>
    <row r="456" spans="1:24">
      <c r="A456" s="4" t="s">
        <v>840</v>
      </c>
      <c r="B456" s="4" t="s">
        <v>841</v>
      </c>
      <c r="D456" s="4" t="s">
        <v>716</v>
      </c>
      <c r="E456" s="4" t="s">
        <v>717</v>
      </c>
      <c r="M456" s="4" t="s">
        <v>762</v>
      </c>
      <c r="N456" s="4">
        <v>-71.633245459030121</v>
      </c>
      <c r="O456" s="4">
        <v>3.783924516285464</v>
      </c>
      <c r="P456" s="4" t="s">
        <v>734</v>
      </c>
      <c r="Q456" s="4" t="s">
        <v>735</v>
      </c>
      <c r="R456" s="4" t="s">
        <v>730</v>
      </c>
      <c r="S456" s="2">
        <v>46174.266248958331</v>
      </c>
      <c r="T456" s="5">
        <v>3.0266203703703704E-5</v>
      </c>
      <c r="U456" s="4">
        <v>1.8530810251832008E-2</v>
      </c>
      <c r="V456" s="4" t="s">
        <v>808</v>
      </c>
      <c r="W456" s="4" t="s">
        <v>762</v>
      </c>
      <c r="X456" s="6" t="s">
        <v>617</v>
      </c>
    </row>
    <row r="457" spans="1:24">
      <c r="A457" s="4" t="s">
        <v>840</v>
      </c>
      <c r="B457" s="4" t="s">
        <v>841</v>
      </c>
      <c r="D457" s="4" t="s">
        <v>716</v>
      </c>
      <c r="E457" s="4" t="s">
        <v>717</v>
      </c>
      <c r="M457" s="4" t="s">
        <v>762</v>
      </c>
      <c r="N457" s="4">
        <v>-71.632645637012601</v>
      </c>
      <c r="O457" s="4">
        <v>3.7838450853149372</v>
      </c>
      <c r="P457" s="4" t="s">
        <v>734</v>
      </c>
      <c r="Q457" s="4" t="s">
        <v>735</v>
      </c>
      <c r="R457" s="4" t="s">
        <v>730</v>
      </c>
      <c r="S457" s="2">
        <v>46174.266358182867</v>
      </c>
      <c r="T457" s="5">
        <v>6.3321759259259264E-5</v>
      </c>
      <c r="U457" s="4">
        <v>4.8700612038373947E-2</v>
      </c>
      <c r="V457" s="4" t="s">
        <v>784</v>
      </c>
      <c r="W457" s="4" t="s">
        <v>762</v>
      </c>
      <c r="X457" s="6" t="s">
        <v>617</v>
      </c>
    </row>
    <row r="458" spans="1:24">
      <c r="A458" s="4" t="s">
        <v>840</v>
      </c>
      <c r="B458" s="4" t="s">
        <v>841</v>
      </c>
      <c r="D458" s="4" t="s">
        <v>716</v>
      </c>
      <c r="E458" s="4" t="s">
        <v>717</v>
      </c>
      <c r="M458" s="4" t="s">
        <v>762</v>
      </c>
      <c r="N458" s="4">
        <v>-71.631300914476768</v>
      </c>
      <c r="O458" s="4">
        <v>3.7835959209996655</v>
      </c>
      <c r="P458" s="4" t="s">
        <v>734</v>
      </c>
      <c r="Q458" s="4" t="s">
        <v>735</v>
      </c>
      <c r="R458" s="4" t="s">
        <v>730</v>
      </c>
      <c r="S458" s="2">
        <v>46174.266635335647</v>
      </c>
      <c r="T458" s="5">
        <v>8.8148148148148151E-5</v>
      </c>
      <c r="U458" s="4">
        <v>7.3205642402172089E-2</v>
      </c>
      <c r="V458" s="4" t="s">
        <v>780</v>
      </c>
      <c r="W458" s="4" t="s">
        <v>762</v>
      </c>
      <c r="X458" s="6" t="s">
        <v>617</v>
      </c>
    </row>
    <row r="459" spans="1:24">
      <c r="A459" s="4" t="s">
        <v>840</v>
      </c>
      <c r="B459" s="4" t="s">
        <v>841</v>
      </c>
      <c r="D459" s="4" t="s">
        <v>716</v>
      </c>
      <c r="E459" s="4" t="s">
        <v>717</v>
      </c>
      <c r="M459" s="4" t="s">
        <v>762</v>
      </c>
      <c r="N459" s="4">
        <v>-71.6300811835129</v>
      </c>
      <c r="O459" s="4">
        <v>3.7830928438962665</v>
      </c>
      <c r="P459" s="4" t="s">
        <v>734</v>
      </c>
      <c r="Q459" s="4" t="s">
        <v>735</v>
      </c>
      <c r="R459" s="4" t="s">
        <v>730</v>
      </c>
      <c r="S459" s="2">
        <v>46174.266886840276</v>
      </c>
      <c r="T459" s="5">
        <v>3.4020833333333331E-4</v>
      </c>
      <c r="U459" s="4">
        <v>0.28761592507362366</v>
      </c>
      <c r="V459" s="4" t="s">
        <v>845</v>
      </c>
      <c r="W459" s="4" t="s">
        <v>762</v>
      </c>
      <c r="X459" s="6" t="s">
        <v>617</v>
      </c>
    </row>
    <row r="460" spans="1:24">
      <c r="A460" s="4" t="s">
        <v>840</v>
      </c>
      <c r="B460" s="4" t="s">
        <v>841</v>
      </c>
      <c r="D460" s="4" t="s">
        <v>716</v>
      </c>
      <c r="E460" s="4" t="s">
        <v>717</v>
      </c>
      <c r="M460" s="4" t="s">
        <v>762</v>
      </c>
      <c r="N460" s="4">
        <v>-71.627372154179739</v>
      </c>
      <c r="O460" s="4">
        <v>3.7810247234208276</v>
      </c>
      <c r="P460" s="4" t="s">
        <v>802</v>
      </c>
      <c r="Q460" s="4" t="s">
        <v>803</v>
      </c>
      <c r="R460" s="4" t="s">
        <v>730</v>
      </c>
      <c r="S460" s="2">
        <v>46174.267516400461</v>
      </c>
      <c r="T460" s="5">
        <v>4.3344907407407409E-5</v>
      </c>
      <c r="U460" s="4">
        <v>3.1545098870992661E-2</v>
      </c>
      <c r="V460" s="4" t="s">
        <v>781</v>
      </c>
      <c r="W460" s="4" t="s">
        <v>762</v>
      </c>
      <c r="X460" s="6" t="s">
        <v>617</v>
      </c>
    </row>
    <row r="461" spans="1:24">
      <c r="A461" s="4" t="s">
        <v>840</v>
      </c>
      <c r="B461" s="4" t="s">
        <v>841</v>
      </c>
      <c r="D461" s="4" t="s">
        <v>716</v>
      </c>
      <c r="E461" s="4" t="s">
        <v>717</v>
      </c>
      <c r="M461" s="4" t="s">
        <v>645</v>
      </c>
      <c r="N461" s="4">
        <v>-71.626435880000002</v>
      </c>
      <c r="O461" s="4">
        <v>3.7806904760000002</v>
      </c>
      <c r="P461" s="4" t="s">
        <v>722</v>
      </c>
      <c r="Q461" s="4" t="s">
        <v>723</v>
      </c>
      <c r="R461" s="4" t="s">
        <v>720</v>
      </c>
      <c r="S461" s="2">
        <v>46174.267876273145</v>
      </c>
      <c r="T461" s="5">
        <v>5.8725694444444439E-4</v>
      </c>
      <c r="U461" s="4">
        <v>0.15705810487270355</v>
      </c>
      <c r="V461" s="4" t="s">
        <v>728</v>
      </c>
      <c r="W461" s="4" t="s">
        <v>645</v>
      </c>
      <c r="X461" s="6" t="s">
        <v>617</v>
      </c>
    </row>
    <row r="462" spans="1:24">
      <c r="A462" s="4" t="s">
        <v>840</v>
      </c>
      <c r="B462" s="4" t="s">
        <v>841</v>
      </c>
      <c r="D462" s="4" t="s">
        <v>716</v>
      </c>
      <c r="E462" s="4" t="s">
        <v>717</v>
      </c>
      <c r="M462" s="4" t="s">
        <v>614</v>
      </c>
      <c r="N462" s="4">
        <v>-71.625740100000002</v>
      </c>
      <c r="O462" s="4">
        <v>3.7807552800000002</v>
      </c>
      <c r="P462" s="4" t="s">
        <v>726</v>
      </c>
      <c r="Q462" s="4" t="s">
        <v>727</v>
      </c>
      <c r="R462" s="4" t="s">
        <v>720</v>
      </c>
      <c r="S462" s="2">
        <v>46174.28371491898</v>
      </c>
      <c r="T462" s="5">
        <v>9.3295601851851855E-3</v>
      </c>
      <c r="U462" s="4">
        <v>7.7517041936516762E-3</v>
      </c>
      <c r="V462" s="4" t="s">
        <v>616</v>
      </c>
      <c r="W462" s="4" t="s">
        <v>614</v>
      </c>
      <c r="X462" s="6" t="s">
        <v>617</v>
      </c>
    </row>
    <row r="463" spans="1:24">
      <c r="A463" s="4" t="s">
        <v>840</v>
      </c>
      <c r="B463" s="4" t="s">
        <v>841</v>
      </c>
      <c r="D463" s="4" t="s">
        <v>716</v>
      </c>
      <c r="E463" s="4" t="s">
        <v>717</v>
      </c>
      <c r="M463" s="4" t="s">
        <v>614</v>
      </c>
      <c r="N463" s="4">
        <v>-71.626769999999993</v>
      </c>
      <c r="O463" s="4">
        <v>3.77934766</v>
      </c>
      <c r="P463" s="4" t="s">
        <v>726</v>
      </c>
      <c r="Q463" s="4" t="s">
        <v>727</v>
      </c>
      <c r="R463" s="4" t="s">
        <v>720</v>
      </c>
      <c r="S463" s="2">
        <v>46174.36793158565</v>
      </c>
      <c r="T463" s="5">
        <v>1.9838310185185185E-2</v>
      </c>
      <c r="U463" s="4">
        <v>2.8444003313779831E-2</v>
      </c>
      <c r="V463" s="4" t="s">
        <v>616</v>
      </c>
      <c r="W463" s="4" t="s">
        <v>614</v>
      </c>
      <c r="X463" s="6" t="s">
        <v>617</v>
      </c>
    </row>
    <row r="464" spans="1:24">
      <c r="A464" s="4" t="s">
        <v>840</v>
      </c>
      <c r="B464" s="4" t="s">
        <v>841</v>
      </c>
      <c r="D464" s="4" t="s">
        <v>716</v>
      </c>
      <c r="E464" s="4" t="s">
        <v>717</v>
      </c>
      <c r="M464" s="4" t="s">
        <v>762</v>
      </c>
      <c r="N464" s="4">
        <v>-71.626883367190629</v>
      </c>
      <c r="O464" s="4">
        <v>3.7810046981538461</v>
      </c>
      <c r="P464" s="4" t="s">
        <v>802</v>
      </c>
      <c r="Q464" s="4" t="s">
        <v>803</v>
      </c>
      <c r="R464" s="4" t="s">
        <v>730</v>
      </c>
      <c r="S464" s="2">
        <v>46174.389625115742</v>
      </c>
      <c r="T464" s="5">
        <v>8.9340277777777771E-5</v>
      </c>
      <c r="U464" s="4">
        <v>6.9939054548740387E-2</v>
      </c>
      <c r="V464" s="4" t="s">
        <v>843</v>
      </c>
      <c r="W464" s="4" t="s">
        <v>762</v>
      </c>
      <c r="X464" s="6" t="s">
        <v>617</v>
      </c>
    </row>
    <row r="465" spans="1:24">
      <c r="A465" s="4" t="s">
        <v>840</v>
      </c>
      <c r="B465" s="4" t="s">
        <v>841</v>
      </c>
      <c r="D465" s="4" t="s">
        <v>716</v>
      </c>
      <c r="E465" s="4" t="s">
        <v>717</v>
      </c>
      <c r="M465" s="4" t="s">
        <v>762</v>
      </c>
      <c r="N465" s="4">
        <v>-71.62827814413896</v>
      </c>
      <c r="O465" s="4">
        <v>3.7812134902374406</v>
      </c>
      <c r="P465" s="4" t="s">
        <v>734</v>
      </c>
      <c r="Q465" s="4" t="s">
        <v>735</v>
      </c>
      <c r="R465" s="4" t="s">
        <v>730</v>
      </c>
      <c r="S465" s="2">
        <v>46174.389884212964</v>
      </c>
      <c r="T465" s="5">
        <v>3.4414351851851853E-4</v>
      </c>
      <c r="U465" s="4">
        <v>0.29524815082550049</v>
      </c>
      <c r="V465" s="4" t="s">
        <v>780</v>
      </c>
      <c r="W465" s="4" t="s">
        <v>762</v>
      </c>
      <c r="X465" s="6" t="s">
        <v>617</v>
      </c>
    </row>
    <row r="466" spans="1:24">
      <c r="A466" s="4" t="s">
        <v>840</v>
      </c>
      <c r="B466" s="4" t="s">
        <v>841</v>
      </c>
      <c r="D466" s="4" t="s">
        <v>716</v>
      </c>
      <c r="E466" s="4" t="s">
        <v>717</v>
      </c>
      <c r="M466" s="4" t="s">
        <v>762</v>
      </c>
      <c r="N466" s="4">
        <v>-71.630634313316705</v>
      </c>
      <c r="O466" s="4">
        <v>3.7834009020174566</v>
      </c>
      <c r="P466" s="4" t="s">
        <v>734</v>
      </c>
      <c r="Q466" s="4" t="s">
        <v>735</v>
      </c>
      <c r="R466" s="4" t="s">
        <v>730</v>
      </c>
      <c r="S466" s="2">
        <v>46174.390391527777</v>
      </c>
      <c r="T466" s="5">
        <v>9.5196759259259266E-5</v>
      </c>
      <c r="U466" s="4">
        <v>7.6456665992736816E-2</v>
      </c>
      <c r="V466" s="4" t="s">
        <v>843</v>
      </c>
      <c r="W466" s="4" t="s">
        <v>762</v>
      </c>
      <c r="X466" s="6" t="s">
        <v>617</v>
      </c>
    </row>
    <row r="467" spans="1:24">
      <c r="A467" s="4" t="s">
        <v>840</v>
      </c>
      <c r="B467" s="4" t="s">
        <v>841</v>
      </c>
      <c r="D467" s="4" t="s">
        <v>716</v>
      </c>
      <c r="E467" s="4" t="s">
        <v>717</v>
      </c>
      <c r="M467" s="4" t="s">
        <v>762</v>
      </c>
      <c r="N467" s="4">
        <v>-71.632597774082399</v>
      </c>
      <c r="O467" s="4">
        <v>3.7838405195580522</v>
      </c>
      <c r="P467" s="4" t="s">
        <v>734</v>
      </c>
      <c r="Q467" s="4" t="s">
        <v>735</v>
      </c>
      <c r="R467" s="4" t="s">
        <v>730</v>
      </c>
      <c r="S467" s="2">
        <v>46174.390761087961</v>
      </c>
      <c r="T467" s="5">
        <v>9.1898148148148155E-6</v>
      </c>
      <c r="U467" s="4">
        <v>5.9484592638909817E-3</v>
      </c>
      <c r="V467" s="4" t="s">
        <v>763</v>
      </c>
      <c r="W467" s="4" t="s">
        <v>762</v>
      </c>
      <c r="X467" s="6" t="s">
        <v>617</v>
      </c>
    </row>
    <row r="468" spans="1:24">
      <c r="A468" s="4" t="s">
        <v>840</v>
      </c>
      <c r="B468" s="4" t="s">
        <v>841</v>
      </c>
      <c r="D468" s="4" t="s">
        <v>716</v>
      </c>
      <c r="E468" s="4" t="s">
        <v>717</v>
      </c>
      <c r="M468" s="4" t="s">
        <v>762</v>
      </c>
      <c r="N468" s="4">
        <v>-71.633063620959675</v>
      </c>
      <c r="O468" s="4">
        <v>3.7839176672109298</v>
      </c>
      <c r="P468" s="4" t="s">
        <v>734</v>
      </c>
      <c r="Q468" s="4" t="s">
        <v>735</v>
      </c>
      <c r="R468" s="4" t="s">
        <v>730</v>
      </c>
      <c r="S468" s="2">
        <v>46174.390850833333</v>
      </c>
      <c r="T468" s="5">
        <v>5.7199074074074076E-5</v>
      </c>
      <c r="U468" s="4">
        <v>4.1898567229509354E-2</v>
      </c>
      <c r="V468" s="4" t="s">
        <v>781</v>
      </c>
      <c r="W468" s="4" t="s">
        <v>762</v>
      </c>
      <c r="X468" s="6" t="s">
        <v>617</v>
      </c>
    </row>
    <row r="469" spans="1:24">
      <c r="A469" s="4" t="s">
        <v>840</v>
      </c>
      <c r="B469" s="4" t="s">
        <v>841</v>
      </c>
      <c r="D469" s="4" t="s">
        <v>716</v>
      </c>
      <c r="E469" s="4" t="s">
        <v>717</v>
      </c>
      <c r="M469" s="4" t="s">
        <v>645</v>
      </c>
      <c r="N469" s="4">
        <v>-71.635059938258024</v>
      </c>
      <c r="O469" s="4">
        <v>3.7842972667524322</v>
      </c>
      <c r="P469" s="4" t="s">
        <v>718</v>
      </c>
      <c r="Q469" s="4" t="s">
        <v>719</v>
      </c>
      <c r="R469" s="4" t="s">
        <v>720</v>
      </c>
      <c r="S469" s="2">
        <v>46174.391267881947</v>
      </c>
      <c r="T469" s="5">
        <v>4.0046296296296298E-4</v>
      </c>
      <c r="U469" s="4">
        <v>0.18350416421890259</v>
      </c>
      <c r="V469" s="4" t="s">
        <v>738</v>
      </c>
      <c r="W469" s="4" t="s">
        <v>645</v>
      </c>
      <c r="X469" s="6" t="s">
        <v>617</v>
      </c>
    </row>
    <row r="470" spans="1:24">
      <c r="A470" s="4" t="s">
        <v>840</v>
      </c>
      <c r="B470" s="4" t="s">
        <v>841</v>
      </c>
      <c r="D470" s="4" t="s">
        <v>716</v>
      </c>
      <c r="E470" s="4" t="s">
        <v>717</v>
      </c>
      <c r="M470" s="4" t="s">
        <v>762</v>
      </c>
      <c r="N470" s="4">
        <v>-71.637649499999995</v>
      </c>
      <c r="O470" s="4">
        <v>3.7843861599999999</v>
      </c>
      <c r="P470" s="4" t="s">
        <v>734</v>
      </c>
      <c r="Q470" s="4" t="s">
        <v>735</v>
      </c>
      <c r="R470" s="4" t="s">
        <v>730</v>
      </c>
      <c r="S470" s="2">
        <v>46174.391890381943</v>
      </c>
      <c r="T470" s="5">
        <v>2.9079861111111109E-4</v>
      </c>
      <c r="U470" s="4">
        <v>0.26322579383850098</v>
      </c>
      <c r="V470" s="4" t="s">
        <v>845</v>
      </c>
      <c r="W470" s="4" t="s">
        <v>762</v>
      </c>
      <c r="X470" s="6" t="s">
        <v>617</v>
      </c>
    </row>
    <row r="471" spans="1:24">
      <c r="A471" s="4" t="s">
        <v>840</v>
      </c>
      <c r="B471" s="4" t="s">
        <v>841</v>
      </c>
      <c r="D471" s="4" t="s">
        <v>716</v>
      </c>
      <c r="E471" s="4" t="s">
        <v>717</v>
      </c>
      <c r="M471" s="4" t="s">
        <v>762</v>
      </c>
      <c r="N471" s="4">
        <v>-71.640333302998499</v>
      </c>
      <c r="O471" s="4">
        <v>3.7846393911994003</v>
      </c>
      <c r="P471" s="4" t="s">
        <v>734</v>
      </c>
      <c r="Q471" s="4" t="s">
        <v>735</v>
      </c>
      <c r="R471" s="4" t="s">
        <v>730</v>
      </c>
      <c r="S471" s="2">
        <v>46174.392247407406</v>
      </c>
      <c r="T471" s="5">
        <v>8.9131944444444442E-5</v>
      </c>
      <c r="U471" s="4">
        <v>6.8028122186660767E-2</v>
      </c>
      <c r="V471" s="4" t="s">
        <v>781</v>
      </c>
      <c r="W471" s="4" t="s">
        <v>762</v>
      </c>
      <c r="X471" s="6" t="s">
        <v>617</v>
      </c>
    </row>
    <row r="472" spans="1:24">
      <c r="A472" s="4" t="s">
        <v>840</v>
      </c>
      <c r="B472" s="4" t="s">
        <v>841</v>
      </c>
      <c r="D472" s="4" t="s">
        <v>716</v>
      </c>
      <c r="E472" s="4" t="s">
        <v>717</v>
      </c>
      <c r="M472" s="4" t="s">
        <v>614</v>
      </c>
      <c r="N472" s="4">
        <v>-71.648338300000006</v>
      </c>
      <c r="O472" s="4">
        <v>3.77848125</v>
      </c>
      <c r="P472" s="4" t="s">
        <v>734</v>
      </c>
      <c r="Q472" s="4" t="s">
        <v>735</v>
      </c>
      <c r="R472" s="4" t="s">
        <v>730</v>
      </c>
      <c r="S472" s="2">
        <v>46174.397110405094</v>
      </c>
      <c r="T472" s="5">
        <v>1.2812395833333334E-2</v>
      </c>
      <c r="U472" s="4">
        <v>1.5112000517547131E-2</v>
      </c>
      <c r="V472" s="4" t="s">
        <v>616</v>
      </c>
      <c r="W472" s="4" t="s">
        <v>614</v>
      </c>
      <c r="X472" s="6" t="s">
        <v>617</v>
      </c>
    </row>
    <row r="473" spans="1:24">
      <c r="A473" s="4" t="s">
        <v>840</v>
      </c>
      <c r="B473" s="4" t="s">
        <v>841</v>
      </c>
      <c r="D473" s="4" t="s">
        <v>716</v>
      </c>
      <c r="E473" s="4" t="s">
        <v>717</v>
      </c>
      <c r="M473" s="4" t="s">
        <v>614</v>
      </c>
      <c r="N473" s="4">
        <v>-71.648330700000002</v>
      </c>
      <c r="O473" s="4">
        <v>3.7784953099999998</v>
      </c>
      <c r="P473" s="4" t="s">
        <v>734</v>
      </c>
      <c r="Q473" s="4" t="s">
        <v>735</v>
      </c>
      <c r="R473" s="4" t="s">
        <v>730</v>
      </c>
      <c r="S473" s="2">
        <v>46174.411091770831</v>
      </c>
      <c r="T473" s="5">
        <v>6.9792824074074071E-3</v>
      </c>
      <c r="U473" s="4">
        <v>9.6765747293829918E-3</v>
      </c>
      <c r="V473" s="4" t="s">
        <v>616</v>
      </c>
      <c r="W473" s="4" t="s">
        <v>614</v>
      </c>
      <c r="X473" s="6" t="s">
        <v>617</v>
      </c>
    </row>
    <row r="474" spans="1:24">
      <c r="A474" s="4" t="s">
        <v>840</v>
      </c>
      <c r="B474" s="4" t="s">
        <v>841</v>
      </c>
      <c r="D474" s="4" t="s">
        <v>716</v>
      </c>
      <c r="E474" s="4" t="s">
        <v>717</v>
      </c>
      <c r="M474" s="4" t="s">
        <v>762</v>
      </c>
      <c r="N474" s="4">
        <v>-71.647167225000004</v>
      </c>
      <c r="O474" s="4">
        <v>3.7792772074999998</v>
      </c>
      <c r="P474" s="4" t="s">
        <v>734</v>
      </c>
      <c r="Q474" s="4" t="s">
        <v>735</v>
      </c>
      <c r="R474" s="4" t="s">
        <v>730</v>
      </c>
      <c r="S474" s="2">
        <v>46174.420342465281</v>
      </c>
      <c r="T474" s="5">
        <v>1.2276620370370371E-4</v>
      </c>
      <c r="U474" s="4">
        <v>9.5621556043624878E-2</v>
      </c>
      <c r="V474" s="4" t="s">
        <v>844</v>
      </c>
      <c r="W474" s="4" t="s">
        <v>762</v>
      </c>
      <c r="X474" s="6" t="s">
        <v>617</v>
      </c>
    </row>
    <row r="475" spans="1:24">
      <c r="A475" s="4" t="s">
        <v>840</v>
      </c>
      <c r="B475" s="4" t="s">
        <v>841</v>
      </c>
      <c r="D475" s="4" t="s">
        <v>716</v>
      </c>
      <c r="E475" s="4" t="s">
        <v>717</v>
      </c>
      <c r="M475" s="4" t="s">
        <v>762</v>
      </c>
      <c r="N475" s="4">
        <v>-71.646446210656549</v>
      </c>
      <c r="O475" s="4">
        <v>3.7800053237936537</v>
      </c>
      <c r="P475" s="4" t="s">
        <v>734</v>
      </c>
      <c r="Q475" s="4" t="s">
        <v>735</v>
      </c>
      <c r="R475" s="4" t="s">
        <v>730</v>
      </c>
      <c r="S475" s="2">
        <v>46174.420488124997</v>
      </c>
      <c r="T475" s="5">
        <v>1.1319444444444445E-4</v>
      </c>
      <c r="U475" s="4">
        <v>8.951057493686676E-2</v>
      </c>
      <c r="V475" s="4" t="s">
        <v>784</v>
      </c>
      <c r="W475" s="4" t="s">
        <v>762</v>
      </c>
      <c r="X475" s="6" t="s">
        <v>617</v>
      </c>
    </row>
    <row r="476" spans="1:24">
      <c r="A476" s="4" t="s">
        <v>840</v>
      </c>
      <c r="B476" s="4" t="s">
        <v>841</v>
      </c>
      <c r="D476" s="4" t="s">
        <v>716</v>
      </c>
      <c r="E476" s="4" t="s">
        <v>717</v>
      </c>
      <c r="M476" s="4" t="s">
        <v>645</v>
      </c>
      <c r="N476" s="4">
        <v>-71.636698623333331</v>
      </c>
      <c r="O476" s="4">
        <v>3.784316553</v>
      </c>
      <c r="P476" s="4" t="s">
        <v>718</v>
      </c>
      <c r="Q476" s="4" t="s">
        <v>719</v>
      </c>
      <c r="R476" s="4" t="s">
        <v>720</v>
      </c>
      <c r="S476" s="2">
        <v>46174.423436793979</v>
      </c>
      <c r="T476" s="5">
        <v>4.0880787037037036E-4</v>
      </c>
      <c r="U476" s="4">
        <v>0.18242530524730682</v>
      </c>
      <c r="V476" s="4" t="s">
        <v>738</v>
      </c>
      <c r="W476" s="4" t="s">
        <v>645</v>
      </c>
      <c r="X476" s="6" t="s">
        <v>617</v>
      </c>
    </row>
    <row r="477" spans="1:24">
      <c r="A477" s="4" t="s">
        <v>840</v>
      </c>
      <c r="B477" s="4" t="s">
        <v>841</v>
      </c>
      <c r="D477" s="4" t="s">
        <v>716</v>
      </c>
      <c r="E477" s="4" t="s">
        <v>717</v>
      </c>
      <c r="M477" s="4" t="s">
        <v>762</v>
      </c>
      <c r="N477" s="4">
        <v>-71.630990167712497</v>
      </c>
      <c r="O477" s="4">
        <v>3.7834890130862497</v>
      </c>
      <c r="P477" s="4" t="s">
        <v>734</v>
      </c>
      <c r="Q477" s="4" t="s">
        <v>735</v>
      </c>
      <c r="R477" s="4" t="s">
        <v>730</v>
      </c>
      <c r="S477" s="2">
        <v>46174.42477740741</v>
      </c>
      <c r="T477" s="5">
        <v>6.8333333333333332E-5</v>
      </c>
      <c r="U477" s="4">
        <v>5.1241524517536163E-2</v>
      </c>
      <c r="V477" s="4" t="s">
        <v>843</v>
      </c>
      <c r="W477" s="4" t="s">
        <v>762</v>
      </c>
      <c r="X477" s="6" t="s">
        <v>617</v>
      </c>
    </row>
    <row r="478" spans="1:24">
      <c r="A478" s="4" t="s">
        <v>840</v>
      </c>
      <c r="B478" s="4" t="s">
        <v>841</v>
      </c>
      <c r="D478" s="4" t="s">
        <v>716</v>
      </c>
      <c r="E478" s="4" t="s">
        <v>717</v>
      </c>
      <c r="M478" s="4" t="s">
        <v>762</v>
      </c>
      <c r="N478" s="4">
        <v>-71.630088799999996</v>
      </c>
      <c r="O478" s="4">
        <v>3.7830932100000001</v>
      </c>
      <c r="P478" s="4" t="s">
        <v>734</v>
      </c>
      <c r="Q478" s="4" t="s">
        <v>735</v>
      </c>
      <c r="R478" s="4" t="s">
        <v>730</v>
      </c>
      <c r="S478" s="2">
        <v>46174.424992361113</v>
      </c>
      <c r="T478" s="5">
        <v>3.293287037037037E-4</v>
      </c>
      <c r="U478" s="4">
        <v>0.28630951046943665</v>
      </c>
      <c r="V478" s="4" t="s">
        <v>798</v>
      </c>
      <c r="W478" s="4" t="s">
        <v>762</v>
      </c>
      <c r="X478" s="6" t="s">
        <v>617</v>
      </c>
    </row>
    <row r="479" spans="1:24">
      <c r="A479" s="4" t="s">
        <v>840</v>
      </c>
      <c r="B479" s="4" t="s">
        <v>841</v>
      </c>
      <c r="D479" s="4" t="s">
        <v>716</v>
      </c>
      <c r="E479" s="4" t="s">
        <v>717</v>
      </c>
      <c r="M479" s="4" t="s">
        <v>762</v>
      </c>
      <c r="N479" s="4">
        <v>-71.627465675339266</v>
      </c>
      <c r="O479" s="4">
        <v>3.7810201002803114</v>
      </c>
      <c r="P479" s="4" t="s">
        <v>802</v>
      </c>
      <c r="Q479" s="4" t="s">
        <v>803</v>
      </c>
      <c r="R479" s="4" t="s">
        <v>730</v>
      </c>
      <c r="S479" s="2">
        <v>46174.42549548611</v>
      </c>
      <c r="T479" s="5">
        <v>9.1053240740740735E-5</v>
      </c>
      <c r="U479" s="4">
        <v>6.9517523050308228E-2</v>
      </c>
      <c r="V479" s="4" t="s">
        <v>843</v>
      </c>
      <c r="W479" s="4" t="s">
        <v>762</v>
      </c>
      <c r="X479" s="6" t="s">
        <v>617</v>
      </c>
    </row>
    <row r="480" spans="1:24">
      <c r="A480" s="4" t="s">
        <v>840</v>
      </c>
      <c r="B480" s="4" t="s">
        <v>841</v>
      </c>
      <c r="D480" s="4" t="s">
        <v>716</v>
      </c>
      <c r="E480" s="4" t="s">
        <v>717</v>
      </c>
      <c r="M480" s="4" t="s">
        <v>645</v>
      </c>
      <c r="N480" s="4">
        <v>-71.626390377792646</v>
      </c>
      <c r="O480" s="4">
        <v>3.7809659121270904</v>
      </c>
      <c r="P480" s="4" t="s">
        <v>739</v>
      </c>
      <c r="Q480" s="4" t="s">
        <v>740</v>
      </c>
      <c r="R480" s="4" t="s">
        <v>730</v>
      </c>
      <c r="S480" s="2">
        <v>46174.425688090276</v>
      </c>
      <c r="T480" s="5">
        <v>2.4680555555555556E-4</v>
      </c>
      <c r="U480" s="4">
        <v>0.12694023549556732</v>
      </c>
      <c r="V480" s="4" t="s">
        <v>808</v>
      </c>
      <c r="W480" s="4" t="s">
        <v>645</v>
      </c>
      <c r="X480" s="6" t="s">
        <v>617</v>
      </c>
    </row>
    <row r="481" spans="1:24">
      <c r="A481" s="4" t="s">
        <v>840</v>
      </c>
      <c r="B481" s="4" t="s">
        <v>841</v>
      </c>
      <c r="D481" s="4" t="s">
        <v>716</v>
      </c>
      <c r="E481" s="4" t="s">
        <v>717</v>
      </c>
      <c r="M481" s="4" t="s">
        <v>762</v>
      </c>
      <c r="N481" s="4">
        <v>-71.625333157239993</v>
      </c>
      <c r="O481" s="4">
        <v>3.7810372489300001</v>
      </c>
      <c r="P481" s="4" t="s">
        <v>759</v>
      </c>
      <c r="Q481" s="4" t="s">
        <v>760</v>
      </c>
      <c r="R481" s="4" t="s">
        <v>730</v>
      </c>
      <c r="S481" s="2">
        <v>46174.425922141207</v>
      </c>
      <c r="T481" s="5">
        <v>6.5590277777777777E-5</v>
      </c>
      <c r="U481" s="4">
        <v>5.1360689103603363E-2</v>
      </c>
      <c r="V481" s="4" t="s">
        <v>781</v>
      </c>
      <c r="W481" s="4" t="s">
        <v>762</v>
      </c>
      <c r="X481" s="6" t="s">
        <v>617</v>
      </c>
    </row>
    <row r="482" spans="1:24">
      <c r="A482" s="4" t="s">
        <v>840</v>
      </c>
      <c r="B482" s="4" t="s">
        <v>841</v>
      </c>
      <c r="D482" s="4" t="s">
        <v>716</v>
      </c>
      <c r="E482" s="4" t="s">
        <v>717</v>
      </c>
      <c r="M482" s="4" t="s">
        <v>762</v>
      </c>
      <c r="N482" s="4">
        <v>-71.624192800000003</v>
      </c>
      <c r="O482" s="4">
        <v>3.7811543460000001</v>
      </c>
      <c r="P482" s="4" t="s">
        <v>734</v>
      </c>
      <c r="Q482" s="4" t="s">
        <v>735</v>
      </c>
      <c r="R482" s="4" t="s">
        <v>730</v>
      </c>
      <c r="S482" s="2">
        <v>46174.4261428588</v>
      </c>
      <c r="T482" s="5">
        <v>1.6607638888888889E-4</v>
      </c>
      <c r="U482" s="4">
        <v>0.13453900814056396</v>
      </c>
      <c r="V482" s="4" t="s">
        <v>780</v>
      </c>
      <c r="W482" s="4" t="s">
        <v>762</v>
      </c>
      <c r="X482" s="6" t="s">
        <v>617</v>
      </c>
    </row>
    <row r="483" spans="1:24">
      <c r="A483" s="4" t="s">
        <v>840</v>
      </c>
      <c r="B483" s="4" t="s">
        <v>841</v>
      </c>
      <c r="D483" s="4" t="s">
        <v>716</v>
      </c>
      <c r="E483" s="4" t="s">
        <v>717</v>
      </c>
      <c r="M483" s="4" t="s">
        <v>762</v>
      </c>
      <c r="N483" s="4">
        <v>-71.622135158480503</v>
      </c>
      <c r="O483" s="4">
        <v>3.7804770366577807</v>
      </c>
      <c r="P483" s="4" t="s">
        <v>734</v>
      </c>
      <c r="Q483" s="4" t="s">
        <v>735</v>
      </c>
      <c r="R483" s="4" t="s">
        <v>730</v>
      </c>
      <c r="S483" s="2">
        <v>46174.426488310186</v>
      </c>
      <c r="T483" s="5">
        <v>2.6041666666666668E-5</v>
      </c>
      <c r="U483" s="4">
        <v>1.8858930096030235E-2</v>
      </c>
      <c r="V483" s="4" t="s">
        <v>763</v>
      </c>
      <c r="W483" s="4" t="s">
        <v>762</v>
      </c>
      <c r="X483" s="6" t="s">
        <v>617</v>
      </c>
    </row>
    <row r="484" spans="1:24">
      <c r="A484" s="4" t="s">
        <v>840</v>
      </c>
      <c r="B484" s="4" t="s">
        <v>841</v>
      </c>
      <c r="D484" s="4" t="s">
        <v>716</v>
      </c>
      <c r="E484" s="4" t="s">
        <v>717</v>
      </c>
      <c r="M484" s="4" t="s">
        <v>762</v>
      </c>
      <c r="N484" s="4">
        <v>-71.621354660153386</v>
      </c>
      <c r="O484" s="4">
        <v>3.7805711177592531</v>
      </c>
      <c r="P484" s="4" t="s">
        <v>734</v>
      </c>
      <c r="Q484" s="4" t="s">
        <v>735</v>
      </c>
      <c r="R484" s="4" t="s">
        <v>730</v>
      </c>
      <c r="S484" s="2">
        <v>46174.426634722222</v>
      </c>
      <c r="T484" s="5">
        <v>3.8900462962962966E-5</v>
      </c>
      <c r="U484" s="4">
        <v>3.0760129913687706E-2</v>
      </c>
      <c r="V484" s="4" t="s">
        <v>780</v>
      </c>
      <c r="W484" s="4" t="s">
        <v>762</v>
      </c>
      <c r="X484" s="6" t="s">
        <v>617</v>
      </c>
    </row>
    <row r="485" spans="1:24">
      <c r="A485" s="4" t="s">
        <v>840</v>
      </c>
      <c r="B485" s="4" t="s">
        <v>841</v>
      </c>
      <c r="D485" s="4" t="s">
        <v>716</v>
      </c>
      <c r="E485" s="4" t="s">
        <v>717</v>
      </c>
      <c r="M485" s="4" t="s">
        <v>757</v>
      </c>
      <c r="N485" s="4">
        <v>-71.610176127439203</v>
      </c>
      <c r="O485" s="4">
        <v>3.7578074464263231</v>
      </c>
      <c r="P485" s="4" t="s">
        <v>779</v>
      </c>
      <c r="Q485" s="4" t="s">
        <v>743</v>
      </c>
      <c r="R485" s="4" t="s">
        <v>730</v>
      </c>
      <c r="S485" s="2">
        <v>46174.432289247685</v>
      </c>
      <c r="T485" s="5">
        <v>2.9374999999999999E-5</v>
      </c>
      <c r="U485" s="4">
        <v>2.7258321642875671E-2</v>
      </c>
      <c r="V485" s="4" t="s">
        <v>758</v>
      </c>
      <c r="W485" s="4" t="s">
        <v>757</v>
      </c>
      <c r="X485" s="6" t="s">
        <v>617</v>
      </c>
    </row>
    <row r="486" spans="1:24">
      <c r="A486" s="4" t="s">
        <v>840</v>
      </c>
      <c r="B486" s="4" t="s">
        <v>841</v>
      </c>
      <c r="D486" s="4" t="s">
        <v>716</v>
      </c>
      <c r="E486" s="4" t="s">
        <v>717</v>
      </c>
      <c r="M486" s="4" t="s">
        <v>757</v>
      </c>
      <c r="N486" s="4">
        <v>-71.607256602039996</v>
      </c>
      <c r="O486" s="4">
        <v>3.7532394027499998</v>
      </c>
      <c r="P486" s="4" t="s">
        <v>846</v>
      </c>
      <c r="Q486" s="4" t="s">
        <v>743</v>
      </c>
      <c r="R486" s="4" t="s">
        <v>730</v>
      </c>
      <c r="S486" s="2">
        <v>46174.433072870372</v>
      </c>
      <c r="T486" s="5">
        <v>1.4270833333333334E-5</v>
      </c>
      <c r="U486" s="4">
        <v>1.3229336589574814E-2</v>
      </c>
      <c r="V486" s="4" t="s">
        <v>758</v>
      </c>
      <c r="W486" s="4" t="s">
        <v>757</v>
      </c>
      <c r="X486" s="6" t="s">
        <v>617</v>
      </c>
    </row>
    <row r="487" spans="1:24">
      <c r="A487" s="4" t="s">
        <v>840</v>
      </c>
      <c r="B487" s="4" t="s">
        <v>841</v>
      </c>
      <c r="D487" s="4" t="s">
        <v>716</v>
      </c>
      <c r="E487" s="4" t="s">
        <v>717</v>
      </c>
      <c r="M487" s="4" t="s">
        <v>757</v>
      </c>
      <c r="N487" s="4">
        <v>-71.610233300000004</v>
      </c>
      <c r="O487" s="4">
        <v>3.7415863250000001</v>
      </c>
      <c r="P487" s="4" t="s">
        <v>846</v>
      </c>
      <c r="Q487" s="4" t="s">
        <v>743</v>
      </c>
      <c r="R487" s="4" t="s">
        <v>730</v>
      </c>
      <c r="S487" s="2">
        <v>46174.435055902781</v>
      </c>
      <c r="T487" s="5">
        <v>6.1331018518518519E-5</v>
      </c>
      <c r="U487" s="4">
        <v>5.9986162930727005E-2</v>
      </c>
      <c r="V487" s="4" t="s">
        <v>847</v>
      </c>
      <c r="W487" s="4" t="s">
        <v>757</v>
      </c>
      <c r="X487" s="6" t="s">
        <v>617</v>
      </c>
    </row>
    <row r="488" spans="1:24">
      <c r="A488" s="4" t="s">
        <v>840</v>
      </c>
      <c r="B488" s="4" t="s">
        <v>841</v>
      </c>
      <c r="D488" s="4" t="s">
        <v>716</v>
      </c>
      <c r="E488" s="4" t="s">
        <v>717</v>
      </c>
      <c r="M488" s="4" t="s">
        <v>757</v>
      </c>
      <c r="N488" s="4">
        <v>-71.611648599999995</v>
      </c>
      <c r="O488" s="4">
        <v>3.73740125</v>
      </c>
      <c r="P488" s="4" t="s">
        <v>846</v>
      </c>
      <c r="Q488" s="4" t="s">
        <v>743</v>
      </c>
      <c r="R488" s="4" t="s">
        <v>730</v>
      </c>
      <c r="S488" s="2">
        <v>46174.435628807871</v>
      </c>
      <c r="T488" s="5">
        <v>1.7216435185185184E-4</v>
      </c>
      <c r="U488" s="4">
        <v>0.16901564598083496</v>
      </c>
      <c r="V488" s="4" t="s">
        <v>847</v>
      </c>
      <c r="W488" s="4" t="s">
        <v>757</v>
      </c>
      <c r="X488" s="6" t="s">
        <v>617</v>
      </c>
    </row>
    <row r="489" spans="1:24">
      <c r="A489" s="4" t="s">
        <v>840</v>
      </c>
      <c r="B489" s="4" t="s">
        <v>841</v>
      </c>
      <c r="D489" s="4" t="s">
        <v>716</v>
      </c>
      <c r="E489" s="4" t="s">
        <v>717</v>
      </c>
      <c r="M489" s="4" t="s">
        <v>757</v>
      </c>
      <c r="N489" s="4">
        <v>-71.614111319999992</v>
      </c>
      <c r="O489" s="4">
        <v>3.7360142679999999</v>
      </c>
      <c r="P489" s="4" t="s">
        <v>846</v>
      </c>
      <c r="Q489" s="4" t="s">
        <v>743</v>
      </c>
      <c r="R489" s="4" t="s">
        <v>730</v>
      </c>
      <c r="S489" s="2">
        <v>46174.43597835648</v>
      </c>
      <c r="T489" s="5">
        <v>9.0266203703703705E-5</v>
      </c>
      <c r="U489" s="4">
        <v>8.7563395500183105E-2</v>
      </c>
      <c r="V489" s="4" t="s">
        <v>758</v>
      </c>
      <c r="W489" s="4" t="s">
        <v>757</v>
      </c>
      <c r="X489" s="6" t="s">
        <v>617</v>
      </c>
    </row>
    <row r="490" spans="1:24">
      <c r="A490" s="4" t="s">
        <v>840</v>
      </c>
      <c r="B490" s="4" t="s">
        <v>841</v>
      </c>
      <c r="D490" s="4" t="s">
        <v>716</v>
      </c>
      <c r="E490" s="4" t="s">
        <v>717</v>
      </c>
      <c r="M490" s="4" t="s">
        <v>757</v>
      </c>
      <c r="N490" s="4">
        <v>-71.614784200000003</v>
      </c>
      <c r="O490" s="4">
        <v>3.7356164500000002</v>
      </c>
      <c r="P490" s="4" t="s">
        <v>846</v>
      </c>
      <c r="Q490" s="4" t="s">
        <v>743</v>
      </c>
      <c r="R490" s="4" t="s">
        <v>730</v>
      </c>
      <c r="S490" s="2">
        <v>46174.436068622686</v>
      </c>
      <c r="T490" s="5">
        <v>2.8067129629629628E-4</v>
      </c>
      <c r="U490" s="4">
        <v>0.2797989547252655</v>
      </c>
      <c r="V490" s="4" t="s">
        <v>847</v>
      </c>
      <c r="W490" s="4" t="s">
        <v>757</v>
      </c>
      <c r="X490" s="6" t="s">
        <v>617</v>
      </c>
    </row>
    <row r="491" spans="1:24">
      <c r="A491" s="4" t="s">
        <v>840</v>
      </c>
      <c r="B491" s="4" t="s">
        <v>841</v>
      </c>
      <c r="D491" s="4" t="s">
        <v>716</v>
      </c>
      <c r="E491" s="4" t="s">
        <v>717</v>
      </c>
      <c r="M491" s="4" t="s">
        <v>757</v>
      </c>
      <c r="N491" s="4">
        <v>-71.616699249999996</v>
      </c>
      <c r="O491" s="4">
        <v>3.7332252283333331</v>
      </c>
      <c r="P491" s="4" t="s">
        <v>846</v>
      </c>
      <c r="Q491" s="4" t="s">
        <v>743</v>
      </c>
      <c r="R491" s="4" t="s">
        <v>730</v>
      </c>
      <c r="S491" s="2">
        <v>46174.436410057868</v>
      </c>
      <c r="T491" s="5">
        <v>1.5626157407407407E-4</v>
      </c>
      <c r="U491" s="4">
        <v>0.1600678563117981</v>
      </c>
      <c r="V491" s="4" t="s">
        <v>848</v>
      </c>
      <c r="W491" s="4" t="s">
        <v>757</v>
      </c>
      <c r="X491" s="6" t="s">
        <v>617</v>
      </c>
    </row>
    <row r="492" spans="1:24">
      <c r="A492" s="4" t="s">
        <v>840</v>
      </c>
      <c r="B492" s="4" t="s">
        <v>841</v>
      </c>
      <c r="D492" s="4" t="s">
        <v>716</v>
      </c>
      <c r="E492" s="4" t="s">
        <v>717</v>
      </c>
      <c r="M492" s="4" t="s">
        <v>757</v>
      </c>
      <c r="N492" s="4">
        <v>-71.618205075000006</v>
      </c>
      <c r="O492" s="4">
        <v>3.7288022062500001</v>
      </c>
      <c r="P492" s="4" t="s">
        <v>846</v>
      </c>
      <c r="Q492" s="4" t="s">
        <v>743</v>
      </c>
      <c r="R492" s="4" t="s">
        <v>730</v>
      </c>
      <c r="S492" s="2">
        <v>46174.437552997682</v>
      </c>
      <c r="T492" s="5">
        <v>3.7615740740740744E-5</v>
      </c>
      <c r="U492" s="4">
        <v>3.6359939724206924E-2</v>
      </c>
      <c r="V492" s="4" t="s">
        <v>758</v>
      </c>
      <c r="W492" s="4" t="s">
        <v>757</v>
      </c>
      <c r="X492" s="6" t="s">
        <v>617</v>
      </c>
    </row>
    <row r="493" spans="1:24">
      <c r="A493" s="4" t="s">
        <v>840</v>
      </c>
      <c r="B493" s="4" t="s">
        <v>841</v>
      </c>
      <c r="D493" s="4" t="s">
        <v>716</v>
      </c>
      <c r="E493" s="4" t="s">
        <v>717</v>
      </c>
      <c r="M493" s="4" t="s">
        <v>757</v>
      </c>
      <c r="N493" s="4">
        <v>-71.620737691122187</v>
      </c>
      <c r="O493" s="4">
        <v>3.725248664498753</v>
      </c>
      <c r="P493" s="4" t="s">
        <v>846</v>
      </c>
      <c r="Q493" s="4" t="s">
        <v>743</v>
      </c>
      <c r="R493" s="4" t="s">
        <v>730</v>
      </c>
      <c r="S493" s="2">
        <v>46174.438144340274</v>
      </c>
      <c r="T493" s="5">
        <v>1.4652777777777779E-5</v>
      </c>
      <c r="U493" s="4">
        <v>1.3652211986482143E-2</v>
      </c>
      <c r="V493" s="4" t="s">
        <v>758</v>
      </c>
      <c r="W493" s="4" t="s">
        <v>757</v>
      </c>
      <c r="X493" s="6" t="s">
        <v>617</v>
      </c>
    </row>
    <row r="494" spans="1:24">
      <c r="A494" s="4" t="s">
        <v>840</v>
      </c>
      <c r="B494" s="4" t="s">
        <v>841</v>
      </c>
      <c r="D494" s="4" t="s">
        <v>716</v>
      </c>
      <c r="E494" s="4" t="s">
        <v>717</v>
      </c>
      <c r="M494" s="4" t="s">
        <v>757</v>
      </c>
      <c r="N494" s="4">
        <v>-71.6199362784768</v>
      </c>
      <c r="O494" s="4">
        <v>3.7239452138046829</v>
      </c>
      <c r="P494" s="4" t="s">
        <v>846</v>
      </c>
      <c r="Q494" s="4" t="s">
        <v>743</v>
      </c>
      <c r="R494" s="4" t="s">
        <v>730</v>
      </c>
      <c r="S494" s="2">
        <v>46174.438352037039</v>
      </c>
      <c r="T494" s="5">
        <v>8.9270833333333333E-5</v>
      </c>
      <c r="U494" s="4">
        <v>8.5133984684944153E-2</v>
      </c>
      <c r="V494" s="4" t="s">
        <v>774</v>
      </c>
      <c r="W494" s="4" t="s">
        <v>757</v>
      </c>
      <c r="X494" s="6" t="s">
        <v>617</v>
      </c>
    </row>
    <row r="495" spans="1:24">
      <c r="A495" s="4" t="s">
        <v>840</v>
      </c>
      <c r="B495" s="4" t="s">
        <v>841</v>
      </c>
      <c r="D495" s="4" t="s">
        <v>716</v>
      </c>
      <c r="E495" s="4" t="s">
        <v>717</v>
      </c>
      <c r="M495" s="4" t="s">
        <v>757</v>
      </c>
      <c r="N495" s="4">
        <v>-71.6159325</v>
      </c>
      <c r="O495" s="4">
        <v>3.7209903000000004</v>
      </c>
      <c r="P495" s="4" t="s">
        <v>846</v>
      </c>
      <c r="Q495" s="4" t="s">
        <v>743</v>
      </c>
      <c r="R495" s="4" t="s">
        <v>730</v>
      </c>
      <c r="S495" s="2">
        <v>46174.438979502316</v>
      </c>
      <c r="T495" s="5">
        <v>2.3728009259259259E-4</v>
      </c>
      <c r="U495" s="4">
        <v>0.2356402575969696</v>
      </c>
      <c r="V495" s="4" t="s">
        <v>847</v>
      </c>
      <c r="W495" s="4" t="s">
        <v>757</v>
      </c>
      <c r="X495" s="6" t="s">
        <v>617</v>
      </c>
    </row>
    <row r="496" spans="1:24">
      <c r="A496" s="4" t="s">
        <v>840</v>
      </c>
      <c r="B496" s="4" t="s">
        <v>841</v>
      </c>
      <c r="D496" s="4" t="s">
        <v>716</v>
      </c>
      <c r="E496" s="4" t="s">
        <v>717</v>
      </c>
      <c r="M496" s="4" t="s">
        <v>757</v>
      </c>
      <c r="N496" s="4">
        <v>-71.614189194774994</v>
      </c>
      <c r="O496" s="4">
        <v>3.7188749662325002</v>
      </c>
      <c r="P496" s="4" t="s">
        <v>846</v>
      </c>
      <c r="Q496" s="4" t="s">
        <v>743</v>
      </c>
      <c r="R496" s="4" t="s">
        <v>730</v>
      </c>
      <c r="S496" s="2">
        <v>46174.439324803243</v>
      </c>
      <c r="T496" s="5">
        <v>1.9293981481481483E-5</v>
      </c>
      <c r="U496" s="4">
        <v>1.878822036087513E-2</v>
      </c>
      <c r="V496" s="4" t="s">
        <v>758</v>
      </c>
      <c r="W496" s="4" t="s">
        <v>757</v>
      </c>
      <c r="X496" s="6" t="s">
        <v>617</v>
      </c>
    </row>
    <row r="497" spans="1:24">
      <c r="A497" s="4" t="s">
        <v>840</v>
      </c>
      <c r="B497" s="4" t="s">
        <v>841</v>
      </c>
      <c r="D497" s="4" t="s">
        <v>716</v>
      </c>
      <c r="E497" s="4" t="s">
        <v>717</v>
      </c>
      <c r="M497" s="4" t="s">
        <v>757</v>
      </c>
      <c r="N497" s="4">
        <v>-71.612863276604671</v>
      </c>
      <c r="O497" s="4">
        <v>3.716723154071186</v>
      </c>
      <c r="P497" s="4" t="s">
        <v>846</v>
      </c>
      <c r="Q497" s="4" t="s">
        <v>743</v>
      </c>
      <c r="R497" s="4" t="s">
        <v>730</v>
      </c>
      <c r="S497" s="2">
        <v>46174.439632164351</v>
      </c>
      <c r="T497" s="5">
        <v>4.371527777777778E-5</v>
      </c>
      <c r="U497" s="4">
        <v>4.2708747088909149E-2</v>
      </c>
      <c r="V497" s="4" t="s">
        <v>774</v>
      </c>
      <c r="W497" s="4" t="s">
        <v>757</v>
      </c>
      <c r="X497" s="6" t="s">
        <v>617</v>
      </c>
    </row>
    <row r="498" spans="1:24">
      <c r="A498" s="4" t="s">
        <v>840</v>
      </c>
      <c r="B498" s="4" t="s">
        <v>841</v>
      </c>
      <c r="D498" s="4" t="s">
        <v>716</v>
      </c>
      <c r="E498" s="4" t="s">
        <v>717</v>
      </c>
      <c r="M498" s="4" t="s">
        <v>757</v>
      </c>
      <c r="N498" s="4">
        <v>-71.611165400489995</v>
      </c>
      <c r="O498" s="4">
        <v>3.7162382564670002</v>
      </c>
      <c r="P498" s="4" t="s">
        <v>846</v>
      </c>
      <c r="Q498" s="4" t="s">
        <v>743</v>
      </c>
      <c r="R498" s="4" t="s">
        <v>730</v>
      </c>
      <c r="S498" s="2">
        <v>46174.439857199075</v>
      </c>
      <c r="T498" s="5">
        <v>3.5958333333333334E-4</v>
      </c>
      <c r="U498" s="4">
        <v>0.3624800443649292</v>
      </c>
      <c r="V498" s="4" t="s">
        <v>778</v>
      </c>
      <c r="W498" s="4" t="s">
        <v>757</v>
      </c>
      <c r="X498" s="6" t="s">
        <v>617</v>
      </c>
    </row>
    <row r="499" spans="1:24">
      <c r="A499" s="4" t="s">
        <v>840</v>
      </c>
      <c r="B499" s="4" t="s">
        <v>841</v>
      </c>
      <c r="D499" s="4" t="s">
        <v>716</v>
      </c>
      <c r="E499" s="4" t="s">
        <v>717</v>
      </c>
      <c r="M499" s="4" t="s">
        <v>757</v>
      </c>
      <c r="N499" s="4">
        <v>-71.607200599999999</v>
      </c>
      <c r="O499" s="4">
        <v>3.71635604</v>
      </c>
      <c r="P499" s="4" t="s">
        <v>846</v>
      </c>
      <c r="Q499" s="4" t="s">
        <v>743</v>
      </c>
      <c r="R499" s="4" t="s">
        <v>730</v>
      </c>
      <c r="S499" s="2">
        <v>46174.445131122688</v>
      </c>
      <c r="T499" s="5">
        <v>1.8710648148148148E-4</v>
      </c>
      <c r="U499" s="4">
        <v>0.19149030745029449</v>
      </c>
      <c r="V499" s="4" t="s">
        <v>848</v>
      </c>
      <c r="W499" s="4" t="s">
        <v>757</v>
      </c>
      <c r="X499" s="6" t="s">
        <v>617</v>
      </c>
    </row>
    <row r="500" spans="1:24">
      <c r="A500" s="4" t="s">
        <v>840</v>
      </c>
      <c r="B500" s="4" t="s">
        <v>841</v>
      </c>
      <c r="D500" s="4" t="s">
        <v>716</v>
      </c>
      <c r="E500" s="4" t="s">
        <v>717</v>
      </c>
      <c r="M500" s="4" t="s">
        <v>757</v>
      </c>
      <c r="N500" s="4">
        <v>-71.609143600451233</v>
      </c>
      <c r="O500" s="4">
        <v>3.7165306443093504</v>
      </c>
      <c r="P500" s="4" t="s">
        <v>846</v>
      </c>
      <c r="Q500" s="4" t="s">
        <v>743</v>
      </c>
      <c r="R500" s="4" t="s">
        <v>730</v>
      </c>
      <c r="S500" s="2">
        <v>46174.445343287036</v>
      </c>
      <c r="T500" s="5">
        <v>1.5643518518518518E-4</v>
      </c>
      <c r="U500" s="4">
        <v>0.15722042322158813</v>
      </c>
      <c r="V500" s="4" t="s">
        <v>774</v>
      </c>
      <c r="W500" s="4" t="s">
        <v>757</v>
      </c>
      <c r="X500" s="6" t="s">
        <v>617</v>
      </c>
    </row>
    <row r="501" spans="1:24">
      <c r="A501" s="4" t="s">
        <v>840</v>
      </c>
      <c r="B501" s="4" t="s">
        <v>841</v>
      </c>
      <c r="D501" s="4" t="s">
        <v>716</v>
      </c>
      <c r="E501" s="4" t="s">
        <v>717</v>
      </c>
      <c r="M501" s="4" t="s">
        <v>757</v>
      </c>
      <c r="N501" s="4">
        <v>-71.614967362900003</v>
      </c>
      <c r="O501" s="4">
        <v>3.7203506779312501</v>
      </c>
      <c r="P501" s="4" t="s">
        <v>846</v>
      </c>
      <c r="Q501" s="4" t="s">
        <v>743</v>
      </c>
      <c r="R501" s="4" t="s">
        <v>730</v>
      </c>
      <c r="S501" s="2">
        <v>46174.447638726851</v>
      </c>
      <c r="T501" s="5">
        <v>1.803587962962963E-4</v>
      </c>
      <c r="U501" s="4">
        <v>0.17588217556476593</v>
      </c>
      <c r="V501" s="4" t="s">
        <v>778</v>
      </c>
      <c r="W501" s="4" t="s">
        <v>757</v>
      </c>
      <c r="X501" s="6" t="s">
        <v>617</v>
      </c>
    </row>
    <row r="502" spans="1:24">
      <c r="A502" s="4" t="s">
        <v>840</v>
      </c>
      <c r="B502" s="4" t="s">
        <v>841</v>
      </c>
      <c r="D502" s="4" t="s">
        <v>716</v>
      </c>
      <c r="E502" s="4" t="s">
        <v>717</v>
      </c>
      <c r="M502" s="4" t="s">
        <v>757</v>
      </c>
      <c r="N502" s="4">
        <v>-71.619594560479342</v>
      </c>
      <c r="O502" s="4">
        <v>3.7236308750892522</v>
      </c>
      <c r="P502" s="4" t="s">
        <v>846</v>
      </c>
      <c r="Q502" s="4" t="s">
        <v>743</v>
      </c>
      <c r="R502" s="4" t="s">
        <v>730</v>
      </c>
      <c r="S502" s="2">
        <v>46174.448360231479</v>
      </c>
      <c r="T502" s="5">
        <v>1.0577546296296297E-4</v>
      </c>
      <c r="U502" s="4">
        <v>0.10542929172515869</v>
      </c>
      <c r="V502" s="4" t="s">
        <v>778</v>
      </c>
      <c r="W502" s="4" t="s">
        <v>757</v>
      </c>
      <c r="X502" s="6" t="s">
        <v>617</v>
      </c>
    </row>
    <row r="503" spans="1:24">
      <c r="A503" s="4" t="s">
        <v>840</v>
      </c>
      <c r="B503" s="4" t="s">
        <v>841</v>
      </c>
      <c r="D503" s="4" t="s">
        <v>716</v>
      </c>
      <c r="E503" s="4" t="s">
        <v>717</v>
      </c>
      <c r="M503" s="4" t="s">
        <v>757</v>
      </c>
      <c r="N503" s="4">
        <v>-71.620735164794382</v>
      </c>
      <c r="O503" s="4">
        <v>3.7252090320628555</v>
      </c>
      <c r="P503" s="4" t="s">
        <v>846</v>
      </c>
      <c r="Q503" s="4" t="s">
        <v>743</v>
      </c>
      <c r="R503" s="4" t="s">
        <v>730</v>
      </c>
      <c r="S503" s="2">
        <v>46174.448606157406</v>
      </c>
      <c r="T503" s="5">
        <v>1.829861111111111E-5</v>
      </c>
      <c r="U503" s="4">
        <v>1.7324244603514671E-2</v>
      </c>
      <c r="V503" s="4" t="s">
        <v>758</v>
      </c>
      <c r="W503" s="4" t="s">
        <v>757</v>
      </c>
      <c r="X503" s="6" t="s">
        <v>617</v>
      </c>
    </row>
    <row r="504" spans="1:24">
      <c r="A504" s="4" t="s">
        <v>840</v>
      </c>
      <c r="B504" s="4" t="s">
        <v>841</v>
      </c>
      <c r="D504" s="4" t="s">
        <v>716</v>
      </c>
      <c r="E504" s="4" t="s">
        <v>717</v>
      </c>
      <c r="M504" s="4" t="s">
        <v>757</v>
      </c>
      <c r="N504" s="4">
        <v>-71.617130289319988</v>
      </c>
      <c r="O504" s="4">
        <v>3.7323650254280003</v>
      </c>
      <c r="P504" s="4" t="s">
        <v>846</v>
      </c>
      <c r="Q504" s="4" t="s">
        <v>743</v>
      </c>
      <c r="R504" s="4" t="s">
        <v>730</v>
      </c>
      <c r="S504" s="2">
        <v>46174.449797291665</v>
      </c>
      <c r="T504" s="5">
        <v>3.2789351851851854E-5</v>
      </c>
      <c r="U504" s="4">
        <v>3.1634312123060226E-2</v>
      </c>
      <c r="V504" s="4" t="s">
        <v>758</v>
      </c>
      <c r="W504" s="4" t="s">
        <v>757</v>
      </c>
      <c r="X504" s="6" t="s">
        <v>617</v>
      </c>
    </row>
    <row r="505" spans="1:24">
      <c r="A505" s="4" t="s">
        <v>840</v>
      </c>
      <c r="B505" s="4" t="s">
        <v>841</v>
      </c>
      <c r="D505" s="4" t="s">
        <v>716</v>
      </c>
      <c r="E505" s="4" t="s">
        <v>717</v>
      </c>
      <c r="M505" s="4" t="s">
        <v>757</v>
      </c>
      <c r="N505" s="4">
        <v>-71.616649625271847</v>
      </c>
      <c r="O505" s="4">
        <v>3.7333342642357206</v>
      </c>
      <c r="P505" s="4" t="s">
        <v>846</v>
      </c>
      <c r="Q505" s="4" t="s">
        <v>743</v>
      </c>
      <c r="R505" s="4" t="s">
        <v>730</v>
      </c>
      <c r="S505" s="2">
        <v>46174.449922673608</v>
      </c>
      <c r="T505" s="5">
        <v>6.1736111111111109E-5</v>
      </c>
      <c r="U505" s="4">
        <v>5.7450629770755768E-2</v>
      </c>
      <c r="V505" s="4" t="s">
        <v>774</v>
      </c>
      <c r="W505" s="4" t="s">
        <v>757</v>
      </c>
      <c r="X505" s="6" t="s">
        <v>617</v>
      </c>
    </row>
    <row r="506" spans="1:24">
      <c r="A506" s="4" t="s">
        <v>840</v>
      </c>
      <c r="B506" s="4" t="s">
        <v>841</v>
      </c>
      <c r="D506" s="4" t="s">
        <v>716</v>
      </c>
      <c r="E506" s="4" t="s">
        <v>717</v>
      </c>
      <c r="M506" s="4" t="s">
        <v>757</v>
      </c>
      <c r="N506" s="4">
        <v>-71.614845299999999</v>
      </c>
      <c r="O506" s="4">
        <v>3.73555517</v>
      </c>
      <c r="P506" s="4" t="s">
        <v>846</v>
      </c>
      <c r="Q506" s="4" t="s">
        <v>743</v>
      </c>
      <c r="R506" s="4" t="s">
        <v>730</v>
      </c>
      <c r="S506" s="2">
        <v>46174.4502584375</v>
      </c>
      <c r="T506" s="5">
        <v>1.6394675925925927E-4</v>
      </c>
      <c r="U506" s="4">
        <v>0.16688662767410278</v>
      </c>
      <c r="V506" s="4" t="s">
        <v>848</v>
      </c>
      <c r="W506" s="4" t="s">
        <v>757</v>
      </c>
      <c r="X506" s="6" t="s">
        <v>617</v>
      </c>
    </row>
    <row r="507" spans="1:24">
      <c r="A507" s="4" t="s">
        <v>840</v>
      </c>
      <c r="B507" s="4" t="s">
        <v>841</v>
      </c>
      <c r="D507" s="4" t="s">
        <v>716</v>
      </c>
      <c r="E507" s="4" t="s">
        <v>717</v>
      </c>
      <c r="M507" s="4" t="s">
        <v>757</v>
      </c>
      <c r="N507" s="4">
        <v>-71.61165769865714</v>
      </c>
      <c r="O507" s="4">
        <v>3.7374096636714285</v>
      </c>
      <c r="P507" s="4" t="s">
        <v>846</v>
      </c>
      <c r="Q507" s="4" t="s">
        <v>743</v>
      </c>
      <c r="R507" s="4" t="s">
        <v>730</v>
      </c>
      <c r="S507" s="2">
        <v>46174.450820046295</v>
      </c>
      <c r="T507" s="5">
        <v>2.283564814814815E-5</v>
      </c>
      <c r="U507" s="4">
        <v>2.1146653220057487E-2</v>
      </c>
      <c r="V507" s="4" t="s">
        <v>758</v>
      </c>
      <c r="W507" s="4" t="s">
        <v>757</v>
      </c>
      <c r="X507" s="6" t="s">
        <v>617</v>
      </c>
    </row>
    <row r="508" spans="1:24">
      <c r="A508" s="4" t="s">
        <v>840</v>
      </c>
      <c r="B508" s="4" t="s">
        <v>841</v>
      </c>
      <c r="D508" s="4" t="s">
        <v>716</v>
      </c>
      <c r="E508" s="4" t="s">
        <v>717</v>
      </c>
      <c r="M508" s="4" t="s">
        <v>757</v>
      </c>
      <c r="N508" s="4">
        <v>-71.608528150000012</v>
      </c>
      <c r="O508" s="4">
        <v>3.7442035699999998</v>
      </c>
      <c r="P508" s="4" t="s">
        <v>846</v>
      </c>
      <c r="Q508" s="4" t="s">
        <v>743</v>
      </c>
      <c r="R508" s="4" t="s">
        <v>730</v>
      </c>
      <c r="S508" s="2">
        <v>46174.451791886575</v>
      </c>
      <c r="T508" s="5">
        <v>7.688657407407408E-5</v>
      </c>
      <c r="U508" s="4">
        <v>7.6033011078834534E-2</v>
      </c>
      <c r="V508" s="4" t="s">
        <v>774</v>
      </c>
      <c r="W508" s="4" t="s">
        <v>757</v>
      </c>
      <c r="X508" s="6" t="s">
        <v>617</v>
      </c>
    </row>
    <row r="509" spans="1:24">
      <c r="A509" s="4" t="s">
        <v>840</v>
      </c>
      <c r="B509" s="4" t="s">
        <v>841</v>
      </c>
      <c r="D509" s="4" t="s">
        <v>716</v>
      </c>
      <c r="E509" s="4" t="s">
        <v>717</v>
      </c>
      <c r="M509" s="4" t="s">
        <v>757</v>
      </c>
      <c r="N509" s="4">
        <v>-71.609965000000003</v>
      </c>
      <c r="O509" s="4">
        <v>3.7574349266666665</v>
      </c>
      <c r="P509" s="4" t="s">
        <v>779</v>
      </c>
      <c r="Q509" s="4" t="s">
        <v>743</v>
      </c>
      <c r="R509" s="4" t="s">
        <v>730</v>
      </c>
      <c r="S509" s="2">
        <v>46174.454251377312</v>
      </c>
      <c r="T509" s="5">
        <v>3.7037037037037037E-5</v>
      </c>
      <c r="U509" s="4">
        <v>3.4707996994256973E-2</v>
      </c>
      <c r="V509" s="4" t="s">
        <v>758</v>
      </c>
      <c r="W509" s="4" t="s">
        <v>757</v>
      </c>
      <c r="X509" s="6" t="s">
        <v>617</v>
      </c>
    </row>
    <row r="510" spans="1:24">
      <c r="A510" s="4" t="s">
        <v>840</v>
      </c>
      <c r="B510" s="4" t="s">
        <v>841</v>
      </c>
      <c r="D510" s="4" t="s">
        <v>716</v>
      </c>
      <c r="E510" s="4" t="s">
        <v>717</v>
      </c>
      <c r="M510" s="4" t="s">
        <v>757</v>
      </c>
      <c r="N510" s="4">
        <v>-71.614193</v>
      </c>
      <c r="O510" s="4">
        <v>3.7650660249999999</v>
      </c>
      <c r="P510" s="4" t="s">
        <v>779</v>
      </c>
      <c r="Q510" s="4" t="s">
        <v>743</v>
      </c>
      <c r="R510" s="4" t="s">
        <v>730</v>
      </c>
      <c r="S510" s="2">
        <v>46174.455813761575</v>
      </c>
      <c r="T510" s="5">
        <v>3.2414351851851853E-4</v>
      </c>
      <c r="U510" s="4">
        <v>0.31228020787239075</v>
      </c>
      <c r="V510" s="4" t="s">
        <v>774</v>
      </c>
      <c r="W510" s="4" t="s">
        <v>757</v>
      </c>
      <c r="X510" s="6" t="s">
        <v>617</v>
      </c>
    </row>
    <row r="511" spans="1:24">
      <c r="A511" s="4" t="s">
        <v>840</v>
      </c>
      <c r="B511" s="4" t="s">
        <v>841</v>
      </c>
      <c r="D511" s="4" t="s">
        <v>716</v>
      </c>
      <c r="E511" s="4" t="s">
        <v>717</v>
      </c>
      <c r="M511" s="4" t="s">
        <v>757</v>
      </c>
      <c r="N511" s="4">
        <v>-71.616901399999989</v>
      </c>
      <c r="O511" s="4">
        <v>3.76764667</v>
      </c>
      <c r="P511" s="4" t="s">
        <v>779</v>
      </c>
      <c r="Q511" s="4" t="s">
        <v>743</v>
      </c>
      <c r="R511" s="4" t="s">
        <v>730</v>
      </c>
      <c r="S511" s="2">
        <v>46174.45625358796</v>
      </c>
      <c r="T511" s="5">
        <v>5.2083433333333337E-5</v>
      </c>
      <c r="U511" s="4">
        <v>4.8590872436761856E-2</v>
      </c>
      <c r="V511" s="4" t="s">
        <v>758</v>
      </c>
      <c r="W511" s="4" t="s">
        <v>757</v>
      </c>
      <c r="X511" s="6" t="s">
        <v>617</v>
      </c>
    </row>
    <row r="512" spans="1:24">
      <c r="A512" s="4" t="s">
        <v>840</v>
      </c>
      <c r="B512" s="4" t="s">
        <v>841</v>
      </c>
      <c r="D512" s="4" t="s">
        <v>716</v>
      </c>
      <c r="E512" s="4" t="s">
        <v>717</v>
      </c>
      <c r="M512" s="4" t="s">
        <v>757</v>
      </c>
      <c r="N512" s="4">
        <v>-71.615188599999996</v>
      </c>
      <c r="O512" s="4">
        <v>3.7792067500000002</v>
      </c>
      <c r="P512" s="4" t="s">
        <v>776</v>
      </c>
      <c r="Q512" s="4" t="s">
        <v>743</v>
      </c>
      <c r="R512" s="4" t="s">
        <v>730</v>
      </c>
      <c r="S512" s="2">
        <v>46174.458128587961</v>
      </c>
      <c r="T512" s="5">
        <v>8.6354166666666667E-5</v>
      </c>
      <c r="U512" s="4">
        <v>8.5473693907260895E-2</v>
      </c>
      <c r="V512" s="4" t="s">
        <v>778</v>
      </c>
      <c r="W512" s="4" t="s">
        <v>757</v>
      </c>
      <c r="X512" s="6" t="s">
        <v>617</v>
      </c>
    </row>
    <row r="513" spans="1:24">
      <c r="A513" s="4" t="s">
        <v>840</v>
      </c>
      <c r="B513" s="4" t="s">
        <v>841</v>
      </c>
      <c r="D513" s="4" t="s">
        <v>716</v>
      </c>
      <c r="E513" s="4" t="s">
        <v>717</v>
      </c>
      <c r="M513" s="4" t="s">
        <v>757</v>
      </c>
      <c r="N513" s="4">
        <v>-71.620043920000001</v>
      </c>
      <c r="O513" s="4">
        <v>3.7812376040000002</v>
      </c>
      <c r="P513" s="4" t="s">
        <v>742</v>
      </c>
      <c r="Q513" s="4" t="s">
        <v>743</v>
      </c>
      <c r="R513" s="4" t="s">
        <v>730</v>
      </c>
      <c r="S513" s="2">
        <v>46174.459786053238</v>
      </c>
      <c r="T513" s="5">
        <v>7.8634259259259263E-5</v>
      </c>
      <c r="U513" s="4">
        <v>8.1450469791889191E-2</v>
      </c>
      <c r="V513" s="4" t="s">
        <v>849</v>
      </c>
      <c r="W513" s="4" t="s">
        <v>757</v>
      </c>
      <c r="X513" s="6" t="s">
        <v>617</v>
      </c>
    </row>
    <row r="514" spans="1:24">
      <c r="A514" s="4" t="s">
        <v>840</v>
      </c>
      <c r="B514" s="4" t="s">
        <v>841</v>
      </c>
      <c r="D514" s="4" t="s">
        <v>716</v>
      </c>
      <c r="E514" s="4" t="s">
        <v>717</v>
      </c>
      <c r="M514" s="4" t="s">
        <v>762</v>
      </c>
      <c r="N514" s="4">
        <v>-71.621210294449995</v>
      </c>
      <c r="O514" s="4">
        <v>3.7806969147074998</v>
      </c>
      <c r="P514" s="4" t="s">
        <v>734</v>
      </c>
      <c r="Q514" s="4" t="s">
        <v>735</v>
      </c>
      <c r="R514" s="4" t="s">
        <v>730</v>
      </c>
      <c r="S514" s="2">
        <v>46174.459967800925</v>
      </c>
      <c r="T514" s="5">
        <v>3.578703703703704E-5</v>
      </c>
      <c r="U514" s="4">
        <v>2.6686124503612518E-2</v>
      </c>
      <c r="V514" s="4" t="s">
        <v>781</v>
      </c>
      <c r="W514" s="4" t="s">
        <v>762</v>
      </c>
      <c r="X514" s="6" t="s">
        <v>617</v>
      </c>
    </row>
    <row r="515" spans="1:24">
      <c r="A515" s="4" t="s">
        <v>840</v>
      </c>
      <c r="B515" s="4" t="s">
        <v>841</v>
      </c>
      <c r="D515" s="4" t="s">
        <v>716</v>
      </c>
      <c r="E515" s="4" t="s">
        <v>717</v>
      </c>
      <c r="M515" s="4" t="s">
        <v>762</v>
      </c>
      <c r="N515" s="4">
        <v>-71.622011799999996</v>
      </c>
      <c r="O515" s="4">
        <v>3.7804765666666666</v>
      </c>
      <c r="P515" s="4" t="s">
        <v>734</v>
      </c>
      <c r="Q515" s="4" t="s">
        <v>735</v>
      </c>
      <c r="R515" s="4" t="s">
        <v>730</v>
      </c>
      <c r="S515" s="2">
        <v>46174.46012703704</v>
      </c>
      <c r="T515" s="5">
        <v>4.2442129629629626E-5</v>
      </c>
      <c r="U515" s="4">
        <v>3.1263820827007294E-2</v>
      </c>
      <c r="V515" s="4" t="s">
        <v>808</v>
      </c>
      <c r="W515" s="4" t="s">
        <v>762</v>
      </c>
      <c r="X515" s="6" t="s">
        <v>617</v>
      </c>
    </row>
    <row r="516" spans="1:24">
      <c r="A516" s="4" t="s">
        <v>840</v>
      </c>
      <c r="B516" s="4" t="s">
        <v>841</v>
      </c>
      <c r="D516" s="4" t="s">
        <v>716</v>
      </c>
      <c r="E516" s="4" t="s">
        <v>717</v>
      </c>
      <c r="M516" s="4" t="s">
        <v>645</v>
      </c>
      <c r="N516" s="4">
        <v>-71.625614631839994</v>
      </c>
      <c r="O516" s="4">
        <v>3.7810351864</v>
      </c>
      <c r="P516" s="4" t="s">
        <v>759</v>
      </c>
      <c r="Q516" s="4" t="s">
        <v>760</v>
      </c>
      <c r="R516" s="4" t="s">
        <v>730</v>
      </c>
      <c r="S516" s="2">
        <v>46174.46089869213</v>
      </c>
      <c r="T516" s="5">
        <v>1.6604166666666666E-4</v>
      </c>
      <c r="U516" s="4">
        <v>6.4304627478122711E-2</v>
      </c>
      <c r="V516" s="4" t="s">
        <v>761</v>
      </c>
      <c r="W516" s="4" t="s">
        <v>645</v>
      </c>
      <c r="X516" s="6" t="s">
        <v>617</v>
      </c>
    </row>
    <row r="517" spans="1:24">
      <c r="A517" s="4" t="s">
        <v>840</v>
      </c>
      <c r="B517" s="4" t="s">
        <v>841</v>
      </c>
      <c r="D517" s="4" t="s">
        <v>716</v>
      </c>
      <c r="E517" s="4" t="s">
        <v>717</v>
      </c>
      <c r="M517" s="4" t="s">
        <v>645</v>
      </c>
      <c r="N517" s="4">
        <v>-71.626208172657144</v>
      </c>
      <c r="O517" s="4">
        <v>3.7810078082342855</v>
      </c>
      <c r="P517" s="4" t="s">
        <v>770</v>
      </c>
      <c r="Q517" s="4" t="s">
        <v>740</v>
      </c>
      <c r="R517" s="4" t="s">
        <v>730</v>
      </c>
      <c r="S517" s="2">
        <v>46174.461069618053</v>
      </c>
      <c r="T517" s="5">
        <v>1.1065972222222222E-4</v>
      </c>
      <c r="U517" s="4">
        <v>3.1100485473871231E-2</v>
      </c>
      <c r="V517" s="4" t="s">
        <v>666</v>
      </c>
      <c r="W517" s="4" t="s">
        <v>645</v>
      </c>
      <c r="X517" s="6" t="s">
        <v>617</v>
      </c>
    </row>
    <row r="518" spans="1:24">
      <c r="A518" s="4" t="s">
        <v>840</v>
      </c>
      <c r="B518" s="4" t="s">
        <v>841</v>
      </c>
      <c r="D518" s="4" t="s">
        <v>716</v>
      </c>
      <c r="E518" s="4" t="s">
        <v>717</v>
      </c>
      <c r="M518" s="4" t="s">
        <v>645</v>
      </c>
      <c r="N518" s="4">
        <v>-71.626464849999991</v>
      </c>
      <c r="O518" s="4">
        <v>3.7806706399999999</v>
      </c>
      <c r="P518" s="4" t="s">
        <v>722</v>
      </c>
      <c r="Q518" s="4" t="s">
        <v>723</v>
      </c>
      <c r="R518" s="4" t="s">
        <v>720</v>
      </c>
      <c r="S518" s="2">
        <v>46174.464847268522</v>
      </c>
      <c r="T518" s="5">
        <v>5.0787037037037033E-4</v>
      </c>
      <c r="U518" s="4">
        <v>0.13313852250576019</v>
      </c>
      <c r="V518" s="4" t="s">
        <v>731</v>
      </c>
      <c r="W518" s="4" t="s">
        <v>645</v>
      </c>
      <c r="X518" s="6" t="s">
        <v>617</v>
      </c>
    </row>
    <row r="519" spans="1:24">
      <c r="A519" s="4" t="s">
        <v>840</v>
      </c>
      <c r="B519" s="4" t="s">
        <v>841</v>
      </c>
      <c r="D519" s="4" t="s">
        <v>716</v>
      </c>
      <c r="E519" s="4" t="s">
        <v>717</v>
      </c>
      <c r="M519" s="4" t="s">
        <v>614</v>
      </c>
      <c r="N519" s="4">
        <v>-71.626724199999998</v>
      </c>
      <c r="O519" s="4">
        <v>3.7793965300000001</v>
      </c>
      <c r="P519" s="4" t="s">
        <v>726</v>
      </c>
      <c r="Q519" s="4" t="s">
        <v>727</v>
      </c>
      <c r="R519" s="4" t="s">
        <v>720</v>
      </c>
      <c r="S519" s="2">
        <v>46174.465663182869</v>
      </c>
      <c r="T519" s="5">
        <v>1.0115868055555555E-2</v>
      </c>
      <c r="U519" s="4">
        <v>1.4691576361656189E-2</v>
      </c>
      <c r="V519" s="4" t="s">
        <v>616</v>
      </c>
      <c r="W519" s="4" t="s">
        <v>614</v>
      </c>
      <c r="X519" s="6" t="s">
        <v>617</v>
      </c>
    </row>
    <row r="520" spans="1:24">
      <c r="A520" s="4" t="s">
        <v>840</v>
      </c>
      <c r="B520" s="4" t="s">
        <v>841</v>
      </c>
      <c r="D520" s="4" t="s">
        <v>716</v>
      </c>
      <c r="E520" s="4" t="s">
        <v>717</v>
      </c>
      <c r="M520" s="4" t="s">
        <v>645</v>
      </c>
      <c r="N520" s="4">
        <v>-71.626548799999995</v>
      </c>
      <c r="O520" s="4">
        <v>3.7794656799999999</v>
      </c>
      <c r="P520" s="4" t="s">
        <v>726</v>
      </c>
      <c r="Q520" s="4" t="s">
        <v>727</v>
      </c>
      <c r="R520" s="4" t="s">
        <v>720</v>
      </c>
      <c r="S520" s="2">
        <v>46174.489459942131</v>
      </c>
      <c r="T520" s="5">
        <v>2.9699074074074073E-4</v>
      </c>
      <c r="U520" s="4">
        <v>7.4848413467407227E-2</v>
      </c>
      <c r="V520" s="4" t="s">
        <v>724</v>
      </c>
      <c r="W520" s="4" t="s">
        <v>645</v>
      </c>
      <c r="X520" s="6" t="s">
        <v>617</v>
      </c>
    </row>
    <row r="521" spans="1:24">
      <c r="A521" s="4" t="s">
        <v>840</v>
      </c>
      <c r="B521" s="4" t="s">
        <v>841</v>
      </c>
      <c r="D521" s="4" t="s">
        <v>716</v>
      </c>
      <c r="E521" s="4" t="s">
        <v>717</v>
      </c>
      <c r="M521" s="4" t="s">
        <v>645</v>
      </c>
      <c r="N521" s="4">
        <v>-71.626430525544947</v>
      </c>
      <c r="O521" s="4">
        <v>3.7808299967687704</v>
      </c>
      <c r="P521" s="4" t="s">
        <v>729</v>
      </c>
      <c r="Q521" s="4" t="s">
        <v>723</v>
      </c>
      <c r="R521" s="4" t="s">
        <v>730</v>
      </c>
      <c r="S521" s="2">
        <v>46174.490251354167</v>
      </c>
      <c r="T521" s="5">
        <v>2.5497685185185184E-5</v>
      </c>
      <c r="U521" s="4">
        <v>6.0073155909776688E-3</v>
      </c>
      <c r="V521" s="4" t="s">
        <v>731</v>
      </c>
      <c r="W521" s="4" t="s">
        <v>645</v>
      </c>
      <c r="X521" s="6" t="s">
        <v>617</v>
      </c>
    </row>
    <row r="522" spans="1:24">
      <c r="A522" s="4" t="s">
        <v>840</v>
      </c>
      <c r="B522" s="4" t="s">
        <v>841</v>
      </c>
      <c r="D522" s="4" t="s">
        <v>716</v>
      </c>
      <c r="E522" s="4" t="s">
        <v>717</v>
      </c>
      <c r="M522" s="4" t="s">
        <v>762</v>
      </c>
      <c r="N522" s="4">
        <v>-71.628353420195964</v>
      </c>
      <c r="O522" s="4">
        <v>3.7812856961647667</v>
      </c>
      <c r="P522" s="4" t="s">
        <v>734</v>
      </c>
      <c r="Q522" s="4" t="s">
        <v>735</v>
      </c>
      <c r="R522" s="4" t="s">
        <v>730</v>
      </c>
      <c r="S522" s="2">
        <v>46174.490708287034</v>
      </c>
      <c r="T522" s="5">
        <v>3.3155092592592595E-4</v>
      </c>
      <c r="U522" s="4">
        <v>0.28601384162902832</v>
      </c>
      <c r="V522" s="4" t="s">
        <v>842</v>
      </c>
      <c r="W522" s="4" t="s">
        <v>762</v>
      </c>
      <c r="X522" s="6" t="s">
        <v>617</v>
      </c>
    </row>
    <row r="523" spans="1:24">
      <c r="A523" s="4" t="s">
        <v>840</v>
      </c>
      <c r="B523" s="4" t="s">
        <v>841</v>
      </c>
      <c r="D523" s="4" t="s">
        <v>716</v>
      </c>
      <c r="E523" s="4" t="s">
        <v>717</v>
      </c>
      <c r="M523" s="4" t="s">
        <v>757</v>
      </c>
      <c r="N523" s="4">
        <v>-71.629325882454381</v>
      </c>
      <c r="O523" s="4">
        <v>3.7824644720394902</v>
      </c>
      <c r="P523" s="4" t="s">
        <v>734</v>
      </c>
      <c r="Q523" s="4" t="s">
        <v>735</v>
      </c>
      <c r="R523" s="4" t="s">
        <v>730</v>
      </c>
      <c r="S523" s="2">
        <v>46174.490916620372</v>
      </c>
      <c r="T523" s="5">
        <v>7.6493055555555559E-5</v>
      </c>
      <c r="U523" s="4">
        <v>7.4477113783359528E-2</v>
      </c>
      <c r="V523" s="4" t="s">
        <v>842</v>
      </c>
      <c r="W523" s="4" t="s">
        <v>757</v>
      </c>
      <c r="X523" s="6" t="s">
        <v>617</v>
      </c>
    </row>
    <row r="524" spans="1:24">
      <c r="A524" s="4" t="s">
        <v>840</v>
      </c>
      <c r="B524" s="4" t="s">
        <v>841</v>
      </c>
      <c r="D524" s="4" t="s">
        <v>716</v>
      </c>
      <c r="E524" s="4" t="s">
        <v>717</v>
      </c>
      <c r="M524" s="4" t="s">
        <v>762</v>
      </c>
      <c r="N524" s="4">
        <v>-71.630732687337243</v>
      </c>
      <c r="O524" s="4">
        <v>3.7834305209786807</v>
      </c>
      <c r="P524" s="4" t="s">
        <v>734</v>
      </c>
      <c r="Q524" s="4" t="s">
        <v>735</v>
      </c>
      <c r="R524" s="4" t="s">
        <v>730</v>
      </c>
      <c r="S524" s="2">
        <v>46174.491179872683</v>
      </c>
      <c r="T524" s="5">
        <v>9.7210648148148148E-5</v>
      </c>
      <c r="U524" s="4">
        <v>7.7378667891025543E-2</v>
      </c>
      <c r="V524" s="4" t="s">
        <v>844</v>
      </c>
      <c r="W524" s="4" t="s">
        <v>762</v>
      </c>
      <c r="X524" s="6" t="s">
        <v>617</v>
      </c>
    </row>
    <row r="525" spans="1:24">
      <c r="A525" s="4" t="s">
        <v>840</v>
      </c>
      <c r="B525" s="4" t="s">
        <v>841</v>
      </c>
      <c r="D525" s="4" t="s">
        <v>716</v>
      </c>
      <c r="E525" s="4" t="s">
        <v>717</v>
      </c>
      <c r="M525" s="4" t="s">
        <v>762</v>
      </c>
      <c r="N525" s="4">
        <v>-71.631401100000005</v>
      </c>
      <c r="O525" s="4">
        <v>3.7836284600000001</v>
      </c>
      <c r="P525" s="4" t="s">
        <v>734</v>
      </c>
      <c r="Q525" s="4" t="s">
        <v>735</v>
      </c>
      <c r="R525" s="4" t="s">
        <v>730</v>
      </c>
      <c r="S525" s="2">
        <v>46174.491277083333</v>
      </c>
      <c r="T525" s="5">
        <v>4.6261574074074075E-5</v>
      </c>
      <c r="U525" s="4">
        <v>3.3784106373786926E-2</v>
      </c>
      <c r="V525" s="4" t="s">
        <v>808</v>
      </c>
      <c r="W525" s="4" t="s">
        <v>762</v>
      </c>
      <c r="X525" s="6" t="s">
        <v>617</v>
      </c>
    </row>
    <row r="526" spans="1:24">
      <c r="A526" s="4" t="s">
        <v>840</v>
      </c>
      <c r="B526" s="4" t="s">
        <v>841</v>
      </c>
      <c r="D526" s="4" t="s">
        <v>716</v>
      </c>
      <c r="E526" s="4" t="s">
        <v>717</v>
      </c>
      <c r="M526" s="4" t="s">
        <v>762</v>
      </c>
      <c r="N526" s="4">
        <v>-71.6322823</v>
      </c>
      <c r="O526" s="4">
        <v>3.7837812900000003</v>
      </c>
      <c r="P526" s="4" t="s">
        <v>734</v>
      </c>
      <c r="Q526" s="4" t="s">
        <v>735</v>
      </c>
      <c r="R526" s="4" t="s">
        <v>730</v>
      </c>
      <c r="S526" s="2">
        <v>46174.491439224534</v>
      </c>
      <c r="T526" s="5">
        <v>6.3564814814814812E-5</v>
      </c>
      <c r="U526" s="4">
        <v>4.8839043825864792E-2</v>
      </c>
      <c r="V526" s="4" t="s">
        <v>781</v>
      </c>
      <c r="W526" s="4" t="s">
        <v>762</v>
      </c>
      <c r="X526" s="6" t="s">
        <v>617</v>
      </c>
    </row>
    <row r="527" spans="1:24">
      <c r="A527" s="4" t="s">
        <v>840</v>
      </c>
      <c r="B527" s="4" t="s">
        <v>841</v>
      </c>
      <c r="D527" s="4" t="s">
        <v>716</v>
      </c>
      <c r="E527" s="4" t="s">
        <v>717</v>
      </c>
      <c r="M527" s="4" t="s">
        <v>762</v>
      </c>
      <c r="N527" s="4">
        <v>-71.633008294168619</v>
      </c>
      <c r="O527" s="4">
        <v>3.7839047879340217</v>
      </c>
      <c r="P527" s="4" t="s">
        <v>734</v>
      </c>
      <c r="Q527" s="4" t="s">
        <v>735</v>
      </c>
      <c r="R527" s="4" t="s">
        <v>730</v>
      </c>
      <c r="S527" s="2">
        <v>46174.49155111111</v>
      </c>
      <c r="T527" s="5">
        <v>2.9320601851851854E-4</v>
      </c>
      <c r="U527" s="4">
        <v>0.24033507704734802</v>
      </c>
      <c r="V527" s="4" t="s">
        <v>844</v>
      </c>
      <c r="W527" s="4" t="s">
        <v>762</v>
      </c>
      <c r="X527" s="6" t="s">
        <v>617</v>
      </c>
    </row>
    <row r="528" spans="1:24">
      <c r="A528" s="4" t="s">
        <v>840</v>
      </c>
      <c r="B528" s="4" t="s">
        <v>841</v>
      </c>
      <c r="D528" s="4" t="s">
        <v>716</v>
      </c>
      <c r="E528" s="4" t="s">
        <v>717</v>
      </c>
      <c r="M528" s="4" t="s">
        <v>645</v>
      </c>
      <c r="N528" s="4">
        <v>-71.635059669796121</v>
      </c>
      <c r="O528" s="4">
        <v>3.7842700720587747</v>
      </c>
      <c r="P528" s="4" t="s">
        <v>718</v>
      </c>
      <c r="Q528" s="4" t="s">
        <v>719</v>
      </c>
      <c r="R528" s="4" t="s">
        <v>720</v>
      </c>
      <c r="S528" s="2">
        <v>46174.491831678242</v>
      </c>
      <c r="T528" s="5">
        <v>2.6408564814814817E-4</v>
      </c>
      <c r="U528" s="4">
        <v>0.18346928060054779</v>
      </c>
      <c r="V528" s="4" t="s">
        <v>781</v>
      </c>
      <c r="W528" s="4" t="s">
        <v>645</v>
      </c>
      <c r="X528" s="6" t="s">
        <v>617</v>
      </c>
    </row>
    <row r="529" spans="1:24">
      <c r="A529" s="4" t="s">
        <v>840</v>
      </c>
      <c r="B529" s="4" t="s">
        <v>841</v>
      </c>
      <c r="D529" s="4" t="s">
        <v>716</v>
      </c>
      <c r="E529" s="4" t="s">
        <v>717</v>
      </c>
      <c r="M529" s="4" t="s">
        <v>762</v>
      </c>
      <c r="N529" s="4">
        <v>-71.6364733361997</v>
      </c>
      <c r="O529" s="4">
        <v>3.7843985580547672</v>
      </c>
      <c r="P529" s="4" t="s">
        <v>718</v>
      </c>
      <c r="Q529" s="4" t="s">
        <v>719</v>
      </c>
      <c r="R529" s="4" t="s">
        <v>720</v>
      </c>
      <c r="S529" s="2">
        <v>46174.492064212965</v>
      </c>
      <c r="T529" s="5">
        <v>8.0983796296296297E-5</v>
      </c>
      <c r="U529" s="4">
        <v>6.1499588191509247E-2</v>
      </c>
      <c r="V529" s="4" t="s">
        <v>784</v>
      </c>
      <c r="W529" s="4" t="s">
        <v>762</v>
      </c>
      <c r="X529" s="6" t="s">
        <v>617</v>
      </c>
    </row>
    <row r="530" spans="1:24">
      <c r="A530" s="4" t="s">
        <v>840</v>
      </c>
      <c r="B530" s="4" t="s">
        <v>841</v>
      </c>
      <c r="D530" s="4" t="s">
        <v>716</v>
      </c>
      <c r="E530" s="4" t="s">
        <v>717</v>
      </c>
      <c r="M530" s="4" t="s">
        <v>762</v>
      </c>
      <c r="N530" s="4">
        <v>-71.637374899999998</v>
      </c>
      <c r="O530" s="4">
        <v>3.78441596</v>
      </c>
      <c r="P530" s="4" t="s">
        <v>734</v>
      </c>
      <c r="Q530" s="4" t="s">
        <v>735</v>
      </c>
      <c r="R530" s="4" t="s">
        <v>730</v>
      </c>
      <c r="S530" s="2">
        <v>46174.492203125003</v>
      </c>
      <c r="T530" s="5">
        <v>3.0192129629629628E-4</v>
      </c>
      <c r="U530" s="4">
        <v>0.30267438292503357</v>
      </c>
      <c r="V530" s="4" t="s">
        <v>848</v>
      </c>
      <c r="W530" s="4" t="s">
        <v>762</v>
      </c>
      <c r="X530" s="6" t="s">
        <v>617</v>
      </c>
    </row>
    <row r="531" spans="1:24">
      <c r="A531" s="4" t="s">
        <v>840</v>
      </c>
      <c r="B531" s="4" t="s">
        <v>841</v>
      </c>
      <c r="D531" s="4" t="s">
        <v>716</v>
      </c>
      <c r="E531" s="4" t="s">
        <v>717</v>
      </c>
      <c r="M531" s="4" t="s">
        <v>757</v>
      </c>
      <c r="N531" s="4">
        <v>-71.637954699999995</v>
      </c>
      <c r="O531" s="4">
        <v>3.7843627133333335</v>
      </c>
      <c r="P531" s="4" t="s">
        <v>734</v>
      </c>
      <c r="Q531" s="4" t="s">
        <v>735</v>
      </c>
      <c r="R531" s="4" t="s">
        <v>730</v>
      </c>
      <c r="S531" s="2">
        <v>46174.492272569441</v>
      </c>
      <c r="T531" s="5">
        <v>2.0827546296296295E-4</v>
      </c>
      <c r="U531" s="4">
        <v>0.21824637055397034</v>
      </c>
      <c r="V531" s="4" t="s">
        <v>848</v>
      </c>
      <c r="W531" s="4" t="s">
        <v>757</v>
      </c>
      <c r="X531" s="6" t="s">
        <v>617</v>
      </c>
    </row>
    <row r="532" spans="1:24">
      <c r="A532" s="4" t="s">
        <v>840</v>
      </c>
      <c r="B532" s="4" t="s">
        <v>841</v>
      </c>
      <c r="D532" s="4" t="s">
        <v>716</v>
      </c>
      <c r="E532" s="4" t="s">
        <v>717</v>
      </c>
      <c r="M532" s="4" t="s">
        <v>762</v>
      </c>
      <c r="N532" s="4">
        <v>-71.640315966666662</v>
      </c>
      <c r="O532" s="4">
        <v>3.7846405133333336</v>
      </c>
      <c r="P532" s="4" t="s">
        <v>734</v>
      </c>
      <c r="Q532" s="4" t="s">
        <v>735</v>
      </c>
      <c r="R532" s="4" t="s">
        <v>730</v>
      </c>
      <c r="S532" s="2">
        <v>46174.492544548608</v>
      </c>
      <c r="T532" s="5">
        <v>8.3495370370370372E-5</v>
      </c>
      <c r="U532" s="4">
        <v>6.1495743691921234E-2</v>
      </c>
      <c r="V532" s="4" t="s">
        <v>763</v>
      </c>
      <c r="W532" s="4" t="s">
        <v>762</v>
      </c>
      <c r="X532" s="6" t="s">
        <v>617</v>
      </c>
    </row>
    <row r="533" spans="1:24">
      <c r="A533" s="4" t="s">
        <v>840</v>
      </c>
      <c r="B533" s="4" t="s">
        <v>841</v>
      </c>
      <c r="D533" s="4" t="s">
        <v>716</v>
      </c>
      <c r="E533" s="4" t="s">
        <v>717</v>
      </c>
      <c r="M533" s="4" t="s">
        <v>762</v>
      </c>
      <c r="N533" s="4">
        <v>-71.641868599999995</v>
      </c>
      <c r="O533" s="4">
        <v>3.7847049199999998</v>
      </c>
      <c r="P533" s="4" t="s">
        <v>734</v>
      </c>
      <c r="Q533" s="4" t="s">
        <v>735</v>
      </c>
      <c r="R533" s="4" t="s">
        <v>730</v>
      </c>
      <c r="S533" s="2">
        <v>46174.492793391204</v>
      </c>
      <c r="T533" s="5">
        <v>3.0092592592592595E-4</v>
      </c>
      <c r="U533" s="4">
        <v>0.22900021076202393</v>
      </c>
      <c r="V533" s="4" t="s">
        <v>843</v>
      </c>
      <c r="W533" s="4" t="s">
        <v>762</v>
      </c>
      <c r="X533" s="6" t="s">
        <v>617</v>
      </c>
    </row>
    <row r="534" spans="1:24">
      <c r="A534" s="4" t="s">
        <v>840</v>
      </c>
      <c r="B534" s="4" t="s">
        <v>841</v>
      </c>
      <c r="D534" s="4" t="s">
        <v>716</v>
      </c>
      <c r="E534" s="4" t="s">
        <v>717</v>
      </c>
      <c r="M534" s="4" t="s">
        <v>762</v>
      </c>
      <c r="N534" s="4">
        <v>-71.644092289899916</v>
      </c>
      <c r="O534" s="4">
        <v>3.7822288238680621</v>
      </c>
      <c r="P534" s="4" t="s">
        <v>734</v>
      </c>
      <c r="Q534" s="4" t="s">
        <v>735</v>
      </c>
      <c r="R534" s="4" t="s">
        <v>730</v>
      </c>
      <c r="S534" s="2">
        <v>46174.493449652779</v>
      </c>
      <c r="T534" s="5">
        <v>1.7917824074074074E-4</v>
      </c>
      <c r="U534" s="4">
        <v>0.14866650104522705</v>
      </c>
      <c r="V534" s="4" t="s">
        <v>758</v>
      </c>
      <c r="W534" s="4" t="s">
        <v>762</v>
      </c>
      <c r="X534" s="6" t="s">
        <v>617</v>
      </c>
    </row>
    <row r="535" spans="1:24">
      <c r="A535" s="4" t="s">
        <v>840</v>
      </c>
      <c r="B535" s="4" t="s">
        <v>841</v>
      </c>
      <c r="D535" s="4" t="s">
        <v>716</v>
      </c>
      <c r="E535" s="4" t="s">
        <v>717</v>
      </c>
      <c r="M535" s="4" t="s">
        <v>757</v>
      </c>
      <c r="N535" s="4">
        <v>-71.644567683166514</v>
      </c>
      <c r="O535" s="4">
        <v>3.7816942064467698</v>
      </c>
      <c r="P535" s="4" t="s">
        <v>734</v>
      </c>
      <c r="Q535" s="4" t="s">
        <v>735</v>
      </c>
      <c r="R535" s="4" t="s">
        <v>730</v>
      </c>
      <c r="S535" s="2">
        <v>46174.493547500002</v>
      </c>
      <c r="T535" s="5">
        <v>2.1331018518518519E-5</v>
      </c>
      <c r="U535" s="4">
        <v>1.8793715164065361E-2</v>
      </c>
      <c r="V535" s="4" t="s">
        <v>758</v>
      </c>
      <c r="W535" s="4" t="s">
        <v>757</v>
      </c>
      <c r="X535" s="6" t="s">
        <v>617</v>
      </c>
    </row>
    <row r="536" spans="1:24">
      <c r="A536" s="4" t="s">
        <v>840</v>
      </c>
      <c r="B536" s="4" t="s">
        <v>841</v>
      </c>
      <c r="D536" s="4" t="s">
        <v>716</v>
      </c>
      <c r="E536" s="4" t="s">
        <v>717</v>
      </c>
      <c r="M536" s="4" t="s">
        <v>762</v>
      </c>
      <c r="N536" s="4">
        <v>-71.645886926066666</v>
      </c>
      <c r="O536" s="4">
        <v>3.7805183730733334</v>
      </c>
      <c r="P536" s="4" t="s">
        <v>734</v>
      </c>
      <c r="Q536" s="4" t="s">
        <v>735</v>
      </c>
      <c r="R536" s="4" t="s">
        <v>730</v>
      </c>
      <c r="S536" s="2">
        <v>46174.493852858795</v>
      </c>
      <c r="T536" s="5">
        <v>9.9386574074074072E-5</v>
      </c>
      <c r="U536" s="4">
        <v>7.7934771776199341E-2</v>
      </c>
      <c r="V536" s="4" t="s">
        <v>784</v>
      </c>
      <c r="W536" s="4" t="s">
        <v>762</v>
      </c>
      <c r="X536" s="6" t="s">
        <v>617</v>
      </c>
    </row>
    <row r="537" spans="1:24">
      <c r="A537" s="4" t="s">
        <v>840</v>
      </c>
      <c r="B537" s="4" t="s">
        <v>841</v>
      </c>
      <c r="D537" s="4" t="s">
        <v>716</v>
      </c>
      <c r="E537" s="4" t="s">
        <v>717</v>
      </c>
      <c r="M537" s="4" t="s">
        <v>762</v>
      </c>
      <c r="N537" s="4">
        <v>-71.648815387434297</v>
      </c>
      <c r="O537" s="4">
        <v>3.7773749874242806</v>
      </c>
      <c r="P537" s="4" t="s">
        <v>734</v>
      </c>
      <c r="Q537" s="4" t="s">
        <v>735</v>
      </c>
      <c r="R537" s="4" t="s">
        <v>730</v>
      </c>
      <c r="S537" s="2">
        <v>46174.494750543985</v>
      </c>
      <c r="T537" s="5">
        <v>6.5162037037037036E-5</v>
      </c>
      <c r="U537" s="4">
        <v>4.841633141040802E-2</v>
      </c>
      <c r="V537" s="4" t="s">
        <v>784</v>
      </c>
      <c r="W537" s="4" t="s">
        <v>762</v>
      </c>
      <c r="X537" s="6" t="s">
        <v>617</v>
      </c>
    </row>
    <row r="538" spans="1:24">
      <c r="A538" s="4" t="s">
        <v>840</v>
      </c>
      <c r="B538" s="4" t="s">
        <v>841</v>
      </c>
      <c r="D538" s="4" t="s">
        <v>716</v>
      </c>
      <c r="E538" s="4" t="s">
        <v>717</v>
      </c>
      <c r="M538" s="4" t="s">
        <v>762</v>
      </c>
      <c r="N538" s="4">
        <v>-71.649421693333338</v>
      </c>
      <c r="O538" s="4">
        <v>3.776657062031211</v>
      </c>
      <c r="P538" s="4" t="s">
        <v>734</v>
      </c>
      <c r="Q538" s="4" t="s">
        <v>735</v>
      </c>
      <c r="R538" s="4" t="s">
        <v>730</v>
      </c>
      <c r="S538" s="2">
        <v>46174.494893206022</v>
      </c>
      <c r="T538" s="5">
        <v>1.2821759259259259E-4</v>
      </c>
      <c r="U538" s="4">
        <v>0.10115490853786469</v>
      </c>
      <c r="V538" s="4" t="s">
        <v>843</v>
      </c>
      <c r="W538" s="4" t="s">
        <v>762</v>
      </c>
      <c r="X538" s="6" t="s">
        <v>617</v>
      </c>
    </row>
    <row r="539" spans="1:24">
      <c r="A539" s="4" t="s">
        <v>840</v>
      </c>
      <c r="B539" s="4" t="s">
        <v>841</v>
      </c>
      <c r="D539" s="4" t="s">
        <v>716</v>
      </c>
      <c r="E539" s="4" t="s">
        <v>717</v>
      </c>
      <c r="M539" s="4" t="s">
        <v>762</v>
      </c>
      <c r="N539" s="4">
        <v>-71.650024400000007</v>
      </c>
      <c r="O539" s="4">
        <v>3.7756828100000002</v>
      </c>
      <c r="P539" s="4" t="s">
        <v>786</v>
      </c>
      <c r="Q539" s="4" t="s">
        <v>735</v>
      </c>
      <c r="R539" s="4" t="s">
        <v>730</v>
      </c>
      <c r="S539" s="2">
        <v>46174.574863240741</v>
      </c>
      <c r="T539" s="5">
        <v>1.7940972222222222E-4</v>
      </c>
      <c r="U539" s="4">
        <v>0.14503468573093414</v>
      </c>
      <c r="V539" s="4" t="s">
        <v>844</v>
      </c>
      <c r="W539" s="4" t="s">
        <v>762</v>
      </c>
      <c r="X539" s="6" t="s">
        <v>617</v>
      </c>
    </row>
    <row r="540" spans="1:24">
      <c r="A540" s="4" t="s">
        <v>840</v>
      </c>
      <c r="B540" s="4" t="s">
        <v>841</v>
      </c>
      <c r="D540" s="4" t="s">
        <v>716</v>
      </c>
      <c r="E540" s="4" t="s">
        <v>717</v>
      </c>
      <c r="M540" s="4" t="s">
        <v>762</v>
      </c>
      <c r="N540" s="4">
        <v>-71.649073779999995</v>
      </c>
      <c r="O540" s="4">
        <v>3.7770791080000001</v>
      </c>
      <c r="P540" s="4" t="s">
        <v>734</v>
      </c>
      <c r="Q540" s="4" t="s">
        <v>735</v>
      </c>
      <c r="R540" s="4" t="s">
        <v>730</v>
      </c>
      <c r="S540" s="2">
        <v>46174.575107581019</v>
      </c>
      <c r="T540" s="5">
        <v>5.7465277777777776E-5</v>
      </c>
      <c r="U540" s="4">
        <v>4.3528281152248383E-2</v>
      </c>
      <c r="V540" s="4" t="s">
        <v>781</v>
      </c>
      <c r="W540" s="4" t="s">
        <v>762</v>
      </c>
      <c r="X540" s="6" t="s">
        <v>617</v>
      </c>
    </row>
    <row r="541" spans="1:24">
      <c r="A541" s="4" t="s">
        <v>840</v>
      </c>
      <c r="B541" s="4" t="s">
        <v>841</v>
      </c>
      <c r="D541" s="4" t="s">
        <v>716</v>
      </c>
      <c r="E541" s="4" t="s">
        <v>717</v>
      </c>
      <c r="M541" s="4" t="s">
        <v>762</v>
      </c>
      <c r="N541" s="4">
        <v>-71.648323048583805</v>
      </c>
      <c r="O541" s="4">
        <v>3.777948279926691</v>
      </c>
      <c r="P541" s="4" t="s">
        <v>734</v>
      </c>
      <c r="Q541" s="4" t="s">
        <v>735</v>
      </c>
      <c r="R541" s="4" t="s">
        <v>730</v>
      </c>
      <c r="S541" s="2">
        <v>46174.575308900465</v>
      </c>
      <c r="T541" s="5">
        <v>1.244212962962963E-4</v>
      </c>
      <c r="U541" s="4">
        <v>9.8795279860496521E-2</v>
      </c>
      <c r="V541" s="4" t="s">
        <v>781</v>
      </c>
      <c r="W541" s="4" t="s">
        <v>762</v>
      </c>
      <c r="X541" s="6" t="s">
        <v>617</v>
      </c>
    </row>
    <row r="542" spans="1:24">
      <c r="A542" s="4" t="s">
        <v>840</v>
      </c>
      <c r="B542" s="4" t="s">
        <v>841</v>
      </c>
      <c r="D542" s="4" t="s">
        <v>716</v>
      </c>
      <c r="E542" s="4" t="s">
        <v>717</v>
      </c>
      <c r="M542" s="4" t="s">
        <v>762</v>
      </c>
      <c r="N542" s="4">
        <v>-71.647628743778114</v>
      </c>
      <c r="O542" s="4">
        <v>3.7787968149625186</v>
      </c>
      <c r="P542" s="4" t="s">
        <v>734</v>
      </c>
      <c r="Q542" s="4" t="s">
        <v>735</v>
      </c>
      <c r="R542" s="4" t="s">
        <v>730</v>
      </c>
      <c r="S542" s="2">
        <v>46174.57546709491</v>
      </c>
      <c r="T542" s="5">
        <v>1.8672453703703703E-4</v>
      </c>
      <c r="U542" s="4">
        <v>0.15462189912796021</v>
      </c>
      <c r="V542" s="4" t="s">
        <v>780</v>
      </c>
      <c r="W542" s="4" t="s">
        <v>762</v>
      </c>
      <c r="X542" s="6" t="s">
        <v>617</v>
      </c>
    </row>
    <row r="543" spans="1:24">
      <c r="A543" s="4" t="s">
        <v>840</v>
      </c>
      <c r="B543" s="4" t="s">
        <v>841</v>
      </c>
      <c r="D543" s="4" t="s">
        <v>716</v>
      </c>
      <c r="E543" s="4" t="s">
        <v>717</v>
      </c>
      <c r="M543" s="4" t="s">
        <v>762</v>
      </c>
      <c r="N543" s="4">
        <v>-71.646475216803367</v>
      </c>
      <c r="O543" s="4">
        <v>3.7799633709081815</v>
      </c>
      <c r="P543" s="4" t="s">
        <v>734</v>
      </c>
      <c r="Q543" s="4" t="s">
        <v>735</v>
      </c>
      <c r="R543" s="4" t="s">
        <v>730</v>
      </c>
      <c r="S543" s="2">
        <v>46174.57569085648</v>
      </c>
      <c r="T543" s="5">
        <v>1.273148148148148E-4</v>
      </c>
      <c r="U543" s="4">
        <v>0.10373880714178085</v>
      </c>
      <c r="V543" s="4" t="s">
        <v>844</v>
      </c>
      <c r="W543" s="4" t="s">
        <v>762</v>
      </c>
      <c r="X543" s="6" t="s">
        <v>617</v>
      </c>
    </row>
    <row r="544" spans="1:24">
      <c r="A544" s="4" t="s">
        <v>840</v>
      </c>
      <c r="B544" s="4" t="s">
        <v>841</v>
      </c>
      <c r="D544" s="4" t="s">
        <v>716</v>
      </c>
      <c r="E544" s="4" t="s">
        <v>717</v>
      </c>
      <c r="M544" s="4" t="s">
        <v>762</v>
      </c>
      <c r="N544" s="4">
        <v>-71.644842246699994</v>
      </c>
      <c r="O544" s="4">
        <v>3.7814542805657143</v>
      </c>
      <c r="P544" s="4" t="s">
        <v>734</v>
      </c>
      <c r="Q544" s="4" t="s">
        <v>735</v>
      </c>
      <c r="R544" s="4" t="s">
        <v>730</v>
      </c>
      <c r="S544" s="2">
        <v>46174.576133333336</v>
      </c>
      <c r="T544" s="5">
        <v>1.9184027777777778E-4</v>
      </c>
      <c r="U544" s="4">
        <v>0.16324156522750854</v>
      </c>
      <c r="V544" s="4" t="s">
        <v>780</v>
      </c>
      <c r="W544" s="4" t="s">
        <v>762</v>
      </c>
      <c r="X544" s="6" t="s">
        <v>617</v>
      </c>
    </row>
    <row r="545" spans="1:24">
      <c r="A545" s="4" t="s">
        <v>840</v>
      </c>
      <c r="B545" s="4" t="s">
        <v>841</v>
      </c>
      <c r="D545" s="4" t="s">
        <v>716</v>
      </c>
      <c r="E545" s="4" t="s">
        <v>717</v>
      </c>
      <c r="M545" s="4" t="s">
        <v>762</v>
      </c>
      <c r="N545" s="4">
        <v>-71.643469920102518</v>
      </c>
      <c r="O545" s="4">
        <v>3.7834163327140891</v>
      </c>
      <c r="P545" s="4" t="s">
        <v>734</v>
      </c>
      <c r="Q545" s="4" t="s">
        <v>735</v>
      </c>
      <c r="R545" s="4" t="s">
        <v>730</v>
      </c>
      <c r="S545" s="2">
        <v>46174.576540902781</v>
      </c>
      <c r="T545" s="5">
        <v>3.0570601851851852E-4</v>
      </c>
      <c r="U545" s="4">
        <v>0.24637722969055176</v>
      </c>
      <c r="V545" s="4" t="s">
        <v>784</v>
      </c>
      <c r="W545" s="4" t="s">
        <v>762</v>
      </c>
      <c r="X545" s="6" t="s">
        <v>617</v>
      </c>
    </row>
    <row r="546" spans="1:24">
      <c r="A546" s="4" t="s">
        <v>840</v>
      </c>
      <c r="B546" s="4" t="s">
        <v>841</v>
      </c>
      <c r="D546" s="4" t="s">
        <v>716</v>
      </c>
      <c r="E546" s="4" t="s">
        <v>717</v>
      </c>
      <c r="M546" s="4" t="s">
        <v>762</v>
      </c>
      <c r="N546" s="4">
        <v>-71.64153286183091</v>
      </c>
      <c r="O546" s="4">
        <v>3.7847380546323164</v>
      </c>
      <c r="P546" s="4" t="s">
        <v>734</v>
      </c>
      <c r="Q546" s="4" t="s">
        <v>735</v>
      </c>
      <c r="R546" s="4" t="s">
        <v>730</v>
      </c>
      <c r="S546" s="2">
        <v>46174.576894560189</v>
      </c>
      <c r="T546" s="5">
        <v>2.0821759259259261E-5</v>
      </c>
      <c r="U546" s="4">
        <v>1.4501107856631279E-2</v>
      </c>
      <c r="V546" s="4" t="s">
        <v>808</v>
      </c>
      <c r="W546" s="4" t="s">
        <v>762</v>
      </c>
      <c r="X546" s="6" t="s">
        <v>617</v>
      </c>
    </row>
    <row r="547" spans="1:24">
      <c r="A547" s="4" t="s">
        <v>840</v>
      </c>
      <c r="B547" s="4" t="s">
        <v>841</v>
      </c>
      <c r="D547" s="4" t="s">
        <v>716</v>
      </c>
      <c r="E547" s="4" t="s">
        <v>717</v>
      </c>
      <c r="M547" s="4" t="s">
        <v>762</v>
      </c>
      <c r="N547" s="4">
        <v>-71.641047200000003</v>
      </c>
      <c r="O547" s="4">
        <v>3.7846868833333334</v>
      </c>
      <c r="P547" s="4" t="s">
        <v>734</v>
      </c>
      <c r="Q547" s="4" t="s">
        <v>735</v>
      </c>
      <c r="R547" s="4" t="s">
        <v>730</v>
      </c>
      <c r="S547" s="2">
        <v>46174.576975578704</v>
      </c>
      <c r="T547" s="5">
        <v>9.771990740740741E-5</v>
      </c>
      <c r="U547" s="4">
        <v>8.69331955909729E-2</v>
      </c>
      <c r="V547" s="4" t="s">
        <v>845</v>
      </c>
      <c r="W547" s="4" t="s">
        <v>762</v>
      </c>
      <c r="X547" s="6" t="s">
        <v>617</v>
      </c>
    </row>
    <row r="548" spans="1:24">
      <c r="A548" s="4" t="s">
        <v>840</v>
      </c>
      <c r="B548" s="4" t="s">
        <v>841</v>
      </c>
      <c r="D548" s="4" t="s">
        <v>716</v>
      </c>
      <c r="E548" s="4" t="s">
        <v>717</v>
      </c>
      <c r="M548" s="4" t="s">
        <v>762</v>
      </c>
      <c r="N548" s="4">
        <v>-71.639827431309811</v>
      </c>
      <c r="O548" s="4">
        <v>3.7845660402471073</v>
      </c>
      <c r="P548" s="4" t="s">
        <v>734</v>
      </c>
      <c r="Q548" s="4" t="s">
        <v>735</v>
      </c>
      <c r="R548" s="4" t="s">
        <v>730</v>
      </c>
      <c r="S548" s="2">
        <v>46174.577148124998</v>
      </c>
      <c r="T548" s="5">
        <v>2.6725694444444442E-4</v>
      </c>
      <c r="U548" s="4">
        <v>0.24372832477092743</v>
      </c>
      <c r="V548" s="4" t="s">
        <v>845</v>
      </c>
      <c r="W548" s="4" t="s">
        <v>762</v>
      </c>
      <c r="X548" s="6" t="s">
        <v>617</v>
      </c>
    </row>
    <row r="549" spans="1:24">
      <c r="A549" s="4" t="s">
        <v>840</v>
      </c>
      <c r="B549" s="4" t="s">
        <v>841</v>
      </c>
      <c r="D549" s="4" t="s">
        <v>716</v>
      </c>
      <c r="E549" s="4" t="s">
        <v>717</v>
      </c>
      <c r="M549" s="4" t="s">
        <v>645</v>
      </c>
      <c r="N549" s="4">
        <v>-71.636698419419901</v>
      </c>
      <c r="O549" s="4">
        <v>3.7842801114735791</v>
      </c>
      <c r="P549" s="4" t="s">
        <v>718</v>
      </c>
      <c r="Q549" s="4" t="s">
        <v>719</v>
      </c>
      <c r="R549" s="4" t="s">
        <v>720</v>
      </c>
      <c r="S549" s="2">
        <v>46174.577600833334</v>
      </c>
      <c r="T549" s="5">
        <v>3.1138888888888888E-4</v>
      </c>
      <c r="U549" s="4">
        <v>0.18434272706508636</v>
      </c>
      <c r="V549" s="4" t="s">
        <v>850</v>
      </c>
      <c r="W549" s="4" t="s">
        <v>645</v>
      </c>
      <c r="X549" s="6" t="s">
        <v>617</v>
      </c>
    </row>
    <row r="550" spans="1:24">
      <c r="A550" s="4" t="s">
        <v>840</v>
      </c>
      <c r="B550" s="4" t="s">
        <v>841</v>
      </c>
      <c r="D550" s="4" t="s">
        <v>716</v>
      </c>
      <c r="E550" s="4" t="s">
        <v>717</v>
      </c>
      <c r="M550" s="4" t="s">
        <v>762</v>
      </c>
      <c r="N550" s="4">
        <v>-71.631123132334437</v>
      </c>
      <c r="O550" s="4">
        <v>3.7834893358495654</v>
      </c>
      <c r="P550" s="4" t="s">
        <v>734</v>
      </c>
      <c r="Q550" s="4" t="s">
        <v>735</v>
      </c>
      <c r="R550" s="4" t="s">
        <v>730</v>
      </c>
      <c r="S550" s="2">
        <v>46174.578657164355</v>
      </c>
      <c r="T550" s="5">
        <v>7.9444444444444444E-5</v>
      </c>
      <c r="U550" s="4">
        <v>5.9004053473472595E-2</v>
      </c>
      <c r="V550" s="4" t="s">
        <v>843</v>
      </c>
      <c r="W550" s="4" t="s">
        <v>762</v>
      </c>
      <c r="X550" s="6" t="s">
        <v>617</v>
      </c>
    </row>
    <row r="551" spans="1:24">
      <c r="A551" s="4" t="s">
        <v>840</v>
      </c>
      <c r="B551" s="4" t="s">
        <v>841</v>
      </c>
      <c r="D551" s="4" t="s">
        <v>716</v>
      </c>
      <c r="E551" s="4" t="s">
        <v>717</v>
      </c>
      <c r="M551" s="4" t="s">
        <v>762</v>
      </c>
      <c r="N551" s="4">
        <v>-71.630071323291773</v>
      </c>
      <c r="O551" s="4">
        <v>3.7830251488578552</v>
      </c>
      <c r="P551" s="4" t="s">
        <v>734</v>
      </c>
      <c r="Q551" s="4" t="s">
        <v>735</v>
      </c>
      <c r="R551" s="4" t="s">
        <v>730</v>
      </c>
      <c r="S551" s="2">
        <v>46174.578886990741</v>
      </c>
      <c r="T551" s="5">
        <v>3.2240740740740743E-4</v>
      </c>
      <c r="U551" s="4">
        <v>0.27329912781715393</v>
      </c>
      <c r="V551" s="4" t="s">
        <v>780</v>
      </c>
      <c r="W551" s="4" t="s">
        <v>762</v>
      </c>
      <c r="X551" s="6" t="s">
        <v>617</v>
      </c>
    </row>
    <row r="552" spans="1:24">
      <c r="A552" s="4" t="s">
        <v>840</v>
      </c>
      <c r="B552" s="4" t="s">
        <v>841</v>
      </c>
      <c r="D552" s="4" t="s">
        <v>716</v>
      </c>
      <c r="E552" s="4" t="s">
        <v>717</v>
      </c>
      <c r="M552" s="4" t="s">
        <v>645</v>
      </c>
      <c r="N552" s="4">
        <v>-71.626470586244821</v>
      </c>
      <c r="O552" s="4">
        <v>3.7808325081974004</v>
      </c>
      <c r="P552" s="4" t="s">
        <v>729</v>
      </c>
      <c r="Q552" s="4" t="s">
        <v>723</v>
      </c>
      <c r="R552" s="4" t="s">
        <v>730</v>
      </c>
      <c r="S552" s="2">
        <v>46174.579710046295</v>
      </c>
      <c r="T552" s="5">
        <v>4.3368055555555553E-5</v>
      </c>
      <c r="U552" s="4">
        <v>1.0137693956494331E-2</v>
      </c>
      <c r="V552" s="4" t="s">
        <v>728</v>
      </c>
      <c r="W552" s="4" t="s">
        <v>645</v>
      </c>
      <c r="X552" s="6" t="s">
        <v>617</v>
      </c>
    </row>
    <row r="553" spans="1:24">
      <c r="A553" s="4" t="s">
        <v>840</v>
      </c>
      <c r="B553" s="4" t="s">
        <v>841</v>
      </c>
      <c r="D553" s="4" t="s">
        <v>716</v>
      </c>
      <c r="E553" s="4" t="s">
        <v>717</v>
      </c>
      <c r="M553" s="4" t="s">
        <v>645</v>
      </c>
      <c r="N553" s="4">
        <v>-71.62627414248999</v>
      </c>
      <c r="O553" s="4">
        <v>3.780630192157</v>
      </c>
      <c r="P553" s="4" t="s">
        <v>722</v>
      </c>
      <c r="Q553" s="4" t="s">
        <v>723</v>
      </c>
      <c r="R553" s="4" t="s">
        <v>720</v>
      </c>
      <c r="S553" s="2">
        <v>46174.579896215277</v>
      </c>
      <c r="T553" s="5">
        <v>1.7548611111111112E-4</v>
      </c>
      <c r="U553" s="4">
        <v>4.35667484998703E-2</v>
      </c>
      <c r="V553" s="4" t="s">
        <v>728</v>
      </c>
      <c r="W553" s="4" t="s">
        <v>645</v>
      </c>
      <c r="X553" s="6" t="s">
        <v>617</v>
      </c>
    </row>
    <row r="554" spans="1:24">
      <c r="A554" s="4" t="s">
        <v>840</v>
      </c>
      <c r="B554" s="4" t="s">
        <v>841</v>
      </c>
      <c r="D554" s="4" t="s">
        <v>716</v>
      </c>
      <c r="E554" s="4" t="s">
        <v>717</v>
      </c>
      <c r="M554" s="4" t="s">
        <v>614</v>
      </c>
      <c r="N554" s="4">
        <v>-71.625709499999999</v>
      </c>
      <c r="O554" s="4">
        <v>3.78076196</v>
      </c>
      <c r="P554" s="4" t="s">
        <v>726</v>
      </c>
      <c r="Q554" s="4" t="s">
        <v>727</v>
      </c>
      <c r="R554" s="4" t="s">
        <v>720</v>
      </c>
      <c r="S554" s="2">
        <v>46174.582508101848</v>
      </c>
      <c r="T554" s="5">
        <v>7.8587847222222219E-3</v>
      </c>
      <c r="U554" s="4">
        <v>8.0472556874155998E-3</v>
      </c>
      <c r="V554" s="4" t="s">
        <v>616</v>
      </c>
      <c r="W554" s="4" t="s">
        <v>614</v>
      </c>
      <c r="X554" s="6" t="s">
        <v>617</v>
      </c>
    </row>
    <row r="555" spans="1:24">
      <c r="A555" s="4" t="s">
        <v>840</v>
      </c>
      <c r="B555" s="4" t="s">
        <v>841</v>
      </c>
      <c r="D555" s="4" t="s">
        <v>716</v>
      </c>
      <c r="E555" s="4" t="s">
        <v>717</v>
      </c>
      <c r="M555" s="4" t="s">
        <v>645</v>
      </c>
      <c r="N555" s="4">
        <v>-71.625869716666671</v>
      </c>
      <c r="O555" s="4">
        <v>3.7807829416666667</v>
      </c>
      <c r="P555" s="4" t="s">
        <v>828</v>
      </c>
      <c r="Q555" s="4" t="s">
        <v>723</v>
      </c>
      <c r="R555" s="4" t="s">
        <v>720</v>
      </c>
      <c r="S555" s="2">
        <v>46174.590459490741</v>
      </c>
      <c r="T555" s="5">
        <v>4.6296296296296294E-5</v>
      </c>
      <c r="U555" s="4">
        <v>1.1009937152266502E-2</v>
      </c>
      <c r="V555" s="4" t="s">
        <v>724</v>
      </c>
      <c r="W555" s="4" t="s">
        <v>645</v>
      </c>
      <c r="X555" s="6" t="s">
        <v>617</v>
      </c>
    </row>
    <row r="556" spans="1:24">
      <c r="A556" s="4" t="s">
        <v>840</v>
      </c>
      <c r="B556" s="4" t="s">
        <v>841</v>
      </c>
      <c r="D556" s="4" t="s">
        <v>716</v>
      </c>
      <c r="E556" s="4" t="s">
        <v>717</v>
      </c>
      <c r="M556" s="4" t="s">
        <v>645</v>
      </c>
      <c r="N556" s="4">
        <v>-71.626408937003333</v>
      </c>
      <c r="O556" s="4">
        <v>3.7808194094428416</v>
      </c>
      <c r="P556" s="4" t="s">
        <v>729</v>
      </c>
      <c r="Q556" s="4" t="s">
        <v>723</v>
      </c>
      <c r="R556" s="4" t="s">
        <v>730</v>
      </c>
      <c r="S556" s="2">
        <v>46174.590841458332</v>
      </c>
      <c r="T556" s="5">
        <v>3.0443287037037038E-4</v>
      </c>
      <c r="U556" s="4">
        <v>0.13162775337696075</v>
      </c>
      <c r="V556" s="4" t="s">
        <v>783</v>
      </c>
      <c r="W556" s="4" t="s">
        <v>645</v>
      </c>
      <c r="X556" s="6" t="s">
        <v>617</v>
      </c>
    </row>
    <row r="557" spans="1:24">
      <c r="A557" s="4" t="s">
        <v>840</v>
      </c>
      <c r="B557" s="4" t="s">
        <v>841</v>
      </c>
      <c r="D557" s="4" t="s">
        <v>716</v>
      </c>
      <c r="E557" s="4" t="s">
        <v>717</v>
      </c>
      <c r="M557" s="4" t="s">
        <v>762</v>
      </c>
      <c r="N557" s="4">
        <v>-71.624090594497247</v>
      </c>
      <c r="O557" s="4">
        <v>3.7811605474987497</v>
      </c>
      <c r="P557" s="4" t="s">
        <v>734</v>
      </c>
      <c r="Q557" s="4" t="s">
        <v>735</v>
      </c>
      <c r="R557" s="4" t="s">
        <v>730</v>
      </c>
      <c r="S557" s="2">
        <v>46174.591403923609</v>
      </c>
      <c r="T557" s="5">
        <v>1.5193287037037036E-4</v>
      </c>
      <c r="U557" s="4">
        <v>0.13314418494701385</v>
      </c>
      <c r="V557" s="4" t="s">
        <v>845</v>
      </c>
      <c r="W557" s="4" t="s">
        <v>762</v>
      </c>
      <c r="X557" s="6" t="s">
        <v>617</v>
      </c>
    </row>
    <row r="558" spans="1:24">
      <c r="A558" s="4" t="s">
        <v>840</v>
      </c>
      <c r="B558" s="4" t="s">
        <v>841</v>
      </c>
      <c r="D558" s="4" t="s">
        <v>716</v>
      </c>
      <c r="E558" s="4" t="s">
        <v>717</v>
      </c>
      <c r="M558" s="4" t="s">
        <v>762</v>
      </c>
      <c r="N558" s="4">
        <v>-71.622031067500004</v>
      </c>
      <c r="O558" s="4">
        <v>3.7804338603274998</v>
      </c>
      <c r="P558" s="4" t="s">
        <v>734</v>
      </c>
      <c r="Q558" s="4" t="s">
        <v>735</v>
      </c>
      <c r="R558" s="4" t="s">
        <v>730</v>
      </c>
      <c r="S558" s="2">
        <v>46174.591777280089</v>
      </c>
      <c r="T558" s="5">
        <v>3.6377314814814816E-5</v>
      </c>
      <c r="U558" s="4">
        <v>2.6990305632352829E-2</v>
      </c>
      <c r="V558" s="4" t="s">
        <v>808</v>
      </c>
      <c r="W558" s="4" t="s">
        <v>762</v>
      </c>
      <c r="X558" s="6" t="s">
        <v>617</v>
      </c>
    </row>
    <row r="559" spans="1:24">
      <c r="A559" s="4" t="s">
        <v>840</v>
      </c>
      <c r="B559" s="4" t="s">
        <v>841</v>
      </c>
      <c r="D559" s="4" t="s">
        <v>716</v>
      </c>
      <c r="E559" s="4" t="s">
        <v>717</v>
      </c>
      <c r="M559" s="4" t="s">
        <v>762</v>
      </c>
      <c r="N559" s="4">
        <v>-71.621353150000004</v>
      </c>
      <c r="O559" s="4">
        <v>3.780569195</v>
      </c>
      <c r="P559" s="4" t="s">
        <v>734</v>
      </c>
      <c r="Q559" s="4" t="s">
        <v>735</v>
      </c>
      <c r="R559" s="4" t="s">
        <v>730</v>
      </c>
      <c r="S559" s="2">
        <v>46174.591894664351</v>
      </c>
      <c r="T559" s="5">
        <v>3.8194444444444444E-5</v>
      </c>
      <c r="U559" s="4">
        <v>3.0951771885156631E-2</v>
      </c>
      <c r="V559" s="4" t="s">
        <v>851</v>
      </c>
      <c r="W559" s="4" t="s">
        <v>762</v>
      </c>
      <c r="X559" s="6" t="s">
        <v>617</v>
      </c>
    </row>
    <row r="560" spans="1:24">
      <c r="A560" s="4" t="s">
        <v>840</v>
      </c>
      <c r="B560" s="4" t="s">
        <v>841</v>
      </c>
      <c r="D560" s="4" t="s">
        <v>716</v>
      </c>
      <c r="E560" s="4" t="s">
        <v>717</v>
      </c>
      <c r="M560" s="4" t="s">
        <v>757</v>
      </c>
      <c r="N560" s="4">
        <v>-71.620336190149999</v>
      </c>
      <c r="O560" s="4">
        <v>3.7811271968324998</v>
      </c>
      <c r="P560" s="4" t="s">
        <v>742</v>
      </c>
      <c r="Q560" s="4" t="s">
        <v>743</v>
      </c>
      <c r="R560" s="4" t="s">
        <v>730</v>
      </c>
      <c r="S560" s="2">
        <v>46174.592073252315</v>
      </c>
      <c r="T560" s="5">
        <v>2.2071759259259261E-5</v>
      </c>
      <c r="U560" s="4">
        <v>2.1298743784427643E-2</v>
      </c>
      <c r="V560" s="4" t="s">
        <v>758</v>
      </c>
      <c r="W560" s="4" t="s">
        <v>757</v>
      </c>
      <c r="X560" s="6" t="s">
        <v>617</v>
      </c>
    </row>
    <row r="561" spans="1:24">
      <c r="A561" s="4" t="s">
        <v>840</v>
      </c>
      <c r="B561" s="4" t="s">
        <v>841</v>
      </c>
      <c r="D561" s="4" t="s">
        <v>716</v>
      </c>
      <c r="E561" s="4" t="s">
        <v>717</v>
      </c>
      <c r="M561" s="4" t="s">
        <v>645</v>
      </c>
      <c r="N561" s="4">
        <v>-71.535146710899639</v>
      </c>
      <c r="O561" s="4">
        <v>3.8026518838938701</v>
      </c>
      <c r="P561" s="4" t="s">
        <v>745</v>
      </c>
      <c r="Q561" s="4" t="s">
        <v>746</v>
      </c>
      <c r="R561" s="4" t="s">
        <v>720</v>
      </c>
      <c r="S561" s="2">
        <v>46174.613790949072</v>
      </c>
      <c r="T561" s="5">
        <v>1.5233796296296295E-4</v>
      </c>
      <c r="U561" s="4">
        <v>4.3179839849472046E-2</v>
      </c>
      <c r="V561" s="4" t="s">
        <v>724</v>
      </c>
      <c r="W561" s="4" t="s">
        <v>645</v>
      </c>
      <c r="X561" s="6" t="s">
        <v>617</v>
      </c>
    </row>
    <row r="562" spans="1:24">
      <c r="A562" s="4" t="s">
        <v>840</v>
      </c>
      <c r="B562" s="4" t="s">
        <v>841</v>
      </c>
      <c r="D562" s="4" t="s">
        <v>716</v>
      </c>
      <c r="E562" s="4" t="s">
        <v>717</v>
      </c>
      <c r="M562" s="4" t="s">
        <v>645</v>
      </c>
      <c r="N562" s="4">
        <v>-71.534805300000002</v>
      </c>
      <c r="O562" s="4">
        <v>3.8028388</v>
      </c>
      <c r="P562" s="4" t="s">
        <v>749</v>
      </c>
      <c r="Q562" s="4" t="s">
        <v>746</v>
      </c>
      <c r="R562" s="4" t="s">
        <v>720</v>
      </c>
      <c r="S562" s="2">
        <v>46174.61394328704</v>
      </c>
      <c r="T562" s="5">
        <v>8.0186342592592592E-4</v>
      </c>
      <c r="U562" s="4">
        <v>0.25404554605484009</v>
      </c>
      <c r="V562" s="4" t="s">
        <v>771</v>
      </c>
      <c r="W562" s="4" t="s">
        <v>645</v>
      </c>
      <c r="X562" s="6" t="s">
        <v>617</v>
      </c>
    </row>
    <row r="563" spans="1:24">
      <c r="A563" s="4" t="s">
        <v>840</v>
      </c>
      <c r="B563" s="4" t="s">
        <v>841</v>
      </c>
      <c r="D563" s="4" t="s">
        <v>716</v>
      </c>
      <c r="E563" s="4" t="s">
        <v>717</v>
      </c>
      <c r="M563" s="4" t="s">
        <v>645</v>
      </c>
      <c r="N563" s="4">
        <v>-71.534454350000004</v>
      </c>
      <c r="O563" s="4">
        <v>3.8049594149999999</v>
      </c>
      <c r="P563" s="4" t="s">
        <v>749</v>
      </c>
      <c r="Q563" s="4" t="s">
        <v>746</v>
      </c>
      <c r="R563" s="4" t="s">
        <v>720</v>
      </c>
      <c r="S563" s="2">
        <v>46174.614822905096</v>
      </c>
      <c r="T563" s="5">
        <v>1.2726851851851853E-4</v>
      </c>
      <c r="U563" s="4">
        <v>3.4463744610548019E-2</v>
      </c>
      <c r="V563" s="4" t="s">
        <v>731</v>
      </c>
      <c r="W563" s="4" t="s">
        <v>645</v>
      </c>
      <c r="X563" s="6" t="s">
        <v>617</v>
      </c>
    </row>
    <row r="564" spans="1:24">
      <c r="A564" s="4" t="s">
        <v>840</v>
      </c>
      <c r="B564" s="4" t="s">
        <v>841</v>
      </c>
      <c r="D564" s="4" t="s">
        <v>716</v>
      </c>
      <c r="E564" s="4" t="s">
        <v>717</v>
      </c>
      <c r="M564" s="4" t="s">
        <v>645</v>
      </c>
      <c r="N564" s="4">
        <v>-71.53394010959002</v>
      </c>
      <c r="O564" s="4">
        <v>3.805397071242798</v>
      </c>
      <c r="P564" s="4" t="s">
        <v>749</v>
      </c>
      <c r="Q564" s="4" t="s">
        <v>746</v>
      </c>
      <c r="R564" s="4" t="s">
        <v>720</v>
      </c>
      <c r="S564" s="2">
        <v>46174.615116886576</v>
      </c>
      <c r="T564" s="5">
        <v>4.0046296296296298E-4</v>
      </c>
      <c r="U564" s="4">
        <v>0.11368998140096664</v>
      </c>
      <c r="V564" s="4" t="s">
        <v>731</v>
      </c>
      <c r="W564" s="4" t="s">
        <v>645</v>
      </c>
      <c r="X564" s="6" t="s">
        <v>617</v>
      </c>
    </row>
    <row r="565" spans="1:24">
      <c r="A565" s="4" t="s">
        <v>840</v>
      </c>
      <c r="B565" s="4" t="s">
        <v>841</v>
      </c>
      <c r="D565" s="4" t="s">
        <v>716</v>
      </c>
      <c r="E565" s="4" t="s">
        <v>717</v>
      </c>
      <c r="M565" s="4" t="s">
        <v>645</v>
      </c>
      <c r="N565" s="4">
        <v>-71.533088699999993</v>
      </c>
      <c r="O565" s="4">
        <v>3.8059668499999999</v>
      </c>
      <c r="P565" s="4" t="s">
        <v>749</v>
      </c>
      <c r="Q565" s="4" t="s">
        <v>746</v>
      </c>
      <c r="R565" s="4" t="s">
        <v>720</v>
      </c>
      <c r="S565" s="2">
        <v>46174.615517349535</v>
      </c>
      <c r="T565" s="5">
        <v>1.9907407407407406E-4</v>
      </c>
      <c r="U565" s="4">
        <v>6.1549656093120575E-2</v>
      </c>
      <c r="V565" s="4" t="s">
        <v>731</v>
      </c>
      <c r="W565" s="4" t="s">
        <v>645</v>
      </c>
      <c r="X565" s="6" t="s">
        <v>617</v>
      </c>
    </row>
    <row r="566" spans="1:24">
      <c r="A566" s="4" t="s">
        <v>840</v>
      </c>
      <c r="B566" s="4" t="s">
        <v>841</v>
      </c>
      <c r="D566" s="4" t="s">
        <v>716</v>
      </c>
      <c r="E566" s="4" t="s">
        <v>717</v>
      </c>
      <c r="M566" s="4" t="s">
        <v>645</v>
      </c>
      <c r="N566" s="4">
        <v>-71.531730660000008</v>
      </c>
      <c r="O566" s="4">
        <v>3.8061642139999998</v>
      </c>
      <c r="P566" s="4" t="s">
        <v>747</v>
      </c>
      <c r="Q566" s="4" t="s">
        <v>746</v>
      </c>
      <c r="R566" s="4" t="s">
        <v>720</v>
      </c>
      <c r="S566" s="2">
        <v>46174.61608216435</v>
      </c>
      <c r="T566" s="5">
        <v>4.8843750000000005E-4</v>
      </c>
      <c r="U566" s="4">
        <v>0.15262296795845032</v>
      </c>
      <c r="V566" s="4" t="s">
        <v>771</v>
      </c>
      <c r="W566" s="4" t="s">
        <v>645</v>
      </c>
      <c r="X566" s="6" t="s">
        <v>617</v>
      </c>
    </row>
    <row r="567" spans="1:24">
      <c r="A567" s="4" t="s">
        <v>840</v>
      </c>
      <c r="B567" s="4" t="s">
        <v>841</v>
      </c>
      <c r="D567" s="4" t="s">
        <v>716</v>
      </c>
      <c r="E567" s="4" t="s">
        <v>717</v>
      </c>
      <c r="M567" s="4" t="s">
        <v>645</v>
      </c>
      <c r="N567" s="4">
        <v>-71.531127900000001</v>
      </c>
      <c r="O567" s="4">
        <v>3.8049540500000001</v>
      </c>
      <c r="P567" s="4" t="s">
        <v>747</v>
      </c>
      <c r="Q567" s="4" t="s">
        <v>746</v>
      </c>
      <c r="R567" s="4" t="s">
        <v>720</v>
      </c>
      <c r="S567" s="2">
        <v>46174.616570601851</v>
      </c>
      <c r="T567" s="5">
        <v>9.1434027777777781E-4</v>
      </c>
      <c r="U567" s="4">
        <v>0.26514816284179688</v>
      </c>
      <c r="V567" s="4" t="s">
        <v>666</v>
      </c>
      <c r="W567" s="4" t="s">
        <v>645</v>
      </c>
      <c r="X567" s="6" t="s">
        <v>617</v>
      </c>
    </row>
    <row r="568" spans="1:24">
      <c r="A568" s="4" t="s">
        <v>840</v>
      </c>
      <c r="B568" s="4" t="s">
        <v>841</v>
      </c>
      <c r="D568" s="4" t="s">
        <v>716</v>
      </c>
      <c r="E568" s="4" t="s">
        <v>717</v>
      </c>
      <c r="M568" s="4" t="s">
        <v>645</v>
      </c>
      <c r="N568" s="4">
        <v>-71.530642200000003</v>
      </c>
      <c r="O568" s="4">
        <v>3.8027899233333331</v>
      </c>
      <c r="P568" s="4" t="s">
        <v>747</v>
      </c>
      <c r="Q568" s="4" t="s">
        <v>746</v>
      </c>
      <c r="R568" s="4" t="s">
        <v>720</v>
      </c>
      <c r="S568" s="2">
        <v>46174.617565960645</v>
      </c>
      <c r="T568" s="5">
        <v>1.8518518518518518E-4</v>
      </c>
      <c r="U568" s="4">
        <v>4.9337048083543777E-2</v>
      </c>
      <c r="V568" s="4" t="s">
        <v>728</v>
      </c>
      <c r="W568" s="4" t="s">
        <v>645</v>
      </c>
      <c r="X568" s="6" t="s">
        <v>617</v>
      </c>
    </row>
    <row r="569" spans="1:24">
      <c r="A569" s="4" t="s">
        <v>840</v>
      </c>
      <c r="B569" s="4" t="s">
        <v>841</v>
      </c>
      <c r="D569" s="4" t="s">
        <v>716</v>
      </c>
      <c r="E569" s="4" t="s">
        <v>717</v>
      </c>
      <c r="M569" s="4" t="s">
        <v>614</v>
      </c>
      <c r="N569" s="4">
        <v>-71.529991100000004</v>
      </c>
      <c r="O569" s="4">
        <v>3.8019540300000001</v>
      </c>
      <c r="P569" s="4" t="s">
        <v>747</v>
      </c>
      <c r="Q569" s="4" t="s">
        <v>746</v>
      </c>
      <c r="R569" s="4" t="s">
        <v>720</v>
      </c>
      <c r="S569" s="2">
        <v>46174.619383090278</v>
      </c>
      <c r="T569" s="5">
        <v>7.789351851851852E-3</v>
      </c>
      <c r="U569" s="4">
        <v>1.5888718888163567E-2</v>
      </c>
      <c r="V569" s="4" t="s">
        <v>616</v>
      </c>
      <c r="W569" s="4" t="s">
        <v>614</v>
      </c>
      <c r="X569" s="6" t="s">
        <v>617</v>
      </c>
    </row>
    <row r="570" spans="1:24">
      <c r="A570" s="4" t="s">
        <v>840</v>
      </c>
      <c r="B570" s="4" t="s">
        <v>841</v>
      </c>
      <c r="D570" s="4" t="s">
        <v>716</v>
      </c>
      <c r="E570" s="4" t="s">
        <v>717</v>
      </c>
      <c r="M570" s="4" t="s">
        <v>645</v>
      </c>
      <c r="N570" s="4">
        <v>-71.530769326394335</v>
      </c>
      <c r="O570" s="4">
        <v>3.8027291324947683</v>
      </c>
      <c r="P570" s="4" t="s">
        <v>747</v>
      </c>
      <c r="Q570" s="4" t="s">
        <v>746</v>
      </c>
      <c r="R570" s="4" t="s">
        <v>720</v>
      </c>
      <c r="S570" s="2">
        <v>46174.628692662038</v>
      </c>
      <c r="T570" s="5">
        <v>1.1188657407407408E-4</v>
      </c>
      <c r="U570" s="4">
        <v>2.663254551589489E-2</v>
      </c>
      <c r="V570" s="4" t="s">
        <v>724</v>
      </c>
      <c r="W570" s="4" t="s">
        <v>645</v>
      </c>
      <c r="X570" s="6" t="s">
        <v>617</v>
      </c>
    </row>
    <row r="571" spans="1:24">
      <c r="A571" s="4" t="s">
        <v>840</v>
      </c>
      <c r="B571" s="4" t="s">
        <v>841</v>
      </c>
      <c r="D571" s="4" t="s">
        <v>716</v>
      </c>
      <c r="E571" s="4" t="s">
        <v>717</v>
      </c>
      <c r="M571" s="4" t="s">
        <v>645</v>
      </c>
      <c r="N571" s="4">
        <v>-71.531335460000008</v>
      </c>
      <c r="O571" s="4">
        <v>3.80254388</v>
      </c>
      <c r="P571" s="4" t="s">
        <v>748</v>
      </c>
      <c r="Q571" s="4" t="s">
        <v>746</v>
      </c>
      <c r="R571" s="4" t="s">
        <v>720</v>
      </c>
      <c r="S571" s="2">
        <v>46174.62898050926</v>
      </c>
      <c r="T571" s="5">
        <v>1.479513888888889E-4</v>
      </c>
      <c r="U571" s="4">
        <v>4.175235703587532E-2</v>
      </c>
      <c r="V571" s="4" t="s">
        <v>731</v>
      </c>
      <c r="W571" s="4" t="s">
        <v>645</v>
      </c>
      <c r="X571" s="6" t="s">
        <v>617</v>
      </c>
    </row>
    <row r="572" spans="1:24">
      <c r="A572" s="4" t="s">
        <v>840</v>
      </c>
      <c r="B572" s="4" t="s">
        <v>841</v>
      </c>
      <c r="D572" s="4" t="s">
        <v>716</v>
      </c>
      <c r="E572" s="4" t="s">
        <v>717</v>
      </c>
      <c r="M572" s="4" t="s">
        <v>645</v>
      </c>
      <c r="N572" s="4">
        <v>-71.531562800000003</v>
      </c>
      <c r="O572" s="4">
        <v>3.80284047</v>
      </c>
      <c r="P572" s="4" t="s">
        <v>747</v>
      </c>
      <c r="Q572" s="4" t="s">
        <v>746</v>
      </c>
      <c r="R572" s="4" t="s">
        <v>720</v>
      </c>
      <c r="S572" s="2">
        <v>46174.629128460649</v>
      </c>
      <c r="T572" s="5">
        <v>6.0197916666666668E-4</v>
      </c>
      <c r="U572" s="4">
        <v>0.17989502847194672</v>
      </c>
      <c r="V572" s="4" t="s">
        <v>728</v>
      </c>
      <c r="W572" s="4" t="s">
        <v>645</v>
      </c>
      <c r="X572" s="6" t="s">
        <v>617</v>
      </c>
    </row>
    <row r="573" spans="1:24">
      <c r="A573" s="4" t="s">
        <v>840</v>
      </c>
      <c r="B573" s="4" t="s">
        <v>841</v>
      </c>
      <c r="D573" s="4" t="s">
        <v>716</v>
      </c>
      <c r="E573" s="4" t="s">
        <v>717</v>
      </c>
      <c r="M573" s="4" t="s">
        <v>645</v>
      </c>
      <c r="N573" s="4">
        <v>-71.532714809537509</v>
      </c>
      <c r="O573" s="4">
        <v>3.8043843107850002</v>
      </c>
      <c r="P573" s="4" t="s">
        <v>745</v>
      </c>
      <c r="Q573" s="4" t="s">
        <v>746</v>
      </c>
      <c r="R573" s="4" t="s">
        <v>720</v>
      </c>
      <c r="S573" s="2">
        <v>46174.629865358795</v>
      </c>
      <c r="T573" s="5">
        <v>9.4131944444444441E-5</v>
      </c>
      <c r="U573" s="4">
        <v>2.3920470848679543E-2</v>
      </c>
      <c r="V573" s="4" t="s">
        <v>728</v>
      </c>
      <c r="W573" s="4" t="s">
        <v>645</v>
      </c>
      <c r="X573" s="6" t="s">
        <v>617</v>
      </c>
    </row>
    <row r="574" spans="1:24">
      <c r="A574" s="4" t="s">
        <v>840</v>
      </c>
      <c r="B574" s="4" t="s">
        <v>841</v>
      </c>
      <c r="D574" s="4" t="s">
        <v>716</v>
      </c>
      <c r="E574" s="4" t="s">
        <v>717</v>
      </c>
      <c r="M574" s="4" t="s">
        <v>645</v>
      </c>
      <c r="N574" s="4">
        <v>-71.533870699999994</v>
      </c>
      <c r="O574" s="4">
        <v>3.804597255</v>
      </c>
      <c r="P574" s="4" t="s">
        <v>749</v>
      </c>
      <c r="Q574" s="4" t="s">
        <v>746</v>
      </c>
      <c r="R574" s="4" t="s">
        <v>720</v>
      </c>
      <c r="S574" s="2">
        <v>46174.630719953704</v>
      </c>
      <c r="T574" s="5">
        <v>2.9739583333333332E-4</v>
      </c>
      <c r="U574" s="4">
        <v>8.1958010792732239E-2</v>
      </c>
      <c r="V574" s="4" t="s">
        <v>731</v>
      </c>
      <c r="W574" s="4" t="s">
        <v>645</v>
      </c>
      <c r="X574" s="6" t="s">
        <v>617</v>
      </c>
    </row>
    <row r="575" spans="1:24">
      <c r="A575" s="4" t="s">
        <v>840</v>
      </c>
      <c r="B575" s="4" t="s">
        <v>841</v>
      </c>
      <c r="D575" s="4" t="s">
        <v>716</v>
      </c>
      <c r="E575" s="4" t="s">
        <v>717</v>
      </c>
      <c r="M575" s="4" t="s">
        <v>645</v>
      </c>
      <c r="N575" s="4">
        <v>-71.534504720000001</v>
      </c>
      <c r="O575" s="4">
        <v>3.8049004559999999</v>
      </c>
      <c r="P575" s="4" t="s">
        <v>749</v>
      </c>
      <c r="Q575" s="4" t="s">
        <v>746</v>
      </c>
      <c r="R575" s="4" t="s">
        <v>720</v>
      </c>
      <c r="S575" s="2">
        <v>46174.631072905089</v>
      </c>
      <c r="T575" s="5">
        <v>9.8165509259259256E-4</v>
      </c>
      <c r="U575" s="4">
        <v>0.30722028017044067</v>
      </c>
      <c r="V575" s="4" t="s">
        <v>666</v>
      </c>
      <c r="W575" s="4" t="s">
        <v>645</v>
      </c>
      <c r="X575" s="6" t="s">
        <v>617</v>
      </c>
    </row>
    <row r="576" spans="1:24">
      <c r="A576" s="4" t="s">
        <v>840</v>
      </c>
      <c r="B576" s="4" t="s">
        <v>841</v>
      </c>
      <c r="D576" s="4" t="s">
        <v>716</v>
      </c>
      <c r="E576" s="4" t="s">
        <v>717</v>
      </c>
      <c r="M576" s="4" t="s">
        <v>757</v>
      </c>
      <c r="N576" s="4">
        <v>-71.541525063119991</v>
      </c>
      <c r="O576" s="4">
        <v>3.7992034339839997</v>
      </c>
      <c r="P576" s="4" t="s">
        <v>817</v>
      </c>
      <c r="Q576" s="4" t="s">
        <v>743</v>
      </c>
      <c r="R576" s="4" t="s">
        <v>730</v>
      </c>
      <c r="S576" s="2">
        <v>46174.634689155093</v>
      </c>
      <c r="T576" s="5">
        <v>1.2222222222222222E-5</v>
      </c>
      <c r="U576" s="4">
        <v>1.1403921991586685E-2</v>
      </c>
      <c r="V576" s="4" t="s">
        <v>758</v>
      </c>
      <c r="W576" s="4" t="s">
        <v>757</v>
      </c>
      <c r="X576" s="6" t="s">
        <v>617</v>
      </c>
    </row>
    <row r="577" spans="1:24">
      <c r="A577" s="4" t="s">
        <v>840</v>
      </c>
      <c r="B577" s="4" t="s">
        <v>841</v>
      </c>
      <c r="D577" s="4" t="s">
        <v>716</v>
      </c>
      <c r="E577" s="4" t="s">
        <v>717</v>
      </c>
      <c r="M577" s="4" t="s">
        <v>757</v>
      </c>
      <c r="N577" s="4">
        <v>-71.542820719999995</v>
      </c>
      <c r="O577" s="4">
        <v>3.7962524859999998</v>
      </c>
      <c r="P577" s="4" t="s">
        <v>817</v>
      </c>
      <c r="Q577" s="4" t="s">
        <v>743</v>
      </c>
      <c r="R577" s="4" t="s">
        <v>730</v>
      </c>
      <c r="S577" s="2">
        <v>46174.635096053244</v>
      </c>
      <c r="T577" s="5">
        <v>1.3581018518518518E-4</v>
      </c>
      <c r="U577" s="4">
        <v>0.12963134050369263</v>
      </c>
      <c r="V577" s="4" t="s">
        <v>774</v>
      </c>
      <c r="W577" s="4" t="s">
        <v>757</v>
      </c>
      <c r="X577" s="6" t="s">
        <v>617</v>
      </c>
    </row>
    <row r="578" spans="1:24">
      <c r="A578" s="4" t="s">
        <v>840</v>
      </c>
      <c r="B578" s="4" t="s">
        <v>841</v>
      </c>
      <c r="D578" s="4" t="s">
        <v>716</v>
      </c>
      <c r="E578" s="4" t="s">
        <v>717</v>
      </c>
      <c r="M578" s="4" t="s">
        <v>757</v>
      </c>
      <c r="N578" s="4">
        <v>-71.544647233333336</v>
      </c>
      <c r="O578" s="4">
        <v>3.7901728166666664</v>
      </c>
      <c r="P578" s="4" t="s">
        <v>773</v>
      </c>
      <c r="Q578" s="4" t="s">
        <v>743</v>
      </c>
      <c r="R578" s="4" t="s">
        <v>730</v>
      </c>
      <c r="S578" s="2">
        <v>46174.636103773148</v>
      </c>
      <c r="T578" s="5">
        <v>5.710648148148148E-5</v>
      </c>
      <c r="U578" s="4">
        <v>5.5746335536241531E-2</v>
      </c>
      <c r="V578" s="4" t="s">
        <v>849</v>
      </c>
      <c r="W578" s="4" t="s">
        <v>757</v>
      </c>
      <c r="X578" s="6" t="s">
        <v>617</v>
      </c>
    </row>
    <row r="579" spans="1:24">
      <c r="A579" s="4" t="s">
        <v>840</v>
      </c>
      <c r="B579" s="4" t="s">
        <v>841</v>
      </c>
      <c r="D579" s="4" t="s">
        <v>716</v>
      </c>
      <c r="E579" s="4" t="s">
        <v>717</v>
      </c>
      <c r="M579" s="4" t="s">
        <v>757</v>
      </c>
      <c r="N579" s="4">
        <v>-71.557990368492113</v>
      </c>
      <c r="O579" s="4">
        <v>3.7821597924031005</v>
      </c>
      <c r="P579" s="4" t="s">
        <v>742</v>
      </c>
      <c r="Q579" s="4" t="s">
        <v>743</v>
      </c>
      <c r="R579" s="4" t="s">
        <v>730</v>
      </c>
      <c r="S579" s="2">
        <v>46174.639664027774</v>
      </c>
      <c r="T579" s="5">
        <v>7.7858796296296302E-5</v>
      </c>
      <c r="U579" s="4">
        <v>7.7265083789825439E-2</v>
      </c>
      <c r="V579" s="4" t="s">
        <v>774</v>
      </c>
      <c r="W579" s="4" t="s">
        <v>757</v>
      </c>
      <c r="X579" s="6" t="s">
        <v>617</v>
      </c>
    </row>
    <row r="580" spans="1:24">
      <c r="A580" s="4" t="s">
        <v>840</v>
      </c>
      <c r="B580" s="4" t="s">
        <v>841</v>
      </c>
      <c r="D580" s="4" t="s">
        <v>716</v>
      </c>
      <c r="E580" s="4" t="s">
        <v>717</v>
      </c>
      <c r="M580" s="4" t="s">
        <v>757</v>
      </c>
      <c r="N580" s="4">
        <v>-71.563354495840002</v>
      </c>
      <c r="O580" s="4">
        <v>3.7823515473839997</v>
      </c>
      <c r="P580" s="4" t="s">
        <v>742</v>
      </c>
      <c r="Q580" s="4" t="s">
        <v>743</v>
      </c>
      <c r="R580" s="4" t="s">
        <v>730</v>
      </c>
      <c r="S580" s="2">
        <v>46174.640578530096</v>
      </c>
      <c r="T580" s="5">
        <v>1.2604166666666667E-5</v>
      </c>
      <c r="U580" s="4">
        <v>1.1527338065207005E-2</v>
      </c>
      <c r="V580" s="4" t="s">
        <v>758</v>
      </c>
      <c r="W580" s="4" t="s">
        <v>757</v>
      </c>
      <c r="X580" s="6" t="s">
        <v>617</v>
      </c>
    </row>
    <row r="581" spans="1:24">
      <c r="A581" s="4" t="s">
        <v>840</v>
      </c>
      <c r="B581" s="4" t="s">
        <v>841</v>
      </c>
      <c r="D581" s="4" t="s">
        <v>716</v>
      </c>
      <c r="E581" s="4" t="s">
        <v>717</v>
      </c>
      <c r="M581" s="4" t="s">
        <v>685</v>
      </c>
      <c r="N581" s="4">
        <v>-71.563971699085712</v>
      </c>
      <c r="O581" s="4">
        <v>3.7820001473828571</v>
      </c>
      <c r="P581" s="4" t="s">
        <v>742</v>
      </c>
      <c r="Q581" s="4" t="s">
        <v>743</v>
      </c>
      <c r="R581" s="4" t="s">
        <v>730</v>
      </c>
      <c r="S581" s="2">
        <v>46174.640700358796</v>
      </c>
      <c r="T581" s="5">
        <v>1.7361111111111112E-7</v>
      </c>
      <c r="U581" s="4">
        <v>8.8062835857272148E-5</v>
      </c>
      <c r="V581" s="4" t="s">
        <v>852</v>
      </c>
      <c r="W581" s="4" t="s">
        <v>685</v>
      </c>
      <c r="X581" s="6" t="s">
        <v>617</v>
      </c>
    </row>
    <row r="582" spans="1:24">
      <c r="A582" s="4" t="s">
        <v>840</v>
      </c>
      <c r="B582" s="4" t="s">
        <v>841</v>
      </c>
      <c r="D582" s="4" t="s">
        <v>716</v>
      </c>
      <c r="E582" s="4" t="s">
        <v>717</v>
      </c>
      <c r="M582" s="4" t="s">
        <v>757</v>
      </c>
      <c r="N582" s="4">
        <v>-71.588864728274999</v>
      </c>
      <c r="O582" s="4">
        <v>3.7716272755187501</v>
      </c>
      <c r="P582" s="4" t="s">
        <v>742</v>
      </c>
      <c r="Q582" s="4" t="s">
        <v>743</v>
      </c>
      <c r="R582" s="4" t="s">
        <v>730</v>
      </c>
      <c r="S582" s="2">
        <v>46174.645491041665</v>
      </c>
      <c r="T582" s="5">
        <v>9.8078703703703698E-5</v>
      </c>
      <c r="U582" s="4">
        <v>9.3482151627540588E-2</v>
      </c>
      <c r="V582" s="4" t="s">
        <v>853</v>
      </c>
      <c r="W582" s="4" t="s">
        <v>757</v>
      </c>
      <c r="X582" s="6" t="s">
        <v>617</v>
      </c>
    </row>
    <row r="583" spans="1:24">
      <c r="A583" s="4" t="s">
        <v>840</v>
      </c>
      <c r="B583" s="4" t="s">
        <v>841</v>
      </c>
      <c r="D583" s="4" t="s">
        <v>716</v>
      </c>
      <c r="E583" s="4" t="s">
        <v>717</v>
      </c>
      <c r="M583" s="4" t="s">
        <v>757</v>
      </c>
      <c r="N583" s="4">
        <v>-71.595991520320055</v>
      </c>
      <c r="O583" s="4">
        <v>3.7703762048208032</v>
      </c>
      <c r="P583" s="4" t="s">
        <v>742</v>
      </c>
      <c r="Q583" s="4" t="s">
        <v>743</v>
      </c>
      <c r="R583" s="4" t="s">
        <v>730</v>
      </c>
      <c r="S583" s="2">
        <v>46174.646589108794</v>
      </c>
      <c r="T583" s="5">
        <v>3.4722222222222222E-5</v>
      </c>
      <c r="U583" s="4">
        <v>3.2437395304441452E-2</v>
      </c>
      <c r="V583" s="4" t="s">
        <v>774</v>
      </c>
      <c r="W583" s="4" t="s">
        <v>757</v>
      </c>
      <c r="X583" s="6" t="s">
        <v>617</v>
      </c>
    </row>
    <row r="584" spans="1:24">
      <c r="A584" s="4" t="s">
        <v>840</v>
      </c>
      <c r="B584" s="4" t="s">
        <v>841</v>
      </c>
      <c r="D584" s="4" t="s">
        <v>716</v>
      </c>
      <c r="E584" s="4" t="s">
        <v>717</v>
      </c>
      <c r="M584" s="4" t="s">
        <v>645</v>
      </c>
      <c r="N584" s="4">
        <v>-71.624563689516663</v>
      </c>
      <c r="O584" s="4">
        <v>3.7810836429341665</v>
      </c>
      <c r="P584" s="4" t="s">
        <v>759</v>
      </c>
      <c r="Q584" s="4" t="s">
        <v>760</v>
      </c>
      <c r="R584" s="4" t="s">
        <v>730</v>
      </c>
      <c r="S584" s="2">
        <v>46174.652445231484</v>
      </c>
      <c r="T584" s="5">
        <v>1.0143518518518519E-4</v>
      </c>
      <c r="U584" s="4">
        <v>2.8380200266838074E-2</v>
      </c>
      <c r="V584" s="4" t="s">
        <v>728</v>
      </c>
      <c r="W584" s="4" t="s">
        <v>645</v>
      </c>
      <c r="X584" s="6" t="s">
        <v>617</v>
      </c>
    </row>
    <row r="585" spans="1:24">
      <c r="A585" s="4" t="s">
        <v>840</v>
      </c>
      <c r="B585" s="4" t="s">
        <v>841</v>
      </c>
      <c r="D585" s="4" t="s">
        <v>716</v>
      </c>
      <c r="E585" s="4" t="s">
        <v>717</v>
      </c>
      <c r="M585" s="4" t="s">
        <v>645</v>
      </c>
      <c r="N585" s="4">
        <v>-71.624786361673614</v>
      </c>
      <c r="O585" s="4">
        <v>3.7807700587634527</v>
      </c>
      <c r="P585" s="4" t="s">
        <v>854</v>
      </c>
      <c r="Q585" s="4" t="s">
        <v>727</v>
      </c>
      <c r="R585" s="4" t="s">
        <v>720</v>
      </c>
      <c r="S585" s="2">
        <v>46174.652637361112</v>
      </c>
      <c r="T585" s="5">
        <v>1.0222222222222222E-4</v>
      </c>
      <c r="U585" s="4">
        <v>2.5725360959768295E-2</v>
      </c>
      <c r="V585" s="4" t="s">
        <v>728</v>
      </c>
      <c r="W585" s="4" t="s">
        <v>645</v>
      </c>
      <c r="X585" s="6" t="s">
        <v>617</v>
      </c>
    </row>
    <row r="586" spans="1:24">
      <c r="A586" s="4" t="s">
        <v>840</v>
      </c>
      <c r="B586" s="4" t="s">
        <v>841</v>
      </c>
      <c r="D586" s="4" t="s">
        <v>716</v>
      </c>
      <c r="E586" s="4" t="s">
        <v>717</v>
      </c>
      <c r="M586" s="4" t="s">
        <v>614</v>
      </c>
      <c r="N586" s="4">
        <v>-71.624778699999993</v>
      </c>
      <c r="O586" s="4">
        <v>3.7804784800000002</v>
      </c>
      <c r="P586" s="4" t="s">
        <v>854</v>
      </c>
      <c r="Q586" s="4" t="s">
        <v>727</v>
      </c>
      <c r="R586" s="4" t="s">
        <v>720</v>
      </c>
      <c r="S586" s="2">
        <v>46174.652878460649</v>
      </c>
      <c r="T586" s="5">
        <v>4.9653935185185183E-3</v>
      </c>
      <c r="U586" s="4">
        <v>2.6287776418030262E-3</v>
      </c>
      <c r="V586" s="4" t="s">
        <v>616</v>
      </c>
      <c r="W586" s="4" t="s">
        <v>614</v>
      </c>
      <c r="X586" s="6" t="s">
        <v>617</v>
      </c>
    </row>
    <row r="587" spans="1:24">
      <c r="A587" s="4" t="s">
        <v>840</v>
      </c>
      <c r="B587" s="4" t="s">
        <v>841</v>
      </c>
      <c r="D587" s="4" t="s">
        <v>716</v>
      </c>
      <c r="E587" s="4" t="s">
        <v>717</v>
      </c>
      <c r="M587" s="4" t="s">
        <v>645</v>
      </c>
      <c r="N587" s="4">
        <v>-71.624145529155285</v>
      </c>
      <c r="O587" s="4">
        <v>3.7804245920954727</v>
      </c>
      <c r="P587" s="4" t="s">
        <v>854</v>
      </c>
      <c r="Q587" s="4" t="s">
        <v>727</v>
      </c>
      <c r="R587" s="4" t="s">
        <v>720</v>
      </c>
      <c r="S587" s="2">
        <v>46174.658202534723</v>
      </c>
      <c r="T587" s="5">
        <v>3.0092592592592595E-4</v>
      </c>
      <c r="U587" s="4">
        <v>7.276751846075058E-2</v>
      </c>
      <c r="V587" s="4" t="s">
        <v>728</v>
      </c>
      <c r="W587" s="4" t="s">
        <v>645</v>
      </c>
      <c r="X587" s="6" t="s">
        <v>617</v>
      </c>
    </row>
    <row r="588" spans="1:24">
      <c r="A588" s="4" t="s">
        <v>840</v>
      </c>
      <c r="B588" s="4" t="s">
        <v>841</v>
      </c>
      <c r="D588" s="4" t="s">
        <v>716</v>
      </c>
      <c r="E588" s="4" t="s">
        <v>717</v>
      </c>
      <c r="M588" s="4" t="s">
        <v>645</v>
      </c>
      <c r="N588" s="4">
        <v>-71.622861225852475</v>
      </c>
      <c r="O588" s="4">
        <v>3.7806860645127696</v>
      </c>
      <c r="P588" s="4" t="s">
        <v>759</v>
      </c>
      <c r="Q588" s="4" t="s">
        <v>760</v>
      </c>
      <c r="R588" s="4" t="s">
        <v>730</v>
      </c>
      <c r="S588" s="2">
        <v>46174.658917465276</v>
      </c>
      <c r="T588" s="5">
        <v>1.6493055555555554E-5</v>
      </c>
      <c r="U588" s="4">
        <v>4.7668726183474064E-3</v>
      </c>
      <c r="V588" s="4" t="s">
        <v>728</v>
      </c>
      <c r="W588" s="4" t="s">
        <v>645</v>
      </c>
      <c r="X588" s="6" t="s">
        <v>617</v>
      </c>
    </row>
    <row r="589" spans="1:24">
      <c r="A589" s="4" t="s">
        <v>840</v>
      </c>
      <c r="B589" s="4" t="s">
        <v>841</v>
      </c>
      <c r="D589" s="4" t="s">
        <v>716</v>
      </c>
      <c r="E589" s="4" t="s">
        <v>717</v>
      </c>
      <c r="M589" s="4" t="s">
        <v>645</v>
      </c>
      <c r="N589" s="4">
        <v>-71.62530009807621</v>
      </c>
      <c r="O589" s="4">
        <v>3.7810496934778262</v>
      </c>
      <c r="P589" s="4" t="s">
        <v>759</v>
      </c>
      <c r="Q589" s="4" t="s">
        <v>760</v>
      </c>
      <c r="R589" s="4" t="s">
        <v>730</v>
      </c>
      <c r="S589" s="2">
        <v>46174.659577754632</v>
      </c>
      <c r="T589" s="5">
        <v>9.7581018518518519E-5</v>
      </c>
      <c r="U589" s="4">
        <v>4.194047674536705E-2</v>
      </c>
      <c r="V589" s="4" t="s">
        <v>649</v>
      </c>
      <c r="W589" s="4" t="s">
        <v>645</v>
      </c>
      <c r="X589" s="6" t="s">
        <v>617</v>
      </c>
    </row>
    <row r="590" spans="1:24">
      <c r="A590" s="4" t="s">
        <v>840</v>
      </c>
      <c r="B590" s="4" t="s">
        <v>841</v>
      </c>
      <c r="D590" s="4" t="s">
        <v>716</v>
      </c>
      <c r="E590" s="4" t="s">
        <v>717</v>
      </c>
      <c r="M590" s="4" t="s">
        <v>645</v>
      </c>
      <c r="N590" s="4">
        <v>-71.625709499999999</v>
      </c>
      <c r="O590" s="4">
        <v>3.780979275</v>
      </c>
      <c r="P590" s="4" t="s">
        <v>759</v>
      </c>
      <c r="Q590" s="4" t="s">
        <v>760</v>
      </c>
      <c r="R590" s="4" t="s">
        <v>730</v>
      </c>
      <c r="S590" s="2">
        <v>46174.659695590279</v>
      </c>
      <c r="T590" s="5">
        <v>1.8210648148148147E-4</v>
      </c>
      <c r="U590" s="4">
        <v>7.3845133185386658E-2</v>
      </c>
      <c r="V590" s="4" t="s">
        <v>738</v>
      </c>
      <c r="W590" s="4" t="s">
        <v>645</v>
      </c>
      <c r="X590" s="6" t="s">
        <v>617</v>
      </c>
    </row>
    <row r="591" spans="1:24">
      <c r="A591" s="4" t="s">
        <v>840</v>
      </c>
      <c r="B591" s="4" t="s">
        <v>841</v>
      </c>
      <c r="D591" s="4" t="s">
        <v>716</v>
      </c>
      <c r="E591" s="4" t="s">
        <v>717</v>
      </c>
      <c r="M591" s="4" t="s">
        <v>762</v>
      </c>
      <c r="N591" s="4">
        <v>-71.628284481772738</v>
      </c>
      <c r="O591" s="4">
        <v>3.7812669506564478</v>
      </c>
      <c r="P591" s="4" t="s">
        <v>734</v>
      </c>
      <c r="Q591" s="4" t="s">
        <v>735</v>
      </c>
      <c r="R591" s="4" t="s">
        <v>730</v>
      </c>
      <c r="S591" s="2">
        <v>46174.660476851852</v>
      </c>
      <c r="T591" s="5">
        <v>3.3383101851851852E-4</v>
      </c>
      <c r="U591" s="4">
        <v>0.28228306770324707</v>
      </c>
      <c r="V591" s="4" t="s">
        <v>780</v>
      </c>
      <c r="W591" s="4" t="s">
        <v>762</v>
      </c>
      <c r="X591" s="6" t="s">
        <v>617</v>
      </c>
    </row>
    <row r="592" spans="1:24">
      <c r="A592" s="4" t="s">
        <v>840</v>
      </c>
      <c r="B592" s="4" t="s">
        <v>841</v>
      </c>
      <c r="D592" s="4" t="s">
        <v>716</v>
      </c>
      <c r="E592" s="4" t="s">
        <v>717</v>
      </c>
      <c r="M592" s="4" t="s">
        <v>656</v>
      </c>
      <c r="N592" s="4">
        <v>-71.633903500000002</v>
      </c>
      <c r="O592" s="4">
        <v>3.7840099299999999</v>
      </c>
      <c r="P592" s="4" t="s">
        <v>734</v>
      </c>
      <c r="Q592" s="4" t="s">
        <v>735</v>
      </c>
      <c r="R592" s="4" t="s">
        <v>730</v>
      </c>
      <c r="S592" s="2">
        <v>46174.661778923612</v>
      </c>
      <c r="T592" s="5">
        <v>6.7805555555555555E-4</v>
      </c>
      <c r="U592" s="4">
        <v>0.30702447891235352</v>
      </c>
      <c r="V592" s="4" t="s">
        <v>855</v>
      </c>
      <c r="W592" s="4" t="s">
        <v>656</v>
      </c>
      <c r="X592" s="6" t="s">
        <v>617</v>
      </c>
    </row>
    <row r="593" spans="1:24">
      <c r="A593" s="4" t="s">
        <v>840</v>
      </c>
      <c r="B593" s="4" t="s">
        <v>841</v>
      </c>
      <c r="D593" s="4" t="s">
        <v>716</v>
      </c>
      <c r="E593" s="4" t="s">
        <v>717</v>
      </c>
      <c r="M593" s="4" t="s">
        <v>656</v>
      </c>
      <c r="N593" s="4">
        <v>-71.634609948000005</v>
      </c>
      <c r="O593" s="4">
        <v>3.7815199539999997</v>
      </c>
      <c r="P593" s="4" t="s">
        <v>742</v>
      </c>
      <c r="Q593" s="4" t="s">
        <v>743</v>
      </c>
      <c r="R593" s="4" t="s">
        <v>730</v>
      </c>
      <c r="S593" s="2">
        <v>46174.6704521875</v>
      </c>
      <c r="T593" s="5">
        <v>5.8623842592592592E-4</v>
      </c>
      <c r="U593" s="4">
        <v>0.31852486729621887</v>
      </c>
      <c r="V593" s="4" t="s">
        <v>801</v>
      </c>
      <c r="W593" s="4" t="s">
        <v>656</v>
      </c>
      <c r="X593" s="6" t="s">
        <v>617</v>
      </c>
    </row>
    <row r="594" spans="1:24">
      <c r="A594" s="4" t="s">
        <v>840</v>
      </c>
      <c r="B594" s="4" t="s">
        <v>841</v>
      </c>
      <c r="D594" s="4" t="s">
        <v>716</v>
      </c>
      <c r="E594" s="4" t="s">
        <v>717</v>
      </c>
      <c r="M594" s="4" t="s">
        <v>645</v>
      </c>
      <c r="N594" s="4">
        <v>-71.635059717168104</v>
      </c>
      <c r="O594" s="4">
        <v>3.7842715875247936</v>
      </c>
      <c r="P594" s="4" t="s">
        <v>718</v>
      </c>
      <c r="Q594" s="4" t="s">
        <v>719</v>
      </c>
      <c r="R594" s="4" t="s">
        <v>720</v>
      </c>
      <c r="S594" s="2">
        <v>46174.671192581016</v>
      </c>
      <c r="T594" s="5">
        <v>3.118287037037037E-4</v>
      </c>
      <c r="U594" s="4">
        <v>0.18378856778144836</v>
      </c>
      <c r="V594" s="4" t="s">
        <v>751</v>
      </c>
      <c r="W594" s="4" t="s">
        <v>645</v>
      </c>
      <c r="X594" s="6" t="s">
        <v>617</v>
      </c>
    </row>
    <row r="595" spans="1:24">
      <c r="A595" s="4" t="s">
        <v>840</v>
      </c>
      <c r="B595" s="4" t="s">
        <v>841</v>
      </c>
      <c r="D595" s="4" t="s">
        <v>716</v>
      </c>
      <c r="E595" s="4" t="s">
        <v>717</v>
      </c>
      <c r="M595" s="4" t="s">
        <v>762</v>
      </c>
      <c r="N595" s="4">
        <v>-71.637341811856871</v>
      </c>
      <c r="O595" s="4">
        <v>3.7843809115101679</v>
      </c>
      <c r="P595" s="4" t="s">
        <v>734</v>
      </c>
      <c r="Q595" s="4" t="s">
        <v>735</v>
      </c>
      <c r="R595" s="4" t="s">
        <v>730</v>
      </c>
      <c r="S595" s="2">
        <v>46174.671617118052</v>
      </c>
      <c r="T595" s="5">
        <v>3.3832175925925924E-4</v>
      </c>
      <c r="U595" s="4">
        <v>0.29939433932304382</v>
      </c>
      <c r="V595" s="4" t="s">
        <v>774</v>
      </c>
      <c r="W595" s="4" t="s">
        <v>762</v>
      </c>
      <c r="X595" s="6" t="s">
        <v>617</v>
      </c>
    </row>
    <row r="596" spans="1:24">
      <c r="A596" s="4" t="s">
        <v>840</v>
      </c>
      <c r="B596" s="4" t="s">
        <v>841</v>
      </c>
      <c r="D596" s="4" t="s">
        <v>716</v>
      </c>
      <c r="E596" s="4" t="s">
        <v>717</v>
      </c>
      <c r="M596" s="4" t="s">
        <v>757</v>
      </c>
      <c r="N596" s="4">
        <v>-71.638442999999995</v>
      </c>
      <c r="O596" s="4">
        <v>3.7843449100000002</v>
      </c>
      <c r="P596" s="4" t="s">
        <v>734</v>
      </c>
      <c r="Q596" s="4" t="s">
        <v>735</v>
      </c>
      <c r="R596" s="4" t="s">
        <v>730</v>
      </c>
      <c r="S596" s="2">
        <v>46174.67176759259</v>
      </c>
      <c r="T596" s="5">
        <v>1.4729166666666666E-4</v>
      </c>
      <c r="U596" s="4">
        <v>0.14160086214542389</v>
      </c>
      <c r="V596" s="4" t="s">
        <v>774</v>
      </c>
      <c r="W596" s="4" t="s">
        <v>757</v>
      </c>
      <c r="X596" s="6" t="s">
        <v>617</v>
      </c>
    </row>
    <row r="597" spans="1:24">
      <c r="A597" s="4" t="s">
        <v>840</v>
      </c>
      <c r="B597" s="4" t="s">
        <v>841</v>
      </c>
      <c r="D597" s="4" t="s">
        <v>716</v>
      </c>
      <c r="E597" s="4" t="s">
        <v>717</v>
      </c>
      <c r="M597" s="4" t="s">
        <v>762</v>
      </c>
      <c r="N597" s="4">
        <v>-71.644209476189687</v>
      </c>
      <c r="O597" s="4">
        <v>3.782063825326123</v>
      </c>
      <c r="P597" s="4" t="s">
        <v>734</v>
      </c>
      <c r="Q597" s="4" t="s">
        <v>735</v>
      </c>
      <c r="R597" s="4" t="s">
        <v>730</v>
      </c>
      <c r="S597" s="2">
        <v>46174.673322800925</v>
      </c>
      <c r="T597" s="5">
        <v>1.4039351851851851E-4</v>
      </c>
      <c r="U597" s="4">
        <v>0.11489559710025787</v>
      </c>
      <c r="V597" s="4" t="s">
        <v>844</v>
      </c>
      <c r="W597" s="4" t="s">
        <v>762</v>
      </c>
      <c r="X597" s="6" t="s">
        <v>617</v>
      </c>
    </row>
    <row r="598" spans="1:24">
      <c r="A598" s="4" t="s">
        <v>840</v>
      </c>
      <c r="B598" s="4" t="s">
        <v>841</v>
      </c>
      <c r="D598" s="4" t="s">
        <v>716</v>
      </c>
      <c r="E598" s="4" t="s">
        <v>717</v>
      </c>
      <c r="M598" s="4" t="s">
        <v>762</v>
      </c>
      <c r="N598" s="4">
        <v>-71.645717599999998</v>
      </c>
      <c r="O598" s="4">
        <v>3.7806836349999999</v>
      </c>
      <c r="P598" s="4" t="s">
        <v>734</v>
      </c>
      <c r="Q598" s="4" t="s">
        <v>735</v>
      </c>
      <c r="R598" s="4" t="s">
        <v>730</v>
      </c>
      <c r="S598" s="2">
        <v>46174.673723599539</v>
      </c>
      <c r="T598" s="5">
        <v>1.196412037037037E-4</v>
      </c>
      <c r="U598" s="4">
        <v>9.6916913986206055E-2</v>
      </c>
      <c r="V598" s="4" t="s">
        <v>844</v>
      </c>
      <c r="W598" s="4" t="s">
        <v>762</v>
      </c>
      <c r="X598" s="6" t="s">
        <v>617</v>
      </c>
    </row>
    <row r="599" spans="1:24">
      <c r="A599" s="4" t="s">
        <v>840</v>
      </c>
      <c r="B599" s="4" t="s">
        <v>841</v>
      </c>
      <c r="D599" s="4" t="s">
        <v>716</v>
      </c>
      <c r="E599" s="4" t="s">
        <v>717</v>
      </c>
      <c r="M599" s="4" t="s">
        <v>762</v>
      </c>
      <c r="N599" s="4">
        <v>-71.646610312396902</v>
      </c>
      <c r="O599" s="4">
        <v>3.7798631060584857</v>
      </c>
      <c r="P599" s="4" t="s">
        <v>734</v>
      </c>
      <c r="Q599" s="4" t="s">
        <v>735</v>
      </c>
      <c r="R599" s="4" t="s">
        <v>730</v>
      </c>
      <c r="S599" s="2">
        <v>46174.673897222223</v>
      </c>
      <c r="T599" s="5">
        <v>1.986111111111111E-4</v>
      </c>
      <c r="U599" s="4">
        <v>0.15982340276241302</v>
      </c>
      <c r="V599" s="4" t="s">
        <v>784</v>
      </c>
      <c r="W599" s="4" t="s">
        <v>762</v>
      </c>
      <c r="X599" s="6" t="s">
        <v>617</v>
      </c>
    </row>
    <row r="600" spans="1:24">
      <c r="A600" s="4" t="s">
        <v>840</v>
      </c>
      <c r="B600" s="4" t="s">
        <v>841</v>
      </c>
      <c r="D600" s="4" t="s">
        <v>716</v>
      </c>
      <c r="E600" s="4" t="s">
        <v>717</v>
      </c>
      <c r="M600" s="4" t="s">
        <v>762</v>
      </c>
      <c r="N600" s="4">
        <v>-71.647898315528579</v>
      </c>
      <c r="O600" s="4">
        <v>3.7784954874885712</v>
      </c>
      <c r="P600" s="4" t="s">
        <v>734</v>
      </c>
      <c r="Q600" s="4" t="s">
        <v>735</v>
      </c>
      <c r="R600" s="4" t="s">
        <v>730</v>
      </c>
      <c r="S600" s="2">
        <v>46174.674167268517</v>
      </c>
      <c r="T600" s="5">
        <v>8.0057870370370377E-5</v>
      </c>
      <c r="U600" s="4">
        <v>6.3250795006752014E-2</v>
      </c>
      <c r="V600" s="4" t="s">
        <v>844</v>
      </c>
      <c r="W600" s="4" t="s">
        <v>762</v>
      </c>
      <c r="X600" s="6" t="s">
        <v>617</v>
      </c>
    </row>
    <row r="601" spans="1:24">
      <c r="A601" s="4" t="s">
        <v>840</v>
      </c>
      <c r="B601" s="4" t="s">
        <v>841</v>
      </c>
      <c r="D601" s="4" t="s">
        <v>716</v>
      </c>
      <c r="E601" s="4" t="s">
        <v>717</v>
      </c>
      <c r="M601" s="4" t="s">
        <v>762</v>
      </c>
      <c r="N601" s="4">
        <v>-71.648799924730653</v>
      </c>
      <c r="O601" s="4">
        <v>3.7774326140466048</v>
      </c>
      <c r="P601" s="4" t="s">
        <v>734</v>
      </c>
      <c r="Q601" s="4" t="s">
        <v>735</v>
      </c>
      <c r="R601" s="4" t="s">
        <v>730</v>
      </c>
      <c r="S601" s="2">
        <v>46174.674564745372</v>
      </c>
      <c r="T601" s="5">
        <v>6.4201388888888883E-5</v>
      </c>
      <c r="U601" s="4">
        <v>5.1247052848339081E-2</v>
      </c>
      <c r="V601" s="4" t="s">
        <v>784</v>
      </c>
      <c r="W601" s="4" t="s">
        <v>762</v>
      </c>
      <c r="X601" s="6" t="s">
        <v>617</v>
      </c>
    </row>
    <row r="602" spans="1:24">
      <c r="A602" s="4" t="s">
        <v>840</v>
      </c>
      <c r="B602" s="4" t="s">
        <v>841</v>
      </c>
      <c r="D602" s="4" t="s">
        <v>716</v>
      </c>
      <c r="E602" s="4" t="s">
        <v>717</v>
      </c>
      <c r="M602" s="4" t="s">
        <v>762</v>
      </c>
      <c r="N602" s="4">
        <v>-71.649327235577744</v>
      </c>
      <c r="O602" s="4">
        <v>3.7767731754750358</v>
      </c>
      <c r="P602" s="4" t="s">
        <v>734</v>
      </c>
      <c r="Q602" s="4" t="s">
        <v>735</v>
      </c>
      <c r="R602" s="4" t="s">
        <v>730</v>
      </c>
      <c r="S602" s="2">
        <v>46174.674694386573</v>
      </c>
      <c r="T602" s="5">
        <v>1.3717592592592593E-4</v>
      </c>
      <c r="U602" s="4">
        <v>0.11317462474107742</v>
      </c>
      <c r="V602" s="4" t="s">
        <v>780</v>
      </c>
      <c r="W602" s="4" t="s">
        <v>762</v>
      </c>
      <c r="X602" s="6" t="s">
        <v>617</v>
      </c>
    </row>
    <row r="603" spans="1:24">
      <c r="A603" s="4" t="s">
        <v>840</v>
      </c>
      <c r="B603" s="4" t="s">
        <v>841</v>
      </c>
      <c r="D603" s="4" t="s">
        <v>716</v>
      </c>
      <c r="E603" s="4" t="s">
        <v>717</v>
      </c>
      <c r="M603" s="4" t="s">
        <v>757</v>
      </c>
      <c r="N603" s="4">
        <v>-71.643341050000004</v>
      </c>
      <c r="O603" s="4">
        <v>3.7668168550000001</v>
      </c>
      <c r="P603" s="4" t="s">
        <v>795</v>
      </c>
      <c r="Q603" s="4" t="s">
        <v>743</v>
      </c>
      <c r="R603" s="4" t="s">
        <v>730</v>
      </c>
      <c r="S603" s="2">
        <v>46174.677363703704</v>
      </c>
      <c r="T603" s="5">
        <v>3.0567129629629629E-5</v>
      </c>
      <c r="U603" s="4">
        <v>2.9388992115855217E-2</v>
      </c>
      <c r="V603" s="4" t="s">
        <v>774</v>
      </c>
      <c r="W603" s="4" t="s">
        <v>757</v>
      </c>
      <c r="X603" s="6" t="s">
        <v>617</v>
      </c>
    </row>
    <row r="604" spans="1:24">
      <c r="A604" s="4" t="s">
        <v>840</v>
      </c>
      <c r="B604" s="4" t="s">
        <v>841</v>
      </c>
      <c r="D604" s="4" t="s">
        <v>716</v>
      </c>
      <c r="E604" s="4" t="s">
        <v>717</v>
      </c>
      <c r="M604" s="4" t="s">
        <v>757</v>
      </c>
      <c r="N604" s="4">
        <v>-71.64054874</v>
      </c>
      <c r="O604" s="4">
        <v>3.7640140500000001</v>
      </c>
      <c r="P604" s="4" t="s">
        <v>795</v>
      </c>
      <c r="Q604" s="4" t="s">
        <v>743</v>
      </c>
      <c r="R604" s="4" t="s">
        <v>730</v>
      </c>
      <c r="S604" s="2">
        <v>46174.677992245372</v>
      </c>
      <c r="T604" s="5">
        <v>1.550925925925926E-4</v>
      </c>
      <c r="U604" s="4">
        <v>0.15184254944324493</v>
      </c>
      <c r="V604" s="4" t="s">
        <v>774</v>
      </c>
      <c r="W604" s="4" t="s">
        <v>757</v>
      </c>
      <c r="X604" s="6" t="s">
        <v>617</v>
      </c>
    </row>
    <row r="605" spans="1:24">
      <c r="A605" s="4" t="s">
        <v>840</v>
      </c>
      <c r="B605" s="4" t="s">
        <v>841</v>
      </c>
      <c r="D605" s="4" t="s">
        <v>716</v>
      </c>
      <c r="E605" s="4" t="s">
        <v>717</v>
      </c>
      <c r="M605" s="4" t="s">
        <v>757</v>
      </c>
      <c r="N605" s="4">
        <v>-71.638599400000004</v>
      </c>
      <c r="O605" s="4">
        <v>3.7587416199999999</v>
      </c>
      <c r="P605" s="4" t="s">
        <v>795</v>
      </c>
      <c r="Q605" s="4" t="s">
        <v>743</v>
      </c>
      <c r="R605" s="4" t="s">
        <v>730</v>
      </c>
      <c r="S605" s="2">
        <v>46174.678700509263</v>
      </c>
      <c r="T605" s="5">
        <v>1.9670138888888889E-4</v>
      </c>
      <c r="U605" s="4">
        <v>0.18039876222610474</v>
      </c>
      <c r="V605" s="4" t="s">
        <v>758</v>
      </c>
      <c r="W605" s="4" t="s">
        <v>757</v>
      </c>
      <c r="X605" s="6" t="s">
        <v>617</v>
      </c>
    </row>
    <row r="606" spans="1:24">
      <c r="A606" s="4" t="s">
        <v>840</v>
      </c>
      <c r="B606" s="4" t="s">
        <v>841</v>
      </c>
      <c r="D606" s="4" t="s">
        <v>716</v>
      </c>
      <c r="E606" s="4" t="s">
        <v>717</v>
      </c>
      <c r="M606" s="4" t="s">
        <v>757</v>
      </c>
      <c r="N606" s="4">
        <v>-71.637084933240175</v>
      </c>
      <c r="O606" s="4">
        <v>3.7562829984967059</v>
      </c>
      <c r="P606" s="4" t="s">
        <v>795</v>
      </c>
      <c r="Q606" s="4" t="s">
        <v>743</v>
      </c>
      <c r="R606" s="4" t="s">
        <v>730</v>
      </c>
      <c r="S606" s="2">
        <v>46174.67905353009</v>
      </c>
      <c r="T606" s="5">
        <v>1.4600694444444446E-4</v>
      </c>
      <c r="U606" s="4">
        <v>0.14251084625720978</v>
      </c>
      <c r="V606" s="4" t="s">
        <v>774</v>
      </c>
      <c r="W606" s="4" t="s">
        <v>757</v>
      </c>
      <c r="X606" s="6" t="s">
        <v>617</v>
      </c>
    </row>
    <row r="607" spans="1:24">
      <c r="A607" s="4" t="s">
        <v>840</v>
      </c>
      <c r="B607" s="4" t="s">
        <v>841</v>
      </c>
      <c r="D607" s="4" t="s">
        <v>716</v>
      </c>
      <c r="E607" s="4" t="s">
        <v>717</v>
      </c>
      <c r="M607" s="4" t="s">
        <v>614</v>
      </c>
      <c r="N607" s="4">
        <v>-71.640029900000002</v>
      </c>
      <c r="O607" s="4">
        <v>3.7391753200000002</v>
      </c>
      <c r="P607" s="4" t="s">
        <v>856</v>
      </c>
      <c r="Q607" s="4" t="s">
        <v>743</v>
      </c>
      <c r="R607" s="4" t="s">
        <v>730</v>
      </c>
      <c r="S607" s="2">
        <v>46174.68311017361</v>
      </c>
      <c r="T607" s="5">
        <v>6.4120486111111114E-3</v>
      </c>
      <c r="U607" s="4">
        <v>5.4729124531149864E-3</v>
      </c>
      <c r="V607" s="4" t="s">
        <v>616</v>
      </c>
      <c r="W607" s="4" t="s">
        <v>614</v>
      </c>
      <c r="X607" s="6" t="s">
        <v>617</v>
      </c>
    </row>
    <row r="608" spans="1:24">
      <c r="A608" s="4" t="s">
        <v>840</v>
      </c>
      <c r="B608" s="4" t="s">
        <v>841</v>
      </c>
      <c r="D608" s="4" t="s">
        <v>716</v>
      </c>
      <c r="E608" s="4" t="s">
        <v>717</v>
      </c>
      <c r="M608" s="4" t="s">
        <v>757</v>
      </c>
      <c r="N608" s="4">
        <v>-71.636527999999998</v>
      </c>
      <c r="O608" s="4">
        <v>3.7409738299999997</v>
      </c>
      <c r="P608" s="4" t="s">
        <v>856</v>
      </c>
      <c r="Q608" s="4" t="s">
        <v>743</v>
      </c>
      <c r="R608" s="4" t="s">
        <v>730</v>
      </c>
      <c r="S608" s="2">
        <v>46174.691756006941</v>
      </c>
      <c r="T608" s="5">
        <v>1.1574074074074075E-4</v>
      </c>
      <c r="U608" s="4">
        <v>0.11365161091089249</v>
      </c>
      <c r="V608" s="4" t="s">
        <v>758</v>
      </c>
      <c r="W608" s="4" t="s">
        <v>757</v>
      </c>
      <c r="X608" s="6" t="s">
        <v>617</v>
      </c>
    </row>
    <row r="609" spans="1:24">
      <c r="A609" s="4" t="s">
        <v>840</v>
      </c>
      <c r="B609" s="4" t="s">
        <v>841</v>
      </c>
      <c r="D609" s="4" t="s">
        <v>716</v>
      </c>
      <c r="E609" s="4" t="s">
        <v>717</v>
      </c>
      <c r="M609" s="4" t="s">
        <v>757</v>
      </c>
      <c r="N609" s="4">
        <v>-71.637316001140007</v>
      </c>
      <c r="O609" s="4">
        <v>3.747389410836</v>
      </c>
      <c r="P609" s="4" t="s">
        <v>795</v>
      </c>
      <c r="Q609" s="4" t="s">
        <v>743</v>
      </c>
      <c r="R609" s="4" t="s">
        <v>730</v>
      </c>
      <c r="S609" s="2">
        <v>46174.692700949076</v>
      </c>
      <c r="T609" s="5">
        <v>1.0252314814814815E-4</v>
      </c>
      <c r="U609" s="4">
        <v>0.10366442799568176</v>
      </c>
      <c r="V609" s="4" t="s">
        <v>847</v>
      </c>
      <c r="W609" s="4" t="s">
        <v>757</v>
      </c>
      <c r="X609" s="6" t="s">
        <v>617</v>
      </c>
    </row>
    <row r="610" spans="1:24">
      <c r="A610" s="4" t="s">
        <v>840</v>
      </c>
      <c r="B610" s="4" t="s">
        <v>841</v>
      </c>
      <c r="D610" s="4" t="s">
        <v>716</v>
      </c>
      <c r="E610" s="4" t="s">
        <v>717</v>
      </c>
      <c r="M610" s="4" t="s">
        <v>757</v>
      </c>
      <c r="N610" s="4">
        <v>-71.637188481808337</v>
      </c>
      <c r="O610" s="4">
        <v>3.7544341954441669</v>
      </c>
      <c r="P610" s="4" t="s">
        <v>795</v>
      </c>
      <c r="Q610" s="4" t="s">
        <v>743</v>
      </c>
      <c r="R610" s="4" t="s">
        <v>730</v>
      </c>
      <c r="S610" s="2">
        <v>46174.693678958334</v>
      </c>
      <c r="T610" s="5">
        <v>3.8491898148148147E-4</v>
      </c>
      <c r="U610" s="4">
        <v>0.39720970392227173</v>
      </c>
      <c r="V610" s="4" t="s">
        <v>848</v>
      </c>
      <c r="W610" s="4" t="s">
        <v>757</v>
      </c>
      <c r="X610" s="6" t="s">
        <v>617</v>
      </c>
    </row>
    <row r="611" spans="1:24">
      <c r="A611" s="4" t="s">
        <v>840</v>
      </c>
      <c r="B611" s="4" t="s">
        <v>841</v>
      </c>
      <c r="D611" s="4" t="s">
        <v>716</v>
      </c>
      <c r="E611" s="4" t="s">
        <v>717</v>
      </c>
      <c r="M611" s="4" t="s">
        <v>614</v>
      </c>
      <c r="N611" s="4">
        <v>-71.640770000000003</v>
      </c>
      <c r="O611" s="4">
        <v>3.7653176799999999</v>
      </c>
      <c r="P611" s="4" t="s">
        <v>795</v>
      </c>
      <c r="Q611" s="4" t="s">
        <v>743</v>
      </c>
      <c r="R611" s="4" t="s">
        <v>730</v>
      </c>
      <c r="S611" s="2">
        <v>46174.695691203706</v>
      </c>
      <c r="T611" s="5">
        <v>5.9605324074074074E-3</v>
      </c>
      <c r="U611" s="4">
        <v>4.2568030767142773E-3</v>
      </c>
      <c r="V611" s="4" t="s">
        <v>616</v>
      </c>
      <c r="W611" s="4" t="s">
        <v>614</v>
      </c>
      <c r="X611" s="6" t="s">
        <v>617</v>
      </c>
    </row>
    <row r="612" spans="1:24">
      <c r="A612" s="4" t="s">
        <v>840</v>
      </c>
      <c r="B612" s="4" t="s">
        <v>841</v>
      </c>
      <c r="D612" s="4" t="s">
        <v>716</v>
      </c>
      <c r="E612" s="4" t="s">
        <v>717</v>
      </c>
      <c r="M612" s="4" t="s">
        <v>762</v>
      </c>
      <c r="N612" s="4">
        <v>-71.647333825720324</v>
      </c>
      <c r="O612" s="4">
        <v>3.779055230120147</v>
      </c>
      <c r="P612" s="4" t="s">
        <v>734</v>
      </c>
      <c r="Q612" s="4" t="s">
        <v>735</v>
      </c>
      <c r="R612" s="4" t="s">
        <v>730</v>
      </c>
      <c r="S612" s="2">
        <v>46174.705940023145</v>
      </c>
      <c r="T612" s="5">
        <v>1.3630787037037038E-4</v>
      </c>
      <c r="U612" s="4">
        <v>0.10690014809370041</v>
      </c>
      <c r="V612" s="4" t="s">
        <v>784</v>
      </c>
      <c r="W612" s="4" t="s">
        <v>762</v>
      </c>
      <c r="X612" s="6" t="s">
        <v>617</v>
      </c>
    </row>
    <row r="613" spans="1:24">
      <c r="A613" s="4" t="s">
        <v>840</v>
      </c>
      <c r="B613" s="4" t="s">
        <v>841</v>
      </c>
      <c r="D613" s="4" t="s">
        <v>716</v>
      </c>
      <c r="E613" s="4" t="s">
        <v>717</v>
      </c>
      <c r="M613" s="4" t="s">
        <v>762</v>
      </c>
      <c r="N613" s="4">
        <v>-71.646423349499997</v>
      </c>
      <c r="O613" s="4">
        <v>3.77997137889</v>
      </c>
      <c r="P613" s="4" t="s">
        <v>734</v>
      </c>
      <c r="Q613" s="4" t="s">
        <v>735</v>
      </c>
      <c r="R613" s="4" t="s">
        <v>730</v>
      </c>
      <c r="S613" s="2">
        <v>46174.70612703704</v>
      </c>
      <c r="T613" s="5">
        <v>6.178240740740741E-5</v>
      </c>
      <c r="U613" s="4">
        <v>4.4815611094236374E-2</v>
      </c>
      <c r="V613" s="4" t="s">
        <v>763</v>
      </c>
      <c r="W613" s="4" t="s">
        <v>762</v>
      </c>
      <c r="X613" s="6" t="s">
        <v>617</v>
      </c>
    </row>
    <row r="614" spans="1:24">
      <c r="A614" s="4" t="s">
        <v>840</v>
      </c>
      <c r="B614" s="4" t="s">
        <v>841</v>
      </c>
      <c r="D614" s="4" t="s">
        <v>716</v>
      </c>
      <c r="E614" s="4" t="s">
        <v>717</v>
      </c>
      <c r="M614" s="4" t="s">
        <v>762</v>
      </c>
      <c r="N614" s="4">
        <v>-71.644816337674996</v>
      </c>
      <c r="O614" s="4">
        <v>3.7814600195175001</v>
      </c>
      <c r="P614" s="4" t="s">
        <v>734</v>
      </c>
      <c r="Q614" s="4" t="s">
        <v>735</v>
      </c>
      <c r="R614" s="4" t="s">
        <v>730</v>
      </c>
      <c r="S614" s="2">
        <v>46174.706614895833</v>
      </c>
      <c r="T614" s="5">
        <v>9.5659722222222226E-5</v>
      </c>
      <c r="U614" s="4">
        <v>7.0703513920307159E-2</v>
      </c>
      <c r="V614" s="4" t="s">
        <v>781</v>
      </c>
      <c r="W614" s="4" t="s">
        <v>762</v>
      </c>
      <c r="X614" s="6" t="s">
        <v>617</v>
      </c>
    </row>
    <row r="615" spans="1:24">
      <c r="A615" s="4" t="s">
        <v>840</v>
      </c>
      <c r="B615" s="4" t="s">
        <v>841</v>
      </c>
      <c r="D615" s="4" t="s">
        <v>716</v>
      </c>
      <c r="E615" s="4" t="s">
        <v>717</v>
      </c>
      <c r="M615" s="4" t="s">
        <v>762</v>
      </c>
      <c r="N615" s="4">
        <v>-71.640968299999997</v>
      </c>
      <c r="O615" s="4">
        <v>3.7847025400000001</v>
      </c>
      <c r="P615" s="4" t="s">
        <v>734</v>
      </c>
      <c r="Q615" s="4" t="s">
        <v>735</v>
      </c>
      <c r="R615" s="4" t="s">
        <v>730</v>
      </c>
      <c r="S615" s="2">
        <v>46174.707774409719</v>
      </c>
      <c r="T615" s="5">
        <v>5.5949074074074073E-5</v>
      </c>
      <c r="U615" s="4">
        <v>4.1410494595766068E-2</v>
      </c>
      <c r="V615" s="4" t="s">
        <v>763</v>
      </c>
      <c r="W615" s="4" t="s">
        <v>762</v>
      </c>
      <c r="X615" s="6" t="s">
        <v>617</v>
      </c>
    </row>
    <row r="616" spans="1:24">
      <c r="A616" s="4" t="s">
        <v>840</v>
      </c>
      <c r="B616" s="4" t="s">
        <v>841</v>
      </c>
      <c r="D616" s="4" t="s">
        <v>716</v>
      </c>
      <c r="E616" s="4" t="s">
        <v>717</v>
      </c>
      <c r="M616" s="4" t="s">
        <v>762</v>
      </c>
      <c r="N616" s="4">
        <v>-71.639350874999991</v>
      </c>
      <c r="O616" s="4">
        <v>3.78448582</v>
      </c>
      <c r="P616" s="4" t="s">
        <v>734</v>
      </c>
      <c r="Q616" s="4" t="s">
        <v>735</v>
      </c>
      <c r="R616" s="4" t="s">
        <v>730</v>
      </c>
      <c r="S616" s="2">
        <v>46174.708055081021</v>
      </c>
      <c r="T616" s="5">
        <v>1.7650462962962962E-4</v>
      </c>
      <c r="U616" s="4">
        <v>0.1357806921005249</v>
      </c>
      <c r="V616" s="4" t="s">
        <v>808</v>
      </c>
      <c r="W616" s="4" t="s">
        <v>762</v>
      </c>
      <c r="X616" s="6" t="s">
        <v>617</v>
      </c>
    </row>
    <row r="617" spans="1:24">
      <c r="A617" s="4" t="s">
        <v>840</v>
      </c>
      <c r="B617" s="4" t="s">
        <v>841</v>
      </c>
      <c r="D617" s="4" t="s">
        <v>716</v>
      </c>
      <c r="E617" s="4" t="s">
        <v>717</v>
      </c>
      <c r="M617" s="4" t="s">
        <v>645</v>
      </c>
      <c r="N617" s="4">
        <v>-71.636698392687947</v>
      </c>
      <c r="O617" s="4">
        <v>3.7842802173645396</v>
      </c>
      <c r="P617" s="4" t="s">
        <v>718</v>
      </c>
      <c r="Q617" s="4" t="s">
        <v>719</v>
      </c>
      <c r="R617" s="4" t="s">
        <v>720</v>
      </c>
      <c r="S617" s="2">
        <v>46174.708542696761</v>
      </c>
      <c r="T617" s="5">
        <v>3.0870370370370372E-4</v>
      </c>
      <c r="U617" s="4">
        <v>0.18495450913906097</v>
      </c>
      <c r="V617" s="4" t="s">
        <v>781</v>
      </c>
      <c r="W617" s="4" t="s">
        <v>645</v>
      </c>
      <c r="X617" s="6" t="s">
        <v>617</v>
      </c>
    </row>
    <row r="618" spans="1:24">
      <c r="A618" s="4" t="s">
        <v>840</v>
      </c>
      <c r="B618" s="4" t="s">
        <v>841</v>
      </c>
      <c r="D618" s="4" t="s">
        <v>716</v>
      </c>
      <c r="E618" s="4" t="s">
        <v>717</v>
      </c>
      <c r="M618" s="4" t="s">
        <v>762</v>
      </c>
      <c r="N618" s="4">
        <v>-71.635404999999992</v>
      </c>
      <c r="O618" s="4">
        <v>3.7841831679999998</v>
      </c>
      <c r="P618" s="4" t="s">
        <v>718</v>
      </c>
      <c r="Q618" s="4" t="s">
        <v>719</v>
      </c>
      <c r="R618" s="4" t="s">
        <v>720</v>
      </c>
      <c r="S618" s="2">
        <v>46174.708802187502</v>
      </c>
      <c r="T618" s="5">
        <v>1.6049768518518518E-4</v>
      </c>
      <c r="U618" s="4">
        <v>0.1236380934715271</v>
      </c>
      <c r="V618" s="4" t="s">
        <v>843</v>
      </c>
      <c r="W618" s="4" t="s">
        <v>762</v>
      </c>
      <c r="X618" s="6" t="s">
        <v>617</v>
      </c>
    </row>
    <row r="619" spans="1:24">
      <c r="A619" s="4" t="s">
        <v>840</v>
      </c>
      <c r="B619" s="4" t="s">
        <v>841</v>
      </c>
      <c r="D619" s="4" t="s">
        <v>716</v>
      </c>
      <c r="E619" s="4" t="s">
        <v>717</v>
      </c>
      <c r="M619" s="4" t="s">
        <v>762</v>
      </c>
      <c r="N619" s="4">
        <v>-71.631132996887118</v>
      </c>
      <c r="O619" s="4">
        <v>3.7835063959569943</v>
      </c>
      <c r="P619" s="4" t="s">
        <v>734</v>
      </c>
      <c r="Q619" s="4" t="s">
        <v>735</v>
      </c>
      <c r="R619" s="4" t="s">
        <v>730</v>
      </c>
      <c r="S619" s="2">
        <v>46174.709561782409</v>
      </c>
      <c r="T619" s="5">
        <v>7.6053240740740736E-5</v>
      </c>
      <c r="U619" s="4">
        <v>5.8625217527151108E-2</v>
      </c>
      <c r="V619" s="4" t="s">
        <v>843</v>
      </c>
      <c r="W619" s="4" t="s">
        <v>762</v>
      </c>
      <c r="X619" s="6" t="s">
        <v>617</v>
      </c>
    </row>
    <row r="620" spans="1:24">
      <c r="A620" s="4" t="s">
        <v>840</v>
      </c>
      <c r="B620" s="4" t="s">
        <v>841</v>
      </c>
      <c r="D620" s="4" t="s">
        <v>716</v>
      </c>
      <c r="E620" s="4" t="s">
        <v>717</v>
      </c>
      <c r="M620" s="4" t="s">
        <v>762</v>
      </c>
      <c r="N620" s="4">
        <v>-71.629539500000007</v>
      </c>
      <c r="O620" s="4">
        <v>3.7826328299999998</v>
      </c>
      <c r="P620" s="4" t="s">
        <v>734</v>
      </c>
      <c r="Q620" s="4" t="s">
        <v>735</v>
      </c>
      <c r="R620" s="4" t="s">
        <v>730</v>
      </c>
      <c r="S620" s="2">
        <v>46174.709904039351</v>
      </c>
      <c r="T620" s="5">
        <v>2.0172453703703704E-4</v>
      </c>
      <c r="U620" s="4">
        <v>0.15199515223503113</v>
      </c>
      <c r="V620" s="4" t="s">
        <v>763</v>
      </c>
      <c r="W620" s="4" t="s">
        <v>762</v>
      </c>
      <c r="X620" s="6" t="s">
        <v>617</v>
      </c>
    </row>
    <row r="621" spans="1:24">
      <c r="A621" s="4" t="s">
        <v>840</v>
      </c>
      <c r="B621" s="4" t="s">
        <v>841</v>
      </c>
      <c r="D621" s="4" t="s">
        <v>716</v>
      </c>
      <c r="E621" s="4" t="s">
        <v>717</v>
      </c>
      <c r="M621" s="4" t="s">
        <v>762</v>
      </c>
      <c r="N621" s="4">
        <v>-71.62821781069465</v>
      </c>
      <c r="O621" s="4">
        <v>3.7811671917841077</v>
      </c>
      <c r="P621" s="4" t="s">
        <v>734</v>
      </c>
      <c r="Q621" s="4" t="s">
        <v>735</v>
      </c>
      <c r="R621" s="4" t="s">
        <v>730</v>
      </c>
      <c r="S621" s="2">
        <v>46174.73301650463</v>
      </c>
      <c r="T621" s="5">
        <v>3.5752314814814815E-4</v>
      </c>
      <c r="U621" s="4">
        <v>0.29280775785446167</v>
      </c>
      <c r="V621" s="4" t="s">
        <v>844</v>
      </c>
      <c r="W621" s="4" t="s">
        <v>762</v>
      </c>
      <c r="X621" s="6" t="s">
        <v>617</v>
      </c>
    </row>
    <row r="622" spans="1:24">
      <c r="A622" s="4" t="s">
        <v>840</v>
      </c>
      <c r="B622" s="4" t="s">
        <v>841</v>
      </c>
      <c r="D622" s="4" t="s">
        <v>716</v>
      </c>
      <c r="E622" s="4" t="s">
        <v>717</v>
      </c>
      <c r="M622" s="4" t="s">
        <v>762</v>
      </c>
      <c r="N622" s="4">
        <v>-71.630732850522094</v>
      </c>
      <c r="O622" s="4">
        <v>3.783427447512516</v>
      </c>
      <c r="P622" s="4" t="s">
        <v>734</v>
      </c>
      <c r="Q622" s="4" t="s">
        <v>735</v>
      </c>
      <c r="R622" s="4" t="s">
        <v>730</v>
      </c>
      <c r="S622" s="2">
        <v>46174.733556805557</v>
      </c>
      <c r="T622" s="5">
        <v>7.790509259259259E-5</v>
      </c>
      <c r="U622" s="4">
        <v>6.0556892305612564E-2</v>
      </c>
      <c r="V622" s="4" t="s">
        <v>784</v>
      </c>
      <c r="W622" s="4" t="s">
        <v>762</v>
      </c>
      <c r="X622" s="6" t="s">
        <v>617</v>
      </c>
    </row>
    <row r="623" spans="1:24">
      <c r="A623" s="4" t="s">
        <v>840</v>
      </c>
      <c r="B623" s="4" t="s">
        <v>841</v>
      </c>
      <c r="D623" s="4" t="s">
        <v>716</v>
      </c>
      <c r="E623" s="4" t="s">
        <v>717</v>
      </c>
      <c r="M623" s="4" t="s">
        <v>645</v>
      </c>
      <c r="N623" s="4">
        <v>-71.635059185333333</v>
      </c>
      <c r="O623" s="4">
        <v>3.7842273944000002</v>
      </c>
      <c r="P623" s="4" t="s">
        <v>718</v>
      </c>
      <c r="Q623" s="4" t="s">
        <v>719</v>
      </c>
      <c r="R623" s="4" t="s">
        <v>720</v>
      </c>
      <c r="S623" s="2">
        <v>46174.73462116898</v>
      </c>
      <c r="T623" s="5">
        <v>3.052546296296296E-4</v>
      </c>
      <c r="U623" s="4">
        <v>0.18322302401065826</v>
      </c>
      <c r="V623" s="4" t="s">
        <v>851</v>
      </c>
      <c r="W623" s="4" t="s">
        <v>645</v>
      </c>
      <c r="X623" s="6" t="s">
        <v>617</v>
      </c>
    </row>
    <row r="624" spans="1:24">
      <c r="A624" s="4" t="s">
        <v>840</v>
      </c>
      <c r="B624" s="4" t="s">
        <v>841</v>
      </c>
      <c r="D624" s="4" t="s">
        <v>716</v>
      </c>
      <c r="E624" s="4" t="s">
        <v>717</v>
      </c>
      <c r="M624" s="4" t="s">
        <v>762</v>
      </c>
      <c r="N624" s="4">
        <v>-71.636405966880005</v>
      </c>
      <c r="O624" s="4">
        <v>3.7843705295840002</v>
      </c>
      <c r="P624" s="4" t="s">
        <v>718</v>
      </c>
      <c r="Q624" s="4" t="s">
        <v>719</v>
      </c>
      <c r="R624" s="4" t="s">
        <v>720</v>
      </c>
      <c r="S624" s="2">
        <v>46174.734886030092</v>
      </c>
      <c r="T624" s="5">
        <v>4.7033564814814816E-4</v>
      </c>
      <c r="U624" s="4">
        <v>0.40296053886413574</v>
      </c>
      <c r="V624" s="4" t="s">
        <v>851</v>
      </c>
      <c r="W624" s="4" t="s">
        <v>762</v>
      </c>
      <c r="X624" s="6" t="s">
        <v>617</v>
      </c>
    </row>
    <row r="625" spans="1:24">
      <c r="A625" s="4" t="s">
        <v>840</v>
      </c>
      <c r="B625" s="4" t="s">
        <v>841</v>
      </c>
      <c r="D625" s="4" t="s">
        <v>716</v>
      </c>
      <c r="E625" s="4" t="s">
        <v>717</v>
      </c>
      <c r="M625" s="4" t="s">
        <v>762</v>
      </c>
      <c r="N625" s="4">
        <v>-71.645812980000002</v>
      </c>
      <c r="O625" s="4">
        <v>3.7805871</v>
      </c>
      <c r="P625" s="4" t="s">
        <v>734</v>
      </c>
      <c r="Q625" s="4" t="s">
        <v>735</v>
      </c>
      <c r="R625" s="4" t="s">
        <v>730</v>
      </c>
      <c r="S625" s="2">
        <v>46174.737363298613</v>
      </c>
      <c r="T625" s="5">
        <v>4.7453703703703701E-5</v>
      </c>
      <c r="U625" s="4">
        <v>3.545369952917099E-2</v>
      </c>
      <c r="V625" s="4" t="s">
        <v>808</v>
      </c>
      <c r="W625" s="4" t="s">
        <v>762</v>
      </c>
      <c r="X625" s="6" t="s">
        <v>617</v>
      </c>
    </row>
    <row r="626" spans="1:24">
      <c r="A626" s="4" t="s">
        <v>840</v>
      </c>
      <c r="B626" s="4" t="s">
        <v>841</v>
      </c>
      <c r="D626" s="4" t="s">
        <v>716</v>
      </c>
      <c r="E626" s="4" t="s">
        <v>717</v>
      </c>
      <c r="M626" s="4" t="s">
        <v>762</v>
      </c>
      <c r="N626" s="4">
        <v>-71.649663250137493</v>
      </c>
      <c r="O626" s="4">
        <v>3.77623783010125</v>
      </c>
      <c r="P626" s="4" t="s">
        <v>786</v>
      </c>
      <c r="Q626" s="4" t="s">
        <v>735</v>
      </c>
      <c r="R626" s="4" t="s">
        <v>730</v>
      </c>
      <c r="S626" s="2">
        <v>46174.751733645833</v>
      </c>
      <c r="T626" s="5">
        <v>6.9444444444444444E-5</v>
      </c>
      <c r="U626" s="4">
        <v>5.6236539036035538E-2</v>
      </c>
      <c r="V626" s="4" t="s">
        <v>808</v>
      </c>
      <c r="W626" s="4" t="s">
        <v>762</v>
      </c>
      <c r="X626" s="6" t="s">
        <v>617</v>
      </c>
    </row>
    <row r="627" spans="1:24">
      <c r="A627" s="4" t="s">
        <v>840</v>
      </c>
      <c r="B627" s="4" t="s">
        <v>841</v>
      </c>
      <c r="D627" s="4" t="s">
        <v>716</v>
      </c>
      <c r="E627" s="4" t="s">
        <v>717</v>
      </c>
      <c r="M627" s="4" t="s">
        <v>762</v>
      </c>
      <c r="N627" s="4">
        <v>-71.648171799224997</v>
      </c>
      <c r="O627" s="4">
        <v>3.7780785749949999</v>
      </c>
      <c r="P627" s="4" t="s">
        <v>734</v>
      </c>
      <c r="Q627" s="4" t="s">
        <v>735</v>
      </c>
      <c r="R627" s="4" t="s">
        <v>730</v>
      </c>
      <c r="S627" s="2">
        <v>46174.752204317127</v>
      </c>
      <c r="T627" s="5">
        <v>2.3148148148148147E-5</v>
      </c>
      <c r="U627" s="4">
        <v>1.6849186271429062E-2</v>
      </c>
      <c r="V627" s="4" t="s">
        <v>763</v>
      </c>
      <c r="W627" s="4" t="s">
        <v>762</v>
      </c>
      <c r="X627" s="6" t="s">
        <v>617</v>
      </c>
    </row>
    <row r="628" spans="1:24">
      <c r="A628" s="4" t="s">
        <v>840</v>
      </c>
      <c r="B628" s="4" t="s">
        <v>841</v>
      </c>
      <c r="D628" s="4" t="s">
        <v>716</v>
      </c>
      <c r="E628" s="4" t="s">
        <v>717</v>
      </c>
      <c r="M628" s="4" t="s">
        <v>762</v>
      </c>
      <c r="N628" s="4">
        <v>-71.647490919999996</v>
      </c>
      <c r="O628" s="4">
        <v>3.7788802433333335</v>
      </c>
      <c r="P628" s="4" t="s">
        <v>734</v>
      </c>
      <c r="Q628" s="4" t="s">
        <v>735</v>
      </c>
      <c r="R628" s="4" t="s">
        <v>730</v>
      </c>
      <c r="S628" s="2">
        <v>46174.752462037039</v>
      </c>
      <c r="T628" s="5">
        <v>1.6666666666666666E-4</v>
      </c>
      <c r="U628" s="4">
        <v>0.15271709859371185</v>
      </c>
      <c r="V628" s="4" t="s">
        <v>758</v>
      </c>
      <c r="W628" s="4" t="s">
        <v>762</v>
      </c>
      <c r="X628" s="6" t="s">
        <v>617</v>
      </c>
    </row>
    <row r="629" spans="1:24">
      <c r="A629" s="4" t="s">
        <v>840</v>
      </c>
      <c r="B629" s="4" t="s">
        <v>841</v>
      </c>
      <c r="D629" s="4" t="s">
        <v>716</v>
      </c>
      <c r="E629" s="4" t="s">
        <v>717</v>
      </c>
      <c r="M629" s="4" t="s">
        <v>757</v>
      </c>
      <c r="N629" s="4">
        <v>-71.647241719999997</v>
      </c>
      <c r="O629" s="4">
        <v>3.779149976666667</v>
      </c>
      <c r="P629" s="4" t="s">
        <v>734</v>
      </c>
      <c r="Q629" s="4" t="s">
        <v>735</v>
      </c>
      <c r="R629" s="4" t="s">
        <v>730</v>
      </c>
      <c r="S629" s="2">
        <v>46174.752508333331</v>
      </c>
      <c r="T629" s="5">
        <v>4.6712962962962966E-5</v>
      </c>
      <c r="U629" s="4">
        <v>4.5018091797828674E-2</v>
      </c>
      <c r="V629" s="4" t="s">
        <v>758</v>
      </c>
      <c r="W629" s="4" t="s">
        <v>757</v>
      </c>
      <c r="X629" s="6" t="s">
        <v>617</v>
      </c>
    </row>
    <row r="630" spans="1:24">
      <c r="A630" s="4" t="s">
        <v>840</v>
      </c>
      <c r="B630" s="4" t="s">
        <v>841</v>
      </c>
      <c r="D630" s="4" t="s">
        <v>716</v>
      </c>
      <c r="E630" s="4" t="s">
        <v>717</v>
      </c>
      <c r="M630" s="4" t="s">
        <v>762</v>
      </c>
      <c r="N630" s="4">
        <v>-71.646522500000003</v>
      </c>
      <c r="O630" s="4">
        <v>3.7798569199999998</v>
      </c>
      <c r="P630" s="4" t="s">
        <v>734</v>
      </c>
      <c r="Q630" s="4" t="s">
        <v>735</v>
      </c>
      <c r="R630" s="4" t="s">
        <v>730</v>
      </c>
      <c r="S630" s="2">
        <v>46174.752628703704</v>
      </c>
      <c r="T630" s="5">
        <v>1.4917824074074074E-4</v>
      </c>
      <c r="U630" s="4">
        <v>0.12915985286235809</v>
      </c>
      <c r="V630" s="4" t="s">
        <v>851</v>
      </c>
      <c r="W630" s="4" t="s">
        <v>762</v>
      </c>
      <c r="X630" s="6" t="s">
        <v>617</v>
      </c>
    </row>
    <row r="631" spans="1:24">
      <c r="A631" s="4" t="s">
        <v>840</v>
      </c>
      <c r="B631" s="4" t="s">
        <v>841</v>
      </c>
      <c r="D631" s="4" t="s">
        <v>716</v>
      </c>
      <c r="E631" s="4" t="s">
        <v>717</v>
      </c>
      <c r="M631" s="4" t="s">
        <v>762</v>
      </c>
      <c r="N631" s="4">
        <v>-71.643482199999994</v>
      </c>
      <c r="O631" s="4">
        <v>3.7833349075</v>
      </c>
      <c r="P631" s="4" t="s">
        <v>734</v>
      </c>
      <c r="Q631" s="4" t="s">
        <v>735</v>
      </c>
      <c r="R631" s="4" t="s">
        <v>730</v>
      </c>
      <c r="S631" s="2">
        <v>46174.753809374997</v>
      </c>
      <c r="T631" s="5">
        <v>2.9216435185185183E-4</v>
      </c>
      <c r="U631" s="4">
        <v>0.22823844850063324</v>
      </c>
      <c r="V631" s="4" t="s">
        <v>844</v>
      </c>
      <c r="W631" s="4" t="s">
        <v>762</v>
      </c>
      <c r="X631" s="6" t="s">
        <v>617</v>
      </c>
    </row>
    <row r="632" spans="1:24">
      <c r="A632" s="4" t="s">
        <v>840</v>
      </c>
      <c r="B632" s="4" t="s">
        <v>841</v>
      </c>
      <c r="D632" s="4" t="s">
        <v>716</v>
      </c>
      <c r="E632" s="4" t="s">
        <v>717</v>
      </c>
      <c r="M632" s="4" t="s">
        <v>762</v>
      </c>
      <c r="N632" s="4">
        <v>-71.640872950000002</v>
      </c>
      <c r="O632" s="4">
        <v>3.7846522299999998</v>
      </c>
      <c r="P632" s="4" t="s">
        <v>734</v>
      </c>
      <c r="Q632" s="4" t="s">
        <v>735</v>
      </c>
      <c r="R632" s="4" t="s">
        <v>730</v>
      </c>
      <c r="S632" s="2">
        <v>46174.754301273148</v>
      </c>
      <c r="T632" s="5">
        <v>7.5231581481481481E-5</v>
      </c>
      <c r="U632" s="4">
        <v>5.3617700934410095E-2</v>
      </c>
      <c r="V632" s="4" t="s">
        <v>808</v>
      </c>
      <c r="W632" s="4" t="s">
        <v>762</v>
      </c>
      <c r="X632" s="6" t="s">
        <v>617</v>
      </c>
    </row>
    <row r="633" spans="1:24">
      <c r="A633" s="4" t="s">
        <v>840</v>
      </c>
      <c r="B633" s="4" t="s">
        <v>841</v>
      </c>
      <c r="D633" s="4" t="s">
        <v>716</v>
      </c>
      <c r="E633" s="4" t="s">
        <v>717</v>
      </c>
      <c r="M633" s="4" t="s">
        <v>762</v>
      </c>
      <c r="N633" s="4">
        <v>-71.639597573718248</v>
      </c>
      <c r="O633" s="4">
        <v>3.7845034584692314</v>
      </c>
      <c r="P633" s="4" t="s">
        <v>734</v>
      </c>
      <c r="Q633" s="4" t="s">
        <v>735</v>
      </c>
      <c r="R633" s="4" t="s">
        <v>730</v>
      </c>
      <c r="S633" s="2">
        <v>46174.754503715281</v>
      </c>
      <c r="T633" s="5">
        <v>2.633449074074074E-4</v>
      </c>
      <c r="U633" s="4">
        <v>0.20239907503128052</v>
      </c>
      <c r="V633" s="4" t="s">
        <v>784</v>
      </c>
      <c r="W633" s="4" t="s">
        <v>762</v>
      </c>
      <c r="X633" s="6" t="s">
        <v>617</v>
      </c>
    </row>
    <row r="634" spans="1:24">
      <c r="A634" s="4" t="s">
        <v>840</v>
      </c>
      <c r="B634" s="4" t="s">
        <v>841</v>
      </c>
      <c r="D634" s="4" t="s">
        <v>716</v>
      </c>
      <c r="E634" s="4" t="s">
        <v>717</v>
      </c>
      <c r="M634" s="4" t="s">
        <v>645</v>
      </c>
      <c r="N634" s="4">
        <v>-71.636698440218311</v>
      </c>
      <c r="O634" s="4">
        <v>3.7842855100415096</v>
      </c>
      <c r="P634" s="4" t="s">
        <v>718</v>
      </c>
      <c r="Q634" s="4" t="s">
        <v>719</v>
      </c>
      <c r="R634" s="4" t="s">
        <v>720</v>
      </c>
      <c r="S634" s="2">
        <v>46174.754991643516</v>
      </c>
      <c r="T634" s="5">
        <v>3.5936342592592595E-4</v>
      </c>
      <c r="U634" s="4">
        <v>0.18424198031425476</v>
      </c>
      <c r="V634" s="4" t="s">
        <v>738</v>
      </c>
      <c r="W634" s="4" t="s">
        <v>645</v>
      </c>
      <c r="X634" s="6" t="s">
        <v>617</v>
      </c>
    </row>
    <row r="635" spans="1:24">
      <c r="A635" s="4" t="s">
        <v>840</v>
      </c>
      <c r="B635" s="4" t="s">
        <v>841</v>
      </c>
      <c r="D635" s="4" t="s">
        <v>716</v>
      </c>
      <c r="E635" s="4" t="s">
        <v>717</v>
      </c>
      <c r="M635" s="4" t="s">
        <v>762</v>
      </c>
      <c r="N635" s="4">
        <v>-71.629416322384614</v>
      </c>
      <c r="O635" s="4">
        <v>3.7825108472053848</v>
      </c>
      <c r="P635" s="4" t="s">
        <v>734</v>
      </c>
      <c r="Q635" s="4" t="s">
        <v>735</v>
      </c>
      <c r="R635" s="4" t="s">
        <v>730</v>
      </c>
      <c r="S635" s="2">
        <v>46174.756582187503</v>
      </c>
      <c r="T635" s="5">
        <v>2.4275462962962963E-4</v>
      </c>
      <c r="U635" s="4">
        <v>0.19282133877277374</v>
      </c>
      <c r="V635" s="4" t="s">
        <v>843</v>
      </c>
      <c r="W635" s="4" t="s">
        <v>762</v>
      </c>
      <c r="X635" s="6" t="s">
        <v>617</v>
      </c>
    </row>
    <row r="636" spans="1:24">
      <c r="A636" s="4" t="s">
        <v>840</v>
      </c>
      <c r="B636" s="4" t="s">
        <v>841</v>
      </c>
      <c r="D636" s="4" t="s">
        <v>716</v>
      </c>
      <c r="E636" s="4" t="s">
        <v>717</v>
      </c>
      <c r="M636" s="4" t="s">
        <v>645</v>
      </c>
      <c r="N636" s="4">
        <v>-71.627893430833339</v>
      </c>
      <c r="O636" s="4">
        <v>3.7807999352833335</v>
      </c>
      <c r="P636" s="4" t="s">
        <v>834</v>
      </c>
      <c r="Q636" s="4" t="s">
        <v>746</v>
      </c>
      <c r="R636" s="4" t="s">
        <v>720</v>
      </c>
      <c r="S636" s="2">
        <v>46174.764554513888</v>
      </c>
      <c r="T636" s="5">
        <v>1.0751388888888889E-3</v>
      </c>
      <c r="U636" s="4">
        <v>0.53204405307769775</v>
      </c>
      <c r="V636" s="4" t="s">
        <v>750</v>
      </c>
      <c r="W636" s="4" t="s">
        <v>645</v>
      </c>
      <c r="X636" s="6" t="s">
        <v>617</v>
      </c>
    </row>
    <row r="637" spans="1:24">
      <c r="A637" s="4" t="s">
        <v>840</v>
      </c>
      <c r="B637" s="4" t="s">
        <v>841</v>
      </c>
      <c r="D637" s="4" t="s">
        <v>716</v>
      </c>
      <c r="E637" s="4" t="s">
        <v>717</v>
      </c>
      <c r="M637" s="4" t="s">
        <v>614</v>
      </c>
      <c r="N637" s="4">
        <v>-71.629493699999998</v>
      </c>
      <c r="O637" s="4">
        <v>3.7761497500000001</v>
      </c>
      <c r="P637" s="4" t="s">
        <v>795</v>
      </c>
      <c r="Q637" s="4" t="s">
        <v>743</v>
      </c>
      <c r="R637" s="4" t="s">
        <v>730</v>
      </c>
      <c r="S637" s="2">
        <v>46174.76656423611</v>
      </c>
      <c r="T637" s="5">
        <v>4.3889351851851853E-2</v>
      </c>
      <c r="U637" s="4">
        <v>5.1453102380037308E-2</v>
      </c>
      <c r="V637" s="4" t="s">
        <v>616</v>
      </c>
      <c r="W637" s="4" t="s">
        <v>614</v>
      </c>
      <c r="X637" s="6" t="s">
        <v>617</v>
      </c>
    </row>
    <row r="638" spans="1:24">
      <c r="A638" s="4" t="s">
        <v>840</v>
      </c>
      <c r="B638" s="4" t="s">
        <v>841</v>
      </c>
      <c r="D638" s="4" t="s">
        <v>716</v>
      </c>
      <c r="E638" s="4" t="s">
        <v>717</v>
      </c>
      <c r="M638" s="4" t="s">
        <v>614</v>
      </c>
      <c r="N638" s="4">
        <v>-71.629501300000001</v>
      </c>
      <c r="O638" s="4">
        <v>3.7761492699999999</v>
      </c>
      <c r="P638" s="4" t="s">
        <v>795</v>
      </c>
      <c r="Q638" s="4" t="s">
        <v>743</v>
      </c>
      <c r="R638" s="4" t="s">
        <v>730</v>
      </c>
      <c r="S638" s="2">
        <v>46174.811622569447</v>
      </c>
      <c r="T638" s="5">
        <v>3.8391319444444447E-2</v>
      </c>
      <c r="U638" s="4">
        <v>4.5948490500450134E-2</v>
      </c>
      <c r="V638" s="4" t="s">
        <v>616</v>
      </c>
      <c r="W638" s="4" t="s">
        <v>614</v>
      </c>
      <c r="X638" s="6" t="s">
        <v>617</v>
      </c>
    </row>
    <row r="639" spans="1:24">
      <c r="A639" s="4" t="s">
        <v>840</v>
      </c>
      <c r="B639" s="4" t="s">
        <v>841</v>
      </c>
      <c r="D639" s="4" t="s">
        <v>716</v>
      </c>
      <c r="E639" s="4" t="s">
        <v>717</v>
      </c>
      <c r="M639" s="4" t="s">
        <v>614</v>
      </c>
      <c r="N639" s="4">
        <v>-71.629936200000003</v>
      </c>
      <c r="O639" s="4">
        <v>3.77622437</v>
      </c>
      <c r="P639" s="4" t="s">
        <v>795</v>
      </c>
      <c r="Q639" s="4" t="s">
        <v>743</v>
      </c>
      <c r="R639" s="4" t="s">
        <v>730</v>
      </c>
      <c r="S639" s="2">
        <v>46174.850719907408</v>
      </c>
      <c r="T639" s="5">
        <v>5.17349537037037E-3</v>
      </c>
      <c r="U639" s="4">
        <v>2.3495678324252367E-3</v>
      </c>
      <c r="V639" s="4" t="s">
        <v>616</v>
      </c>
      <c r="W639" s="4" t="s">
        <v>614</v>
      </c>
      <c r="X639" s="6" t="s">
        <v>617</v>
      </c>
    </row>
    <row r="640" spans="1:24">
      <c r="A640" s="4" t="s">
        <v>840</v>
      </c>
      <c r="B640" s="4" t="s">
        <v>841</v>
      </c>
      <c r="D640" s="4" t="s">
        <v>716</v>
      </c>
      <c r="E640" s="4" t="s">
        <v>717</v>
      </c>
      <c r="M640" s="4" t="s">
        <v>645</v>
      </c>
      <c r="N640" s="4">
        <v>-71.629930069467562</v>
      </c>
      <c r="O640" s="4">
        <v>3.7771389021963393</v>
      </c>
      <c r="P640" s="4" t="s">
        <v>797</v>
      </c>
      <c r="Q640" s="4" t="s">
        <v>746</v>
      </c>
      <c r="R640" s="4" t="s">
        <v>720</v>
      </c>
      <c r="S640" s="2">
        <v>46174.856276562503</v>
      </c>
      <c r="T640" s="5">
        <v>6.974768518518519E-4</v>
      </c>
      <c r="U640" s="4">
        <v>0.53662317991256714</v>
      </c>
      <c r="V640" s="4" t="s">
        <v>780</v>
      </c>
      <c r="W640" s="4" t="s">
        <v>645</v>
      </c>
      <c r="X640" s="6" t="s">
        <v>617</v>
      </c>
    </row>
    <row r="641" spans="1:24">
      <c r="A641" s="4" t="s">
        <v>840</v>
      </c>
      <c r="B641" s="4" t="s">
        <v>841</v>
      </c>
      <c r="D641" s="4" t="s">
        <v>716</v>
      </c>
      <c r="E641" s="4" t="s">
        <v>717</v>
      </c>
      <c r="M641" s="4" t="s">
        <v>762</v>
      </c>
      <c r="N641" s="4">
        <v>-71.628223820000002</v>
      </c>
      <c r="O641" s="4">
        <v>3.781197428</v>
      </c>
      <c r="P641" s="4" t="s">
        <v>734</v>
      </c>
      <c r="Q641" s="4" t="s">
        <v>735</v>
      </c>
      <c r="R641" s="4" t="s">
        <v>730</v>
      </c>
      <c r="S641" s="2">
        <v>46174.857119097222</v>
      </c>
      <c r="T641" s="5">
        <v>2.5490740740740742E-4</v>
      </c>
      <c r="U641" s="4">
        <v>0.24041588604450226</v>
      </c>
      <c r="V641" s="4" t="s">
        <v>842</v>
      </c>
      <c r="W641" s="4" t="s">
        <v>762</v>
      </c>
      <c r="X641" s="6" t="s">
        <v>617</v>
      </c>
    </row>
    <row r="642" spans="1:24">
      <c r="A642" s="4" t="s">
        <v>840</v>
      </c>
      <c r="B642" s="4" t="s">
        <v>841</v>
      </c>
      <c r="D642" s="4" t="s">
        <v>716</v>
      </c>
      <c r="E642" s="4" t="s">
        <v>717</v>
      </c>
      <c r="M642" s="4" t="s">
        <v>757</v>
      </c>
      <c r="N642" s="4">
        <v>-71.628441219999999</v>
      </c>
      <c r="O642" s="4">
        <v>3.7813845879999999</v>
      </c>
      <c r="P642" s="4" t="s">
        <v>734</v>
      </c>
      <c r="Q642" s="4" t="s">
        <v>735</v>
      </c>
      <c r="R642" s="4" t="s">
        <v>730</v>
      </c>
      <c r="S642" s="2">
        <v>46174.857153819445</v>
      </c>
      <c r="T642" s="5">
        <v>1.2118055555555555E-4</v>
      </c>
      <c r="U642" s="4">
        <v>0.11774864792823792</v>
      </c>
      <c r="V642" s="4" t="s">
        <v>842</v>
      </c>
      <c r="W642" s="4" t="s">
        <v>757</v>
      </c>
      <c r="X642" s="6" t="s">
        <v>617</v>
      </c>
    </row>
    <row r="643" spans="1:24">
      <c r="A643" s="4" t="s">
        <v>840</v>
      </c>
      <c r="B643" s="4" t="s">
        <v>841</v>
      </c>
      <c r="D643" s="4" t="s">
        <v>716</v>
      </c>
      <c r="E643" s="4" t="s">
        <v>717</v>
      </c>
      <c r="M643" s="4" t="s">
        <v>762</v>
      </c>
      <c r="N643" s="4">
        <v>-71.630607244738428</v>
      </c>
      <c r="O643" s="4">
        <v>3.7833663484586091</v>
      </c>
      <c r="P643" s="4" t="s">
        <v>734</v>
      </c>
      <c r="Q643" s="4" t="s">
        <v>735</v>
      </c>
      <c r="R643" s="4" t="s">
        <v>730</v>
      </c>
      <c r="S643" s="2">
        <v>46174.857606944446</v>
      </c>
      <c r="T643" s="5">
        <v>1.54375E-4</v>
      </c>
      <c r="U643" s="4">
        <v>0.13849242031574249</v>
      </c>
      <c r="V643" s="4" t="s">
        <v>798</v>
      </c>
      <c r="W643" s="4" t="s">
        <v>762</v>
      </c>
      <c r="X643" s="6" t="s">
        <v>617</v>
      </c>
    </row>
    <row r="644" spans="1:24">
      <c r="A644" s="4" t="s">
        <v>840</v>
      </c>
      <c r="B644" s="4" t="s">
        <v>841</v>
      </c>
      <c r="D644" s="4" t="s">
        <v>716</v>
      </c>
      <c r="E644" s="4" t="s">
        <v>717</v>
      </c>
      <c r="M644" s="4" t="s">
        <v>762</v>
      </c>
      <c r="N644" s="4">
        <v>-71.632171637100001</v>
      </c>
      <c r="O644" s="4">
        <v>3.7837436813699998</v>
      </c>
      <c r="P644" s="4" t="s">
        <v>734</v>
      </c>
      <c r="Q644" s="4" t="s">
        <v>735</v>
      </c>
      <c r="R644" s="4" t="s">
        <v>730</v>
      </c>
      <c r="S644" s="2">
        <v>46174.857844456019</v>
      </c>
      <c r="T644" s="5">
        <v>7.7569444444444439E-5</v>
      </c>
      <c r="U644" s="4">
        <v>6.7182682454586029E-2</v>
      </c>
      <c r="V644" s="4" t="s">
        <v>780</v>
      </c>
      <c r="W644" s="4" t="s">
        <v>762</v>
      </c>
      <c r="X644" s="6" t="s">
        <v>617</v>
      </c>
    </row>
    <row r="645" spans="1:24">
      <c r="A645" s="4" t="s">
        <v>840</v>
      </c>
      <c r="B645" s="4" t="s">
        <v>841</v>
      </c>
      <c r="D645" s="4" t="s">
        <v>716</v>
      </c>
      <c r="E645" s="4" t="s">
        <v>717</v>
      </c>
      <c r="M645" s="4" t="s">
        <v>762</v>
      </c>
      <c r="N645" s="4">
        <v>-71.632957500000003</v>
      </c>
      <c r="O645" s="4">
        <v>3.7838821399999998</v>
      </c>
      <c r="P645" s="4" t="s">
        <v>734</v>
      </c>
      <c r="Q645" s="4" t="s">
        <v>735</v>
      </c>
      <c r="R645" s="4" t="s">
        <v>730</v>
      </c>
      <c r="S645" s="2">
        <v>46174.857953587962</v>
      </c>
      <c r="T645" s="5">
        <v>9.9293981481481482E-5</v>
      </c>
      <c r="U645" s="4">
        <v>8.2933239638805389E-2</v>
      </c>
      <c r="V645" s="4" t="s">
        <v>847</v>
      </c>
      <c r="W645" s="4" t="s">
        <v>762</v>
      </c>
      <c r="X645" s="6" t="s">
        <v>617</v>
      </c>
    </row>
    <row r="646" spans="1:24">
      <c r="A646" s="4" t="s">
        <v>840</v>
      </c>
      <c r="B646" s="4" t="s">
        <v>841</v>
      </c>
      <c r="D646" s="4" t="s">
        <v>716</v>
      </c>
      <c r="E646" s="4" t="s">
        <v>717</v>
      </c>
      <c r="M646" s="4" t="s">
        <v>757</v>
      </c>
      <c r="N646" s="4">
        <v>-71.633174605866671</v>
      </c>
      <c r="O646" s="4">
        <v>3.7839021349733333</v>
      </c>
      <c r="P646" s="4" t="s">
        <v>734</v>
      </c>
      <c r="Q646" s="4" t="s">
        <v>735</v>
      </c>
      <c r="R646" s="4" t="s">
        <v>730</v>
      </c>
      <c r="S646" s="2">
        <v>46174.857980300927</v>
      </c>
      <c r="T646" s="5">
        <v>2.5370370370370372E-5</v>
      </c>
      <c r="U646" s="4">
        <v>2.4262096732854843E-2</v>
      </c>
      <c r="V646" s="4" t="s">
        <v>847</v>
      </c>
      <c r="W646" s="4" t="s">
        <v>757</v>
      </c>
      <c r="X646" s="6" t="s">
        <v>617</v>
      </c>
    </row>
    <row r="647" spans="1:24">
      <c r="A647" s="4" t="s">
        <v>840</v>
      </c>
      <c r="B647" s="4" t="s">
        <v>841</v>
      </c>
      <c r="D647" s="4" t="s">
        <v>716</v>
      </c>
      <c r="E647" s="4" t="s">
        <v>717</v>
      </c>
      <c r="M647" s="4" t="s">
        <v>656</v>
      </c>
      <c r="N647" s="4">
        <v>-71.633972200000002</v>
      </c>
      <c r="O647" s="4">
        <v>3.7839169500000001</v>
      </c>
      <c r="P647" s="4" t="s">
        <v>734</v>
      </c>
      <c r="Q647" s="4" t="s">
        <v>735</v>
      </c>
      <c r="R647" s="4" t="s">
        <v>730</v>
      </c>
      <c r="S647" s="2">
        <v>46174.858104050923</v>
      </c>
      <c r="T647" s="5">
        <v>1.4351851851851852E-3</v>
      </c>
      <c r="U647" s="4">
        <v>1.0787606239318848</v>
      </c>
      <c r="V647" s="4" t="s">
        <v>857</v>
      </c>
      <c r="W647" s="4" t="s">
        <v>656</v>
      </c>
      <c r="X647" s="6" t="s">
        <v>617</v>
      </c>
    </row>
    <row r="648" spans="1:24">
      <c r="A648" s="4" t="s">
        <v>840</v>
      </c>
      <c r="B648" s="4" t="s">
        <v>841</v>
      </c>
      <c r="D648" s="4" t="s">
        <v>716</v>
      </c>
      <c r="E648" s="4" t="s">
        <v>717</v>
      </c>
      <c r="M648" s="4" t="s">
        <v>757</v>
      </c>
      <c r="N648" s="4">
        <v>-71.636207549999995</v>
      </c>
      <c r="O648" s="4">
        <v>3.7745790499999998</v>
      </c>
      <c r="P648" s="4" t="s">
        <v>795</v>
      </c>
      <c r="Q648" s="4" t="s">
        <v>743</v>
      </c>
      <c r="R648" s="4" t="s">
        <v>730</v>
      </c>
      <c r="S648" s="2">
        <v>46174.85957980324</v>
      </c>
      <c r="T648" s="5">
        <v>6.6585648148148149E-5</v>
      </c>
      <c r="U648" s="4">
        <v>6.2953628599643707E-2</v>
      </c>
      <c r="V648" s="4" t="s">
        <v>774</v>
      </c>
      <c r="W648" s="4" t="s">
        <v>757</v>
      </c>
      <c r="X648" s="6" t="s">
        <v>617</v>
      </c>
    </row>
    <row r="649" spans="1:24">
      <c r="A649" s="4" t="s">
        <v>840</v>
      </c>
      <c r="B649" s="4" t="s">
        <v>841</v>
      </c>
      <c r="D649" s="4" t="s">
        <v>716</v>
      </c>
      <c r="E649" s="4" t="s">
        <v>717</v>
      </c>
      <c r="M649" s="4" t="s">
        <v>656</v>
      </c>
      <c r="N649" s="4">
        <v>-71.635902400000006</v>
      </c>
      <c r="O649" s="4">
        <v>3.7751543500000002</v>
      </c>
      <c r="P649" s="4" t="s">
        <v>795</v>
      </c>
      <c r="Q649" s="4" t="s">
        <v>743</v>
      </c>
      <c r="R649" s="4" t="s">
        <v>730</v>
      </c>
      <c r="S649" s="2">
        <v>46174.863138773151</v>
      </c>
      <c r="T649" s="5">
        <v>1.4930555555555556E-3</v>
      </c>
      <c r="U649" s="4">
        <v>1.0542818307876587</v>
      </c>
      <c r="V649" s="4" t="s">
        <v>857</v>
      </c>
      <c r="W649" s="4" t="s">
        <v>656</v>
      </c>
      <c r="X649" s="6" t="s">
        <v>617</v>
      </c>
    </row>
    <row r="650" spans="1:24">
      <c r="A650" s="4" t="s">
        <v>840</v>
      </c>
      <c r="B650" s="4" t="s">
        <v>841</v>
      </c>
      <c r="D650" s="4" t="s">
        <v>716</v>
      </c>
      <c r="E650" s="4" t="s">
        <v>717</v>
      </c>
      <c r="M650" s="4" t="s">
        <v>645</v>
      </c>
      <c r="N650" s="4">
        <v>-71.63505902395454</v>
      </c>
      <c r="O650" s="4">
        <v>3.784211240520909</v>
      </c>
      <c r="P650" s="4" t="s">
        <v>718</v>
      </c>
      <c r="Q650" s="4" t="s">
        <v>719</v>
      </c>
      <c r="R650" s="4" t="s">
        <v>720</v>
      </c>
      <c r="S650" s="2">
        <v>46174.864797881943</v>
      </c>
      <c r="T650" s="5">
        <v>3.0144675925925928E-4</v>
      </c>
      <c r="U650" s="4">
        <v>0.1833396852016449</v>
      </c>
      <c r="V650" s="4" t="s">
        <v>783</v>
      </c>
      <c r="W650" s="4" t="s">
        <v>645</v>
      </c>
      <c r="X650" s="6" t="s">
        <v>617</v>
      </c>
    </row>
    <row r="651" spans="1:24">
      <c r="A651" s="4" t="s">
        <v>840</v>
      </c>
      <c r="B651" s="4" t="s">
        <v>841</v>
      </c>
      <c r="D651" s="4" t="s">
        <v>716</v>
      </c>
      <c r="E651" s="4" t="s">
        <v>717</v>
      </c>
      <c r="M651" s="4" t="s">
        <v>762</v>
      </c>
      <c r="N651" s="4">
        <v>-71.636882750000012</v>
      </c>
      <c r="O651" s="4">
        <v>3.7843695850000003</v>
      </c>
      <c r="P651" s="4" t="s">
        <v>734</v>
      </c>
      <c r="Q651" s="4" t="s">
        <v>735</v>
      </c>
      <c r="R651" s="4" t="s">
        <v>730</v>
      </c>
      <c r="S651" s="2">
        <v>46174.865129398146</v>
      </c>
      <c r="T651" s="5">
        <v>4.1163194444444445E-4</v>
      </c>
      <c r="U651" s="4">
        <v>0.35162687301635742</v>
      </c>
      <c r="V651" s="4" t="s">
        <v>845</v>
      </c>
      <c r="W651" s="4" t="s">
        <v>762</v>
      </c>
      <c r="X651" s="6" t="s">
        <v>617</v>
      </c>
    </row>
    <row r="652" spans="1:24">
      <c r="A652" s="4" t="s">
        <v>840</v>
      </c>
      <c r="B652" s="4" t="s">
        <v>841</v>
      </c>
      <c r="D652" s="4" t="s">
        <v>716</v>
      </c>
      <c r="E652" s="4" t="s">
        <v>717</v>
      </c>
      <c r="M652" s="4" t="s">
        <v>762</v>
      </c>
      <c r="N652" s="4">
        <v>-71.6403885</v>
      </c>
      <c r="O652" s="4">
        <v>3.7846503299999998</v>
      </c>
      <c r="P652" s="4" t="s">
        <v>734</v>
      </c>
      <c r="Q652" s="4" t="s">
        <v>735</v>
      </c>
      <c r="R652" s="4" t="s">
        <v>730</v>
      </c>
      <c r="S652" s="2">
        <v>46174.865615509261</v>
      </c>
      <c r="T652" s="5">
        <v>1.2280092592592591E-4</v>
      </c>
      <c r="U652" s="4">
        <v>9.7759909927845001E-2</v>
      </c>
      <c r="V652" s="4" t="s">
        <v>784</v>
      </c>
      <c r="W652" s="4" t="s">
        <v>762</v>
      </c>
      <c r="X652" s="6" t="s">
        <v>617</v>
      </c>
    </row>
    <row r="653" spans="1:24">
      <c r="A653" s="4" t="s">
        <v>840</v>
      </c>
      <c r="B653" s="4" t="s">
        <v>841</v>
      </c>
      <c r="D653" s="4" t="s">
        <v>716</v>
      </c>
      <c r="E653" s="4" t="s">
        <v>717</v>
      </c>
      <c r="M653" s="4" t="s">
        <v>762</v>
      </c>
      <c r="N653" s="4">
        <v>-71.642425575000004</v>
      </c>
      <c r="O653" s="4">
        <v>3.78457248</v>
      </c>
      <c r="P653" s="4" t="s">
        <v>734</v>
      </c>
      <c r="Q653" s="4" t="s">
        <v>735</v>
      </c>
      <c r="R653" s="4" t="s">
        <v>730</v>
      </c>
      <c r="S653" s="2">
        <v>46174.865936689814</v>
      </c>
      <c r="T653" s="5">
        <v>2.4594907407407405E-4</v>
      </c>
      <c r="U653" s="4">
        <v>0.19589577615261078</v>
      </c>
      <c r="V653" s="4" t="s">
        <v>784</v>
      </c>
      <c r="W653" s="4" t="s">
        <v>762</v>
      </c>
      <c r="X653" s="6" t="s">
        <v>617</v>
      </c>
    </row>
    <row r="654" spans="1:24">
      <c r="A654" s="4" t="s">
        <v>840</v>
      </c>
      <c r="B654" s="4" t="s">
        <v>841</v>
      </c>
      <c r="D654" s="4" t="s">
        <v>716</v>
      </c>
      <c r="E654" s="4" t="s">
        <v>717</v>
      </c>
      <c r="M654" s="4" t="s">
        <v>762</v>
      </c>
      <c r="N654" s="4">
        <v>-71.644069305071582</v>
      </c>
      <c r="O654" s="4">
        <v>3.7822010770214183</v>
      </c>
      <c r="P654" s="4" t="s">
        <v>734</v>
      </c>
      <c r="Q654" s="4" t="s">
        <v>735</v>
      </c>
      <c r="R654" s="4" t="s">
        <v>730</v>
      </c>
      <c r="S654" s="2">
        <v>46174.866518391202</v>
      </c>
      <c r="T654" s="5">
        <v>1.6362268518518519E-4</v>
      </c>
      <c r="U654" s="4">
        <v>0.13139264285564423</v>
      </c>
      <c r="V654" s="4" t="s">
        <v>784</v>
      </c>
      <c r="W654" s="4" t="s">
        <v>762</v>
      </c>
      <c r="X654" s="6" t="s">
        <v>617</v>
      </c>
    </row>
    <row r="655" spans="1:24">
      <c r="A655" s="4" t="s">
        <v>840</v>
      </c>
      <c r="B655" s="4" t="s">
        <v>841</v>
      </c>
      <c r="D655" s="4" t="s">
        <v>716</v>
      </c>
      <c r="E655" s="4" t="s">
        <v>717</v>
      </c>
      <c r="M655" s="4" t="s">
        <v>762</v>
      </c>
      <c r="N655" s="4">
        <v>-71.645744280972565</v>
      </c>
      <c r="O655" s="4">
        <v>3.7806209101795512</v>
      </c>
      <c r="P655" s="4" t="s">
        <v>734</v>
      </c>
      <c r="Q655" s="4" t="s">
        <v>735</v>
      </c>
      <c r="R655" s="4" t="s">
        <v>730</v>
      </c>
      <c r="S655" s="2">
        <v>46174.866954317127</v>
      </c>
      <c r="T655" s="5">
        <v>9.306712962962963E-5</v>
      </c>
      <c r="U655" s="4">
        <v>6.5896742045879364E-2</v>
      </c>
      <c r="V655" s="4" t="s">
        <v>808</v>
      </c>
      <c r="W655" s="4" t="s">
        <v>762</v>
      </c>
      <c r="X655" s="6" t="s">
        <v>617</v>
      </c>
    </row>
    <row r="656" spans="1:24">
      <c r="A656" s="4" t="s">
        <v>840</v>
      </c>
      <c r="B656" s="4" t="s">
        <v>841</v>
      </c>
      <c r="D656" s="4" t="s">
        <v>716</v>
      </c>
      <c r="E656" s="4" t="s">
        <v>717</v>
      </c>
      <c r="M656" s="4" t="s">
        <v>762</v>
      </c>
      <c r="N656" s="4">
        <v>-71.647892541008204</v>
      </c>
      <c r="O656" s="4">
        <v>3.7784316727905578</v>
      </c>
      <c r="P656" s="4" t="s">
        <v>734</v>
      </c>
      <c r="Q656" s="4" t="s">
        <v>735</v>
      </c>
      <c r="R656" s="4" t="s">
        <v>730</v>
      </c>
      <c r="S656" s="2">
        <v>46174.867692233798</v>
      </c>
      <c r="T656" s="5">
        <v>8.0254629629629624E-5</v>
      </c>
      <c r="U656" s="4">
        <v>6.7259468138217926E-2</v>
      </c>
      <c r="V656" s="4" t="s">
        <v>845</v>
      </c>
      <c r="W656" s="4" t="s">
        <v>762</v>
      </c>
      <c r="X656" s="6" t="s">
        <v>617</v>
      </c>
    </row>
    <row r="657" spans="1:24">
      <c r="A657" s="4" t="s">
        <v>840</v>
      </c>
      <c r="B657" s="4" t="s">
        <v>841</v>
      </c>
      <c r="D657" s="4" t="s">
        <v>716</v>
      </c>
      <c r="E657" s="4" t="s">
        <v>717</v>
      </c>
      <c r="M657" s="4" t="s">
        <v>762</v>
      </c>
      <c r="N657" s="4">
        <v>-71.652325173266661</v>
      </c>
      <c r="O657" s="4">
        <v>3.7721578277000001</v>
      </c>
      <c r="P657" s="4" t="s">
        <v>734</v>
      </c>
      <c r="Q657" s="4" t="s">
        <v>735</v>
      </c>
      <c r="R657" s="4" t="s">
        <v>730</v>
      </c>
      <c r="S657" s="2">
        <v>46174.870299155089</v>
      </c>
      <c r="T657" s="5">
        <v>1.2880787037037038E-4</v>
      </c>
      <c r="U657" s="4">
        <v>0.1101367324590683</v>
      </c>
      <c r="V657" s="4" t="s">
        <v>851</v>
      </c>
      <c r="W657" s="4" t="s">
        <v>762</v>
      </c>
      <c r="X657" s="6" t="s">
        <v>617</v>
      </c>
    </row>
    <row r="658" spans="1:24">
      <c r="A658" s="4" t="s">
        <v>840</v>
      </c>
      <c r="B658" s="4" t="s">
        <v>841</v>
      </c>
      <c r="D658" s="4" t="s">
        <v>716</v>
      </c>
      <c r="E658" s="4" t="s">
        <v>717</v>
      </c>
      <c r="M658" s="4" t="s">
        <v>762</v>
      </c>
      <c r="N658" s="4">
        <v>-71.654831460598501</v>
      </c>
      <c r="O658" s="4">
        <v>3.7726175656159602</v>
      </c>
      <c r="P658" s="4" t="s">
        <v>785</v>
      </c>
      <c r="Q658" s="4" t="s">
        <v>735</v>
      </c>
      <c r="R658" s="4" t="s">
        <v>730</v>
      </c>
      <c r="S658" s="2">
        <v>46174.874208356479</v>
      </c>
      <c r="T658" s="5">
        <v>9.2337962962962957E-5</v>
      </c>
      <c r="U658" s="4">
        <v>7.5165398418903351E-2</v>
      </c>
      <c r="V658" s="4" t="s">
        <v>798</v>
      </c>
      <c r="W658" s="4" t="s">
        <v>762</v>
      </c>
      <c r="X658" s="6" t="s">
        <v>617</v>
      </c>
    </row>
    <row r="659" spans="1:24">
      <c r="A659" s="4" t="s">
        <v>840</v>
      </c>
      <c r="B659" s="4" t="s">
        <v>841</v>
      </c>
      <c r="D659" s="4" t="s">
        <v>716</v>
      </c>
      <c r="E659" s="4" t="s">
        <v>717</v>
      </c>
      <c r="M659" s="4" t="s">
        <v>762</v>
      </c>
      <c r="N659" s="4">
        <v>-71.653164173406751</v>
      </c>
      <c r="O659" s="4">
        <v>3.7721072381870759</v>
      </c>
      <c r="P659" s="4" t="s">
        <v>734</v>
      </c>
      <c r="Q659" s="4" t="s">
        <v>735</v>
      </c>
      <c r="R659" s="4" t="s">
        <v>730</v>
      </c>
      <c r="S659" s="2">
        <v>46174.87453671296</v>
      </c>
      <c r="T659" s="5">
        <v>3.7025462962962961E-5</v>
      </c>
      <c r="U659" s="4">
        <v>2.592039667069912E-2</v>
      </c>
      <c r="V659" s="4" t="s">
        <v>808</v>
      </c>
      <c r="W659" s="4" t="s">
        <v>762</v>
      </c>
      <c r="X659" s="6" t="s">
        <v>617</v>
      </c>
    </row>
    <row r="660" spans="1:24">
      <c r="A660" s="4" t="s">
        <v>840</v>
      </c>
      <c r="B660" s="4" t="s">
        <v>841</v>
      </c>
      <c r="D660" s="4" t="s">
        <v>716</v>
      </c>
      <c r="E660" s="4" t="s">
        <v>717</v>
      </c>
      <c r="M660" s="4" t="s">
        <v>754</v>
      </c>
      <c r="N660" s="4">
        <v>-71.651569389606848</v>
      </c>
      <c r="O660" s="4">
        <v>3.7720545305449589</v>
      </c>
      <c r="P660" s="4" t="s">
        <v>734</v>
      </c>
      <c r="Q660" s="4" t="s">
        <v>735</v>
      </c>
      <c r="R660" s="4" t="s">
        <v>730</v>
      </c>
      <c r="S660" s="2">
        <v>46174.894299837964</v>
      </c>
      <c r="T660" s="5">
        <v>2.3775462962962962E-4</v>
      </c>
      <c r="U660" s="4">
        <v>8.4825165569782257E-2</v>
      </c>
      <c r="V660" s="4" t="s">
        <v>810</v>
      </c>
      <c r="W660" s="4" t="s">
        <v>754</v>
      </c>
      <c r="X660" s="6" t="s">
        <v>617</v>
      </c>
    </row>
    <row r="661" spans="1:24">
      <c r="A661" s="4" t="s">
        <v>858</v>
      </c>
      <c r="B661" s="4" t="s">
        <v>859</v>
      </c>
      <c r="C661" s="4" t="s">
        <v>860</v>
      </c>
      <c r="D661" s="4" t="s">
        <v>716</v>
      </c>
      <c r="E661" s="4" t="s">
        <v>717</v>
      </c>
      <c r="M661" s="4" t="s">
        <v>656</v>
      </c>
      <c r="N661" s="4">
        <v>-71.634534445</v>
      </c>
      <c r="O661" s="4">
        <v>3.7816106679999999</v>
      </c>
      <c r="P661" s="4" t="s">
        <v>742</v>
      </c>
      <c r="Q661" s="4" t="s">
        <v>743</v>
      </c>
      <c r="R661" s="4" t="s">
        <v>730</v>
      </c>
      <c r="S661" s="2">
        <v>46174.057907986113</v>
      </c>
      <c r="T661" s="5">
        <v>1.0619212962962963E-3</v>
      </c>
      <c r="U661" s="4">
        <v>0.316600501537323</v>
      </c>
      <c r="V661" s="4" t="s">
        <v>861</v>
      </c>
      <c r="W661" s="4" t="s">
        <v>656</v>
      </c>
      <c r="X661" s="6" t="s">
        <v>617</v>
      </c>
    </row>
    <row r="662" spans="1:24">
      <c r="A662" s="4" t="s">
        <v>858</v>
      </c>
      <c r="B662" s="4" t="s">
        <v>859</v>
      </c>
      <c r="C662" s="4" t="s">
        <v>860</v>
      </c>
      <c r="D662" s="4" t="s">
        <v>716</v>
      </c>
      <c r="E662" s="4" t="s">
        <v>717</v>
      </c>
      <c r="M662" s="4" t="s">
        <v>645</v>
      </c>
      <c r="N662" s="4">
        <v>-71.626399968133327</v>
      </c>
      <c r="O662" s="4">
        <v>3.7809499710000001</v>
      </c>
      <c r="P662" s="4" t="s">
        <v>739</v>
      </c>
      <c r="Q662" s="4" t="s">
        <v>740</v>
      </c>
      <c r="R662" s="4" t="s">
        <v>730</v>
      </c>
      <c r="S662" s="2">
        <v>46174.060823472224</v>
      </c>
      <c r="T662" s="5">
        <v>6.7731481481481481E-5</v>
      </c>
      <c r="U662" s="4">
        <v>2.2469980642199516E-2</v>
      </c>
      <c r="V662" s="4" t="s">
        <v>752</v>
      </c>
      <c r="W662" s="4" t="s">
        <v>645</v>
      </c>
      <c r="X662" s="6" t="s">
        <v>617</v>
      </c>
    </row>
    <row r="663" spans="1:24">
      <c r="A663" s="4" t="s">
        <v>858</v>
      </c>
      <c r="B663" s="4" t="s">
        <v>859</v>
      </c>
      <c r="C663" s="4" t="s">
        <v>860</v>
      </c>
      <c r="D663" s="4" t="s">
        <v>716</v>
      </c>
      <c r="E663" s="4" t="s">
        <v>717</v>
      </c>
      <c r="M663" s="4" t="s">
        <v>645</v>
      </c>
      <c r="N663" s="4">
        <v>-71.6261978</v>
      </c>
      <c r="O663" s="4">
        <v>3.7809367200000001</v>
      </c>
      <c r="P663" s="4" t="s">
        <v>770</v>
      </c>
      <c r="Q663" s="4" t="s">
        <v>740</v>
      </c>
      <c r="R663" s="4" t="s">
        <v>730</v>
      </c>
      <c r="S663" s="2">
        <v>46174.060891203706</v>
      </c>
      <c r="T663" s="5">
        <v>3.0150462962962965E-4</v>
      </c>
      <c r="U663" s="4">
        <v>0.1179933175444603</v>
      </c>
      <c r="V663" s="4" t="s">
        <v>738</v>
      </c>
      <c r="W663" s="4" t="s">
        <v>645</v>
      </c>
      <c r="X663" s="6" t="s">
        <v>617</v>
      </c>
    </row>
    <row r="664" spans="1:24">
      <c r="A664" s="4" t="s">
        <v>858</v>
      </c>
      <c r="B664" s="4" t="s">
        <v>859</v>
      </c>
      <c r="C664" s="4" t="s">
        <v>860</v>
      </c>
      <c r="D664" s="4" t="s">
        <v>716</v>
      </c>
      <c r="E664" s="4" t="s">
        <v>717</v>
      </c>
      <c r="M664" s="4" t="s">
        <v>614</v>
      </c>
      <c r="N664" s="4">
        <v>-71.567077600000005</v>
      </c>
      <c r="O664" s="4">
        <v>3.7132780599999999</v>
      </c>
      <c r="P664" s="4" t="s">
        <v>776</v>
      </c>
      <c r="Q664" s="4" t="s">
        <v>743</v>
      </c>
      <c r="R664" s="4" t="s">
        <v>730</v>
      </c>
      <c r="S664" s="2">
        <v>46174.097905092596</v>
      </c>
      <c r="T664" s="5">
        <v>4.3518518518518515E-3</v>
      </c>
      <c r="U664" s="4">
        <v>0</v>
      </c>
      <c r="V664" s="4" t="s">
        <v>616</v>
      </c>
      <c r="W664" s="4" t="s">
        <v>614</v>
      </c>
      <c r="X664" s="6" t="s">
        <v>617</v>
      </c>
    </row>
    <row r="665" spans="1:24">
      <c r="A665" s="4" t="s">
        <v>858</v>
      </c>
      <c r="B665" s="4" t="s">
        <v>859</v>
      </c>
      <c r="C665" s="4" t="s">
        <v>860</v>
      </c>
      <c r="D665" s="4" t="s">
        <v>716</v>
      </c>
      <c r="E665" s="4" t="s">
        <v>717</v>
      </c>
      <c r="M665" s="4" t="s">
        <v>757</v>
      </c>
      <c r="N665" s="4">
        <v>-71.588179266666657</v>
      </c>
      <c r="O665" s="4">
        <v>3.7263391850000001</v>
      </c>
      <c r="P665" s="4" t="s">
        <v>776</v>
      </c>
      <c r="Q665" s="4" t="s">
        <v>743</v>
      </c>
      <c r="R665" s="4" t="s">
        <v>730</v>
      </c>
      <c r="S665" s="2">
        <v>46174.1094212963</v>
      </c>
      <c r="T665" s="5">
        <v>2.8935285185185187E-5</v>
      </c>
      <c r="U665" s="4">
        <v>2.6930242776870728E-2</v>
      </c>
      <c r="V665" s="4" t="s">
        <v>758</v>
      </c>
      <c r="W665" s="4" t="s">
        <v>757</v>
      </c>
      <c r="X665" s="6" t="s">
        <v>617</v>
      </c>
    </row>
    <row r="666" spans="1:24">
      <c r="A666" s="4" t="s">
        <v>858</v>
      </c>
      <c r="B666" s="4" t="s">
        <v>859</v>
      </c>
      <c r="C666" s="4" t="s">
        <v>860</v>
      </c>
      <c r="D666" s="4" t="s">
        <v>716</v>
      </c>
      <c r="E666" s="4" t="s">
        <v>717</v>
      </c>
      <c r="M666" s="4" t="s">
        <v>645</v>
      </c>
      <c r="N666" s="4">
        <v>-71.625339499999995</v>
      </c>
      <c r="O666" s="4">
        <v>3.7810478710000002</v>
      </c>
      <c r="P666" s="4" t="s">
        <v>759</v>
      </c>
      <c r="Q666" s="4" t="s">
        <v>760</v>
      </c>
      <c r="R666" s="4" t="s">
        <v>730</v>
      </c>
      <c r="S666" s="2">
        <v>46174.121325231587</v>
      </c>
      <c r="T666" s="5">
        <v>2.8050925925925926E-4</v>
      </c>
      <c r="U666" s="4">
        <v>0.11669921875</v>
      </c>
      <c r="V666" s="4" t="s">
        <v>761</v>
      </c>
      <c r="W666" s="4" t="s">
        <v>645</v>
      </c>
      <c r="X666" s="6" t="s">
        <v>617</v>
      </c>
    </row>
    <row r="667" spans="1:24">
      <c r="A667" s="4" t="s">
        <v>858</v>
      </c>
      <c r="B667" s="4" t="s">
        <v>859</v>
      </c>
      <c r="C667" s="4" t="s">
        <v>860</v>
      </c>
      <c r="D667" s="4" t="s">
        <v>716</v>
      </c>
      <c r="E667" s="4" t="s">
        <v>717</v>
      </c>
      <c r="M667" s="4" t="s">
        <v>645</v>
      </c>
      <c r="N667" s="4">
        <v>-71.627902768500007</v>
      </c>
      <c r="O667" s="4">
        <v>3.7807999427700003</v>
      </c>
      <c r="P667" s="4" t="s">
        <v>834</v>
      </c>
      <c r="Q667" s="4" t="s">
        <v>746</v>
      </c>
      <c r="R667" s="4" t="s">
        <v>720</v>
      </c>
      <c r="S667" s="2">
        <v>46174.121974363428</v>
      </c>
      <c r="T667" s="5">
        <v>1.390625E-4</v>
      </c>
      <c r="U667" s="4">
        <v>6.9877207279205322E-2</v>
      </c>
      <c r="V667" s="4" t="s">
        <v>750</v>
      </c>
      <c r="W667" s="4" t="s">
        <v>645</v>
      </c>
      <c r="X667" s="6" t="s">
        <v>617</v>
      </c>
    </row>
    <row r="668" spans="1:24">
      <c r="A668" s="4" t="s">
        <v>858</v>
      </c>
      <c r="B668" s="4" t="s">
        <v>859</v>
      </c>
      <c r="C668" s="4" t="s">
        <v>860</v>
      </c>
      <c r="D668" s="4" t="s">
        <v>716</v>
      </c>
      <c r="E668" s="4" t="s">
        <v>717</v>
      </c>
      <c r="M668" s="4" t="s">
        <v>645</v>
      </c>
      <c r="N668" s="4">
        <v>-71.62838493343601</v>
      </c>
      <c r="O668" s="4">
        <v>3.7793476481980002</v>
      </c>
      <c r="P668" s="4" t="s">
        <v>834</v>
      </c>
      <c r="Q668" s="4" t="s">
        <v>746</v>
      </c>
      <c r="R668" s="4" t="s">
        <v>720</v>
      </c>
      <c r="S668" s="2">
        <v>46174.123942905091</v>
      </c>
      <c r="T668" s="5">
        <v>1.0657407407407408E-4</v>
      </c>
      <c r="U668" s="4">
        <v>2.5230372324585915E-2</v>
      </c>
      <c r="V668" s="4" t="s">
        <v>724</v>
      </c>
      <c r="W668" s="4" t="s">
        <v>645</v>
      </c>
      <c r="X668" s="6" t="s">
        <v>617</v>
      </c>
    </row>
    <row r="669" spans="1:24">
      <c r="A669" s="4" t="s">
        <v>858</v>
      </c>
      <c r="B669" s="4" t="s">
        <v>859</v>
      </c>
      <c r="C669" s="4" t="s">
        <v>860</v>
      </c>
      <c r="D669" s="4" t="s">
        <v>716</v>
      </c>
      <c r="E669" s="4" t="s">
        <v>717</v>
      </c>
      <c r="M669" s="4" t="s">
        <v>645</v>
      </c>
      <c r="N669" s="4">
        <v>-71.628433200000003</v>
      </c>
      <c r="O669" s="4">
        <v>3.7790625100000002</v>
      </c>
      <c r="P669" s="4" t="s">
        <v>834</v>
      </c>
      <c r="Q669" s="4" t="s">
        <v>746</v>
      </c>
      <c r="R669" s="4" t="s">
        <v>720</v>
      </c>
      <c r="S669" s="2">
        <v>46174.187291666669</v>
      </c>
      <c r="T669" s="5">
        <v>1.880787037037037E-4</v>
      </c>
      <c r="U669" s="4">
        <v>5.5230490863323212E-2</v>
      </c>
      <c r="V669" s="4" t="s">
        <v>728</v>
      </c>
      <c r="W669" s="4" t="s">
        <v>645</v>
      </c>
      <c r="X669" s="6" t="s">
        <v>617</v>
      </c>
    </row>
    <row r="670" spans="1:24">
      <c r="A670" s="4" t="s">
        <v>858</v>
      </c>
      <c r="B670" s="4" t="s">
        <v>859</v>
      </c>
      <c r="C670" s="4" t="s">
        <v>860</v>
      </c>
      <c r="D670" s="4" t="s">
        <v>716</v>
      </c>
      <c r="E670" s="4" t="s">
        <v>717</v>
      </c>
      <c r="M670" s="4" t="s">
        <v>645</v>
      </c>
      <c r="N670" s="4">
        <v>-71.627979262500006</v>
      </c>
      <c r="O670" s="4">
        <v>3.7802683725000001</v>
      </c>
      <c r="P670" s="4" t="s">
        <v>834</v>
      </c>
      <c r="Q670" s="4" t="s">
        <v>746</v>
      </c>
      <c r="R670" s="4" t="s">
        <v>720</v>
      </c>
      <c r="S670" s="2">
        <v>46174.189043692131</v>
      </c>
      <c r="T670" s="5">
        <v>1.7662037037037036E-4</v>
      </c>
      <c r="U670" s="4">
        <v>5.9472441673278809E-2</v>
      </c>
      <c r="V670" s="4" t="s">
        <v>771</v>
      </c>
      <c r="W670" s="4" t="s">
        <v>645</v>
      </c>
      <c r="X670" s="6" t="s">
        <v>617</v>
      </c>
    </row>
    <row r="671" spans="1:24">
      <c r="A671" s="4" t="s">
        <v>858</v>
      </c>
      <c r="B671" s="4" t="s">
        <v>859</v>
      </c>
      <c r="C671" s="4" t="s">
        <v>860</v>
      </c>
      <c r="D671" s="4" t="s">
        <v>716</v>
      </c>
      <c r="E671" s="4" t="s">
        <v>717</v>
      </c>
      <c r="M671" s="4" t="s">
        <v>656</v>
      </c>
      <c r="N671" s="4">
        <v>-71.633987399999995</v>
      </c>
      <c r="O671" s="4">
        <v>3.7839147999999998</v>
      </c>
      <c r="P671" s="4" t="s">
        <v>734</v>
      </c>
      <c r="Q671" s="4" t="s">
        <v>735</v>
      </c>
      <c r="R671" s="4" t="s">
        <v>730</v>
      </c>
      <c r="S671" s="2">
        <v>46174.190972222219</v>
      </c>
      <c r="T671" s="5">
        <v>7.8703703703703705E-4</v>
      </c>
      <c r="U671" s="4">
        <v>0.27985435724258423</v>
      </c>
      <c r="V671" s="4" t="s">
        <v>862</v>
      </c>
      <c r="W671" s="4" t="s">
        <v>656</v>
      </c>
      <c r="X671" s="6" t="s">
        <v>617</v>
      </c>
    </row>
    <row r="672" spans="1:24">
      <c r="A672" s="4" t="s">
        <v>858</v>
      </c>
      <c r="B672" s="4" t="s">
        <v>859</v>
      </c>
      <c r="C672" s="4" t="s">
        <v>860</v>
      </c>
      <c r="D672" s="4" t="s">
        <v>716</v>
      </c>
      <c r="E672" s="4" t="s">
        <v>717</v>
      </c>
      <c r="M672" s="4" t="s">
        <v>645</v>
      </c>
      <c r="N672" s="4">
        <v>-71.63449705115714</v>
      </c>
      <c r="O672" s="4">
        <v>3.7813881863614287</v>
      </c>
      <c r="P672" s="4" t="s">
        <v>800</v>
      </c>
      <c r="Q672" s="4" t="s">
        <v>746</v>
      </c>
      <c r="R672" s="4" t="s">
        <v>720</v>
      </c>
      <c r="S672" s="2">
        <v>46174.191875196761</v>
      </c>
      <c r="T672" s="5">
        <v>4.5450231481481481E-4</v>
      </c>
      <c r="U672" s="4">
        <v>0.14949381351470947</v>
      </c>
      <c r="V672" s="4" t="s">
        <v>725</v>
      </c>
      <c r="W672" s="4" t="s">
        <v>645</v>
      </c>
      <c r="X672" s="6" t="s">
        <v>617</v>
      </c>
    </row>
    <row r="673" spans="1:24">
      <c r="A673" s="4" t="s">
        <v>858</v>
      </c>
      <c r="B673" s="4" t="s">
        <v>859</v>
      </c>
      <c r="C673" s="4" t="s">
        <v>860</v>
      </c>
      <c r="D673" s="4" t="s">
        <v>716</v>
      </c>
      <c r="E673" s="4" t="s">
        <v>717</v>
      </c>
      <c r="M673" s="4" t="s">
        <v>656</v>
      </c>
      <c r="N673" s="4">
        <v>-71.634544399999996</v>
      </c>
      <c r="O673" s="4">
        <v>3.7816696200000002</v>
      </c>
      <c r="P673" s="4" t="s">
        <v>742</v>
      </c>
      <c r="Q673" s="4" t="s">
        <v>743</v>
      </c>
      <c r="R673" s="4" t="s">
        <v>730</v>
      </c>
      <c r="S673" s="2">
        <v>46174.207013888888</v>
      </c>
      <c r="T673" s="5">
        <v>6.2500000000000001E-4</v>
      </c>
      <c r="U673" s="4">
        <v>0.32408386468887329</v>
      </c>
      <c r="V673" s="4" t="s">
        <v>855</v>
      </c>
      <c r="W673" s="4" t="s">
        <v>656</v>
      </c>
      <c r="X673" s="6" t="s">
        <v>617</v>
      </c>
    </row>
    <row r="674" spans="1:24">
      <c r="A674" s="4" t="s">
        <v>858</v>
      </c>
      <c r="B674" s="4" t="s">
        <v>859</v>
      </c>
      <c r="C674" s="4" t="s">
        <v>860</v>
      </c>
      <c r="D674" s="4" t="s">
        <v>716</v>
      </c>
      <c r="E674" s="4" t="s">
        <v>717</v>
      </c>
      <c r="M674" s="4" t="s">
        <v>645</v>
      </c>
      <c r="N674" s="4">
        <v>-71.635059496400004</v>
      </c>
      <c r="O674" s="4">
        <v>3.7842538186492307</v>
      </c>
      <c r="P674" s="4" t="s">
        <v>718</v>
      </c>
      <c r="Q674" s="4" t="s">
        <v>719</v>
      </c>
      <c r="R674" s="4" t="s">
        <v>720</v>
      </c>
      <c r="S674" s="2">
        <v>46174.207785254628</v>
      </c>
      <c r="T674" s="5">
        <v>3.7633101851851852E-4</v>
      </c>
      <c r="U674" s="4">
        <v>0.1836627870798111</v>
      </c>
      <c r="V674" s="4" t="s">
        <v>738</v>
      </c>
      <c r="W674" s="4" t="s">
        <v>645</v>
      </c>
      <c r="X674" s="6" t="s">
        <v>617</v>
      </c>
    </row>
    <row r="675" spans="1:24">
      <c r="A675" s="4" t="s">
        <v>858</v>
      </c>
      <c r="B675" s="4" t="s">
        <v>859</v>
      </c>
      <c r="C675" s="4" t="s">
        <v>860</v>
      </c>
      <c r="D675" s="4" t="s">
        <v>716</v>
      </c>
      <c r="E675" s="4" t="s">
        <v>717</v>
      </c>
      <c r="M675" s="4" t="s">
        <v>614</v>
      </c>
      <c r="N675" s="4">
        <v>-71.643158</v>
      </c>
      <c r="O675" s="4">
        <v>3.7820596700000002</v>
      </c>
      <c r="P675" s="4" t="s">
        <v>734</v>
      </c>
      <c r="Q675" s="4" t="s">
        <v>735</v>
      </c>
      <c r="R675" s="4" t="s">
        <v>730</v>
      </c>
      <c r="S675" s="2">
        <v>46174.210636574076</v>
      </c>
      <c r="T675" s="5">
        <v>4.386574074074074E-3</v>
      </c>
      <c r="U675" s="4">
        <v>0</v>
      </c>
      <c r="V675" s="4" t="s">
        <v>616</v>
      </c>
      <c r="W675" s="4" t="s">
        <v>614</v>
      </c>
      <c r="X675" s="6" t="s">
        <v>617</v>
      </c>
    </row>
    <row r="676" spans="1:24">
      <c r="A676" s="4" t="s">
        <v>858</v>
      </c>
      <c r="B676" s="4" t="s">
        <v>859</v>
      </c>
      <c r="C676" s="4" t="s">
        <v>860</v>
      </c>
      <c r="D676" s="4" t="s">
        <v>716</v>
      </c>
      <c r="E676" s="4" t="s">
        <v>717</v>
      </c>
      <c r="M676" s="4" t="s">
        <v>645</v>
      </c>
      <c r="N676" s="4">
        <v>-71.626368720000002</v>
      </c>
      <c r="O676" s="4">
        <v>3.7809494539999999</v>
      </c>
      <c r="P676" s="4" t="s">
        <v>739</v>
      </c>
      <c r="Q676" s="4" t="s">
        <v>740</v>
      </c>
      <c r="R676" s="4" t="s">
        <v>730</v>
      </c>
      <c r="S676" s="2">
        <v>46174.258347222225</v>
      </c>
      <c r="T676" s="5">
        <v>4.398148148148148E-5</v>
      </c>
      <c r="U676" s="4">
        <v>1.0627889074385166E-2</v>
      </c>
      <c r="V676" s="4" t="s">
        <v>731</v>
      </c>
      <c r="W676" s="4" t="s">
        <v>645</v>
      </c>
      <c r="X676" s="6" t="s">
        <v>617</v>
      </c>
    </row>
    <row r="677" spans="1:24">
      <c r="A677" s="4" t="s">
        <v>858</v>
      </c>
      <c r="B677" s="4" t="s">
        <v>859</v>
      </c>
      <c r="C677" s="4" t="s">
        <v>860</v>
      </c>
      <c r="D677" s="4" t="s">
        <v>716</v>
      </c>
      <c r="E677" s="4" t="s">
        <v>717</v>
      </c>
      <c r="M677" s="4" t="s">
        <v>645</v>
      </c>
      <c r="N677" s="4">
        <v>-71.626178749999994</v>
      </c>
      <c r="O677" s="4">
        <v>3.7809652099999997</v>
      </c>
      <c r="P677" s="4" t="s">
        <v>770</v>
      </c>
      <c r="Q677" s="4" t="s">
        <v>740</v>
      </c>
      <c r="R677" s="4" t="s">
        <v>730</v>
      </c>
      <c r="S677" s="2">
        <v>46174.258437500001</v>
      </c>
      <c r="T677" s="5">
        <v>1.7592592592592592E-4</v>
      </c>
      <c r="U677" s="4">
        <v>4.8140600323677063E-2</v>
      </c>
      <c r="V677" s="4" t="s">
        <v>731</v>
      </c>
      <c r="W677" s="4" t="s">
        <v>645</v>
      </c>
      <c r="X677" s="6" t="s">
        <v>617</v>
      </c>
    </row>
    <row r="678" spans="1:24">
      <c r="A678" s="4" t="s">
        <v>858</v>
      </c>
      <c r="B678" s="4" t="s">
        <v>859</v>
      </c>
      <c r="C678" s="4" t="s">
        <v>860</v>
      </c>
      <c r="D678" s="4" t="s">
        <v>716</v>
      </c>
      <c r="E678" s="4" t="s">
        <v>717</v>
      </c>
      <c r="M678" s="4" t="s">
        <v>645</v>
      </c>
      <c r="N678" s="4">
        <v>-71.625662199999994</v>
      </c>
      <c r="O678" s="4">
        <v>3.7810033839999999</v>
      </c>
      <c r="P678" s="4" t="s">
        <v>759</v>
      </c>
      <c r="Q678" s="4" t="s">
        <v>760</v>
      </c>
      <c r="R678" s="4" t="s">
        <v>730</v>
      </c>
      <c r="S678" s="2">
        <v>46174.258666666668</v>
      </c>
      <c r="T678" s="5">
        <v>6.2731481481481481E-5</v>
      </c>
      <c r="U678" s="4">
        <v>1.8834087997674942E-2</v>
      </c>
      <c r="V678" s="4" t="s">
        <v>728</v>
      </c>
      <c r="W678" s="4" t="s">
        <v>645</v>
      </c>
      <c r="X678" s="6" t="s">
        <v>617</v>
      </c>
    </row>
    <row r="679" spans="1:24">
      <c r="A679" s="4" t="s">
        <v>858</v>
      </c>
      <c r="B679" s="4" t="s">
        <v>859</v>
      </c>
      <c r="C679" s="4" t="s">
        <v>860</v>
      </c>
      <c r="D679" s="4" t="s">
        <v>716</v>
      </c>
      <c r="E679" s="4" t="s">
        <v>717</v>
      </c>
      <c r="M679" s="4" t="s">
        <v>685</v>
      </c>
      <c r="N679" s="4">
        <v>-71.615300314959995</v>
      </c>
      <c r="O679" s="4">
        <v>3.780924467568</v>
      </c>
      <c r="P679" s="4" t="s">
        <v>742</v>
      </c>
      <c r="Q679" s="4" t="s">
        <v>743</v>
      </c>
      <c r="R679" s="4" t="s">
        <v>730</v>
      </c>
      <c r="S679" s="2">
        <v>46174.266300787036</v>
      </c>
      <c r="T679" s="5">
        <v>9.1435185185185185E-7</v>
      </c>
      <c r="U679" s="4">
        <v>2.5464288773946464E-4</v>
      </c>
      <c r="V679" s="4" t="s">
        <v>863</v>
      </c>
      <c r="W679" s="4" t="s">
        <v>685</v>
      </c>
      <c r="X679" s="6" t="s">
        <v>617</v>
      </c>
    </row>
    <row r="680" spans="1:24">
      <c r="A680" s="4" t="s">
        <v>858</v>
      </c>
      <c r="B680" s="4" t="s">
        <v>859</v>
      </c>
      <c r="C680" s="4" t="s">
        <v>860</v>
      </c>
      <c r="D680" s="4" t="s">
        <v>716</v>
      </c>
      <c r="E680" s="4" t="s">
        <v>717</v>
      </c>
      <c r="M680" s="4" t="s">
        <v>645</v>
      </c>
      <c r="N680" s="4">
        <v>-71.624643450755556</v>
      </c>
      <c r="O680" s="4">
        <v>3.7810799535466666</v>
      </c>
      <c r="P680" s="4" t="s">
        <v>759</v>
      </c>
      <c r="Q680" s="4" t="s">
        <v>760</v>
      </c>
      <c r="R680" s="4" t="s">
        <v>730</v>
      </c>
      <c r="S680" s="2">
        <v>46174.2691362037</v>
      </c>
      <c r="T680" s="5">
        <v>7.6759259259259258E-5</v>
      </c>
      <c r="U680" s="4">
        <v>2.0555019378662109E-2</v>
      </c>
      <c r="V680" s="4" t="s">
        <v>728</v>
      </c>
      <c r="W680" s="4" t="s">
        <v>645</v>
      </c>
      <c r="X680" s="6" t="s">
        <v>617</v>
      </c>
    </row>
    <row r="681" spans="1:24">
      <c r="A681" s="4" t="s">
        <v>858</v>
      </c>
      <c r="B681" s="4" t="s">
        <v>859</v>
      </c>
      <c r="C681" s="4" t="s">
        <v>860</v>
      </c>
      <c r="D681" s="4" t="s">
        <v>716</v>
      </c>
      <c r="E681" s="4" t="s">
        <v>717</v>
      </c>
      <c r="M681" s="4" t="s">
        <v>645</v>
      </c>
      <c r="N681" s="4">
        <v>-71.6247635</v>
      </c>
      <c r="O681" s="4">
        <v>3.78052163</v>
      </c>
      <c r="P681" s="4" t="s">
        <v>854</v>
      </c>
      <c r="Q681" s="4" t="s">
        <v>727</v>
      </c>
      <c r="R681" s="4" t="s">
        <v>720</v>
      </c>
      <c r="S681" s="2">
        <v>46174.26939814815</v>
      </c>
      <c r="T681" s="5">
        <v>3.631365740740741E-4</v>
      </c>
      <c r="U681" s="4">
        <v>9.0909555554389954E-2</v>
      </c>
      <c r="V681" s="4" t="s">
        <v>724</v>
      </c>
      <c r="W681" s="4" t="s">
        <v>645</v>
      </c>
      <c r="X681" s="6" t="s">
        <v>617</v>
      </c>
    </row>
    <row r="682" spans="1:24">
      <c r="A682" s="4" t="s">
        <v>858</v>
      </c>
      <c r="B682" s="4" t="s">
        <v>859</v>
      </c>
      <c r="C682" s="4" t="s">
        <v>860</v>
      </c>
      <c r="D682" s="4" t="s">
        <v>716</v>
      </c>
      <c r="E682" s="4" t="s">
        <v>717</v>
      </c>
      <c r="M682" s="4" t="s">
        <v>645</v>
      </c>
      <c r="N682" s="4">
        <v>-71.622909550000003</v>
      </c>
      <c r="O682" s="4">
        <v>3.780629035</v>
      </c>
      <c r="P682" s="4" t="s">
        <v>854</v>
      </c>
      <c r="Q682" s="4" t="s">
        <v>727</v>
      </c>
      <c r="R682" s="4" t="s">
        <v>720</v>
      </c>
      <c r="S682" s="2">
        <v>46174.27074652788</v>
      </c>
      <c r="T682" s="5">
        <v>5.6481481481481479E-5</v>
      </c>
      <c r="U682" s="4">
        <v>1.1113349348306656E-2</v>
      </c>
      <c r="V682" s="4" t="s">
        <v>728</v>
      </c>
      <c r="W682" s="4" t="s">
        <v>645</v>
      </c>
      <c r="X682" s="6" t="s">
        <v>617</v>
      </c>
    </row>
    <row r="683" spans="1:24">
      <c r="A683" s="4" t="s">
        <v>858</v>
      </c>
      <c r="B683" s="4" t="s">
        <v>859</v>
      </c>
      <c r="C683" s="4" t="s">
        <v>860</v>
      </c>
      <c r="D683" s="4" t="s">
        <v>716</v>
      </c>
      <c r="E683" s="4" t="s">
        <v>717</v>
      </c>
      <c r="M683" s="4" t="s">
        <v>645</v>
      </c>
      <c r="N683" s="4">
        <v>-71.625612443066672</v>
      </c>
      <c r="O683" s="4">
        <v>3.7810352904533331</v>
      </c>
      <c r="P683" s="4" t="s">
        <v>759</v>
      </c>
      <c r="Q683" s="4" t="s">
        <v>760</v>
      </c>
      <c r="R683" s="4" t="s">
        <v>730</v>
      </c>
      <c r="S683" s="2">
        <v>46174.27211662037</v>
      </c>
      <c r="T683" s="5">
        <v>2.6466435185185187E-4</v>
      </c>
      <c r="U683" s="4">
        <v>8.5156798362731934E-2</v>
      </c>
      <c r="V683" s="4" t="s">
        <v>666</v>
      </c>
      <c r="W683" s="4" t="s">
        <v>645</v>
      </c>
      <c r="X683" s="6" t="s">
        <v>617</v>
      </c>
    </row>
    <row r="684" spans="1:24">
      <c r="A684" s="4" t="s">
        <v>858</v>
      </c>
      <c r="B684" s="4" t="s">
        <v>859</v>
      </c>
      <c r="C684" s="4" t="s">
        <v>860</v>
      </c>
      <c r="D684" s="4" t="s">
        <v>716</v>
      </c>
      <c r="E684" s="4" t="s">
        <v>717</v>
      </c>
      <c r="M684" s="4" t="s">
        <v>645</v>
      </c>
      <c r="N684" s="4">
        <v>-71.635060099583328</v>
      </c>
      <c r="O684" s="4">
        <v>3.784309326861667</v>
      </c>
      <c r="P684" s="4" t="s">
        <v>718</v>
      </c>
      <c r="Q684" s="4" t="s">
        <v>719</v>
      </c>
      <c r="R684" s="4" t="s">
        <v>720</v>
      </c>
      <c r="S684" s="2">
        <v>46174.275097858794</v>
      </c>
      <c r="T684" s="5">
        <v>3.7733796296296295E-4</v>
      </c>
      <c r="U684" s="4">
        <v>0.18332812190055847</v>
      </c>
      <c r="V684" s="4" t="s">
        <v>721</v>
      </c>
      <c r="W684" s="4" t="s">
        <v>645</v>
      </c>
      <c r="X684" s="6" t="s">
        <v>617</v>
      </c>
    </row>
    <row r="685" spans="1:24">
      <c r="A685" s="4" t="s">
        <v>858</v>
      </c>
      <c r="B685" s="4" t="s">
        <v>859</v>
      </c>
      <c r="C685" s="4" t="s">
        <v>860</v>
      </c>
      <c r="D685" s="4" t="s">
        <v>716</v>
      </c>
      <c r="E685" s="4" t="s">
        <v>717</v>
      </c>
      <c r="M685" s="4" t="s">
        <v>645</v>
      </c>
      <c r="N685" s="4">
        <v>-71.636698460999995</v>
      </c>
      <c r="O685" s="4">
        <v>3.7842876192473685</v>
      </c>
      <c r="P685" s="4" t="s">
        <v>718</v>
      </c>
      <c r="Q685" s="4" t="s">
        <v>719</v>
      </c>
      <c r="R685" s="4" t="s">
        <v>720</v>
      </c>
      <c r="S685" s="2">
        <v>46174.282709548614</v>
      </c>
      <c r="T685" s="5">
        <v>3.8605324074074074E-4</v>
      </c>
      <c r="U685" s="4">
        <v>0.18414017558097839</v>
      </c>
      <c r="V685" s="4" t="s">
        <v>864</v>
      </c>
      <c r="W685" s="4" t="s">
        <v>645</v>
      </c>
      <c r="X685" s="6" t="s">
        <v>617</v>
      </c>
    </row>
    <row r="686" spans="1:24">
      <c r="A686" s="4" t="s">
        <v>858</v>
      </c>
      <c r="B686" s="4" t="s">
        <v>859</v>
      </c>
      <c r="C686" s="4" t="s">
        <v>860</v>
      </c>
      <c r="D686" s="4" t="s">
        <v>716</v>
      </c>
      <c r="E686" s="4" t="s">
        <v>717</v>
      </c>
      <c r="M686" s="4" t="s">
        <v>656</v>
      </c>
      <c r="N686" s="4">
        <v>-71.633949299999998</v>
      </c>
      <c r="O686" s="4">
        <v>3.7834620499999998</v>
      </c>
      <c r="P686" s="4" t="s">
        <v>742</v>
      </c>
      <c r="Q686" s="4" t="s">
        <v>743</v>
      </c>
      <c r="R686" s="4" t="s">
        <v>730</v>
      </c>
      <c r="S686" s="2">
        <v>46174.283460648148</v>
      </c>
      <c r="T686" s="5">
        <v>3.8194444444444446E-4</v>
      </c>
      <c r="U686" s="4">
        <v>0.19174717366695404</v>
      </c>
      <c r="V686" s="4" t="s">
        <v>865</v>
      </c>
      <c r="W686" s="4" t="s">
        <v>656</v>
      </c>
      <c r="X686" s="6" t="s">
        <v>617</v>
      </c>
    </row>
    <row r="687" spans="1:24">
      <c r="A687" s="4" t="s">
        <v>858</v>
      </c>
      <c r="B687" s="4" t="s">
        <v>859</v>
      </c>
      <c r="C687" s="4" t="s">
        <v>860</v>
      </c>
      <c r="D687" s="4" t="s">
        <v>716</v>
      </c>
      <c r="E687" s="4" t="s">
        <v>717</v>
      </c>
      <c r="M687" s="4" t="s">
        <v>645</v>
      </c>
      <c r="N687" s="4">
        <v>-71.634501070399992</v>
      </c>
      <c r="O687" s="4">
        <v>3.7813661708000001</v>
      </c>
      <c r="P687" s="4" t="s">
        <v>800</v>
      </c>
      <c r="Q687" s="4" t="s">
        <v>746</v>
      </c>
      <c r="R687" s="4" t="s">
        <v>720</v>
      </c>
      <c r="S687" s="2">
        <v>46174.284074537034</v>
      </c>
      <c r="T687" s="5">
        <v>5.4351851851851848E-4</v>
      </c>
      <c r="U687" s="4">
        <v>0.14340506494045258</v>
      </c>
      <c r="V687" s="4" t="s">
        <v>728</v>
      </c>
      <c r="W687" s="4" t="s">
        <v>645</v>
      </c>
      <c r="X687" s="6" t="s">
        <v>617</v>
      </c>
    </row>
    <row r="688" spans="1:24">
      <c r="A688" s="4" t="s">
        <v>858</v>
      </c>
      <c r="B688" s="4" t="s">
        <v>859</v>
      </c>
      <c r="C688" s="4" t="s">
        <v>860</v>
      </c>
      <c r="D688" s="4" t="s">
        <v>716</v>
      </c>
      <c r="E688" s="4" t="s">
        <v>717</v>
      </c>
      <c r="M688" s="4" t="s">
        <v>645</v>
      </c>
      <c r="N688" s="4">
        <v>-71.634242999999998</v>
      </c>
      <c r="O688" s="4">
        <v>3.78129852</v>
      </c>
      <c r="P688" s="4" t="s">
        <v>800</v>
      </c>
      <c r="Q688" s="4" t="s">
        <v>746</v>
      </c>
      <c r="R688" s="4" t="s">
        <v>720</v>
      </c>
      <c r="S688" s="2">
        <v>46174.325697326392</v>
      </c>
      <c r="T688" s="5">
        <v>1.3523148148148148E-4</v>
      </c>
      <c r="U688" s="4">
        <v>3.0430762097239494E-2</v>
      </c>
      <c r="V688" s="4" t="s">
        <v>724</v>
      </c>
      <c r="W688" s="4" t="s">
        <v>645</v>
      </c>
      <c r="X688" s="6" t="s">
        <v>617</v>
      </c>
    </row>
    <row r="689" spans="1:24">
      <c r="A689" s="4" t="s">
        <v>858</v>
      </c>
      <c r="B689" s="4" t="s">
        <v>859</v>
      </c>
      <c r="C689" s="4" t="s">
        <v>860</v>
      </c>
      <c r="D689" s="4" t="s">
        <v>716</v>
      </c>
      <c r="E689" s="4" t="s">
        <v>717</v>
      </c>
      <c r="M689" s="4" t="s">
        <v>656</v>
      </c>
      <c r="N689" s="4">
        <v>-71.634590099999997</v>
      </c>
      <c r="O689" s="4">
        <v>3.7815196499999999</v>
      </c>
      <c r="P689" s="4" t="s">
        <v>742</v>
      </c>
      <c r="Q689" s="4" t="s">
        <v>743</v>
      </c>
      <c r="R689" s="4" t="s">
        <v>730</v>
      </c>
      <c r="S689" s="2">
        <v>46174.325902777775</v>
      </c>
      <c r="T689" s="5">
        <v>8.564814814814815E-4</v>
      </c>
      <c r="U689" s="4">
        <v>0.32392680644989014</v>
      </c>
      <c r="V689" s="4" t="s">
        <v>861</v>
      </c>
      <c r="W689" s="4" t="s">
        <v>656</v>
      </c>
      <c r="X689" s="6" t="s">
        <v>617</v>
      </c>
    </row>
    <row r="690" spans="1:24">
      <c r="A690" s="4" t="s">
        <v>858</v>
      </c>
      <c r="B690" s="4" t="s">
        <v>859</v>
      </c>
      <c r="C690" s="4" t="s">
        <v>860</v>
      </c>
      <c r="D690" s="4" t="s">
        <v>716</v>
      </c>
      <c r="E690" s="4" t="s">
        <v>717</v>
      </c>
      <c r="M690" s="4" t="s">
        <v>645</v>
      </c>
      <c r="N690" s="4">
        <v>-71.62640249253333</v>
      </c>
      <c r="O690" s="4">
        <v>3.7809457463833334</v>
      </c>
      <c r="P690" s="4" t="s">
        <v>739</v>
      </c>
      <c r="Q690" s="4" t="s">
        <v>740</v>
      </c>
      <c r="R690" s="4" t="s">
        <v>730</v>
      </c>
      <c r="S690" s="2">
        <v>46174.329205405091</v>
      </c>
      <c r="T690" s="5">
        <v>3.1966435185185185E-4</v>
      </c>
      <c r="U690" s="4">
        <v>0.11092357337474823</v>
      </c>
      <c r="V690" s="4" t="s">
        <v>725</v>
      </c>
      <c r="W690" s="4" t="s">
        <v>645</v>
      </c>
      <c r="X690" s="6" t="s">
        <v>617</v>
      </c>
    </row>
    <row r="691" spans="1:24">
      <c r="A691" s="4" t="s">
        <v>858</v>
      </c>
      <c r="B691" s="4" t="s">
        <v>859</v>
      </c>
      <c r="C691" s="4" t="s">
        <v>860</v>
      </c>
      <c r="D691" s="4" t="s">
        <v>716</v>
      </c>
      <c r="E691" s="4" t="s">
        <v>717</v>
      </c>
      <c r="M691" s="4" t="s">
        <v>614</v>
      </c>
      <c r="N691" s="4">
        <v>-71.609748800000006</v>
      </c>
      <c r="O691" s="4">
        <v>3.7338984000000002</v>
      </c>
      <c r="P691" s="4" t="s">
        <v>795</v>
      </c>
      <c r="Q691" s="4" t="s">
        <v>743</v>
      </c>
      <c r="R691" s="4" t="s">
        <v>730</v>
      </c>
      <c r="S691" s="2">
        <v>46174.379756944443</v>
      </c>
      <c r="T691" s="5">
        <v>6.6096990740740743E-3</v>
      </c>
      <c r="U691" s="4">
        <v>2.1770887542515993E-3</v>
      </c>
      <c r="V691" s="4" t="s">
        <v>616</v>
      </c>
      <c r="W691" s="4" t="s">
        <v>614</v>
      </c>
      <c r="X691" s="6" t="s">
        <v>617</v>
      </c>
    </row>
    <row r="692" spans="1:24">
      <c r="A692" s="4" t="s">
        <v>858</v>
      </c>
      <c r="B692" s="4" t="s">
        <v>859</v>
      </c>
      <c r="C692" s="4" t="s">
        <v>860</v>
      </c>
      <c r="D692" s="4" t="s">
        <v>716</v>
      </c>
      <c r="E692" s="4" t="s">
        <v>717</v>
      </c>
      <c r="M692" s="4" t="s">
        <v>614</v>
      </c>
      <c r="N692" s="4">
        <v>-71.592842099999999</v>
      </c>
      <c r="O692" s="4">
        <v>3.7441403900000001</v>
      </c>
      <c r="P692" s="4" t="s">
        <v>776</v>
      </c>
      <c r="Q692" s="4" t="s">
        <v>743</v>
      </c>
      <c r="R692" s="4" t="s">
        <v>730</v>
      </c>
      <c r="S692" s="2">
        <v>46174.414930555555</v>
      </c>
      <c r="T692" s="5">
        <v>6.1354050925925925E-3</v>
      </c>
      <c r="U692" s="4">
        <v>1.4384320238605142E-3</v>
      </c>
      <c r="V692" s="4" t="s">
        <v>616</v>
      </c>
      <c r="W692" s="4" t="s">
        <v>614</v>
      </c>
      <c r="X692" s="6" t="s">
        <v>617</v>
      </c>
    </row>
    <row r="693" spans="1:24">
      <c r="A693" s="4" t="s">
        <v>858</v>
      </c>
      <c r="B693" s="4" t="s">
        <v>859</v>
      </c>
      <c r="C693" s="4" t="s">
        <v>860</v>
      </c>
      <c r="D693" s="4" t="s">
        <v>716</v>
      </c>
      <c r="E693" s="4" t="s">
        <v>717</v>
      </c>
      <c r="M693" s="4" t="s">
        <v>645</v>
      </c>
      <c r="N693" s="4">
        <v>-71.625444529199996</v>
      </c>
      <c r="O693" s="4">
        <v>3.7810430317899999</v>
      </c>
      <c r="P693" s="4" t="s">
        <v>759</v>
      </c>
      <c r="Q693" s="4" t="s">
        <v>760</v>
      </c>
      <c r="R693" s="4" t="s">
        <v>730</v>
      </c>
      <c r="S693" s="2">
        <v>46174.536042106483</v>
      </c>
      <c r="T693" s="5">
        <v>3.3006944444444446E-4</v>
      </c>
      <c r="U693" s="4">
        <v>0.11332234740257263</v>
      </c>
      <c r="V693" s="4" t="s">
        <v>761</v>
      </c>
      <c r="W693" s="4" t="s">
        <v>645</v>
      </c>
      <c r="X693" s="6" t="s">
        <v>617</v>
      </c>
    </row>
    <row r="694" spans="1:24">
      <c r="A694" s="4" t="s">
        <v>858</v>
      </c>
      <c r="B694" s="4" t="s">
        <v>859</v>
      </c>
      <c r="C694" s="4" t="s">
        <v>860</v>
      </c>
      <c r="D694" s="4" t="s">
        <v>716</v>
      </c>
      <c r="E694" s="4" t="s">
        <v>717</v>
      </c>
      <c r="M694" s="4" t="s">
        <v>645</v>
      </c>
      <c r="N694" s="4">
        <v>-71.625831579999996</v>
      </c>
      <c r="O694" s="4">
        <v>3.7806659200000001</v>
      </c>
      <c r="P694" s="4" t="s">
        <v>722</v>
      </c>
      <c r="Q694" s="4" t="s">
        <v>723</v>
      </c>
      <c r="R694" s="4" t="s">
        <v>720</v>
      </c>
      <c r="S694" s="2">
        <v>46174.537090277779</v>
      </c>
      <c r="T694" s="5">
        <v>1.1265046296296296E-4</v>
      </c>
      <c r="U694" s="4">
        <v>2.447451651096344E-2</v>
      </c>
      <c r="V694" s="4" t="s">
        <v>728</v>
      </c>
      <c r="W694" s="4" t="s">
        <v>645</v>
      </c>
      <c r="X694" s="6" t="s">
        <v>617</v>
      </c>
    </row>
    <row r="695" spans="1:24">
      <c r="A695" s="4" t="s">
        <v>858</v>
      </c>
      <c r="B695" s="4" t="s">
        <v>859</v>
      </c>
      <c r="C695" s="4" t="s">
        <v>860</v>
      </c>
      <c r="D695" s="4" t="s">
        <v>716</v>
      </c>
      <c r="E695" s="4" t="s">
        <v>717</v>
      </c>
      <c r="M695" s="4" t="s">
        <v>645</v>
      </c>
      <c r="N695" s="4">
        <v>-71.626055940000001</v>
      </c>
      <c r="O695" s="4">
        <v>3.7807399780000002</v>
      </c>
      <c r="P695" s="4" t="s">
        <v>722</v>
      </c>
      <c r="Q695" s="4" t="s">
        <v>723</v>
      </c>
      <c r="R695" s="4" t="s">
        <v>720</v>
      </c>
      <c r="S695" s="2">
        <v>46174.588053240739</v>
      </c>
      <c r="T695" s="5">
        <v>5.4398148148148151E-5</v>
      </c>
      <c r="U695" s="4">
        <v>1.6433326527476311E-2</v>
      </c>
      <c r="V695" s="4" t="s">
        <v>728</v>
      </c>
      <c r="W695" s="4" t="s">
        <v>645</v>
      </c>
      <c r="X695" s="6" t="s">
        <v>617</v>
      </c>
    </row>
    <row r="696" spans="1:24">
      <c r="A696" s="4" t="s">
        <v>858</v>
      </c>
      <c r="B696" s="4" t="s">
        <v>859</v>
      </c>
      <c r="C696" s="4" t="s">
        <v>860</v>
      </c>
      <c r="D696" s="4" t="s">
        <v>716</v>
      </c>
      <c r="E696" s="4" t="s">
        <v>717</v>
      </c>
      <c r="M696" s="4" t="s">
        <v>645</v>
      </c>
      <c r="N696" s="4">
        <v>-71.626302074925007</v>
      </c>
      <c r="O696" s="4">
        <v>3.780679943035</v>
      </c>
      <c r="P696" s="4" t="s">
        <v>722</v>
      </c>
      <c r="Q696" s="4" t="s">
        <v>723</v>
      </c>
      <c r="R696" s="4" t="s">
        <v>720</v>
      </c>
      <c r="S696" s="2">
        <v>46174.588155868056</v>
      </c>
      <c r="T696" s="5">
        <v>2.9895833333333333E-5</v>
      </c>
      <c r="U696" s="4">
        <v>6.8623526021838188E-3</v>
      </c>
      <c r="V696" s="4" t="s">
        <v>724</v>
      </c>
      <c r="W696" s="4" t="s">
        <v>645</v>
      </c>
      <c r="X696" s="6" t="s">
        <v>617</v>
      </c>
    </row>
    <row r="697" spans="1:24">
      <c r="A697" s="4" t="s">
        <v>858</v>
      </c>
      <c r="B697" s="4" t="s">
        <v>859</v>
      </c>
      <c r="C697" s="4" t="s">
        <v>860</v>
      </c>
      <c r="D697" s="4" t="s">
        <v>716</v>
      </c>
      <c r="E697" s="4" t="s">
        <v>717</v>
      </c>
      <c r="M697" s="4" t="s">
        <v>645</v>
      </c>
      <c r="N697" s="4">
        <v>-71.626162243871434</v>
      </c>
      <c r="O697" s="4">
        <v>3.7809416472914283</v>
      </c>
      <c r="P697" s="4" t="s">
        <v>770</v>
      </c>
      <c r="Q697" s="4" t="s">
        <v>740</v>
      </c>
      <c r="R697" s="4" t="s">
        <v>730</v>
      </c>
      <c r="S697" s="2">
        <v>46174.588441354164</v>
      </c>
      <c r="T697" s="5">
        <v>3.2803240740740742E-4</v>
      </c>
      <c r="U697" s="4">
        <v>0.1171836256980896</v>
      </c>
      <c r="V697" s="4" t="s">
        <v>741</v>
      </c>
      <c r="W697" s="4" t="s">
        <v>645</v>
      </c>
      <c r="X697" s="6" t="s">
        <v>617</v>
      </c>
    </row>
    <row r="698" spans="1:24">
      <c r="A698" s="4" t="s">
        <v>858</v>
      </c>
      <c r="B698" s="4" t="s">
        <v>859</v>
      </c>
      <c r="C698" s="4" t="s">
        <v>860</v>
      </c>
      <c r="D698" s="4" t="s">
        <v>716</v>
      </c>
      <c r="E698" s="4" t="s">
        <v>717</v>
      </c>
      <c r="M698" s="4" t="s">
        <v>614</v>
      </c>
      <c r="N698" s="4">
        <v>-71.620986900000005</v>
      </c>
      <c r="O698" s="4">
        <v>3.7731216000000001</v>
      </c>
      <c r="P698" s="4" t="s">
        <v>804</v>
      </c>
      <c r="Q698" s="4" t="s">
        <v>743</v>
      </c>
      <c r="R698" s="4" t="s">
        <v>730</v>
      </c>
      <c r="S698" s="2">
        <v>46174.594247685185</v>
      </c>
      <c r="T698" s="5">
        <v>4.9785185185185184E-3</v>
      </c>
      <c r="U698" s="4">
        <v>2.6534618809819221E-3</v>
      </c>
      <c r="V698" s="4" t="s">
        <v>616</v>
      </c>
      <c r="W698" s="4" t="s">
        <v>614</v>
      </c>
      <c r="X698" s="6" t="s">
        <v>617</v>
      </c>
    </row>
    <row r="699" spans="1:24">
      <c r="A699" s="4" t="s">
        <v>858</v>
      </c>
      <c r="B699" s="4" t="s">
        <v>859</v>
      </c>
      <c r="C699" s="4" t="s">
        <v>860</v>
      </c>
      <c r="D699" s="4" t="s">
        <v>716</v>
      </c>
      <c r="E699" s="4" t="s">
        <v>717</v>
      </c>
      <c r="M699" s="4" t="s">
        <v>614</v>
      </c>
      <c r="N699" s="4">
        <v>-71.621002200000007</v>
      </c>
      <c r="O699" s="4">
        <v>3.7731032400000002</v>
      </c>
      <c r="P699" s="4" t="s">
        <v>804</v>
      </c>
      <c r="Q699" s="4" t="s">
        <v>743</v>
      </c>
      <c r="R699" s="4" t="s">
        <v>730</v>
      </c>
      <c r="S699" s="2">
        <v>46174.661133402777</v>
      </c>
      <c r="T699" s="5">
        <v>5.1281712962962965E-3</v>
      </c>
      <c r="U699" s="4">
        <v>2.6556128636002541E-2</v>
      </c>
      <c r="V699" s="4" t="s">
        <v>616</v>
      </c>
      <c r="W699" s="4" t="s">
        <v>614</v>
      </c>
      <c r="X699" s="6" t="s">
        <v>617</v>
      </c>
    </row>
    <row r="700" spans="1:24">
      <c r="A700" s="4" t="s">
        <v>858</v>
      </c>
      <c r="B700" s="4" t="s">
        <v>859</v>
      </c>
      <c r="C700" s="4" t="s">
        <v>860</v>
      </c>
      <c r="D700" s="4" t="s">
        <v>716</v>
      </c>
      <c r="E700" s="4" t="s">
        <v>717</v>
      </c>
      <c r="M700" s="4" t="s">
        <v>645</v>
      </c>
      <c r="N700" s="4">
        <v>-71.625414180166658</v>
      </c>
      <c r="O700" s="4">
        <v>3.7810444306450002</v>
      </c>
      <c r="P700" s="4" t="s">
        <v>759</v>
      </c>
      <c r="Q700" s="4" t="s">
        <v>760</v>
      </c>
      <c r="R700" s="4" t="s">
        <v>730</v>
      </c>
      <c r="S700" s="2">
        <v>46174.684898912034</v>
      </c>
      <c r="T700" s="5">
        <v>2.7775462962962964E-4</v>
      </c>
      <c r="U700" s="4">
        <v>0.10745974630117416</v>
      </c>
      <c r="V700" s="4" t="s">
        <v>741</v>
      </c>
      <c r="W700" s="4" t="s">
        <v>645</v>
      </c>
      <c r="X700" s="6" t="s">
        <v>617</v>
      </c>
    </row>
    <row r="701" spans="1:24">
      <c r="A701" s="4" t="s">
        <v>858</v>
      </c>
      <c r="B701" s="4" t="s">
        <v>859</v>
      </c>
      <c r="C701" s="4" t="s">
        <v>860</v>
      </c>
      <c r="D701" s="4" t="s">
        <v>716</v>
      </c>
      <c r="E701" s="4" t="s">
        <v>717</v>
      </c>
      <c r="M701" s="4" t="s">
        <v>685</v>
      </c>
      <c r="N701" s="4">
        <v>-71.630292356599995</v>
      </c>
      <c r="O701" s="4">
        <v>3.7832488027725</v>
      </c>
      <c r="P701" s="4" t="s">
        <v>734</v>
      </c>
      <c r="Q701" s="4" t="s">
        <v>735</v>
      </c>
      <c r="R701" s="4" t="s">
        <v>730</v>
      </c>
      <c r="S701" s="2">
        <v>46174.686191909721</v>
      </c>
      <c r="T701" s="5">
        <v>2.6620370370370372E-7</v>
      </c>
      <c r="U701" s="4">
        <v>8.2073165685869753E-5</v>
      </c>
      <c r="V701" s="4" t="s">
        <v>866</v>
      </c>
      <c r="W701" s="4" t="s">
        <v>685</v>
      </c>
      <c r="X701" s="6" t="s">
        <v>617</v>
      </c>
    </row>
    <row r="702" spans="1:24">
      <c r="A702" s="4" t="s">
        <v>858</v>
      </c>
      <c r="B702" s="4" t="s">
        <v>859</v>
      </c>
      <c r="C702" s="4" t="s">
        <v>860</v>
      </c>
      <c r="D702" s="4" t="s">
        <v>716</v>
      </c>
      <c r="E702" s="4" t="s">
        <v>717</v>
      </c>
      <c r="M702" s="4" t="s">
        <v>656</v>
      </c>
      <c r="N702" s="4">
        <v>-71.6340103</v>
      </c>
      <c r="O702" s="4">
        <v>3.7839035999999999</v>
      </c>
      <c r="P702" s="4" t="s">
        <v>734</v>
      </c>
      <c r="Q702" s="4" t="s">
        <v>735</v>
      </c>
      <c r="R702" s="4" t="s">
        <v>730</v>
      </c>
      <c r="S702" s="2">
        <v>46174.687002314815</v>
      </c>
      <c r="T702" s="5">
        <v>6.134259259259259E-4</v>
      </c>
      <c r="U702" s="4">
        <v>0.23709195852279663</v>
      </c>
      <c r="V702" s="4" t="s">
        <v>861</v>
      </c>
      <c r="W702" s="4" t="s">
        <v>656</v>
      </c>
      <c r="X702" s="6" t="s">
        <v>617</v>
      </c>
    </row>
    <row r="703" spans="1:24">
      <c r="A703" s="4" t="s">
        <v>858</v>
      </c>
      <c r="B703" s="4" t="s">
        <v>859</v>
      </c>
      <c r="C703" s="4" t="s">
        <v>860</v>
      </c>
      <c r="D703" s="4" t="s">
        <v>716</v>
      </c>
      <c r="E703" s="4" t="s">
        <v>717</v>
      </c>
      <c r="M703" s="4" t="s">
        <v>645</v>
      </c>
      <c r="N703" s="4">
        <v>-71.634495751939994</v>
      </c>
      <c r="O703" s="4">
        <v>3.7813953005800003</v>
      </c>
      <c r="P703" s="4" t="s">
        <v>800</v>
      </c>
      <c r="Q703" s="4" t="s">
        <v>746</v>
      </c>
      <c r="R703" s="4" t="s">
        <v>720</v>
      </c>
      <c r="S703" s="2">
        <v>46174.68785548611</v>
      </c>
      <c r="T703" s="5">
        <v>2.2818287037037037E-4</v>
      </c>
      <c r="U703" s="4">
        <v>5.765099823474884E-2</v>
      </c>
      <c r="V703" s="4" t="s">
        <v>724</v>
      </c>
      <c r="W703" s="4" t="s">
        <v>645</v>
      </c>
      <c r="X703" s="6" t="s">
        <v>617</v>
      </c>
    </row>
    <row r="704" spans="1:24">
      <c r="A704" s="4" t="s">
        <v>858</v>
      </c>
      <c r="B704" s="4" t="s">
        <v>859</v>
      </c>
      <c r="C704" s="4" t="s">
        <v>860</v>
      </c>
      <c r="D704" s="4" t="s">
        <v>716</v>
      </c>
      <c r="E704" s="4" t="s">
        <v>717</v>
      </c>
      <c r="M704" s="4" t="s">
        <v>614</v>
      </c>
      <c r="N704" s="4">
        <v>-71.634086600000003</v>
      </c>
      <c r="O704" s="4">
        <v>3.78098321</v>
      </c>
      <c r="P704" s="4" t="s">
        <v>800</v>
      </c>
      <c r="Q704" s="4" t="s">
        <v>746</v>
      </c>
      <c r="R704" s="4" t="s">
        <v>720</v>
      </c>
      <c r="S704" s="2">
        <v>46174.69553326389</v>
      </c>
      <c r="T704" s="5">
        <v>6.3764583333333329E-3</v>
      </c>
      <c r="U704" s="4">
        <v>2.5426673237234354E-3</v>
      </c>
      <c r="V704" s="4" t="s">
        <v>616</v>
      </c>
      <c r="W704" s="4" t="s">
        <v>614</v>
      </c>
      <c r="X704" s="6" t="s">
        <v>617</v>
      </c>
    </row>
    <row r="705" spans="1:24">
      <c r="A705" s="4" t="s">
        <v>858</v>
      </c>
      <c r="B705" s="4" t="s">
        <v>859</v>
      </c>
      <c r="C705" s="4" t="s">
        <v>860</v>
      </c>
      <c r="D705" s="4" t="s">
        <v>716</v>
      </c>
      <c r="E705" s="4" t="s">
        <v>717</v>
      </c>
      <c r="M705" s="4" t="s">
        <v>656</v>
      </c>
      <c r="N705" s="4">
        <v>-71.63456520126249</v>
      </c>
      <c r="O705" s="4">
        <v>3.7816511202256251</v>
      </c>
      <c r="P705" s="4" t="s">
        <v>742</v>
      </c>
      <c r="Q705" s="4" t="s">
        <v>743</v>
      </c>
      <c r="R705" s="4" t="s">
        <v>730</v>
      </c>
      <c r="S705" s="2">
        <v>46174.704433645835</v>
      </c>
      <c r="T705" s="5">
        <v>9.2515046296296301E-4</v>
      </c>
      <c r="U705" s="4">
        <v>0.2893650233745575</v>
      </c>
      <c r="V705" s="4" t="s">
        <v>867</v>
      </c>
      <c r="W705" s="4" t="s">
        <v>656</v>
      </c>
      <c r="X705" s="6" t="s">
        <v>617</v>
      </c>
    </row>
    <row r="706" spans="1:24">
      <c r="A706" s="4" t="s">
        <v>858</v>
      </c>
      <c r="B706" s="4" t="s">
        <v>859</v>
      </c>
      <c r="C706" s="4" t="s">
        <v>860</v>
      </c>
      <c r="D706" s="4" t="s">
        <v>716</v>
      </c>
      <c r="E706" s="4" t="s">
        <v>717</v>
      </c>
      <c r="M706" s="4" t="s">
        <v>645</v>
      </c>
      <c r="N706" s="4">
        <v>-71.635059661538463</v>
      </c>
      <c r="O706" s="4">
        <v>3.7842710407692306</v>
      </c>
      <c r="P706" s="4" t="s">
        <v>718</v>
      </c>
      <c r="Q706" s="4" t="s">
        <v>719</v>
      </c>
      <c r="R706" s="4" t="s">
        <v>720</v>
      </c>
      <c r="S706" s="2">
        <v>46174.705671296295</v>
      </c>
      <c r="T706" s="5">
        <v>4.3736111111111113E-4</v>
      </c>
      <c r="U706" s="4">
        <v>0.1837875097990036</v>
      </c>
      <c r="V706" s="4" t="s">
        <v>721</v>
      </c>
      <c r="W706" s="4" t="s">
        <v>645</v>
      </c>
      <c r="X706" s="6" t="s">
        <v>617</v>
      </c>
    </row>
    <row r="707" spans="1:24">
      <c r="A707" s="4" t="s">
        <v>858</v>
      </c>
      <c r="B707" s="4" t="s">
        <v>859</v>
      </c>
      <c r="C707" s="4" t="s">
        <v>860</v>
      </c>
      <c r="D707" s="4" t="s">
        <v>716</v>
      </c>
      <c r="E707" s="4" t="s">
        <v>717</v>
      </c>
      <c r="M707" s="4" t="s">
        <v>614</v>
      </c>
      <c r="N707" s="4">
        <v>-71.643791199999995</v>
      </c>
      <c r="O707" s="4">
        <v>3.7823016599999999</v>
      </c>
      <c r="P707" s="4" t="s">
        <v>734</v>
      </c>
      <c r="Q707" s="4" t="s">
        <v>735</v>
      </c>
      <c r="R707" s="4" t="s">
        <v>730</v>
      </c>
      <c r="S707" s="2">
        <v>46174.708495370367</v>
      </c>
      <c r="T707" s="5">
        <v>4.5486111111111109E-3</v>
      </c>
      <c r="U707" s="4">
        <v>0</v>
      </c>
      <c r="V707" s="4" t="s">
        <v>616</v>
      </c>
      <c r="W707" s="4" t="s">
        <v>614</v>
      </c>
      <c r="X707" s="6" t="s">
        <v>617</v>
      </c>
    </row>
    <row r="708" spans="1:24">
      <c r="A708" s="4" t="s">
        <v>858</v>
      </c>
      <c r="B708" s="4" t="s">
        <v>859</v>
      </c>
      <c r="C708" s="4" t="s">
        <v>860</v>
      </c>
      <c r="D708" s="4" t="s">
        <v>716</v>
      </c>
      <c r="E708" s="4" t="s">
        <v>717</v>
      </c>
      <c r="M708" s="4" t="s">
        <v>645</v>
      </c>
      <c r="N708" s="4">
        <v>-71.636698629999998</v>
      </c>
      <c r="O708" s="4">
        <v>3.7843150852000003</v>
      </c>
      <c r="P708" s="4" t="s">
        <v>718</v>
      </c>
      <c r="Q708" s="4" t="s">
        <v>719</v>
      </c>
      <c r="R708" s="4" t="s">
        <v>720</v>
      </c>
      <c r="S708" s="2">
        <v>46174.715474999997</v>
      </c>
      <c r="T708" s="5">
        <v>4.4005787037037039E-4</v>
      </c>
      <c r="U708" s="4">
        <v>0.1853221207857132</v>
      </c>
      <c r="V708" s="4" t="s">
        <v>741</v>
      </c>
      <c r="W708" s="4" t="s">
        <v>645</v>
      </c>
      <c r="X708" s="6" t="s">
        <v>617</v>
      </c>
    </row>
    <row r="709" spans="1:24">
      <c r="A709" s="4" t="s">
        <v>858</v>
      </c>
      <c r="B709" s="4" t="s">
        <v>859</v>
      </c>
      <c r="C709" s="4" t="s">
        <v>860</v>
      </c>
      <c r="D709" s="4" t="s">
        <v>716</v>
      </c>
      <c r="E709" s="4" t="s">
        <v>717</v>
      </c>
      <c r="M709" s="4" t="s">
        <v>645</v>
      </c>
      <c r="N709" s="4">
        <v>-71.626458193225005</v>
      </c>
      <c r="O709" s="4">
        <v>3.7808531440487503</v>
      </c>
      <c r="P709" s="4" t="s">
        <v>729</v>
      </c>
      <c r="Q709" s="4" t="s">
        <v>723</v>
      </c>
      <c r="R709" s="4" t="s">
        <v>730</v>
      </c>
      <c r="S709" s="2">
        <v>46174.71832753472</v>
      </c>
      <c r="T709" s="5">
        <v>5.7986111111111113E-6</v>
      </c>
      <c r="U709" s="4">
        <v>1.3423075433820486E-3</v>
      </c>
      <c r="V709" s="4" t="s">
        <v>724</v>
      </c>
      <c r="W709" s="4" t="s">
        <v>645</v>
      </c>
      <c r="X709" s="6" t="s">
        <v>617</v>
      </c>
    </row>
    <row r="710" spans="1:24">
      <c r="A710" s="4" t="s">
        <v>858</v>
      </c>
      <c r="B710" s="4" t="s">
        <v>859</v>
      </c>
      <c r="C710" s="4" t="s">
        <v>860</v>
      </c>
      <c r="D710" s="4" t="s">
        <v>716</v>
      </c>
      <c r="E710" s="4" t="s">
        <v>717</v>
      </c>
      <c r="M710" s="4" t="s">
        <v>645</v>
      </c>
      <c r="N710" s="4">
        <v>-71.626186400000009</v>
      </c>
      <c r="O710" s="4">
        <v>3.7809254500000002</v>
      </c>
      <c r="P710" s="4" t="s">
        <v>770</v>
      </c>
      <c r="Q710" s="4" t="s">
        <v>740</v>
      </c>
      <c r="R710" s="4" t="s">
        <v>730</v>
      </c>
      <c r="S710" s="2">
        <v>46174.754348958333</v>
      </c>
      <c r="T710" s="5">
        <v>1.7650462962962962E-4</v>
      </c>
      <c r="U710" s="4">
        <v>5.9910118579864502E-2</v>
      </c>
      <c r="V710" s="4" t="s">
        <v>725</v>
      </c>
      <c r="W710" s="4" t="s">
        <v>645</v>
      </c>
      <c r="X710" s="6" t="s">
        <v>617</v>
      </c>
    </row>
    <row r="711" spans="1:24">
      <c r="A711" s="4" t="s">
        <v>858</v>
      </c>
      <c r="B711" s="4" t="s">
        <v>859</v>
      </c>
      <c r="C711" s="4" t="s">
        <v>860</v>
      </c>
      <c r="D711" s="4" t="s">
        <v>716</v>
      </c>
      <c r="E711" s="4" t="s">
        <v>717</v>
      </c>
      <c r="M711" s="4" t="s">
        <v>645</v>
      </c>
      <c r="N711" s="4">
        <v>-71.625648499999997</v>
      </c>
      <c r="O711" s="4">
        <v>3.7809536499999998</v>
      </c>
      <c r="P711" s="4" t="s">
        <v>759</v>
      </c>
      <c r="Q711" s="4" t="s">
        <v>760</v>
      </c>
      <c r="R711" s="4" t="s">
        <v>730</v>
      </c>
      <c r="S711" s="2">
        <v>46174.754525462966</v>
      </c>
      <c r="T711" s="5">
        <v>1.6487268518518519E-4</v>
      </c>
      <c r="U711" s="4">
        <v>6.6007077693939209E-2</v>
      </c>
      <c r="V711" s="4" t="s">
        <v>741</v>
      </c>
      <c r="W711" s="4" t="s">
        <v>645</v>
      </c>
      <c r="X711" s="6" t="s">
        <v>617</v>
      </c>
    </row>
    <row r="712" spans="1:24">
      <c r="A712" s="4" t="s">
        <v>858</v>
      </c>
      <c r="B712" s="4" t="s">
        <v>859</v>
      </c>
      <c r="C712" s="4" t="s">
        <v>860</v>
      </c>
      <c r="D712" s="4" t="s">
        <v>716</v>
      </c>
      <c r="E712" s="4" t="s">
        <v>717</v>
      </c>
      <c r="M712" s="4" t="s">
        <v>614</v>
      </c>
      <c r="N712" s="4">
        <v>-71.612823500000005</v>
      </c>
      <c r="O712" s="4">
        <v>3.7796120599999998</v>
      </c>
      <c r="P712" s="4" t="s">
        <v>868</v>
      </c>
      <c r="Q712" s="4" t="s">
        <v>743</v>
      </c>
      <c r="R712" s="4" t="s">
        <v>730</v>
      </c>
      <c r="S712" s="2">
        <v>46174.758287037039</v>
      </c>
      <c r="T712" s="5">
        <v>7.1875000000000003E-3</v>
      </c>
      <c r="U712" s="4">
        <v>2.6670028091757558E-5</v>
      </c>
      <c r="V712" s="4" t="s">
        <v>616</v>
      </c>
      <c r="W712" s="4" t="s">
        <v>614</v>
      </c>
      <c r="X712" s="6" t="s">
        <v>617</v>
      </c>
    </row>
    <row r="713" spans="1:24">
      <c r="A713" s="4" t="s">
        <v>858</v>
      </c>
      <c r="B713" s="4" t="s">
        <v>859</v>
      </c>
      <c r="C713" s="4" t="s">
        <v>860</v>
      </c>
      <c r="D713" s="4" t="s">
        <v>716</v>
      </c>
      <c r="E713" s="4" t="s">
        <v>717</v>
      </c>
      <c r="M713" s="4" t="s">
        <v>645</v>
      </c>
      <c r="N713" s="4">
        <v>-71.625295010322219</v>
      </c>
      <c r="O713" s="4">
        <v>3.7810499264166668</v>
      </c>
      <c r="P713" s="4" t="s">
        <v>759</v>
      </c>
      <c r="Q713" s="4" t="s">
        <v>760</v>
      </c>
      <c r="R713" s="4" t="s">
        <v>730</v>
      </c>
      <c r="S713" s="2">
        <v>46174.768569687498</v>
      </c>
      <c r="T713" s="5">
        <v>2.9890046296296294E-4</v>
      </c>
      <c r="U713" s="4">
        <v>0.12143582850694656</v>
      </c>
      <c r="V713" s="4" t="s">
        <v>738</v>
      </c>
      <c r="W713" s="4" t="s">
        <v>645</v>
      </c>
      <c r="X713" s="6" t="s">
        <v>617</v>
      </c>
    </row>
    <row r="714" spans="1:24">
      <c r="A714" s="4" t="s">
        <v>858</v>
      </c>
      <c r="B714" s="4" t="s">
        <v>859</v>
      </c>
      <c r="C714" s="4" t="s">
        <v>860</v>
      </c>
      <c r="D714" s="4" t="s">
        <v>716</v>
      </c>
      <c r="E714" s="4" t="s">
        <v>717</v>
      </c>
      <c r="M714" s="4" t="s">
        <v>645</v>
      </c>
      <c r="N714" s="4">
        <v>-71.635059775149998</v>
      </c>
      <c r="O714" s="4">
        <v>3.7842775392366668</v>
      </c>
      <c r="P714" s="4" t="s">
        <v>718</v>
      </c>
      <c r="Q714" s="4" t="s">
        <v>719</v>
      </c>
      <c r="R714" s="4" t="s">
        <v>720</v>
      </c>
      <c r="S714" s="2">
        <v>46174.770824861109</v>
      </c>
      <c r="T714" s="5">
        <v>3.176273148148148E-4</v>
      </c>
      <c r="U714" s="4">
        <v>0.18372516334056854</v>
      </c>
      <c r="V714" s="4" t="s">
        <v>732</v>
      </c>
      <c r="W714" s="4" t="s">
        <v>645</v>
      </c>
      <c r="X714" s="6" t="s">
        <v>617</v>
      </c>
    </row>
    <row r="715" spans="1:24">
      <c r="A715" s="4" t="s">
        <v>858</v>
      </c>
      <c r="B715" s="4" t="s">
        <v>859</v>
      </c>
      <c r="C715" s="4" t="s">
        <v>860</v>
      </c>
      <c r="D715" s="4" t="s">
        <v>716</v>
      </c>
      <c r="E715" s="4" t="s">
        <v>717</v>
      </c>
      <c r="M715" s="4" t="s">
        <v>762</v>
      </c>
      <c r="N715" s="4">
        <v>-71.638286053169239</v>
      </c>
      <c r="O715" s="4">
        <v>3.7843527779661539</v>
      </c>
      <c r="P715" s="4" t="s">
        <v>734</v>
      </c>
      <c r="Q715" s="4" t="s">
        <v>735</v>
      </c>
      <c r="R715" s="4" t="s">
        <v>730</v>
      </c>
      <c r="S715" s="2">
        <v>46174.771413692128</v>
      </c>
      <c r="T715" s="5">
        <v>1.0251157407407408E-4</v>
      </c>
      <c r="U715" s="4">
        <v>7.3324181139469147E-2</v>
      </c>
      <c r="V715" s="4" t="s">
        <v>763</v>
      </c>
      <c r="W715" s="4" t="s">
        <v>762</v>
      </c>
      <c r="X715" s="6" t="s">
        <v>617</v>
      </c>
    </row>
    <row r="716" spans="1:24">
      <c r="A716" s="4" t="s">
        <v>858</v>
      </c>
      <c r="B716" s="4" t="s">
        <v>859</v>
      </c>
      <c r="C716" s="4" t="s">
        <v>860</v>
      </c>
      <c r="D716" s="4" t="s">
        <v>716</v>
      </c>
      <c r="E716" s="4" t="s">
        <v>717</v>
      </c>
      <c r="M716" s="4" t="s">
        <v>762</v>
      </c>
      <c r="N716" s="4">
        <v>-71.638935900000007</v>
      </c>
      <c r="O716" s="4">
        <v>3.7843734759999998</v>
      </c>
      <c r="P716" s="4" t="s">
        <v>734</v>
      </c>
      <c r="Q716" s="4" t="s">
        <v>735</v>
      </c>
      <c r="R716" s="4" t="s">
        <v>730</v>
      </c>
      <c r="S716" s="2">
        <v>46174.776247685186</v>
      </c>
      <c r="T716" s="5">
        <v>1.5972222222222223E-4</v>
      </c>
      <c r="U716" s="4">
        <v>0.12090085446834564</v>
      </c>
      <c r="V716" s="4" t="s">
        <v>763</v>
      </c>
      <c r="W716" s="4" t="s">
        <v>762</v>
      </c>
      <c r="X716" s="6" t="s">
        <v>617</v>
      </c>
    </row>
    <row r="717" spans="1:24">
      <c r="A717" s="4" t="s">
        <v>858</v>
      </c>
      <c r="B717" s="4" t="s">
        <v>859</v>
      </c>
      <c r="C717" s="4" t="s">
        <v>860</v>
      </c>
      <c r="D717" s="4" t="s">
        <v>716</v>
      </c>
      <c r="E717" s="4" t="s">
        <v>717</v>
      </c>
      <c r="M717" s="4" t="s">
        <v>645</v>
      </c>
      <c r="N717" s="4">
        <v>-71.636698429199996</v>
      </c>
      <c r="O717" s="4">
        <v>3.7842806062800003</v>
      </c>
      <c r="P717" s="4" t="s">
        <v>718</v>
      </c>
      <c r="Q717" s="4" t="s">
        <v>719</v>
      </c>
      <c r="R717" s="4" t="s">
        <v>720</v>
      </c>
      <c r="S717" s="2">
        <v>46174.776590162037</v>
      </c>
      <c r="T717" s="5">
        <v>2.8935185185185184E-4</v>
      </c>
      <c r="U717" s="4">
        <v>0.18426470458507538</v>
      </c>
      <c r="V717" s="4" t="s">
        <v>783</v>
      </c>
      <c r="W717" s="4" t="s">
        <v>645</v>
      </c>
      <c r="X717" s="6" t="s">
        <v>617</v>
      </c>
    </row>
    <row r="718" spans="1:24">
      <c r="A718" s="4" t="s">
        <v>858</v>
      </c>
      <c r="B718" s="4" t="s">
        <v>859</v>
      </c>
      <c r="C718" s="4" t="s">
        <v>860</v>
      </c>
      <c r="D718" s="4" t="s">
        <v>716</v>
      </c>
      <c r="E718" s="4" t="s">
        <v>717</v>
      </c>
      <c r="M718" s="4" t="s">
        <v>656</v>
      </c>
      <c r="N718" s="4">
        <v>-71.633926400000007</v>
      </c>
      <c r="O718" s="4">
        <v>3.7834487000000001</v>
      </c>
      <c r="P718" s="4" t="s">
        <v>742</v>
      </c>
      <c r="Q718" s="4" t="s">
        <v>743</v>
      </c>
      <c r="R718" s="4" t="s">
        <v>730</v>
      </c>
      <c r="S718" s="2">
        <v>46174.77715277778</v>
      </c>
      <c r="T718" s="5">
        <v>3.8194444444444446E-4</v>
      </c>
      <c r="U718" s="4">
        <v>0.2219889909029007</v>
      </c>
      <c r="V718" s="4" t="s">
        <v>829</v>
      </c>
      <c r="W718" s="4" t="s">
        <v>656</v>
      </c>
      <c r="X718" s="6" t="s">
        <v>617</v>
      </c>
    </row>
    <row r="719" spans="1:24">
      <c r="A719" s="4" t="s">
        <v>858</v>
      </c>
      <c r="B719" s="4" t="s">
        <v>859</v>
      </c>
      <c r="C719" s="4" t="s">
        <v>860</v>
      </c>
      <c r="D719" s="4" t="s">
        <v>716</v>
      </c>
      <c r="E719" s="4" t="s">
        <v>717</v>
      </c>
      <c r="M719" s="4" t="s">
        <v>645</v>
      </c>
      <c r="N719" s="4">
        <v>-71.634500180100005</v>
      </c>
      <c r="O719" s="4">
        <v>3.7813709213925</v>
      </c>
      <c r="P719" s="4" t="s">
        <v>800</v>
      </c>
      <c r="Q719" s="4" t="s">
        <v>746</v>
      </c>
      <c r="R719" s="4" t="s">
        <v>720</v>
      </c>
      <c r="S719" s="2">
        <v>46174.777649664349</v>
      </c>
      <c r="T719" s="5">
        <v>5.2163194444444446E-4</v>
      </c>
      <c r="U719" s="4">
        <v>0.15349310636520386</v>
      </c>
      <c r="V719" s="4" t="s">
        <v>666</v>
      </c>
      <c r="W719" s="4" t="s">
        <v>645</v>
      </c>
      <c r="X719" s="6" t="s">
        <v>617</v>
      </c>
    </row>
    <row r="720" spans="1:24">
      <c r="A720" s="4" t="s">
        <v>858</v>
      </c>
      <c r="B720" s="4" t="s">
        <v>859</v>
      </c>
      <c r="C720" s="4" t="s">
        <v>860</v>
      </c>
      <c r="D720" s="4" t="s">
        <v>716</v>
      </c>
      <c r="E720" s="4" t="s">
        <v>717</v>
      </c>
      <c r="M720" s="4" t="s">
        <v>645</v>
      </c>
      <c r="N720" s="4">
        <v>-71.633572874473487</v>
      </c>
      <c r="O720" s="4">
        <v>3.7810598239697324</v>
      </c>
      <c r="P720" s="4" t="s">
        <v>800</v>
      </c>
      <c r="Q720" s="4" t="s">
        <v>746</v>
      </c>
      <c r="R720" s="4" t="s">
        <v>720</v>
      </c>
      <c r="S720" s="2">
        <v>46174.782733217595</v>
      </c>
      <c r="T720" s="5">
        <v>3.4548611111111113E-4</v>
      </c>
      <c r="U720" s="4">
        <v>9.8155036568641663E-2</v>
      </c>
      <c r="V720" s="4" t="s">
        <v>728</v>
      </c>
      <c r="W720" s="4" t="s">
        <v>645</v>
      </c>
      <c r="X720" s="6" t="s">
        <v>617</v>
      </c>
    </row>
    <row r="721" spans="1:24">
      <c r="A721" s="4" t="s">
        <v>858</v>
      </c>
      <c r="B721" s="4" t="s">
        <v>859</v>
      </c>
      <c r="C721" s="4" t="s">
        <v>860</v>
      </c>
      <c r="D721" s="4" t="s">
        <v>716</v>
      </c>
      <c r="E721" s="4" t="s">
        <v>717</v>
      </c>
      <c r="M721" s="4" t="s">
        <v>656</v>
      </c>
      <c r="N721" s="4">
        <v>-71.634574900000004</v>
      </c>
      <c r="O721" s="4">
        <v>3.78150868</v>
      </c>
      <c r="P721" s="4" t="s">
        <v>742</v>
      </c>
      <c r="Q721" s="4" t="s">
        <v>743</v>
      </c>
      <c r="R721" s="4" t="s">
        <v>730</v>
      </c>
      <c r="S721" s="2">
        <v>46174.783206018517</v>
      </c>
      <c r="T721" s="5">
        <v>3.5879629629629629E-4</v>
      </c>
      <c r="U721" s="4">
        <v>0.21370463073253632</v>
      </c>
      <c r="V721" s="4" t="s">
        <v>801</v>
      </c>
      <c r="W721" s="4" t="s">
        <v>656</v>
      </c>
      <c r="X721" s="6" t="s">
        <v>617</v>
      </c>
    </row>
    <row r="722" spans="1:24">
      <c r="A722" s="4" t="s">
        <v>858</v>
      </c>
      <c r="B722" s="4" t="s">
        <v>859</v>
      </c>
      <c r="C722" s="4" t="s">
        <v>860</v>
      </c>
      <c r="D722" s="4" t="s">
        <v>716</v>
      </c>
      <c r="E722" s="4" t="s">
        <v>717</v>
      </c>
      <c r="M722" s="4" t="s">
        <v>645</v>
      </c>
      <c r="N722" s="4">
        <v>-71.635059293666671</v>
      </c>
      <c r="O722" s="4">
        <v>3.7842339991966667</v>
      </c>
      <c r="P722" s="4" t="s">
        <v>718</v>
      </c>
      <c r="Q722" s="4" t="s">
        <v>719</v>
      </c>
      <c r="R722" s="4" t="s">
        <v>720</v>
      </c>
      <c r="S722" s="2">
        <v>46174.783855520836</v>
      </c>
      <c r="T722" s="5">
        <v>2.4571759259259257E-4</v>
      </c>
      <c r="U722" s="4">
        <v>0.18348948657512665</v>
      </c>
      <c r="V722" s="4" t="s">
        <v>763</v>
      </c>
      <c r="W722" s="4" t="s">
        <v>645</v>
      </c>
      <c r="X722" s="6" t="s">
        <v>617</v>
      </c>
    </row>
    <row r="723" spans="1:24">
      <c r="A723" s="4" t="s">
        <v>858</v>
      </c>
      <c r="B723" s="4" t="s">
        <v>859</v>
      </c>
      <c r="C723" s="4" t="s">
        <v>860</v>
      </c>
      <c r="D723" s="4" t="s">
        <v>716</v>
      </c>
      <c r="E723" s="4" t="s">
        <v>717</v>
      </c>
      <c r="M723" s="4" t="s">
        <v>762</v>
      </c>
      <c r="N723" s="4">
        <v>-71.6352768</v>
      </c>
      <c r="O723" s="4">
        <v>3.78427398</v>
      </c>
      <c r="P723" s="4" t="s">
        <v>718</v>
      </c>
      <c r="Q723" s="4" t="s">
        <v>719</v>
      </c>
      <c r="R723" s="4" t="s">
        <v>720</v>
      </c>
      <c r="S723" s="2">
        <v>46174.783888888887</v>
      </c>
      <c r="T723" s="5">
        <v>2.1412047037037038E-4</v>
      </c>
      <c r="U723" s="4">
        <v>0.16031491756439209</v>
      </c>
      <c r="V723" s="4" t="s">
        <v>763</v>
      </c>
      <c r="W723" s="4" t="s">
        <v>762</v>
      </c>
      <c r="X723" s="6" t="s">
        <v>617</v>
      </c>
    </row>
    <row r="724" spans="1:24">
      <c r="A724" s="4" t="s">
        <v>858</v>
      </c>
      <c r="B724" s="4" t="s">
        <v>859</v>
      </c>
      <c r="C724" s="4" t="s">
        <v>860</v>
      </c>
      <c r="D724" s="4" t="s">
        <v>716</v>
      </c>
      <c r="E724" s="4" t="s">
        <v>717</v>
      </c>
      <c r="M724" s="4" t="s">
        <v>762</v>
      </c>
      <c r="N724" s="4">
        <v>-71.637935599999992</v>
      </c>
      <c r="O724" s="4">
        <v>3.7843492049999998</v>
      </c>
      <c r="P724" s="4" t="s">
        <v>734</v>
      </c>
      <c r="Q724" s="4" t="s">
        <v>735</v>
      </c>
      <c r="R724" s="4" t="s">
        <v>730</v>
      </c>
      <c r="S724" s="2">
        <v>46174.784282407411</v>
      </c>
      <c r="T724" s="5">
        <v>3.0423611111111114E-4</v>
      </c>
      <c r="U724" s="4">
        <v>0.23677845299243927</v>
      </c>
      <c r="V724" s="4" t="s">
        <v>784</v>
      </c>
      <c r="W724" s="4" t="s">
        <v>762</v>
      </c>
      <c r="X724" s="6" t="s">
        <v>617</v>
      </c>
    </row>
    <row r="725" spans="1:24">
      <c r="A725" s="4" t="s">
        <v>858</v>
      </c>
      <c r="B725" s="4" t="s">
        <v>859</v>
      </c>
      <c r="C725" s="4" t="s">
        <v>860</v>
      </c>
      <c r="D725" s="4" t="s">
        <v>716</v>
      </c>
      <c r="E725" s="4" t="s">
        <v>717</v>
      </c>
      <c r="M725" s="4" t="s">
        <v>762</v>
      </c>
      <c r="N725" s="4">
        <v>-71.640391059400002</v>
      </c>
      <c r="O725" s="4">
        <v>3.7846294256975002</v>
      </c>
      <c r="P725" s="4" t="s">
        <v>734</v>
      </c>
      <c r="Q725" s="4" t="s">
        <v>735</v>
      </c>
      <c r="R725" s="4" t="s">
        <v>730</v>
      </c>
      <c r="S725" s="2">
        <v>46174.784637349534</v>
      </c>
      <c r="T725" s="5">
        <v>6.172453703703704E-5</v>
      </c>
      <c r="U725" s="4">
        <v>4.635416716337204E-2</v>
      </c>
      <c r="V725" s="4" t="s">
        <v>763</v>
      </c>
      <c r="W725" s="4" t="s">
        <v>762</v>
      </c>
      <c r="X725" s="6" t="s">
        <v>617</v>
      </c>
    </row>
    <row r="726" spans="1:24">
      <c r="A726" s="4" t="s">
        <v>858</v>
      </c>
      <c r="B726" s="4" t="s">
        <v>859</v>
      </c>
      <c r="C726" s="4" t="s">
        <v>860</v>
      </c>
      <c r="D726" s="4" t="s">
        <v>716</v>
      </c>
      <c r="E726" s="4" t="s">
        <v>717</v>
      </c>
      <c r="M726" s="4" t="s">
        <v>762</v>
      </c>
      <c r="N726" s="4">
        <v>-71.642211945976925</v>
      </c>
      <c r="O726" s="4">
        <v>3.7846023597546155</v>
      </c>
      <c r="P726" s="4" t="s">
        <v>734</v>
      </c>
      <c r="Q726" s="4" t="s">
        <v>735</v>
      </c>
      <c r="R726" s="4" t="s">
        <v>730</v>
      </c>
      <c r="S726" s="2">
        <v>46174.784923946761</v>
      </c>
      <c r="T726" s="5">
        <v>1.4260416666666667E-4</v>
      </c>
      <c r="U726" s="4">
        <v>0.10499574989080429</v>
      </c>
      <c r="V726" s="4" t="s">
        <v>781</v>
      </c>
      <c r="W726" s="4" t="s">
        <v>762</v>
      </c>
      <c r="X726" s="6" t="s">
        <v>617</v>
      </c>
    </row>
    <row r="727" spans="1:24">
      <c r="A727" s="4" t="s">
        <v>858</v>
      </c>
      <c r="B727" s="4" t="s">
        <v>859</v>
      </c>
      <c r="C727" s="4" t="s">
        <v>860</v>
      </c>
      <c r="D727" s="4" t="s">
        <v>716</v>
      </c>
      <c r="E727" s="4" t="s">
        <v>717</v>
      </c>
      <c r="M727" s="4" t="s">
        <v>754</v>
      </c>
      <c r="N727" s="4">
        <v>-71.651565520000005</v>
      </c>
      <c r="O727" s="4">
        <v>3.7721419780000001</v>
      </c>
      <c r="P727" s="4" t="s">
        <v>734</v>
      </c>
      <c r="Q727" s="4" t="s">
        <v>735</v>
      </c>
      <c r="R727" s="4" t="s">
        <v>730</v>
      </c>
      <c r="S727" s="2">
        <v>46174.802053240739</v>
      </c>
      <c r="T727" s="5">
        <v>1.367476851851852E-4</v>
      </c>
      <c r="U727" s="4">
        <v>5.1017288118600845E-2</v>
      </c>
      <c r="V727" s="4" t="s">
        <v>810</v>
      </c>
      <c r="W727" s="4" t="s">
        <v>754</v>
      </c>
      <c r="X727" s="6" t="s">
        <v>617</v>
      </c>
    </row>
    <row r="728" spans="1:24">
      <c r="A728" s="4" t="s">
        <v>858</v>
      </c>
      <c r="B728" s="4" t="s">
        <v>859</v>
      </c>
      <c r="C728" s="4" t="s">
        <v>860</v>
      </c>
      <c r="D728" s="4" t="s">
        <v>716</v>
      </c>
      <c r="E728" s="4" t="s">
        <v>717</v>
      </c>
      <c r="M728" s="4" t="s">
        <v>762</v>
      </c>
      <c r="N728" s="4">
        <v>-71.646196477960004</v>
      </c>
      <c r="O728" s="4">
        <v>3.7801785626219999</v>
      </c>
      <c r="P728" s="4" t="s">
        <v>734</v>
      </c>
      <c r="Q728" s="4" t="s">
        <v>735</v>
      </c>
      <c r="R728" s="4" t="s">
        <v>730</v>
      </c>
      <c r="S728" s="2">
        <v>46174.805079004633</v>
      </c>
      <c r="T728" s="5">
        <v>9.4606481481481484E-5</v>
      </c>
      <c r="U728" s="4">
        <v>7.0086874067783356E-2</v>
      </c>
      <c r="V728" s="4" t="s">
        <v>784</v>
      </c>
      <c r="W728" s="4" t="s">
        <v>762</v>
      </c>
      <c r="X728" s="6" t="s">
        <v>617</v>
      </c>
    </row>
    <row r="729" spans="1:24">
      <c r="A729" s="4" t="s">
        <v>858</v>
      </c>
      <c r="B729" s="4" t="s">
        <v>859</v>
      </c>
      <c r="C729" s="4" t="s">
        <v>860</v>
      </c>
      <c r="D729" s="4" t="s">
        <v>716</v>
      </c>
      <c r="E729" s="4" t="s">
        <v>717</v>
      </c>
      <c r="M729" s="4" t="s">
        <v>762</v>
      </c>
      <c r="N729" s="4">
        <v>-71.644846618819997</v>
      </c>
      <c r="O729" s="4">
        <v>3.7813954157860001</v>
      </c>
      <c r="P729" s="4" t="s">
        <v>734</v>
      </c>
      <c r="Q729" s="4" t="s">
        <v>735</v>
      </c>
      <c r="R729" s="4" t="s">
        <v>730</v>
      </c>
      <c r="S729" s="2">
        <v>46174.805489965278</v>
      </c>
      <c r="T729" s="5">
        <v>2.0763888888888888E-4</v>
      </c>
      <c r="U729" s="4">
        <v>0.16507808864116669</v>
      </c>
      <c r="V729" s="4" t="s">
        <v>781</v>
      </c>
      <c r="W729" s="4" t="s">
        <v>762</v>
      </c>
      <c r="X729" s="6" t="s">
        <v>617</v>
      </c>
    </row>
    <row r="730" spans="1:24">
      <c r="A730" s="4" t="s">
        <v>858</v>
      </c>
      <c r="B730" s="4" t="s">
        <v>859</v>
      </c>
      <c r="C730" s="4" t="s">
        <v>860</v>
      </c>
      <c r="D730" s="4" t="s">
        <v>716</v>
      </c>
      <c r="E730" s="4" t="s">
        <v>717</v>
      </c>
      <c r="M730" s="4" t="s">
        <v>762</v>
      </c>
      <c r="N730" s="4">
        <v>-71.643213900000006</v>
      </c>
      <c r="O730" s="4">
        <v>3.7839522366666669</v>
      </c>
      <c r="P730" s="4" t="s">
        <v>734</v>
      </c>
      <c r="Q730" s="4" t="s">
        <v>735</v>
      </c>
      <c r="R730" s="4" t="s">
        <v>730</v>
      </c>
      <c r="S730" s="2">
        <v>46174.806122685186</v>
      </c>
      <c r="T730" s="5">
        <v>1.3657407407407406E-4</v>
      </c>
      <c r="U730" s="4">
        <v>0.10337420552968979</v>
      </c>
      <c r="V730" s="4" t="s">
        <v>781</v>
      </c>
      <c r="W730" s="4" t="s">
        <v>762</v>
      </c>
      <c r="X730" s="6" t="s">
        <v>617</v>
      </c>
    </row>
    <row r="731" spans="1:24">
      <c r="A731" s="4" t="s">
        <v>858</v>
      </c>
      <c r="B731" s="4" t="s">
        <v>859</v>
      </c>
      <c r="C731" s="4" t="s">
        <v>860</v>
      </c>
      <c r="D731" s="4" t="s">
        <v>716</v>
      </c>
      <c r="E731" s="4" t="s">
        <v>717</v>
      </c>
      <c r="M731" s="4" t="s">
        <v>762</v>
      </c>
      <c r="N731" s="4">
        <v>-71.64067412070834</v>
      </c>
      <c r="O731" s="4">
        <v>3.7846213393558337</v>
      </c>
      <c r="P731" s="4" t="s">
        <v>734</v>
      </c>
      <c r="Q731" s="4" t="s">
        <v>735</v>
      </c>
      <c r="R731" s="4" t="s">
        <v>730</v>
      </c>
      <c r="S731" s="2">
        <v>46174.806581793979</v>
      </c>
      <c r="T731" s="5">
        <v>2.3692129629629631E-5</v>
      </c>
      <c r="U731" s="4">
        <v>1.6258103772997856E-2</v>
      </c>
      <c r="V731" s="4" t="s">
        <v>763</v>
      </c>
      <c r="W731" s="4" t="s">
        <v>762</v>
      </c>
      <c r="X731" s="6" t="s">
        <v>617</v>
      </c>
    </row>
    <row r="732" spans="1:24">
      <c r="A732" s="4" t="s">
        <v>858</v>
      </c>
      <c r="B732" s="4" t="s">
        <v>859</v>
      </c>
      <c r="C732" s="4" t="s">
        <v>860</v>
      </c>
      <c r="D732" s="4" t="s">
        <v>716</v>
      </c>
      <c r="E732" s="4" t="s">
        <v>717</v>
      </c>
      <c r="M732" s="4" t="s">
        <v>762</v>
      </c>
      <c r="N732" s="4">
        <v>-71.639990824999998</v>
      </c>
      <c r="O732" s="4">
        <v>3.784557875</v>
      </c>
      <c r="P732" s="4" t="s">
        <v>734</v>
      </c>
      <c r="Q732" s="4" t="s">
        <v>735</v>
      </c>
      <c r="R732" s="4" t="s">
        <v>730</v>
      </c>
      <c r="S732" s="2">
        <v>46174.806694155093</v>
      </c>
      <c r="T732" s="5">
        <v>5.3385416666666663E-4</v>
      </c>
      <c r="U732" s="4">
        <v>0.4301300048828125</v>
      </c>
      <c r="V732" s="4" t="s">
        <v>780</v>
      </c>
      <c r="W732" s="4" t="s">
        <v>762</v>
      </c>
      <c r="X732" s="6" t="s">
        <v>617</v>
      </c>
    </row>
    <row r="733" spans="1:24">
      <c r="A733" s="4" t="s">
        <v>858</v>
      </c>
      <c r="B733" s="4" t="s">
        <v>859</v>
      </c>
      <c r="C733" s="4" t="s">
        <v>860</v>
      </c>
      <c r="D733" s="4" t="s">
        <v>716</v>
      </c>
      <c r="E733" s="4" t="s">
        <v>717</v>
      </c>
      <c r="M733" s="4" t="s">
        <v>645</v>
      </c>
      <c r="N733" s="4">
        <v>-71.636698166884614</v>
      </c>
      <c r="O733" s="4">
        <v>3.7842444430076925</v>
      </c>
      <c r="P733" s="4" t="s">
        <v>718</v>
      </c>
      <c r="Q733" s="4" t="s">
        <v>719</v>
      </c>
      <c r="R733" s="4" t="s">
        <v>720</v>
      </c>
      <c r="S733" s="2">
        <v>46174.80714646991</v>
      </c>
      <c r="T733" s="5">
        <v>2.7442129629629632E-4</v>
      </c>
      <c r="U733" s="4">
        <v>0.18363004922866821</v>
      </c>
      <c r="V733" s="4" t="s">
        <v>763</v>
      </c>
      <c r="W733" s="4" t="s">
        <v>645</v>
      </c>
      <c r="X733" s="6" t="s">
        <v>617</v>
      </c>
    </row>
    <row r="734" spans="1:24">
      <c r="A734" s="4" t="s">
        <v>858</v>
      </c>
      <c r="B734" s="4" t="s">
        <v>859</v>
      </c>
      <c r="C734" s="4" t="s">
        <v>860</v>
      </c>
      <c r="D734" s="4" t="s">
        <v>716</v>
      </c>
      <c r="E734" s="4" t="s">
        <v>717</v>
      </c>
      <c r="M734" s="4" t="s">
        <v>762</v>
      </c>
      <c r="N734" s="4">
        <v>-71.635348926987504</v>
      </c>
      <c r="O734" s="4">
        <v>3.7841222548800002</v>
      </c>
      <c r="P734" s="4" t="s">
        <v>718</v>
      </c>
      <c r="Q734" s="4" t="s">
        <v>719</v>
      </c>
      <c r="R734" s="4" t="s">
        <v>720</v>
      </c>
      <c r="S734" s="2">
        <v>46174.80737584491</v>
      </c>
      <c r="T734" s="5">
        <v>3.7349537037037037E-5</v>
      </c>
      <c r="U734" s="4">
        <v>2.6641486212611198E-2</v>
      </c>
      <c r="V734" s="4" t="s">
        <v>763</v>
      </c>
      <c r="W734" s="4" t="s">
        <v>762</v>
      </c>
      <c r="X734" s="6" t="s">
        <v>617</v>
      </c>
    </row>
    <row r="735" spans="1:24">
      <c r="A735" s="4" t="s">
        <v>858</v>
      </c>
      <c r="B735" s="4" t="s">
        <v>859</v>
      </c>
      <c r="C735" s="4" t="s">
        <v>860</v>
      </c>
      <c r="D735" s="4" t="s">
        <v>716</v>
      </c>
      <c r="E735" s="4" t="s">
        <v>717</v>
      </c>
      <c r="M735" s="4" t="s">
        <v>762</v>
      </c>
      <c r="N735" s="4">
        <v>-71.634643549999993</v>
      </c>
      <c r="O735" s="4">
        <v>3.7841018449999999</v>
      </c>
      <c r="P735" s="4" t="s">
        <v>734</v>
      </c>
      <c r="Q735" s="4" t="s">
        <v>735</v>
      </c>
      <c r="R735" s="4" t="s">
        <v>730</v>
      </c>
      <c r="S735" s="2">
        <v>46174.807482638993</v>
      </c>
      <c r="T735" s="5">
        <v>4.7118055555555556E-5</v>
      </c>
      <c r="U735" s="4">
        <v>3.5196449607610703E-2</v>
      </c>
      <c r="V735" s="4" t="s">
        <v>763</v>
      </c>
      <c r="W735" s="4" t="s">
        <v>762</v>
      </c>
      <c r="X735" s="6" t="s">
        <v>617</v>
      </c>
    </row>
    <row r="736" spans="1:24">
      <c r="A736" s="4" t="s">
        <v>858</v>
      </c>
      <c r="B736" s="4" t="s">
        <v>859</v>
      </c>
      <c r="C736" s="4" t="s">
        <v>860</v>
      </c>
      <c r="D736" s="4" t="s">
        <v>716</v>
      </c>
      <c r="E736" s="4" t="s">
        <v>717</v>
      </c>
      <c r="M736" s="4" t="s">
        <v>656</v>
      </c>
      <c r="N736" s="4">
        <v>-71.634140000000002</v>
      </c>
      <c r="O736" s="4">
        <v>3.78390241</v>
      </c>
      <c r="P736" s="4" t="s">
        <v>734</v>
      </c>
      <c r="Q736" s="4" t="s">
        <v>735</v>
      </c>
      <c r="R736" s="4" t="s">
        <v>730</v>
      </c>
      <c r="S736" s="2">
        <v>46174.807569444441</v>
      </c>
      <c r="T736" s="5">
        <v>4.3981481481481481E-4</v>
      </c>
      <c r="U736" s="4">
        <v>0.29778546094894409</v>
      </c>
      <c r="V736" s="4" t="s">
        <v>799</v>
      </c>
      <c r="W736" s="4" t="s">
        <v>656</v>
      </c>
      <c r="X736" s="6" t="s">
        <v>617</v>
      </c>
    </row>
    <row r="737" spans="1:24">
      <c r="A737" s="4" t="s">
        <v>858</v>
      </c>
      <c r="B737" s="4" t="s">
        <v>859</v>
      </c>
      <c r="C737" s="4" t="s">
        <v>860</v>
      </c>
      <c r="D737" s="4" t="s">
        <v>716</v>
      </c>
      <c r="E737" s="4" t="s">
        <v>717</v>
      </c>
      <c r="M737" s="4" t="s">
        <v>645</v>
      </c>
      <c r="N737" s="4">
        <v>-71.634499284399993</v>
      </c>
      <c r="O737" s="4">
        <v>3.7813758941066666</v>
      </c>
      <c r="P737" s="4" t="s">
        <v>800</v>
      </c>
      <c r="Q737" s="4" t="s">
        <v>746</v>
      </c>
      <c r="R737" s="4" t="s">
        <v>720</v>
      </c>
      <c r="S737" s="2">
        <v>46174.80807929398</v>
      </c>
      <c r="T737" s="5">
        <v>5.0866898148148147E-4</v>
      </c>
      <c r="U737" s="4">
        <v>0.15536722540855408</v>
      </c>
      <c r="V737" s="4" t="s">
        <v>721</v>
      </c>
      <c r="W737" s="4" t="s">
        <v>645</v>
      </c>
      <c r="X737" s="6" t="s">
        <v>617</v>
      </c>
    </row>
    <row r="738" spans="1:24">
      <c r="A738" s="4" t="s">
        <v>858</v>
      </c>
      <c r="B738" s="4" t="s">
        <v>859</v>
      </c>
      <c r="C738" s="4" t="s">
        <v>860</v>
      </c>
      <c r="D738" s="4" t="s">
        <v>716</v>
      </c>
      <c r="E738" s="4" t="s">
        <v>717</v>
      </c>
      <c r="M738" s="4" t="s">
        <v>614</v>
      </c>
      <c r="N738" s="4">
        <v>-71.633209199999996</v>
      </c>
      <c r="O738" s="4">
        <v>3.78076839</v>
      </c>
      <c r="P738" s="4" t="s">
        <v>800</v>
      </c>
      <c r="Q738" s="4" t="s">
        <v>746</v>
      </c>
      <c r="R738" s="4" t="s">
        <v>720</v>
      </c>
      <c r="S738" s="2">
        <v>46174.855219907404</v>
      </c>
      <c r="T738" s="5">
        <v>1.6336805655555557E-2</v>
      </c>
      <c r="U738" s="4">
        <v>0</v>
      </c>
      <c r="V738" s="4" t="s">
        <v>616</v>
      </c>
      <c r="W738" s="4" t="s">
        <v>614</v>
      </c>
      <c r="X738" s="6" t="s">
        <v>617</v>
      </c>
    </row>
    <row r="739" spans="1:24">
      <c r="A739" s="4" t="s">
        <v>858</v>
      </c>
      <c r="B739" s="4" t="s">
        <v>859</v>
      </c>
      <c r="C739" s="4" t="s">
        <v>860</v>
      </c>
      <c r="D739" s="4" t="s">
        <v>716</v>
      </c>
      <c r="E739" s="4" t="s">
        <v>717</v>
      </c>
      <c r="M739" s="4" t="s">
        <v>645</v>
      </c>
      <c r="N739" s="4">
        <v>-71.535052459999989</v>
      </c>
      <c r="O739" s="4">
        <v>3.8026163099999999</v>
      </c>
      <c r="P739" s="4" t="s">
        <v>745</v>
      </c>
      <c r="Q739" s="4" t="s">
        <v>746</v>
      </c>
      <c r="R739" s="4" t="s">
        <v>720</v>
      </c>
      <c r="S739" s="2">
        <v>46174.956872685187</v>
      </c>
      <c r="T739" s="5">
        <v>1.7824074074074075E-4</v>
      </c>
      <c r="U739" s="4">
        <v>5.041445791721344E-2</v>
      </c>
      <c r="V739" s="4" t="s">
        <v>725</v>
      </c>
      <c r="W739" s="4" t="s">
        <v>645</v>
      </c>
      <c r="X739" s="6" t="s">
        <v>617</v>
      </c>
    </row>
    <row r="740" spans="1:24">
      <c r="A740" s="4" t="s">
        <v>858</v>
      </c>
      <c r="B740" s="4" t="s">
        <v>859</v>
      </c>
      <c r="C740" s="4" t="s">
        <v>860</v>
      </c>
      <c r="D740" s="4" t="s">
        <v>716</v>
      </c>
      <c r="E740" s="4" t="s">
        <v>717</v>
      </c>
      <c r="M740" s="4" t="s">
        <v>645</v>
      </c>
      <c r="N740" s="4">
        <v>-71.534385674999996</v>
      </c>
      <c r="O740" s="4">
        <v>3.8028724775000002</v>
      </c>
      <c r="P740" s="4" t="s">
        <v>749</v>
      </c>
      <c r="Q740" s="4" t="s">
        <v>746</v>
      </c>
      <c r="R740" s="4" t="s">
        <v>720</v>
      </c>
      <c r="S740" s="2">
        <v>46174.957187499997</v>
      </c>
      <c r="T740" s="5">
        <v>1.7361211111111111E-5</v>
      </c>
      <c r="U740" s="4">
        <v>3.6376249045133591E-3</v>
      </c>
      <c r="V740" s="4" t="s">
        <v>724</v>
      </c>
      <c r="W740" s="4" t="s">
        <v>645</v>
      </c>
      <c r="X740" s="6" t="s">
        <v>617</v>
      </c>
    </row>
    <row r="741" spans="1:24">
      <c r="A741" s="4" t="s">
        <v>869</v>
      </c>
      <c r="B741" s="4" t="s">
        <v>870</v>
      </c>
      <c r="D741" s="4" t="s">
        <v>716</v>
      </c>
      <c r="E741" s="4" t="s">
        <v>717</v>
      </c>
      <c r="M741" s="4" t="s">
        <v>645</v>
      </c>
      <c r="N741" s="4">
        <v>-71.636698292682354</v>
      </c>
      <c r="O741" s="4">
        <v>3.7842578725482352</v>
      </c>
      <c r="P741" s="4" t="s">
        <v>718</v>
      </c>
      <c r="Q741" s="4" t="s">
        <v>719</v>
      </c>
      <c r="R741" s="4" t="s">
        <v>720</v>
      </c>
      <c r="S741" s="2">
        <v>46174.233370231479</v>
      </c>
      <c r="T741" s="5">
        <v>3.3571759259259259E-4</v>
      </c>
      <c r="U741" s="4">
        <v>0.18361158668994904</v>
      </c>
      <c r="V741" s="4" t="s">
        <v>750</v>
      </c>
      <c r="W741" s="4" t="s">
        <v>645</v>
      </c>
      <c r="X741" s="6" t="s">
        <v>617</v>
      </c>
    </row>
    <row r="742" spans="1:24">
      <c r="A742" s="4" t="s">
        <v>869</v>
      </c>
      <c r="B742" s="4" t="s">
        <v>870</v>
      </c>
      <c r="D742" s="4" t="s">
        <v>716</v>
      </c>
      <c r="E742" s="4" t="s">
        <v>717</v>
      </c>
      <c r="M742" s="4" t="s">
        <v>762</v>
      </c>
      <c r="N742" s="4">
        <v>-71.630001100000001</v>
      </c>
      <c r="O742" s="4">
        <v>3.7829633950000003</v>
      </c>
      <c r="P742" s="4" t="s">
        <v>734</v>
      </c>
      <c r="Q742" s="4" t="s">
        <v>735</v>
      </c>
      <c r="R742" s="4" t="s">
        <v>730</v>
      </c>
      <c r="S742" s="2">
        <v>46174.234930555554</v>
      </c>
      <c r="T742" s="5">
        <v>1.0416666666666667E-4</v>
      </c>
      <c r="U742" s="4">
        <v>7.8733667731285095E-2</v>
      </c>
      <c r="V742" s="4" t="s">
        <v>763</v>
      </c>
      <c r="W742" s="4" t="s">
        <v>762</v>
      </c>
      <c r="X742" s="6" t="s">
        <v>617</v>
      </c>
    </row>
    <row r="743" spans="1:24">
      <c r="A743" s="4" t="s">
        <v>869</v>
      </c>
      <c r="B743" s="4" t="s">
        <v>870</v>
      </c>
      <c r="D743" s="4" t="s">
        <v>716</v>
      </c>
      <c r="E743" s="4" t="s">
        <v>717</v>
      </c>
      <c r="M743" s="4" t="s">
        <v>645</v>
      </c>
      <c r="N743" s="4">
        <v>-71.626359579999999</v>
      </c>
      <c r="O743" s="4">
        <v>3.7805837160000002</v>
      </c>
      <c r="P743" s="4" t="s">
        <v>722</v>
      </c>
      <c r="Q743" s="4" t="s">
        <v>723</v>
      </c>
      <c r="R743" s="4" t="s">
        <v>720</v>
      </c>
      <c r="S743" s="2">
        <v>46174.23608101852</v>
      </c>
      <c r="T743" s="5">
        <v>1.1111111111111112E-4</v>
      </c>
      <c r="U743" s="4">
        <v>3.0027903616428375E-2</v>
      </c>
      <c r="V743" s="4" t="s">
        <v>728</v>
      </c>
      <c r="W743" s="4" t="s">
        <v>645</v>
      </c>
      <c r="X743" s="6" t="s">
        <v>617</v>
      </c>
    </row>
    <row r="744" spans="1:24">
      <c r="A744" s="4" t="s">
        <v>869</v>
      </c>
      <c r="B744" s="4" t="s">
        <v>870</v>
      </c>
      <c r="D744" s="4" t="s">
        <v>716</v>
      </c>
      <c r="E744" s="4" t="s">
        <v>717</v>
      </c>
      <c r="M744" s="4" t="s">
        <v>645</v>
      </c>
      <c r="N744" s="4">
        <v>-71.635059764230775</v>
      </c>
      <c r="O744" s="4">
        <v>3.784278169446154</v>
      </c>
      <c r="P744" s="4" t="s">
        <v>718</v>
      </c>
      <c r="Q744" s="4" t="s">
        <v>719</v>
      </c>
      <c r="R744" s="4" t="s">
        <v>720</v>
      </c>
      <c r="S744" s="2">
        <v>46174.26300486111</v>
      </c>
      <c r="T744" s="5">
        <v>3.0839120370370368E-4</v>
      </c>
      <c r="U744" s="4">
        <v>0.1831982433795929</v>
      </c>
      <c r="V744" s="4" t="s">
        <v>850</v>
      </c>
      <c r="W744" s="4" t="s">
        <v>645</v>
      </c>
      <c r="X744" s="6" t="s">
        <v>617</v>
      </c>
    </row>
    <row r="745" spans="1:24">
      <c r="A745" s="4" t="s">
        <v>869</v>
      </c>
      <c r="B745" s="4" t="s">
        <v>870</v>
      </c>
      <c r="D745" s="4" t="s">
        <v>716</v>
      </c>
      <c r="E745" s="4" t="s">
        <v>717</v>
      </c>
      <c r="M745" s="4" t="s">
        <v>614</v>
      </c>
      <c r="N745" s="4">
        <v>-71.643295300000005</v>
      </c>
      <c r="O745" s="4">
        <v>3.7837200200000001</v>
      </c>
      <c r="P745" s="4" t="s">
        <v>734</v>
      </c>
      <c r="Q745" s="4" t="s">
        <v>735</v>
      </c>
      <c r="R745" s="4" t="s">
        <v>730</v>
      </c>
      <c r="S745" s="2">
        <v>46174.26766203704</v>
      </c>
      <c r="T745" s="5">
        <v>6.9791666666666665E-3</v>
      </c>
      <c r="U745" s="4">
        <v>0</v>
      </c>
      <c r="V745" s="4" t="s">
        <v>616</v>
      </c>
      <c r="W745" s="4" t="s">
        <v>614</v>
      </c>
      <c r="X745" s="6" t="s">
        <v>617</v>
      </c>
    </row>
    <row r="746" spans="1:24">
      <c r="A746" s="4" t="s">
        <v>869</v>
      </c>
      <c r="B746" s="4" t="s">
        <v>870</v>
      </c>
      <c r="D746" s="4" t="s">
        <v>716</v>
      </c>
      <c r="E746" s="4" t="s">
        <v>717</v>
      </c>
      <c r="M746" s="4" t="s">
        <v>645</v>
      </c>
      <c r="N746" s="4">
        <v>-71.636698600550005</v>
      </c>
      <c r="O746" s="4">
        <v>3.7843154047974998</v>
      </c>
      <c r="P746" s="4" t="s">
        <v>718</v>
      </c>
      <c r="Q746" s="4" t="s">
        <v>719</v>
      </c>
      <c r="R746" s="4" t="s">
        <v>720</v>
      </c>
      <c r="S746" s="2">
        <v>46174.291047118058</v>
      </c>
      <c r="T746" s="5">
        <v>3.0355324074074074E-4</v>
      </c>
      <c r="U746" s="4">
        <v>0.1828467845916748</v>
      </c>
      <c r="V746" s="4" t="s">
        <v>751</v>
      </c>
      <c r="W746" s="4" t="s">
        <v>645</v>
      </c>
      <c r="X746" s="6" t="s">
        <v>617</v>
      </c>
    </row>
    <row r="747" spans="1:24">
      <c r="A747" s="4" t="s">
        <v>869</v>
      </c>
      <c r="B747" s="4" t="s">
        <v>870</v>
      </c>
      <c r="D747" s="4" t="s">
        <v>716</v>
      </c>
      <c r="E747" s="4" t="s">
        <v>717</v>
      </c>
      <c r="M747" s="4" t="s">
        <v>645</v>
      </c>
      <c r="N747" s="4">
        <v>-71.626394500800004</v>
      </c>
      <c r="O747" s="4">
        <v>3.7809590640799997</v>
      </c>
      <c r="P747" s="4" t="s">
        <v>739</v>
      </c>
      <c r="Q747" s="4" t="s">
        <v>740</v>
      </c>
      <c r="R747" s="4" t="s">
        <v>730</v>
      </c>
      <c r="S747" s="2">
        <v>46174.293493333331</v>
      </c>
      <c r="T747" s="5">
        <v>1.7175925925925926E-5</v>
      </c>
      <c r="U747" s="4">
        <v>7.9478109255433083E-3</v>
      </c>
      <c r="V747" s="4" t="s">
        <v>725</v>
      </c>
      <c r="W747" s="4" t="s">
        <v>645</v>
      </c>
      <c r="X747" s="6" t="s">
        <v>617</v>
      </c>
    </row>
    <row r="748" spans="1:24">
      <c r="A748" s="4" t="s">
        <v>869</v>
      </c>
      <c r="B748" s="4" t="s">
        <v>870</v>
      </c>
      <c r="D748" s="4" t="s">
        <v>716</v>
      </c>
      <c r="E748" s="4" t="s">
        <v>717</v>
      </c>
      <c r="M748" s="4" t="s">
        <v>645</v>
      </c>
      <c r="N748" s="4">
        <v>-71.626251199999999</v>
      </c>
      <c r="O748" s="4">
        <v>3.78095794</v>
      </c>
      <c r="P748" s="4" t="s">
        <v>770</v>
      </c>
      <c r="Q748" s="4" t="s">
        <v>740</v>
      </c>
      <c r="R748" s="4" t="s">
        <v>730</v>
      </c>
      <c r="S748" s="2">
        <v>46174.293541666666</v>
      </c>
      <c r="T748" s="5">
        <v>1.2942129629629629E-4</v>
      </c>
      <c r="U748" s="4">
        <v>5.0172466784715652E-2</v>
      </c>
      <c r="V748" s="4" t="s">
        <v>741</v>
      </c>
      <c r="W748" s="4" t="s">
        <v>645</v>
      </c>
      <c r="X748" s="6" t="s">
        <v>617</v>
      </c>
    </row>
    <row r="749" spans="1:24">
      <c r="A749" s="4" t="s">
        <v>869</v>
      </c>
      <c r="B749" s="4" t="s">
        <v>870</v>
      </c>
      <c r="D749" s="4" t="s">
        <v>716</v>
      </c>
      <c r="E749" s="4" t="s">
        <v>717</v>
      </c>
      <c r="M749" s="4" t="s">
        <v>645</v>
      </c>
      <c r="N749" s="4">
        <v>-71.625694299999992</v>
      </c>
      <c r="O749" s="4">
        <v>3.7809961999999997</v>
      </c>
      <c r="P749" s="4" t="s">
        <v>759</v>
      </c>
      <c r="Q749" s="4" t="s">
        <v>760</v>
      </c>
      <c r="R749" s="4" t="s">
        <v>730</v>
      </c>
      <c r="S749" s="2">
        <v>46174.293726851851</v>
      </c>
      <c r="T749" s="5">
        <v>9.0914351851851857E-5</v>
      </c>
      <c r="U749" s="4">
        <v>4.0818806737661362E-2</v>
      </c>
      <c r="V749" s="4" t="s">
        <v>721</v>
      </c>
      <c r="W749" s="4" t="s">
        <v>645</v>
      </c>
      <c r="X749" s="6" t="s">
        <v>617</v>
      </c>
    </row>
    <row r="750" spans="1:24">
      <c r="A750" s="4" t="s">
        <v>869</v>
      </c>
      <c r="B750" s="4" t="s">
        <v>870</v>
      </c>
      <c r="D750" s="4" t="s">
        <v>716</v>
      </c>
      <c r="E750" s="4" t="s">
        <v>717</v>
      </c>
      <c r="M750" s="4" t="s">
        <v>685</v>
      </c>
      <c r="N750" s="4">
        <v>-71.622420419250005</v>
      </c>
      <c r="O750" s="4">
        <v>3.7805737908450001</v>
      </c>
      <c r="P750" s="4" t="s">
        <v>734</v>
      </c>
      <c r="Q750" s="4" t="s">
        <v>735</v>
      </c>
      <c r="R750" s="4" t="s">
        <v>730</v>
      </c>
      <c r="S750" s="2">
        <v>46174.294615486113</v>
      </c>
      <c r="T750" s="5">
        <v>1.0532407407407408E-6</v>
      </c>
      <c r="U750" s="4">
        <v>1.4880055096000433E-4</v>
      </c>
      <c r="V750" s="4" t="s">
        <v>871</v>
      </c>
      <c r="W750" s="4" t="s">
        <v>685</v>
      </c>
      <c r="X750" s="6" t="s">
        <v>617</v>
      </c>
    </row>
    <row r="751" spans="1:24">
      <c r="A751" s="4" t="s">
        <v>869</v>
      </c>
      <c r="B751" s="4" t="s">
        <v>870</v>
      </c>
      <c r="D751" s="4" t="s">
        <v>716</v>
      </c>
      <c r="E751" s="4" t="s">
        <v>717</v>
      </c>
      <c r="M751" s="4" t="s">
        <v>645</v>
      </c>
      <c r="N751" s="4">
        <v>-71.625368088499997</v>
      </c>
      <c r="O751" s="4">
        <v>3.7810465553000001</v>
      </c>
      <c r="P751" s="4" t="s">
        <v>759</v>
      </c>
      <c r="Q751" s="4" t="s">
        <v>760</v>
      </c>
      <c r="R751" s="4" t="s">
        <v>730</v>
      </c>
      <c r="S751" s="2">
        <v>46174.303738946757</v>
      </c>
      <c r="T751" s="5">
        <v>7.8182870370370372E-5</v>
      </c>
      <c r="U751" s="4">
        <v>2.9827231541275978E-2</v>
      </c>
      <c r="V751" s="4" t="s">
        <v>738</v>
      </c>
      <c r="W751" s="4" t="s">
        <v>645</v>
      </c>
      <c r="X751" s="6" t="s">
        <v>617</v>
      </c>
    </row>
    <row r="752" spans="1:24">
      <c r="A752" s="4" t="s">
        <v>869</v>
      </c>
      <c r="B752" s="4" t="s">
        <v>870</v>
      </c>
      <c r="D752" s="4" t="s">
        <v>716</v>
      </c>
      <c r="E752" s="4" t="s">
        <v>717</v>
      </c>
      <c r="M752" s="4" t="s">
        <v>645</v>
      </c>
      <c r="N752" s="4">
        <v>-71.625701899999996</v>
      </c>
      <c r="O752" s="4">
        <v>3.78099132</v>
      </c>
      <c r="P752" s="4" t="s">
        <v>759</v>
      </c>
      <c r="Q752" s="4" t="s">
        <v>760</v>
      </c>
      <c r="R752" s="4" t="s">
        <v>730</v>
      </c>
      <c r="S752" s="2">
        <v>46174.303854166668</v>
      </c>
      <c r="T752" s="5">
        <v>1.8885416666666668E-4</v>
      </c>
      <c r="U752" s="4">
        <v>7.4690744280815125E-2</v>
      </c>
      <c r="V752" s="4" t="s">
        <v>721</v>
      </c>
      <c r="W752" s="4" t="s">
        <v>645</v>
      </c>
      <c r="X752" s="6" t="s">
        <v>617</v>
      </c>
    </row>
    <row r="753" spans="1:24">
      <c r="A753" s="4" t="s">
        <v>869</v>
      </c>
      <c r="B753" s="4" t="s">
        <v>870</v>
      </c>
      <c r="D753" s="4" t="s">
        <v>716</v>
      </c>
      <c r="E753" s="4" t="s">
        <v>717</v>
      </c>
      <c r="M753" s="4" t="s">
        <v>645</v>
      </c>
      <c r="N753" s="4">
        <v>-71.635059905593749</v>
      </c>
      <c r="O753" s="4">
        <v>3.7842928228256252</v>
      </c>
      <c r="P753" s="4" t="s">
        <v>718</v>
      </c>
      <c r="Q753" s="4" t="s">
        <v>719</v>
      </c>
      <c r="R753" s="4" t="s">
        <v>720</v>
      </c>
      <c r="S753" s="2">
        <v>46174.306274467592</v>
      </c>
      <c r="T753" s="5">
        <v>3.3893518518518517E-4</v>
      </c>
      <c r="U753" s="4">
        <v>0.18281686305999756</v>
      </c>
      <c r="V753" s="4" t="s">
        <v>750</v>
      </c>
      <c r="W753" s="4" t="s">
        <v>645</v>
      </c>
      <c r="X753" s="6" t="s">
        <v>617</v>
      </c>
    </row>
    <row r="754" spans="1:24">
      <c r="A754" s="4" t="s">
        <v>869</v>
      </c>
      <c r="B754" s="4" t="s">
        <v>870</v>
      </c>
      <c r="D754" s="4" t="s">
        <v>716</v>
      </c>
      <c r="E754" s="4" t="s">
        <v>717</v>
      </c>
      <c r="M754" s="4" t="s">
        <v>685</v>
      </c>
      <c r="N754" s="4">
        <v>-71.774988082500002</v>
      </c>
      <c r="O754" s="4">
        <v>3.7530192601799999</v>
      </c>
      <c r="P754" s="4" t="s">
        <v>872</v>
      </c>
      <c r="Q754" s="4" t="s">
        <v>743</v>
      </c>
      <c r="R754" s="4" t="s">
        <v>730</v>
      </c>
      <c r="S754" s="2">
        <v>46174.348861585648</v>
      </c>
      <c r="T754" s="5">
        <v>1.3541666666666667E-6</v>
      </c>
      <c r="U754" s="4">
        <v>8.7359303142875433E-4</v>
      </c>
      <c r="V754" s="4" t="s">
        <v>873</v>
      </c>
      <c r="W754" s="4" t="s">
        <v>685</v>
      </c>
      <c r="X754" s="6" t="s">
        <v>617</v>
      </c>
    </row>
    <row r="755" spans="1:24">
      <c r="A755" s="4" t="s">
        <v>869</v>
      </c>
      <c r="B755" s="4" t="s">
        <v>870</v>
      </c>
      <c r="D755" s="4" t="s">
        <v>716</v>
      </c>
      <c r="E755" s="4" t="s">
        <v>717</v>
      </c>
      <c r="M755" s="4" t="s">
        <v>685</v>
      </c>
      <c r="N755" s="4">
        <v>-71.775015468333336</v>
      </c>
      <c r="O755" s="4">
        <v>3.7529936889288886</v>
      </c>
      <c r="P755" s="4" t="s">
        <v>872</v>
      </c>
      <c r="Q755" s="4" t="s">
        <v>743</v>
      </c>
      <c r="R755" s="4" t="s">
        <v>730</v>
      </c>
      <c r="S755" s="2">
        <v>46174.348868032408</v>
      </c>
      <c r="T755" s="5">
        <v>3.8194444444444445E-7</v>
      </c>
      <c r="U755" s="4">
        <v>2.4639803450554609E-4</v>
      </c>
      <c r="V755" s="4" t="s">
        <v>874</v>
      </c>
      <c r="W755" s="4" t="s">
        <v>685</v>
      </c>
      <c r="X755" s="6" t="s">
        <v>617</v>
      </c>
    </row>
    <row r="756" spans="1:24">
      <c r="A756" s="4" t="s">
        <v>869</v>
      </c>
      <c r="B756" s="4" t="s">
        <v>870</v>
      </c>
      <c r="D756" s="4" t="s">
        <v>716</v>
      </c>
      <c r="E756" s="4" t="s">
        <v>717</v>
      </c>
      <c r="M756" s="4" t="s">
        <v>614</v>
      </c>
      <c r="N756" s="4">
        <v>-71.776641799999993</v>
      </c>
      <c r="O756" s="4">
        <v>3.7365996799999999</v>
      </c>
      <c r="P756" s="4" t="s">
        <v>795</v>
      </c>
      <c r="Q756" s="4" t="s">
        <v>743</v>
      </c>
      <c r="R756" s="4" t="s">
        <v>730</v>
      </c>
      <c r="S756" s="2">
        <v>46174.352187500001</v>
      </c>
      <c r="T756" s="5">
        <v>1.4907407407407407E-2</v>
      </c>
      <c r="U756" s="4">
        <v>0</v>
      </c>
      <c r="V756" s="4" t="s">
        <v>616</v>
      </c>
      <c r="W756" s="4" t="s">
        <v>614</v>
      </c>
      <c r="X756" s="6" t="s">
        <v>617</v>
      </c>
    </row>
    <row r="757" spans="1:24">
      <c r="A757" s="4" t="s">
        <v>869</v>
      </c>
      <c r="B757" s="4" t="s">
        <v>870</v>
      </c>
      <c r="D757" s="4" t="s">
        <v>716</v>
      </c>
      <c r="E757" s="4" t="s">
        <v>717</v>
      </c>
      <c r="M757" s="4" t="s">
        <v>875</v>
      </c>
      <c r="N757" s="4">
        <v>-71.743047224333324</v>
      </c>
      <c r="O757" s="4">
        <v>3.7133641592666664</v>
      </c>
      <c r="P757" s="4" t="s">
        <v>876</v>
      </c>
      <c r="Q757" s="4" t="s">
        <v>877</v>
      </c>
      <c r="R757" s="4" t="s">
        <v>720</v>
      </c>
      <c r="S757" s="2">
        <v>46174.376458310187</v>
      </c>
      <c r="T757" s="5">
        <v>2.604398148148148E-4</v>
      </c>
      <c r="U757" s="4">
        <v>0.17772884666919708</v>
      </c>
      <c r="V757" s="4" t="s">
        <v>781</v>
      </c>
      <c r="W757" s="4" t="s">
        <v>875</v>
      </c>
      <c r="X757" s="6" t="s">
        <v>617</v>
      </c>
    </row>
    <row r="758" spans="1:24">
      <c r="A758" s="4" t="s">
        <v>869</v>
      </c>
      <c r="B758" s="4" t="s">
        <v>870</v>
      </c>
      <c r="D758" s="4" t="s">
        <v>716</v>
      </c>
      <c r="E758" s="4" t="s">
        <v>717</v>
      </c>
      <c r="M758" s="4" t="s">
        <v>875</v>
      </c>
      <c r="N758" s="4">
        <v>-71.740516621119994</v>
      </c>
      <c r="O758" s="4">
        <v>3.7128391192320001</v>
      </c>
      <c r="P758" s="4" t="s">
        <v>876</v>
      </c>
      <c r="Q758" s="4" t="s">
        <v>877</v>
      </c>
      <c r="R758" s="4" t="s">
        <v>720</v>
      </c>
      <c r="S758" s="2">
        <v>46174.377802858799</v>
      </c>
      <c r="T758" s="5">
        <v>1.7167824074074074E-4</v>
      </c>
      <c r="U758" s="4">
        <v>9.8442517220973969E-2</v>
      </c>
      <c r="V758" s="4" t="s">
        <v>789</v>
      </c>
      <c r="W758" s="4" t="s">
        <v>875</v>
      </c>
      <c r="X758" s="6" t="s">
        <v>617</v>
      </c>
    </row>
    <row r="759" spans="1:24">
      <c r="A759" s="4" t="s">
        <v>869</v>
      </c>
      <c r="B759" s="4" t="s">
        <v>870</v>
      </c>
      <c r="D759" s="4" t="s">
        <v>716</v>
      </c>
      <c r="E759" s="4" t="s">
        <v>717</v>
      </c>
      <c r="M759" s="4" t="s">
        <v>875</v>
      </c>
      <c r="N759" s="4">
        <v>-71.739228399999988</v>
      </c>
      <c r="O759" s="4">
        <v>3.7124852457142858</v>
      </c>
      <c r="P759" s="4" t="s">
        <v>876</v>
      </c>
      <c r="Q759" s="4" t="s">
        <v>877</v>
      </c>
      <c r="R759" s="4" t="s">
        <v>720</v>
      </c>
      <c r="S759" s="2">
        <v>46174.378113425926</v>
      </c>
      <c r="T759" s="5">
        <v>3.8194444444444446E-4</v>
      </c>
      <c r="U759" s="4">
        <v>0.2109622061252594</v>
      </c>
      <c r="V759" s="4" t="s">
        <v>751</v>
      </c>
      <c r="W759" s="4" t="s">
        <v>875</v>
      </c>
      <c r="X759" s="6" t="s">
        <v>617</v>
      </c>
    </row>
    <row r="760" spans="1:24">
      <c r="A760" s="4" t="s">
        <v>869</v>
      </c>
      <c r="B760" s="4" t="s">
        <v>870</v>
      </c>
      <c r="D760" s="4" t="s">
        <v>716</v>
      </c>
      <c r="E760" s="4" t="s">
        <v>717</v>
      </c>
      <c r="M760" s="4" t="s">
        <v>875</v>
      </c>
      <c r="N760" s="4">
        <v>-71.736737584469225</v>
      </c>
      <c r="O760" s="4">
        <v>3.7116513290184616</v>
      </c>
      <c r="P760" s="4" t="s">
        <v>876</v>
      </c>
      <c r="Q760" s="4" t="s">
        <v>877</v>
      </c>
      <c r="R760" s="4" t="s">
        <v>720</v>
      </c>
      <c r="S760" s="2">
        <v>46174.378684409719</v>
      </c>
      <c r="T760" s="5">
        <v>3.3519675925925926E-4</v>
      </c>
      <c r="U760" s="4">
        <v>0.24575473368167877</v>
      </c>
      <c r="V760" s="4" t="s">
        <v>780</v>
      </c>
      <c r="W760" s="4" t="s">
        <v>875</v>
      </c>
      <c r="X760" s="6" t="s">
        <v>617</v>
      </c>
    </row>
    <row r="761" spans="1:24">
      <c r="A761" s="4" t="s">
        <v>869</v>
      </c>
      <c r="B761" s="4" t="s">
        <v>870</v>
      </c>
      <c r="D761" s="4" t="s">
        <v>716</v>
      </c>
      <c r="E761" s="4" t="s">
        <v>717</v>
      </c>
      <c r="M761" s="4" t="s">
        <v>757</v>
      </c>
      <c r="N761" s="4">
        <v>-71.733350922820009</v>
      </c>
      <c r="O761" s="4">
        <v>3.7105159750599999</v>
      </c>
      <c r="P761" s="4" t="s">
        <v>795</v>
      </c>
      <c r="Q761" s="4" t="s">
        <v>743</v>
      </c>
      <c r="R761" s="4" t="s">
        <v>730</v>
      </c>
      <c r="S761" s="2">
        <v>46174.379257974535</v>
      </c>
      <c r="T761" s="5">
        <v>7.0729166666666667E-5</v>
      </c>
      <c r="U761" s="4">
        <v>6.8641439080238342E-2</v>
      </c>
      <c r="V761" s="4" t="s">
        <v>774</v>
      </c>
      <c r="W761" s="4" t="s">
        <v>757</v>
      </c>
      <c r="X761" s="6" t="s">
        <v>617</v>
      </c>
    </row>
    <row r="762" spans="1:24">
      <c r="A762" s="4" t="s">
        <v>869</v>
      </c>
      <c r="B762" s="4" t="s">
        <v>870</v>
      </c>
      <c r="D762" s="4" t="s">
        <v>716</v>
      </c>
      <c r="E762" s="4" t="s">
        <v>717</v>
      </c>
      <c r="M762" s="4" t="s">
        <v>757</v>
      </c>
      <c r="N762" s="4">
        <v>-71.729077000000004</v>
      </c>
      <c r="O762" s="4">
        <v>3.709328255</v>
      </c>
      <c r="P762" s="4" t="s">
        <v>795</v>
      </c>
      <c r="Q762" s="4" t="s">
        <v>743</v>
      </c>
      <c r="R762" s="4" t="s">
        <v>730</v>
      </c>
      <c r="S762" s="2">
        <v>46174.379959490841</v>
      </c>
      <c r="T762" s="5">
        <v>1.7361211111111111E-5</v>
      </c>
      <c r="U762" s="4">
        <v>1.4872548170387745E-2</v>
      </c>
      <c r="V762" s="4" t="s">
        <v>758</v>
      </c>
      <c r="W762" s="4" t="s">
        <v>757</v>
      </c>
      <c r="X762" s="6" t="s">
        <v>617</v>
      </c>
    </row>
    <row r="763" spans="1:24">
      <c r="A763" s="4" t="s">
        <v>869</v>
      </c>
      <c r="B763" s="4" t="s">
        <v>870</v>
      </c>
      <c r="D763" s="4" t="s">
        <v>716</v>
      </c>
      <c r="E763" s="4" t="s">
        <v>717</v>
      </c>
      <c r="M763" s="4" t="s">
        <v>685</v>
      </c>
      <c r="N763" s="4">
        <v>-71.724085852971427</v>
      </c>
      <c r="O763" s="4">
        <v>3.7078362610885716</v>
      </c>
      <c r="P763" s="4" t="s">
        <v>742</v>
      </c>
      <c r="Q763" s="4" t="s">
        <v>743</v>
      </c>
      <c r="R763" s="4" t="s">
        <v>730</v>
      </c>
      <c r="S763" s="2">
        <v>46174.381225613426</v>
      </c>
      <c r="T763" s="5">
        <v>1.5046296296296297E-7</v>
      </c>
      <c r="U763" s="4">
        <v>8.3301223639864475E-5</v>
      </c>
      <c r="V763" s="4" t="s">
        <v>878</v>
      </c>
      <c r="W763" s="4" t="s">
        <v>685</v>
      </c>
      <c r="X763" s="6" t="s">
        <v>617</v>
      </c>
    </row>
    <row r="764" spans="1:24">
      <c r="A764" s="4" t="s">
        <v>869</v>
      </c>
      <c r="B764" s="4" t="s">
        <v>870</v>
      </c>
      <c r="D764" s="4" t="s">
        <v>716</v>
      </c>
      <c r="E764" s="4" t="s">
        <v>717</v>
      </c>
      <c r="M764" s="4" t="s">
        <v>879</v>
      </c>
      <c r="N764" s="4">
        <v>-71.692207087900002</v>
      </c>
      <c r="O764" s="4">
        <v>3.71184259197</v>
      </c>
      <c r="P764" s="4" t="s">
        <v>795</v>
      </c>
      <c r="Q764" s="4" t="s">
        <v>743</v>
      </c>
      <c r="R764" s="4" t="s">
        <v>730</v>
      </c>
      <c r="S764" s="2">
        <v>46174.386268969909</v>
      </c>
      <c r="T764" s="5">
        <v>1.5046296296296296E-6</v>
      </c>
      <c r="U764" s="4">
        <v>1.2114604469388723E-3</v>
      </c>
      <c r="V764" s="4" t="s">
        <v>880</v>
      </c>
      <c r="W764" s="4" t="s">
        <v>879</v>
      </c>
      <c r="X764" s="6" t="s">
        <v>617</v>
      </c>
    </row>
    <row r="765" spans="1:24">
      <c r="A765" s="4" t="s">
        <v>869</v>
      </c>
      <c r="B765" s="4" t="s">
        <v>870</v>
      </c>
      <c r="D765" s="4" t="s">
        <v>716</v>
      </c>
      <c r="E765" s="4" t="s">
        <v>717</v>
      </c>
      <c r="M765" s="4" t="s">
        <v>685</v>
      </c>
      <c r="N765" s="4">
        <v>-71.692206584499999</v>
      </c>
      <c r="O765" s="4">
        <v>3.7118425633499998</v>
      </c>
      <c r="P765" s="4" t="s">
        <v>795</v>
      </c>
      <c r="Q765" s="4" t="s">
        <v>743</v>
      </c>
      <c r="R765" s="4" t="s">
        <v>730</v>
      </c>
      <c r="S765" s="2">
        <v>46174.386269039351</v>
      </c>
      <c r="T765" s="5">
        <v>1.3888888888888888E-7</v>
      </c>
      <c r="U765" s="4">
        <v>1.1182711750734597E-4</v>
      </c>
      <c r="V765" s="4" t="s">
        <v>881</v>
      </c>
      <c r="W765" s="4" t="s">
        <v>685</v>
      </c>
      <c r="X765" s="6" t="s">
        <v>617</v>
      </c>
    </row>
    <row r="766" spans="1:24">
      <c r="A766" s="4" t="s">
        <v>869</v>
      </c>
      <c r="B766" s="4" t="s">
        <v>870</v>
      </c>
      <c r="D766" s="4" t="s">
        <v>716</v>
      </c>
      <c r="E766" s="4" t="s">
        <v>717</v>
      </c>
      <c r="M766" s="4" t="s">
        <v>882</v>
      </c>
      <c r="N766" s="4">
        <v>-71.6922607421875</v>
      </c>
      <c r="O766" s="4">
        <v>3.7118456363677979</v>
      </c>
      <c r="P766" s="4" t="s">
        <v>795</v>
      </c>
      <c r="Q766" s="4" t="s">
        <v>743</v>
      </c>
      <c r="R766" s="4" t="s">
        <v>730</v>
      </c>
      <c r="S766" s="2">
        <v>46174.386269120369</v>
      </c>
      <c r="T766" s="5">
        <v>1.1689814814814815E-6</v>
      </c>
      <c r="U766" s="4">
        <v>9.4121159054338932E-4</v>
      </c>
      <c r="V766" s="4" t="s">
        <v>883</v>
      </c>
      <c r="W766" s="4" t="s">
        <v>882</v>
      </c>
      <c r="X766" s="6" t="s">
        <v>617</v>
      </c>
    </row>
    <row r="767" spans="1:24">
      <c r="A767" s="4" t="s">
        <v>869</v>
      </c>
      <c r="B767" s="4" t="s">
        <v>870</v>
      </c>
      <c r="D767" s="4" t="s">
        <v>716</v>
      </c>
      <c r="E767" s="4" t="s">
        <v>717</v>
      </c>
      <c r="M767" s="4" t="s">
        <v>685</v>
      </c>
      <c r="N767" s="4">
        <v>-71.692204570900003</v>
      </c>
      <c r="O767" s="4">
        <v>3.7118424488700001</v>
      </c>
      <c r="P767" s="4" t="s">
        <v>795</v>
      </c>
      <c r="Q767" s="4" t="s">
        <v>743</v>
      </c>
      <c r="R767" s="4" t="s">
        <v>730</v>
      </c>
      <c r="S767" s="2">
        <v>46174.386269317132</v>
      </c>
      <c r="T767" s="5">
        <v>6.712962962962963E-7</v>
      </c>
      <c r="U767" s="4">
        <v>5.4049771279096603E-4</v>
      </c>
      <c r="V767" s="4" t="s">
        <v>884</v>
      </c>
      <c r="W767" s="4" t="s">
        <v>685</v>
      </c>
      <c r="X767" s="6" t="s">
        <v>617</v>
      </c>
    </row>
    <row r="768" spans="1:24">
      <c r="A768" s="4" t="s">
        <v>869</v>
      </c>
      <c r="B768" s="4" t="s">
        <v>870</v>
      </c>
      <c r="D768" s="4" t="s">
        <v>716</v>
      </c>
      <c r="E768" s="4" t="s">
        <v>717</v>
      </c>
      <c r="M768" s="4" t="s">
        <v>733</v>
      </c>
      <c r="N768" s="4">
        <v>-71.692195593600005</v>
      </c>
      <c r="O768" s="4">
        <v>3.7118419384800001</v>
      </c>
      <c r="P768" s="4" t="s">
        <v>795</v>
      </c>
      <c r="Q768" s="4" t="s">
        <v>743</v>
      </c>
      <c r="R768" s="4" t="s">
        <v>730</v>
      </c>
      <c r="S768" s="2">
        <v>46174.386270555558</v>
      </c>
      <c r="T768" s="5">
        <v>6.0185185185185187E-7</v>
      </c>
      <c r="U768" s="4">
        <v>4.8458416131325066E-4</v>
      </c>
      <c r="V768" s="4" t="s">
        <v>885</v>
      </c>
      <c r="W768" s="4" t="s">
        <v>733</v>
      </c>
      <c r="X768" s="6" t="s">
        <v>617</v>
      </c>
    </row>
    <row r="769" spans="1:24">
      <c r="A769" s="4" t="s">
        <v>869</v>
      </c>
      <c r="B769" s="4" t="s">
        <v>870</v>
      </c>
      <c r="D769" s="4" t="s">
        <v>716</v>
      </c>
      <c r="E769" s="4" t="s">
        <v>717</v>
      </c>
      <c r="M769" s="4" t="s">
        <v>685</v>
      </c>
      <c r="N769" s="4">
        <v>-71.692192237599997</v>
      </c>
      <c r="O769" s="4">
        <v>3.7118417476799999</v>
      </c>
      <c r="P769" s="4" t="s">
        <v>795</v>
      </c>
      <c r="Q769" s="4" t="s">
        <v>743</v>
      </c>
      <c r="R769" s="4" t="s">
        <v>730</v>
      </c>
      <c r="S769" s="2">
        <v>46174.38627101852</v>
      </c>
      <c r="T769" s="5">
        <v>2.0833333333333333E-7</v>
      </c>
      <c r="U769" s="4">
        <v>1.6774068353697658E-4</v>
      </c>
      <c r="V769" s="4" t="s">
        <v>886</v>
      </c>
      <c r="W769" s="4" t="s">
        <v>685</v>
      </c>
      <c r="X769" s="6" t="s">
        <v>617</v>
      </c>
    </row>
    <row r="770" spans="1:24">
      <c r="A770" s="4" t="s">
        <v>869</v>
      </c>
      <c r="B770" s="4" t="s">
        <v>870</v>
      </c>
      <c r="D770" s="4" t="s">
        <v>716</v>
      </c>
      <c r="E770" s="4" t="s">
        <v>717</v>
      </c>
      <c r="M770" s="4" t="s">
        <v>879</v>
      </c>
      <c r="N770" s="4">
        <v>-71.692190224000001</v>
      </c>
      <c r="O770" s="4">
        <v>3.7118416332000002</v>
      </c>
      <c r="P770" s="4" t="s">
        <v>795</v>
      </c>
      <c r="Q770" s="4" t="s">
        <v>743</v>
      </c>
      <c r="R770" s="4" t="s">
        <v>730</v>
      </c>
      <c r="S770" s="2">
        <v>46174.386271296295</v>
      </c>
      <c r="T770" s="5">
        <v>3.0092592592592594E-7</v>
      </c>
      <c r="U770" s="4">
        <v>2.4229209520854056E-4</v>
      </c>
      <c r="V770" s="4" t="s">
        <v>887</v>
      </c>
      <c r="W770" s="4" t="s">
        <v>879</v>
      </c>
      <c r="X770" s="6" t="s">
        <v>617</v>
      </c>
    </row>
    <row r="771" spans="1:24">
      <c r="A771" s="4" t="s">
        <v>869</v>
      </c>
      <c r="B771" s="4" t="s">
        <v>870</v>
      </c>
      <c r="D771" s="4" t="s">
        <v>716</v>
      </c>
      <c r="E771" s="4" t="s">
        <v>717</v>
      </c>
      <c r="M771" s="4" t="s">
        <v>634</v>
      </c>
      <c r="N771" s="4">
        <v>-71.6922607421875</v>
      </c>
      <c r="O771" s="4">
        <v>3.7118456363677979</v>
      </c>
      <c r="P771" s="4" t="s">
        <v>795</v>
      </c>
      <c r="Q771" s="4" t="s">
        <v>743</v>
      </c>
      <c r="R771" s="4" t="s">
        <v>730</v>
      </c>
      <c r="S771" s="2">
        <v>46174.386271793985</v>
      </c>
      <c r="T771" s="5">
        <v>0</v>
      </c>
      <c r="U771" s="4">
        <v>0</v>
      </c>
      <c r="V771" s="4" t="s">
        <v>888</v>
      </c>
      <c r="W771" s="4" t="s">
        <v>634</v>
      </c>
      <c r="X771" s="6" t="s">
        <v>617</v>
      </c>
    </row>
    <row r="772" spans="1:24">
      <c r="A772" s="4" t="s">
        <v>869</v>
      </c>
      <c r="B772" s="4" t="s">
        <v>870</v>
      </c>
      <c r="D772" s="4" t="s">
        <v>716</v>
      </c>
      <c r="E772" s="4" t="s">
        <v>717</v>
      </c>
      <c r="M772" s="4" t="s">
        <v>625</v>
      </c>
      <c r="N772" s="4">
        <v>-71.692176799999999</v>
      </c>
      <c r="O772" s="4">
        <v>3.7118408700000001</v>
      </c>
      <c r="P772" s="4" t="s">
        <v>795</v>
      </c>
      <c r="Q772" s="4" t="s">
        <v>743</v>
      </c>
      <c r="R772" s="4" t="s">
        <v>730</v>
      </c>
      <c r="S772" s="2">
        <v>46174.386273148149</v>
      </c>
      <c r="T772" s="5">
        <v>1.1574074074074073E-5</v>
      </c>
      <c r="U772" s="4">
        <v>5.1011787727475166E-3</v>
      </c>
      <c r="V772" s="4" t="s">
        <v>627</v>
      </c>
      <c r="W772" s="4" t="s">
        <v>625</v>
      </c>
      <c r="X772" s="6" t="s">
        <v>617</v>
      </c>
    </row>
    <row r="773" spans="1:24">
      <c r="A773" s="4" t="s">
        <v>869</v>
      </c>
      <c r="B773" s="4" t="s">
        <v>870</v>
      </c>
      <c r="D773" s="4" t="s">
        <v>716</v>
      </c>
      <c r="E773" s="4" t="s">
        <v>717</v>
      </c>
      <c r="M773" s="4" t="s">
        <v>733</v>
      </c>
      <c r="N773" s="4">
        <v>-71.692174006200005</v>
      </c>
      <c r="O773" s="4">
        <v>3.71184113169</v>
      </c>
      <c r="P773" s="4" t="s">
        <v>795</v>
      </c>
      <c r="Q773" s="4" t="s">
        <v>743</v>
      </c>
      <c r="R773" s="4" t="s">
        <v>730</v>
      </c>
      <c r="S773" s="2">
        <v>46174.386273854165</v>
      </c>
      <c r="T773" s="5">
        <v>1.5972222222222221E-6</v>
      </c>
      <c r="U773" s="4">
        <v>7.0396263618022203E-4</v>
      </c>
      <c r="V773" s="4" t="s">
        <v>889</v>
      </c>
      <c r="W773" s="4" t="s">
        <v>733</v>
      </c>
      <c r="X773" s="6" t="s">
        <v>617</v>
      </c>
    </row>
    <row r="774" spans="1:24">
      <c r="A774" s="4" t="s">
        <v>869</v>
      </c>
      <c r="B774" s="4" t="s">
        <v>870</v>
      </c>
      <c r="D774" s="4" t="s">
        <v>716</v>
      </c>
      <c r="E774" s="4" t="s">
        <v>717</v>
      </c>
      <c r="M774" s="4" t="s">
        <v>685</v>
      </c>
      <c r="N774" s="4">
        <v>-71.692170571199995</v>
      </c>
      <c r="O774" s="4">
        <v>3.7118414534399999</v>
      </c>
      <c r="P774" s="4" t="s">
        <v>795</v>
      </c>
      <c r="Q774" s="4" t="s">
        <v>743</v>
      </c>
      <c r="R774" s="4" t="s">
        <v>730</v>
      </c>
      <c r="S774" s="2">
        <v>46174.386274722223</v>
      </c>
      <c r="T774" s="5">
        <v>1.5740740740740742E-6</v>
      </c>
      <c r="U774" s="4">
        <v>6.9376028841361403E-4</v>
      </c>
      <c r="V774" s="4" t="s">
        <v>890</v>
      </c>
      <c r="W774" s="4" t="s">
        <v>685</v>
      </c>
      <c r="X774" s="6" t="s">
        <v>617</v>
      </c>
    </row>
    <row r="775" spans="1:24">
      <c r="A775" s="4" t="s">
        <v>869</v>
      </c>
      <c r="B775" s="4" t="s">
        <v>870</v>
      </c>
      <c r="D775" s="4" t="s">
        <v>716</v>
      </c>
      <c r="E775" s="4" t="s">
        <v>717</v>
      </c>
      <c r="M775" s="4" t="s">
        <v>879</v>
      </c>
      <c r="N775" s="4">
        <v>-71.692157426600005</v>
      </c>
      <c r="O775" s="4">
        <v>3.7118426846700001</v>
      </c>
      <c r="P775" s="4" t="s">
        <v>795</v>
      </c>
      <c r="Q775" s="4" t="s">
        <v>743</v>
      </c>
      <c r="R775" s="4" t="s">
        <v>730</v>
      </c>
      <c r="S775" s="2">
        <v>46174.386278043981</v>
      </c>
      <c r="T775" s="5">
        <v>3.8541666666666669E-6</v>
      </c>
      <c r="U775" s="4">
        <v>1.6986924456432462E-3</v>
      </c>
      <c r="V775" s="4" t="s">
        <v>891</v>
      </c>
      <c r="W775" s="4" t="s">
        <v>879</v>
      </c>
      <c r="X775" s="6" t="s">
        <v>617</v>
      </c>
    </row>
    <row r="776" spans="1:24">
      <c r="A776" s="4" t="s">
        <v>869</v>
      </c>
      <c r="B776" s="4" t="s">
        <v>870</v>
      </c>
      <c r="D776" s="4" t="s">
        <v>716</v>
      </c>
      <c r="E776" s="4" t="s">
        <v>717</v>
      </c>
      <c r="M776" s="4" t="s">
        <v>879</v>
      </c>
      <c r="N776" s="4">
        <v>-71.692134893000002</v>
      </c>
      <c r="O776" s="4">
        <v>3.7118447953500002</v>
      </c>
      <c r="P776" s="4" t="s">
        <v>795</v>
      </c>
      <c r="Q776" s="4" t="s">
        <v>743</v>
      </c>
      <c r="R776" s="4" t="s">
        <v>730</v>
      </c>
      <c r="S776" s="2">
        <v>46174.386283738429</v>
      </c>
      <c r="T776" s="5">
        <v>2.4305555555555555E-7</v>
      </c>
      <c r="U776" s="4">
        <v>1.0712474613683298E-4</v>
      </c>
      <c r="V776" s="4" t="s">
        <v>892</v>
      </c>
      <c r="W776" s="4" t="s">
        <v>879</v>
      </c>
      <c r="X776" s="6" t="s">
        <v>617</v>
      </c>
    </row>
    <row r="777" spans="1:24">
      <c r="A777" s="4" t="s">
        <v>869</v>
      </c>
      <c r="B777" s="4" t="s">
        <v>870</v>
      </c>
      <c r="D777" s="4" t="s">
        <v>716</v>
      </c>
      <c r="E777" s="4" t="s">
        <v>717</v>
      </c>
      <c r="M777" s="4" t="s">
        <v>685</v>
      </c>
      <c r="N777" s="4">
        <v>-71.69213219080001</v>
      </c>
      <c r="O777" s="4">
        <v>3.7118450484600003</v>
      </c>
      <c r="P777" s="4" t="s">
        <v>795</v>
      </c>
      <c r="Q777" s="4" t="s">
        <v>743</v>
      </c>
      <c r="R777" s="4" t="s">
        <v>730</v>
      </c>
      <c r="S777" s="2">
        <v>46174.3862844213</v>
      </c>
      <c r="T777" s="5">
        <v>8.680555555555556E-7</v>
      </c>
      <c r="U777" s="4">
        <v>2.5668853777460754E-4</v>
      </c>
      <c r="V777" s="4" t="s">
        <v>893</v>
      </c>
      <c r="W777" s="4" t="s">
        <v>685</v>
      </c>
      <c r="X777" s="6" t="s">
        <v>617</v>
      </c>
    </row>
    <row r="778" spans="1:24">
      <c r="A778" s="4" t="s">
        <v>869</v>
      </c>
      <c r="B778" s="4" t="s">
        <v>870</v>
      </c>
      <c r="D778" s="4" t="s">
        <v>716</v>
      </c>
      <c r="E778" s="4" t="s">
        <v>717</v>
      </c>
      <c r="M778" s="4" t="s">
        <v>614</v>
      </c>
      <c r="N778" s="4">
        <v>-71.692108200000007</v>
      </c>
      <c r="O778" s="4">
        <v>3.7118439699999999</v>
      </c>
      <c r="P778" s="4" t="s">
        <v>795</v>
      </c>
      <c r="Q778" s="4" t="s">
        <v>743</v>
      </c>
      <c r="R778" s="4" t="s">
        <v>730</v>
      </c>
      <c r="S778" s="2">
        <v>46174.386296296296</v>
      </c>
      <c r="T778" s="5">
        <v>5.3944791666666663E-3</v>
      </c>
      <c r="U778" s="4">
        <v>2.7730644214898348E-3</v>
      </c>
      <c r="V778" s="4" t="s">
        <v>616</v>
      </c>
      <c r="W778" s="4" t="s">
        <v>614</v>
      </c>
      <c r="X778" s="6" t="s">
        <v>617</v>
      </c>
    </row>
    <row r="779" spans="1:24">
      <c r="A779" s="4" t="s">
        <v>869</v>
      </c>
      <c r="B779" s="4" t="s">
        <v>870</v>
      </c>
      <c r="D779" s="4" t="s">
        <v>716</v>
      </c>
      <c r="E779" s="4" t="s">
        <v>717</v>
      </c>
      <c r="M779" s="4" t="s">
        <v>614</v>
      </c>
      <c r="N779" s="4">
        <v>-71.692062399999998</v>
      </c>
      <c r="O779" s="4">
        <v>3.7118575599999999</v>
      </c>
      <c r="P779" s="4" t="s">
        <v>795</v>
      </c>
      <c r="Q779" s="4" t="s">
        <v>743</v>
      </c>
      <c r="R779" s="4" t="s">
        <v>730</v>
      </c>
      <c r="S779" s="2">
        <v>46174.453287037039</v>
      </c>
      <c r="T779" s="5">
        <v>4.5486111111111109E-3</v>
      </c>
      <c r="U779" s="4">
        <v>0</v>
      </c>
      <c r="V779" s="4" t="s">
        <v>616</v>
      </c>
      <c r="W779" s="4" t="s">
        <v>614</v>
      </c>
      <c r="X779" s="6" t="s">
        <v>617</v>
      </c>
    </row>
    <row r="780" spans="1:24">
      <c r="A780" s="4" t="s">
        <v>869</v>
      </c>
      <c r="B780" s="4" t="s">
        <v>870</v>
      </c>
      <c r="D780" s="4" t="s">
        <v>716</v>
      </c>
      <c r="E780" s="4" t="s">
        <v>717</v>
      </c>
      <c r="M780" s="4" t="s">
        <v>614</v>
      </c>
      <c r="N780" s="4">
        <v>-71.6920547</v>
      </c>
      <c r="O780" s="4">
        <v>3.7118520699999999</v>
      </c>
      <c r="P780" s="4" t="s">
        <v>795</v>
      </c>
      <c r="Q780" s="4" t="s">
        <v>743</v>
      </c>
      <c r="R780" s="4" t="s">
        <v>730</v>
      </c>
      <c r="S780" s="2">
        <v>46174.457962962966</v>
      </c>
      <c r="T780" s="5">
        <v>4.4119560185185182E-3</v>
      </c>
      <c r="U780" s="4">
        <v>2.4483667220920324E-3</v>
      </c>
      <c r="V780" s="4" t="s">
        <v>616</v>
      </c>
      <c r="W780" s="4" t="s">
        <v>614</v>
      </c>
      <c r="X780" s="6" t="s">
        <v>617</v>
      </c>
    </row>
    <row r="781" spans="1:24">
      <c r="A781" s="4" t="s">
        <v>894</v>
      </c>
      <c r="B781" s="4" t="s">
        <v>895</v>
      </c>
      <c r="D781" s="4" t="s">
        <v>716</v>
      </c>
      <c r="E781" s="4" t="s">
        <v>717</v>
      </c>
      <c r="F781" s="4" t="s">
        <v>896</v>
      </c>
      <c r="G781" s="4" t="s">
        <v>897</v>
      </c>
      <c r="H781" s="4" t="s">
        <v>898</v>
      </c>
      <c r="I781" s="4" t="s">
        <v>899</v>
      </c>
      <c r="J781" s="4" t="s">
        <v>900</v>
      </c>
      <c r="K781" s="4" t="s">
        <v>901</v>
      </c>
      <c r="L781" s="4"/>
      <c r="M781" s="4" t="s">
        <v>875</v>
      </c>
      <c r="N781" s="4">
        <v>-71.365371725000003</v>
      </c>
      <c r="O781" s="4">
        <v>3.7663705974999999</v>
      </c>
      <c r="P781" s="4" t="s">
        <v>902</v>
      </c>
      <c r="Q781" s="4" t="s">
        <v>877</v>
      </c>
      <c r="R781" s="4" t="s">
        <v>720</v>
      </c>
      <c r="S781" s="2">
        <v>46174.334120370368</v>
      </c>
      <c r="T781" s="5">
        <v>9.2592592592592588E-5</v>
      </c>
      <c r="U781" s="4">
        <v>5.4936978965997696E-2</v>
      </c>
      <c r="V781" s="4" t="s">
        <v>738</v>
      </c>
      <c r="W781" s="4" t="s">
        <v>875</v>
      </c>
      <c r="X781" s="6" t="s">
        <v>617</v>
      </c>
    </row>
    <row r="782" spans="1:24">
      <c r="A782" s="4" t="s">
        <v>894</v>
      </c>
      <c r="B782" s="4" t="s">
        <v>895</v>
      </c>
      <c r="D782" s="4" t="s">
        <v>716</v>
      </c>
      <c r="E782" s="4" t="s">
        <v>717</v>
      </c>
      <c r="F782" s="4" t="s">
        <v>896</v>
      </c>
      <c r="G782" s="4" t="s">
        <v>897</v>
      </c>
      <c r="H782" s="4" t="s">
        <v>898</v>
      </c>
      <c r="I782" s="4" t="s">
        <v>899</v>
      </c>
      <c r="J782" s="4" t="s">
        <v>900</v>
      </c>
      <c r="K782" s="4" t="s">
        <v>901</v>
      </c>
      <c r="L782" s="4"/>
      <c r="M782" s="4" t="s">
        <v>875</v>
      </c>
      <c r="N782" s="4">
        <v>-71.365425099999996</v>
      </c>
      <c r="O782" s="4">
        <v>3.7668612000000001</v>
      </c>
      <c r="P782" s="4" t="s">
        <v>902</v>
      </c>
      <c r="Q782" s="4" t="s">
        <v>877</v>
      </c>
      <c r="R782" s="4" t="s">
        <v>720</v>
      </c>
      <c r="S782" s="2">
        <v>46174.33421296296</v>
      </c>
      <c r="T782" s="5">
        <v>1.9675925925925926E-4</v>
      </c>
      <c r="U782" s="4">
        <v>0.10150705277919769</v>
      </c>
      <c r="V782" s="4" t="s">
        <v>751</v>
      </c>
      <c r="W782" s="4" t="s">
        <v>875</v>
      </c>
      <c r="X782" s="6" t="s">
        <v>617</v>
      </c>
    </row>
    <row r="783" spans="1:24">
      <c r="A783" s="4" t="s">
        <v>894</v>
      </c>
      <c r="B783" s="4" t="s">
        <v>895</v>
      </c>
      <c r="D783" s="4" t="s">
        <v>716</v>
      </c>
      <c r="E783" s="4" t="s">
        <v>717</v>
      </c>
      <c r="F783" s="4" t="s">
        <v>896</v>
      </c>
      <c r="G783" s="4" t="s">
        <v>897</v>
      </c>
      <c r="H783" s="4" t="s">
        <v>898</v>
      </c>
      <c r="I783" s="4" t="s">
        <v>899</v>
      </c>
      <c r="J783" s="4" t="s">
        <v>900</v>
      </c>
      <c r="K783" s="4" t="s">
        <v>901</v>
      </c>
      <c r="L783" s="4"/>
      <c r="M783" s="4" t="s">
        <v>875</v>
      </c>
      <c r="N783" s="4">
        <v>-71.365898099999995</v>
      </c>
      <c r="O783" s="4">
        <v>3.7675979100000001</v>
      </c>
      <c r="P783" s="4" t="s">
        <v>902</v>
      </c>
      <c r="Q783" s="4" t="s">
        <v>877</v>
      </c>
      <c r="R783" s="4" t="s">
        <v>720</v>
      </c>
      <c r="S783" s="2">
        <v>46174.334409722222</v>
      </c>
      <c r="T783" s="5">
        <v>2.7167824074074073E-4</v>
      </c>
      <c r="U783" s="4">
        <v>0.16190037131309509</v>
      </c>
      <c r="V783" s="4" t="s">
        <v>789</v>
      </c>
      <c r="W783" s="4" t="s">
        <v>875</v>
      </c>
      <c r="X783" s="6" t="s">
        <v>617</v>
      </c>
    </row>
    <row r="784" spans="1:24">
      <c r="A784" s="4" t="s">
        <v>894</v>
      </c>
      <c r="B784" s="4" t="s">
        <v>895</v>
      </c>
      <c r="D784" s="4" t="s">
        <v>716</v>
      </c>
      <c r="E784" s="4" t="s">
        <v>717</v>
      </c>
      <c r="F784" s="4" t="s">
        <v>896</v>
      </c>
      <c r="G784" s="4" t="s">
        <v>897</v>
      </c>
      <c r="H784" s="4" t="s">
        <v>898</v>
      </c>
      <c r="I784" s="4" t="s">
        <v>899</v>
      </c>
      <c r="J784" s="4" t="s">
        <v>900</v>
      </c>
      <c r="K784" s="4" t="s">
        <v>901</v>
      </c>
      <c r="L784" s="4"/>
      <c r="M784" s="4" t="s">
        <v>875</v>
      </c>
      <c r="N784" s="4">
        <v>-71.38198242</v>
      </c>
      <c r="O784" s="4">
        <v>3.7900671000000004</v>
      </c>
      <c r="P784" s="4" t="s">
        <v>903</v>
      </c>
      <c r="Q784" s="4" t="s">
        <v>877</v>
      </c>
      <c r="R784" s="4" t="s">
        <v>720</v>
      </c>
      <c r="S784" s="2">
        <v>46174.340293981484</v>
      </c>
      <c r="T784" s="5">
        <v>4.5833333333333332E-4</v>
      </c>
      <c r="U784" s="4">
        <v>0.24127280712127686</v>
      </c>
      <c r="V784" s="4" t="s">
        <v>738</v>
      </c>
      <c r="W784" s="4" t="s">
        <v>875</v>
      </c>
      <c r="X784" s="6" t="s">
        <v>617</v>
      </c>
    </row>
    <row r="785" spans="1:24">
      <c r="A785" s="4" t="s">
        <v>894</v>
      </c>
      <c r="B785" s="4" t="s">
        <v>895</v>
      </c>
      <c r="D785" s="4" t="s">
        <v>716</v>
      </c>
      <c r="E785" s="4" t="s">
        <v>717</v>
      </c>
      <c r="F785" s="4" t="s">
        <v>896</v>
      </c>
      <c r="G785" s="4" t="s">
        <v>897</v>
      </c>
      <c r="H785" s="4" t="s">
        <v>898</v>
      </c>
      <c r="I785" s="4" t="s">
        <v>899</v>
      </c>
      <c r="J785" s="4" t="s">
        <v>900</v>
      </c>
      <c r="K785" s="4" t="s">
        <v>901</v>
      </c>
      <c r="L785" s="4"/>
      <c r="M785" s="4" t="s">
        <v>875</v>
      </c>
      <c r="N785" s="4">
        <v>-71.382766699999991</v>
      </c>
      <c r="O785" s="4">
        <v>3.7924064399999997</v>
      </c>
      <c r="P785" s="4" t="s">
        <v>904</v>
      </c>
      <c r="Q785" s="4" t="s">
        <v>877</v>
      </c>
      <c r="R785" s="4" t="s">
        <v>720</v>
      </c>
      <c r="S785" s="2">
        <v>46174.340868055559</v>
      </c>
      <c r="T785" s="5">
        <v>1.1574074074074075E-4</v>
      </c>
      <c r="U785" s="4">
        <v>6.2248293310403824E-2</v>
      </c>
      <c r="V785" s="4" t="s">
        <v>751</v>
      </c>
      <c r="W785" s="4" t="s">
        <v>875</v>
      </c>
      <c r="X785" s="6" t="s">
        <v>617</v>
      </c>
    </row>
    <row r="786" spans="1:24">
      <c r="A786" s="4" t="s">
        <v>894</v>
      </c>
      <c r="B786" s="4" t="s">
        <v>895</v>
      </c>
      <c r="D786" s="4" t="s">
        <v>716</v>
      </c>
      <c r="E786" s="4" t="s">
        <v>717</v>
      </c>
      <c r="F786" s="4" t="s">
        <v>896</v>
      </c>
      <c r="G786" s="4" t="s">
        <v>897</v>
      </c>
      <c r="H786" s="4" t="s">
        <v>898</v>
      </c>
      <c r="I786" s="4" t="s">
        <v>899</v>
      </c>
      <c r="J786" s="4" t="s">
        <v>900</v>
      </c>
      <c r="K786" s="4" t="s">
        <v>901</v>
      </c>
      <c r="L786" s="4"/>
      <c r="M786" s="4" t="s">
        <v>875</v>
      </c>
      <c r="N786" s="4">
        <v>-71.383277899999996</v>
      </c>
      <c r="O786" s="4">
        <v>3.7926332999999999</v>
      </c>
      <c r="P786" s="4" t="s">
        <v>904</v>
      </c>
      <c r="Q786" s="4" t="s">
        <v>877</v>
      </c>
      <c r="R786" s="4" t="s">
        <v>720</v>
      </c>
      <c r="S786" s="2">
        <v>46174.340983796297</v>
      </c>
      <c r="T786" s="5">
        <v>1.6203703703703703E-4</v>
      </c>
      <c r="U786" s="4">
        <v>8.7798513472080231E-2</v>
      </c>
      <c r="V786" s="4" t="s">
        <v>750</v>
      </c>
      <c r="W786" s="4" t="s">
        <v>875</v>
      </c>
      <c r="X786" s="6" t="s">
        <v>617</v>
      </c>
    </row>
    <row r="787" spans="1:24">
      <c r="A787" s="4" t="s">
        <v>894</v>
      </c>
      <c r="B787" s="4" t="s">
        <v>895</v>
      </c>
      <c r="D787" s="4" t="s">
        <v>716</v>
      </c>
      <c r="E787" s="4" t="s">
        <v>717</v>
      </c>
      <c r="F787" s="4" t="s">
        <v>896</v>
      </c>
      <c r="G787" s="4" t="s">
        <v>897</v>
      </c>
      <c r="H787" s="4" t="s">
        <v>898</v>
      </c>
      <c r="I787" s="4" t="s">
        <v>899</v>
      </c>
      <c r="J787" s="4" t="s">
        <v>900</v>
      </c>
      <c r="K787" s="4" t="s">
        <v>901</v>
      </c>
      <c r="L787" s="4"/>
      <c r="M787" s="4" t="s">
        <v>875</v>
      </c>
      <c r="N787" s="4">
        <v>-71.384188540600007</v>
      </c>
      <c r="O787" s="4">
        <v>3.7931492719466671</v>
      </c>
      <c r="P787" s="4" t="s">
        <v>904</v>
      </c>
      <c r="Q787" s="4" t="s">
        <v>877</v>
      </c>
      <c r="R787" s="4" t="s">
        <v>720</v>
      </c>
      <c r="S787" s="2">
        <v>46174.341224745367</v>
      </c>
      <c r="T787" s="5">
        <v>5.6122685185185183E-5</v>
      </c>
      <c r="U787" s="4">
        <v>2.5325275957584381E-2</v>
      </c>
      <c r="V787" s="4" t="s">
        <v>750</v>
      </c>
      <c r="W787" s="4" t="s">
        <v>875</v>
      </c>
      <c r="X787" s="6" t="s">
        <v>617</v>
      </c>
    </row>
    <row r="788" spans="1:24">
      <c r="A788" s="4" t="s">
        <v>894</v>
      </c>
      <c r="B788" s="4" t="s">
        <v>895</v>
      </c>
      <c r="D788" s="4" t="s">
        <v>716</v>
      </c>
      <c r="E788" s="4" t="s">
        <v>717</v>
      </c>
      <c r="F788" s="4" t="s">
        <v>896</v>
      </c>
      <c r="G788" s="4" t="s">
        <v>897</v>
      </c>
      <c r="H788" s="4" t="s">
        <v>898</v>
      </c>
      <c r="I788" s="4" t="s">
        <v>899</v>
      </c>
      <c r="J788" s="4" t="s">
        <v>900</v>
      </c>
      <c r="K788" s="4" t="s">
        <v>901</v>
      </c>
      <c r="L788" s="4"/>
      <c r="M788" s="4" t="s">
        <v>875</v>
      </c>
      <c r="N788" s="4">
        <v>-71.384471899999994</v>
      </c>
      <c r="O788" s="4">
        <v>3.7933717949999997</v>
      </c>
      <c r="P788" s="4" t="s">
        <v>904</v>
      </c>
      <c r="Q788" s="4" t="s">
        <v>877</v>
      </c>
      <c r="R788" s="4" t="s">
        <v>720</v>
      </c>
      <c r="S788" s="2">
        <v>46174.341319444444</v>
      </c>
      <c r="T788" s="5">
        <v>6.6134259259259258E-5</v>
      </c>
      <c r="U788" s="4">
        <v>3.1236970797181129E-2</v>
      </c>
      <c r="V788" s="4" t="s">
        <v>750</v>
      </c>
      <c r="W788" s="4" t="s">
        <v>875</v>
      </c>
      <c r="X788" s="6" t="s">
        <v>617</v>
      </c>
    </row>
    <row r="789" spans="1:24">
      <c r="A789" s="4" t="s">
        <v>894</v>
      </c>
      <c r="B789" s="4" t="s">
        <v>895</v>
      </c>
      <c r="D789" s="4" t="s">
        <v>716</v>
      </c>
      <c r="E789" s="4" t="s">
        <v>717</v>
      </c>
      <c r="F789" s="4" t="s">
        <v>896</v>
      </c>
      <c r="G789" s="4" t="s">
        <v>897</v>
      </c>
      <c r="H789" s="4" t="s">
        <v>898</v>
      </c>
      <c r="I789" s="4" t="s">
        <v>899</v>
      </c>
      <c r="J789" s="4" t="s">
        <v>900</v>
      </c>
      <c r="K789" s="4" t="s">
        <v>901</v>
      </c>
      <c r="L789" s="4"/>
      <c r="M789" s="4" t="s">
        <v>875</v>
      </c>
      <c r="N789" s="4">
        <v>-71.385135649999995</v>
      </c>
      <c r="O789" s="4">
        <v>3.7931636549999999</v>
      </c>
      <c r="P789" s="4" t="s">
        <v>905</v>
      </c>
      <c r="Q789" s="4" t="s">
        <v>877</v>
      </c>
      <c r="R789" s="4" t="s">
        <v>720</v>
      </c>
      <c r="S789" s="2">
        <v>46174.341487268619</v>
      </c>
      <c r="T789" s="5">
        <v>5.0428240740740743E-5</v>
      </c>
      <c r="U789" s="4">
        <v>2.5937601923942566E-2</v>
      </c>
      <c r="V789" s="4" t="s">
        <v>738</v>
      </c>
      <c r="W789" s="4" t="s">
        <v>875</v>
      </c>
      <c r="X789" s="6" t="s">
        <v>617</v>
      </c>
    </row>
    <row r="790" spans="1:24">
      <c r="A790" s="4" t="s">
        <v>894</v>
      </c>
      <c r="B790" s="4" t="s">
        <v>895</v>
      </c>
      <c r="D790" s="4" t="s">
        <v>716</v>
      </c>
      <c r="E790" s="4" t="s">
        <v>717</v>
      </c>
      <c r="F790" s="4" t="s">
        <v>896</v>
      </c>
      <c r="G790" s="4" t="s">
        <v>897</v>
      </c>
      <c r="H790" s="4" t="s">
        <v>898</v>
      </c>
      <c r="I790" s="4" t="s">
        <v>899</v>
      </c>
      <c r="J790" s="4" t="s">
        <v>900</v>
      </c>
      <c r="K790" s="4" t="s">
        <v>901</v>
      </c>
      <c r="L790" s="4"/>
      <c r="M790" s="4" t="s">
        <v>875</v>
      </c>
      <c r="N790" s="4">
        <v>-71.385737911199996</v>
      </c>
      <c r="O790" s="4">
        <v>3.79303593208</v>
      </c>
      <c r="P790" s="4" t="s">
        <v>905</v>
      </c>
      <c r="Q790" s="4" t="s">
        <v>877</v>
      </c>
      <c r="R790" s="4" t="s">
        <v>720</v>
      </c>
      <c r="S790" s="2">
        <v>46174.34164608796</v>
      </c>
      <c r="T790" s="5">
        <v>2.057638888888889E-4</v>
      </c>
      <c r="U790" s="4">
        <v>0.1082402765750885</v>
      </c>
      <c r="V790" s="4" t="s">
        <v>750</v>
      </c>
      <c r="W790" s="4" t="s">
        <v>875</v>
      </c>
      <c r="X790" s="6" t="s">
        <v>617</v>
      </c>
    </row>
    <row r="791" spans="1:24">
      <c r="A791" s="4" t="s">
        <v>894</v>
      </c>
      <c r="B791" s="4" t="s">
        <v>895</v>
      </c>
      <c r="D791" s="4" t="s">
        <v>716</v>
      </c>
      <c r="E791" s="4" t="s">
        <v>717</v>
      </c>
      <c r="F791" s="4" t="s">
        <v>896</v>
      </c>
      <c r="G791" s="4" t="s">
        <v>897</v>
      </c>
      <c r="H791" s="4" t="s">
        <v>898</v>
      </c>
      <c r="I791" s="4" t="s">
        <v>899</v>
      </c>
      <c r="J791" s="4" t="s">
        <v>900</v>
      </c>
      <c r="K791" s="4" t="s">
        <v>901</v>
      </c>
      <c r="L791" s="4"/>
      <c r="M791" s="4" t="s">
        <v>875</v>
      </c>
      <c r="N791" s="4">
        <v>-71.386711099999999</v>
      </c>
      <c r="O791" s="4">
        <v>3.7930164300000002</v>
      </c>
      <c r="P791" s="4" t="s">
        <v>905</v>
      </c>
      <c r="Q791" s="4" t="s">
        <v>877</v>
      </c>
      <c r="R791" s="4" t="s">
        <v>720</v>
      </c>
      <c r="S791" s="2">
        <v>46174.341851851852</v>
      </c>
      <c r="T791" s="5">
        <v>2.8739583333333335E-4</v>
      </c>
      <c r="U791" s="4">
        <v>0.19201041758060455</v>
      </c>
      <c r="V791" s="4" t="s">
        <v>763</v>
      </c>
      <c r="W791" s="4" t="s">
        <v>875</v>
      </c>
      <c r="X791" s="6" t="s">
        <v>617</v>
      </c>
    </row>
    <row r="792" spans="1:24">
      <c r="A792" s="4" t="s">
        <v>894</v>
      </c>
      <c r="B792" s="4" t="s">
        <v>895</v>
      </c>
      <c r="D792" s="4" t="s">
        <v>716</v>
      </c>
      <c r="E792" s="4" t="s">
        <v>717</v>
      </c>
      <c r="F792" s="4" t="s">
        <v>896</v>
      </c>
      <c r="G792" s="4" t="s">
        <v>897</v>
      </c>
      <c r="H792" s="4" t="s">
        <v>898</v>
      </c>
      <c r="I792" s="4" t="s">
        <v>899</v>
      </c>
      <c r="J792" s="4" t="s">
        <v>900</v>
      </c>
      <c r="K792" s="4" t="s">
        <v>901</v>
      </c>
      <c r="L792" s="4"/>
      <c r="M792" s="4" t="s">
        <v>875</v>
      </c>
      <c r="N792" s="4">
        <v>-71.419427115199994</v>
      </c>
      <c r="O792" s="4">
        <v>3.7944981228581818</v>
      </c>
      <c r="P792" s="4" t="s">
        <v>906</v>
      </c>
      <c r="Q792" s="4" t="s">
        <v>877</v>
      </c>
      <c r="R792" s="4" t="s">
        <v>720</v>
      </c>
      <c r="S792" s="2">
        <v>46174.347522476855</v>
      </c>
      <c r="T792" s="5">
        <v>7.3194444444444446E-4</v>
      </c>
      <c r="U792" s="4">
        <v>0.52862012386322021</v>
      </c>
      <c r="V792" s="4" t="s">
        <v>781</v>
      </c>
      <c r="W792" s="4" t="s">
        <v>875</v>
      </c>
      <c r="X792" s="6" t="s">
        <v>617</v>
      </c>
    </row>
    <row r="793" spans="1:24">
      <c r="A793" s="4" t="s">
        <v>894</v>
      </c>
      <c r="B793" s="4" t="s">
        <v>895</v>
      </c>
      <c r="D793" s="4" t="s">
        <v>716</v>
      </c>
      <c r="E793" s="4" t="s">
        <v>717</v>
      </c>
      <c r="F793" s="4" t="s">
        <v>896</v>
      </c>
      <c r="G793" s="4" t="s">
        <v>897</v>
      </c>
      <c r="H793" s="4" t="s">
        <v>898</v>
      </c>
      <c r="I793" s="4" t="s">
        <v>899</v>
      </c>
      <c r="J793" s="4" t="s">
        <v>900</v>
      </c>
      <c r="K793" s="4" t="s">
        <v>901</v>
      </c>
      <c r="L793" s="4"/>
      <c r="M793" s="4" t="s">
        <v>875</v>
      </c>
      <c r="N793" s="4">
        <v>-71.424674999999993</v>
      </c>
      <c r="O793" s="4">
        <v>3.7939803599999999</v>
      </c>
      <c r="P793" s="4" t="s">
        <v>907</v>
      </c>
      <c r="Q793" s="4" t="s">
        <v>877</v>
      </c>
      <c r="R793" s="4" t="s">
        <v>720</v>
      </c>
      <c r="S793" s="2">
        <v>46174.348425925928</v>
      </c>
      <c r="T793" s="5">
        <v>2.199074074074074E-4</v>
      </c>
      <c r="U793" s="4">
        <v>0.13188214600086212</v>
      </c>
      <c r="V793" s="4" t="s">
        <v>789</v>
      </c>
      <c r="W793" s="4" t="s">
        <v>875</v>
      </c>
      <c r="X793" s="6" t="s">
        <v>617</v>
      </c>
    </row>
    <row r="794" spans="1:24">
      <c r="A794" s="4" t="s">
        <v>894</v>
      </c>
      <c r="B794" s="4" t="s">
        <v>895</v>
      </c>
      <c r="D794" s="4" t="s">
        <v>716</v>
      </c>
      <c r="E794" s="4" t="s">
        <v>717</v>
      </c>
      <c r="F794" s="4" t="s">
        <v>896</v>
      </c>
      <c r="G794" s="4" t="s">
        <v>897</v>
      </c>
      <c r="H794" s="4" t="s">
        <v>898</v>
      </c>
      <c r="I794" s="4" t="s">
        <v>899</v>
      </c>
      <c r="J794" s="4" t="s">
        <v>900</v>
      </c>
      <c r="K794" s="4" t="s">
        <v>901</v>
      </c>
      <c r="L794" s="4"/>
      <c r="M794" s="4" t="s">
        <v>875</v>
      </c>
      <c r="N794" s="4">
        <v>-71.425895684739999</v>
      </c>
      <c r="O794" s="4">
        <v>3.7929782138750001</v>
      </c>
      <c r="P794" s="4" t="s">
        <v>908</v>
      </c>
      <c r="Q794" s="4" t="s">
        <v>877</v>
      </c>
      <c r="R794" s="4" t="s">
        <v>720</v>
      </c>
      <c r="S794" s="2">
        <v>46174.34874228009</v>
      </c>
      <c r="T794" s="5">
        <v>1.1574074074074075E-4</v>
      </c>
      <c r="U794" s="4">
        <v>5.7357858866453171E-2</v>
      </c>
      <c r="V794" s="4" t="s">
        <v>750</v>
      </c>
      <c r="W794" s="4" t="s">
        <v>875</v>
      </c>
      <c r="X794" s="6" t="s">
        <v>617</v>
      </c>
    </row>
    <row r="795" spans="1:24">
      <c r="A795" s="4" t="s">
        <v>894</v>
      </c>
      <c r="B795" s="4" t="s">
        <v>895</v>
      </c>
      <c r="D795" s="4" t="s">
        <v>716</v>
      </c>
      <c r="E795" s="4" t="s">
        <v>717</v>
      </c>
      <c r="F795" s="4" t="s">
        <v>896</v>
      </c>
      <c r="G795" s="4" t="s">
        <v>897</v>
      </c>
      <c r="H795" s="4" t="s">
        <v>898</v>
      </c>
      <c r="I795" s="4" t="s">
        <v>899</v>
      </c>
      <c r="J795" s="4" t="s">
        <v>900</v>
      </c>
      <c r="K795" s="4" t="s">
        <v>901</v>
      </c>
      <c r="L795" s="4"/>
      <c r="M795" s="4" t="s">
        <v>875</v>
      </c>
      <c r="N795" s="4">
        <v>-71.427223225000006</v>
      </c>
      <c r="O795" s="4">
        <v>3.792767585</v>
      </c>
      <c r="P795" s="4" t="s">
        <v>908</v>
      </c>
      <c r="Q795" s="4" t="s">
        <v>877</v>
      </c>
      <c r="R795" s="4" t="s">
        <v>720</v>
      </c>
      <c r="S795" s="2">
        <v>46174.349100115738</v>
      </c>
      <c r="T795" s="5">
        <v>1.0127314814814815E-4</v>
      </c>
      <c r="U795" s="4">
        <v>4.6146824955940247E-2</v>
      </c>
      <c r="V795" s="4" t="s">
        <v>738</v>
      </c>
      <c r="W795" s="4" t="s">
        <v>875</v>
      </c>
      <c r="X795" s="6" t="s">
        <v>617</v>
      </c>
    </row>
    <row r="796" spans="1:24">
      <c r="A796" s="4" t="s">
        <v>894</v>
      </c>
      <c r="B796" s="4" t="s">
        <v>895</v>
      </c>
      <c r="D796" s="4" t="s">
        <v>716</v>
      </c>
      <c r="E796" s="4" t="s">
        <v>717</v>
      </c>
      <c r="F796" s="4" t="s">
        <v>896</v>
      </c>
      <c r="G796" s="4" t="s">
        <v>897</v>
      </c>
      <c r="H796" s="4" t="s">
        <v>898</v>
      </c>
      <c r="I796" s="4" t="s">
        <v>899</v>
      </c>
      <c r="J796" s="4" t="s">
        <v>900</v>
      </c>
      <c r="K796" s="4" t="s">
        <v>901</v>
      </c>
      <c r="L796" s="4"/>
      <c r="M796" s="4" t="s">
        <v>757</v>
      </c>
      <c r="N796" s="4">
        <v>-71.475757188119999</v>
      </c>
      <c r="O796" s="4">
        <v>3.77972764599</v>
      </c>
      <c r="P796" s="4" t="s">
        <v>909</v>
      </c>
      <c r="Q796" s="4" t="s">
        <v>743</v>
      </c>
      <c r="R796" s="4" t="s">
        <v>730</v>
      </c>
      <c r="S796" s="2">
        <v>46174.404952418983</v>
      </c>
      <c r="T796" s="5">
        <v>3.6006944444444445E-5</v>
      </c>
      <c r="U796" s="4">
        <v>3.3617325127124786E-2</v>
      </c>
      <c r="V796" s="4" t="s">
        <v>774</v>
      </c>
      <c r="W796" s="4" t="s">
        <v>757</v>
      </c>
      <c r="X796" s="6" t="s">
        <v>617</v>
      </c>
    </row>
    <row r="797" spans="1:24">
      <c r="A797" s="4" t="s">
        <v>894</v>
      </c>
      <c r="B797" s="4" t="s">
        <v>895</v>
      </c>
      <c r="D797" s="4" t="s">
        <v>716</v>
      </c>
      <c r="E797" s="4" t="s">
        <v>717</v>
      </c>
      <c r="F797" s="4" t="s">
        <v>896</v>
      </c>
      <c r="G797" s="4" t="s">
        <v>897</v>
      </c>
      <c r="H797" s="4" t="s">
        <v>898</v>
      </c>
      <c r="I797" s="4" t="s">
        <v>899</v>
      </c>
      <c r="J797" s="4" t="s">
        <v>900</v>
      </c>
      <c r="K797" s="4" t="s">
        <v>901</v>
      </c>
      <c r="L797" s="4"/>
      <c r="M797" s="4" t="s">
        <v>757</v>
      </c>
      <c r="N797" s="4">
        <v>-71.485591900000003</v>
      </c>
      <c r="O797" s="4">
        <v>3.7766081099999997</v>
      </c>
      <c r="P797" s="4" t="s">
        <v>909</v>
      </c>
      <c r="Q797" s="4" t="s">
        <v>743</v>
      </c>
      <c r="R797" s="4" t="s">
        <v>730</v>
      </c>
      <c r="S797" s="2">
        <v>46174.4065625</v>
      </c>
      <c r="T797" s="5">
        <v>1.591435185185185E-5</v>
      </c>
      <c r="U797" s="4">
        <v>1.4947501942515373E-2</v>
      </c>
      <c r="V797" s="4" t="s">
        <v>758</v>
      </c>
      <c r="W797" s="4" t="s">
        <v>757</v>
      </c>
      <c r="X797" s="6" t="s">
        <v>617</v>
      </c>
    </row>
    <row r="798" spans="1:24">
      <c r="A798" s="4" t="s">
        <v>894</v>
      </c>
      <c r="B798" s="4" t="s">
        <v>895</v>
      </c>
      <c r="D798" s="4" t="s">
        <v>716</v>
      </c>
      <c r="E798" s="4" t="s">
        <v>717</v>
      </c>
      <c r="F798" s="4" t="s">
        <v>896</v>
      </c>
      <c r="G798" s="4" t="s">
        <v>897</v>
      </c>
      <c r="H798" s="4" t="s">
        <v>898</v>
      </c>
      <c r="I798" s="4" t="s">
        <v>899</v>
      </c>
      <c r="J798" s="4" t="s">
        <v>900</v>
      </c>
      <c r="K798" s="4" t="s">
        <v>901</v>
      </c>
      <c r="L798" s="4"/>
      <c r="M798" s="4" t="s">
        <v>757</v>
      </c>
      <c r="N798" s="4">
        <v>-71.490281679999995</v>
      </c>
      <c r="O798" s="4">
        <v>3.7738681779999999</v>
      </c>
      <c r="P798" s="4" t="s">
        <v>909</v>
      </c>
      <c r="Q798" s="4" t="s">
        <v>743</v>
      </c>
      <c r="R798" s="4" t="s">
        <v>730</v>
      </c>
      <c r="S798" s="2">
        <v>46174.407342592589</v>
      </c>
      <c r="T798" s="5">
        <v>4.9386574074074076E-5</v>
      </c>
      <c r="U798" s="4">
        <v>4.7104999423027039E-2</v>
      </c>
      <c r="V798" s="4" t="s">
        <v>774</v>
      </c>
      <c r="W798" s="4" t="s">
        <v>757</v>
      </c>
      <c r="X798" s="6" t="s">
        <v>617</v>
      </c>
    </row>
    <row r="799" spans="1:24">
      <c r="A799" s="4" t="s">
        <v>894</v>
      </c>
      <c r="B799" s="4" t="s">
        <v>895</v>
      </c>
      <c r="D799" s="4" t="s">
        <v>716</v>
      </c>
      <c r="E799" s="4" t="s">
        <v>717</v>
      </c>
      <c r="F799" s="4" t="s">
        <v>896</v>
      </c>
      <c r="G799" s="4" t="s">
        <v>897</v>
      </c>
      <c r="H799" s="4" t="s">
        <v>898</v>
      </c>
      <c r="I799" s="4" t="s">
        <v>899</v>
      </c>
      <c r="J799" s="4" t="s">
        <v>900</v>
      </c>
      <c r="K799" s="4" t="s">
        <v>901</v>
      </c>
      <c r="L799" s="4"/>
      <c r="M799" s="4" t="s">
        <v>757</v>
      </c>
      <c r="N799" s="4">
        <v>-71.49796678749999</v>
      </c>
      <c r="O799" s="4">
        <v>3.77302199375</v>
      </c>
      <c r="P799" s="4" t="s">
        <v>909</v>
      </c>
      <c r="Q799" s="4" t="s">
        <v>743</v>
      </c>
      <c r="R799" s="4" t="s">
        <v>730</v>
      </c>
      <c r="S799" s="2">
        <v>46174.408567708335</v>
      </c>
      <c r="T799" s="5">
        <v>4.3402777777777779E-5</v>
      </c>
      <c r="U799" s="4">
        <v>3.8767401129007339E-2</v>
      </c>
      <c r="V799" s="4" t="s">
        <v>758</v>
      </c>
      <c r="W799" s="4" t="s">
        <v>757</v>
      </c>
      <c r="X799" s="6" t="s">
        <v>617</v>
      </c>
    </row>
    <row r="800" spans="1:24">
      <c r="A800" s="4" t="s">
        <v>894</v>
      </c>
      <c r="B800" s="4" t="s">
        <v>895</v>
      </c>
      <c r="D800" s="4" t="s">
        <v>716</v>
      </c>
      <c r="E800" s="4" t="s">
        <v>717</v>
      </c>
      <c r="F800" s="4" t="s">
        <v>896</v>
      </c>
      <c r="G800" s="4" t="s">
        <v>897</v>
      </c>
      <c r="H800" s="4" t="s">
        <v>898</v>
      </c>
      <c r="I800" s="4" t="s">
        <v>899</v>
      </c>
      <c r="J800" s="4" t="s">
        <v>900</v>
      </c>
      <c r="K800" s="4" t="s">
        <v>901</v>
      </c>
      <c r="L800" s="4"/>
      <c r="M800" s="4" t="s">
        <v>757</v>
      </c>
      <c r="N800" s="4">
        <v>-71.505950900000002</v>
      </c>
      <c r="O800" s="4">
        <v>3.7637306449999999</v>
      </c>
      <c r="P800" s="4" t="s">
        <v>909</v>
      </c>
      <c r="Q800" s="4" t="s">
        <v>743</v>
      </c>
      <c r="R800" s="4" t="s">
        <v>730</v>
      </c>
      <c r="S800" s="2">
        <v>46174.410300925927</v>
      </c>
      <c r="T800" s="5">
        <v>6.172453703703704E-5</v>
      </c>
      <c r="U800" s="4">
        <v>5.7635240256786346E-2</v>
      </c>
      <c r="V800" s="4" t="s">
        <v>758</v>
      </c>
      <c r="W800" s="4" t="s">
        <v>757</v>
      </c>
      <c r="X800" s="6" t="s">
        <v>617</v>
      </c>
    </row>
    <row r="801" spans="1:24">
      <c r="A801" s="4" t="s">
        <v>894</v>
      </c>
      <c r="B801" s="4" t="s">
        <v>895</v>
      </c>
      <c r="D801" s="4" t="s">
        <v>716</v>
      </c>
      <c r="E801" s="4" t="s">
        <v>717</v>
      </c>
      <c r="F801" s="4" t="s">
        <v>896</v>
      </c>
      <c r="G801" s="4" t="s">
        <v>897</v>
      </c>
      <c r="H801" s="4" t="s">
        <v>898</v>
      </c>
      <c r="I801" s="4" t="s">
        <v>899</v>
      </c>
      <c r="J801" s="4" t="s">
        <v>900</v>
      </c>
      <c r="K801" s="4" t="s">
        <v>901</v>
      </c>
      <c r="L801" s="4"/>
      <c r="M801" s="4" t="s">
        <v>757</v>
      </c>
      <c r="N801" s="4">
        <v>-71.511127499999986</v>
      </c>
      <c r="O801" s="4">
        <v>3.75542986</v>
      </c>
      <c r="P801" s="4" t="s">
        <v>909</v>
      </c>
      <c r="Q801" s="4" t="s">
        <v>743</v>
      </c>
      <c r="R801" s="4" t="s">
        <v>730</v>
      </c>
      <c r="S801" s="2">
        <v>46174.411660879734</v>
      </c>
      <c r="T801" s="5">
        <v>6.3657507407407395E-5</v>
      </c>
      <c r="U801" s="4">
        <v>6.0702603310346603E-2</v>
      </c>
      <c r="V801" s="4" t="s">
        <v>758</v>
      </c>
      <c r="W801" s="4" t="s">
        <v>757</v>
      </c>
      <c r="X801" s="6" t="s">
        <v>617</v>
      </c>
    </row>
    <row r="802" spans="1:24">
      <c r="A802" s="4" t="s">
        <v>894</v>
      </c>
      <c r="B802" s="4" t="s">
        <v>895</v>
      </c>
      <c r="D802" s="4" t="s">
        <v>716</v>
      </c>
      <c r="E802" s="4" t="s">
        <v>717</v>
      </c>
      <c r="F802" s="4" t="s">
        <v>896</v>
      </c>
      <c r="G802" s="4" t="s">
        <v>897</v>
      </c>
      <c r="H802" s="4" t="s">
        <v>898</v>
      </c>
      <c r="I802" s="4" t="s">
        <v>899</v>
      </c>
      <c r="J802" s="4" t="s">
        <v>900</v>
      </c>
      <c r="K802" s="4" t="s">
        <v>901</v>
      </c>
      <c r="L802" s="4"/>
      <c r="M802" s="4" t="s">
        <v>757</v>
      </c>
      <c r="N802" s="4">
        <v>-71.520801575000007</v>
      </c>
      <c r="O802" s="4">
        <v>3.7479373799999998</v>
      </c>
      <c r="P802" s="4" t="s">
        <v>909</v>
      </c>
      <c r="Q802" s="4" t="s">
        <v>743</v>
      </c>
      <c r="R802" s="4" t="s">
        <v>730</v>
      </c>
      <c r="S802" s="2">
        <v>46174.413535879728</v>
      </c>
      <c r="T802" s="5">
        <v>5.7870370370370373E-5</v>
      </c>
      <c r="U802" s="4">
        <v>5.5021330714225769E-2</v>
      </c>
      <c r="V802" s="4" t="s">
        <v>758</v>
      </c>
      <c r="W802" s="4" t="s">
        <v>757</v>
      </c>
      <c r="X802" s="6" t="s">
        <v>617</v>
      </c>
    </row>
    <row r="803" spans="1:24">
      <c r="A803" s="4" t="s">
        <v>894</v>
      </c>
      <c r="B803" s="4" t="s">
        <v>895</v>
      </c>
      <c r="D803" s="4" t="s">
        <v>716</v>
      </c>
      <c r="E803" s="4" t="s">
        <v>717</v>
      </c>
      <c r="F803" s="4" t="s">
        <v>896</v>
      </c>
      <c r="G803" s="4" t="s">
        <v>897</v>
      </c>
      <c r="H803" s="4" t="s">
        <v>898</v>
      </c>
      <c r="I803" s="4" t="s">
        <v>899</v>
      </c>
      <c r="J803" s="4" t="s">
        <v>900</v>
      </c>
      <c r="K803" s="4" t="s">
        <v>901</v>
      </c>
      <c r="L803" s="4"/>
      <c r="M803" s="4" t="s">
        <v>757</v>
      </c>
      <c r="N803" s="4">
        <v>-71.532821650000002</v>
      </c>
      <c r="O803" s="4">
        <v>3.7464318250000002</v>
      </c>
      <c r="P803" s="4" t="s">
        <v>909</v>
      </c>
      <c r="Q803" s="4" t="s">
        <v>743</v>
      </c>
      <c r="R803" s="4" t="s">
        <v>730</v>
      </c>
      <c r="S803" s="2">
        <v>46174.415237268622</v>
      </c>
      <c r="T803" s="5">
        <v>6.3657507407407395E-5</v>
      </c>
      <c r="U803" s="4">
        <v>6.0709025710821152E-2</v>
      </c>
      <c r="V803" s="4" t="s">
        <v>758</v>
      </c>
      <c r="W803" s="4" t="s">
        <v>757</v>
      </c>
      <c r="X803" s="6" t="s">
        <v>617</v>
      </c>
    </row>
    <row r="804" spans="1:24">
      <c r="A804" s="4" t="s">
        <v>894</v>
      </c>
      <c r="B804" s="4" t="s">
        <v>895</v>
      </c>
      <c r="D804" s="4" t="s">
        <v>716</v>
      </c>
      <c r="E804" s="4" t="s">
        <v>717</v>
      </c>
      <c r="F804" s="4" t="s">
        <v>896</v>
      </c>
      <c r="G804" s="4" t="s">
        <v>897</v>
      </c>
      <c r="H804" s="4" t="s">
        <v>898</v>
      </c>
      <c r="I804" s="4" t="s">
        <v>899</v>
      </c>
      <c r="J804" s="4" t="s">
        <v>900</v>
      </c>
      <c r="K804" s="4" t="s">
        <v>901</v>
      </c>
      <c r="L804" s="4"/>
      <c r="M804" s="4" t="s">
        <v>757</v>
      </c>
      <c r="N804" s="4">
        <v>-71.535582384199998</v>
      </c>
      <c r="O804" s="4">
        <v>3.7455288625100001</v>
      </c>
      <c r="P804" s="4" t="s">
        <v>909</v>
      </c>
      <c r="Q804" s="4" t="s">
        <v>743</v>
      </c>
      <c r="R804" s="4" t="s">
        <v>730</v>
      </c>
      <c r="S804" s="2">
        <v>46174.415643182867</v>
      </c>
      <c r="T804" s="5">
        <v>3.9687500000000002E-5</v>
      </c>
      <c r="U804" s="4">
        <v>3.7477817386388779E-2</v>
      </c>
      <c r="V804" s="4" t="s">
        <v>774</v>
      </c>
      <c r="W804" s="4" t="s">
        <v>757</v>
      </c>
      <c r="X804" s="6" t="s">
        <v>617</v>
      </c>
    </row>
    <row r="805" spans="1:24">
      <c r="A805" s="4" t="s">
        <v>894</v>
      </c>
      <c r="B805" s="4" t="s">
        <v>895</v>
      </c>
      <c r="D805" s="4" t="s">
        <v>716</v>
      </c>
      <c r="E805" s="4" t="s">
        <v>717</v>
      </c>
      <c r="F805" s="4" t="s">
        <v>896</v>
      </c>
      <c r="G805" s="4" t="s">
        <v>897</v>
      </c>
      <c r="H805" s="4" t="s">
        <v>898</v>
      </c>
      <c r="I805" s="4" t="s">
        <v>899</v>
      </c>
      <c r="J805" s="4" t="s">
        <v>900</v>
      </c>
      <c r="K805" s="4" t="s">
        <v>901</v>
      </c>
      <c r="L805" s="4"/>
      <c r="M805" s="4" t="s">
        <v>757</v>
      </c>
      <c r="N805" s="4">
        <v>-71.538555174999999</v>
      </c>
      <c r="O805" s="4">
        <v>3.74330783</v>
      </c>
      <c r="P805" s="4" t="s">
        <v>909</v>
      </c>
      <c r="Q805" s="4" t="s">
        <v>743</v>
      </c>
      <c r="R805" s="4" t="s">
        <v>730</v>
      </c>
      <c r="S805" s="2">
        <v>46174.416105324177</v>
      </c>
      <c r="T805" s="5">
        <v>4.0509359259259258E-5</v>
      </c>
      <c r="U805" s="4">
        <v>3.8581281900405884E-2</v>
      </c>
      <c r="V805" s="4" t="s">
        <v>758</v>
      </c>
      <c r="W805" s="4" t="s">
        <v>757</v>
      </c>
      <c r="X805" s="6" t="s">
        <v>617</v>
      </c>
    </row>
    <row r="806" spans="1:24">
      <c r="A806" s="4" t="s">
        <v>894</v>
      </c>
      <c r="B806" s="4" t="s">
        <v>895</v>
      </c>
      <c r="D806" s="4" t="s">
        <v>716</v>
      </c>
      <c r="E806" s="4" t="s">
        <v>717</v>
      </c>
      <c r="F806" s="4" t="s">
        <v>896</v>
      </c>
      <c r="G806" s="4" t="s">
        <v>897</v>
      </c>
      <c r="H806" s="4" t="s">
        <v>898</v>
      </c>
      <c r="I806" s="4" t="s">
        <v>899</v>
      </c>
      <c r="J806" s="4" t="s">
        <v>900</v>
      </c>
      <c r="K806" s="4" t="s">
        <v>901</v>
      </c>
      <c r="L806" s="4"/>
      <c r="M806" s="4" t="s">
        <v>757</v>
      </c>
      <c r="N806" s="4">
        <v>-71.540542575000003</v>
      </c>
      <c r="O806" s="4">
        <v>3.7430601100000001</v>
      </c>
      <c r="P806" s="4" t="s">
        <v>909</v>
      </c>
      <c r="Q806" s="4" t="s">
        <v>743</v>
      </c>
      <c r="R806" s="4" t="s">
        <v>730</v>
      </c>
      <c r="S806" s="2">
        <v>46174.416359953808</v>
      </c>
      <c r="T806" s="5">
        <v>2.1215277777777779E-5</v>
      </c>
      <c r="U806" s="4">
        <v>1.9530633464455605E-2</v>
      </c>
      <c r="V806" s="4" t="s">
        <v>758</v>
      </c>
      <c r="W806" s="4" t="s">
        <v>757</v>
      </c>
      <c r="X806" s="6" t="s">
        <v>617</v>
      </c>
    </row>
    <row r="807" spans="1:24">
      <c r="A807" s="4" t="s">
        <v>894</v>
      </c>
      <c r="B807" s="4" t="s">
        <v>895</v>
      </c>
      <c r="D807" s="4" t="s">
        <v>716</v>
      </c>
      <c r="E807" s="4" t="s">
        <v>717</v>
      </c>
      <c r="F807" s="4" t="s">
        <v>896</v>
      </c>
      <c r="G807" s="4" t="s">
        <v>897</v>
      </c>
      <c r="H807" s="4" t="s">
        <v>898</v>
      </c>
      <c r="I807" s="4" t="s">
        <v>899</v>
      </c>
      <c r="J807" s="4" t="s">
        <v>900</v>
      </c>
      <c r="K807" s="4" t="s">
        <v>901</v>
      </c>
      <c r="L807" s="4"/>
      <c r="M807" s="4" t="s">
        <v>757</v>
      </c>
      <c r="N807" s="4">
        <v>-71.54284223336316</v>
      </c>
      <c r="O807" s="4">
        <v>3.7445574514610525</v>
      </c>
      <c r="P807" s="4" t="s">
        <v>909</v>
      </c>
      <c r="Q807" s="4" t="s">
        <v>743</v>
      </c>
      <c r="R807" s="4" t="s">
        <v>730</v>
      </c>
      <c r="S807" s="2">
        <v>46174.416729363424</v>
      </c>
      <c r="T807" s="5">
        <v>5.3043981481481483E-5</v>
      </c>
      <c r="U807" s="4">
        <v>4.6029746532440186E-2</v>
      </c>
      <c r="V807" s="4" t="s">
        <v>758</v>
      </c>
      <c r="W807" s="4" t="s">
        <v>757</v>
      </c>
      <c r="X807" s="6" t="s">
        <v>617</v>
      </c>
    </row>
    <row r="808" spans="1:24">
      <c r="A808" s="4" t="s">
        <v>894</v>
      </c>
      <c r="B808" s="4" t="s">
        <v>895</v>
      </c>
      <c r="D808" s="4" t="s">
        <v>716</v>
      </c>
      <c r="E808" s="4" t="s">
        <v>717</v>
      </c>
      <c r="F808" s="4" t="s">
        <v>896</v>
      </c>
      <c r="G808" s="4" t="s">
        <v>897</v>
      </c>
      <c r="H808" s="4" t="s">
        <v>898</v>
      </c>
      <c r="I808" s="4" t="s">
        <v>899</v>
      </c>
      <c r="J808" s="4" t="s">
        <v>900</v>
      </c>
      <c r="K808" s="4" t="s">
        <v>901</v>
      </c>
      <c r="L808" s="4"/>
      <c r="M808" s="4" t="s">
        <v>757</v>
      </c>
      <c r="N808" s="4">
        <v>-71.5445347</v>
      </c>
      <c r="O808" s="4">
        <v>3.7464511950000001</v>
      </c>
      <c r="P808" s="4" t="s">
        <v>909</v>
      </c>
      <c r="Q808" s="4" t="s">
        <v>743</v>
      </c>
      <c r="R808" s="4" t="s">
        <v>730</v>
      </c>
      <c r="S808" s="2">
        <v>46174.41705729167</v>
      </c>
      <c r="T808" s="5">
        <v>8.5844907407407406E-5</v>
      </c>
      <c r="U808" s="4">
        <v>8.0504536628723145E-2</v>
      </c>
      <c r="V808" s="4" t="s">
        <v>758</v>
      </c>
      <c r="W808" s="4" t="s">
        <v>757</v>
      </c>
      <c r="X808" s="6" t="s">
        <v>617</v>
      </c>
    </row>
    <row r="809" spans="1:24">
      <c r="A809" s="4" t="s">
        <v>894</v>
      </c>
      <c r="B809" s="4" t="s">
        <v>895</v>
      </c>
      <c r="D809" s="4" t="s">
        <v>716</v>
      </c>
      <c r="E809" s="4" t="s">
        <v>717</v>
      </c>
      <c r="F809" s="4" t="s">
        <v>896</v>
      </c>
      <c r="G809" s="4" t="s">
        <v>897</v>
      </c>
      <c r="H809" s="4" t="s">
        <v>898</v>
      </c>
      <c r="I809" s="4" t="s">
        <v>899</v>
      </c>
      <c r="J809" s="4" t="s">
        <v>900</v>
      </c>
      <c r="K809" s="4" t="s">
        <v>901</v>
      </c>
      <c r="L809" s="4"/>
      <c r="M809" s="4" t="s">
        <v>757</v>
      </c>
      <c r="N809" s="4">
        <v>-71.546493550000008</v>
      </c>
      <c r="O809" s="4">
        <v>3.747690795</v>
      </c>
      <c r="P809" s="4" t="s">
        <v>909</v>
      </c>
      <c r="Q809" s="4" t="s">
        <v>743</v>
      </c>
      <c r="R809" s="4" t="s">
        <v>730</v>
      </c>
      <c r="S809" s="2">
        <v>46174.417349537034</v>
      </c>
      <c r="T809" s="5">
        <v>2.199074074074074E-4</v>
      </c>
      <c r="U809" s="4">
        <v>0.2159443199634552</v>
      </c>
      <c r="V809" s="4" t="s">
        <v>774</v>
      </c>
      <c r="W809" s="4" t="s">
        <v>757</v>
      </c>
      <c r="X809" s="6" t="s">
        <v>617</v>
      </c>
    </row>
    <row r="810" spans="1:24">
      <c r="A810" s="4" t="s">
        <v>894</v>
      </c>
      <c r="B810" s="4" t="s">
        <v>895</v>
      </c>
      <c r="D810" s="4" t="s">
        <v>716</v>
      </c>
      <c r="E810" s="4" t="s">
        <v>717</v>
      </c>
      <c r="F810" s="4" t="s">
        <v>896</v>
      </c>
      <c r="G810" s="4" t="s">
        <v>897</v>
      </c>
      <c r="H810" s="4" t="s">
        <v>898</v>
      </c>
      <c r="I810" s="4" t="s">
        <v>899</v>
      </c>
      <c r="J810" s="4" t="s">
        <v>900</v>
      </c>
      <c r="K810" s="4" t="s">
        <v>901</v>
      </c>
      <c r="L810" s="4"/>
      <c r="M810" s="4" t="s">
        <v>757</v>
      </c>
      <c r="N810" s="4">
        <v>-71.553686793187495</v>
      </c>
      <c r="O810" s="4">
        <v>3.7589445030837503</v>
      </c>
      <c r="P810" s="4" t="s">
        <v>909</v>
      </c>
      <c r="Q810" s="4" t="s">
        <v>743</v>
      </c>
      <c r="R810" s="4" t="s">
        <v>730</v>
      </c>
      <c r="S810" s="2">
        <v>46174.419683645836</v>
      </c>
      <c r="T810" s="5">
        <v>2.7002314814814815E-5</v>
      </c>
      <c r="U810" s="4">
        <v>2.3982403799891472E-2</v>
      </c>
      <c r="V810" s="4" t="s">
        <v>758</v>
      </c>
      <c r="W810" s="4" t="s">
        <v>757</v>
      </c>
      <c r="X810" s="6" t="s">
        <v>617</v>
      </c>
    </row>
    <row r="811" spans="1:24">
      <c r="A811" s="4" t="s">
        <v>894</v>
      </c>
      <c r="B811" s="4" t="s">
        <v>895</v>
      </c>
      <c r="D811" s="4" t="s">
        <v>716</v>
      </c>
      <c r="E811" s="4" t="s">
        <v>717</v>
      </c>
      <c r="F811" s="4" t="s">
        <v>896</v>
      </c>
      <c r="G811" s="4" t="s">
        <v>897</v>
      </c>
      <c r="H811" s="4" t="s">
        <v>898</v>
      </c>
      <c r="I811" s="4" t="s">
        <v>899</v>
      </c>
      <c r="J811" s="4" t="s">
        <v>900</v>
      </c>
      <c r="K811" s="4" t="s">
        <v>901</v>
      </c>
      <c r="L811" s="4"/>
      <c r="M811" s="4" t="s">
        <v>757</v>
      </c>
      <c r="N811" s="4">
        <v>-71.555932333333345</v>
      </c>
      <c r="O811" s="4">
        <v>3.7612292733333335</v>
      </c>
      <c r="P811" s="4" t="s">
        <v>909</v>
      </c>
      <c r="Q811" s="4" t="s">
        <v>743</v>
      </c>
      <c r="R811" s="4" t="s">
        <v>730</v>
      </c>
      <c r="S811" s="2">
        <v>46174.420515046397</v>
      </c>
      <c r="T811" s="5">
        <v>2.8935285185185187E-5</v>
      </c>
      <c r="U811" s="4">
        <v>2.7636811137199402E-2</v>
      </c>
      <c r="V811" s="4" t="s">
        <v>758</v>
      </c>
      <c r="W811" s="4" t="s">
        <v>757</v>
      </c>
      <c r="X811" s="6" t="s">
        <v>617</v>
      </c>
    </row>
    <row r="812" spans="1:24">
      <c r="A812" s="4" t="s">
        <v>894</v>
      </c>
      <c r="B812" s="4" t="s">
        <v>895</v>
      </c>
      <c r="D812" s="4" t="s">
        <v>716</v>
      </c>
      <c r="E812" s="4" t="s">
        <v>717</v>
      </c>
      <c r="F812" s="4" t="s">
        <v>896</v>
      </c>
      <c r="G812" s="4" t="s">
        <v>897</v>
      </c>
      <c r="H812" s="4" t="s">
        <v>898</v>
      </c>
      <c r="I812" s="4" t="s">
        <v>899</v>
      </c>
      <c r="J812" s="4" t="s">
        <v>900</v>
      </c>
      <c r="K812" s="4" t="s">
        <v>901</v>
      </c>
      <c r="L812" s="4"/>
      <c r="M812" s="4" t="s">
        <v>757</v>
      </c>
      <c r="N812" s="4">
        <v>-71.55649185</v>
      </c>
      <c r="O812" s="4">
        <v>3.761856195</v>
      </c>
      <c r="P812" s="4" t="s">
        <v>909</v>
      </c>
      <c r="Q812" s="4" t="s">
        <v>743</v>
      </c>
      <c r="R812" s="4" t="s">
        <v>730</v>
      </c>
      <c r="S812" s="2">
        <v>46174.420613425929</v>
      </c>
      <c r="T812" s="5">
        <v>3.1517361111111112E-4</v>
      </c>
      <c r="U812" s="4">
        <v>0.29027923941612244</v>
      </c>
      <c r="V812" s="4" t="s">
        <v>758</v>
      </c>
      <c r="W812" s="4" t="s">
        <v>757</v>
      </c>
      <c r="X812" s="6" t="s">
        <v>617</v>
      </c>
    </row>
    <row r="813" spans="1:24">
      <c r="A813" s="4" t="s">
        <v>894</v>
      </c>
      <c r="B813" s="4" t="s">
        <v>895</v>
      </c>
      <c r="D813" s="4" t="s">
        <v>716</v>
      </c>
      <c r="E813" s="4" t="s">
        <v>717</v>
      </c>
      <c r="F813" s="4" t="s">
        <v>896</v>
      </c>
      <c r="G813" s="4" t="s">
        <v>897</v>
      </c>
      <c r="H813" s="4" t="s">
        <v>898</v>
      </c>
      <c r="I813" s="4" t="s">
        <v>899</v>
      </c>
      <c r="J813" s="4" t="s">
        <v>900</v>
      </c>
      <c r="K813" s="4" t="s">
        <v>901</v>
      </c>
      <c r="L813" s="4"/>
      <c r="M813" s="4" t="s">
        <v>757</v>
      </c>
      <c r="N813" s="4">
        <v>-71.570187199999992</v>
      </c>
      <c r="O813" s="4">
        <v>3.7734696871428572</v>
      </c>
      <c r="P813" s="4" t="s">
        <v>909</v>
      </c>
      <c r="Q813" s="4" t="s">
        <v>743</v>
      </c>
      <c r="R813" s="4" t="s">
        <v>730</v>
      </c>
      <c r="S813" s="2">
        <v>46174.423171296294</v>
      </c>
      <c r="T813" s="5">
        <v>1.0288194444444445E-4</v>
      </c>
      <c r="U813" s="4">
        <v>9.8906449973583221E-2</v>
      </c>
      <c r="V813" s="4" t="s">
        <v>778</v>
      </c>
      <c r="W813" s="4" t="s">
        <v>757</v>
      </c>
      <c r="X813" s="6" t="s">
        <v>617</v>
      </c>
    </row>
    <row r="814" spans="1:24">
      <c r="A814" s="4" t="s">
        <v>894</v>
      </c>
      <c r="B814" s="4" t="s">
        <v>895</v>
      </c>
      <c r="D814" s="4" t="s">
        <v>716</v>
      </c>
      <c r="E814" s="4" t="s">
        <v>717</v>
      </c>
      <c r="F814" s="4" t="s">
        <v>896</v>
      </c>
      <c r="G814" s="4" t="s">
        <v>897</v>
      </c>
      <c r="H814" s="4" t="s">
        <v>898</v>
      </c>
      <c r="I814" s="4" t="s">
        <v>899</v>
      </c>
      <c r="J814" s="4" t="s">
        <v>900</v>
      </c>
      <c r="K814" s="4" t="s">
        <v>901</v>
      </c>
      <c r="L814" s="4"/>
      <c r="M814" s="4" t="s">
        <v>757</v>
      </c>
      <c r="N814" s="4">
        <v>-71.572063462499997</v>
      </c>
      <c r="O814" s="4">
        <v>3.7754849462499998</v>
      </c>
      <c r="P814" s="4" t="s">
        <v>909</v>
      </c>
      <c r="Q814" s="4" t="s">
        <v>743</v>
      </c>
      <c r="R814" s="4" t="s">
        <v>730</v>
      </c>
      <c r="S814" s="2">
        <v>46174.423612557868</v>
      </c>
      <c r="T814" s="5">
        <v>2.4594907407407408E-5</v>
      </c>
      <c r="U814" s="4">
        <v>2.2559193894267082E-2</v>
      </c>
      <c r="V814" s="4" t="s">
        <v>758</v>
      </c>
      <c r="W814" s="4" t="s">
        <v>757</v>
      </c>
      <c r="X814" s="6" t="s">
        <v>617</v>
      </c>
    </row>
    <row r="815" spans="1:24">
      <c r="A815" s="4" t="s">
        <v>894</v>
      </c>
      <c r="B815" s="4" t="s">
        <v>895</v>
      </c>
      <c r="D815" s="4" t="s">
        <v>716</v>
      </c>
      <c r="E815" s="4" t="s">
        <v>717</v>
      </c>
      <c r="F815" s="4" t="s">
        <v>896</v>
      </c>
      <c r="G815" s="4" t="s">
        <v>897</v>
      </c>
      <c r="H815" s="4" t="s">
        <v>898</v>
      </c>
      <c r="I815" s="4" t="s">
        <v>899</v>
      </c>
      <c r="J815" s="4" t="s">
        <v>900</v>
      </c>
      <c r="K815" s="4" t="s">
        <v>901</v>
      </c>
      <c r="L815" s="4"/>
      <c r="M815" s="4" t="s">
        <v>757</v>
      </c>
      <c r="N815" s="4">
        <v>-71.611598219999991</v>
      </c>
      <c r="O815" s="4">
        <v>3.7778607879999999</v>
      </c>
      <c r="P815" s="4" t="s">
        <v>742</v>
      </c>
      <c r="Q815" s="4" t="s">
        <v>743</v>
      </c>
      <c r="R815" s="4" t="s">
        <v>730</v>
      </c>
      <c r="S815" s="2">
        <v>46174.432222222225</v>
      </c>
      <c r="T815" s="5">
        <v>8.4872685185185184E-5</v>
      </c>
      <c r="U815" s="4">
        <v>7.9879336059093475E-2</v>
      </c>
      <c r="V815" s="4" t="s">
        <v>774</v>
      </c>
      <c r="W815" s="4" t="s">
        <v>757</v>
      </c>
      <c r="X815" s="6" t="s">
        <v>617</v>
      </c>
    </row>
    <row r="816" spans="1:24">
      <c r="A816" s="4" t="s">
        <v>894</v>
      </c>
      <c r="B816" s="4" t="s">
        <v>895</v>
      </c>
      <c r="D816" s="4" t="s">
        <v>716</v>
      </c>
      <c r="E816" s="4" t="s">
        <v>717</v>
      </c>
      <c r="F816" s="4" t="s">
        <v>896</v>
      </c>
      <c r="G816" s="4" t="s">
        <v>897</v>
      </c>
      <c r="H816" s="4" t="s">
        <v>898</v>
      </c>
      <c r="I816" s="4" t="s">
        <v>899</v>
      </c>
      <c r="J816" s="4" t="s">
        <v>900</v>
      </c>
      <c r="K816" s="4" t="s">
        <v>901</v>
      </c>
      <c r="L816" s="4"/>
      <c r="M816" s="4" t="s">
        <v>762</v>
      </c>
      <c r="N816" s="4">
        <v>-71.621247879999999</v>
      </c>
      <c r="O816" s="4">
        <v>3.7806748419999998</v>
      </c>
      <c r="P816" s="4" t="s">
        <v>734</v>
      </c>
      <c r="Q816" s="4" t="s">
        <v>735</v>
      </c>
      <c r="R816" s="4" t="s">
        <v>730</v>
      </c>
      <c r="S816" s="2">
        <v>46174.433777777776</v>
      </c>
      <c r="T816" s="5">
        <v>1.4664351851851852E-5</v>
      </c>
      <c r="U816" s="4">
        <v>1.0485892184078693E-2</v>
      </c>
      <c r="V816" s="4" t="s">
        <v>763</v>
      </c>
      <c r="W816" s="4" t="s">
        <v>762</v>
      </c>
      <c r="X816" s="6" t="s">
        <v>617</v>
      </c>
    </row>
    <row r="817" spans="1:24">
      <c r="A817" s="4" t="s">
        <v>894</v>
      </c>
      <c r="B817" s="4" t="s">
        <v>895</v>
      </c>
      <c r="D817" s="4" t="s">
        <v>716</v>
      </c>
      <c r="E817" s="4" t="s">
        <v>717</v>
      </c>
      <c r="F817" s="4" t="s">
        <v>896</v>
      </c>
      <c r="G817" s="4" t="s">
        <v>897</v>
      </c>
      <c r="H817" s="4" t="s">
        <v>898</v>
      </c>
      <c r="I817" s="4" t="s">
        <v>899</v>
      </c>
      <c r="J817" s="4" t="s">
        <v>900</v>
      </c>
      <c r="K817" s="4" t="s">
        <v>901</v>
      </c>
      <c r="L817" s="4"/>
      <c r="M817" s="4" t="s">
        <v>645</v>
      </c>
      <c r="N817" s="4">
        <v>-71.625518631999995</v>
      </c>
      <c r="O817" s="4">
        <v>3.7810396144</v>
      </c>
      <c r="P817" s="4" t="s">
        <v>759</v>
      </c>
      <c r="Q817" s="4" t="s">
        <v>760</v>
      </c>
      <c r="R817" s="4" t="s">
        <v>730</v>
      </c>
      <c r="S817" s="2">
        <v>46174.434617129627</v>
      </c>
      <c r="T817" s="5">
        <v>3.1793981481481482E-5</v>
      </c>
      <c r="U817" s="4">
        <v>1.2454603798687458E-2</v>
      </c>
      <c r="V817" s="4" t="s">
        <v>761</v>
      </c>
      <c r="W817" s="4" t="s">
        <v>645</v>
      </c>
      <c r="X817" s="6" t="s">
        <v>617</v>
      </c>
    </row>
    <row r="818" spans="1:24">
      <c r="A818" s="4" t="s">
        <v>894</v>
      </c>
      <c r="B818" s="4" t="s">
        <v>895</v>
      </c>
      <c r="D818" s="4" t="s">
        <v>716</v>
      </c>
      <c r="E818" s="4" t="s">
        <v>717</v>
      </c>
      <c r="F818" s="4" t="s">
        <v>896</v>
      </c>
      <c r="G818" s="4" t="s">
        <v>897</v>
      </c>
      <c r="H818" s="4" t="s">
        <v>898</v>
      </c>
      <c r="I818" s="4" t="s">
        <v>899</v>
      </c>
      <c r="J818" s="4" t="s">
        <v>900</v>
      </c>
      <c r="K818" s="4" t="s">
        <v>901</v>
      </c>
      <c r="L818" s="4"/>
      <c r="M818" s="4" t="s">
        <v>645</v>
      </c>
      <c r="N818" s="4">
        <v>-71.625724810679998</v>
      </c>
      <c r="O818" s="4">
        <v>3.7810119790300001</v>
      </c>
      <c r="P818" s="4" t="s">
        <v>759</v>
      </c>
      <c r="Q818" s="4" t="s">
        <v>760</v>
      </c>
      <c r="R818" s="4" t="s">
        <v>730</v>
      </c>
      <c r="S818" s="2">
        <v>46174.434695219905</v>
      </c>
      <c r="T818" s="5">
        <v>1.3116898148148148E-4</v>
      </c>
      <c r="U818" s="4">
        <v>4.5757390558719635E-2</v>
      </c>
      <c r="V818" s="4" t="s">
        <v>725</v>
      </c>
      <c r="W818" s="4" t="s">
        <v>645</v>
      </c>
      <c r="X818" s="6" t="s">
        <v>617</v>
      </c>
    </row>
    <row r="819" spans="1:24">
      <c r="A819" s="4" t="s">
        <v>894</v>
      </c>
      <c r="B819" s="4" t="s">
        <v>895</v>
      </c>
      <c r="D819" s="4" t="s">
        <v>716</v>
      </c>
      <c r="E819" s="4" t="s">
        <v>717</v>
      </c>
      <c r="F819" s="4" t="s">
        <v>896</v>
      </c>
      <c r="G819" s="4" t="s">
        <v>897</v>
      </c>
      <c r="H819" s="4" t="s">
        <v>898</v>
      </c>
      <c r="I819" s="4" t="s">
        <v>899</v>
      </c>
      <c r="J819" s="4" t="s">
        <v>900</v>
      </c>
      <c r="K819" s="4" t="s">
        <v>901</v>
      </c>
      <c r="L819" s="4"/>
      <c r="M819" s="4" t="s">
        <v>645</v>
      </c>
      <c r="N819" s="4">
        <v>-71.626136799999998</v>
      </c>
      <c r="O819" s="4">
        <v>3.78099132</v>
      </c>
      <c r="P819" s="4" t="s">
        <v>770</v>
      </c>
      <c r="Q819" s="4" t="s">
        <v>740</v>
      </c>
      <c r="R819" s="4" t="s">
        <v>730</v>
      </c>
      <c r="S819" s="2">
        <v>46174.43482638889</v>
      </c>
      <c r="T819" s="5">
        <v>6.9444444444444444E-5</v>
      </c>
      <c r="U819" s="4">
        <v>2.0397009328007698E-2</v>
      </c>
      <c r="V819" s="4" t="s">
        <v>666</v>
      </c>
      <c r="W819" s="4" t="s">
        <v>645</v>
      </c>
      <c r="X819" s="6" t="s">
        <v>617</v>
      </c>
    </row>
    <row r="820" spans="1:24">
      <c r="A820" s="4" t="s">
        <v>894</v>
      </c>
      <c r="B820" s="4" t="s">
        <v>895</v>
      </c>
      <c r="D820" s="4" t="s">
        <v>716</v>
      </c>
      <c r="E820" s="4" t="s">
        <v>717</v>
      </c>
      <c r="F820" s="4" t="s">
        <v>896</v>
      </c>
      <c r="G820" s="4" t="s">
        <v>897</v>
      </c>
      <c r="H820" s="4" t="s">
        <v>898</v>
      </c>
      <c r="I820" s="4" t="s">
        <v>899</v>
      </c>
      <c r="J820" s="4" t="s">
        <v>900</v>
      </c>
      <c r="K820" s="4" t="s">
        <v>901</v>
      </c>
      <c r="L820" s="4"/>
      <c r="M820" s="4" t="s">
        <v>645</v>
      </c>
      <c r="N820" s="4">
        <v>-71.626319899999999</v>
      </c>
      <c r="O820" s="4">
        <v>3.7809774900000002</v>
      </c>
      <c r="P820" s="4" t="s">
        <v>770</v>
      </c>
      <c r="Q820" s="4" t="s">
        <v>740</v>
      </c>
      <c r="R820" s="4" t="s">
        <v>730</v>
      </c>
      <c r="S820" s="2">
        <v>46174.434895833336</v>
      </c>
      <c r="T820" s="5">
        <v>7.5231581481481481E-5</v>
      </c>
      <c r="U820" s="4">
        <v>1.6062958166003227E-2</v>
      </c>
      <c r="V820" s="4" t="s">
        <v>728</v>
      </c>
      <c r="W820" s="4" t="s">
        <v>645</v>
      </c>
      <c r="X820" s="6" t="s">
        <v>617</v>
      </c>
    </row>
    <row r="821" spans="1:24">
      <c r="A821" s="4" t="s">
        <v>894</v>
      </c>
      <c r="B821" s="4" t="s">
        <v>895</v>
      </c>
      <c r="D821" s="4" t="s">
        <v>716</v>
      </c>
      <c r="E821" s="4" t="s">
        <v>717</v>
      </c>
      <c r="F821" s="4" t="s">
        <v>896</v>
      </c>
      <c r="G821" s="4" t="s">
        <v>897</v>
      </c>
      <c r="H821" s="4" t="s">
        <v>898</v>
      </c>
      <c r="I821" s="4" t="s">
        <v>899</v>
      </c>
      <c r="J821" s="4" t="s">
        <v>900</v>
      </c>
      <c r="K821" s="4" t="s">
        <v>901</v>
      </c>
      <c r="L821" s="4"/>
      <c r="M821" s="4" t="s">
        <v>645</v>
      </c>
      <c r="N821" s="4">
        <v>-71.626388500000004</v>
      </c>
      <c r="O821" s="4">
        <v>3.7807087849999998</v>
      </c>
      <c r="P821" s="4" t="s">
        <v>722</v>
      </c>
      <c r="Q821" s="4" t="s">
        <v>723</v>
      </c>
      <c r="R821" s="4" t="s">
        <v>720</v>
      </c>
      <c r="S821" s="2">
        <v>46174.435098379734</v>
      </c>
      <c r="T821" s="5">
        <v>3.2789351851851854E-5</v>
      </c>
      <c r="U821" s="4">
        <v>9.2073502019047737E-3</v>
      </c>
      <c r="V821" s="4" t="s">
        <v>728</v>
      </c>
      <c r="W821" s="4" t="s">
        <v>645</v>
      </c>
      <c r="X821" s="6" t="s">
        <v>617</v>
      </c>
    </row>
    <row r="822" spans="1:24">
      <c r="A822" s="4" t="s">
        <v>894</v>
      </c>
      <c r="B822" s="4" t="s">
        <v>895</v>
      </c>
      <c r="D822" s="4" t="s">
        <v>716</v>
      </c>
      <c r="E822" s="4" t="s">
        <v>717</v>
      </c>
      <c r="F822" s="4" t="s">
        <v>896</v>
      </c>
      <c r="G822" s="4" t="s">
        <v>897</v>
      </c>
      <c r="H822" s="4" t="s">
        <v>898</v>
      </c>
      <c r="I822" s="4" t="s">
        <v>899</v>
      </c>
      <c r="J822" s="4" t="s">
        <v>900</v>
      </c>
      <c r="K822" s="4" t="s">
        <v>901</v>
      </c>
      <c r="L822" s="4"/>
      <c r="M822" s="4" t="s">
        <v>645</v>
      </c>
      <c r="N822" s="4">
        <v>-71.626330539999998</v>
      </c>
      <c r="O822" s="4">
        <v>3.7806117540000002</v>
      </c>
      <c r="P822" s="4" t="s">
        <v>722</v>
      </c>
      <c r="Q822" s="4" t="s">
        <v>723</v>
      </c>
      <c r="R822" s="4" t="s">
        <v>720</v>
      </c>
      <c r="S822" s="2">
        <v>46174.43516666667</v>
      </c>
      <c r="T822" s="5">
        <v>3.359837962962963E-4</v>
      </c>
      <c r="U822" s="4">
        <v>9.1882169246673584E-2</v>
      </c>
      <c r="V822" s="4" t="s">
        <v>741</v>
      </c>
      <c r="W822" s="4" t="s">
        <v>645</v>
      </c>
      <c r="X822" s="6" t="s">
        <v>617</v>
      </c>
    </row>
    <row r="823" spans="1:24">
      <c r="A823" s="4" t="s">
        <v>894</v>
      </c>
      <c r="B823" s="4" t="s">
        <v>895</v>
      </c>
      <c r="D823" s="4" t="s">
        <v>716</v>
      </c>
      <c r="E823" s="4" t="s">
        <v>717</v>
      </c>
      <c r="F823" s="4" t="s">
        <v>896</v>
      </c>
      <c r="G823" s="4" t="s">
        <v>897</v>
      </c>
      <c r="H823" s="4" t="s">
        <v>898</v>
      </c>
      <c r="I823" s="4" t="s">
        <v>899</v>
      </c>
      <c r="J823" s="4" t="s">
        <v>900</v>
      </c>
      <c r="K823" s="4" t="s">
        <v>901</v>
      </c>
      <c r="L823" s="4"/>
      <c r="M823" s="4" t="s">
        <v>645</v>
      </c>
      <c r="N823" s="4">
        <v>-71.625988000000007</v>
      </c>
      <c r="O823" s="4">
        <v>3.7808008199999996</v>
      </c>
      <c r="P823" s="4" t="s">
        <v>722</v>
      </c>
      <c r="Q823" s="4" t="s">
        <v>723</v>
      </c>
      <c r="R823" s="4" t="s">
        <v>720</v>
      </c>
      <c r="S823" s="2">
        <v>46174.535978009364</v>
      </c>
      <c r="T823" s="5">
        <v>1.3310195185185187E-4</v>
      </c>
      <c r="U823" s="4">
        <v>3.44696044921875E-2</v>
      </c>
      <c r="V823" s="4" t="s">
        <v>731</v>
      </c>
      <c r="W823" s="4" t="s">
        <v>645</v>
      </c>
      <c r="X823" s="6" t="s">
        <v>617</v>
      </c>
    </row>
    <row r="824" spans="1:24">
      <c r="A824" s="4" t="s">
        <v>894</v>
      </c>
      <c r="B824" s="4" t="s">
        <v>895</v>
      </c>
      <c r="D824" s="4" t="s">
        <v>716</v>
      </c>
      <c r="E824" s="4" t="s">
        <v>717</v>
      </c>
      <c r="F824" s="4" t="s">
        <v>896</v>
      </c>
      <c r="G824" s="4" t="s">
        <v>897</v>
      </c>
      <c r="H824" s="4" t="s">
        <v>898</v>
      </c>
      <c r="I824" s="4" t="s">
        <v>899</v>
      </c>
      <c r="J824" s="4" t="s">
        <v>900</v>
      </c>
      <c r="K824" s="4" t="s">
        <v>901</v>
      </c>
      <c r="L824" s="4"/>
      <c r="M824" s="4" t="s">
        <v>645</v>
      </c>
      <c r="N824" s="4">
        <v>-71.626411423440004</v>
      </c>
      <c r="O824" s="4">
        <v>3.780663418684</v>
      </c>
      <c r="P824" s="4" t="s">
        <v>722</v>
      </c>
      <c r="Q824" s="4" t="s">
        <v>723</v>
      </c>
      <c r="R824" s="4" t="s">
        <v>720</v>
      </c>
      <c r="S824" s="2">
        <v>46174.536173946763</v>
      </c>
      <c r="T824" s="5">
        <v>3.4804398148148146E-4</v>
      </c>
      <c r="U824" s="4">
        <v>0.1066591665148735</v>
      </c>
      <c r="V824" s="4" t="s">
        <v>771</v>
      </c>
      <c r="W824" s="4" t="s">
        <v>645</v>
      </c>
      <c r="X824" s="6" t="s">
        <v>617</v>
      </c>
    </row>
    <row r="825" spans="1:24">
      <c r="A825" s="4" t="s">
        <v>894</v>
      </c>
      <c r="B825" s="4" t="s">
        <v>895</v>
      </c>
      <c r="D825" s="4" t="s">
        <v>716</v>
      </c>
      <c r="E825" s="4" t="s">
        <v>717</v>
      </c>
      <c r="F825" s="4" t="s">
        <v>896</v>
      </c>
      <c r="G825" s="4" t="s">
        <v>897</v>
      </c>
      <c r="H825" s="4" t="s">
        <v>898</v>
      </c>
      <c r="I825" s="4" t="s">
        <v>899</v>
      </c>
      <c r="J825" s="4" t="s">
        <v>900</v>
      </c>
      <c r="K825" s="4" t="s">
        <v>901</v>
      </c>
      <c r="L825" s="4"/>
      <c r="M825" s="4" t="s">
        <v>645</v>
      </c>
      <c r="N825" s="4">
        <v>-71.626604099999994</v>
      </c>
      <c r="O825" s="4">
        <v>3.7796571874999998</v>
      </c>
      <c r="P825" s="4" t="s">
        <v>726</v>
      </c>
      <c r="Q825" s="4" t="s">
        <v>727</v>
      </c>
      <c r="R825" s="4" t="s">
        <v>720</v>
      </c>
      <c r="S825" s="2">
        <v>46174.536574074074</v>
      </c>
      <c r="T825" s="5">
        <v>2.3148148148148147E-5</v>
      </c>
      <c r="U825" s="4">
        <v>5.4565127938985825E-3</v>
      </c>
      <c r="V825" s="4" t="s">
        <v>724</v>
      </c>
      <c r="W825" s="4" t="s">
        <v>645</v>
      </c>
      <c r="X825" s="6" t="s">
        <v>617</v>
      </c>
    </row>
    <row r="826" spans="1:24">
      <c r="A826" s="4" t="s">
        <v>894</v>
      </c>
      <c r="B826" s="4" t="s">
        <v>895</v>
      </c>
      <c r="D826" s="4" t="s">
        <v>716</v>
      </c>
      <c r="E826" s="4" t="s">
        <v>717</v>
      </c>
      <c r="F826" s="4" t="s">
        <v>896</v>
      </c>
      <c r="G826" s="4" t="s">
        <v>897</v>
      </c>
      <c r="H826" s="4" t="s">
        <v>898</v>
      </c>
      <c r="I826" s="4" t="s">
        <v>899</v>
      </c>
      <c r="J826" s="4" t="s">
        <v>900</v>
      </c>
      <c r="K826" s="4" t="s">
        <v>901</v>
      </c>
      <c r="L826" s="4"/>
      <c r="M826" s="4" t="s">
        <v>645</v>
      </c>
      <c r="N826" s="4">
        <v>-71.626543075000001</v>
      </c>
      <c r="O826" s="4">
        <v>3.7795718912499998</v>
      </c>
      <c r="P826" s="4" t="s">
        <v>726</v>
      </c>
      <c r="Q826" s="4" t="s">
        <v>727</v>
      </c>
      <c r="R826" s="4" t="s">
        <v>720</v>
      </c>
      <c r="S826" s="2">
        <v>46174.540415219904</v>
      </c>
      <c r="T826" s="5">
        <v>3.9827546296296296E-4</v>
      </c>
      <c r="U826" s="4">
        <v>0.1206858903169632</v>
      </c>
      <c r="V826" s="4" t="s">
        <v>725</v>
      </c>
      <c r="W826" s="4" t="s">
        <v>645</v>
      </c>
      <c r="X826" s="6" t="s">
        <v>617</v>
      </c>
    </row>
    <row r="827" spans="1:24">
      <c r="A827" s="4" t="s">
        <v>894</v>
      </c>
      <c r="B827" s="4" t="s">
        <v>895</v>
      </c>
      <c r="D827" s="4" t="s">
        <v>716</v>
      </c>
      <c r="E827" s="4" t="s">
        <v>717</v>
      </c>
      <c r="F827" s="4" t="s">
        <v>896</v>
      </c>
      <c r="G827" s="4" t="s">
        <v>897</v>
      </c>
      <c r="H827" s="4" t="s">
        <v>898</v>
      </c>
      <c r="I827" s="4" t="s">
        <v>899</v>
      </c>
      <c r="J827" s="4" t="s">
        <v>900</v>
      </c>
      <c r="K827" s="4" t="s">
        <v>901</v>
      </c>
      <c r="L827" s="4"/>
      <c r="M827" s="4" t="s">
        <v>645</v>
      </c>
      <c r="N827" s="4">
        <v>-71.635059724312498</v>
      </c>
      <c r="O827" s="4">
        <v>3.7842765265712499</v>
      </c>
      <c r="P827" s="4" t="s">
        <v>718</v>
      </c>
      <c r="Q827" s="4" t="s">
        <v>719</v>
      </c>
      <c r="R827" s="4" t="s">
        <v>720</v>
      </c>
      <c r="S827" s="2">
        <v>46174.543111319443</v>
      </c>
      <c r="T827" s="5">
        <v>2.9756944444444443E-4</v>
      </c>
      <c r="U827" s="4">
        <v>0.18376989662647247</v>
      </c>
      <c r="V827" s="4" t="s">
        <v>789</v>
      </c>
      <c r="W827" s="4" t="s">
        <v>645</v>
      </c>
      <c r="X827" s="6" t="s">
        <v>617</v>
      </c>
    </row>
    <row r="828" spans="1:24">
      <c r="A828" s="4" t="s">
        <v>894</v>
      </c>
      <c r="B828" s="4" t="s">
        <v>895</v>
      </c>
      <c r="D828" s="4" t="s">
        <v>716</v>
      </c>
      <c r="E828" s="4" t="s">
        <v>717</v>
      </c>
      <c r="F828" s="4" t="s">
        <v>896</v>
      </c>
      <c r="G828" s="4" t="s">
        <v>897</v>
      </c>
      <c r="H828" s="4" t="s">
        <v>898</v>
      </c>
      <c r="I828" s="4" t="s">
        <v>899</v>
      </c>
      <c r="J828" s="4" t="s">
        <v>900</v>
      </c>
      <c r="K828" s="4" t="s">
        <v>901</v>
      </c>
      <c r="L828" s="4"/>
      <c r="M828" s="4" t="s">
        <v>757</v>
      </c>
      <c r="N828" s="4">
        <v>-71.670258255157137</v>
      </c>
      <c r="O828" s="4">
        <v>3.7742040737557141</v>
      </c>
      <c r="P828" s="4" t="s">
        <v>910</v>
      </c>
      <c r="Q828" s="4" t="s">
        <v>743</v>
      </c>
      <c r="R828" s="4" t="s">
        <v>730</v>
      </c>
      <c r="S828" s="2">
        <v>46174.569194641204</v>
      </c>
      <c r="T828" s="5">
        <v>1.542824074074074E-5</v>
      </c>
      <c r="U828" s="4">
        <v>1.3942030258476734E-2</v>
      </c>
      <c r="V828" s="4" t="s">
        <v>758</v>
      </c>
      <c r="W828" s="4" t="s">
        <v>757</v>
      </c>
      <c r="X828" s="6" t="s">
        <v>617</v>
      </c>
    </row>
    <row r="829" spans="1:24">
      <c r="A829" s="4" t="s">
        <v>894</v>
      </c>
      <c r="B829" s="4" t="s">
        <v>895</v>
      </c>
      <c r="D829" s="4" t="s">
        <v>716</v>
      </c>
      <c r="E829" s="4" t="s">
        <v>717</v>
      </c>
      <c r="F829" s="4" t="s">
        <v>896</v>
      </c>
      <c r="G829" s="4" t="s">
        <v>897</v>
      </c>
      <c r="H829" s="4" t="s">
        <v>898</v>
      </c>
      <c r="I829" s="4" t="s">
        <v>899</v>
      </c>
      <c r="J829" s="4" t="s">
        <v>900</v>
      </c>
      <c r="K829" s="4" t="s">
        <v>901</v>
      </c>
      <c r="L829" s="4"/>
      <c r="M829" s="4" t="s">
        <v>757</v>
      </c>
      <c r="N829" s="4">
        <v>-71.671386699999999</v>
      </c>
      <c r="O829" s="4">
        <v>3.7738647466666668</v>
      </c>
      <c r="P829" s="4" t="s">
        <v>910</v>
      </c>
      <c r="Q829" s="4" t="s">
        <v>743</v>
      </c>
      <c r="R829" s="4" t="s">
        <v>730</v>
      </c>
      <c r="S829" s="2">
        <v>46174.569340277776</v>
      </c>
      <c r="T829" s="5">
        <v>1.4880787037037038E-4</v>
      </c>
      <c r="U829" s="4">
        <v>0.14831285178661346</v>
      </c>
      <c r="V829" s="4" t="s">
        <v>774</v>
      </c>
      <c r="W829" s="4" t="s">
        <v>757</v>
      </c>
      <c r="X829" s="6" t="s">
        <v>617</v>
      </c>
    </row>
    <row r="830" spans="1:24">
      <c r="A830" s="4" t="s">
        <v>894</v>
      </c>
      <c r="B830" s="4" t="s">
        <v>895</v>
      </c>
      <c r="D830" s="4" t="s">
        <v>716</v>
      </c>
      <c r="E830" s="4" t="s">
        <v>717</v>
      </c>
      <c r="F830" s="4" t="s">
        <v>896</v>
      </c>
      <c r="G830" s="4" t="s">
        <v>897</v>
      </c>
      <c r="H830" s="4" t="s">
        <v>898</v>
      </c>
      <c r="I830" s="4" t="s">
        <v>899</v>
      </c>
      <c r="J830" s="4" t="s">
        <v>900</v>
      </c>
      <c r="K830" s="4" t="s">
        <v>901</v>
      </c>
      <c r="L830" s="4"/>
      <c r="M830" s="4" t="s">
        <v>757</v>
      </c>
      <c r="N830" s="4">
        <v>-71.674344392099997</v>
      </c>
      <c r="O830" s="4">
        <v>3.7729085478049997</v>
      </c>
      <c r="P830" s="4" t="s">
        <v>872</v>
      </c>
      <c r="Q830" s="4" t="s">
        <v>743</v>
      </c>
      <c r="R830" s="4" t="s">
        <v>730</v>
      </c>
      <c r="S830" s="2">
        <v>46174.569753090276</v>
      </c>
      <c r="T830" s="5">
        <v>1.11875E-4</v>
      </c>
      <c r="U830" s="4">
        <v>0.11311499029397964</v>
      </c>
      <c r="V830" s="4" t="s">
        <v>849</v>
      </c>
      <c r="W830" s="4" t="s">
        <v>757</v>
      </c>
      <c r="X830" s="6" t="s">
        <v>617</v>
      </c>
    </row>
    <row r="831" spans="1:24">
      <c r="A831" s="4" t="s">
        <v>894</v>
      </c>
      <c r="B831" s="4" t="s">
        <v>895</v>
      </c>
      <c r="D831" s="4" t="s">
        <v>716</v>
      </c>
      <c r="E831" s="4" t="s">
        <v>717</v>
      </c>
      <c r="F831" s="4" t="s">
        <v>896</v>
      </c>
      <c r="G831" s="4" t="s">
        <v>897</v>
      </c>
      <c r="H831" s="4" t="s">
        <v>898</v>
      </c>
      <c r="I831" s="4" t="s">
        <v>899</v>
      </c>
      <c r="J831" s="4" t="s">
        <v>900</v>
      </c>
      <c r="K831" s="4" t="s">
        <v>901</v>
      </c>
      <c r="L831" s="4"/>
      <c r="M831" s="4" t="s">
        <v>757</v>
      </c>
      <c r="N831" s="4">
        <v>-71.675925237499996</v>
      </c>
      <c r="O831" s="4">
        <v>3.7752628912499997</v>
      </c>
      <c r="P831" s="4" t="s">
        <v>872</v>
      </c>
      <c r="Q831" s="4" t="s">
        <v>743</v>
      </c>
      <c r="R831" s="4" t="s">
        <v>730</v>
      </c>
      <c r="S831" s="2">
        <v>46174.570096932868</v>
      </c>
      <c r="T831" s="5">
        <v>4.1956018518518515E-5</v>
      </c>
      <c r="U831" s="4">
        <v>3.9310995489358902E-2</v>
      </c>
      <c r="V831" s="4" t="s">
        <v>758</v>
      </c>
      <c r="W831" s="4" t="s">
        <v>757</v>
      </c>
      <c r="X831" s="6" t="s">
        <v>617</v>
      </c>
    </row>
    <row r="832" spans="1:24">
      <c r="A832" s="4" t="s">
        <v>894</v>
      </c>
      <c r="B832" s="4" t="s">
        <v>895</v>
      </c>
      <c r="D832" s="4" t="s">
        <v>716</v>
      </c>
      <c r="E832" s="4" t="s">
        <v>717</v>
      </c>
      <c r="F832" s="4" t="s">
        <v>896</v>
      </c>
      <c r="G832" s="4" t="s">
        <v>897</v>
      </c>
      <c r="H832" s="4" t="s">
        <v>898</v>
      </c>
      <c r="I832" s="4" t="s">
        <v>899</v>
      </c>
      <c r="J832" s="4" t="s">
        <v>900</v>
      </c>
      <c r="K832" s="4" t="s">
        <v>901</v>
      </c>
      <c r="L832" s="4"/>
      <c r="M832" s="4" t="s">
        <v>757</v>
      </c>
      <c r="N832" s="4">
        <v>-71.688220999999999</v>
      </c>
      <c r="O832" s="4">
        <v>3.7812875500000001</v>
      </c>
      <c r="P832" s="4" t="s">
        <v>911</v>
      </c>
      <c r="Q832" s="4" t="s">
        <v>743</v>
      </c>
      <c r="R832" s="4" t="s">
        <v>730</v>
      </c>
      <c r="S832" s="2">
        <v>46174.572413194546</v>
      </c>
      <c r="T832" s="5">
        <v>1.1226851851851852E-4</v>
      </c>
      <c r="U832" s="4">
        <v>0.10527949780225754</v>
      </c>
      <c r="V832" s="4" t="s">
        <v>758</v>
      </c>
      <c r="W832" s="4" t="s">
        <v>757</v>
      </c>
      <c r="X832" s="6" t="s">
        <v>617</v>
      </c>
    </row>
    <row r="833" spans="1:24">
      <c r="A833" s="4" t="s">
        <v>894</v>
      </c>
      <c r="B833" s="4" t="s">
        <v>895</v>
      </c>
      <c r="D833" s="4" t="s">
        <v>716</v>
      </c>
      <c r="E833" s="4" t="s">
        <v>717</v>
      </c>
      <c r="F833" s="4" t="s">
        <v>896</v>
      </c>
      <c r="G833" s="4" t="s">
        <v>897</v>
      </c>
      <c r="H833" s="4" t="s">
        <v>898</v>
      </c>
      <c r="I833" s="4" t="s">
        <v>899</v>
      </c>
      <c r="J833" s="4" t="s">
        <v>900</v>
      </c>
      <c r="K833" s="4" t="s">
        <v>901</v>
      </c>
      <c r="L833" s="4"/>
      <c r="M833" s="4" t="s">
        <v>685</v>
      </c>
      <c r="N833" s="4">
        <v>-71.797092507285726</v>
      </c>
      <c r="O833" s="4">
        <v>3.7697352762</v>
      </c>
      <c r="P833" s="4" t="s">
        <v>872</v>
      </c>
      <c r="Q833" s="4" t="s">
        <v>743</v>
      </c>
      <c r="R833" s="4" t="s">
        <v>730</v>
      </c>
      <c r="S833" s="2">
        <v>46174.592515902776</v>
      </c>
      <c r="T833" s="5">
        <v>5.5555555555555552E-7</v>
      </c>
      <c r="U833" s="4">
        <v>1.8293618632014841E-4</v>
      </c>
      <c r="V833" s="4" t="s">
        <v>912</v>
      </c>
      <c r="W833" s="4" t="s">
        <v>685</v>
      </c>
      <c r="X833" s="6" t="s">
        <v>617</v>
      </c>
    </row>
    <row r="834" spans="1:24">
      <c r="A834" s="4" t="s">
        <v>894</v>
      </c>
      <c r="B834" s="4" t="s">
        <v>895</v>
      </c>
      <c r="D834" s="4" t="s">
        <v>716</v>
      </c>
      <c r="E834" s="4" t="s">
        <v>717</v>
      </c>
      <c r="F834" s="4" t="s">
        <v>896</v>
      </c>
      <c r="G834" s="4" t="s">
        <v>897</v>
      </c>
      <c r="H834" s="4" t="s">
        <v>898</v>
      </c>
      <c r="I834" s="4" t="s">
        <v>899</v>
      </c>
      <c r="J834" s="4" t="s">
        <v>900</v>
      </c>
      <c r="K834" s="4" t="s">
        <v>901</v>
      </c>
      <c r="L834" s="4"/>
      <c r="M834" s="4" t="s">
        <v>625</v>
      </c>
      <c r="N834" s="4">
        <v>-71.873115499999997</v>
      </c>
      <c r="O834" s="4">
        <v>3.8268120300000001</v>
      </c>
      <c r="P834" s="4" t="s">
        <v>913</v>
      </c>
      <c r="Q834" s="4" t="s">
        <v>914</v>
      </c>
      <c r="R834" s="4" t="s">
        <v>730</v>
      </c>
      <c r="S834" s="2">
        <v>46174.610625000001</v>
      </c>
      <c r="T834" s="5">
        <v>0</v>
      </c>
      <c r="U834" s="4">
        <v>0</v>
      </c>
      <c r="V834" s="4" t="s">
        <v>915</v>
      </c>
      <c r="W834" s="4" t="s">
        <v>625</v>
      </c>
      <c r="X834" s="6" t="s">
        <v>617</v>
      </c>
    </row>
    <row r="835" spans="1:24">
      <c r="A835" s="4" t="s">
        <v>894</v>
      </c>
      <c r="B835" s="4" t="s">
        <v>895</v>
      </c>
      <c r="D835" s="4" t="s">
        <v>716</v>
      </c>
      <c r="E835" s="4" t="s">
        <v>717</v>
      </c>
      <c r="F835" s="4" t="s">
        <v>896</v>
      </c>
      <c r="G835" s="4" t="s">
        <v>897</v>
      </c>
      <c r="H835" s="4" t="s">
        <v>898</v>
      </c>
      <c r="I835" s="4" t="s">
        <v>899</v>
      </c>
      <c r="J835" s="4" t="s">
        <v>900</v>
      </c>
      <c r="K835" s="4" t="s">
        <v>901</v>
      </c>
      <c r="L835" s="4"/>
      <c r="M835" s="4" t="s">
        <v>685</v>
      </c>
      <c r="N835" s="4">
        <v>-71.984575937000002</v>
      </c>
      <c r="O835" s="4">
        <v>3.87281266928</v>
      </c>
      <c r="P835" s="4" t="s">
        <v>913</v>
      </c>
      <c r="Q835" s="4" t="s">
        <v>914</v>
      </c>
      <c r="R835" s="4" t="s">
        <v>730</v>
      </c>
      <c r="S835" s="2">
        <v>46174.636398541668</v>
      </c>
      <c r="T835" s="5">
        <v>1.1574074074074074E-7</v>
      </c>
      <c r="U835" s="4">
        <v>4.3012347305193543E-5</v>
      </c>
      <c r="V835" s="4" t="s">
        <v>916</v>
      </c>
      <c r="W835" s="4" t="s">
        <v>685</v>
      </c>
      <c r="X835" s="6" t="s">
        <v>617</v>
      </c>
    </row>
    <row r="836" spans="1:24">
      <c r="A836" s="4" t="s">
        <v>894</v>
      </c>
      <c r="B836" s="4" t="s">
        <v>895</v>
      </c>
      <c r="D836" s="4" t="s">
        <v>716</v>
      </c>
      <c r="E836" s="4" t="s">
        <v>717</v>
      </c>
      <c r="F836" s="4" t="s">
        <v>896</v>
      </c>
      <c r="G836" s="4" t="s">
        <v>897</v>
      </c>
      <c r="H836" s="4" t="s">
        <v>898</v>
      </c>
      <c r="I836" s="4" t="s">
        <v>899</v>
      </c>
      <c r="J836" s="4" t="s">
        <v>900</v>
      </c>
      <c r="K836" s="4" t="s">
        <v>901</v>
      </c>
      <c r="L836" s="4"/>
      <c r="M836" s="4" t="s">
        <v>625</v>
      </c>
      <c r="N836" s="4">
        <v>-72.0643539</v>
      </c>
      <c r="O836" s="4">
        <v>3.9148016000000001</v>
      </c>
      <c r="P836" s="4" t="s">
        <v>913</v>
      </c>
      <c r="Q836" s="4" t="s">
        <v>914</v>
      </c>
      <c r="R836" s="4" t="s">
        <v>730</v>
      </c>
      <c r="S836" s="2">
        <v>46174.657557870371</v>
      </c>
      <c r="T836" s="5">
        <v>0</v>
      </c>
      <c r="U836" s="4">
        <v>0</v>
      </c>
      <c r="V836" s="4" t="s">
        <v>917</v>
      </c>
      <c r="W836" s="4" t="s">
        <v>625</v>
      </c>
      <c r="X836" s="6" t="s">
        <v>617</v>
      </c>
    </row>
    <row r="837" spans="1:24">
      <c r="A837" s="4" t="s">
        <v>894</v>
      </c>
      <c r="B837" s="4" t="s">
        <v>895</v>
      </c>
      <c r="D837" s="4" t="s">
        <v>716</v>
      </c>
      <c r="E837" s="4" t="s">
        <v>717</v>
      </c>
      <c r="F837" s="4" t="s">
        <v>896</v>
      </c>
      <c r="G837" s="4" t="s">
        <v>897</v>
      </c>
      <c r="H837" s="4" t="s">
        <v>898</v>
      </c>
      <c r="I837" s="4" t="s">
        <v>899</v>
      </c>
      <c r="J837" s="4" t="s">
        <v>900</v>
      </c>
      <c r="K837" s="4" t="s">
        <v>901</v>
      </c>
      <c r="L837" s="4"/>
      <c r="M837" s="4" t="s">
        <v>754</v>
      </c>
      <c r="N837" s="4">
        <v>-72.105258108850009</v>
      </c>
      <c r="O837" s="4">
        <v>3.9854374171074998</v>
      </c>
      <c r="P837" s="4" t="s">
        <v>913</v>
      </c>
      <c r="Q837" s="4" t="s">
        <v>914</v>
      </c>
      <c r="R837" s="4" t="s">
        <v>730</v>
      </c>
      <c r="S837" s="2">
        <v>46174.672061724537</v>
      </c>
      <c r="T837" s="5">
        <v>5.3020833333333332E-5</v>
      </c>
      <c r="U837" s="4">
        <v>3.058081679046154E-2</v>
      </c>
      <c r="V837" s="4" t="s">
        <v>918</v>
      </c>
      <c r="W837" s="4" t="s">
        <v>754</v>
      </c>
      <c r="X837" s="6" t="s">
        <v>617</v>
      </c>
    </row>
    <row r="838" spans="1:24">
      <c r="A838" s="4" t="s">
        <v>894</v>
      </c>
      <c r="B838" s="4" t="s">
        <v>895</v>
      </c>
      <c r="D838" s="4" t="s">
        <v>716</v>
      </c>
      <c r="E838" s="4" t="s">
        <v>717</v>
      </c>
      <c r="F838" s="4" t="s">
        <v>896</v>
      </c>
      <c r="G838" s="4" t="s">
        <v>897</v>
      </c>
      <c r="H838" s="4" t="s">
        <v>898</v>
      </c>
      <c r="I838" s="4" t="s">
        <v>899</v>
      </c>
      <c r="J838" s="4" t="s">
        <v>900</v>
      </c>
      <c r="K838" s="4" t="s">
        <v>901</v>
      </c>
      <c r="L838" s="4"/>
      <c r="M838" s="4" t="s">
        <v>754</v>
      </c>
      <c r="N838" s="4">
        <v>-72.105129212850002</v>
      </c>
      <c r="O838" s="4">
        <v>3.9857854365024998</v>
      </c>
      <c r="P838" s="4" t="s">
        <v>913</v>
      </c>
      <c r="Q838" s="4" t="s">
        <v>914</v>
      </c>
      <c r="R838" s="4" t="s">
        <v>730</v>
      </c>
      <c r="S838" s="2">
        <v>46174.672554016201</v>
      </c>
      <c r="T838" s="5">
        <v>2.199074074074074E-4</v>
      </c>
      <c r="U838" s="4">
        <v>8.1361182034015656E-2</v>
      </c>
      <c r="V838" s="4" t="s">
        <v>813</v>
      </c>
      <c r="W838" s="4" t="s">
        <v>754</v>
      </c>
      <c r="X838" s="6" t="s">
        <v>617</v>
      </c>
    </row>
    <row r="839" spans="1:24">
      <c r="A839" s="4" t="s">
        <v>894</v>
      </c>
      <c r="B839" s="4" t="s">
        <v>895</v>
      </c>
      <c r="D839" s="4" t="s">
        <v>716</v>
      </c>
      <c r="E839" s="4" t="s">
        <v>717</v>
      </c>
      <c r="F839" s="4" t="s">
        <v>896</v>
      </c>
      <c r="G839" s="4" t="s">
        <v>897</v>
      </c>
      <c r="H839" s="4" t="s">
        <v>898</v>
      </c>
      <c r="I839" s="4" t="s">
        <v>899</v>
      </c>
      <c r="J839" s="4" t="s">
        <v>900</v>
      </c>
      <c r="K839" s="4" t="s">
        <v>901</v>
      </c>
      <c r="L839" s="4"/>
      <c r="M839" s="4" t="s">
        <v>754</v>
      </c>
      <c r="N839" s="4">
        <v>-72.104753730749991</v>
      </c>
      <c r="O839" s="4">
        <v>3.9864633755400001</v>
      </c>
      <c r="P839" s="4" t="s">
        <v>913</v>
      </c>
      <c r="Q839" s="4" t="s">
        <v>914</v>
      </c>
      <c r="R839" s="4" t="s">
        <v>730</v>
      </c>
      <c r="S839" s="2">
        <v>46174.672799270833</v>
      </c>
      <c r="T839" s="5">
        <v>1.1423611111111111E-5</v>
      </c>
      <c r="U839" s="4">
        <v>2.863746602088213E-3</v>
      </c>
      <c r="V839" s="4" t="s">
        <v>791</v>
      </c>
      <c r="W839" s="4" t="s">
        <v>754</v>
      </c>
      <c r="X839" s="6" t="s">
        <v>617</v>
      </c>
    </row>
    <row r="840" spans="1:24">
      <c r="A840" s="4" t="s">
        <v>894</v>
      </c>
      <c r="B840" s="4" t="s">
        <v>895</v>
      </c>
      <c r="D840" s="4" t="s">
        <v>716</v>
      </c>
      <c r="E840" s="4" t="s">
        <v>717</v>
      </c>
      <c r="F840" s="4" t="s">
        <v>896</v>
      </c>
      <c r="G840" s="4" t="s">
        <v>897</v>
      </c>
      <c r="H840" s="4" t="s">
        <v>898</v>
      </c>
      <c r="I840" s="4" t="s">
        <v>899</v>
      </c>
      <c r="J840" s="4" t="s">
        <v>900</v>
      </c>
      <c r="K840" s="4" t="s">
        <v>901</v>
      </c>
      <c r="L840" s="4"/>
      <c r="M840" s="4" t="s">
        <v>685</v>
      </c>
      <c r="N840" s="4">
        <v>-72.046302897081816</v>
      </c>
      <c r="O840" s="4">
        <v>4.1883020139745453</v>
      </c>
      <c r="P840" s="4" t="s">
        <v>913</v>
      </c>
      <c r="Q840" s="4" t="s">
        <v>914</v>
      </c>
      <c r="R840" s="4" t="s">
        <v>730</v>
      </c>
      <c r="S840" s="2">
        <v>46174.709146678244</v>
      </c>
      <c r="T840" s="5">
        <v>1.1805555555555556E-6</v>
      </c>
      <c r="U840" s="4">
        <v>6.5845472272485495E-4</v>
      </c>
      <c r="V840" s="4" t="s">
        <v>919</v>
      </c>
      <c r="W840" s="4" t="s">
        <v>685</v>
      </c>
      <c r="X840" s="6" t="s">
        <v>617</v>
      </c>
    </row>
    <row r="841" spans="1:24">
      <c r="A841" s="4" t="s">
        <v>894</v>
      </c>
      <c r="B841" s="4" t="s">
        <v>895</v>
      </c>
      <c r="D841" s="4" t="s">
        <v>716</v>
      </c>
      <c r="E841" s="4" t="s">
        <v>717</v>
      </c>
      <c r="F841" s="4" t="s">
        <v>896</v>
      </c>
      <c r="G841" s="4" t="s">
        <v>897</v>
      </c>
      <c r="H841" s="4" t="s">
        <v>898</v>
      </c>
      <c r="I841" s="4" t="s">
        <v>899</v>
      </c>
      <c r="J841" s="4" t="s">
        <v>900</v>
      </c>
      <c r="K841" s="4" t="s">
        <v>901</v>
      </c>
      <c r="L841" s="4"/>
      <c r="M841" s="4" t="s">
        <v>685</v>
      </c>
      <c r="N841" s="4">
        <v>-72.046317756327269</v>
      </c>
      <c r="O841" s="4">
        <v>4.1883322082981822</v>
      </c>
      <c r="P841" s="4" t="s">
        <v>913</v>
      </c>
      <c r="Q841" s="4" t="s">
        <v>914</v>
      </c>
      <c r="R841" s="4" t="s">
        <v>730</v>
      </c>
      <c r="S841" s="2">
        <v>46174.709153379627</v>
      </c>
      <c r="T841" s="5">
        <v>4.3981481481481479E-7</v>
      </c>
      <c r="U841" s="4">
        <v>2.4530664086341858E-4</v>
      </c>
      <c r="V841" s="4" t="s">
        <v>920</v>
      </c>
      <c r="W841" s="4" t="s">
        <v>685</v>
      </c>
      <c r="X841" s="6" t="s">
        <v>617</v>
      </c>
    </row>
    <row r="842" spans="1:24">
      <c r="A842" s="4" t="s">
        <v>921</v>
      </c>
      <c r="B842" s="4" t="s">
        <v>922</v>
      </c>
      <c r="D842" s="4" t="s">
        <v>704</v>
      </c>
      <c r="E842" s="4" t="s">
        <v>705</v>
      </c>
      <c r="M842" s="4" t="s">
        <v>733</v>
      </c>
      <c r="N842" s="4">
        <v>-74.10695567514999</v>
      </c>
      <c r="O842" s="4">
        <v>4.6282397780950006</v>
      </c>
      <c r="P842" s="4" t="s">
        <v>923</v>
      </c>
      <c r="S842" s="2">
        <v>46174.832094594909</v>
      </c>
      <c r="T842" s="5">
        <v>4.5138888888888888E-7</v>
      </c>
      <c r="U842" s="4">
        <v>1.6146335110533983E-4</v>
      </c>
      <c r="V842" s="4" t="s">
        <v>924</v>
      </c>
      <c r="W842" s="4" t="s">
        <v>733</v>
      </c>
      <c r="X842" s="6" t="s">
        <v>617</v>
      </c>
    </row>
    <row r="843" spans="1:24">
      <c r="A843" s="4" t="s">
        <v>921</v>
      </c>
      <c r="B843" s="4" t="s">
        <v>922</v>
      </c>
      <c r="D843" s="4" t="s">
        <v>704</v>
      </c>
      <c r="E843" s="4" t="s">
        <v>705</v>
      </c>
      <c r="M843" s="4" t="s">
        <v>614</v>
      </c>
      <c r="N843" s="4">
        <v>-74.115058899999994</v>
      </c>
      <c r="O843" s="4">
        <v>4.6366496100000001</v>
      </c>
      <c r="P843" s="4" t="s">
        <v>925</v>
      </c>
      <c r="Q843" s="4" t="s">
        <v>663</v>
      </c>
      <c r="R843" s="4" t="s">
        <v>613</v>
      </c>
      <c r="S843" s="2">
        <v>46174.834722222222</v>
      </c>
      <c r="T843" s="5">
        <v>2.2638888888888889E-2</v>
      </c>
      <c r="U843" s="4">
        <v>1.6980045475065708E-3</v>
      </c>
      <c r="V843" s="4" t="s">
        <v>616</v>
      </c>
      <c r="W843" s="4" t="s">
        <v>614</v>
      </c>
      <c r="X843" s="6" t="s">
        <v>617</v>
      </c>
    </row>
    <row r="844" spans="1:24">
      <c r="A844" s="4" t="s">
        <v>926</v>
      </c>
      <c r="B844" s="4" t="s">
        <v>927</v>
      </c>
      <c r="D844" s="4" t="s">
        <v>928</v>
      </c>
      <c r="E844" s="4" t="s">
        <v>929</v>
      </c>
      <c r="M844" s="4" t="s">
        <v>645</v>
      </c>
      <c r="N844" s="4">
        <v>-71.446315791906642</v>
      </c>
      <c r="O844" s="4">
        <v>3.7832870567080934</v>
      </c>
      <c r="P844" s="4" t="s">
        <v>930</v>
      </c>
      <c r="Q844" s="4" t="s">
        <v>746</v>
      </c>
      <c r="R844" s="4" t="s">
        <v>720</v>
      </c>
      <c r="S844" s="2">
        <v>46173.997588541664</v>
      </c>
      <c r="T844" s="5">
        <v>4.3885185185185182E-3</v>
      </c>
      <c r="U844" s="4">
        <v>1.3482905626296997</v>
      </c>
      <c r="V844" s="4" t="s">
        <v>741</v>
      </c>
      <c r="W844" s="4" t="s">
        <v>645</v>
      </c>
      <c r="X844" s="6" t="s">
        <v>617</v>
      </c>
    </row>
    <row r="845" spans="1:24">
      <c r="A845" s="4" t="s">
        <v>926</v>
      </c>
      <c r="B845" s="4" t="s">
        <v>927</v>
      </c>
      <c r="D845" s="4" t="s">
        <v>928</v>
      </c>
      <c r="E845" s="4" t="s">
        <v>929</v>
      </c>
      <c r="M845" s="4" t="s">
        <v>754</v>
      </c>
      <c r="N845" s="4">
        <v>-71.448129300000005</v>
      </c>
      <c r="O845" s="4">
        <v>3.7804214979999999</v>
      </c>
      <c r="P845" s="4" t="s">
        <v>930</v>
      </c>
      <c r="Q845" s="4" t="s">
        <v>746</v>
      </c>
      <c r="R845" s="4" t="s">
        <v>720</v>
      </c>
      <c r="S845" s="2">
        <v>46174.025233796296</v>
      </c>
      <c r="T845" s="5">
        <v>1.0031250000000001E-4</v>
      </c>
      <c r="U845" s="4">
        <v>3.0730079859495163E-2</v>
      </c>
      <c r="V845" s="4" t="s">
        <v>815</v>
      </c>
      <c r="W845" s="4" t="s">
        <v>754</v>
      </c>
      <c r="X845" s="6" t="s">
        <v>617</v>
      </c>
    </row>
    <row r="846" spans="1:24">
      <c r="A846" s="4" t="s">
        <v>926</v>
      </c>
      <c r="B846" s="4" t="s">
        <v>927</v>
      </c>
      <c r="D846" s="4" t="s">
        <v>928</v>
      </c>
      <c r="E846" s="4" t="s">
        <v>929</v>
      </c>
      <c r="M846" s="4" t="s">
        <v>645</v>
      </c>
      <c r="N846" s="4">
        <v>-71.448129300000005</v>
      </c>
      <c r="O846" s="4">
        <v>3.7804214979999999</v>
      </c>
      <c r="P846" s="4" t="s">
        <v>930</v>
      </c>
      <c r="Q846" s="4" t="s">
        <v>746</v>
      </c>
      <c r="R846" s="4" t="s">
        <v>720</v>
      </c>
      <c r="S846" s="2">
        <v>46174.025233796296</v>
      </c>
      <c r="T846" s="5">
        <v>1.9444444444444443E-4</v>
      </c>
      <c r="U846" s="4">
        <v>5.7096421718597412E-2</v>
      </c>
      <c r="V846" s="4" t="s">
        <v>666</v>
      </c>
      <c r="W846" s="4" t="s">
        <v>645</v>
      </c>
      <c r="X846" s="6" t="s">
        <v>617</v>
      </c>
    </row>
    <row r="847" spans="1:24">
      <c r="A847" s="4" t="s">
        <v>926</v>
      </c>
      <c r="B847" s="4" t="s">
        <v>927</v>
      </c>
      <c r="D847" s="4" t="s">
        <v>928</v>
      </c>
      <c r="E847" s="4" t="s">
        <v>929</v>
      </c>
      <c r="M847" s="4" t="s">
        <v>645</v>
      </c>
      <c r="N847" s="4">
        <v>-71.448425299999997</v>
      </c>
      <c r="O847" s="4">
        <v>3.7800011599999999</v>
      </c>
      <c r="P847" s="4" t="s">
        <v>930</v>
      </c>
      <c r="Q847" s="4" t="s">
        <v>746</v>
      </c>
      <c r="R847" s="4" t="s">
        <v>720</v>
      </c>
      <c r="S847" s="2">
        <v>46174.02542824074</v>
      </c>
      <c r="T847" s="5">
        <v>1.261574074074074E-3</v>
      </c>
      <c r="U847" s="4">
        <v>0.3863685131072998</v>
      </c>
      <c r="V847" s="4" t="s">
        <v>666</v>
      </c>
      <c r="W847" s="4" t="s">
        <v>645</v>
      </c>
      <c r="X847" s="6" t="s">
        <v>617</v>
      </c>
    </row>
    <row r="848" spans="1:24">
      <c r="A848" s="4" t="s">
        <v>926</v>
      </c>
      <c r="B848" s="4" t="s">
        <v>927</v>
      </c>
      <c r="D848" s="4" t="s">
        <v>928</v>
      </c>
      <c r="E848" s="4" t="s">
        <v>929</v>
      </c>
      <c r="M848" s="4" t="s">
        <v>645</v>
      </c>
      <c r="N848" s="4">
        <v>-71.450958299999996</v>
      </c>
      <c r="O848" s="4">
        <v>3.7813496600000001</v>
      </c>
      <c r="P848" s="4" t="s">
        <v>930</v>
      </c>
      <c r="Q848" s="4" t="s">
        <v>746</v>
      </c>
      <c r="R848" s="4" t="s">
        <v>720</v>
      </c>
      <c r="S848" s="2">
        <v>46174.026689814818</v>
      </c>
      <c r="T848" s="5">
        <v>2.5462962962962965E-3</v>
      </c>
      <c r="U848" s="4">
        <v>0.8898770809173584</v>
      </c>
      <c r="V848" s="4" t="s">
        <v>741</v>
      </c>
      <c r="W848" s="4" t="s">
        <v>645</v>
      </c>
      <c r="X848" s="6" t="s">
        <v>617</v>
      </c>
    </row>
    <row r="849" spans="1:24">
      <c r="A849" s="4" t="s">
        <v>926</v>
      </c>
      <c r="B849" s="4" t="s">
        <v>927</v>
      </c>
      <c r="D849" s="4" t="s">
        <v>928</v>
      </c>
      <c r="E849" s="4" t="s">
        <v>929</v>
      </c>
      <c r="M849" s="4" t="s">
        <v>645</v>
      </c>
      <c r="N849" s="4">
        <v>-71.446400992118186</v>
      </c>
      <c r="O849" s="4">
        <v>3.7829978136963636</v>
      </c>
      <c r="P849" s="4" t="s">
        <v>930</v>
      </c>
      <c r="Q849" s="4" t="s">
        <v>746</v>
      </c>
      <c r="R849" s="4" t="s">
        <v>720</v>
      </c>
      <c r="S849" s="2">
        <v>46174.029546678241</v>
      </c>
      <c r="T849" s="5">
        <v>8.98900462962963E-4</v>
      </c>
      <c r="U849" s="4">
        <v>0.32536280155181885</v>
      </c>
      <c r="V849" s="4" t="s">
        <v>741</v>
      </c>
      <c r="W849" s="4" t="s">
        <v>645</v>
      </c>
      <c r="X849" s="6" t="s">
        <v>617</v>
      </c>
    </row>
    <row r="850" spans="1:24">
      <c r="A850" s="4" t="s">
        <v>926</v>
      </c>
      <c r="B850" s="4" t="s">
        <v>927</v>
      </c>
      <c r="D850" s="4" t="s">
        <v>928</v>
      </c>
      <c r="E850" s="4" t="s">
        <v>929</v>
      </c>
      <c r="M850" s="4" t="s">
        <v>875</v>
      </c>
      <c r="N850" s="4">
        <v>-71.427675914476922</v>
      </c>
      <c r="O850" s="4">
        <v>3.7923902707853845</v>
      </c>
      <c r="P850" s="4" t="s">
        <v>931</v>
      </c>
      <c r="Q850" s="4" t="s">
        <v>877</v>
      </c>
      <c r="R850" s="4" t="s">
        <v>720</v>
      </c>
      <c r="S850" s="2">
        <v>46174.033996909726</v>
      </c>
      <c r="T850" s="5">
        <v>3.0864583333333335E-4</v>
      </c>
      <c r="U850" s="4">
        <v>0.1831667572259903</v>
      </c>
      <c r="V850" s="4" t="s">
        <v>763</v>
      </c>
      <c r="W850" s="4" t="s">
        <v>875</v>
      </c>
      <c r="X850" s="6" t="s">
        <v>617</v>
      </c>
    </row>
    <row r="851" spans="1:24">
      <c r="A851" s="4" t="s">
        <v>926</v>
      </c>
      <c r="B851" s="4" t="s">
        <v>927</v>
      </c>
      <c r="D851" s="4" t="s">
        <v>928</v>
      </c>
      <c r="E851" s="4" t="s">
        <v>929</v>
      </c>
      <c r="M851" s="4" t="s">
        <v>645</v>
      </c>
      <c r="N851" s="4">
        <v>-71.423963908377772</v>
      </c>
      <c r="O851" s="4">
        <v>3.7920288044888886</v>
      </c>
      <c r="P851" s="4" t="s">
        <v>932</v>
      </c>
      <c r="Q851" s="4" t="s">
        <v>933</v>
      </c>
      <c r="R851" s="4" t="s">
        <v>934</v>
      </c>
      <c r="S851" s="2">
        <v>46174.035765439818</v>
      </c>
      <c r="T851" s="5">
        <v>1.2831712962962964E-3</v>
      </c>
      <c r="U851" s="4">
        <v>0.40106058120727539</v>
      </c>
      <c r="V851" s="4" t="s">
        <v>666</v>
      </c>
      <c r="W851" s="4" t="s">
        <v>645</v>
      </c>
      <c r="X851" s="6" t="s">
        <v>617</v>
      </c>
    </row>
    <row r="852" spans="1:24">
      <c r="A852" s="4" t="s">
        <v>926</v>
      </c>
      <c r="B852" s="4" t="s">
        <v>927</v>
      </c>
      <c r="D852" s="4" t="s">
        <v>928</v>
      </c>
      <c r="E852" s="4" t="s">
        <v>929</v>
      </c>
      <c r="M852" s="4" t="s">
        <v>645</v>
      </c>
      <c r="N852" s="4">
        <v>-71.423177699999997</v>
      </c>
      <c r="O852" s="4">
        <v>3.7939243325000001</v>
      </c>
      <c r="P852" s="4" t="s">
        <v>935</v>
      </c>
      <c r="Q852" s="4" t="s">
        <v>933</v>
      </c>
      <c r="R852" s="4" t="s">
        <v>934</v>
      </c>
      <c r="S852" s="2">
        <v>46174.280413773151</v>
      </c>
      <c r="T852" s="5">
        <v>1.0930902777777777E-3</v>
      </c>
      <c r="U852" s="4">
        <v>0.3876456618309021</v>
      </c>
      <c r="V852" s="4" t="s">
        <v>741</v>
      </c>
      <c r="W852" s="4" t="s">
        <v>645</v>
      </c>
      <c r="X852" s="6" t="s">
        <v>617</v>
      </c>
    </row>
    <row r="853" spans="1:24">
      <c r="A853" s="4" t="s">
        <v>926</v>
      </c>
      <c r="B853" s="4" t="s">
        <v>927</v>
      </c>
      <c r="D853" s="4" t="s">
        <v>928</v>
      </c>
      <c r="E853" s="4" t="s">
        <v>929</v>
      </c>
      <c r="M853" s="4" t="s">
        <v>754</v>
      </c>
      <c r="N853" s="4">
        <v>-71.425353999999999</v>
      </c>
      <c r="O853" s="4">
        <v>3.7921311900000001</v>
      </c>
      <c r="P853" s="4" t="s">
        <v>907</v>
      </c>
      <c r="Q853" s="4" t="s">
        <v>877</v>
      </c>
      <c r="R853" s="4" t="s">
        <v>720</v>
      </c>
      <c r="S853" s="2">
        <v>46174.285046296296</v>
      </c>
      <c r="T853" s="5">
        <v>1.3513888888888888E-4</v>
      </c>
      <c r="U853" s="4">
        <v>3.1219946220517159E-2</v>
      </c>
      <c r="V853" s="4" t="s">
        <v>814</v>
      </c>
      <c r="W853" s="4" t="s">
        <v>754</v>
      </c>
      <c r="X853" s="6" t="s">
        <v>617</v>
      </c>
    </row>
    <row r="854" spans="1:24">
      <c r="A854" s="4" t="s">
        <v>926</v>
      </c>
      <c r="B854" s="4" t="s">
        <v>927</v>
      </c>
      <c r="D854" s="4" t="s">
        <v>928</v>
      </c>
      <c r="E854" s="4" t="s">
        <v>929</v>
      </c>
      <c r="M854" s="4" t="s">
        <v>645</v>
      </c>
      <c r="N854" s="4">
        <v>-71.424337280299994</v>
      </c>
      <c r="O854" s="4">
        <v>3.7921741514659999</v>
      </c>
      <c r="P854" s="4" t="s">
        <v>936</v>
      </c>
      <c r="Q854" s="4" t="s">
        <v>933</v>
      </c>
      <c r="R854" s="4" t="s">
        <v>934</v>
      </c>
      <c r="S854" s="2">
        <v>46174.285518414355</v>
      </c>
      <c r="T854" s="5">
        <v>2.5567129629629629E-5</v>
      </c>
      <c r="U854" s="4">
        <v>6.5596289932727814E-3</v>
      </c>
      <c r="V854" s="4" t="s">
        <v>664</v>
      </c>
      <c r="W854" s="4" t="s">
        <v>645</v>
      </c>
      <c r="X854" s="6" t="s">
        <v>617</v>
      </c>
    </row>
    <row r="855" spans="1:24">
      <c r="A855" s="4" t="s">
        <v>926</v>
      </c>
      <c r="B855" s="4" t="s">
        <v>927</v>
      </c>
      <c r="D855" s="4" t="s">
        <v>928</v>
      </c>
      <c r="E855" s="4" t="s">
        <v>929</v>
      </c>
      <c r="M855" s="4" t="s">
        <v>645</v>
      </c>
      <c r="N855" s="4">
        <v>-71.424003600000006</v>
      </c>
      <c r="O855" s="4">
        <v>3.7920696700000001</v>
      </c>
      <c r="P855" s="4" t="s">
        <v>932</v>
      </c>
      <c r="Q855" s="4" t="s">
        <v>933</v>
      </c>
      <c r="R855" s="4" t="s">
        <v>934</v>
      </c>
      <c r="S855" s="2">
        <v>46174.285682870373</v>
      </c>
      <c r="T855" s="5">
        <v>1.1612615740740741E-3</v>
      </c>
      <c r="U855" s="4">
        <v>0.30348730087280273</v>
      </c>
      <c r="V855" s="4" t="s">
        <v>728</v>
      </c>
      <c r="W855" s="4" t="s">
        <v>645</v>
      </c>
      <c r="X855" s="6" t="s">
        <v>617</v>
      </c>
    </row>
    <row r="856" spans="1:24">
      <c r="A856" s="4" t="s">
        <v>926</v>
      </c>
      <c r="B856" s="4" t="s">
        <v>927</v>
      </c>
      <c r="D856" s="4" t="s">
        <v>928</v>
      </c>
      <c r="E856" s="4" t="s">
        <v>929</v>
      </c>
      <c r="M856" s="4" t="s">
        <v>875</v>
      </c>
      <c r="N856" s="4">
        <v>-71.421896492444446</v>
      </c>
      <c r="O856" s="4">
        <v>3.7948342049911115</v>
      </c>
      <c r="P856" s="4" t="s">
        <v>937</v>
      </c>
      <c r="Q856" s="4" t="s">
        <v>877</v>
      </c>
      <c r="R856" s="4" t="s">
        <v>720</v>
      </c>
      <c r="S856" s="2">
        <v>46174.287562083337</v>
      </c>
      <c r="T856" s="5">
        <v>5.2280092592592591E-4</v>
      </c>
      <c r="U856" s="4">
        <v>0.27946585416793823</v>
      </c>
      <c r="V856" s="4" t="s">
        <v>750</v>
      </c>
      <c r="W856" s="4" t="s">
        <v>875</v>
      </c>
      <c r="X856" s="6" t="s">
        <v>617</v>
      </c>
    </row>
    <row r="857" spans="1:24">
      <c r="A857" s="4" t="s">
        <v>926</v>
      </c>
      <c r="B857" s="4" t="s">
        <v>927</v>
      </c>
      <c r="D857" s="4" t="s">
        <v>928</v>
      </c>
      <c r="E857" s="4" t="s">
        <v>929</v>
      </c>
      <c r="M857" s="4" t="s">
        <v>754</v>
      </c>
      <c r="N857" s="4">
        <v>-71.411068740000005</v>
      </c>
      <c r="O857" s="4">
        <v>3.792329836</v>
      </c>
      <c r="P857" s="4" t="s">
        <v>938</v>
      </c>
      <c r="Q857" s="4" t="s">
        <v>743</v>
      </c>
      <c r="R857" s="4" t="s">
        <v>730</v>
      </c>
      <c r="S857" s="2">
        <v>46174.294435185184</v>
      </c>
      <c r="T857" s="5">
        <v>1.172800925925926E-4</v>
      </c>
      <c r="U857" s="4">
        <v>3.0327143147587776E-2</v>
      </c>
      <c r="V857" s="4" t="s">
        <v>791</v>
      </c>
      <c r="W857" s="4" t="s">
        <v>754</v>
      </c>
      <c r="X857" s="6" t="s">
        <v>617</v>
      </c>
    </row>
    <row r="858" spans="1:24">
      <c r="A858" s="4" t="s">
        <v>926</v>
      </c>
      <c r="B858" s="4" t="s">
        <v>927</v>
      </c>
      <c r="D858" s="4" t="s">
        <v>928</v>
      </c>
      <c r="E858" s="4" t="s">
        <v>929</v>
      </c>
      <c r="M858" s="4" t="s">
        <v>754</v>
      </c>
      <c r="N858" s="4">
        <v>-71.410766600000002</v>
      </c>
      <c r="O858" s="4">
        <v>3.7924132349999997</v>
      </c>
      <c r="P858" s="4" t="s">
        <v>938</v>
      </c>
      <c r="Q858" s="4" t="s">
        <v>743</v>
      </c>
      <c r="R858" s="4" t="s">
        <v>730</v>
      </c>
      <c r="S858" s="2">
        <v>46174.294716435288</v>
      </c>
      <c r="T858" s="5">
        <v>5.5937499999999998E-5</v>
      </c>
      <c r="U858" s="4">
        <v>1.5776418149471283E-2</v>
      </c>
      <c r="V858" s="4" t="s">
        <v>815</v>
      </c>
      <c r="W858" s="4" t="s">
        <v>754</v>
      </c>
      <c r="X858" s="6" t="s">
        <v>617</v>
      </c>
    </row>
    <row r="859" spans="1:24">
      <c r="A859" s="4" t="s">
        <v>926</v>
      </c>
      <c r="B859" s="4" t="s">
        <v>927</v>
      </c>
      <c r="D859" s="4" t="s">
        <v>928</v>
      </c>
      <c r="E859" s="4" t="s">
        <v>929</v>
      </c>
      <c r="M859" s="4" t="s">
        <v>754</v>
      </c>
      <c r="N859" s="4">
        <v>-71.410535143174997</v>
      </c>
      <c r="O859" s="4">
        <v>3.7924080193225</v>
      </c>
      <c r="P859" s="4" t="s">
        <v>938</v>
      </c>
      <c r="Q859" s="4" t="s">
        <v>743</v>
      </c>
      <c r="R859" s="4" t="s">
        <v>730</v>
      </c>
      <c r="S859" s="2">
        <v>46174.294882974536</v>
      </c>
      <c r="T859" s="5">
        <v>1.9909722222222223E-4</v>
      </c>
      <c r="U859" s="4">
        <v>7.7455751597881317E-2</v>
      </c>
      <c r="V859" s="4" t="s">
        <v>755</v>
      </c>
      <c r="W859" s="4" t="s">
        <v>754</v>
      </c>
      <c r="X859" s="6" t="s">
        <v>617</v>
      </c>
    </row>
    <row r="860" spans="1:24">
      <c r="A860" s="4" t="s">
        <v>926</v>
      </c>
      <c r="B860" s="4" t="s">
        <v>927</v>
      </c>
      <c r="D860" s="4" t="s">
        <v>928</v>
      </c>
      <c r="E860" s="4" t="s">
        <v>929</v>
      </c>
      <c r="M860" s="4" t="s">
        <v>939</v>
      </c>
      <c r="N860" s="4">
        <v>-71.410949700000003</v>
      </c>
      <c r="O860" s="4">
        <v>3.79265118</v>
      </c>
      <c r="P860" s="4" t="s">
        <v>938</v>
      </c>
      <c r="Q860" s="4" t="s">
        <v>743</v>
      </c>
      <c r="R860" s="4" t="s">
        <v>730</v>
      </c>
      <c r="S860" s="2">
        <v>46174.296863425923</v>
      </c>
      <c r="T860" s="5">
        <v>0</v>
      </c>
      <c r="U860" s="4">
        <v>0</v>
      </c>
      <c r="V860" s="4" t="s">
        <v>940</v>
      </c>
      <c r="W860" s="4" t="s">
        <v>939</v>
      </c>
      <c r="X860" s="6" t="s">
        <v>617</v>
      </c>
    </row>
    <row r="861" spans="1:24">
      <c r="A861" s="4" t="s">
        <v>926</v>
      </c>
      <c r="B861" s="4" t="s">
        <v>927</v>
      </c>
      <c r="D861" s="4" t="s">
        <v>928</v>
      </c>
      <c r="E861" s="4" t="s">
        <v>929</v>
      </c>
      <c r="M861" s="4" t="s">
        <v>754</v>
      </c>
      <c r="N861" s="4">
        <v>-71.410957300000007</v>
      </c>
      <c r="O861" s="4">
        <v>3.7926447400000001</v>
      </c>
      <c r="P861" s="4" t="s">
        <v>938</v>
      </c>
      <c r="Q861" s="4" t="s">
        <v>743</v>
      </c>
      <c r="R861" s="4" t="s">
        <v>730</v>
      </c>
      <c r="S861" s="2">
        <v>46174.296875</v>
      </c>
      <c r="T861" s="5">
        <v>5.2083433333333337E-5</v>
      </c>
      <c r="U861" s="4">
        <v>1.473530475050211E-2</v>
      </c>
      <c r="V861" s="4" t="s">
        <v>820</v>
      </c>
      <c r="W861" s="4" t="s">
        <v>754</v>
      </c>
      <c r="X861" s="6" t="s">
        <v>617</v>
      </c>
    </row>
    <row r="862" spans="1:24">
      <c r="A862" s="4" t="s">
        <v>926</v>
      </c>
      <c r="B862" s="4" t="s">
        <v>927</v>
      </c>
      <c r="D862" s="4" t="s">
        <v>928</v>
      </c>
      <c r="E862" s="4" t="s">
        <v>929</v>
      </c>
      <c r="M862" s="4" t="s">
        <v>754</v>
      </c>
      <c r="N862" s="4">
        <v>-71.411067545161544</v>
      </c>
      <c r="O862" s="4">
        <v>3.7922562724438462</v>
      </c>
      <c r="P862" s="4" t="s">
        <v>938</v>
      </c>
      <c r="Q862" s="4" t="s">
        <v>743</v>
      </c>
      <c r="R862" s="4" t="s">
        <v>730</v>
      </c>
      <c r="S862" s="2">
        <v>46174.298019548609</v>
      </c>
      <c r="T862" s="5">
        <v>8.5960648148148146E-5</v>
      </c>
      <c r="U862" s="4">
        <v>2.3716771975159645E-2</v>
      </c>
      <c r="V862" s="4" t="s">
        <v>820</v>
      </c>
      <c r="W862" s="4" t="s">
        <v>754</v>
      </c>
      <c r="X862" s="6" t="s">
        <v>617</v>
      </c>
    </row>
    <row r="863" spans="1:24">
      <c r="A863" s="4" t="s">
        <v>926</v>
      </c>
      <c r="B863" s="4" t="s">
        <v>927</v>
      </c>
      <c r="D863" s="4" t="s">
        <v>928</v>
      </c>
      <c r="E863" s="4" t="s">
        <v>929</v>
      </c>
      <c r="M863" s="4" t="s">
        <v>757</v>
      </c>
      <c r="N863" s="4">
        <v>-71.412757900000003</v>
      </c>
      <c r="O863" s="4">
        <v>3.7913672949999997</v>
      </c>
      <c r="P863" s="4" t="s">
        <v>941</v>
      </c>
      <c r="Q863" s="4" t="s">
        <v>743</v>
      </c>
      <c r="R863" s="4" t="s">
        <v>730</v>
      </c>
      <c r="S863" s="2">
        <v>46174.29859953704</v>
      </c>
      <c r="T863" s="5">
        <v>5.2083433333333337E-5</v>
      </c>
      <c r="U863" s="4">
        <v>5.0562217831611633E-2</v>
      </c>
      <c r="V863" s="4" t="s">
        <v>758</v>
      </c>
      <c r="W863" s="4" t="s">
        <v>757</v>
      </c>
      <c r="X863" s="6" t="s">
        <v>617</v>
      </c>
    </row>
    <row r="864" spans="1:24">
      <c r="A864" s="4" t="s">
        <v>926</v>
      </c>
      <c r="B864" s="4" t="s">
        <v>927</v>
      </c>
      <c r="D864" s="4" t="s">
        <v>928</v>
      </c>
      <c r="E864" s="4" t="s">
        <v>929</v>
      </c>
      <c r="M864" s="4" t="s">
        <v>757</v>
      </c>
      <c r="N864" s="4">
        <v>-71.412419666666665</v>
      </c>
      <c r="O864" s="4">
        <v>3.7904562133333335</v>
      </c>
      <c r="P864" s="4" t="s">
        <v>941</v>
      </c>
      <c r="Q864" s="4" t="s">
        <v>743</v>
      </c>
      <c r="R864" s="4" t="s">
        <v>730</v>
      </c>
      <c r="S864" s="2">
        <v>46174.298715277779</v>
      </c>
      <c r="T864" s="5">
        <v>4.5138888888888887E-4</v>
      </c>
      <c r="U864" s="4">
        <v>0.45395830273628235</v>
      </c>
      <c r="V864" s="4" t="s">
        <v>778</v>
      </c>
      <c r="W864" s="4" t="s">
        <v>757</v>
      </c>
      <c r="X864" s="6" t="s">
        <v>617</v>
      </c>
    </row>
    <row r="865" spans="1:24">
      <c r="A865" s="4" t="s">
        <v>926</v>
      </c>
      <c r="B865" s="4" t="s">
        <v>927</v>
      </c>
      <c r="D865" s="4" t="s">
        <v>928</v>
      </c>
      <c r="E865" s="4" t="s">
        <v>929</v>
      </c>
      <c r="M865" s="4" t="s">
        <v>757</v>
      </c>
      <c r="N865" s="4">
        <v>-71.408302300000003</v>
      </c>
      <c r="O865" s="4">
        <v>3.78931701</v>
      </c>
      <c r="P865" s="4" t="s">
        <v>941</v>
      </c>
      <c r="Q865" s="4" t="s">
        <v>743</v>
      </c>
      <c r="R865" s="4" t="s">
        <v>730</v>
      </c>
      <c r="S865" s="2">
        <v>46174.299230324177</v>
      </c>
      <c r="T865" s="5">
        <v>2.6041676666666664E-4</v>
      </c>
      <c r="U865" s="4">
        <v>0.25510573387145996</v>
      </c>
      <c r="V865" s="4" t="s">
        <v>774</v>
      </c>
      <c r="W865" s="4" t="s">
        <v>757</v>
      </c>
      <c r="X865" s="6" t="s">
        <v>617</v>
      </c>
    </row>
    <row r="866" spans="1:24">
      <c r="A866" s="4" t="s">
        <v>926</v>
      </c>
      <c r="B866" s="4" t="s">
        <v>927</v>
      </c>
      <c r="D866" s="4" t="s">
        <v>928</v>
      </c>
      <c r="E866" s="4" t="s">
        <v>929</v>
      </c>
      <c r="M866" s="4" t="s">
        <v>757</v>
      </c>
      <c r="N866" s="4">
        <v>-71.405975350000006</v>
      </c>
      <c r="O866" s="4">
        <v>3.7892994899999999</v>
      </c>
      <c r="P866" s="4" t="s">
        <v>941</v>
      </c>
      <c r="Q866" s="4" t="s">
        <v>743</v>
      </c>
      <c r="R866" s="4" t="s">
        <v>730</v>
      </c>
      <c r="S866" s="2">
        <v>46174.299549074072</v>
      </c>
      <c r="T866" s="5">
        <v>5.8017361111111106E-4</v>
      </c>
      <c r="U866" s="4">
        <v>0.58880627155303955</v>
      </c>
      <c r="V866" s="4" t="s">
        <v>778</v>
      </c>
      <c r="W866" s="4" t="s">
        <v>757</v>
      </c>
      <c r="X866" s="6" t="s">
        <v>617</v>
      </c>
    </row>
    <row r="867" spans="1:24">
      <c r="A867" s="4" t="s">
        <v>926</v>
      </c>
      <c r="B867" s="4" t="s">
        <v>927</v>
      </c>
      <c r="D867" s="4" t="s">
        <v>928</v>
      </c>
      <c r="E867" s="4" t="s">
        <v>929</v>
      </c>
      <c r="M867" s="4" t="s">
        <v>757</v>
      </c>
      <c r="N867" s="4">
        <v>-71.401037866666655</v>
      </c>
      <c r="O867" s="4">
        <v>3.7921555033333334</v>
      </c>
      <c r="P867" s="4" t="s">
        <v>942</v>
      </c>
      <c r="Q867" s="4" t="s">
        <v>743</v>
      </c>
      <c r="R867" s="4" t="s">
        <v>730</v>
      </c>
      <c r="S867" s="2">
        <v>46174.302228009365</v>
      </c>
      <c r="T867" s="5">
        <v>1.5981481481481481E-4</v>
      </c>
      <c r="U867" s="4">
        <v>0.16879206895828247</v>
      </c>
      <c r="V867" s="4" t="s">
        <v>849</v>
      </c>
      <c r="W867" s="4" t="s">
        <v>757</v>
      </c>
      <c r="X867" s="6" t="s">
        <v>617</v>
      </c>
    </row>
    <row r="868" spans="1:24">
      <c r="A868" s="4" t="s">
        <v>926</v>
      </c>
      <c r="B868" s="4" t="s">
        <v>927</v>
      </c>
      <c r="D868" s="4" t="s">
        <v>928</v>
      </c>
      <c r="E868" s="4" t="s">
        <v>929</v>
      </c>
      <c r="M868" s="4" t="s">
        <v>939</v>
      </c>
      <c r="N868" s="4">
        <v>-71.399383499999999</v>
      </c>
      <c r="O868" s="4">
        <v>3.80327606</v>
      </c>
      <c r="P868" s="4" t="s">
        <v>943</v>
      </c>
      <c r="Q868" s="4" t="s">
        <v>743</v>
      </c>
      <c r="R868" s="4" t="s">
        <v>730</v>
      </c>
      <c r="S868" s="2">
        <v>46174.304525462961</v>
      </c>
      <c r="T868" s="5">
        <v>0</v>
      </c>
      <c r="U868" s="4">
        <v>0</v>
      </c>
      <c r="V868" s="4" t="s">
        <v>628</v>
      </c>
      <c r="W868" s="4" t="s">
        <v>939</v>
      </c>
      <c r="X868" s="6" t="s">
        <v>617</v>
      </c>
    </row>
    <row r="869" spans="1:24">
      <c r="A869" s="4" t="s">
        <v>926</v>
      </c>
      <c r="B869" s="4" t="s">
        <v>927</v>
      </c>
      <c r="D869" s="4" t="s">
        <v>928</v>
      </c>
      <c r="E869" s="4" t="s">
        <v>929</v>
      </c>
      <c r="M869" s="4" t="s">
        <v>757</v>
      </c>
      <c r="N869" s="4">
        <v>-71.397296140000009</v>
      </c>
      <c r="O869" s="4">
        <v>3.8074835299999998</v>
      </c>
      <c r="P869" s="4" t="s">
        <v>943</v>
      </c>
      <c r="Q869" s="4" t="s">
        <v>743</v>
      </c>
      <c r="R869" s="4" t="s">
        <v>730</v>
      </c>
      <c r="S869" s="2">
        <v>46174.307018518521</v>
      </c>
      <c r="T869" s="5">
        <v>5.7094907407407405E-5</v>
      </c>
      <c r="U869" s="4">
        <v>5.6034822016954422E-2</v>
      </c>
      <c r="V869" s="4" t="s">
        <v>774</v>
      </c>
      <c r="W869" s="4" t="s">
        <v>757</v>
      </c>
      <c r="X869" s="6" t="s">
        <v>617</v>
      </c>
    </row>
    <row r="870" spans="1:24">
      <c r="A870" s="4" t="s">
        <v>926</v>
      </c>
      <c r="B870" s="4" t="s">
        <v>927</v>
      </c>
      <c r="D870" s="4" t="s">
        <v>928</v>
      </c>
      <c r="E870" s="4" t="s">
        <v>929</v>
      </c>
      <c r="M870" s="4" t="s">
        <v>757</v>
      </c>
      <c r="N870" s="4">
        <v>-71.396420800000001</v>
      </c>
      <c r="O870" s="4">
        <v>3.8074914633333332</v>
      </c>
      <c r="P870" s="4" t="s">
        <v>943</v>
      </c>
      <c r="Q870" s="4" t="s">
        <v>743</v>
      </c>
      <c r="R870" s="4" t="s">
        <v>730</v>
      </c>
      <c r="S870" s="2">
        <v>46174.307118055556</v>
      </c>
      <c r="T870" s="5">
        <v>5.5555555555555558E-5</v>
      </c>
      <c r="U870" s="4">
        <v>5.4488822817802429E-2</v>
      </c>
      <c r="V870" s="4" t="s">
        <v>774</v>
      </c>
      <c r="W870" s="4" t="s">
        <v>757</v>
      </c>
      <c r="X870" s="6" t="s">
        <v>617</v>
      </c>
    </row>
    <row r="871" spans="1:24">
      <c r="A871" s="4" t="s">
        <v>926</v>
      </c>
      <c r="B871" s="4" t="s">
        <v>927</v>
      </c>
      <c r="D871" s="4" t="s">
        <v>928</v>
      </c>
      <c r="E871" s="4" t="s">
        <v>929</v>
      </c>
      <c r="M871" s="4" t="s">
        <v>757</v>
      </c>
      <c r="N871" s="4">
        <v>-71.395566949999989</v>
      </c>
      <c r="O871" s="4">
        <v>3.8073873525000002</v>
      </c>
      <c r="P871" s="4" t="s">
        <v>943</v>
      </c>
      <c r="Q871" s="4" t="s">
        <v>743</v>
      </c>
      <c r="R871" s="4" t="s">
        <v>730</v>
      </c>
      <c r="S871" s="2">
        <v>46174.307222222225</v>
      </c>
      <c r="T871" s="5">
        <v>2.3019675925925925E-4</v>
      </c>
      <c r="U871" s="4">
        <v>0.23811405897140503</v>
      </c>
      <c r="V871" s="4" t="s">
        <v>849</v>
      </c>
      <c r="W871" s="4" t="s">
        <v>757</v>
      </c>
      <c r="X871" s="6" t="s">
        <v>617</v>
      </c>
    </row>
    <row r="872" spans="1:24">
      <c r="A872" s="4" t="s">
        <v>926</v>
      </c>
      <c r="B872" s="4" t="s">
        <v>927</v>
      </c>
      <c r="D872" s="4" t="s">
        <v>928</v>
      </c>
      <c r="E872" s="4" t="s">
        <v>929</v>
      </c>
      <c r="M872" s="4" t="s">
        <v>757</v>
      </c>
      <c r="N872" s="4">
        <v>-71.394035349999996</v>
      </c>
      <c r="O872" s="4">
        <v>3.80833149</v>
      </c>
      <c r="P872" s="4" t="s">
        <v>943</v>
      </c>
      <c r="Q872" s="4" t="s">
        <v>743</v>
      </c>
      <c r="R872" s="4" t="s">
        <v>730</v>
      </c>
      <c r="S872" s="2">
        <v>46174.309131944443</v>
      </c>
      <c r="T872" s="5">
        <v>1.273148148148148E-4</v>
      </c>
      <c r="U872" s="4">
        <v>0.12298388034105301</v>
      </c>
      <c r="V872" s="4" t="s">
        <v>774</v>
      </c>
      <c r="W872" s="4" t="s">
        <v>757</v>
      </c>
      <c r="X872" s="6" t="s">
        <v>617</v>
      </c>
    </row>
    <row r="873" spans="1:24">
      <c r="A873" s="4" t="s">
        <v>926</v>
      </c>
      <c r="B873" s="4" t="s">
        <v>927</v>
      </c>
      <c r="D873" s="4" t="s">
        <v>928</v>
      </c>
      <c r="E873" s="4" t="s">
        <v>929</v>
      </c>
      <c r="M873" s="4" t="s">
        <v>757</v>
      </c>
      <c r="N873" s="4">
        <v>-71.396350850000005</v>
      </c>
      <c r="O873" s="4">
        <v>3.8074657949999997</v>
      </c>
      <c r="P873" s="4" t="s">
        <v>943</v>
      </c>
      <c r="Q873" s="4" t="s">
        <v>743</v>
      </c>
      <c r="R873" s="4" t="s">
        <v>730</v>
      </c>
      <c r="S873" s="2">
        <v>46174.309444444443</v>
      </c>
      <c r="T873" s="5">
        <v>1.273148148148148E-4</v>
      </c>
      <c r="U873" s="4">
        <v>0.12660084664821625</v>
      </c>
      <c r="V873" s="4" t="s">
        <v>778</v>
      </c>
      <c r="W873" s="4" t="s">
        <v>757</v>
      </c>
      <c r="X873" s="6" t="s">
        <v>617</v>
      </c>
    </row>
    <row r="874" spans="1:24">
      <c r="A874" s="4" t="s">
        <v>926</v>
      </c>
      <c r="B874" s="4" t="s">
        <v>927</v>
      </c>
      <c r="D874" s="4" t="s">
        <v>928</v>
      </c>
      <c r="E874" s="4" t="s">
        <v>929</v>
      </c>
      <c r="M874" s="4" t="s">
        <v>625</v>
      </c>
      <c r="N874" s="4">
        <v>-71.398544299999998</v>
      </c>
      <c r="O874" s="4">
        <v>3.80603194</v>
      </c>
      <c r="P874" s="4" t="s">
        <v>943</v>
      </c>
      <c r="Q874" s="4" t="s">
        <v>743</v>
      </c>
      <c r="R874" s="4" t="s">
        <v>730</v>
      </c>
      <c r="S874" s="2">
        <v>46174.309907407405</v>
      </c>
      <c r="T874" s="5">
        <v>0</v>
      </c>
      <c r="U874" s="4">
        <v>0</v>
      </c>
      <c r="V874" s="4" t="s">
        <v>944</v>
      </c>
      <c r="W874" s="4" t="s">
        <v>625</v>
      </c>
      <c r="X874" s="6" t="s">
        <v>617</v>
      </c>
    </row>
    <row r="875" spans="1:24">
      <c r="A875" s="4" t="s">
        <v>926</v>
      </c>
      <c r="B875" s="4" t="s">
        <v>927</v>
      </c>
      <c r="D875" s="4" t="s">
        <v>928</v>
      </c>
      <c r="E875" s="4" t="s">
        <v>929</v>
      </c>
      <c r="M875" s="4" t="s">
        <v>757</v>
      </c>
      <c r="N875" s="4">
        <v>-71.400020560047039</v>
      </c>
      <c r="O875" s="4">
        <v>3.7977568248732685</v>
      </c>
      <c r="P875" s="4" t="s">
        <v>945</v>
      </c>
      <c r="Q875" s="4" t="s">
        <v>743</v>
      </c>
      <c r="R875" s="4" t="s">
        <v>730</v>
      </c>
      <c r="S875" s="2">
        <v>46174.311751724534</v>
      </c>
      <c r="T875" s="5">
        <v>1.8113425925925925E-5</v>
      </c>
      <c r="U875" s="4">
        <v>2.1215666085481644E-2</v>
      </c>
      <c r="V875" s="4" t="s">
        <v>758</v>
      </c>
      <c r="W875" s="4" t="s">
        <v>757</v>
      </c>
      <c r="X875" s="6" t="s">
        <v>617</v>
      </c>
    </row>
    <row r="876" spans="1:24">
      <c r="A876" s="4" t="s">
        <v>926</v>
      </c>
      <c r="B876" s="4" t="s">
        <v>927</v>
      </c>
      <c r="D876" s="4" t="s">
        <v>928</v>
      </c>
      <c r="E876" s="4" t="s">
        <v>929</v>
      </c>
      <c r="M876" s="4" t="s">
        <v>757</v>
      </c>
      <c r="N876" s="4">
        <v>-71.397609700000004</v>
      </c>
      <c r="O876" s="4">
        <v>3.7927471399999999</v>
      </c>
      <c r="P876" s="4" t="s">
        <v>946</v>
      </c>
      <c r="Q876" s="4" t="s">
        <v>743</v>
      </c>
      <c r="R876" s="4" t="s">
        <v>730</v>
      </c>
      <c r="S876" s="2">
        <v>46174.312986111108</v>
      </c>
      <c r="T876" s="5">
        <v>6.6594907407407412E-4</v>
      </c>
      <c r="U876" s="4">
        <v>0.65397363901138306</v>
      </c>
      <c r="V876" s="4" t="s">
        <v>849</v>
      </c>
      <c r="W876" s="4" t="s">
        <v>757</v>
      </c>
      <c r="X876" s="6" t="s">
        <v>617</v>
      </c>
    </row>
    <row r="877" spans="1:24">
      <c r="A877" s="4" t="s">
        <v>926</v>
      </c>
      <c r="B877" s="4" t="s">
        <v>927</v>
      </c>
      <c r="D877" s="4" t="s">
        <v>928</v>
      </c>
      <c r="E877" s="4" t="s">
        <v>929</v>
      </c>
      <c r="M877" s="4" t="s">
        <v>757</v>
      </c>
      <c r="N877" s="4">
        <v>-71.390478799999997</v>
      </c>
      <c r="O877" s="4">
        <v>3.7938126933333334</v>
      </c>
      <c r="P877" s="4" t="s">
        <v>946</v>
      </c>
      <c r="Q877" s="4" t="s">
        <v>743</v>
      </c>
      <c r="R877" s="4" t="s">
        <v>730</v>
      </c>
      <c r="S877" s="2">
        <v>46174.313836805661</v>
      </c>
      <c r="T877" s="5">
        <v>2.7430555555555558E-4</v>
      </c>
      <c r="U877" s="4">
        <v>0.27745729684829712</v>
      </c>
      <c r="V877" s="4" t="s">
        <v>778</v>
      </c>
      <c r="W877" s="4" t="s">
        <v>757</v>
      </c>
      <c r="X877" s="6" t="s">
        <v>617</v>
      </c>
    </row>
    <row r="878" spans="1:24">
      <c r="A878" s="4" t="s">
        <v>926</v>
      </c>
      <c r="B878" s="4" t="s">
        <v>927</v>
      </c>
      <c r="D878" s="4" t="s">
        <v>928</v>
      </c>
      <c r="E878" s="4" t="s">
        <v>929</v>
      </c>
      <c r="M878" s="4" t="s">
        <v>875</v>
      </c>
      <c r="N878" s="4">
        <v>-71.388217489050007</v>
      </c>
      <c r="O878" s="4">
        <v>3.7938656776549999</v>
      </c>
      <c r="P878" s="4" t="s">
        <v>947</v>
      </c>
      <c r="Q878" s="4" t="s">
        <v>877</v>
      </c>
      <c r="R878" s="4" t="s">
        <v>720</v>
      </c>
      <c r="S878" s="2">
        <v>46174.314092048611</v>
      </c>
      <c r="T878" s="5">
        <v>4.7199074074074076E-4</v>
      </c>
      <c r="U878" s="4">
        <v>0.39363387227058411</v>
      </c>
      <c r="V878" s="4" t="s">
        <v>774</v>
      </c>
      <c r="W878" s="4" t="s">
        <v>875</v>
      </c>
      <c r="X878" s="6" t="s">
        <v>617</v>
      </c>
    </row>
    <row r="879" spans="1:24">
      <c r="A879" s="4" t="s">
        <v>926</v>
      </c>
      <c r="B879" s="4" t="s">
        <v>927</v>
      </c>
      <c r="D879" s="4" t="s">
        <v>928</v>
      </c>
      <c r="E879" s="4" t="s">
        <v>929</v>
      </c>
      <c r="M879" s="4" t="s">
        <v>757</v>
      </c>
      <c r="N879" s="4">
        <v>-71.386131299999988</v>
      </c>
      <c r="O879" s="4">
        <v>3.7929837749999997</v>
      </c>
      <c r="P879" s="4" t="s">
        <v>905</v>
      </c>
      <c r="Q879" s="4" t="s">
        <v>877</v>
      </c>
      <c r="R879" s="4" t="s">
        <v>720</v>
      </c>
      <c r="S879" s="2">
        <v>46174.314375000002</v>
      </c>
      <c r="T879" s="5">
        <v>1.5046296296296297E-5</v>
      </c>
      <c r="U879" s="4">
        <v>1.3995783403515816E-2</v>
      </c>
      <c r="V879" s="4" t="s">
        <v>758</v>
      </c>
      <c r="W879" s="4" t="s">
        <v>757</v>
      </c>
      <c r="X879" s="6" t="s">
        <v>617</v>
      </c>
    </row>
    <row r="880" spans="1:24">
      <c r="A880" s="4" t="s">
        <v>926</v>
      </c>
      <c r="B880" s="4" t="s">
        <v>927</v>
      </c>
      <c r="D880" s="4" t="s">
        <v>928</v>
      </c>
      <c r="E880" s="4" t="s">
        <v>929</v>
      </c>
      <c r="M880" s="4" t="s">
        <v>875</v>
      </c>
      <c r="N880" s="4">
        <v>-71.384849560000006</v>
      </c>
      <c r="O880" s="4">
        <v>3.7932650560000001</v>
      </c>
      <c r="P880" s="4" t="s">
        <v>905</v>
      </c>
      <c r="Q880" s="4" t="s">
        <v>877</v>
      </c>
      <c r="R880" s="4" t="s">
        <v>720</v>
      </c>
      <c r="S880" s="2">
        <v>46174.31458564815</v>
      </c>
      <c r="T880" s="5">
        <v>1.9444444444444443E-4</v>
      </c>
      <c r="U880" s="4">
        <v>0.12441098690032959</v>
      </c>
      <c r="V880" s="4" t="s">
        <v>763</v>
      </c>
      <c r="W880" s="4" t="s">
        <v>875</v>
      </c>
      <c r="X880" s="6" t="s">
        <v>617</v>
      </c>
    </row>
    <row r="881" spans="1:24">
      <c r="A881" s="4" t="s">
        <v>926</v>
      </c>
      <c r="B881" s="4" t="s">
        <v>927</v>
      </c>
      <c r="D881" s="4" t="s">
        <v>928</v>
      </c>
      <c r="E881" s="4" t="s">
        <v>929</v>
      </c>
      <c r="M881" s="4" t="s">
        <v>875</v>
      </c>
      <c r="N881" s="4">
        <v>-71.384086600000003</v>
      </c>
      <c r="O881" s="4">
        <v>3.79404926</v>
      </c>
      <c r="P881" s="4" t="s">
        <v>948</v>
      </c>
      <c r="Q881" s="4" t="s">
        <v>877</v>
      </c>
      <c r="R881" s="4" t="s">
        <v>720</v>
      </c>
      <c r="S881" s="2">
        <v>46174.314780092594</v>
      </c>
      <c r="T881" s="5">
        <v>7.3009259259259262E-5</v>
      </c>
      <c r="U881" s="4">
        <v>3.9264436811208725E-2</v>
      </c>
      <c r="V881" s="4" t="s">
        <v>751</v>
      </c>
      <c r="W881" s="4" t="s">
        <v>875</v>
      </c>
      <c r="X881" s="6" t="s">
        <v>617</v>
      </c>
    </row>
    <row r="882" spans="1:24">
      <c r="A882" s="4" t="s">
        <v>926</v>
      </c>
      <c r="B882" s="4" t="s">
        <v>927</v>
      </c>
      <c r="D882" s="4" t="s">
        <v>928</v>
      </c>
      <c r="E882" s="4" t="s">
        <v>929</v>
      </c>
      <c r="M882" s="4" t="s">
        <v>875</v>
      </c>
      <c r="N882" s="4">
        <v>-71.383689899999993</v>
      </c>
      <c r="O882" s="4">
        <v>3.79438758</v>
      </c>
      <c r="P882" s="4" t="s">
        <v>948</v>
      </c>
      <c r="Q882" s="4" t="s">
        <v>877</v>
      </c>
      <c r="R882" s="4" t="s">
        <v>720</v>
      </c>
      <c r="S882" s="2">
        <v>46174.31490740741</v>
      </c>
      <c r="T882" s="5">
        <v>4.0123842592592593E-4</v>
      </c>
      <c r="U882" s="4">
        <v>0.2857632040977478</v>
      </c>
      <c r="V882" s="4" t="s">
        <v>798</v>
      </c>
      <c r="W882" s="4" t="s">
        <v>875</v>
      </c>
      <c r="X882" s="6" t="s">
        <v>617</v>
      </c>
    </row>
    <row r="883" spans="1:24">
      <c r="A883" s="4" t="s">
        <v>926</v>
      </c>
      <c r="B883" s="4" t="s">
        <v>927</v>
      </c>
      <c r="D883" s="4" t="s">
        <v>928</v>
      </c>
      <c r="E883" s="4" t="s">
        <v>929</v>
      </c>
      <c r="M883" s="4" t="s">
        <v>875</v>
      </c>
      <c r="N883" s="4">
        <v>-71.381316733925004</v>
      </c>
      <c r="O883" s="4">
        <v>3.7947940531575002</v>
      </c>
      <c r="P883" s="4" t="s">
        <v>948</v>
      </c>
      <c r="Q883" s="4" t="s">
        <v>877</v>
      </c>
      <c r="R883" s="4" t="s">
        <v>720</v>
      </c>
      <c r="S883" s="2">
        <v>46174.315383229165</v>
      </c>
      <c r="T883" s="5">
        <v>6.1950231481481481E-4</v>
      </c>
      <c r="U883" s="4">
        <v>0.48983111977577209</v>
      </c>
      <c r="V883" s="4" t="s">
        <v>758</v>
      </c>
      <c r="W883" s="4" t="s">
        <v>875</v>
      </c>
      <c r="X883" s="6" t="s">
        <v>617</v>
      </c>
    </row>
    <row r="884" spans="1:24">
      <c r="A884" s="4" t="s">
        <v>926</v>
      </c>
      <c r="B884" s="4" t="s">
        <v>927</v>
      </c>
      <c r="D884" s="4" t="s">
        <v>928</v>
      </c>
      <c r="E884" s="4" t="s">
        <v>929</v>
      </c>
      <c r="M884" s="4" t="s">
        <v>757</v>
      </c>
      <c r="N884" s="4">
        <v>-71.380823175000003</v>
      </c>
      <c r="O884" s="4">
        <v>3.7948771150000002</v>
      </c>
      <c r="P884" s="4" t="s">
        <v>948</v>
      </c>
      <c r="Q884" s="4" t="s">
        <v>877</v>
      </c>
      <c r="R884" s="4" t="s">
        <v>720</v>
      </c>
      <c r="S884" s="2">
        <v>46174.315457176024</v>
      </c>
      <c r="T884" s="5">
        <v>2.8935285185185187E-5</v>
      </c>
      <c r="U884" s="4">
        <v>2.8147069737315178E-2</v>
      </c>
      <c r="V884" s="4" t="s">
        <v>758</v>
      </c>
      <c r="W884" s="4" t="s">
        <v>757</v>
      </c>
      <c r="X884" s="6" t="s">
        <v>617</v>
      </c>
    </row>
    <row r="885" spans="1:24">
      <c r="A885" s="4" t="s">
        <v>926</v>
      </c>
      <c r="B885" s="4" t="s">
        <v>927</v>
      </c>
      <c r="D885" s="4" t="s">
        <v>928</v>
      </c>
      <c r="E885" s="4" t="s">
        <v>929</v>
      </c>
      <c r="M885" s="4" t="s">
        <v>875</v>
      </c>
      <c r="N885" s="4">
        <v>-71.379117316039995</v>
      </c>
      <c r="O885" s="4">
        <v>3.79204138888</v>
      </c>
      <c r="P885" s="4" t="s">
        <v>949</v>
      </c>
      <c r="Q885" s="4" t="s">
        <v>877</v>
      </c>
      <c r="R885" s="4" t="s">
        <v>720</v>
      </c>
      <c r="S885" s="2">
        <v>46174.319695219907</v>
      </c>
      <c r="T885" s="5">
        <v>7.1643518518518519E-5</v>
      </c>
      <c r="U885" s="4">
        <v>3.6861855536699295E-2</v>
      </c>
      <c r="V885" s="4" t="s">
        <v>751</v>
      </c>
      <c r="W885" s="4" t="s">
        <v>875</v>
      </c>
      <c r="X885" s="6" t="s">
        <v>617</v>
      </c>
    </row>
    <row r="886" spans="1:24">
      <c r="A886" s="4" t="s">
        <v>926</v>
      </c>
      <c r="B886" s="4" t="s">
        <v>927</v>
      </c>
      <c r="D886" s="4" t="s">
        <v>928</v>
      </c>
      <c r="E886" s="4" t="s">
        <v>929</v>
      </c>
      <c r="M886" s="4" t="s">
        <v>875</v>
      </c>
      <c r="N886" s="4">
        <v>-71.378633958799995</v>
      </c>
      <c r="O886" s="4">
        <v>3.7922022858400002</v>
      </c>
      <c r="P886" s="4" t="s">
        <v>950</v>
      </c>
      <c r="Q886" s="4" t="s">
        <v>877</v>
      </c>
      <c r="R886" s="4" t="s">
        <v>720</v>
      </c>
      <c r="S886" s="2">
        <v>46174.319838854164</v>
      </c>
      <c r="T886" s="5">
        <v>1.4644675925925925E-4</v>
      </c>
      <c r="U886" s="4">
        <v>0.12215980142354965</v>
      </c>
      <c r="V886" s="4" t="s">
        <v>758</v>
      </c>
      <c r="W886" s="4" t="s">
        <v>875</v>
      </c>
      <c r="X886" s="6" t="s">
        <v>617</v>
      </c>
    </row>
    <row r="887" spans="1:24">
      <c r="A887" s="4" t="s">
        <v>926</v>
      </c>
      <c r="B887" s="4" t="s">
        <v>927</v>
      </c>
      <c r="D887" s="4" t="s">
        <v>928</v>
      </c>
      <c r="E887" s="4" t="s">
        <v>929</v>
      </c>
      <c r="M887" s="4" t="s">
        <v>757</v>
      </c>
      <c r="N887" s="4">
        <v>-71.378129316666673</v>
      </c>
      <c r="O887" s="4">
        <v>3.7917358050000001</v>
      </c>
      <c r="P887" s="4" t="s">
        <v>950</v>
      </c>
      <c r="Q887" s="4" t="s">
        <v>877</v>
      </c>
      <c r="R887" s="4" t="s">
        <v>720</v>
      </c>
      <c r="S887" s="2">
        <v>46174.319936342697</v>
      </c>
      <c r="T887" s="5">
        <v>5.7870370370370373E-5</v>
      </c>
      <c r="U887" s="4">
        <v>5.3821854293346405E-2</v>
      </c>
      <c r="V887" s="4" t="s">
        <v>758</v>
      </c>
      <c r="W887" s="4" t="s">
        <v>757</v>
      </c>
      <c r="X887" s="6" t="s">
        <v>617</v>
      </c>
    </row>
    <row r="888" spans="1:24">
      <c r="A888" s="4" t="s">
        <v>926</v>
      </c>
      <c r="B888" s="4" t="s">
        <v>927</v>
      </c>
      <c r="D888" s="4" t="s">
        <v>928</v>
      </c>
      <c r="E888" s="4" t="s">
        <v>929</v>
      </c>
      <c r="M888" s="4" t="s">
        <v>757</v>
      </c>
      <c r="N888" s="4">
        <v>-71.37578331666667</v>
      </c>
      <c r="O888" s="4">
        <v>3.7903653749999999</v>
      </c>
      <c r="P888" s="4" t="s">
        <v>951</v>
      </c>
      <c r="Q888" s="4" t="s">
        <v>743</v>
      </c>
      <c r="R888" s="4" t="s">
        <v>730</v>
      </c>
      <c r="S888" s="2">
        <v>46174.325092592589</v>
      </c>
      <c r="T888" s="5">
        <v>2.0254629629629629E-5</v>
      </c>
      <c r="U888" s="4">
        <v>1.8606994301080704E-2</v>
      </c>
      <c r="V888" s="4" t="s">
        <v>758</v>
      </c>
      <c r="W888" s="4" t="s">
        <v>757</v>
      </c>
      <c r="X888" s="6" t="s">
        <v>617</v>
      </c>
    </row>
    <row r="889" spans="1:24">
      <c r="A889" s="4" t="s">
        <v>926</v>
      </c>
      <c r="B889" s="4" t="s">
        <v>927</v>
      </c>
      <c r="D889" s="4" t="s">
        <v>928</v>
      </c>
      <c r="E889" s="4" t="s">
        <v>929</v>
      </c>
      <c r="M889" s="4" t="s">
        <v>757</v>
      </c>
      <c r="N889" s="4">
        <v>-71.377142300000003</v>
      </c>
      <c r="O889" s="4">
        <v>3.79126158</v>
      </c>
      <c r="P889" s="4" t="s">
        <v>951</v>
      </c>
      <c r="Q889" s="4" t="s">
        <v>743</v>
      </c>
      <c r="R889" s="4" t="s">
        <v>730</v>
      </c>
      <c r="S889" s="2">
        <v>46174.325298611111</v>
      </c>
      <c r="T889" s="5">
        <v>1.6931712962962964E-4</v>
      </c>
      <c r="U889" s="4">
        <v>0.17035816609859467</v>
      </c>
      <c r="V889" s="4" t="s">
        <v>778</v>
      </c>
      <c r="W889" s="4" t="s">
        <v>757</v>
      </c>
      <c r="X889" s="6" t="s">
        <v>617</v>
      </c>
    </row>
    <row r="890" spans="1:24">
      <c r="A890" s="4" t="s">
        <v>926</v>
      </c>
      <c r="B890" s="4" t="s">
        <v>927</v>
      </c>
      <c r="D890" s="4" t="s">
        <v>928</v>
      </c>
      <c r="E890" s="4" t="s">
        <v>929</v>
      </c>
      <c r="M890" s="4" t="s">
        <v>875</v>
      </c>
      <c r="N890" s="4">
        <v>-71.377757596249992</v>
      </c>
      <c r="O890" s="4">
        <v>3.7915630404000003</v>
      </c>
      <c r="P890" s="4" t="s">
        <v>950</v>
      </c>
      <c r="Q890" s="4" t="s">
        <v>877</v>
      </c>
      <c r="R890" s="4" t="s">
        <v>720</v>
      </c>
      <c r="S890" s="2">
        <v>46174.325373715277</v>
      </c>
      <c r="T890" s="5">
        <v>9.0035879629629635E-4</v>
      </c>
      <c r="U890" s="4">
        <v>0.82844376564025879</v>
      </c>
      <c r="V890" s="4" t="s">
        <v>778</v>
      </c>
      <c r="W890" s="4" t="s">
        <v>875</v>
      </c>
      <c r="X890" s="6" t="s">
        <v>617</v>
      </c>
    </row>
    <row r="891" spans="1:24">
      <c r="A891" s="4" t="s">
        <v>926</v>
      </c>
      <c r="B891" s="4" t="s">
        <v>927</v>
      </c>
      <c r="D891" s="4" t="s">
        <v>928</v>
      </c>
      <c r="E891" s="4" t="s">
        <v>929</v>
      </c>
      <c r="M891" s="4" t="s">
        <v>757</v>
      </c>
      <c r="N891" s="4">
        <v>-71.378912400000004</v>
      </c>
      <c r="O891" s="4">
        <v>3.7925209079999997</v>
      </c>
      <c r="P891" s="4" t="s">
        <v>950</v>
      </c>
      <c r="Q891" s="4" t="s">
        <v>877</v>
      </c>
      <c r="R891" s="4" t="s">
        <v>720</v>
      </c>
      <c r="S891" s="2">
        <v>46174.325546296299</v>
      </c>
      <c r="T891" s="5">
        <v>7.8703703703703702E-5</v>
      </c>
      <c r="U891" s="4">
        <v>7.5044833123683929E-2</v>
      </c>
      <c r="V891" s="4" t="s">
        <v>774</v>
      </c>
      <c r="W891" s="4" t="s">
        <v>757</v>
      </c>
      <c r="X891" s="6" t="s">
        <v>617</v>
      </c>
    </row>
    <row r="892" spans="1:24">
      <c r="A892" s="4" t="s">
        <v>926</v>
      </c>
      <c r="B892" s="4" t="s">
        <v>927</v>
      </c>
      <c r="D892" s="4" t="s">
        <v>928</v>
      </c>
      <c r="E892" s="4" t="s">
        <v>929</v>
      </c>
      <c r="M892" s="4" t="s">
        <v>757</v>
      </c>
      <c r="N892" s="4">
        <v>-71.379684430279994</v>
      </c>
      <c r="O892" s="4">
        <v>3.7959772484299998</v>
      </c>
      <c r="P892" s="4" t="s">
        <v>952</v>
      </c>
      <c r="Q892" s="4" t="s">
        <v>877</v>
      </c>
      <c r="R892" s="4" t="s">
        <v>720</v>
      </c>
      <c r="S892" s="2">
        <v>46174.326020451386</v>
      </c>
      <c r="T892" s="5">
        <v>2.1797453703703703E-4</v>
      </c>
      <c r="U892" s="4">
        <v>0.21665854752063751</v>
      </c>
      <c r="V892" s="4" t="s">
        <v>774</v>
      </c>
      <c r="W892" s="4" t="s">
        <v>757</v>
      </c>
      <c r="X892" s="6" t="s">
        <v>617</v>
      </c>
    </row>
    <row r="893" spans="1:24">
      <c r="A893" s="4" t="s">
        <v>926</v>
      </c>
      <c r="B893" s="4" t="s">
        <v>927</v>
      </c>
      <c r="D893" s="4" t="s">
        <v>928</v>
      </c>
      <c r="E893" s="4" t="s">
        <v>929</v>
      </c>
      <c r="M893" s="4" t="s">
        <v>757</v>
      </c>
      <c r="N893" s="4">
        <v>-71.378162349999997</v>
      </c>
      <c r="O893" s="4">
        <v>3.80006683</v>
      </c>
      <c r="P893" s="4" t="s">
        <v>941</v>
      </c>
      <c r="Q893" s="4" t="s">
        <v>743</v>
      </c>
      <c r="R893" s="4" t="s">
        <v>730</v>
      </c>
      <c r="S893" s="2">
        <v>46174.326597222222</v>
      </c>
      <c r="T893" s="5">
        <v>1.4467602592592592E-4</v>
      </c>
      <c r="U893" s="4">
        <v>0.13799105584621429</v>
      </c>
      <c r="V893" s="4" t="s">
        <v>758</v>
      </c>
      <c r="W893" s="4" t="s">
        <v>757</v>
      </c>
      <c r="X893" s="6" t="s">
        <v>617</v>
      </c>
    </row>
    <row r="894" spans="1:24">
      <c r="A894" s="4" t="s">
        <v>926</v>
      </c>
      <c r="B894" s="4" t="s">
        <v>927</v>
      </c>
      <c r="D894" s="4" t="s">
        <v>928</v>
      </c>
      <c r="E894" s="4" t="s">
        <v>929</v>
      </c>
      <c r="M894" s="4" t="s">
        <v>757</v>
      </c>
      <c r="N894" s="4">
        <v>-71.376762356100002</v>
      </c>
      <c r="O894" s="4">
        <v>3.8023911267420001</v>
      </c>
      <c r="P894" s="4" t="s">
        <v>953</v>
      </c>
      <c r="Q894" s="4" t="s">
        <v>743</v>
      </c>
      <c r="R894" s="4" t="s">
        <v>730</v>
      </c>
      <c r="S894" s="2">
        <v>46174.327062118056</v>
      </c>
      <c r="T894" s="5">
        <v>2.6716435185185187E-4</v>
      </c>
      <c r="U894" s="4">
        <v>0.26575994491577148</v>
      </c>
      <c r="V894" s="4" t="s">
        <v>774</v>
      </c>
      <c r="W894" s="4" t="s">
        <v>757</v>
      </c>
      <c r="X894" s="6" t="s">
        <v>617</v>
      </c>
    </row>
    <row r="895" spans="1:24">
      <c r="A895" s="4" t="s">
        <v>926</v>
      </c>
      <c r="B895" s="4" t="s">
        <v>927</v>
      </c>
      <c r="D895" s="4" t="s">
        <v>928</v>
      </c>
      <c r="E895" s="4" t="s">
        <v>929</v>
      </c>
      <c r="M895" s="4" t="s">
        <v>757</v>
      </c>
      <c r="N895" s="4">
        <v>-71.37832259999999</v>
      </c>
      <c r="O895" s="4">
        <v>3.8073211899999997</v>
      </c>
      <c r="P895" s="4" t="s">
        <v>953</v>
      </c>
      <c r="Q895" s="4" t="s">
        <v>743</v>
      </c>
      <c r="R895" s="4" t="s">
        <v>730</v>
      </c>
      <c r="S895" s="2">
        <v>46174.327766203707</v>
      </c>
      <c r="T895" s="5">
        <v>5.7870370370370373E-5</v>
      </c>
      <c r="U895" s="4">
        <v>5.462409183382988E-2</v>
      </c>
      <c r="V895" s="4" t="s">
        <v>758</v>
      </c>
      <c r="W895" s="4" t="s">
        <v>757</v>
      </c>
      <c r="X895" s="6" t="s">
        <v>617</v>
      </c>
    </row>
    <row r="896" spans="1:24">
      <c r="A896" s="4" t="s">
        <v>926</v>
      </c>
      <c r="B896" s="4" t="s">
        <v>927</v>
      </c>
      <c r="D896" s="4" t="s">
        <v>928</v>
      </c>
      <c r="E896" s="4" t="s">
        <v>929</v>
      </c>
      <c r="M896" s="4" t="s">
        <v>757</v>
      </c>
      <c r="N896" s="4">
        <v>-71.378422560000004</v>
      </c>
      <c r="O896" s="4">
        <v>3.8102638259999999</v>
      </c>
      <c r="P896" s="4" t="s">
        <v>953</v>
      </c>
      <c r="Q896" s="4" t="s">
        <v>743</v>
      </c>
      <c r="R896" s="4" t="s">
        <v>730</v>
      </c>
      <c r="S896" s="2">
        <v>46174.328175925926</v>
      </c>
      <c r="T896" s="5">
        <v>1.1689814814814815E-4</v>
      </c>
      <c r="U896" s="4">
        <v>0.11179699003696442</v>
      </c>
      <c r="V896" s="4" t="s">
        <v>774</v>
      </c>
      <c r="W896" s="4" t="s">
        <v>757</v>
      </c>
      <c r="X896" s="6" t="s">
        <v>617</v>
      </c>
    </row>
    <row r="897" spans="1:24">
      <c r="A897" s="4" t="s">
        <v>926</v>
      </c>
      <c r="B897" s="4" t="s">
        <v>927</v>
      </c>
      <c r="D897" s="4" t="s">
        <v>928</v>
      </c>
      <c r="E897" s="4" t="s">
        <v>929</v>
      </c>
      <c r="M897" s="4" t="s">
        <v>939</v>
      </c>
      <c r="N897" s="4">
        <v>-71.378997799999993</v>
      </c>
      <c r="O897" s="4">
        <v>3.8123383500000001</v>
      </c>
      <c r="P897" s="4" t="s">
        <v>953</v>
      </c>
      <c r="Q897" s="4" t="s">
        <v>743</v>
      </c>
      <c r="R897" s="4" t="s">
        <v>730</v>
      </c>
      <c r="S897" s="2">
        <v>46174.331782407404</v>
      </c>
      <c r="T897" s="5">
        <v>0</v>
      </c>
      <c r="U897" s="4">
        <v>0</v>
      </c>
      <c r="V897" s="4" t="s">
        <v>954</v>
      </c>
      <c r="W897" s="4" t="s">
        <v>939</v>
      </c>
      <c r="X897" s="6" t="s">
        <v>617</v>
      </c>
    </row>
    <row r="898" spans="1:24">
      <c r="A898" s="4" t="s">
        <v>926</v>
      </c>
      <c r="B898" s="4" t="s">
        <v>927</v>
      </c>
      <c r="D898" s="4" t="s">
        <v>928</v>
      </c>
      <c r="E898" s="4" t="s">
        <v>929</v>
      </c>
      <c r="M898" s="4" t="s">
        <v>757</v>
      </c>
      <c r="N898" s="4">
        <v>-71.378723175000005</v>
      </c>
      <c r="O898" s="4">
        <v>3.8082998424999999</v>
      </c>
      <c r="P898" s="4" t="s">
        <v>953</v>
      </c>
      <c r="Q898" s="4" t="s">
        <v>743</v>
      </c>
      <c r="R898" s="4" t="s">
        <v>730</v>
      </c>
      <c r="S898" s="2">
        <v>46174.334320023147</v>
      </c>
      <c r="T898" s="5">
        <v>1.244212962962963E-4</v>
      </c>
      <c r="U898" s="4">
        <v>0.1210343986749649</v>
      </c>
      <c r="V898" s="4" t="s">
        <v>758</v>
      </c>
      <c r="W898" s="4" t="s">
        <v>757</v>
      </c>
      <c r="X898" s="6" t="s">
        <v>617</v>
      </c>
    </row>
    <row r="899" spans="1:24">
      <c r="A899" s="4" t="s">
        <v>926</v>
      </c>
      <c r="B899" s="4" t="s">
        <v>927</v>
      </c>
      <c r="D899" s="4" t="s">
        <v>928</v>
      </c>
      <c r="E899" s="4" t="s">
        <v>929</v>
      </c>
      <c r="M899" s="4" t="s">
        <v>757</v>
      </c>
      <c r="N899" s="4">
        <v>-71.377864850000009</v>
      </c>
      <c r="O899" s="4">
        <v>3.8055301950000002</v>
      </c>
      <c r="P899" s="4" t="s">
        <v>953</v>
      </c>
      <c r="Q899" s="4" t="s">
        <v>743</v>
      </c>
      <c r="R899" s="4" t="s">
        <v>730</v>
      </c>
      <c r="S899" s="2">
        <v>46174.334739583435</v>
      </c>
      <c r="T899" s="5">
        <v>4.6296296296296294E-5</v>
      </c>
      <c r="U899" s="4">
        <v>4.1756048798561096E-2</v>
      </c>
      <c r="V899" s="4" t="s">
        <v>758</v>
      </c>
      <c r="W899" s="4" t="s">
        <v>757</v>
      </c>
      <c r="X899" s="6" t="s">
        <v>617</v>
      </c>
    </row>
    <row r="900" spans="1:24">
      <c r="A900" s="4" t="s">
        <v>926</v>
      </c>
      <c r="B900" s="4" t="s">
        <v>927</v>
      </c>
      <c r="D900" s="4" t="s">
        <v>928</v>
      </c>
      <c r="E900" s="4" t="s">
        <v>929</v>
      </c>
      <c r="M900" s="4" t="s">
        <v>757</v>
      </c>
      <c r="N900" s="4">
        <v>-71.377385450000006</v>
      </c>
      <c r="O900" s="4">
        <v>3.8045983733333335</v>
      </c>
      <c r="P900" s="4" t="s">
        <v>953</v>
      </c>
      <c r="Q900" s="4" t="s">
        <v>743</v>
      </c>
      <c r="R900" s="4" t="s">
        <v>730</v>
      </c>
      <c r="S900" s="2">
        <v>46174.334872685184</v>
      </c>
      <c r="T900" s="5">
        <v>2.1508101851851853E-4</v>
      </c>
      <c r="U900" s="4">
        <v>0.21198844909667969</v>
      </c>
      <c r="V900" s="4" t="s">
        <v>758</v>
      </c>
      <c r="W900" s="4" t="s">
        <v>757</v>
      </c>
      <c r="X900" s="6" t="s">
        <v>617</v>
      </c>
    </row>
    <row r="901" spans="1:24">
      <c r="A901" s="4" t="s">
        <v>926</v>
      </c>
      <c r="B901" s="4" t="s">
        <v>927</v>
      </c>
      <c r="D901" s="4" t="s">
        <v>928</v>
      </c>
      <c r="E901" s="4" t="s">
        <v>929</v>
      </c>
      <c r="M901" s="4" t="s">
        <v>757</v>
      </c>
      <c r="N901" s="4">
        <v>-71.374373299883331</v>
      </c>
      <c r="O901" s="4">
        <v>3.8013346832733337</v>
      </c>
      <c r="P901" s="4" t="s">
        <v>941</v>
      </c>
      <c r="Q901" s="4" t="s">
        <v>743</v>
      </c>
      <c r="R901" s="4" t="s">
        <v>730</v>
      </c>
      <c r="S901" s="2">
        <v>46174.335634918978</v>
      </c>
      <c r="T901" s="5">
        <v>1.1320601851851852E-3</v>
      </c>
      <c r="U901" s="4">
        <v>1.1724560260772705</v>
      </c>
      <c r="V901" s="4" t="s">
        <v>849</v>
      </c>
      <c r="W901" s="4" t="s">
        <v>757</v>
      </c>
      <c r="X901" s="6" t="s">
        <v>617</v>
      </c>
    </row>
    <row r="902" spans="1:24">
      <c r="A902" s="4" t="s">
        <v>926</v>
      </c>
      <c r="B902" s="4" t="s">
        <v>927</v>
      </c>
      <c r="D902" s="4" t="s">
        <v>928</v>
      </c>
      <c r="E902" s="4" t="s">
        <v>929</v>
      </c>
      <c r="M902" s="4" t="s">
        <v>757</v>
      </c>
      <c r="N902" s="4">
        <v>-71.364412923160003</v>
      </c>
      <c r="O902" s="4">
        <v>3.80011386817</v>
      </c>
      <c r="P902" s="4" t="s">
        <v>955</v>
      </c>
      <c r="Q902" s="4" t="s">
        <v>743</v>
      </c>
      <c r="R902" s="4" t="s">
        <v>730</v>
      </c>
      <c r="S902" s="2">
        <v>46174.336917442131</v>
      </c>
      <c r="T902" s="5">
        <v>2.044675925925926E-4</v>
      </c>
      <c r="U902" s="4">
        <v>0.20385892689228058</v>
      </c>
      <c r="V902" s="4" t="s">
        <v>774</v>
      </c>
      <c r="W902" s="4" t="s">
        <v>757</v>
      </c>
      <c r="X902" s="6" t="s">
        <v>617</v>
      </c>
    </row>
    <row r="903" spans="1:24">
      <c r="A903" s="4" t="s">
        <v>926</v>
      </c>
      <c r="B903" s="4" t="s">
        <v>927</v>
      </c>
      <c r="D903" s="4" t="s">
        <v>928</v>
      </c>
      <c r="E903" s="4" t="s">
        <v>929</v>
      </c>
      <c r="M903" s="4" t="s">
        <v>939</v>
      </c>
      <c r="N903" s="4">
        <v>-71.364013700000001</v>
      </c>
      <c r="O903" s="4">
        <v>3.8033072899999998</v>
      </c>
      <c r="P903" s="4" t="s">
        <v>955</v>
      </c>
      <c r="Q903" s="4" t="s">
        <v>743</v>
      </c>
      <c r="R903" s="4" t="s">
        <v>730</v>
      </c>
      <c r="S903" s="2">
        <v>46174.337731481479</v>
      </c>
      <c r="T903" s="5">
        <v>0</v>
      </c>
      <c r="U903" s="4">
        <v>0</v>
      </c>
      <c r="V903" s="4" t="s">
        <v>628</v>
      </c>
      <c r="W903" s="4" t="s">
        <v>939</v>
      </c>
      <c r="X903" s="6" t="s">
        <v>617</v>
      </c>
    </row>
    <row r="904" spans="1:24">
      <c r="A904" s="4" t="s">
        <v>926</v>
      </c>
      <c r="B904" s="4" t="s">
        <v>927</v>
      </c>
      <c r="D904" s="4" t="s">
        <v>928</v>
      </c>
      <c r="E904" s="4" t="s">
        <v>929</v>
      </c>
      <c r="M904" s="4" t="s">
        <v>757</v>
      </c>
      <c r="N904" s="4">
        <v>-71.363681749999998</v>
      </c>
      <c r="O904" s="4">
        <v>3.8038604300000003</v>
      </c>
      <c r="P904" s="4" t="s">
        <v>955</v>
      </c>
      <c r="Q904" s="4" t="s">
        <v>743</v>
      </c>
      <c r="R904" s="4" t="s">
        <v>730</v>
      </c>
      <c r="S904" s="2">
        <v>46174.337829861215</v>
      </c>
      <c r="T904" s="5">
        <v>2.6041666666666668E-5</v>
      </c>
      <c r="U904" s="4">
        <v>2.4473551660776138E-2</v>
      </c>
      <c r="V904" s="4" t="s">
        <v>758</v>
      </c>
      <c r="W904" s="4" t="s">
        <v>757</v>
      </c>
      <c r="X904" s="6" t="s">
        <v>617</v>
      </c>
    </row>
    <row r="905" spans="1:24">
      <c r="A905" s="4" t="s">
        <v>926</v>
      </c>
      <c r="B905" s="4" t="s">
        <v>927</v>
      </c>
      <c r="D905" s="4" t="s">
        <v>928</v>
      </c>
      <c r="E905" s="4" t="s">
        <v>929</v>
      </c>
      <c r="M905" s="4" t="s">
        <v>757</v>
      </c>
      <c r="N905" s="4">
        <v>-71.363632175000006</v>
      </c>
      <c r="O905" s="4">
        <v>3.8044635675</v>
      </c>
      <c r="P905" s="4" t="s">
        <v>955</v>
      </c>
      <c r="Q905" s="4" t="s">
        <v>743</v>
      </c>
      <c r="R905" s="4" t="s">
        <v>730</v>
      </c>
      <c r="S905" s="2">
        <v>46174.337907986112</v>
      </c>
      <c r="T905" s="5">
        <v>3.9062500000000002E-4</v>
      </c>
      <c r="U905" s="4">
        <v>0.39155253767967224</v>
      </c>
      <c r="V905" s="4" t="s">
        <v>778</v>
      </c>
      <c r="W905" s="4" t="s">
        <v>757</v>
      </c>
      <c r="X905" s="6" t="s">
        <v>617</v>
      </c>
    </row>
    <row r="906" spans="1:24">
      <c r="A906" s="4" t="s">
        <v>926</v>
      </c>
      <c r="B906" s="4" t="s">
        <v>927</v>
      </c>
      <c r="D906" s="4" t="s">
        <v>928</v>
      </c>
      <c r="E906" s="4" t="s">
        <v>929</v>
      </c>
      <c r="M906" s="4" t="s">
        <v>757</v>
      </c>
      <c r="N906" s="4">
        <v>-71.364891071428573</v>
      </c>
      <c r="O906" s="4">
        <v>3.8080449771428571</v>
      </c>
      <c r="P906" s="4" t="s">
        <v>955</v>
      </c>
      <c r="Q906" s="4" t="s">
        <v>743</v>
      </c>
      <c r="R906" s="4" t="s">
        <v>730</v>
      </c>
      <c r="S906" s="2">
        <v>46174.338437500002</v>
      </c>
      <c r="T906" s="5">
        <v>1.4351851851851852E-4</v>
      </c>
      <c r="U906" s="4">
        <v>0.14656431972980499</v>
      </c>
      <c r="V906" s="4" t="s">
        <v>778</v>
      </c>
      <c r="W906" s="4" t="s">
        <v>757</v>
      </c>
      <c r="X906" s="6" t="s">
        <v>617</v>
      </c>
    </row>
    <row r="907" spans="1:24">
      <c r="A907" s="4" t="s">
        <v>926</v>
      </c>
      <c r="B907" s="4" t="s">
        <v>927</v>
      </c>
      <c r="D907" s="4" t="s">
        <v>928</v>
      </c>
      <c r="E907" s="4" t="s">
        <v>929</v>
      </c>
      <c r="M907" s="4" t="s">
        <v>757</v>
      </c>
      <c r="N907" s="4">
        <v>-71.363915587737495</v>
      </c>
      <c r="O907" s="4">
        <v>3.8091429420787501</v>
      </c>
      <c r="P907" s="4" t="s">
        <v>955</v>
      </c>
      <c r="Q907" s="4" t="s">
        <v>743</v>
      </c>
      <c r="R907" s="4" t="s">
        <v>730</v>
      </c>
      <c r="S907" s="2">
        <v>46174.338601192132</v>
      </c>
      <c r="T907" s="5">
        <v>6.3175925925925921E-4</v>
      </c>
      <c r="U907" s="4">
        <v>0.67902189493179321</v>
      </c>
      <c r="V907" s="4" t="s">
        <v>956</v>
      </c>
      <c r="W907" s="4" t="s">
        <v>757</v>
      </c>
      <c r="X907" s="6" t="s">
        <v>617</v>
      </c>
    </row>
    <row r="908" spans="1:24">
      <c r="A908" s="4" t="s">
        <v>926</v>
      </c>
      <c r="B908" s="4" t="s">
        <v>927</v>
      </c>
      <c r="D908" s="4" t="s">
        <v>928</v>
      </c>
      <c r="E908" s="4" t="s">
        <v>929</v>
      </c>
      <c r="M908" s="4" t="s">
        <v>757</v>
      </c>
      <c r="N908" s="4">
        <v>-71.361049219500003</v>
      </c>
      <c r="O908" s="4">
        <v>3.8143304874049999</v>
      </c>
      <c r="P908" s="4" t="s">
        <v>955</v>
      </c>
      <c r="Q908" s="4" t="s">
        <v>743</v>
      </c>
      <c r="R908" s="4" t="s">
        <v>730</v>
      </c>
      <c r="S908" s="2">
        <v>46174.339296550927</v>
      </c>
      <c r="T908" s="5">
        <v>2.3883101851851851E-4</v>
      </c>
      <c r="U908" s="4">
        <v>0.24783153831958771</v>
      </c>
      <c r="V908" s="4" t="s">
        <v>849</v>
      </c>
      <c r="W908" s="4" t="s">
        <v>757</v>
      </c>
      <c r="X908" s="6" t="s">
        <v>617</v>
      </c>
    </row>
    <row r="909" spans="1:24">
      <c r="A909" s="4" t="s">
        <v>926</v>
      </c>
      <c r="B909" s="4" t="s">
        <v>927</v>
      </c>
      <c r="D909" s="4" t="s">
        <v>928</v>
      </c>
      <c r="E909" s="4" t="s">
        <v>929</v>
      </c>
      <c r="M909" s="4" t="s">
        <v>757</v>
      </c>
      <c r="N909" s="4">
        <v>-71.360613533839995</v>
      </c>
      <c r="O909" s="4">
        <v>3.8165335979039998</v>
      </c>
      <c r="P909" s="4" t="s">
        <v>955</v>
      </c>
      <c r="Q909" s="4" t="s">
        <v>743</v>
      </c>
      <c r="R909" s="4" t="s">
        <v>730</v>
      </c>
      <c r="S909" s="2">
        <v>46174.339567905095</v>
      </c>
      <c r="T909" s="5">
        <v>2.121875E-4</v>
      </c>
      <c r="U909" s="4">
        <v>0.21166257560253143</v>
      </c>
      <c r="V909" s="4" t="s">
        <v>774</v>
      </c>
      <c r="W909" s="4" t="s">
        <v>757</v>
      </c>
      <c r="X909" s="6" t="s">
        <v>617</v>
      </c>
    </row>
    <row r="910" spans="1:24">
      <c r="A910" s="4" t="s">
        <v>926</v>
      </c>
      <c r="B910" s="4" t="s">
        <v>927</v>
      </c>
      <c r="D910" s="4" t="s">
        <v>928</v>
      </c>
      <c r="E910" s="4" t="s">
        <v>929</v>
      </c>
      <c r="M910" s="4" t="s">
        <v>757</v>
      </c>
      <c r="N910" s="4">
        <v>-71.360285990000008</v>
      </c>
      <c r="O910" s="4">
        <v>3.8190889559999999</v>
      </c>
      <c r="P910" s="4" t="s">
        <v>955</v>
      </c>
      <c r="Q910" s="4" t="s">
        <v>743</v>
      </c>
      <c r="R910" s="4" t="s">
        <v>730</v>
      </c>
      <c r="S910" s="2">
        <v>46174.339892361109</v>
      </c>
      <c r="T910" s="5">
        <v>1.2152777777777777E-5</v>
      </c>
      <c r="U910" s="4">
        <v>1.1267309077084064E-2</v>
      </c>
      <c r="V910" s="4" t="s">
        <v>758</v>
      </c>
      <c r="W910" s="4" t="s">
        <v>757</v>
      </c>
      <c r="X910" s="6" t="s">
        <v>617</v>
      </c>
    </row>
    <row r="911" spans="1:24">
      <c r="A911" s="4" t="s">
        <v>926</v>
      </c>
      <c r="B911" s="4" t="s">
        <v>927</v>
      </c>
      <c r="D911" s="4" t="s">
        <v>928</v>
      </c>
      <c r="E911" s="4" t="s">
        <v>929</v>
      </c>
      <c r="M911" s="4" t="s">
        <v>757</v>
      </c>
      <c r="N911" s="4">
        <v>-71.360557575000001</v>
      </c>
      <c r="O911" s="4">
        <v>3.8195404975000002</v>
      </c>
      <c r="P911" s="4" t="s">
        <v>955</v>
      </c>
      <c r="Q911" s="4" t="s">
        <v>743</v>
      </c>
      <c r="R911" s="4" t="s">
        <v>730</v>
      </c>
      <c r="S911" s="2">
        <v>46174.339956597221</v>
      </c>
      <c r="T911" s="5">
        <v>2.3819444444444443E-5</v>
      </c>
      <c r="U911" s="4">
        <v>2.2346997633576393E-2</v>
      </c>
      <c r="V911" s="4" t="s">
        <v>774</v>
      </c>
      <c r="W911" s="4" t="s">
        <v>757</v>
      </c>
      <c r="X911" s="6" t="s">
        <v>617</v>
      </c>
    </row>
    <row r="912" spans="1:24">
      <c r="A912" s="4" t="s">
        <v>926</v>
      </c>
      <c r="B912" s="4" t="s">
        <v>927</v>
      </c>
      <c r="D912" s="4" t="s">
        <v>928</v>
      </c>
      <c r="E912" s="4" t="s">
        <v>929</v>
      </c>
      <c r="M912" s="4" t="s">
        <v>757</v>
      </c>
      <c r="N912" s="4">
        <v>-71.36148840154739</v>
      </c>
      <c r="O912" s="4">
        <v>3.8196827718920345</v>
      </c>
      <c r="P912" s="4" t="s">
        <v>955</v>
      </c>
      <c r="Q912" s="4" t="s">
        <v>743</v>
      </c>
      <c r="R912" s="4" t="s">
        <v>730</v>
      </c>
      <c r="S912" s="2">
        <v>46174.340083437499</v>
      </c>
      <c r="T912" s="5">
        <v>2.2327546296296296E-4</v>
      </c>
      <c r="U912" s="4">
        <v>0.22440631687641144</v>
      </c>
      <c r="V912" s="4" t="s">
        <v>774</v>
      </c>
      <c r="W912" s="4" t="s">
        <v>757</v>
      </c>
      <c r="X912" s="6" t="s">
        <v>617</v>
      </c>
    </row>
    <row r="913" spans="1:24">
      <c r="A913" s="4" t="s">
        <v>926</v>
      </c>
      <c r="B913" s="4" t="s">
        <v>927</v>
      </c>
      <c r="D913" s="4" t="s">
        <v>928</v>
      </c>
      <c r="E913" s="4" t="s">
        <v>929</v>
      </c>
      <c r="M913" s="4" t="s">
        <v>757</v>
      </c>
      <c r="N913" s="4">
        <v>-71.3642482196</v>
      </c>
      <c r="O913" s="4">
        <v>3.8208612436560001</v>
      </c>
      <c r="P913" s="4" t="s">
        <v>795</v>
      </c>
      <c r="Q913" s="4" t="s">
        <v>743</v>
      </c>
      <c r="R913" s="4" t="s">
        <v>730</v>
      </c>
      <c r="S913" s="2">
        <v>46174.340516006945</v>
      </c>
      <c r="T913" s="5">
        <v>1.0320601851851852E-4</v>
      </c>
      <c r="U913" s="4">
        <v>0.10108663141727448</v>
      </c>
      <c r="V913" s="4" t="s">
        <v>758</v>
      </c>
      <c r="W913" s="4" t="s">
        <v>757</v>
      </c>
      <c r="X913" s="6" t="s">
        <v>617</v>
      </c>
    </row>
    <row r="914" spans="1:24">
      <c r="A914" s="4" t="s">
        <v>926</v>
      </c>
      <c r="B914" s="4" t="s">
        <v>927</v>
      </c>
      <c r="D914" s="4" t="s">
        <v>928</v>
      </c>
      <c r="E914" s="4" t="s">
        <v>929</v>
      </c>
      <c r="M914" s="4" t="s">
        <v>757</v>
      </c>
      <c r="N914" s="4">
        <v>-71.365245799999997</v>
      </c>
      <c r="O914" s="4">
        <v>3.8197960850000001</v>
      </c>
      <c r="P914" s="4" t="s">
        <v>795</v>
      </c>
      <c r="Q914" s="4" t="s">
        <v>743</v>
      </c>
      <c r="R914" s="4" t="s">
        <v>730</v>
      </c>
      <c r="S914" s="2">
        <v>46174.340694444443</v>
      </c>
      <c r="T914" s="5">
        <v>1.1574074074074075E-4</v>
      </c>
      <c r="U914" s="4">
        <v>0.10981009155511856</v>
      </c>
      <c r="V914" s="4" t="s">
        <v>758</v>
      </c>
      <c r="W914" s="4" t="s">
        <v>757</v>
      </c>
      <c r="X914" s="6" t="s">
        <v>617</v>
      </c>
    </row>
    <row r="915" spans="1:24">
      <c r="A915" s="4" t="s">
        <v>926</v>
      </c>
      <c r="B915" s="4" t="s">
        <v>927</v>
      </c>
      <c r="D915" s="4" t="s">
        <v>928</v>
      </c>
      <c r="E915" s="4" t="s">
        <v>929</v>
      </c>
      <c r="M915" s="4" t="s">
        <v>939</v>
      </c>
      <c r="N915" s="4">
        <v>-71.367622400000002</v>
      </c>
      <c r="O915" s="4">
        <v>3.81963491</v>
      </c>
      <c r="P915" s="4" t="s">
        <v>795</v>
      </c>
      <c r="Q915" s="4" t="s">
        <v>743</v>
      </c>
      <c r="R915" s="4" t="s">
        <v>730</v>
      </c>
      <c r="S915" s="2">
        <v>46174.343900462962</v>
      </c>
      <c r="T915" s="5">
        <v>0</v>
      </c>
      <c r="U915" s="4">
        <v>0</v>
      </c>
      <c r="V915" s="4" t="s">
        <v>957</v>
      </c>
      <c r="W915" s="4" t="s">
        <v>939</v>
      </c>
      <c r="X915" s="6" t="s">
        <v>617</v>
      </c>
    </row>
    <row r="916" spans="1:24">
      <c r="A916" s="4" t="s">
        <v>926</v>
      </c>
      <c r="B916" s="4" t="s">
        <v>927</v>
      </c>
      <c r="D916" s="4" t="s">
        <v>928</v>
      </c>
      <c r="E916" s="4" t="s">
        <v>929</v>
      </c>
      <c r="M916" s="4" t="s">
        <v>757</v>
      </c>
      <c r="N916" s="4">
        <v>-71.364601100000002</v>
      </c>
      <c r="O916" s="4">
        <v>3.8202768549999999</v>
      </c>
      <c r="P916" s="4" t="s">
        <v>795</v>
      </c>
      <c r="Q916" s="4" t="s">
        <v>743</v>
      </c>
      <c r="R916" s="4" t="s">
        <v>730</v>
      </c>
      <c r="S916" s="2">
        <v>46174.3460937501</v>
      </c>
      <c r="T916" s="5">
        <v>1.0271990740740741E-4</v>
      </c>
      <c r="U916" s="4">
        <v>9.8140604794025421E-2</v>
      </c>
      <c r="V916" s="4" t="s">
        <v>758</v>
      </c>
      <c r="W916" s="4" t="s">
        <v>757</v>
      </c>
      <c r="X916" s="6" t="s">
        <v>617</v>
      </c>
    </row>
    <row r="917" spans="1:24">
      <c r="A917" s="4" t="s">
        <v>926</v>
      </c>
      <c r="B917" s="4" t="s">
        <v>927</v>
      </c>
      <c r="D917" s="4" t="s">
        <v>928</v>
      </c>
      <c r="E917" s="4" t="s">
        <v>929</v>
      </c>
      <c r="M917" s="4" t="s">
        <v>757</v>
      </c>
      <c r="N917" s="4">
        <v>-71.363026435290422</v>
      </c>
      <c r="O917" s="4">
        <v>3.8207122978049162</v>
      </c>
      <c r="P917" s="4" t="s">
        <v>795</v>
      </c>
      <c r="Q917" s="4" t="s">
        <v>743</v>
      </c>
      <c r="R917" s="4" t="s">
        <v>730</v>
      </c>
      <c r="S917" s="2">
        <v>46174.346417187502</v>
      </c>
      <c r="T917" s="5">
        <v>2.2633101851851853E-4</v>
      </c>
      <c r="U917" s="4">
        <v>0.23169803619384766</v>
      </c>
      <c r="V917" s="4" t="s">
        <v>774</v>
      </c>
      <c r="W917" s="4" t="s">
        <v>757</v>
      </c>
      <c r="X917" s="6" t="s">
        <v>617</v>
      </c>
    </row>
    <row r="918" spans="1:24">
      <c r="A918" s="4" t="s">
        <v>926</v>
      </c>
      <c r="B918" s="4" t="s">
        <v>927</v>
      </c>
      <c r="D918" s="4" t="s">
        <v>928</v>
      </c>
      <c r="E918" s="4" t="s">
        <v>929</v>
      </c>
      <c r="M918" s="4" t="s">
        <v>757</v>
      </c>
      <c r="N918" s="4">
        <v>-71.36026893333333</v>
      </c>
      <c r="O918" s="4">
        <v>3.8190805516666666</v>
      </c>
      <c r="P918" s="4" t="s">
        <v>955</v>
      </c>
      <c r="Q918" s="4" t="s">
        <v>743</v>
      </c>
      <c r="R918" s="4" t="s">
        <v>730</v>
      </c>
      <c r="S918" s="2">
        <v>46174.346811342693</v>
      </c>
      <c r="T918" s="5">
        <v>9.2592592592592591E-6</v>
      </c>
      <c r="U918" s="4">
        <v>8.2753505557775497E-3</v>
      </c>
      <c r="V918" s="4" t="s">
        <v>758</v>
      </c>
      <c r="W918" s="4" t="s">
        <v>757</v>
      </c>
      <c r="X918" s="6" t="s">
        <v>617</v>
      </c>
    </row>
    <row r="919" spans="1:24">
      <c r="A919" s="4" t="s">
        <v>926</v>
      </c>
      <c r="B919" s="4" t="s">
        <v>927</v>
      </c>
      <c r="D919" s="4" t="s">
        <v>928</v>
      </c>
      <c r="E919" s="4" t="s">
        <v>929</v>
      </c>
      <c r="M919" s="4" t="s">
        <v>757</v>
      </c>
      <c r="N919" s="4">
        <v>-71.3605175</v>
      </c>
      <c r="O919" s="4">
        <v>3.8181886700000001</v>
      </c>
      <c r="P919" s="4" t="s">
        <v>955</v>
      </c>
      <c r="Q919" s="4" t="s">
        <v>743</v>
      </c>
      <c r="R919" s="4" t="s">
        <v>730</v>
      </c>
      <c r="S919" s="2">
        <v>46174.346953125001</v>
      </c>
      <c r="T919" s="5">
        <v>4.5942129629629631E-4</v>
      </c>
      <c r="U919" s="4">
        <v>0.46665877103805542</v>
      </c>
      <c r="V919" s="4" t="s">
        <v>778</v>
      </c>
      <c r="W919" s="4" t="s">
        <v>757</v>
      </c>
      <c r="X919" s="6" t="s">
        <v>617</v>
      </c>
    </row>
    <row r="920" spans="1:24">
      <c r="A920" s="4" t="s">
        <v>926</v>
      </c>
      <c r="B920" s="4" t="s">
        <v>927</v>
      </c>
      <c r="D920" s="4" t="s">
        <v>928</v>
      </c>
      <c r="E920" s="4" t="s">
        <v>929</v>
      </c>
      <c r="M920" s="4" t="s">
        <v>757</v>
      </c>
      <c r="N920" s="4">
        <v>-71.361747733333331</v>
      </c>
      <c r="O920" s="4">
        <v>3.8138556499999998</v>
      </c>
      <c r="P920" s="4" t="s">
        <v>955</v>
      </c>
      <c r="Q920" s="4" t="s">
        <v>743</v>
      </c>
      <c r="R920" s="4" t="s">
        <v>730</v>
      </c>
      <c r="S920" s="2">
        <v>46174.34752314815</v>
      </c>
      <c r="T920" s="5">
        <v>6.157407407407407E-4</v>
      </c>
      <c r="U920" s="4">
        <v>0.64127147197723389</v>
      </c>
      <c r="V920" s="4" t="s">
        <v>778</v>
      </c>
      <c r="W920" s="4" t="s">
        <v>757</v>
      </c>
      <c r="X920" s="6" t="s">
        <v>617</v>
      </c>
    </row>
    <row r="921" spans="1:24">
      <c r="A921" s="4" t="s">
        <v>926</v>
      </c>
      <c r="B921" s="4" t="s">
        <v>927</v>
      </c>
      <c r="D921" s="4" t="s">
        <v>928</v>
      </c>
      <c r="E921" s="4" t="s">
        <v>929</v>
      </c>
      <c r="M921" s="4" t="s">
        <v>757</v>
      </c>
      <c r="N921" s="4">
        <v>-71.364589674999991</v>
      </c>
      <c r="O921" s="4">
        <v>3.8086380649999998</v>
      </c>
      <c r="P921" s="4" t="s">
        <v>955</v>
      </c>
      <c r="Q921" s="4" t="s">
        <v>743</v>
      </c>
      <c r="R921" s="4" t="s">
        <v>730</v>
      </c>
      <c r="S921" s="2">
        <v>46174.34824363426</v>
      </c>
      <c r="T921" s="5">
        <v>5.7581018518518517E-4</v>
      </c>
      <c r="U921" s="4">
        <v>0.59306156635284424</v>
      </c>
      <c r="V921" s="4" t="s">
        <v>778</v>
      </c>
      <c r="W921" s="4" t="s">
        <v>757</v>
      </c>
      <c r="X921" s="6" t="s">
        <v>617</v>
      </c>
    </row>
    <row r="922" spans="1:24">
      <c r="A922" s="4" t="s">
        <v>926</v>
      </c>
      <c r="B922" s="4" t="s">
        <v>927</v>
      </c>
      <c r="D922" s="4" t="s">
        <v>928</v>
      </c>
      <c r="E922" s="4" t="s">
        <v>929</v>
      </c>
      <c r="M922" s="4" t="s">
        <v>757</v>
      </c>
      <c r="N922" s="4">
        <v>-71.363902240000002</v>
      </c>
      <c r="O922" s="4">
        <v>3.8035287860000002</v>
      </c>
      <c r="P922" s="4" t="s">
        <v>955</v>
      </c>
      <c r="Q922" s="4" t="s">
        <v>743</v>
      </c>
      <c r="R922" s="4" t="s">
        <v>730</v>
      </c>
      <c r="S922" s="2">
        <v>46174.348944444442</v>
      </c>
      <c r="T922" s="5">
        <v>4.1097222222222224E-4</v>
      </c>
      <c r="U922" s="4">
        <v>0.43625921010971069</v>
      </c>
      <c r="V922" s="4" t="s">
        <v>849</v>
      </c>
      <c r="W922" s="4" t="s">
        <v>757</v>
      </c>
      <c r="X922" s="6" t="s">
        <v>617</v>
      </c>
    </row>
    <row r="923" spans="1:24">
      <c r="A923" s="4" t="s">
        <v>926</v>
      </c>
      <c r="B923" s="4" t="s">
        <v>927</v>
      </c>
      <c r="D923" s="4" t="s">
        <v>928</v>
      </c>
      <c r="E923" s="4" t="s">
        <v>929</v>
      </c>
      <c r="M923" s="4" t="s">
        <v>757</v>
      </c>
      <c r="N923" s="4">
        <v>-71.364917749999989</v>
      </c>
      <c r="O923" s="4">
        <v>3.7984590549999999</v>
      </c>
      <c r="P923" s="4" t="s">
        <v>958</v>
      </c>
      <c r="Q923" s="4" t="s">
        <v>743</v>
      </c>
      <c r="R923" s="4" t="s">
        <v>730</v>
      </c>
      <c r="S923" s="2">
        <v>46174.34960069455</v>
      </c>
      <c r="T923" s="5">
        <v>1.1863425925925926E-4</v>
      </c>
      <c r="U923" s="4">
        <v>0.11451838910579681</v>
      </c>
      <c r="V923" s="4" t="s">
        <v>758</v>
      </c>
      <c r="W923" s="4" t="s">
        <v>757</v>
      </c>
      <c r="X923" s="6" t="s">
        <v>617</v>
      </c>
    </row>
    <row r="924" spans="1:24">
      <c r="A924" s="4" t="s">
        <v>926</v>
      </c>
      <c r="B924" s="4" t="s">
        <v>927</v>
      </c>
      <c r="D924" s="4" t="s">
        <v>928</v>
      </c>
      <c r="E924" s="4" t="s">
        <v>929</v>
      </c>
      <c r="M924" s="4" t="s">
        <v>757</v>
      </c>
      <c r="N924" s="4">
        <v>-71.36333359999999</v>
      </c>
      <c r="O924" s="4">
        <v>3.7972654646666664</v>
      </c>
      <c r="P924" s="4" t="s">
        <v>958</v>
      </c>
      <c r="Q924" s="4" t="s">
        <v>743</v>
      </c>
      <c r="R924" s="4" t="s">
        <v>730</v>
      </c>
      <c r="S924" s="2">
        <v>46174.349868055557</v>
      </c>
      <c r="T924" s="5">
        <v>5.3819444444444444E-5</v>
      </c>
      <c r="U924" s="4">
        <v>5.1601000130176544E-2</v>
      </c>
      <c r="V924" s="4" t="s">
        <v>758</v>
      </c>
      <c r="W924" s="4" t="s">
        <v>757</v>
      </c>
      <c r="X924" s="6" t="s">
        <v>617</v>
      </c>
    </row>
    <row r="925" spans="1:24">
      <c r="A925" s="4" t="s">
        <v>926</v>
      </c>
      <c r="B925" s="4" t="s">
        <v>927</v>
      </c>
      <c r="D925" s="4" t="s">
        <v>928</v>
      </c>
      <c r="E925" s="4" t="s">
        <v>929</v>
      </c>
      <c r="M925" s="4" t="s">
        <v>757</v>
      </c>
      <c r="N925" s="4">
        <v>-71.361370099999988</v>
      </c>
      <c r="O925" s="4">
        <v>3.7954717850000002</v>
      </c>
      <c r="P925" s="4" t="s">
        <v>958</v>
      </c>
      <c r="Q925" s="4" t="s">
        <v>743</v>
      </c>
      <c r="R925" s="4" t="s">
        <v>730</v>
      </c>
      <c r="S925" s="2">
        <v>46174.353252314817</v>
      </c>
      <c r="T925" s="5">
        <v>6.9444444444444444E-5</v>
      </c>
      <c r="U925" s="4">
        <v>6.5364517271518707E-2</v>
      </c>
      <c r="V925" s="4" t="s">
        <v>758</v>
      </c>
      <c r="W925" s="4" t="s">
        <v>757</v>
      </c>
      <c r="X925" s="6" t="s">
        <v>617</v>
      </c>
    </row>
    <row r="926" spans="1:24">
      <c r="A926" s="4" t="s">
        <v>926</v>
      </c>
      <c r="B926" s="4" t="s">
        <v>927</v>
      </c>
      <c r="D926" s="4" t="s">
        <v>928</v>
      </c>
      <c r="E926" s="4" t="s">
        <v>929</v>
      </c>
      <c r="M926" s="4" t="s">
        <v>757</v>
      </c>
      <c r="N926" s="4">
        <v>-71.360459459799998</v>
      </c>
      <c r="O926" s="4">
        <v>3.7946085838766668</v>
      </c>
      <c r="P926" s="4" t="s">
        <v>958</v>
      </c>
      <c r="Q926" s="4" t="s">
        <v>743</v>
      </c>
      <c r="R926" s="4" t="s">
        <v>730</v>
      </c>
      <c r="S926" s="2">
        <v>46174.35340443287</v>
      </c>
      <c r="T926" s="5">
        <v>1.9837962962962964E-5</v>
      </c>
      <c r="U926" s="4">
        <v>1.8810408189892769E-2</v>
      </c>
      <c r="V926" s="4" t="s">
        <v>774</v>
      </c>
      <c r="W926" s="4" t="s">
        <v>757</v>
      </c>
      <c r="X926" s="6" t="s">
        <v>617</v>
      </c>
    </row>
    <row r="927" spans="1:24">
      <c r="A927" s="4" t="s">
        <v>926</v>
      </c>
      <c r="B927" s="4" t="s">
        <v>927</v>
      </c>
      <c r="D927" s="4" t="s">
        <v>928</v>
      </c>
      <c r="E927" s="4" t="s">
        <v>929</v>
      </c>
      <c r="M927" s="4" t="s">
        <v>757</v>
      </c>
      <c r="N927" s="4">
        <v>-71.359978394460001</v>
      </c>
      <c r="O927" s="4">
        <v>3.794235430654</v>
      </c>
      <c r="P927" s="4" t="s">
        <v>958</v>
      </c>
      <c r="Q927" s="4" t="s">
        <v>743</v>
      </c>
      <c r="R927" s="4" t="s">
        <v>730</v>
      </c>
      <c r="S927" s="2">
        <v>46174.353475381948</v>
      </c>
      <c r="T927" s="5">
        <v>5.4710648148148145E-5</v>
      </c>
      <c r="U927" s="4">
        <v>5.5199690163135529E-2</v>
      </c>
      <c r="V927" s="4" t="s">
        <v>849</v>
      </c>
      <c r="W927" s="4" t="s">
        <v>757</v>
      </c>
      <c r="X927" s="6" t="s">
        <v>617</v>
      </c>
    </row>
    <row r="928" spans="1:24">
      <c r="A928" s="4" t="s">
        <v>926</v>
      </c>
      <c r="B928" s="4" t="s">
        <v>927</v>
      </c>
      <c r="D928" s="4" t="s">
        <v>928</v>
      </c>
      <c r="E928" s="4" t="s">
        <v>929</v>
      </c>
      <c r="M928" s="4" t="s">
        <v>757</v>
      </c>
      <c r="N928" s="4">
        <v>-71.359018545499993</v>
      </c>
      <c r="O928" s="4">
        <v>3.7935914563250002</v>
      </c>
      <c r="P928" s="4" t="s">
        <v>958</v>
      </c>
      <c r="Q928" s="4" t="s">
        <v>743</v>
      </c>
      <c r="R928" s="4" t="s">
        <v>730</v>
      </c>
      <c r="S928" s="2">
        <v>46174.353617418979</v>
      </c>
      <c r="T928" s="5">
        <v>2.7523148148148148E-5</v>
      </c>
      <c r="U928" s="4">
        <v>2.5278136134147644E-2</v>
      </c>
      <c r="V928" s="4" t="s">
        <v>778</v>
      </c>
      <c r="W928" s="4" t="s">
        <v>757</v>
      </c>
      <c r="X928" s="6" t="s">
        <v>617</v>
      </c>
    </row>
    <row r="929" spans="1:24">
      <c r="A929" s="4" t="s">
        <v>926</v>
      </c>
      <c r="B929" s="4" t="s">
        <v>927</v>
      </c>
      <c r="D929" s="4" t="s">
        <v>928</v>
      </c>
      <c r="E929" s="4" t="s">
        <v>929</v>
      </c>
      <c r="M929" s="4" t="s">
        <v>757</v>
      </c>
      <c r="N929" s="4">
        <v>-71.358292575000007</v>
      </c>
      <c r="O929" s="4">
        <v>3.7931812075</v>
      </c>
      <c r="P929" s="4" t="s">
        <v>958</v>
      </c>
      <c r="Q929" s="4" t="s">
        <v>743</v>
      </c>
      <c r="R929" s="4" t="s">
        <v>730</v>
      </c>
      <c r="S929" s="2">
        <v>46174.353722511572</v>
      </c>
      <c r="T929" s="5">
        <v>1.0465277777777778E-4</v>
      </c>
      <c r="U929" s="4">
        <v>0.11109770834445953</v>
      </c>
      <c r="V929" s="4" t="s">
        <v>774</v>
      </c>
      <c r="W929" s="4" t="s">
        <v>757</v>
      </c>
      <c r="X929" s="6" t="s">
        <v>617</v>
      </c>
    </row>
    <row r="930" spans="1:24">
      <c r="A930" s="4" t="s">
        <v>926</v>
      </c>
      <c r="B930" s="4" t="s">
        <v>927</v>
      </c>
      <c r="D930" s="4" t="s">
        <v>928</v>
      </c>
      <c r="E930" s="4" t="s">
        <v>929</v>
      </c>
      <c r="M930" s="4" t="s">
        <v>757</v>
      </c>
      <c r="N930" s="4">
        <v>-71.356143592720002</v>
      </c>
      <c r="O930" s="4">
        <v>3.7912650915519999</v>
      </c>
      <c r="P930" s="4" t="s">
        <v>958</v>
      </c>
      <c r="Q930" s="4" t="s">
        <v>743</v>
      </c>
      <c r="R930" s="4" t="s">
        <v>730</v>
      </c>
      <c r="S930" s="2">
        <v>46174.354147731479</v>
      </c>
      <c r="T930" s="5">
        <v>6.8541666666666661E-5</v>
      </c>
      <c r="U930" s="4">
        <v>6.4227722585201263E-2</v>
      </c>
      <c r="V930" s="4" t="s">
        <v>778</v>
      </c>
      <c r="W930" s="4" t="s">
        <v>757</v>
      </c>
      <c r="X930" s="6" t="s">
        <v>617</v>
      </c>
    </row>
    <row r="931" spans="1:24">
      <c r="A931" s="4" t="s">
        <v>926</v>
      </c>
      <c r="B931" s="4" t="s">
        <v>927</v>
      </c>
      <c r="D931" s="4" t="s">
        <v>928</v>
      </c>
      <c r="E931" s="4" t="s">
        <v>929</v>
      </c>
      <c r="M931" s="4" t="s">
        <v>757</v>
      </c>
      <c r="N931" s="4">
        <v>-71.355213197830011</v>
      </c>
      <c r="O931" s="4">
        <v>3.7885017638940002</v>
      </c>
      <c r="P931" s="4" t="s">
        <v>958</v>
      </c>
      <c r="Q931" s="4" t="s">
        <v>743</v>
      </c>
      <c r="R931" s="4" t="s">
        <v>730</v>
      </c>
      <c r="S931" s="2">
        <v>46174.354529317126</v>
      </c>
      <c r="T931" s="5">
        <v>2.4434027777777778E-4</v>
      </c>
      <c r="U931" s="4">
        <v>0.24439707398414612</v>
      </c>
      <c r="V931" s="4" t="s">
        <v>774</v>
      </c>
      <c r="W931" s="4" t="s">
        <v>757</v>
      </c>
      <c r="X931" s="6" t="s">
        <v>617</v>
      </c>
    </row>
    <row r="932" spans="1:24">
      <c r="A932" s="4" t="s">
        <v>926</v>
      </c>
      <c r="B932" s="4" t="s">
        <v>927</v>
      </c>
      <c r="D932" s="4" t="s">
        <v>928</v>
      </c>
      <c r="E932" s="4" t="s">
        <v>929</v>
      </c>
      <c r="M932" s="4" t="s">
        <v>757</v>
      </c>
      <c r="N932" s="4">
        <v>-71.356041729999987</v>
      </c>
      <c r="O932" s="4">
        <v>3.7840420479999999</v>
      </c>
      <c r="P932" s="4" t="s">
        <v>958</v>
      </c>
      <c r="Q932" s="4" t="s">
        <v>743</v>
      </c>
      <c r="R932" s="4" t="s">
        <v>730</v>
      </c>
      <c r="S932" s="2">
        <v>46174.355131944445</v>
      </c>
      <c r="T932" s="5">
        <v>9.2592592592592591E-6</v>
      </c>
      <c r="U932" s="4">
        <v>8.1030819565057755E-3</v>
      </c>
      <c r="V932" s="4" t="s">
        <v>758</v>
      </c>
      <c r="W932" s="4" t="s">
        <v>757</v>
      </c>
      <c r="X932" s="6" t="s">
        <v>617</v>
      </c>
    </row>
    <row r="933" spans="1:24">
      <c r="A933" s="4" t="s">
        <v>926</v>
      </c>
      <c r="B933" s="4" t="s">
        <v>927</v>
      </c>
      <c r="D933" s="4" t="s">
        <v>928</v>
      </c>
      <c r="E933" s="4" t="s">
        <v>929</v>
      </c>
      <c r="M933" s="4" t="s">
        <v>939</v>
      </c>
      <c r="N933" s="4">
        <v>-71.358245800000006</v>
      </c>
      <c r="O933" s="4">
        <v>3.7833411699999999</v>
      </c>
      <c r="P933" s="4" t="s">
        <v>959</v>
      </c>
      <c r="Q933" s="4" t="s">
        <v>743</v>
      </c>
      <c r="R933" s="4" t="s">
        <v>730</v>
      </c>
      <c r="S933" s="2">
        <v>46174.356909722221</v>
      </c>
      <c r="T933" s="5">
        <v>0</v>
      </c>
      <c r="U933" s="4">
        <v>0</v>
      </c>
      <c r="V933" s="4" t="s">
        <v>960</v>
      </c>
      <c r="W933" s="4" t="s">
        <v>939</v>
      </c>
      <c r="X933" s="6" t="s">
        <v>617</v>
      </c>
    </row>
    <row r="934" spans="1:24">
      <c r="A934" s="4" t="s">
        <v>926</v>
      </c>
      <c r="B934" s="4" t="s">
        <v>927</v>
      </c>
      <c r="D934" s="4" t="s">
        <v>928</v>
      </c>
      <c r="E934" s="4" t="s">
        <v>929</v>
      </c>
      <c r="M934" s="4" t="s">
        <v>674</v>
      </c>
      <c r="N934" s="4">
        <v>-71.358238200000002</v>
      </c>
      <c r="O934" s="4">
        <v>3.7833344900000001</v>
      </c>
      <c r="P934" s="4" t="s">
        <v>959</v>
      </c>
      <c r="Q934" s="4" t="s">
        <v>743</v>
      </c>
      <c r="R934" s="4" t="s">
        <v>730</v>
      </c>
      <c r="S934" s="2">
        <v>46174.356921296298</v>
      </c>
      <c r="T934" s="5">
        <v>0</v>
      </c>
      <c r="U934" s="4">
        <v>0</v>
      </c>
      <c r="V934" s="4" t="s">
        <v>961</v>
      </c>
      <c r="W934" s="4" t="s">
        <v>674</v>
      </c>
      <c r="X934" s="6" t="s">
        <v>617</v>
      </c>
    </row>
    <row r="935" spans="1:24">
      <c r="A935" s="4" t="s">
        <v>926</v>
      </c>
      <c r="B935" s="4" t="s">
        <v>927</v>
      </c>
      <c r="D935" s="4" t="s">
        <v>928</v>
      </c>
      <c r="E935" s="4" t="s">
        <v>929</v>
      </c>
      <c r="M935" s="4" t="s">
        <v>939</v>
      </c>
      <c r="N935" s="4">
        <v>-71.358566300000007</v>
      </c>
      <c r="O935" s="4">
        <v>3.7834474999999999</v>
      </c>
      <c r="P935" s="4" t="s">
        <v>959</v>
      </c>
      <c r="Q935" s="4" t="s">
        <v>743</v>
      </c>
      <c r="R935" s="4" t="s">
        <v>730</v>
      </c>
      <c r="S935" s="2">
        <v>46174.358576388891</v>
      </c>
      <c r="T935" s="5">
        <v>0</v>
      </c>
      <c r="U935" s="4">
        <v>0</v>
      </c>
      <c r="V935" s="4" t="s">
        <v>962</v>
      </c>
      <c r="W935" s="4" t="s">
        <v>939</v>
      </c>
      <c r="X935" s="6" t="s">
        <v>617</v>
      </c>
    </row>
    <row r="936" spans="1:24">
      <c r="A936" s="4" t="s">
        <v>926</v>
      </c>
      <c r="B936" s="4" t="s">
        <v>927</v>
      </c>
      <c r="D936" s="4" t="s">
        <v>928</v>
      </c>
      <c r="E936" s="4" t="s">
        <v>929</v>
      </c>
      <c r="M936" s="4" t="s">
        <v>757</v>
      </c>
      <c r="N936" s="4">
        <v>-71.354939062100001</v>
      </c>
      <c r="O936" s="4">
        <v>3.7867560085499998</v>
      </c>
      <c r="P936" s="4" t="s">
        <v>958</v>
      </c>
      <c r="Q936" s="4" t="s">
        <v>743</v>
      </c>
      <c r="R936" s="4" t="s">
        <v>730</v>
      </c>
      <c r="S936" s="2">
        <v>46174.360930891205</v>
      </c>
      <c r="T936" s="5">
        <v>1.7893518518518519E-4</v>
      </c>
      <c r="U936" s="4">
        <v>0.17985841631889343</v>
      </c>
      <c r="V936" s="4" t="s">
        <v>778</v>
      </c>
      <c r="W936" s="4" t="s">
        <v>757</v>
      </c>
      <c r="X936" s="6" t="s">
        <v>617</v>
      </c>
    </row>
    <row r="937" spans="1:24">
      <c r="A937" s="4" t="s">
        <v>926</v>
      </c>
      <c r="B937" s="4" t="s">
        <v>927</v>
      </c>
      <c r="D937" s="4" t="s">
        <v>928</v>
      </c>
      <c r="E937" s="4" t="s">
        <v>929</v>
      </c>
      <c r="M937" s="4" t="s">
        <v>757</v>
      </c>
      <c r="N937" s="4">
        <v>-71.355357359999999</v>
      </c>
      <c r="O937" s="4">
        <v>3.7886378299999999</v>
      </c>
      <c r="P937" s="4" t="s">
        <v>958</v>
      </c>
      <c r="Q937" s="4" t="s">
        <v>743</v>
      </c>
      <c r="R937" s="4" t="s">
        <v>730</v>
      </c>
      <c r="S937" s="2">
        <v>46174.361166666669</v>
      </c>
      <c r="T937" s="5">
        <v>2.7118055555555555E-5</v>
      </c>
      <c r="U937" s="4">
        <v>2.5476759299635887E-2</v>
      </c>
      <c r="V937" s="4" t="s">
        <v>774</v>
      </c>
      <c r="W937" s="4" t="s">
        <v>757</v>
      </c>
      <c r="X937" s="6" t="s">
        <v>617</v>
      </c>
    </row>
    <row r="938" spans="1:24">
      <c r="A938" s="4" t="s">
        <v>926</v>
      </c>
      <c r="B938" s="4" t="s">
        <v>927</v>
      </c>
      <c r="D938" s="4" t="s">
        <v>928</v>
      </c>
      <c r="E938" s="4" t="s">
        <v>929</v>
      </c>
      <c r="M938" s="4" t="s">
        <v>625</v>
      </c>
      <c r="N938" s="4">
        <v>-71.355606100000003</v>
      </c>
      <c r="O938" s="4">
        <v>3.78936005</v>
      </c>
      <c r="P938" s="4" t="s">
        <v>958</v>
      </c>
      <c r="Q938" s="4" t="s">
        <v>743</v>
      </c>
      <c r="R938" s="4" t="s">
        <v>730</v>
      </c>
      <c r="S938" s="2">
        <v>46174.361261574071</v>
      </c>
      <c r="T938" s="5">
        <v>0</v>
      </c>
      <c r="U938" s="4">
        <v>0</v>
      </c>
      <c r="V938" s="4" t="s">
        <v>963</v>
      </c>
      <c r="W938" s="4" t="s">
        <v>625</v>
      </c>
      <c r="X938" s="6" t="s">
        <v>617</v>
      </c>
    </row>
    <row r="939" spans="1:24">
      <c r="A939" s="4" t="s">
        <v>926</v>
      </c>
      <c r="B939" s="4" t="s">
        <v>927</v>
      </c>
      <c r="D939" s="4" t="s">
        <v>928</v>
      </c>
      <c r="E939" s="4" t="s">
        <v>929</v>
      </c>
      <c r="M939" s="4" t="s">
        <v>757</v>
      </c>
      <c r="N939" s="4">
        <v>-71.355947655199998</v>
      </c>
      <c r="O939" s="4">
        <v>3.7907839591560002</v>
      </c>
      <c r="P939" s="4" t="s">
        <v>958</v>
      </c>
      <c r="Q939" s="4" t="s">
        <v>743</v>
      </c>
      <c r="R939" s="4" t="s">
        <v>730</v>
      </c>
      <c r="S939" s="2">
        <v>46174.361479699073</v>
      </c>
      <c r="T939" s="5">
        <v>9.6481481481481475E-5</v>
      </c>
      <c r="U939" s="4">
        <v>9.7835943102836609E-2</v>
      </c>
      <c r="V939" s="4" t="s">
        <v>956</v>
      </c>
      <c r="W939" s="4" t="s">
        <v>757</v>
      </c>
      <c r="X939" s="6" t="s">
        <v>617</v>
      </c>
    </row>
    <row r="940" spans="1:24">
      <c r="A940" s="4" t="s">
        <v>926</v>
      </c>
      <c r="B940" s="4" t="s">
        <v>927</v>
      </c>
      <c r="D940" s="4" t="s">
        <v>928</v>
      </c>
      <c r="E940" s="4" t="s">
        <v>929</v>
      </c>
      <c r="M940" s="4" t="s">
        <v>757</v>
      </c>
      <c r="N940" s="4">
        <v>-71.358350964879989</v>
      </c>
      <c r="O940" s="4">
        <v>3.7932476752239999</v>
      </c>
      <c r="P940" s="4" t="s">
        <v>958</v>
      </c>
      <c r="Q940" s="4" t="s">
        <v>743</v>
      </c>
      <c r="R940" s="4" t="s">
        <v>730</v>
      </c>
      <c r="S940" s="2">
        <v>46174.361977881941</v>
      </c>
      <c r="T940" s="5">
        <v>2.2777777777777776E-5</v>
      </c>
      <c r="U940" s="4">
        <v>2.1258877590298653E-2</v>
      </c>
      <c r="V940" s="4" t="s">
        <v>774</v>
      </c>
      <c r="W940" s="4" t="s">
        <v>757</v>
      </c>
      <c r="X940" s="6" t="s">
        <v>617</v>
      </c>
    </row>
    <row r="941" spans="1:24">
      <c r="A941" s="4" t="s">
        <v>926</v>
      </c>
      <c r="B941" s="4" t="s">
        <v>927</v>
      </c>
      <c r="D941" s="4" t="s">
        <v>928</v>
      </c>
      <c r="E941" s="4" t="s">
        <v>929</v>
      </c>
      <c r="M941" s="4" t="s">
        <v>757</v>
      </c>
      <c r="N941" s="4">
        <v>-71.358898580499996</v>
      </c>
      <c r="O941" s="4">
        <v>3.7935497371950002</v>
      </c>
      <c r="P941" s="4" t="s">
        <v>958</v>
      </c>
      <c r="Q941" s="4" t="s">
        <v>743</v>
      </c>
      <c r="R941" s="4" t="s">
        <v>730</v>
      </c>
      <c r="S941" s="2">
        <v>46174.362051180557</v>
      </c>
      <c r="T941" s="5">
        <v>4.5509259259259258E-5</v>
      </c>
      <c r="U941" s="4">
        <v>4.4189460575580597E-2</v>
      </c>
      <c r="V941" s="4" t="s">
        <v>778</v>
      </c>
      <c r="W941" s="4" t="s">
        <v>757</v>
      </c>
      <c r="X941" s="6" t="s">
        <v>617</v>
      </c>
    </row>
    <row r="942" spans="1:24">
      <c r="A942" s="4" t="s">
        <v>926</v>
      </c>
      <c r="B942" s="4" t="s">
        <v>927</v>
      </c>
      <c r="D942" s="4" t="s">
        <v>928</v>
      </c>
      <c r="E942" s="4" t="s">
        <v>929</v>
      </c>
      <c r="M942" s="4" t="s">
        <v>757</v>
      </c>
      <c r="N942" s="4">
        <v>-71.3596842659</v>
      </c>
      <c r="O942" s="4">
        <v>3.79406170122</v>
      </c>
      <c r="P942" s="4" t="s">
        <v>958</v>
      </c>
      <c r="Q942" s="4" t="s">
        <v>743</v>
      </c>
      <c r="R942" s="4" t="s">
        <v>730</v>
      </c>
      <c r="S942" s="2">
        <v>46174.362171469904</v>
      </c>
      <c r="T942" s="5">
        <v>2.8377314814814812E-4</v>
      </c>
      <c r="U942" s="4">
        <v>0.29172667860984802</v>
      </c>
      <c r="V942" s="4" t="s">
        <v>774</v>
      </c>
      <c r="W942" s="4" t="s">
        <v>757</v>
      </c>
      <c r="X942" s="6" t="s">
        <v>617</v>
      </c>
    </row>
    <row r="943" spans="1:24">
      <c r="A943" s="4" t="s">
        <v>926</v>
      </c>
      <c r="B943" s="4" t="s">
        <v>927</v>
      </c>
      <c r="D943" s="4" t="s">
        <v>928</v>
      </c>
      <c r="E943" s="4" t="s">
        <v>929</v>
      </c>
      <c r="M943" s="4" t="s">
        <v>757</v>
      </c>
      <c r="N943" s="4">
        <v>-71.364491817800001</v>
      </c>
      <c r="O943" s="4">
        <v>3.7972531844100001</v>
      </c>
      <c r="P943" s="4" t="s">
        <v>958</v>
      </c>
      <c r="Q943" s="4" t="s">
        <v>743</v>
      </c>
      <c r="R943" s="4" t="s">
        <v>730</v>
      </c>
      <c r="S943" s="2">
        <v>46174.363260034719</v>
      </c>
      <c r="T943" s="5">
        <v>8.1944444444444447E-6</v>
      </c>
      <c r="U943" s="4">
        <v>7.4309837073087692E-3</v>
      </c>
      <c r="V943" s="4" t="s">
        <v>758</v>
      </c>
      <c r="W943" s="4" t="s">
        <v>757</v>
      </c>
      <c r="X943" s="6" t="s">
        <v>617</v>
      </c>
    </row>
    <row r="944" spans="1:24">
      <c r="A944" s="4" t="s">
        <v>926</v>
      </c>
      <c r="B944" s="4" t="s">
        <v>927</v>
      </c>
      <c r="D944" s="4" t="s">
        <v>928</v>
      </c>
      <c r="E944" s="4" t="s">
        <v>929</v>
      </c>
      <c r="M944" s="4" t="s">
        <v>757</v>
      </c>
      <c r="N944" s="4">
        <v>-71.365141555199997</v>
      </c>
      <c r="O944" s="4">
        <v>3.7964401399979999</v>
      </c>
      <c r="P944" s="4" t="s">
        <v>958</v>
      </c>
      <c r="Q944" s="4" t="s">
        <v>743</v>
      </c>
      <c r="R944" s="4" t="s">
        <v>730</v>
      </c>
      <c r="S944" s="2">
        <v>46174.363393136577</v>
      </c>
      <c r="T944" s="5">
        <v>1.1574074074074073E-5</v>
      </c>
      <c r="U944" s="4">
        <v>1.0890812613070011E-2</v>
      </c>
      <c r="V944" s="4" t="s">
        <v>758</v>
      </c>
      <c r="W944" s="4" t="s">
        <v>757</v>
      </c>
      <c r="X944" s="6" t="s">
        <v>617</v>
      </c>
    </row>
    <row r="945" spans="1:24">
      <c r="A945" s="4" t="s">
        <v>926</v>
      </c>
      <c r="B945" s="4" t="s">
        <v>927</v>
      </c>
      <c r="D945" s="4" t="s">
        <v>928</v>
      </c>
      <c r="E945" s="4" t="s">
        <v>929</v>
      </c>
      <c r="M945" s="4" t="s">
        <v>757</v>
      </c>
      <c r="N945" s="4">
        <v>-71.366132432200004</v>
      </c>
      <c r="O945" s="4">
        <v>3.7951325533933331</v>
      </c>
      <c r="P945" s="4" t="s">
        <v>795</v>
      </c>
      <c r="Q945" s="4" t="s">
        <v>743</v>
      </c>
      <c r="R945" s="4" t="s">
        <v>730</v>
      </c>
      <c r="S945" s="2">
        <v>46174.363677245368</v>
      </c>
      <c r="T945" s="5">
        <v>1.5840277777777779E-4</v>
      </c>
      <c r="U945" s="4">
        <v>0.1597539484500885</v>
      </c>
      <c r="V945" s="4" t="s">
        <v>774</v>
      </c>
      <c r="W945" s="4" t="s">
        <v>757</v>
      </c>
      <c r="X945" s="6" t="s">
        <v>617</v>
      </c>
    </row>
    <row r="946" spans="1:24">
      <c r="A946" s="4" t="s">
        <v>926</v>
      </c>
      <c r="B946" s="4" t="s">
        <v>927</v>
      </c>
      <c r="D946" s="4" t="s">
        <v>928</v>
      </c>
      <c r="E946" s="4" t="s">
        <v>929</v>
      </c>
      <c r="M946" s="4" t="s">
        <v>757</v>
      </c>
      <c r="N946" s="4">
        <v>-71.366010239999994</v>
      </c>
      <c r="O946" s="4">
        <v>3.7922290350000001</v>
      </c>
      <c r="P946" s="4" t="s">
        <v>795</v>
      </c>
      <c r="Q946" s="4" t="s">
        <v>743</v>
      </c>
      <c r="R946" s="4" t="s">
        <v>730</v>
      </c>
      <c r="S946" s="2">
        <v>46174.364067129631</v>
      </c>
      <c r="T946" s="5">
        <v>4.1666666666666665E-5</v>
      </c>
      <c r="U946" s="4">
        <v>4.0944315493106842E-2</v>
      </c>
      <c r="V946" s="4" t="s">
        <v>758</v>
      </c>
      <c r="W946" s="4" t="s">
        <v>757</v>
      </c>
      <c r="X946" s="6" t="s">
        <v>617</v>
      </c>
    </row>
    <row r="947" spans="1:24">
      <c r="A947" s="4" t="s">
        <v>926</v>
      </c>
      <c r="B947" s="4" t="s">
        <v>927</v>
      </c>
      <c r="D947" s="4" t="s">
        <v>928</v>
      </c>
      <c r="E947" s="4" t="s">
        <v>929</v>
      </c>
      <c r="M947" s="4" t="s">
        <v>757</v>
      </c>
      <c r="N947" s="4">
        <v>-71.365592496524997</v>
      </c>
      <c r="O947" s="4">
        <v>3.7908002307825002</v>
      </c>
      <c r="P947" s="4" t="s">
        <v>795</v>
      </c>
      <c r="Q947" s="4" t="s">
        <v>743</v>
      </c>
      <c r="R947" s="4" t="s">
        <v>730</v>
      </c>
      <c r="S947" s="2">
        <v>46174.364281631948</v>
      </c>
      <c r="T947" s="5">
        <v>5.7361111111111111E-5</v>
      </c>
      <c r="U947" s="4">
        <v>5.7511277496814728E-2</v>
      </c>
      <c r="V947" s="4" t="s">
        <v>778</v>
      </c>
      <c r="W947" s="4" t="s">
        <v>757</v>
      </c>
      <c r="X947" s="6" t="s">
        <v>617</v>
      </c>
    </row>
    <row r="948" spans="1:24">
      <c r="A948" s="4" t="s">
        <v>926</v>
      </c>
      <c r="B948" s="4" t="s">
        <v>927</v>
      </c>
      <c r="D948" s="4" t="s">
        <v>928</v>
      </c>
      <c r="E948" s="4" t="s">
        <v>929</v>
      </c>
      <c r="M948" s="4" t="s">
        <v>757</v>
      </c>
      <c r="N948" s="4">
        <v>-71.364749899999993</v>
      </c>
      <c r="O948" s="4">
        <v>3.7845937025</v>
      </c>
      <c r="P948" s="4" t="s">
        <v>795</v>
      </c>
      <c r="Q948" s="4" t="s">
        <v>743</v>
      </c>
      <c r="R948" s="4" t="s">
        <v>730</v>
      </c>
      <c r="S948" s="2">
        <v>46174.366313657512</v>
      </c>
      <c r="T948" s="5">
        <v>2.4594907407407408E-5</v>
      </c>
      <c r="U948" s="4">
        <v>2.3043256253004074E-2</v>
      </c>
      <c r="V948" s="4" t="s">
        <v>758</v>
      </c>
      <c r="W948" s="4" t="s">
        <v>757</v>
      </c>
      <c r="X948" s="6" t="s">
        <v>617</v>
      </c>
    </row>
    <row r="949" spans="1:24">
      <c r="A949" s="4" t="s">
        <v>926</v>
      </c>
      <c r="B949" s="4" t="s">
        <v>927</v>
      </c>
      <c r="D949" s="4" t="s">
        <v>928</v>
      </c>
      <c r="E949" s="4" t="s">
        <v>929</v>
      </c>
      <c r="M949" s="4" t="s">
        <v>757</v>
      </c>
      <c r="N949" s="4">
        <v>-71.363772099999991</v>
      </c>
      <c r="O949" s="4">
        <v>3.7820805733333334</v>
      </c>
      <c r="P949" s="4" t="s">
        <v>795</v>
      </c>
      <c r="Q949" s="4" t="s">
        <v>743</v>
      </c>
      <c r="R949" s="4" t="s">
        <v>730</v>
      </c>
      <c r="S949" s="2">
        <v>46174.366828703707</v>
      </c>
      <c r="T949" s="5">
        <v>1.1574074074074075E-4</v>
      </c>
      <c r="U949" s="4">
        <v>0.12527582049369812</v>
      </c>
      <c r="V949" s="4" t="s">
        <v>849</v>
      </c>
      <c r="W949" s="4" t="s">
        <v>757</v>
      </c>
      <c r="X949" s="6" t="s">
        <v>617</v>
      </c>
    </row>
    <row r="950" spans="1:24">
      <c r="A950" s="4" t="s">
        <v>926</v>
      </c>
      <c r="B950" s="4" t="s">
        <v>927</v>
      </c>
      <c r="D950" s="4" t="s">
        <v>928</v>
      </c>
      <c r="E950" s="4" t="s">
        <v>929</v>
      </c>
      <c r="M950" s="4" t="s">
        <v>757</v>
      </c>
      <c r="N950" s="4">
        <v>-71.363071424999987</v>
      </c>
      <c r="O950" s="4">
        <v>3.7789949200000001</v>
      </c>
      <c r="P950" s="4" t="s">
        <v>795</v>
      </c>
      <c r="Q950" s="4" t="s">
        <v>743</v>
      </c>
      <c r="R950" s="4" t="s">
        <v>730</v>
      </c>
      <c r="S950" s="2">
        <v>46174.367196180552</v>
      </c>
      <c r="T950" s="5">
        <v>8.3912037037037031E-5</v>
      </c>
      <c r="U950" s="4">
        <v>7.8835427761077881E-2</v>
      </c>
      <c r="V950" s="4" t="s">
        <v>758</v>
      </c>
      <c r="W950" s="4" t="s">
        <v>757</v>
      </c>
      <c r="X950" s="6" t="s">
        <v>617</v>
      </c>
    </row>
    <row r="951" spans="1:24">
      <c r="A951" s="4" t="s">
        <v>926</v>
      </c>
      <c r="B951" s="4" t="s">
        <v>927</v>
      </c>
      <c r="D951" s="4" t="s">
        <v>928</v>
      </c>
      <c r="E951" s="4" t="s">
        <v>929</v>
      </c>
      <c r="M951" s="4" t="s">
        <v>757</v>
      </c>
      <c r="N951" s="4">
        <v>-71.361253041814294</v>
      </c>
      <c r="O951" s="4">
        <v>3.7769097278657142</v>
      </c>
      <c r="P951" s="4" t="s">
        <v>795</v>
      </c>
      <c r="Q951" s="4" t="s">
        <v>743</v>
      </c>
      <c r="R951" s="4" t="s">
        <v>730</v>
      </c>
      <c r="S951" s="2">
        <v>46174.36759170139</v>
      </c>
      <c r="T951" s="5">
        <v>6.6481481481481478E-5</v>
      </c>
      <c r="U951" s="4">
        <v>6.3333407044410706E-2</v>
      </c>
      <c r="V951" s="4" t="s">
        <v>774</v>
      </c>
      <c r="W951" s="4" t="s">
        <v>757</v>
      </c>
      <c r="X951" s="6" t="s">
        <v>617</v>
      </c>
    </row>
    <row r="952" spans="1:24">
      <c r="A952" s="4" t="s">
        <v>926</v>
      </c>
      <c r="B952" s="4" t="s">
        <v>927</v>
      </c>
      <c r="D952" s="4" t="s">
        <v>928</v>
      </c>
      <c r="E952" s="4" t="s">
        <v>929</v>
      </c>
      <c r="M952" s="4" t="s">
        <v>757</v>
      </c>
      <c r="N952" s="4">
        <v>-71.360813860000007</v>
      </c>
      <c r="O952" s="4">
        <v>3.7760170980000001</v>
      </c>
      <c r="P952" s="4" t="s">
        <v>795</v>
      </c>
      <c r="Q952" s="4" t="s">
        <v>743</v>
      </c>
      <c r="R952" s="4" t="s">
        <v>730</v>
      </c>
      <c r="S952" s="2">
        <v>46174.367706018522</v>
      </c>
      <c r="T952" s="5">
        <v>2.1064814814814815E-4</v>
      </c>
      <c r="U952" s="4">
        <v>0.21232619881629944</v>
      </c>
      <c r="V952" s="4" t="s">
        <v>778</v>
      </c>
      <c r="W952" s="4" t="s">
        <v>757</v>
      </c>
      <c r="X952" s="6" t="s">
        <v>617</v>
      </c>
    </row>
    <row r="953" spans="1:24">
      <c r="A953" s="4" t="s">
        <v>926</v>
      </c>
      <c r="B953" s="4" t="s">
        <v>927</v>
      </c>
      <c r="D953" s="4" t="s">
        <v>928</v>
      </c>
      <c r="E953" s="4" t="s">
        <v>929</v>
      </c>
      <c r="M953" s="4" t="s">
        <v>939</v>
      </c>
      <c r="N953" s="4">
        <v>-71.359695400000007</v>
      </c>
      <c r="O953" s="4">
        <v>3.7734408400000001</v>
      </c>
      <c r="P953" s="4" t="s">
        <v>795</v>
      </c>
      <c r="Q953" s="4" t="s">
        <v>743</v>
      </c>
      <c r="R953" s="4" t="s">
        <v>730</v>
      </c>
      <c r="S953" s="2">
        <v>46174.370682870373</v>
      </c>
      <c r="T953" s="5">
        <v>0</v>
      </c>
      <c r="U953" s="4">
        <v>0</v>
      </c>
      <c r="V953" s="4" t="s">
        <v>964</v>
      </c>
      <c r="W953" s="4" t="s">
        <v>939</v>
      </c>
      <c r="X953" s="6" t="s">
        <v>617</v>
      </c>
    </row>
    <row r="954" spans="1:24">
      <c r="A954" s="4" t="s">
        <v>926</v>
      </c>
      <c r="B954" s="4" t="s">
        <v>927</v>
      </c>
      <c r="D954" s="4" t="s">
        <v>928</v>
      </c>
      <c r="E954" s="4" t="s">
        <v>929</v>
      </c>
      <c r="M954" s="4" t="s">
        <v>757</v>
      </c>
      <c r="N954" s="4">
        <v>-71.360051865133329</v>
      </c>
      <c r="O954" s="4">
        <v>3.7743455670000001</v>
      </c>
      <c r="P954" s="4" t="s">
        <v>795</v>
      </c>
      <c r="Q954" s="4" t="s">
        <v>743</v>
      </c>
      <c r="R954" s="4" t="s">
        <v>730</v>
      </c>
      <c r="S954" s="2">
        <v>46174.371959328702</v>
      </c>
      <c r="T954" s="5">
        <v>1.3789351851851853E-4</v>
      </c>
      <c r="U954" s="4">
        <v>0.13488870859146118</v>
      </c>
      <c r="V954" s="4" t="s">
        <v>778</v>
      </c>
      <c r="W954" s="4" t="s">
        <v>757</v>
      </c>
      <c r="X954" s="6" t="s">
        <v>617</v>
      </c>
    </row>
    <row r="955" spans="1:24">
      <c r="A955" s="4" t="s">
        <v>926</v>
      </c>
      <c r="B955" s="4" t="s">
        <v>927</v>
      </c>
      <c r="D955" s="4" t="s">
        <v>928</v>
      </c>
      <c r="E955" s="4" t="s">
        <v>929</v>
      </c>
      <c r="M955" s="4" t="s">
        <v>757</v>
      </c>
      <c r="N955" s="4">
        <v>-71.363517743045463</v>
      </c>
      <c r="O955" s="4">
        <v>3.7812539218036365</v>
      </c>
      <c r="P955" s="4" t="s">
        <v>795</v>
      </c>
      <c r="Q955" s="4" t="s">
        <v>743</v>
      </c>
      <c r="R955" s="4" t="s">
        <v>730</v>
      </c>
      <c r="S955" s="2">
        <v>46174.372982256944</v>
      </c>
      <c r="T955" s="5">
        <v>1.0288194444444445E-4</v>
      </c>
      <c r="U955" s="4">
        <v>9.7642615437507629E-2</v>
      </c>
      <c r="V955" s="4" t="s">
        <v>774</v>
      </c>
      <c r="W955" s="4" t="s">
        <v>757</v>
      </c>
      <c r="X955" s="6" t="s">
        <v>617</v>
      </c>
    </row>
    <row r="956" spans="1:24">
      <c r="A956" s="4" t="s">
        <v>926</v>
      </c>
      <c r="B956" s="4" t="s">
        <v>927</v>
      </c>
      <c r="D956" s="4" t="s">
        <v>928</v>
      </c>
      <c r="E956" s="4" t="s">
        <v>929</v>
      </c>
      <c r="M956" s="4" t="s">
        <v>757</v>
      </c>
      <c r="N956" s="4">
        <v>-71.365431602177779</v>
      </c>
      <c r="O956" s="4">
        <v>3.7905334908111112</v>
      </c>
      <c r="P956" s="4" t="s">
        <v>795</v>
      </c>
      <c r="Q956" s="4" t="s">
        <v>743</v>
      </c>
      <c r="R956" s="4" t="s">
        <v>730</v>
      </c>
      <c r="S956" s="2">
        <v>46174.374637893518</v>
      </c>
      <c r="T956" s="5">
        <v>7.1099537037037038E-5</v>
      </c>
      <c r="U956" s="4">
        <v>7.2492122650146484E-2</v>
      </c>
      <c r="V956" s="4" t="s">
        <v>956</v>
      </c>
      <c r="W956" s="4" t="s">
        <v>757</v>
      </c>
      <c r="X956" s="6" t="s">
        <v>617</v>
      </c>
    </row>
    <row r="957" spans="1:24">
      <c r="A957" s="4" t="s">
        <v>926</v>
      </c>
      <c r="B957" s="4" t="s">
        <v>927</v>
      </c>
      <c r="D957" s="4" t="s">
        <v>928</v>
      </c>
      <c r="E957" s="4" t="s">
        <v>929</v>
      </c>
      <c r="M957" s="4" t="s">
        <v>757</v>
      </c>
      <c r="N957" s="4">
        <v>-71.365971466299996</v>
      </c>
      <c r="O957" s="4">
        <v>3.7916573696800002</v>
      </c>
      <c r="P957" s="4" t="s">
        <v>795</v>
      </c>
      <c r="Q957" s="4" t="s">
        <v>743</v>
      </c>
      <c r="R957" s="4" t="s">
        <v>730</v>
      </c>
      <c r="S957" s="2">
        <v>46174.37480056713</v>
      </c>
      <c r="T957" s="5">
        <v>1.1069444444444444E-4</v>
      </c>
      <c r="U957" s="4">
        <v>0.1146741658449173</v>
      </c>
      <c r="V957" s="4" t="s">
        <v>778</v>
      </c>
      <c r="W957" s="4" t="s">
        <v>757</v>
      </c>
      <c r="X957" s="6" t="s">
        <v>617</v>
      </c>
    </row>
    <row r="958" spans="1:24">
      <c r="A958" s="4" t="s">
        <v>926</v>
      </c>
      <c r="B958" s="4" t="s">
        <v>927</v>
      </c>
      <c r="D958" s="4" t="s">
        <v>928</v>
      </c>
      <c r="E958" s="4" t="s">
        <v>929</v>
      </c>
      <c r="M958" s="4" t="s">
        <v>625</v>
      </c>
      <c r="N958" s="4">
        <v>-71.366066000000004</v>
      </c>
      <c r="O958" s="4">
        <v>3.7928452500000001</v>
      </c>
      <c r="P958" s="4" t="s">
        <v>795</v>
      </c>
      <c r="Q958" s="4" t="s">
        <v>743</v>
      </c>
      <c r="R958" s="4" t="s">
        <v>730</v>
      </c>
      <c r="S958" s="2">
        <v>46174.374930555554</v>
      </c>
      <c r="T958" s="5">
        <v>0</v>
      </c>
      <c r="U958" s="4">
        <v>0</v>
      </c>
      <c r="V958" s="4" t="s">
        <v>965</v>
      </c>
      <c r="W958" s="4" t="s">
        <v>625</v>
      </c>
      <c r="X958" s="6" t="s">
        <v>617</v>
      </c>
    </row>
    <row r="959" spans="1:24">
      <c r="A959" s="4" t="s">
        <v>926</v>
      </c>
      <c r="B959" s="4" t="s">
        <v>927</v>
      </c>
      <c r="D959" s="4" t="s">
        <v>928</v>
      </c>
      <c r="E959" s="4" t="s">
        <v>929</v>
      </c>
      <c r="M959" s="4" t="s">
        <v>757</v>
      </c>
      <c r="N959" s="4">
        <v>-71.3661295327</v>
      </c>
      <c r="O959" s="4">
        <v>3.7938323170224999</v>
      </c>
      <c r="P959" s="4" t="s">
        <v>795</v>
      </c>
      <c r="Q959" s="4" t="s">
        <v>743</v>
      </c>
      <c r="R959" s="4" t="s">
        <v>730</v>
      </c>
      <c r="S959" s="2">
        <v>46174.375093877316</v>
      </c>
      <c r="T959" s="5">
        <v>1.8004629629629629E-4</v>
      </c>
      <c r="U959" s="4">
        <v>0.19370061159133911</v>
      </c>
      <c r="V959" s="4" t="s">
        <v>849</v>
      </c>
      <c r="W959" s="4" t="s">
        <v>757</v>
      </c>
      <c r="X959" s="6" t="s">
        <v>617</v>
      </c>
    </row>
    <row r="960" spans="1:24">
      <c r="A960" s="4" t="s">
        <v>926</v>
      </c>
      <c r="B960" s="4" t="s">
        <v>927</v>
      </c>
      <c r="D960" s="4" t="s">
        <v>928</v>
      </c>
      <c r="E960" s="4" t="s">
        <v>929</v>
      </c>
      <c r="M960" s="4" t="s">
        <v>757</v>
      </c>
      <c r="N960" s="4">
        <v>-71.365087474999996</v>
      </c>
      <c r="O960" s="4">
        <v>3.7964895350000001</v>
      </c>
      <c r="P960" s="4" t="s">
        <v>958</v>
      </c>
      <c r="Q960" s="4" t="s">
        <v>743</v>
      </c>
      <c r="R960" s="4" t="s">
        <v>730</v>
      </c>
      <c r="S960" s="2">
        <v>46174.375491898252</v>
      </c>
      <c r="T960" s="5">
        <v>1.3415509259259259E-4</v>
      </c>
      <c r="U960" s="4">
        <v>0.1311986893415451</v>
      </c>
      <c r="V960" s="4" t="s">
        <v>778</v>
      </c>
      <c r="W960" s="4" t="s">
        <v>757</v>
      </c>
      <c r="X960" s="6" t="s">
        <v>617</v>
      </c>
    </row>
    <row r="961" spans="1:24">
      <c r="A961" s="4" t="s">
        <v>926</v>
      </c>
      <c r="B961" s="4" t="s">
        <v>927</v>
      </c>
      <c r="D961" s="4" t="s">
        <v>928</v>
      </c>
      <c r="E961" s="4" t="s">
        <v>929</v>
      </c>
      <c r="M961" s="4" t="s">
        <v>757</v>
      </c>
      <c r="N961" s="4">
        <v>-71.364664439999999</v>
      </c>
      <c r="O961" s="4">
        <v>3.7980748859999998</v>
      </c>
      <c r="P961" s="4" t="s">
        <v>958</v>
      </c>
      <c r="Q961" s="4" t="s">
        <v>743</v>
      </c>
      <c r="R961" s="4" t="s">
        <v>730</v>
      </c>
      <c r="S961" s="2">
        <v>46174.375746527883</v>
      </c>
      <c r="T961" s="5">
        <v>2.8935285185185187E-5</v>
      </c>
      <c r="U961" s="4">
        <v>2.6884200051426888E-2</v>
      </c>
      <c r="V961" s="4" t="s">
        <v>758</v>
      </c>
      <c r="W961" s="4" t="s">
        <v>757</v>
      </c>
      <c r="X961" s="6" t="s">
        <v>617</v>
      </c>
    </row>
    <row r="962" spans="1:24">
      <c r="A962" s="4" t="s">
        <v>926</v>
      </c>
      <c r="B962" s="4" t="s">
        <v>927</v>
      </c>
      <c r="D962" s="4" t="s">
        <v>928</v>
      </c>
      <c r="E962" s="4" t="s">
        <v>929</v>
      </c>
      <c r="M962" s="4" t="s">
        <v>939</v>
      </c>
      <c r="N962" s="4">
        <v>-71.3649597</v>
      </c>
      <c r="O962" s="4">
        <v>3.79957557</v>
      </c>
      <c r="P962" s="4" t="s">
        <v>958</v>
      </c>
      <c r="Q962" s="4" t="s">
        <v>743</v>
      </c>
      <c r="R962" s="4" t="s">
        <v>730</v>
      </c>
      <c r="S962" s="2">
        <v>46174.376481481479</v>
      </c>
      <c r="T962" s="5">
        <v>0</v>
      </c>
      <c r="U962" s="4">
        <v>0</v>
      </c>
      <c r="V962" s="4" t="s">
        <v>628</v>
      </c>
      <c r="W962" s="4" t="s">
        <v>939</v>
      </c>
      <c r="X962" s="6" t="s">
        <v>617</v>
      </c>
    </row>
    <row r="963" spans="1:24">
      <c r="A963" s="4" t="s">
        <v>926</v>
      </c>
      <c r="B963" s="4" t="s">
        <v>927</v>
      </c>
      <c r="D963" s="4" t="s">
        <v>928</v>
      </c>
      <c r="E963" s="4" t="s">
        <v>929</v>
      </c>
      <c r="M963" s="4" t="s">
        <v>757</v>
      </c>
      <c r="N963" s="4">
        <v>-71.365453066300006</v>
      </c>
      <c r="O963" s="4">
        <v>3.7998925770950001</v>
      </c>
      <c r="P963" s="4" t="s">
        <v>941</v>
      </c>
      <c r="Q963" s="4" t="s">
        <v>743</v>
      </c>
      <c r="R963" s="4" t="s">
        <v>730</v>
      </c>
      <c r="S963" s="2">
        <v>46174.376589502317</v>
      </c>
      <c r="T963" s="5">
        <v>7.4109953703703707E-4</v>
      </c>
      <c r="U963" s="4">
        <v>0.79716622829437256</v>
      </c>
      <c r="V963" s="4" t="s">
        <v>956</v>
      </c>
      <c r="W963" s="4" t="s">
        <v>757</v>
      </c>
      <c r="X963" s="6" t="s">
        <v>617</v>
      </c>
    </row>
    <row r="964" spans="1:24">
      <c r="A964" s="4" t="s">
        <v>926</v>
      </c>
      <c r="B964" s="4" t="s">
        <v>927</v>
      </c>
      <c r="D964" s="4" t="s">
        <v>928</v>
      </c>
      <c r="E964" s="4" t="s">
        <v>929</v>
      </c>
      <c r="M964" s="4" t="s">
        <v>757</v>
      </c>
      <c r="N964" s="4">
        <v>-71.372055987500005</v>
      </c>
      <c r="O964" s="4">
        <v>3.8025079924999998</v>
      </c>
      <c r="P964" s="4" t="s">
        <v>941</v>
      </c>
      <c r="Q964" s="4" t="s">
        <v>743</v>
      </c>
      <c r="R964" s="4" t="s">
        <v>730</v>
      </c>
      <c r="S964" s="2">
        <v>46174.377455150461</v>
      </c>
      <c r="T964" s="5">
        <v>3.1105324074074076E-4</v>
      </c>
      <c r="U964" s="4">
        <v>0.32596749067306519</v>
      </c>
      <c r="V964" s="4" t="s">
        <v>778</v>
      </c>
      <c r="W964" s="4" t="s">
        <v>757</v>
      </c>
      <c r="X964" s="6" t="s">
        <v>617</v>
      </c>
    </row>
    <row r="965" spans="1:24">
      <c r="A965" s="4" t="s">
        <v>926</v>
      </c>
      <c r="B965" s="4" t="s">
        <v>927</v>
      </c>
      <c r="D965" s="4" t="s">
        <v>928</v>
      </c>
      <c r="E965" s="4" t="s">
        <v>929</v>
      </c>
      <c r="M965" s="4" t="s">
        <v>757</v>
      </c>
      <c r="N965" s="4">
        <v>-71.377338062942854</v>
      </c>
      <c r="O965" s="4">
        <v>3.8006598786899999</v>
      </c>
      <c r="P965" s="4" t="s">
        <v>941</v>
      </c>
      <c r="Q965" s="4" t="s">
        <v>743</v>
      </c>
      <c r="R965" s="4" t="s">
        <v>730</v>
      </c>
      <c r="S965" s="2">
        <v>46174.378228275462</v>
      </c>
      <c r="T965" s="5">
        <v>2.2079861111111112E-4</v>
      </c>
      <c r="U965" s="4">
        <v>0.22209222614765167</v>
      </c>
      <c r="V965" s="4" t="s">
        <v>774</v>
      </c>
      <c r="W965" s="4" t="s">
        <v>757</v>
      </c>
      <c r="X965" s="6" t="s">
        <v>617</v>
      </c>
    </row>
    <row r="966" spans="1:24">
      <c r="A966" s="4" t="s">
        <v>926</v>
      </c>
      <c r="B966" s="4" t="s">
        <v>927</v>
      </c>
      <c r="D966" s="4" t="s">
        <v>928</v>
      </c>
      <c r="E966" s="4" t="s">
        <v>929</v>
      </c>
      <c r="M966" s="4" t="s">
        <v>757</v>
      </c>
      <c r="N966" s="4">
        <v>-71.37964018000001</v>
      </c>
      <c r="O966" s="4">
        <v>3.79901943</v>
      </c>
      <c r="P966" s="4" t="s">
        <v>941</v>
      </c>
      <c r="Q966" s="4" t="s">
        <v>743</v>
      </c>
      <c r="R966" s="4" t="s">
        <v>730</v>
      </c>
      <c r="S966" s="2">
        <v>46174.378553240742</v>
      </c>
      <c r="T966" s="5">
        <v>1.5431712962962963E-4</v>
      </c>
      <c r="U966" s="4">
        <v>0.15736755728721619</v>
      </c>
      <c r="V966" s="4" t="s">
        <v>774</v>
      </c>
      <c r="W966" s="4" t="s">
        <v>757</v>
      </c>
      <c r="X966" s="6" t="s">
        <v>617</v>
      </c>
    </row>
    <row r="967" spans="1:24">
      <c r="A967" s="4" t="s">
        <v>926</v>
      </c>
      <c r="B967" s="4" t="s">
        <v>927</v>
      </c>
      <c r="D967" s="4" t="s">
        <v>928</v>
      </c>
      <c r="E967" s="4" t="s">
        <v>929</v>
      </c>
      <c r="M967" s="4" t="s">
        <v>875</v>
      </c>
      <c r="N967" s="4">
        <v>-71.379723163975001</v>
      </c>
      <c r="O967" s="4">
        <v>3.7982268780574997</v>
      </c>
      <c r="P967" s="4" t="s">
        <v>952</v>
      </c>
      <c r="Q967" s="4" t="s">
        <v>877</v>
      </c>
      <c r="R967" s="4" t="s">
        <v>720</v>
      </c>
      <c r="S967" s="2">
        <v>46174.378640532406</v>
      </c>
      <c r="T967" s="5">
        <v>5.6442129629629626E-4</v>
      </c>
      <c r="U967" s="4">
        <v>0.53302913904190063</v>
      </c>
      <c r="V967" s="4" t="s">
        <v>778</v>
      </c>
      <c r="W967" s="4" t="s">
        <v>875</v>
      </c>
      <c r="X967" s="6" t="s">
        <v>617</v>
      </c>
    </row>
    <row r="968" spans="1:24">
      <c r="A968" s="4" t="s">
        <v>926</v>
      </c>
      <c r="B968" s="4" t="s">
        <v>927</v>
      </c>
      <c r="D968" s="4" t="s">
        <v>928</v>
      </c>
      <c r="E968" s="4" t="s">
        <v>929</v>
      </c>
      <c r="M968" s="4" t="s">
        <v>757</v>
      </c>
      <c r="N968" s="4">
        <v>-71.379748066666664</v>
      </c>
      <c r="O968" s="4">
        <v>3.7969338066666665</v>
      </c>
      <c r="P968" s="4" t="s">
        <v>952</v>
      </c>
      <c r="Q968" s="4" t="s">
        <v>877</v>
      </c>
      <c r="R968" s="4" t="s">
        <v>720</v>
      </c>
      <c r="S968" s="2">
        <v>46174.378784722219</v>
      </c>
      <c r="T968" s="5">
        <v>1.3375E-4</v>
      </c>
      <c r="U968" s="4">
        <v>0.13156197965145111</v>
      </c>
      <c r="V968" s="4" t="s">
        <v>774</v>
      </c>
      <c r="W968" s="4" t="s">
        <v>757</v>
      </c>
      <c r="X968" s="6" t="s">
        <v>617</v>
      </c>
    </row>
    <row r="969" spans="1:24">
      <c r="A969" s="4" t="s">
        <v>926</v>
      </c>
      <c r="B969" s="4" t="s">
        <v>927</v>
      </c>
      <c r="D969" s="4" t="s">
        <v>928</v>
      </c>
      <c r="E969" s="4" t="s">
        <v>929</v>
      </c>
      <c r="M969" s="4" t="s">
        <v>757</v>
      </c>
      <c r="N969" s="4">
        <v>-71.380281656400001</v>
      </c>
      <c r="O969" s="4">
        <v>3.7949285550049998</v>
      </c>
      <c r="P969" s="4" t="s">
        <v>948</v>
      </c>
      <c r="Q969" s="4" t="s">
        <v>877</v>
      </c>
      <c r="R969" s="4" t="s">
        <v>720</v>
      </c>
      <c r="S969" s="2">
        <v>46174.3790691088</v>
      </c>
      <c r="T969" s="5">
        <v>8.8703703703703701E-5</v>
      </c>
      <c r="U969" s="4">
        <v>8.9250490069389343E-2</v>
      </c>
      <c r="V969" s="4" t="s">
        <v>778</v>
      </c>
      <c r="W969" s="4" t="s">
        <v>757</v>
      </c>
      <c r="X969" s="6" t="s">
        <v>617</v>
      </c>
    </row>
    <row r="970" spans="1:24">
      <c r="A970" s="4" t="s">
        <v>926</v>
      </c>
      <c r="B970" s="4" t="s">
        <v>927</v>
      </c>
      <c r="D970" s="4" t="s">
        <v>928</v>
      </c>
      <c r="E970" s="4" t="s">
        <v>929</v>
      </c>
      <c r="M970" s="4" t="s">
        <v>625</v>
      </c>
      <c r="N970" s="4">
        <v>-71.381362899999999</v>
      </c>
      <c r="O970" s="4">
        <v>3.7947731</v>
      </c>
      <c r="P970" s="4" t="s">
        <v>948</v>
      </c>
      <c r="Q970" s="4" t="s">
        <v>877</v>
      </c>
      <c r="R970" s="4" t="s">
        <v>720</v>
      </c>
      <c r="S970" s="2">
        <v>46174.379201388889</v>
      </c>
      <c r="T970" s="5">
        <v>0</v>
      </c>
      <c r="U970" s="4">
        <v>0</v>
      </c>
      <c r="V970" s="4" t="s">
        <v>676</v>
      </c>
      <c r="W970" s="4" t="s">
        <v>625</v>
      </c>
      <c r="X970" s="6" t="s">
        <v>617</v>
      </c>
    </row>
    <row r="971" spans="1:24">
      <c r="A971" s="4" t="s">
        <v>926</v>
      </c>
      <c r="B971" s="4" t="s">
        <v>927</v>
      </c>
      <c r="D971" s="4" t="s">
        <v>928</v>
      </c>
      <c r="E971" s="4" t="s">
        <v>929</v>
      </c>
      <c r="M971" s="4" t="s">
        <v>875</v>
      </c>
      <c r="N971" s="4">
        <v>-71.381529854800007</v>
      </c>
      <c r="O971" s="4">
        <v>3.7946172612033333</v>
      </c>
      <c r="P971" s="4" t="s">
        <v>948</v>
      </c>
      <c r="Q971" s="4" t="s">
        <v>877</v>
      </c>
      <c r="R971" s="4" t="s">
        <v>720</v>
      </c>
      <c r="S971" s="2">
        <v>46174.379286261574</v>
      </c>
      <c r="T971" s="5">
        <v>3.7809027777777776E-4</v>
      </c>
      <c r="U971" s="4">
        <v>0.2850278913974762</v>
      </c>
      <c r="V971" s="4" t="s">
        <v>774</v>
      </c>
      <c r="W971" s="4" t="s">
        <v>875</v>
      </c>
      <c r="X971" s="6" t="s">
        <v>617</v>
      </c>
    </row>
    <row r="972" spans="1:24">
      <c r="A972" s="4" t="s">
        <v>926</v>
      </c>
      <c r="B972" s="4" t="s">
        <v>927</v>
      </c>
      <c r="D972" s="4" t="s">
        <v>928</v>
      </c>
      <c r="E972" s="4" t="s">
        <v>929</v>
      </c>
      <c r="M972" s="4" t="s">
        <v>757</v>
      </c>
      <c r="N972" s="4">
        <v>-71.382558192099992</v>
      </c>
      <c r="O972" s="4">
        <v>3.7943557332850002</v>
      </c>
      <c r="P972" s="4" t="s">
        <v>948</v>
      </c>
      <c r="Q972" s="4" t="s">
        <v>877</v>
      </c>
      <c r="R972" s="4" t="s">
        <v>720</v>
      </c>
      <c r="S972" s="2">
        <v>46174.379475312497</v>
      </c>
      <c r="T972" s="5">
        <v>2.8287037037037037E-5</v>
      </c>
      <c r="U972" s="4">
        <v>2.6545688509941101E-2</v>
      </c>
      <c r="V972" s="4" t="s">
        <v>774</v>
      </c>
      <c r="W972" s="4" t="s">
        <v>757</v>
      </c>
      <c r="X972" s="6" t="s">
        <v>617</v>
      </c>
    </row>
    <row r="973" spans="1:24">
      <c r="A973" s="4" t="s">
        <v>926</v>
      </c>
      <c r="B973" s="4" t="s">
        <v>927</v>
      </c>
      <c r="D973" s="4" t="s">
        <v>928</v>
      </c>
      <c r="E973" s="4" t="s">
        <v>929</v>
      </c>
      <c r="M973" s="4" t="s">
        <v>875</v>
      </c>
      <c r="N973" s="4">
        <v>-71.383834800000002</v>
      </c>
      <c r="O973" s="4">
        <v>3.7942988899999999</v>
      </c>
      <c r="P973" s="4" t="s">
        <v>948</v>
      </c>
      <c r="Q973" s="4" t="s">
        <v>877</v>
      </c>
      <c r="R973" s="4" t="s">
        <v>720</v>
      </c>
      <c r="S973" s="2">
        <v>46174.379687499997</v>
      </c>
      <c r="T973" s="5">
        <v>5.4710648148148145E-5</v>
      </c>
      <c r="U973" s="4">
        <v>3.3358745276927948E-2</v>
      </c>
      <c r="V973" s="4" t="s">
        <v>783</v>
      </c>
      <c r="W973" s="4" t="s">
        <v>875</v>
      </c>
      <c r="X973" s="6" t="s">
        <v>617</v>
      </c>
    </row>
    <row r="974" spans="1:24">
      <c r="A974" s="4" t="s">
        <v>926</v>
      </c>
      <c r="B974" s="4" t="s">
        <v>927</v>
      </c>
      <c r="D974" s="4" t="s">
        <v>928</v>
      </c>
      <c r="E974" s="4" t="s">
        <v>929</v>
      </c>
      <c r="M974" s="4" t="s">
        <v>625</v>
      </c>
      <c r="N974" s="4">
        <v>-71.384033200000005</v>
      </c>
      <c r="O974" s="4">
        <v>3.7941224600000001</v>
      </c>
      <c r="P974" s="4" t="s">
        <v>948</v>
      </c>
      <c r="Q974" s="4" t="s">
        <v>877</v>
      </c>
      <c r="R974" s="4" t="s">
        <v>720</v>
      </c>
      <c r="S974" s="2">
        <v>46174.379733796297</v>
      </c>
      <c r="T974" s="5">
        <v>0</v>
      </c>
      <c r="U974" s="4">
        <v>0</v>
      </c>
      <c r="V974" s="4" t="s">
        <v>966</v>
      </c>
      <c r="W974" s="4" t="s">
        <v>625</v>
      </c>
      <c r="X974" s="6" t="s">
        <v>617</v>
      </c>
    </row>
    <row r="975" spans="1:24">
      <c r="A975" s="4" t="s">
        <v>926</v>
      </c>
      <c r="B975" s="4" t="s">
        <v>927</v>
      </c>
      <c r="D975" s="4" t="s">
        <v>928</v>
      </c>
      <c r="E975" s="4" t="s">
        <v>929</v>
      </c>
      <c r="M975" s="4" t="s">
        <v>875</v>
      </c>
      <c r="N975" s="4">
        <v>-71.384100359999991</v>
      </c>
      <c r="O975" s="4">
        <v>3.7940417719999999</v>
      </c>
      <c r="P975" s="4" t="s">
        <v>948</v>
      </c>
      <c r="Q975" s="4" t="s">
        <v>877</v>
      </c>
      <c r="R975" s="4" t="s">
        <v>720</v>
      </c>
      <c r="S975" s="2">
        <v>46174.37975925926</v>
      </c>
      <c r="T975" s="5">
        <v>8.9274305555555559E-4</v>
      </c>
      <c r="U975" s="4">
        <v>0.58511656522750854</v>
      </c>
      <c r="V975" s="4" t="s">
        <v>763</v>
      </c>
      <c r="W975" s="4" t="s">
        <v>875</v>
      </c>
      <c r="X975" s="6" t="s">
        <v>617</v>
      </c>
    </row>
    <row r="976" spans="1:24">
      <c r="A976" s="4" t="s">
        <v>926</v>
      </c>
      <c r="B976" s="4" t="s">
        <v>927</v>
      </c>
      <c r="D976" s="4" t="s">
        <v>928</v>
      </c>
      <c r="E976" s="4" t="s">
        <v>929</v>
      </c>
      <c r="M976" s="4" t="s">
        <v>875</v>
      </c>
      <c r="N976" s="4">
        <v>-71.381994400337504</v>
      </c>
      <c r="O976" s="4">
        <v>3.7896407223750002</v>
      </c>
      <c r="P976" s="4" t="s">
        <v>903</v>
      </c>
      <c r="Q976" s="4" t="s">
        <v>877</v>
      </c>
      <c r="R976" s="4" t="s">
        <v>720</v>
      </c>
      <c r="S976" s="2">
        <v>46174.381527094905</v>
      </c>
      <c r="T976" s="5">
        <v>3.7766203703703703E-4</v>
      </c>
      <c r="U976" s="4">
        <v>0.28680399060249329</v>
      </c>
      <c r="V976" s="4" t="s">
        <v>784</v>
      </c>
      <c r="W976" s="4" t="s">
        <v>875</v>
      </c>
      <c r="X976" s="6" t="s">
        <v>617</v>
      </c>
    </row>
    <row r="977" spans="1:24">
      <c r="A977" s="4" t="s">
        <v>926</v>
      </c>
      <c r="B977" s="4" t="s">
        <v>927</v>
      </c>
      <c r="D977" s="4" t="s">
        <v>928</v>
      </c>
      <c r="E977" s="4" t="s">
        <v>929</v>
      </c>
      <c r="M977" s="4" t="s">
        <v>875</v>
      </c>
      <c r="N977" s="4">
        <v>-71.381593725000002</v>
      </c>
      <c r="O977" s="4">
        <v>3.7870109075</v>
      </c>
      <c r="P977" s="4" t="s">
        <v>904</v>
      </c>
      <c r="Q977" s="4" t="s">
        <v>877</v>
      </c>
      <c r="R977" s="4" t="s">
        <v>720</v>
      </c>
      <c r="S977" s="2">
        <v>46174.381950231582</v>
      </c>
      <c r="T977" s="5">
        <v>4.0509359259259258E-5</v>
      </c>
      <c r="U977" s="4">
        <v>2.2281225770711899E-2</v>
      </c>
      <c r="V977" s="4" t="s">
        <v>738</v>
      </c>
      <c r="W977" s="4" t="s">
        <v>875</v>
      </c>
      <c r="X977" s="6" t="s">
        <v>617</v>
      </c>
    </row>
    <row r="978" spans="1:24">
      <c r="A978" s="4" t="s">
        <v>926</v>
      </c>
      <c r="B978" s="4" t="s">
        <v>927</v>
      </c>
      <c r="D978" s="4" t="s">
        <v>928</v>
      </c>
      <c r="E978" s="4" t="s">
        <v>929</v>
      </c>
      <c r="M978" s="4" t="s">
        <v>875</v>
      </c>
      <c r="N978" s="4">
        <v>-71.381500200000005</v>
      </c>
      <c r="O978" s="4">
        <v>3.7868335200000001</v>
      </c>
      <c r="P978" s="4" t="s">
        <v>904</v>
      </c>
      <c r="Q978" s="4" t="s">
        <v>877</v>
      </c>
      <c r="R978" s="4" t="s">
        <v>720</v>
      </c>
      <c r="S978" s="2">
        <v>46174.381990740738</v>
      </c>
      <c r="T978" s="5">
        <v>1.3425925925925926E-4</v>
      </c>
      <c r="U978" s="4">
        <v>7.7829658985137939E-2</v>
      </c>
      <c r="V978" s="4" t="s">
        <v>789</v>
      </c>
      <c r="W978" s="4" t="s">
        <v>875</v>
      </c>
      <c r="X978" s="6" t="s">
        <v>617</v>
      </c>
    </row>
    <row r="979" spans="1:24">
      <c r="A979" s="4" t="s">
        <v>926</v>
      </c>
      <c r="B979" s="4" t="s">
        <v>927</v>
      </c>
      <c r="D979" s="4" t="s">
        <v>928</v>
      </c>
      <c r="E979" s="4" t="s">
        <v>929</v>
      </c>
      <c r="M979" s="4" t="s">
        <v>875</v>
      </c>
      <c r="N979" s="4">
        <v>-71.380738839999992</v>
      </c>
      <c r="O979" s="4">
        <v>3.786565586</v>
      </c>
      <c r="P979" s="4" t="s">
        <v>904</v>
      </c>
      <c r="Q979" s="4" t="s">
        <v>877</v>
      </c>
      <c r="R979" s="4" t="s">
        <v>720</v>
      </c>
      <c r="S979" s="2">
        <v>46174.38215740741</v>
      </c>
      <c r="T979" s="5">
        <v>4.5775462962962964E-5</v>
      </c>
      <c r="U979" s="4">
        <v>3.167373314499855E-2</v>
      </c>
      <c r="V979" s="4" t="s">
        <v>808</v>
      </c>
      <c r="W979" s="4" t="s">
        <v>875</v>
      </c>
      <c r="X979" s="6" t="s">
        <v>617</v>
      </c>
    </row>
    <row r="980" spans="1:24">
      <c r="A980" s="4" t="s">
        <v>926</v>
      </c>
      <c r="B980" s="4" t="s">
        <v>927</v>
      </c>
      <c r="D980" s="4" t="s">
        <v>928</v>
      </c>
      <c r="E980" s="4" t="s">
        <v>929</v>
      </c>
      <c r="M980" s="4" t="s">
        <v>757</v>
      </c>
      <c r="N980" s="4">
        <v>-71.379444149999998</v>
      </c>
      <c r="O980" s="4">
        <v>3.7852365975</v>
      </c>
      <c r="P980" s="4" t="s">
        <v>967</v>
      </c>
      <c r="Q980" s="4" t="s">
        <v>743</v>
      </c>
      <c r="R980" s="4" t="s">
        <v>730</v>
      </c>
      <c r="S980" s="2">
        <v>46174.382439236113</v>
      </c>
      <c r="T980" s="5">
        <v>2.3148148148148147E-5</v>
      </c>
      <c r="U980" s="4">
        <v>2.1613255143165588E-2</v>
      </c>
      <c r="V980" s="4" t="s">
        <v>758</v>
      </c>
      <c r="W980" s="4" t="s">
        <v>757</v>
      </c>
      <c r="X980" s="6" t="s">
        <v>617</v>
      </c>
    </row>
    <row r="981" spans="1:24">
      <c r="A981" s="4" t="s">
        <v>926</v>
      </c>
      <c r="B981" s="4" t="s">
        <v>927</v>
      </c>
      <c r="D981" s="4" t="s">
        <v>928</v>
      </c>
      <c r="E981" s="4" t="s">
        <v>929</v>
      </c>
      <c r="M981" s="4" t="s">
        <v>757</v>
      </c>
      <c r="N981" s="4">
        <v>-71.378914286249994</v>
      </c>
      <c r="O981" s="4">
        <v>3.7839979122625</v>
      </c>
      <c r="P981" s="4" t="s">
        <v>968</v>
      </c>
      <c r="Q981" s="4" t="s">
        <v>743</v>
      </c>
      <c r="R981" s="4" t="s">
        <v>730</v>
      </c>
      <c r="S981" s="2">
        <v>46174.382659317132</v>
      </c>
      <c r="T981" s="5">
        <v>5.6134259259259258E-6</v>
      </c>
      <c r="U981" s="4">
        <v>4.8477794043719769E-3</v>
      </c>
      <c r="V981" s="4" t="s">
        <v>758</v>
      </c>
      <c r="W981" s="4" t="s">
        <v>757</v>
      </c>
      <c r="X981" s="6" t="s">
        <v>617</v>
      </c>
    </row>
    <row r="982" spans="1:24">
      <c r="A982" s="4" t="s">
        <v>926</v>
      </c>
      <c r="B982" s="4" t="s">
        <v>927</v>
      </c>
      <c r="D982" s="4" t="s">
        <v>928</v>
      </c>
      <c r="E982" s="4" t="s">
        <v>929</v>
      </c>
      <c r="M982" s="4" t="s">
        <v>757</v>
      </c>
      <c r="N982" s="4">
        <v>-71.378632778100013</v>
      </c>
      <c r="O982" s="4">
        <v>3.7826080972700002</v>
      </c>
      <c r="P982" s="4" t="s">
        <v>969</v>
      </c>
      <c r="Q982" s="4" t="s">
        <v>743</v>
      </c>
      <c r="R982" s="4" t="s">
        <v>730</v>
      </c>
      <c r="S982" s="2">
        <v>46174.382924675927</v>
      </c>
      <c r="T982" s="5">
        <v>8.8148148148148151E-5</v>
      </c>
      <c r="U982" s="4">
        <v>8.793165534734726E-2</v>
      </c>
      <c r="V982" s="4" t="s">
        <v>774</v>
      </c>
      <c r="W982" s="4" t="s">
        <v>757</v>
      </c>
      <c r="X982" s="6" t="s">
        <v>617</v>
      </c>
    </row>
    <row r="983" spans="1:24">
      <c r="A983" s="4" t="s">
        <v>926</v>
      </c>
      <c r="B983" s="4" t="s">
        <v>927</v>
      </c>
      <c r="D983" s="4" t="s">
        <v>928</v>
      </c>
      <c r="E983" s="4" t="s">
        <v>929</v>
      </c>
      <c r="M983" s="4" t="s">
        <v>939</v>
      </c>
      <c r="N983" s="4">
        <v>-71.379424999999998</v>
      </c>
      <c r="O983" s="4">
        <v>3.7811932599999998</v>
      </c>
      <c r="P983" s="4" t="s">
        <v>969</v>
      </c>
      <c r="Q983" s="4" t="s">
        <v>743</v>
      </c>
      <c r="R983" s="4" t="s">
        <v>730</v>
      </c>
      <c r="S983" s="2">
        <v>46174.384212962963</v>
      </c>
      <c r="T983" s="5">
        <v>0</v>
      </c>
      <c r="U983" s="4">
        <v>0</v>
      </c>
      <c r="V983" s="4" t="s">
        <v>960</v>
      </c>
      <c r="W983" s="4" t="s">
        <v>939</v>
      </c>
      <c r="X983" s="6" t="s">
        <v>617</v>
      </c>
    </row>
    <row r="984" spans="1:24">
      <c r="A984" s="4" t="s">
        <v>926</v>
      </c>
      <c r="B984" s="4" t="s">
        <v>927</v>
      </c>
      <c r="D984" s="4" t="s">
        <v>928</v>
      </c>
      <c r="E984" s="4" t="s">
        <v>929</v>
      </c>
      <c r="M984" s="4" t="s">
        <v>757</v>
      </c>
      <c r="N984" s="4">
        <v>-71.377927389999996</v>
      </c>
      <c r="O984" s="4">
        <v>3.7836625590000001</v>
      </c>
      <c r="P984" s="4" t="s">
        <v>968</v>
      </c>
      <c r="Q984" s="4" t="s">
        <v>743</v>
      </c>
      <c r="R984" s="4" t="s">
        <v>730</v>
      </c>
      <c r="S984" s="2">
        <v>46174.38594328714</v>
      </c>
      <c r="T984" s="5">
        <v>2.0949074074074075E-4</v>
      </c>
      <c r="U984" s="4">
        <v>0.2212677001953125</v>
      </c>
      <c r="V984" s="4" t="s">
        <v>849</v>
      </c>
      <c r="W984" s="4" t="s">
        <v>757</v>
      </c>
      <c r="X984" s="6" t="s">
        <v>617</v>
      </c>
    </row>
    <row r="985" spans="1:24">
      <c r="A985" s="4" t="s">
        <v>926</v>
      </c>
      <c r="B985" s="4" t="s">
        <v>927</v>
      </c>
      <c r="D985" s="4" t="s">
        <v>928</v>
      </c>
      <c r="E985" s="4" t="s">
        <v>929</v>
      </c>
      <c r="M985" s="4" t="s">
        <v>625</v>
      </c>
      <c r="N985" s="4">
        <v>-71.3757935</v>
      </c>
      <c r="O985" s="4">
        <v>3.7828524099999998</v>
      </c>
      <c r="P985" s="4" t="s">
        <v>967</v>
      </c>
      <c r="Q985" s="4" t="s">
        <v>743</v>
      </c>
      <c r="R985" s="4" t="s">
        <v>730</v>
      </c>
      <c r="S985" s="2">
        <v>46174.386192129627</v>
      </c>
      <c r="T985" s="5">
        <v>0</v>
      </c>
      <c r="U985" s="4">
        <v>0</v>
      </c>
      <c r="V985" s="4" t="s">
        <v>970</v>
      </c>
      <c r="W985" s="4" t="s">
        <v>625</v>
      </c>
      <c r="X985" s="6" t="s">
        <v>617</v>
      </c>
    </row>
    <row r="986" spans="1:24">
      <c r="A986" s="4" t="s">
        <v>926</v>
      </c>
      <c r="B986" s="4" t="s">
        <v>927</v>
      </c>
      <c r="D986" s="4" t="s">
        <v>928</v>
      </c>
      <c r="E986" s="4" t="s">
        <v>929</v>
      </c>
      <c r="M986" s="4" t="s">
        <v>757</v>
      </c>
      <c r="N986" s="4">
        <v>-71.374103550000001</v>
      </c>
      <c r="O986" s="4">
        <v>3.7823271749999998</v>
      </c>
      <c r="P986" s="4" t="s">
        <v>971</v>
      </c>
      <c r="Q986" s="4" t="s">
        <v>743</v>
      </c>
      <c r="R986" s="4" t="s">
        <v>730</v>
      </c>
      <c r="S986" s="2">
        <v>46174.386469907404</v>
      </c>
      <c r="T986" s="5">
        <v>3.4722222222222222E-5</v>
      </c>
      <c r="U986" s="4">
        <v>3.2735735177993774E-2</v>
      </c>
      <c r="V986" s="4" t="s">
        <v>758</v>
      </c>
      <c r="W986" s="4" t="s">
        <v>757</v>
      </c>
      <c r="X986" s="6" t="s">
        <v>617</v>
      </c>
    </row>
    <row r="987" spans="1:24">
      <c r="A987" s="4" t="s">
        <v>926</v>
      </c>
      <c r="B987" s="4" t="s">
        <v>927</v>
      </c>
      <c r="D987" s="4" t="s">
        <v>928</v>
      </c>
      <c r="E987" s="4" t="s">
        <v>929</v>
      </c>
      <c r="M987" s="4" t="s">
        <v>757</v>
      </c>
      <c r="N987" s="4">
        <v>-71.371760083333342</v>
      </c>
      <c r="O987" s="4">
        <v>3.7824713383333335</v>
      </c>
      <c r="P987" s="4" t="s">
        <v>971</v>
      </c>
      <c r="Q987" s="4" t="s">
        <v>743</v>
      </c>
      <c r="R987" s="4" t="s">
        <v>730</v>
      </c>
      <c r="S987" s="2">
        <v>46174.386840277781</v>
      </c>
      <c r="T987" s="5">
        <v>8.7627314814814821E-5</v>
      </c>
      <c r="U987" s="4">
        <v>8.6533695459365845E-2</v>
      </c>
      <c r="V987" s="4" t="s">
        <v>774</v>
      </c>
      <c r="W987" s="4" t="s">
        <v>757</v>
      </c>
      <c r="X987" s="6" t="s">
        <v>617</v>
      </c>
    </row>
    <row r="988" spans="1:24">
      <c r="A988" s="4" t="s">
        <v>926</v>
      </c>
      <c r="B988" s="4" t="s">
        <v>927</v>
      </c>
      <c r="D988" s="4" t="s">
        <v>928</v>
      </c>
      <c r="E988" s="4" t="s">
        <v>929</v>
      </c>
      <c r="M988" s="4" t="s">
        <v>939</v>
      </c>
      <c r="N988" s="4">
        <v>-71.370147700000004</v>
      </c>
      <c r="O988" s="4">
        <v>3.7821927099999999</v>
      </c>
      <c r="P988" s="4" t="s">
        <v>971</v>
      </c>
      <c r="Q988" s="4" t="s">
        <v>743</v>
      </c>
      <c r="R988" s="4" t="s">
        <v>730</v>
      </c>
      <c r="S988" s="2">
        <v>46174.387766203705</v>
      </c>
      <c r="T988" s="5">
        <v>0</v>
      </c>
      <c r="U988" s="4">
        <v>0</v>
      </c>
      <c r="V988" s="4" t="s">
        <v>962</v>
      </c>
      <c r="W988" s="4" t="s">
        <v>939</v>
      </c>
      <c r="X988" s="6" t="s">
        <v>617</v>
      </c>
    </row>
    <row r="989" spans="1:24">
      <c r="A989" s="4" t="s">
        <v>926</v>
      </c>
      <c r="B989" s="4" t="s">
        <v>927</v>
      </c>
      <c r="D989" s="4" t="s">
        <v>928</v>
      </c>
      <c r="E989" s="4" t="s">
        <v>929</v>
      </c>
      <c r="M989" s="4" t="s">
        <v>757</v>
      </c>
      <c r="N989" s="4">
        <v>-71.371685053990007</v>
      </c>
      <c r="O989" s="4">
        <v>3.7824825395709998</v>
      </c>
      <c r="P989" s="4" t="s">
        <v>971</v>
      </c>
      <c r="Q989" s="4" t="s">
        <v>743</v>
      </c>
      <c r="R989" s="4" t="s">
        <v>730</v>
      </c>
      <c r="S989" s="2">
        <v>46174.38812693287</v>
      </c>
      <c r="T989" s="5">
        <v>8.5694444444444446E-5</v>
      </c>
      <c r="U989" s="4">
        <v>8.291906863451004E-2</v>
      </c>
      <c r="V989" s="4" t="s">
        <v>774</v>
      </c>
      <c r="W989" s="4" t="s">
        <v>757</v>
      </c>
      <c r="X989" s="6" t="s">
        <v>617</v>
      </c>
    </row>
    <row r="990" spans="1:24">
      <c r="A990" s="4" t="s">
        <v>926</v>
      </c>
      <c r="B990" s="4" t="s">
        <v>927</v>
      </c>
      <c r="D990" s="4" t="s">
        <v>928</v>
      </c>
      <c r="E990" s="4" t="s">
        <v>929</v>
      </c>
      <c r="M990" s="4" t="s">
        <v>757</v>
      </c>
      <c r="N990" s="4">
        <v>-71.374114966666667</v>
      </c>
      <c r="O990" s="4">
        <v>3.7823367133333332</v>
      </c>
      <c r="P990" s="4" t="s">
        <v>971</v>
      </c>
      <c r="Q990" s="4" t="s">
        <v>743</v>
      </c>
      <c r="R990" s="4" t="s">
        <v>730</v>
      </c>
      <c r="S990" s="2">
        <v>46174.388506944444</v>
      </c>
      <c r="T990" s="5">
        <v>1.4351851851851852E-4</v>
      </c>
      <c r="U990" s="4">
        <v>0.14578133821487427</v>
      </c>
      <c r="V990" s="4" t="s">
        <v>778</v>
      </c>
      <c r="W990" s="4" t="s">
        <v>757</v>
      </c>
      <c r="X990" s="6" t="s">
        <v>617</v>
      </c>
    </row>
    <row r="991" spans="1:24">
      <c r="A991" s="4" t="s">
        <v>926</v>
      </c>
      <c r="B991" s="4" t="s">
        <v>927</v>
      </c>
      <c r="D991" s="4" t="s">
        <v>928</v>
      </c>
      <c r="E991" s="4" t="s">
        <v>929</v>
      </c>
      <c r="M991" s="4" t="s">
        <v>757</v>
      </c>
      <c r="N991" s="4">
        <v>-71.375415398800001</v>
      </c>
      <c r="O991" s="4">
        <v>3.7823361382559999</v>
      </c>
      <c r="P991" s="4" t="s">
        <v>972</v>
      </c>
      <c r="Q991" s="4" t="s">
        <v>743</v>
      </c>
      <c r="R991" s="4" t="s">
        <v>730</v>
      </c>
      <c r="S991" s="2">
        <v>46174.38881300926</v>
      </c>
      <c r="T991" s="5">
        <v>9.1342592592592593E-4</v>
      </c>
      <c r="U991" s="4">
        <v>1.0003517866134644</v>
      </c>
      <c r="V991" s="4" t="s">
        <v>973</v>
      </c>
      <c r="W991" s="4" t="s">
        <v>757</v>
      </c>
      <c r="X991" s="6" t="s">
        <v>617</v>
      </c>
    </row>
    <row r="992" spans="1:24">
      <c r="A992" s="4" t="s">
        <v>926</v>
      </c>
      <c r="B992" s="4" t="s">
        <v>927</v>
      </c>
      <c r="D992" s="4" t="s">
        <v>928</v>
      </c>
      <c r="E992" s="4" t="s">
        <v>929</v>
      </c>
      <c r="M992" s="4" t="s">
        <v>757</v>
      </c>
      <c r="N992" s="4">
        <v>-71.368343350000004</v>
      </c>
      <c r="O992" s="4">
        <v>3.7735562300000001</v>
      </c>
      <c r="P992" s="4" t="s">
        <v>972</v>
      </c>
      <c r="Q992" s="4" t="s">
        <v>743</v>
      </c>
      <c r="R992" s="4" t="s">
        <v>730</v>
      </c>
      <c r="S992" s="2">
        <v>46174.390196759261</v>
      </c>
      <c r="T992" s="5">
        <v>1.6782417407407407E-4</v>
      </c>
      <c r="U992" s="4">
        <v>0.15811750292778015</v>
      </c>
      <c r="V992" s="4" t="s">
        <v>758</v>
      </c>
      <c r="W992" s="4" t="s">
        <v>757</v>
      </c>
      <c r="X992" s="6" t="s">
        <v>617</v>
      </c>
    </row>
    <row r="993" spans="1:24">
      <c r="A993" s="4" t="s">
        <v>926</v>
      </c>
      <c r="B993" s="4" t="s">
        <v>927</v>
      </c>
      <c r="D993" s="4" t="s">
        <v>928</v>
      </c>
      <c r="E993" s="4" t="s">
        <v>929</v>
      </c>
      <c r="M993" s="4" t="s">
        <v>757</v>
      </c>
      <c r="N993" s="4">
        <v>-71.367351549999995</v>
      </c>
      <c r="O993" s="4">
        <v>3.77001476</v>
      </c>
      <c r="P993" s="4" t="s">
        <v>967</v>
      </c>
      <c r="Q993" s="4" t="s">
        <v>743</v>
      </c>
      <c r="R993" s="4" t="s">
        <v>730</v>
      </c>
      <c r="S993" s="2">
        <v>46174.394097222219</v>
      </c>
      <c r="T993" s="5">
        <v>3.665509259259259E-5</v>
      </c>
      <c r="U993" s="4">
        <v>3.4964445978403091E-2</v>
      </c>
      <c r="V993" s="4" t="s">
        <v>758</v>
      </c>
      <c r="W993" s="4" t="s">
        <v>757</v>
      </c>
      <c r="X993" s="6" t="s">
        <v>617</v>
      </c>
    </row>
    <row r="994" spans="1:24">
      <c r="A994" s="4" t="s">
        <v>926</v>
      </c>
      <c r="B994" s="4" t="s">
        <v>927</v>
      </c>
      <c r="D994" s="4" t="s">
        <v>928</v>
      </c>
      <c r="E994" s="4" t="s">
        <v>929</v>
      </c>
      <c r="M994" s="4" t="s">
        <v>757</v>
      </c>
      <c r="N994" s="4">
        <v>-71.368278520000004</v>
      </c>
      <c r="O994" s="4">
        <v>3.7676487939999999</v>
      </c>
      <c r="P994" s="4" t="s">
        <v>974</v>
      </c>
      <c r="Q994" s="4" t="s">
        <v>743</v>
      </c>
      <c r="R994" s="4" t="s">
        <v>730</v>
      </c>
      <c r="S994" s="2">
        <v>46174.394444444442</v>
      </c>
      <c r="T994" s="5">
        <v>1.3749999999999999E-3</v>
      </c>
      <c r="U994" s="4">
        <v>1.470568060874939</v>
      </c>
      <c r="V994" s="4" t="s">
        <v>956</v>
      </c>
      <c r="W994" s="4" t="s">
        <v>757</v>
      </c>
      <c r="X994" s="6" t="s">
        <v>617</v>
      </c>
    </row>
    <row r="995" spans="1:24">
      <c r="A995" s="4" t="s">
        <v>926</v>
      </c>
      <c r="B995" s="4" t="s">
        <v>927</v>
      </c>
      <c r="D995" s="4" t="s">
        <v>928</v>
      </c>
      <c r="E995" s="4" t="s">
        <v>929</v>
      </c>
      <c r="M995" s="4" t="s">
        <v>939</v>
      </c>
      <c r="N995" s="4">
        <v>-71.370819100000006</v>
      </c>
      <c r="O995" s="4">
        <v>3.7542447999999999</v>
      </c>
      <c r="P995" s="4" t="s">
        <v>975</v>
      </c>
      <c r="Q995" s="4" t="s">
        <v>743</v>
      </c>
      <c r="R995" s="4" t="s">
        <v>730</v>
      </c>
      <c r="S995" s="2">
        <v>46174.396539351852</v>
      </c>
      <c r="T995" s="5">
        <v>0</v>
      </c>
      <c r="U995" s="4">
        <v>0</v>
      </c>
      <c r="V995" s="4" t="s">
        <v>964</v>
      </c>
      <c r="W995" s="4" t="s">
        <v>939</v>
      </c>
      <c r="X995" s="6" t="s">
        <v>617</v>
      </c>
    </row>
    <row r="996" spans="1:24">
      <c r="A996" s="4" t="s">
        <v>926</v>
      </c>
      <c r="B996" s="4" t="s">
        <v>927</v>
      </c>
      <c r="D996" s="4" t="s">
        <v>928</v>
      </c>
      <c r="E996" s="4" t="s">
        <v>929</v>
      </c>
      <c r="M996" s="4" t="s">
        <v>757</v>
      </c>
      <c r="N996" s="4">
        <v>-71.369839366666668</v>
      </c>
      <c r="O996" s="4">
        <v>3.7536025466666669</v>
      </c>
      <c r="P996" s="4" t="s">
        <v>976</v>
      </c>
      <c r="Q996" s="4" t="s">
        <v>743</v>
      </c>
      <c r="R996" s="4" t="s">
        <v>730</v>
      </c>
      <c r="S996" s="2">
        <v>46174.398382523148</v>
      </c>
      <c r="T996" s="5">
        <v>3.5921296296296298E-4</v>
      </c>
      <c r="U996" s="4">
        <v>0.3612838089466095</v>
      </c>
      <c r="V996" s="4" t="s">
        <v>778</v>
      </c>
      <c r="W996" s="4" t="s">
        <v>757</v>
      </c>
      <c r="X996" s="6" t="s">
        <v>617</v>
      </c>
    </row>
    <row r="997" spans="1:24">
      <c r="A997" s="4" t="s">
        <v>926</v>
      </c>
      <c r="B997" s="4" t="s">
        <v>927</v>
      </c>
      <c r="D997" s="4" t="s">
        <v>928</v>
      </c>
      <c r="E997" s="4" t="s">
        <v>929</v>
      </c>
      <c r="M997" s="4" t="s">
        <v>757</v>
      </c>
      <c r="N997" s="4">
        <v>-71.369796774999998</v>
      </c>
      <c r="O997" s="4">
        <v>3.7499411699999996</v>
      </c>
      <c r="P997" s="4" t="s">
        <v>976</v>
      </c>
      <c r="Q997" s="4" t="s">
        <v>743</v>
      </c>
      <c r="R997" s="4" t="s">
        <v>730</v>
      </c>
      <c r="S997" s="2">
        <v>46174.398796296293</v>
      </c>
      <c r="T997" s="5">
        <v>1.3020833333333333E-4</v>
      </c>
      <c r="U997" s="4">
        <v>0.12998567521572113</v>
      </c>
      <c r="V997" s="4" t="s">
        <v>758</v>
      </c>
      <c r="W997" s="4" t="s">
        <v>757</v>
      </c>
      <c r="X997" s="6" t="s">
        <v>617</v>
      </c>
    </row>
    <row r="998" spans="1:24">
      <c r="A998" s="4" t="s">
        <v>926</v>
      </c>
      <c r="B998" s="4" t="s">
        <v>927</v>
      </c>
      <c r="D998" s="4" t="s">
        <v>928</v>
      </c>
      <c r="E998" s="4" t="s">
        <v>929</v>
      </c>
      <c r="M998" s="4" t="s">
        <v>757</v>
      </c>
      <c r="N998" s="4">
        <v>-71.370218249999994</v>
      </c>
      <c r="O998" s="4">
        <v>3.7433215375</v>
      </c>
      <c r="P998" s="4" t="s">
        <v>976</v>
      </c>
      <c r="Q998" s="4" t="s">
        <v>743</v>
      </c>
      <c r="R998" s="4" t="s">
        <v>730</v>
      </c>
      <c r="S998" s="2">
        <v>46174.399580439815</v>
      </c>
      <c r="T998" s="5">
        <v>2.4016203703703705E-4</v>
      </c>
      <c r="U998" s="4">
        <v>0.2302568107843399</v>
      </c>
      <c r="V998" s="4" t="s">
        <v>758</v>
      </c>
      <c r="W998" s="4" t="s">
        <v>757</v>
      </c>
      <c r="X998" s="6" t="s">
        <v>617</v>
      </c>
    </row>
    <row r="999" spans="1:24">
      <c r="A999" s="4" t="s">
        <v>926</v>
      </c>
      <c r="B999" s="4" t="s">
        <v>927</v>
      </c>
      <c r="D999" s="4" t="s">
        <v>928</v>
      </c>
      <c r="E999" s="4" t="s">
        <v>929</v>
      </c>
      <c r="M999" s="4" t="s">
        <v>757</v>
      </c>
      <c r="N999" s="4">
        <v>-71.370051037085716</v>
      </c>
      <c r="O999" s="4">
        <v>3.7383201824857144</v>
      </c>
      <c r="P999" s="4" t="s">
        <v>976</v>
      </c>
      <c r="Q999" s="4" t="s">
        <v>743</v>
      </c>
      <c r="R999" s="4" t="s">
        <v>730</v>
      </c>
      <c r="S999" s="2">
        <v>46174.400282916664</v>
      </c>
      <c r="T999" s="5">
        <v>1.8004629629629629E-4</v>
      </c>
      <c r="U999" s="4">
        <v>0.16937810182571411</v>
      </c>
      <c r="V999" s="4" t="s">
        <v>774</v>
      </c>
      <c r="W999" s="4" t="s">
        <v>757</v>
      </c>
      <c r="X999" s="6" t="s">
        <v>617</v>
      </c>
    </row>
    <row r="1000" spans="1:24">
      <c r="A1000" s="4" t="s">
        <v>926</v>
      </c>
      <c r="B1000" s="4" t="s">
        <v>927</v>
      </c>
      <c r="D1000" s="4" t="s">
        <v>928</v>
      </c>
      <c r="E1000" s="4" t="s">
        <v>929</v>
      </c>
      <c r="M1000" s="4" t="s">
        <v>757</v>
      </c>
      <c r="N1000" s="4">
        <v>-71.371766408333329</v>
      </c>
      <c r="O1000" s="4">
        <v>3.7376827174999998</v>
      </c>
      <c r="P1000" s="4" t="s">
        <v>976</v>
      </c>
      <c r="Q1000" s="4" t="s">
        <v>743</v>
      </c>
      <c r="R1000" s="4" t="s">
        <v>730</v>
      </c>
      <c r="S1000" s="2">
        <v>46174.402607060183</v>
      </c>
      <c r="T1000" s="5">
        <v>4.9189814814814815E-5</v>
      </c>
      <c r="U1000" s="4">
        <v>4.7133490443229675E-2</v>
      </c>
      <c r="V1000" s="4" t="s">
        <v>758</v>
      </c>
      <c r="W1000" s="4" t="s">
        <v>757</v>
      </c>
      <c r="X1000" s="6" t="s">
        <v>617</v>
      </c>
    </row>
    <row r="1001" spans="1:24">
      <c r="A1001" s="4" t="s">
        <v>926</v>
      </c>
      <c r="B1001" s="4" t="s">
        <v>927</v>
      </c>
      <c r="D1001" s="4" t="s">
        <v>928</v>
      </c>
      <c r="E1001" s="4" t="s">
        <v>929</v>
      </c>
      <c r="M1001" s="4" t="s">
        <v>757</v>
      </c>
      <c r="N1001" s="4">
        <v>-71.370361330850002</v>
      </c>
      <c r="O1001" s="4">
        <v>3.7381910328750001</v>
      </c>
      <c r="P1001" s="4" t="s">
        <v>976</v>
      </c>
      <c r="Q1001" s="4" t="s">
        <v>743</v>
      </c>
      <c r="R1001" s="4" t="s">
        <v>730</v>
      </c>
      <c r="S1001" s="2">
        <v>46174.402782916666</v>
      </c>
      <c r="T1001" s="5">
        <v>7.819444444444444E-5</v>
      </c>
      <c r="U1001" s="4">
        <v>7.6622046530246735E-2</v>
      </c>
      <c r="V1001" s="4" t="s">
        <v>778</v>
      </c>
      <c r="W1001" s="4" t="s">
        <v>757</v>
      </c>
      <c r="X1001" s="6" t="s">
        <v>617</v>
      </c>
    </row>
    <row r="1002" spans="1:24">
      <c r="A1002" s="4" t="s">
        <v>926</v>
      </c>
      <c r="B1002" s="4" t="s">
        <v>927</v>
      </c>
      <c r="D1002" s="4" t="s">
        <v>928</v>
      </c>
      <c r="E1002" s="4" t="s">
        <v>929</v>
      </c>
      <c r="M1002" s="4" t="s">
        <v>674</v>
      </c>
      <c r="N1002" s="4">
        <v>-71.369430500000007</v>
      </c>
      <c r="O1002" s="4">
        <v>3.73861241</v>
      </c>
      <c r="P1002" s="4" t="s">
        <v>976</v>
      </c>
      <c r="Q1002" s="4" t="s">
        <v>743</v>
      </c>
      <c r="R1002" s="4" t="s">
        <v>730</v>
      </c>
      <c r="S1002" s="2">
        <v>46174.402905092589</v>
      </c>
      <c r="T1002" s="5">
        <v>0</v>
      </c>
      <c r="U1002" s="4">
        <v>0</v>
      </c>
      <c r="V1002" s="4" t="s">
        <v>963</v>
      </c>
      <c r="W1002" s="4" t="s">
        <v>674</v>
      </c>
      <c r="X1002" s="6" t="s">
        <v>617</v>
      </c>
    </row>
    <row r="1003" spans="1:24">
      <c r="A1003" s="4" t="s">
        <v>926</v>
      </c>
      <c r="B1003" s="4" t="s">
        <v>927</v>
      </c>
      <c r="D1003" s="4" t="s">
        <v>928</v>
      </c>
      <c r="E1003" s="4" t="s">
        <v>929</v>
      </c>
      <c r="M1003" s="4" t="s">
        <v>757</v>
      </c>
      <c r="N1003" s="4">
        <v>-71.370396935879995</v>
      </c>
      <c r="O1003" s="4">
        <v>3.7412062840620002</v>
      </c>
      <c r="P1003" s="4" t="s">
        <v>976</v>
      </c>
      <c r="Q1003" s="4" t="s">
        <v>743</v>
      </c>
      <c r="R1003" s="4" t="s">
        <v>730</v>
      </c>
      <c r="S1003" s="2">
        <v>46174.403341053243</v>
      </c>
      <c r="T1003" s="5">
        <v>1.3464467592592593E-3</v>
      </c>
      <c r="U1003" s="4">
        <v>1.3614492416381836</v>
      </c>
      <c r="V1003" s="4" t="s">
        <v>849</v>
      </c>
      <c r="W1003" s="4" t="s">
        <v>757</v>
      </c>
      <c r="X1003" s="6" t="s">
        <v>617</v>
      </c>
    </row>
    <row r="1004" spans="1:24">
      <c r="A1004" s="4" t="s">
        <v>926</v>
      </c>
      <c r="B1004" s="4" t="s">
        <v>927</v>
      </c>
      <c r="D1004" s="4" t="s">
        <v>928</v>
      </c>
      <c r="E1004" s="4" t="s">
        <v>929</v>
      </c>
      <c r="M1004" s="4" t="s">
        <v>757</v>
      </c>
      <c r="N1004" s="4">
        <v>-71.370185840000005</v>
      </c>
      <c r="O1004" s="4">
        <v>3.7550696860000001</v>
      </c>
      <c r="P1004" s="4" t="s">
        <v>974</v>
      </c>
      <c r="Q1004" s="4" t="s">
        <v>743</v>
      </c>
      <c r="R1004" s="4" t="s">
        <v>730</v>
      </c>
      <c r="S1004" s="2">
        <v>46174.404937500003</v>
      </c>
      <c r="T1004" s="5">
        <v>5.8333333333333338E-4</v>
      </c>
      <c r="U1004" s="4">
        <v>0.61770111322402954</v>
      </c>
      <c r="V1004" s="4" t="s">
        <v>849</v>
      </c>
      <c r="W1004" s="4" t="s">
        <v>757</v>
      </c>
      <c r="X1004" s="6" t="s">
        <v>617</v>
      </c>
    </row>
    <row r="1005" spans="1:24">
      <c r="A1005" s="4" t="s">
        <v>926</v>
      </c>
      <c r="B1005" s="4" t="s">
        <v>927</v>
      </c>
      <c r="D1005" s="4" t="s">
        <v>928</v>
      </c>
      <c r="E1005" s="4" t="s">
        <v>929</v>
      </c>
      <c r="M1005" s="4" t="s">
        <v>757</v>
      </c>
      <c r="N1005" s="4">
        <v>-71.369700101814288</v>
      </c>
      <c r="O1005" s="4">
        <v>3.76112775552</v>
      </c>
      <c r="P1005" s="4" t="s">
        <v>974</v>
      </c>
      <c r="Q1005" s="4" t="s">
        <v>743</v>
      </c>
      <c r="R1005" s="4" t="s">
        <v>730</v>
      </c>
      <c r="S1005" s="2">
        <v>46174.405582557869</v>
      </c>
      <c r="T1005" s="5">
        <v>7.253472222222222E-5</v>
      </c>
      <c r="U1005" s="4">
        <v>7.1103036403656006E-2</v>
      </c>
      <c r="V1005" s="4" t="s">
        <v>774</v>
      </c>
      <c r="W1005" s="4" t="s">
        <v>757</v>
      </c>
      <c r="X1005" s="6" t="s">
        <v>617</v>
      </c>
    </row>
    <row r="1006" spans="1:24">
      <c r="A1006" s="4" t="s">
        <v>926</v>
      </c>
      <c r="B1006" s="4" t="s">
        <v>927</v>
      </c>
      <c r="D1006" s="4" t="s">
        <v>928</v>
      </c>
      <c r="E1006" s="4" t="s">
        <v>929</v>
      </c>
      <c r="M1006" s="4" t="s">
        <v>757</v>
      </c>
      <c r="N1006" s="4">
        <v>-71.368949929899998</v>
      </c>
      <c r="O1006" s="4">
        <v>3.7645408033200001</v>
      </c>
      <c r="P1006" s="4" t="s">
        <v>974</v>
      </c>
      <c r="Q1006" s="4" t="s">
        <v>743</v>
      </c>
      <c r="R1006" s="4" t="s">
        <v>730</v>
      </c>
      <c r="S1006" s="2">
        <v>46174.406986712966</v>
      </c>
      <c r="T1006" s="5">
        <v>4.6835648148148149E-4</v>
      </c>
      <c r="U1006" s="4">
        <v>0.49483519792556763</v>
      </c>
      <c r="V1006" s="4" t="s">
        <v>849</v>
      </c>
      <c r="W1006" s="4" t="s">
        <v>757</v>
      </c>
      <c r="X1006" s="6" t="s">
        <v>617</v>
      </c>
    </row>
    <row r="1007" spans="1:24">
      <c r="A1007" s="4" t="s">
        <v>926</v>
      </c>
      <c r="B1007" s="4" t="s">
        <v>927</v>
      </c>
      <c r="D1007" s="4" t="s">
        <v>928</v>
      </c>
      <c r="E1007" s="4" t="s">
        <v>929</v>
      </c>
      <c r="M1007" s="4" t="s">
        <v>875</v>
      </c>
      <c r="N1007" s="4">
        <v>-71.367088292000005</v>
      </c>
      <c r="O1007" s="4">
        <v>3.7682332660266669</v>
      </c>
      <c r="P1007" s="4" t="s">
        <v>902</v>
      </c>
      <c r="Q1007" s="4" t="s">
        <v>877</v>
      </c>
      <c r="R1007" s="4" t="s">
        <v>720</v>
      </c>
      <c r="S1007" s="2">
        <v>46174.407784074072</v>
      </c>
      <c r="T1007" s="5">
        <v>3.914351851851852E-4</v>
      </c>
      <c r="U1007" s="4">
        <v>0.26959154009819031</v>
      </c>
      <c r="V1007" s="4" t="s">
        <v>781</v>
      </c>
      <c r="W1007" s="4" t="s">
        <v>875</v>
      </c>
      <c r="X1007" s="6" t="s">
        <v>617</v>
      </c>
    </row>
    <row r="1008" spans="1:24">
      <c r="A1008" s="4" t="s">
        <v>926</v>
      </c>
      <c r="B1008" s="4" t="s">
        <v>927</v>
      </c>
      <c r="D1008" s="4" t="s">
        <v>928</v>
      </c>
      <c r="E1008" s="4" t="s">
        <v>929</v>
      </c>
      <c r="M1008" s="4" t="s">
        <v>875</v>
      </c>
      <c r="N1008" s="4">
        <v>-71.363255833333326</v>
      </c>
      <c r="O1008" s="4">
        <v>3.7650384133333334</v>
      </c>
      <c r="P1008" s="4" t="s">
        <v>977</v>
      </c>
      <c r="Q1008" s="4" t="s">
        <v>877</v>
      </c>
      <c r="R1008" s="4" t="s">
        <v>720</v>
      </c>
      <c r="S1008" s="2">
        <v>46174.412118055552</v>
      </c>
      <c r="T1008" s="5">
        <v>1.4884259259259259E-5</v>
      </c>
      <c r="U1008" s="4">
        <v>7.0899040438234806E-3</v>
      </c>
      <c r="V1008" s="4" t="s">
        <v>738</v>
      </c>
      <c r="W1008" s="4" t="s">
        <v>875</v>
      </c>
      <c r="X1008" s="6" t="s">
        <v>617</v>
      </c>
    </row>
    <row r="1009" spans="1:24">
      <c r="A1009" s="4" t="s">
        <v>926</v>
      </c>
      <c r="B1009" s="4" t="s">
        <v>927</v>
      </c>
      <c r="D1009" s="4" t="s">
        <v>928</v>
      </c>
      <c r="E1009" s="4" t="s">
        <v>929</v>
      </c>
      <c r="M1009" s="4" t="s">
        <v>875</v>
      </c>
      <c r="N1009" s="4">
        <v>-71.363035394400001</v>
      </c>
      <c r="O1009" s="4">
        <v>3.7650445540999997</v>
      </c>
      <c r="P1009" s="4" t="s">
        <v>977</v>
      </c>
      <c r="Q1009" s="4" t="s">
        <v>877</v>
      </c>
      <c r="R1009" s="4" t="s">
        <v>720</v>
      </c>
      <c r="S1009" s="2">
        <v>46174.412177210645</v>
      </c>
      <c r="T1009" s="5">
        <v>3.9802083333333334E-4</v>
      </c>
      <c r="U1009" s="4">
        <v>0.21616129577159882</v>
      </c>
      <c r="V1009" s="4" t="s">
        <v>751</v>
      </c>
      <c r="W1009" s="4" t="s">
        <v>875</v>
      </c>
      <c r="X1009" s="6" t="s">
        <v>617</v>
      </c>
    </row>
    <row r="1010" spans="1:24">
      <c r="A1010" s="4" t="s">
        <v>926</v>
      </c>
      <c r="B1010" s="4" t="s">
        <v>927</v>
      </c>
      <c r="D1010" s="4" t="s">
        <v>928</v>
      </c>
      <c r="E1010" s="4" t="s">
        <v>929</v>
      </c>
      <c r="M1010" s="4" t="s">
        <v>875</v>
      </c>
      <c r="N1010" s="4">
        <v>-71.360805743</v>
      </c>
      <c r="O1010" s="4">
        <v>3.7642783756760001</v>
      </c>
      <c r="P1010" s="4" t="s">
        <v>902</v>
      </c>
      <c r="Q1010" s="4" t="s">
        <v>877</v>
      </c>
      <c r="R1010" s="4" t="s">
        <v>720</v>
      </c>
      <c r="S1010" s="2">
        <v>46174.412723761576</v>
      </c>
      <c r="T1010" s="5">
        <v>1.2144675925925925E-4</v>
      </c>
      <c r="U1010" s="4">
        <v>8.4790065884590149E-2</v>
      </c>
      <c r="V1010" s="4" t="s">
        <v>781</v>
      </c>
      <c r="W1010" s="4" t="s">
        <v>875</v>
      </c>
      <c r="X1010" s="6" t="s">
        <v>617</v>
      </c>
    </row>
    <row r="1011" spans="1:24">
      <c r="A1011" s="4" t="s">
        <v>926</v>
      </c>
      <c r="B1011" s="4" t="s">
        <v>927</v>
      </c>
      <c r="D1011" s="4" t="s">
        <v>928</v>
      </c>
      <c r="E1011" s="4" t="s">
        <v>929</v>
      </c>
      <c r="M1011" s="4" t="s">
        <v>757</v>
      </c>
      <c r="N1011" s="4">
        <v>-71.358534418181819</v>
      </c>
      <c r="O1011" s="4">
        <v>3.7622475799999999</v>
      </c>
      <c r="P1011" s="4" t="s">
        <v>978</v>
      </c>
      <c r="Q1011" s="4" t="s">
        <v>743</v>
      </c>
      <c r="R1011" s="4" t="s">
        <v>730</v>
      </c>
      <c r="S1011" s="2">
        <v>46174.413182870368</v>
      </c>
      <c r="T1011" s="5">
        <v>1.9015046296296296E-4</v>
      </c>
      <c r="U1011" s="4">
        <v>0.19424526393413544</v>
      </c>
      <c r="V1011" s="4" t="s">
        <v>778</v>
      </c>
      <c r="W1011" s="4" t="s">
        <v>757</v>
      </c>
      <c r="X1011" s="6" t="s">
        <v>617</v>
      </c>
    </row>
    <row r="1012" spans="1:24">
      <c r="A1012" s="4" t="s">
        <v>926</v>
      </c>
      <c r="B1012" s="4" t="s">
        <v>927</v>
      </c>
      <c r="D1012" s="4" t="s">
        <v>928</v>
      </c>
      <c r="E1012" s="4" t="s">
        <v>929</v>
      </c>
      <c r="M1012" s="4" t="s">
        <v>939</v>
      </c>
      <c r="N1012" s="4">
        <v>-71.356880200000006</v>
      </c>
      <c r="O1012" s="4">
        <v>3.76010489</v>
      </c>
      <c r="P1012" s="4" t="s">
        <v>978</v>
      </c>
      <c r="Q1012" s="4" t="s">
        <v>743</v>
      </c>
      <c r="R1012" s="4" t="s">
        <v>730</v>
      </c>
      <c r="S1012" s="2">
        <v>46174.413819444446</v>
      </c>
      <c r="T1012" s="5">
        <v>0</v>
      </c>
      <c r="U1012" s="4">
        <v>0</v>
      </c>
      <c r="V1012" s="4" t="s">
        <v>962</v>
      </c>
      <c r="W1012" s="4" t="s">
        <v>939</v>
      </c>
      <c r="X1012" s="6" t="s">
        <v>617</v>
      </c>
    </row>
    <row r="1013" spans="1:24">
      <c r="A1013" s="4" t="s">
        <v>926</v>
      </c>
      <c r="B1013" s="4" t="s">
        <v>927</v>
      </c>
      <c r="D1013" s="4" t="s">
        <v>928</v>
      </c>
      <c r="E1013" s="4" t="s">
        <v>929</v>
      </c>
      <c r="M1013" s="4" t="s">
        <v>939</v>
      </c>
      <c r="N1013" s="4">
        <v>-71.356811500000006</v>
      </c>
      <c r="O1013" s="4">
        <v>3.7599296600000001</v>
      </c>
      <c r="P1013" s="4" t="s">
        <v>978</v>
      </c>
      <c r="Q1013" s="4" t="s">
        <v>743</v>
      </c>
      <c r="R1013" s="4" t="s">
        <v>730</v>
      </c>
      <c r="S1013" s="2">
        <v>46174.414340277777</v>
      </c>
      <c r="T1013" s="5">
        <v>0</v>
      </c>
      <c r="U1013" s="4">
        <v>0</v>
      </c>
      <c r="V1013" s="4" t="s">
        <v>962</v>
      </c>
      <c r="W1013" s="4" t="s">
        <v>939</v>
      </c>
      <c r="X1013" s="6" t="s">
        <v>617</v>
      </c>
    </row>
    <row r="1014" spans="1:24">
      <c r="A1014" s="4" t="s">
        <v>926</v>
      </c>
      <c r="B1014" s="4" t="s">
        <v>927</v>
      </c>
      <c r="D1014" s="4" t="s">
        <v>928</v>
      </c>
      <c r="E1014" s="4" t="s">
        <v>929</v>
      </c>
      <c r="M1014" s="4" t="s">
        <v>757</v>
      </c>
      <c r="N1014" s="4">
        <v>-71.356936296971426</v>
      </c>
      <c r="O1014" s="4">
        <v>3.7579202682285713</v>
      </c>
      <c r="P1014" s="4" t="s">
        <v>978</v>
      </c>
      <c r="Q1014" s="4" t="s">
        <v>743</v>
      </c>
      <c r="R1014" s="4" t="s">
        <v>730</v>
      </c>
      <c r="S1014" s="2">
        <v>46174.415134120369</v>
      </c>
      <c r="T1014" s="5">
        <v>2.7916666666666666E-5</v>
      </c>
      <c r="U1014" s="4">
        <v>2.598411962389946E-2</v>
      </c>
      <c r="V1014" s="4" t="s">
        <v>758</v>
      </c>
      <c r="W1014" s="4" t="s">
        <v>757</v>
      </c>
      <c r="X1014" s="6" t="s">
        <v>617</v>
      </c>
    </row>
    <row r="1015" spans="1:24">
      <c r="A1015" s="4" t="s">
        <v>926</v>
      </c>
      <c r="B1015" s="4" t="s">
        <v>927</v>
      </c>
      <c r="D1015" s="4" t="s">
        <v>928</v>
      </c>
      <c r="E1015" s="4" t="s">
        <v>929</v>
      </c>
      <c r="M1015" s="4" t="s">
        <v>757</v>
      </c>
      <c r="N1015" s="4">
        <v>-71.356479107083331</v>
      </c>
      <c r="O1015" s="4">
        <v>3.7555424573916665</v>
      </c>
      <c r="P1015" s="4" t="s">
        <v>978</v>
      </c>
      <c r="Q1015" s="4" t="s">
        <v>743</v>
      </c>
      <c r="R1015" s="4" t="s">
        <v>730</v>
      </c>
      <c r="S1015" s="2">
        <v>46174.415512569445</v>
      </c>
      <c r="T1015" s="5">
        <v>2.1659722222222222E-4</v>
      </c>
      <c r="U1015" s="4">
        <v>0.21936473250389099</v>
      </c>
      <c r="V1015" s="4" t="s">
        <v>778</v>
      </c>
      <c r="W1015" s="4" t="s">
        <v>757</v>
      </c>
      <c r="X1015" s="6" t="s">
        <v>617</v>
      </c>
    </row>
    <row r="1016" spans="1:24">
      <c r="A1016" s="4" t="s">
        <v>926</v>
      </c>
      <c r="B1016" s="4" t="s">
        <v>927</v>
      </c>
      <c r="D1016" s="4" t="s">
        <v>928</v>
      </c>
      <c r="E1016" s="4" t="s">
        <v>929</v>
      </c>
      <c r="M1016" s="4" t="s">
        <v>757</v>
      </c>
      <c r="N1016" s="4">
        <v>-71.355953249999999</v>
      </c>
      <c r="O1016" s="4">
        <v>3.7530924699999999</v>
      </c>
      <c r="P1016" s="4" t="s">
        <v>978</v>
      </c>
      <c r="Q1016" s="4" t="s">
        <v>743</v>
      </c>
      <c r="R1016" s="4" t="s">
        <v>730</v>
      </c>
      <c r="S1016" s="2">
        <v>46174.415807291669</v>
      </c>
      <c r="T1016" s="5">
        <v>6.5435185185185182E-4</v>
      </c>
      <c r="U1016" s="4">
        <v>0.66438072919845581</v>
      </c>
      <c r="V1016" s="4" t="s">
        <v>778</v>
      </c>
      <c r="W1016" s="4" t="s">
        <v>757</v>
      </c>
      <c r="X1016" s="6" t="s">
        <v>617</v>
      </c>
    </row>
    <row r="1017" spans="1:24">
      <c r="A1017" s="4" t="s">
        <v>926</v>
      </c>
      <c r="B1017" s="4" t="s">
        <v>927</v>
      </c>
      <c r="D1017" s="4" t="s">
        <v>928</v>
      </c>
      <c r="E1017" s="4" t="s">
        <v>929</v>
      </c>
      <c r="M1017" s="4" t="s">
        <v>625</v>
      </c>
      <c r="N1017" s="4">
        <v>-71.356956499999995</v>
      </c>
      <c r="O1017" s="4">
        <v>3.74793434</v>
      </c>
      <c r="P1017" s="4" t="s">
        <v>978</v>
      </c>
      <c r="Q1017" s="4" t="s">
        <v>743</v>
      </c>
      <c r="R1017" s="4" t="s">
        <v>730</v>
      </c>
      <c r="S1017" s="2">
        <v>46174.416481481479</v>
      </c>
      <c r="T1017" s="5">
        <v>0</v>
      </c>
      <c r="U1017" s="4">
        <v>0</v>
      </c>
      <c r="V1017" s="4" t="s">
        <v>671</v>
      </c>
      <c r="W1017" s="4" t="s">
        <v>625</v>
      </c>
      <c r="X1017" s="6" t="s">
        <v>617</v>
      </c>
    </row>
    <row r="1018" spans="1:24">
      <c r="A1018" s="4" t="s">
        <v>926</v>
      </c>
      <c r="B1018" s="4" t="s">
        <v>927</v>
      </c>
      <c r="D1018" s="4" t="s">
        <v>928</v>
      </c>
      <c r="E1018" s="4" t="s">
        <v>929</v>
      </c>
      <c r="M1018" s="4" t="s">
        <v>939</v>
      </c>
      <c r="N1018" s="4">
        <v>-71.357109100000002</v>
      </c>
      <c r="O1018" s="4">
        <v>3.74732208</v>
      </c>
      <c r="P1018" s="4" t="s">
        <v>978</v>
      </c>
      <c r="Q1018" s="4" t="s">
        <v>743</v>
      </c>
      <c r="R1018" s="4" t="s">
        <v>730</v>
      </c>
      <c r="S1018" s="2">
        <v>46174.416851851849</v>
      </c>
      <c r="T1018" s="5">
        <v>0</v>
      </c>
      <c r="U1018" s="4">
        <v>0</v>
      </c>
      <c r="V1018" s="4" t="s">
        <v>964</v>
      </c>
      <c r="W1018" s="4" t="s">
        <v>939</v>
      </c>
      <c r="X1018" s="6" t="s">
        <v>617</v>
      </c>
    </row>
    <row r="1019" spans="1:24">
      <c r="A1019" s="4" t="s">
        <v>926</v>
      </c>
      <c r="B1019" s="4" t="s">
        <v>927</v>
      </c>
      <c r="D1019" s="4" t="s">
        <v>928</v>
      </c>
      <c r="E1019" s="4" t="s">
        <v>929</v>
      </c>
      <c r="M1019" s="4" t="s">
        <v>757</v>
      </c>
      <c r="N1019" s="4">
        <v>-71.357624497366672</v>
      </c>
      <c r="O1019" s="4">
        <v>3.7491165880066664</v>
      </c>
      <c r="P1019" s="4" t="s">
        <v>978</v>
      </c>
      <c r="Q1019" s="4" t="s">
        <v>743</v>
      </c>
      <c r="R1019" s="4" t="s">
        <v>730</v>
      </c>
      <c r="S1019" s="2">
        <v>46174.417993831019</v>
      </c>
      <c r="T1019" s="5">
        <v>8.1018518518518516E-4</v>
      </c>
      <c r="U1019" s="4">
        <v>0.89401477575302124</v>
      </c>
      <c r="V1019" s="4" t="s">
        <v>973</v>
      </c>
      <c r="W1019" s="4" t="s">
        <v>757</v>
      </c>
      <c r="X1019" s="6" t="s">
        <v>617</v>
      </c>
    </row>
    <row r="1020" spans="1:24">
      <c r="A1020" s="4" t="s">
        <v>926</v>
      </c>
      <c r="B1020" s="4" t="s">
        <v>927</v>
      </c>
      <c r="D1020" s="4" t="s">
        <v>928</v>
      </c>
      <c r="E1020" s="4" t="s">
        <v>929</v>
      </c>
      <c r="M1020" s="4" t="s">
        <v>757</v>
      </c>
      <c r="N1020" s="4">
        <v>-71.356571199999991</v>
      </c>
      <c r="O1020" s="4">
        <v>3.7577116450000001</v>
      </c>
      <c r="P1020" s="4" t="s">
        <v>978</v>
      </c>
      <c r="Q1020" s="4" t="s">
        <v>743</v>
      </c>
      <c r="R1020" s="4" t="s">
        <v>730</v>
      </c>
      <c r="S1020" s="2">
        <v>46174.419050925928</v>
      </c>
      <c r="T1020" s="5">
        <v>3.7395833333333332E-5</v>
      </c>
      <c r="U1020" s="4">
        <v>3.7150926887989044E-2</v>
      </c>
      <c r="V1020" s="4" t="s">
        <v>758</v>
      </c>
      <c r="W1020" s="4" t="s">
        <v>757</v>
      </c>
      <c r="X1020" s="6" t="s">
        <v>617</v>
      </c>
    </row>
    <row r="1021" spans="1:24">
      <c r="A1021" s="4" t="s">
        <v>926</v>
      </c>
      <c r="B1021" s="4" t="s">
        <v>927</v>
      </c>
      <c r="D1021" s="4" t="s">
        <v>928</v>
      </c>
      <c r="E1021" s="4" t="s">
        <v>929</v>
      </c>
      <c r="M1021" s="4" t="s">
        <v>757</v>
      </c>
      <c r="N1021" s="4">
        <v>-71.356847584500002</v>
      </c>
      <c r="O1021" s="4">
        <v>3.7591616707166664</v>
      </c>
      <c r="P1021" s="4" t="s">
        <v>978</v>
      </c>
      <c r="Q1021" s="4" t="s">
        <v>743</v>
      </c>
      <c r="R1021" s="4" t="s">
        <v>730</v>
      </c>
      <c r="S1021" s="2">
        <v>46174.419530729167</v>
      </c>
      <c r="T1021" s="5">
        <v>1.6008101851851852E-4</v>
      </c>
      <c r="U1021" s="4">
        <v>0.16895425319671631</v>
      </c>
      <c r="V1021" s="4" t="s">
        <v>849</v>
      </c>
      <c r="W1021" s="4" t="s">
        <v>757</v>
      </c>
      <c r="X1021" s="6" t="s">
        <v>617</v>
      </c>
    </row>
    <row r="1022" spans="1:24">
      <c r="A1022" s="4" t="s">
        <v>926</v>
      </c>
      <c r="B1022" s="4" t="s">
        <v>927</v>
      </c>
      <c r="D1022" s="4" t="s">
        <v>928</v>
      </c>
      <c r="E1022" s="4" t="s">
        <v>929</v>
      </c>
      <c r="M1022" s="4" t="s">
        <v>757</v>
      </c>
      <c r="N1022" s="4">
        <v>-71.355102583850012</v>
      </c>
      <c r="O1022" s="4">
        <v>3.759817386925</v>
      </c>
      <c r="P1022" s="4" t="s">
        <v>978</v>
      </c>
      <c r="Q1022" s="4" t="s">
        <v>743</v>
      </c>
      <c r="R1022" s="4" t="s">
        <v>730</v>
      </c>
      <c r="S1022" s="2">
        <v>46174.419730486108</v>
      </c>
      <c r="T1022" s="5">
        <v>1.3988425925925925E-4</v>
      </c>
      <c r="U1022" s="4">
        <v>0.14413975179195404</v>
      </c>
      <c r="V1022" s="4" t="s">
        <v>778</v>
      </c>
      <c r="W1022" s="4" t="s">
        <v>757</v>
      </c>
      <c r="X1022" s="6" t="s">
        <v>617</v>
      </c>
    </row>
    <row r="1023" spans="1:24">
      <c r="A1023" s="4" t="s">
        <v>926</v>
      </c>
      <c r="B1023" s="4" t="s">
        <v>927</v>
      </c>
      <c r="D1023" s="4" t="s">
        <v>928</v>
      </c>
      <c r="E1023" s="4" t="s">
        <v>929</v>
      </c>
      <c r="M1023" s="4" t="s">
        <v>757</v>
      </c>
      <c r="N1023" s="4">
        <v>-71.353544764057148</v>
      </c>
      <c r="O1023" s="4">
        <v>3.7599584257399998</v>
      </c>
      <c r="P1023" s="4" t="s">
        <v>795</v>
      </c>
      <c r="Q1023" s="4" t="s">
        <v>743</v>
      </c>
      <c r="R1023" s="4" t="s">
        <v>730</v>
      </c>
      <c r="S1023" s="2">
        <v>46174.419906354167</v>
      </c>
      <c r="T1023" s="5">
        <v>1.4940972222222222E-4</v>
      </c>
      <c r="U1023" s="4">
        <v>0.16564537584781647</v>
      </c>
      <c r="V1023" s="4" t="s">
        <v>973</v>
      </c>
      <c r="W1023" s="4" t="s">
        <v>757</v>
      </c>
      <c r="X1023" s="6" t="s">
        <v>617</v>
      </c>
    </row>
    <row r="1024" spans="1:24">
      <c r="A1024" s="4" t="s">
        <v>926</v>
      </c>
      <c r="B1024" s="4" t="s">
        <v>927</v>
      </c>
      <c r="D1024" s="4" t="s">
        <v>928</v>
      </c>
      <c r="E1024" s="4" t="s">
        <v>929</v>
      </c>
      <c r="M1024" s="4" t="s">
        <v>757</v>
      </c>
      <c r="N1024" s="4">
        <v>-71.351757800000001</v>
      </c>
      <c r="O1024" s="4">
        <v>3.7601731759999999</v>
      </c>
      <c r="P1024" s="4" t="s">
        <v>795</v>
      </c>
      <c r="Q1024" s="4" t="s">
        <v>743</v>
      </c>
      <c r="R1024" s="4" t="s">
        <v>730</v>
      </c>
      <c r="S1024" s="2">
        <v>46174.420106481484</v>
      </c>
      <c r="T1024" s="5">
        <v>2.3945601851851851E-4</v>
      </c>
      <c r="U1024" s="4">
        <v>0.24515888094902039</v>
      </c>
      <c r="V1024" s="4" t="s">
        <v>778</v>
      </c>
      <c r="W1024" s="4" t="s">
        <v>757</v>
      </c>
      <c r="X1024" s="6" t="s">
        <v>617</v>
      </c>
    </row>
    <row r="1025" spans="1:24">
      <c r="A1025" s="4" t="s">
        <v>926</v>
      </c>
      <c r="B1025" s="4" t="s">
        <v>927</v>
      </c>
      <c r="D1025" s="4" t="s">
        <v>928</v>
      </c>
      <c r="E1025" s="4" t="s">
        <v>929</v>
      </c>
      <c r="M1025" s="4" t="s">
        <v>939</v>
      </c>
      <c r="N1025" s="4">
        <v>-71.348854099999997</v>
      </c>
      <c r="O1025" s="4">
        <v>3.7600219199999998</v>
      </c>
      <c r="P1025" s="4" t="s">
        <v>795</v>
      </c>
      <c r="Q1025" s="4" t="s">
        <v>743</v>
      </c>
      <c r="R1025" s="4" t="s">
        <v>730</v>
      </c>
      <c r="S1025" s="2">
        <v>46174.421782407408</v>
      </c>
      <c r="T1025" s="5">
        <v>0</v>
      </c>
      <c r="U1025" s="4">
        <v>0</v>
      </c>
      <c r="V1025" s="4" t="s">
        <v>979</v>
      </c>
      <c r="W1025" s="4" t="s">
        <v>939</v>
      </c>
      <c r="X1025" s="6" t="s">
        <v>617</v>
      </c>
    </row>
    <row r="1026" spans="1:24">
      <c r="A1026" s="4" t="s">
        <v>926</v>
      </c>
      <c r="B1026" s="4" t="s">
        <v>927</v>
      </c>
      <c r="D1026" s="4" t="s">
        <v>928</v>
      </c>
      <c r="E1026" s="4" t="s">
        <v>929</v>
      </c>
      <c r="M1026" s="4" t="s">
        <v>757</v>
      </c>
      <c r="N1026" s="4">
        <v>-71.350147493954552</v>
      </c>
      <c r="O1026" s="4">
        <v>3.7606329934681817</v>
      </c>
      <c r="P1026" s="4" t="s">
        <v>795</v>
      </c>
      <c r="Q1026" s="4" t="s">
        <v>743</v>
      </c>
      <c r="R1026" s="4" t="s">
        <v>730</v>
      </c>
      <c r="S1026" s="2">
        <v>46174.42273859954</v>
      </c>
      <c r="T1026" s="5">
        <v>1.2019675925925926E-4</v>
      </c>
      <c r="U1026" s="4">
        <v>0.11957906186580658</v>
      </c>
      <c r="V1026" s="4" t="s">
        <v>778</v>
      </c>
      <c r="W1026" s="4" t="s">
        <v>757</v>
      </c>
      <c r="X1026" s="6" t="s">
        <v>617</v>
      </c>
    </row>
    <row r="1027" spans="1:24">
      <c r="A1027" s="4" t="s">
        <v>926</v>
      </c>
      <c r="B1027" s="4" t="s">
        <v>927</v>
      </c>
      <c r="D1027" s="4" t="s">
        <v>928</v>
      </c>
      <c r="E1027" s="4" t="s">
        <v>929</v>
      </c>
      <c r="M1027" s="4" t="s">
        <v>757</v>
      </c>
      <c r="N1027" s="4">
        <v>-71.351420074575003</v>
      </c>
      <c r="O1027" s="4">
        <v>3.7604944960425</v>
      </c>
      <c r="P1027" s="4" t="s">
        <v>795</v>
      </c>
      <c r="Q1027" s="4" t="s">
        <v>743</v>
      </c>
      <c r="R1027" s="4" t="s">
        <v>730</v>
      </c>
      <c r="S1027" s="2">
        <v>46174.422885798609</v>
      </c>
      <c r="T1027" s="5">
        <v>2.4788194444444445E-4</v>
      </c>
      <c r="U1027" s="4">
        <v>0.24543575942516327</v>
      </c>
      <c r="V1027" s="4" t="s">
        <v>774</v>
      </c>
      <c r="W1027" s="4" t="s">
        <v>757</v>
      </c>
      <c r="X1027" s="6" t="s">
        <v>617</v>
      </c>
    </row>
    <row r="1028" spans="1:24">
      <c r="A1028" s="4" t="s">
        <v>926</v>
      </c>
      <c r="B1028" s="4" t="s">
        <v>927</v>
      </c>
      <c r="D1028" s="4" t="s">
        <v>928</v>
      </c>
      <c r="E1028" s="4" t="s">
        <v>929</v>
      </c>
      <c r="M1028" s="4" t="s">
        <v>757</v>
      </c>
      <c r="N1028" s="4">
        <v>-71.354208962499996</v>
      </c>
      <c r="O1028" s="4">
        <v>3.7601033424999999</v>
      </c>
      <c r="P1028" s="4" t="s">
        <v>795</v>
      </c>
      <c r="Q1028" s="4" t="s">
        <v>743</v>
      </c>
      <c r="R1028" s="4" t="s">
        <v>730</v>
      </c>
      <c r="S1028" s="2">
        <v>46174.423234953807</v>
      </c>
      <c r="T1028" s="5">
        <v>3.2021990740740741E-4</v>
      </c>
      <c r="U1028" s="4">
        <v>0.32624968886375427</v>
      </c>
      <c r="V1028" s="4" t="s">
        <v>774</v>
      </c>
      <c r="W1028" s="4" t="s">
        <v>757</v>
      </c>
      <c r="X1028" s="6" t="s">
        <v>617</v>
      </c>
    </row>
    <row r="1029" spans="1:24">
      <c r="A1029" s="4" t="s">
        <v>926</v>
      </c>
      <c r="B1029" s="4" t="s">
        <v>927</v>
      </c>
      <c r="D1029" s="4" t="s">
        <v>928</v>
      </c>
      <c r="E1029" s="4" t="s">
        <v>929</v>
      </c>
      <c r="M1029" s="4" t="s">
        <v>757</v>
      </c>
      <c r="N1029" s="4">
        <v>-71.357500733333339</v>
      </c>
      <c r="O1029" s="4">
        <v>3.7606992733333331</v>
      </c>
      <c r="P1029" s="4" t="s">
        <v>978</v>
      </c>
      <c r="Q1029" s="4" t="s">
        <v>743</v>
      </c>
      <c r="R1029" s="4" t="s">
        <v>730</v>
      </c>
      <c r="S1029" s="2">
        <v>46174.423807870371</v>
      </c>
      <c r="T1029" s="5">
        <v>2.3437499999999999E-4</v>
      </c>
      <c r="U1029" s="4">
        <v>0.23555952310562134</v>
      </c>
      <c r="V1029" s="4" t="s">
        <v>774</v>
      </c>
      <c r="W1029" s="4" t="s">
        <v>757</v>
      </c>
      <c r="X1029" s="6" t="s">
        <v>617</v>
      </c>
    </row>
    <row r="1030" spans="1:24">
      <c r="A1030" s="4" t="s">
        <v>926</v>
      </c>
      <c r="B1030" s="4" t="s">
        <v>927</v>
      </c>
      <c r="D1030" s="4" t="s">
        <v>928</v>
      </c>
      <c r="E1030" s="4" t="s">
        <v>929</v>
      </c>
      <c r="M1030" s="4" t="s">
        <v>875</v>
      </c>
      <c r="N1030" s="4">
        <v>-71.360221956300009</v>
      </c>
      <c r="O1030" s="4">
        <v>3.7638674613192307</v>
      </c>
      <c r="P1030" s="4" t="s">
        <v>902</v>
      </c>
      <c r="Q1030" s="4" t="s">
        <v>877</v>
      </c>
      <c r="R1030" s="4" t="s">
        <v>720</v>
      </c>
      <c r="S1030" s="2">
        <v>46174.424300937499</v>
      </c>
      <c r="T1030" s="5">
        <v>1.0261574074074074E-4</v>
      </c>
      <c r="U1030" s="4">
        <v>8.4018044173717499E-2</v>
      </c>
      <c r="V1030" s="4" t="s">
        <v>851</v>
      </c>
      <c r="W1030" s="4" t="s">
        <v>875</v>
      </c>
      <c r="X1030" s="6" t="s">
        <v>617</v>
      </c>
    </row>
    <row r="1031" spans="1:24">
      <c r="A1031" s="4" t="s">
        <v>926</v>
      </c>
      <c r="B1031" s="4" t="s">
        <v>927</v>
      </c>
      <c r="D1031" s="4" t="s">
        <v>928</v>
      </c>
      <c r="E1031" s="4" t="s">
        <v>929</v>
      </c>
      <c r="M1031" s="4" t="s">
        <v>875</v>
      </c>
      <c r="N1031" s="4">
        <v>-71.361120579999991</v>
      </c>
      <c r="O1031" s="4">
        <v>3.764540244</v>
      </c>
      <c r="P1031" s="4" t="s">
        <v>902</v>
      </c>
      <c r="Q1031" s="4" t="s">
        <v>877</v>
      </c>
      <c r="R1031" s="4" t="s">
        <v>720</v>
      </c>
      <c r="S1031" s="2">
        <v>46174.424532407407</v>
      </c>
      <c r="T1031" s="5">
        <v>1.0590277777777777E-4</v>
      </c>
      <c r="U1031" s="4">
        <v>5.4135903716087341E-2</v>
      </c>
      <c r="V1031" s="4" t="s">
        <v>750</v>
      </c>
      <c r="W1031" s="4" t="s">
        <v>875</v>
      </c>
      <c r="X1031" s="6" t="s">
        <v>617</v>
      </c>
    </row>
    <row r="1032" spans="1:24">
      <c r="A1032" s="4" t="s">
        <v>926</v>
      </c>
      <c r="B1032" s="4" t="s">
        <v>927</v>
      </c>
      <c r="D1032" s="4" t="s">
        <v>928</v>
      </c>
      <c r="E1032" s="4" t="s">
        <v>929</v>
      </c>
      <c r="M1032" s="4" t="s">
        <v>875</v>
      </c>
      <c r="N1032" s="4">
        <v>-71.364055106592303</v>
      </c>
      <c r="O1032" s="4">
        <v>3.7650848462015385</v>
      </c>
      <c r="P1032" s="4" t="s">
        <v>977</v>
      </c>
      <c r="Q1032" s="4" t="s">
        <v>877</v>
      </c>
      <c r="R1032" s="4" t="s">
        <v>720</v>
      </c>
      <c r="S1032" s="2">
        <v>46174.426312835647</v>
      </c>
      <c r="T1032" s="5">
        <v>2.4581018518518517E-4</v>
      </c>
      <c r="U1032" s="4">
        <v>0.13775230944156647</v>
      </c>
      <c r="V1032" s="4" t="s">
        <v>751</v>
      </c>
      <c r="W1032" s="4" t="s">
        <v>875</v>
      </c>
      <c r="X1032" s="6" t="s">
        <v>617</v>
      </c>
    </row>
    <row r="1033" spans="1:24">
      <c r="A1033" s="4" t="s">
        <v>926</v>
      </c>
      <c r="B1033" s="4" t="s">
        <v>927</v>
      </c>
      <c r="D1033" s="4" t="s">
        <v>928</v>
      </c>
      <c r="E1033" s="4" t="s">
        <v>929</v>
      </c>
      <c r="M1033" s="4" t="s">
        <v>875</v>
      </c>
      <c r="N1033" s="4">
        <v>-71.365384396440007</v>
      </c>
      <c r="O1033" s="4">
        <v>3.7663992925359997</v>
      </c>
      <c r="P1033" s="4" t="s">
        <v>902</v>
      </c>
      <c r="Q1033" s="4" t="s">
        <v>877</v>
      </c>
      <c r="R1033" s="4" t="s">
        <v>720</v>
      </c>
      <c r="S1033" s="2">
        <v>46174.426751539351</v>
      </c>
      <c r="T1033" s="5">
        <v>8.873842592592592E-5</v>
      </c>
      <c r="U1033" s="4">
        <v>5.218173936009407E-2</v>
      </c>
      <c r="V1033" s="4" t="s">
        <v>783</v>
      </c>
      <c r="W1033" s="4" t="s">
        <v>875</v>
      </c>
      <c r="X1033" s="6" t="s">
        <v>617</v>
      </c>
    </row>
    <row r="1034" spans="1:24">
      <c r="A1034" s="4" t="s">
        <v>926</v>
      </c>
      <c r="B1034" s="4" t="s">
        <v>927</v>
      </c>
      <c r="D1034" s="4" t="s">
        <v>928</v>
      </c>
      <c r="E1034" s="4" t="s">
        <v>929</v>
      </c>
      <c r="M1034" s="4" t="s">
        <v>875</v>
      </c>
      <c r="N1034" s="4">
        <v>-71.365432699999999</v>
      </c>
      <c r="O1034" s="4">
        <v>3.7668652499999999</v>
      </c>
      <c r="P1034" s="4" t="s">
        <v>902</v>
      </c>
      <c r="Q1034" s="4" t="s">
        <v>877</v>
      </c>
      <c r="R1034" s="4" t="s">
        <v>720</v>
      </c>
      <c r="S1034" s="2">
        <v>46174.426840277774</v>
      </c>
      <c r="T1034" s="5">
        <v>2.8187500000000001E-4</v>
      </c>
      <c r="U1034" s="4">
        <v>0.2605903148651123</v>
      </c>
      <c r="V1034" s="4" t="s">
        <v>778</v>
      </c>
      <c r="W1034" s="4" t="s">
        <v>875</v>
      </c>
      <c r="X1034" s="6" t="s">
        <v>617</v>
      </c>
    </row>
    <row r="1035" spans="1:24">
      <c r="A1035" s="4" t="s">
        <v>926</v>
      </c>
      <c r="B1035" s="4" t="s">
        <v>927</v>
      </c>
      <c r="D1035" s="4" t="s">
        <v>928</v>
      </c>
      <c r="E1035" s="4" t="s">
        <v>929</v>
      </c>
      <c r="M1035" s="4" t="s">
        <v>757</v>
      </c>
      <c r="N1035" s="4">
        <v>-71.3660213</v>
      </c>
      <c r="O1035" s="4">
        <v>3.7676203242857143</v>
      </c>
      <c r="P1035" s="4" t="s">
        <v>902</v>
      </c>
      <c r="Q1035" s="4" t="s">
        <v>877</v>
      </c>
      <c r="R1035" s="4" t="s">
        <v>720</v>
      </c>
      <c r="S1035" s="2">
        <v>46174.426979166667</v>
      </c>
      <c r="T1035" s="5">
        <v>1.550925925925926E-4</v>
      </c>
      <c r="U1035" s="4">
        <v>0.1564125269651413</v>
      </c>
      <c r="V1035" s="4" t="s">
        <v>778</v>
      </c>
      <c r="W1035" s="4" t="s">
        <v>757</v>
      </c>
      <c r="X1035" s="6" t="s">
        <v>617</v>
      </c>
    </row>
    <row r="1036" spans="1:24">
      <c r="A1036" s="4" t="s">
        <v>926</v>
      </c>
      <c r="B1036" s="4" t="s">
        <v>927</v>
      </c>
      <c r="D1036" s="4" t="s">
        <v>928</v>
      </c>
      <c r="E1036" s="4" t="s">
        <v>929</v>
      </c>
      <c r="M1036" s="4" t="s">
        <v>757</v>
      </c>
      <c r="N1036" s="4">
        <v>-71.367442099999991</v>
      </c>
      <c r="O1036" s="4">
        <v>3.7692130162500002</v>
      </c>
      <c r="P1036" s="4" t="s">
        <v>978</v>
      </c>
      <c r="Q1036" s="4" t="s">
        <v>743</v>
      </c>
      <c r="R1036" s="4" t="s">
        <v>730</v>
      </c>
      <c r="S1036" s="2">
        <v>46174.427241030091</v>
      </c>
      <c r="T1036" s="5">
        <v>1.0923032407407407E-3</v>
      </c>
      <c r="U1036" s="4">
        <v>1.1050581932067871</v>
      </c>
      <c r="V1036" s="4" t="s">
        <v>778</v>
      </c>
      <c r="W1036" s="4" t="s">
        <v>757</v>
      </c>
      <c r="X1036" s="6" t="s">
        <v>617</v>
      </c>
    </row>
    <row r="1037" spans="1:24">
      <c r="A1037" s="4" t="s">
        <v>926</v>
      </c>
      <c r="B1037" s="4" t="s">
        <v>927</v>
      </c>
      <c r="D1037" s="4" t="s">
        <v>928</v>
      </c>
      <c r="E1037" s="4" t="s">
        <v>929</v>
      </c>
      <c r="M1037" s="4" t="s">
        <v>757</v>
      </c>
      <c r="N1037" s="4">
        <v>-71.371288300000003</v>
      </c>
      <c r="O1037" s="4">
        <v>3.7781877499999998</v>
      </c>
      <c r="P1037" s="4" t="s">
        <v>972</v>
      </c>
      <c r="Q1037" s="4" t="s">
        <v>743</v>
      </c>
      <c r="R1037" s="4" t="s">
        <v>730</v>
      </c>
      <c r="S1037" s="2">
        <v>46174.428396990843</v>
      </c>
      <c r="T1037" s="5">
        <v>1.170138888888889E-3</v>
      </c>
      <c r="U1037" s="4">
        <v>1.2185662984848022</v>
      </c>
      <c r="V1037" s="4" t="s">
        <v>849</v>
      </c>
      <c r="W1037" s="4" t="s">
        <v>757</v>
      </c>
      <c r="X1037" s="6" t="s">
        <v>617</v>
      </c>
    </row>
    <row r="1038" spans="1:24">
      <c r="A1038" s="4" t="s">
        <v>926</v>
      </c>
      <c r="B1038" s="4" t="s">
        <v>927</v>
      </c>
      <c r="D1038" s="4" t="s">
        <v>928</v>
      </c>
      <c r="E1038" s="4" t="s">
        <v>929</v>
      </c>
      <c r="M1038" s="4" t="s">
        <v>875</v>
      </c>
      <c r="N1038" s="4">
        <v>-71.3804794112</v>
      </c>
      <c r="O1038" s="4">
        <v>3.7864480142080001</v>
      </c>
      <c r="P1038" s="4" t="s">
        <v>904</v>
      </c>
      <c r="Q1038" s="4" t="s">
        <v>877</v>
      </c>
      <c r="R1038" s="4" t="s">
        <v>720</v>
      </c>
      <c r="S1038" s="2">
        <v>46174.430057361111</v>
      </c>
      <c r="T1038" s="5">
        <v>4.101851851851852E-5</v>
      </c>
      <c r="U1038" s="4">
        <v>2.8098879382014275E-2</v>
      </c>
      <c r="V1038" s="4" t="s">
        <v>808</v>
      </c>
      <c r="W1038" s="4" t="s">
        <v>875</v>
      </c>
      <c r="X1038" s="6" t="s">
        <v>617</v>
      </c>
    </row>
    <row r="1039" spans="1:24">
      <c r="A1039" s="4" t="s">
        <v>926</v>
      </c>
      <c r="B1039" s="4" t="s">
        <v>927</v>
      </c>
      <c r="D1039" s="4" t="s">
        <v>928</v>
      </c>
      <c r="E1039" s="4" t="s">
        <v>929</v>
      </c>
      <c r="M1039" s="4" t="s">
        <v>875</v>
      </c>
      <c r="N1039" s="4">
        <v>-71.381027200000005</v>
      </c>
      <c r="O1039" s="4">
        <v>3.7865856466666665</v>
      </c>
      <c r="P1039" s="4" t="s">
        <v>904</v>
      </c>
      <c r="Q1039" s="4" t="s">
        <v>877</v>
      </c>
      <c r="R1039" s="4" t="s">
        <v>720</v>
      </c>
      <c r="S1039" s="2">
        <v>46174.430208333331</v>
      </c>
      <c r="T1039" s="5">
        <v>1.6203703703703703E-4</v>
      </c>
      <c r="U1039" s="4">
        <v>8.7074346840381622E-2</v>
      </c>
      <c r="V1039" s="4" t="s">
        <v>750</v>
      </c>
      <c r="W1039" s="4" t="s">
        <v>875</v>
      </c>
      <c r="X1039" s="6" t="s">
        <v>617</v>
      </c>
    </row>
    <row r="1040" spans="1:24">
      <c r="A1040" s="4" t="s">
        <v>926</v>
      </c>
      <c r="B1040" s="4" t="s">
        <v>927</v>
      </c>
      <c r="D1040" s="4" t="s">
        <v>928</v>
      </c>
      <c r="E1040" s="4" t="s">
        <v>929</v>
      </c>
      <c r="M1040" s="4" t="s">
        <v>875</v>
      </c>
      <c r="N1040" s="4">
        <v>-71.381660439050009</v>
      </c>
      <c r="O1040" s="4">
        <v>3.7872408416674999</v>
      </c>
      <c r="P1040" s="4" t="s">
        <v>904</v>
      </c>
      <c r="Q1040" s="4" t="s">
        <v>877</v>
      </c>
      <c r="R1040" s="4" t="s">
        <v>720</v>
      </c>
      <c r="S1040" s="2">
        <v>46174.430424386577</v>
      </c>
      <c r="T1040" s="5">
        <v>1.0907407407407407E-4</v>
      </c>
      <c r="U1040" s="4">
        <v>6.1198998242616653E-2</v>
      </c>
      <c r="V1040" s="4" t="s">
        <v>750</v>
      </c>
      <c r="W1040" s="4" t="s">
        <v>875</v>
      </c>
      <c r="X1040" s="6" t="s">
        <v>617</v>
      </c>
    </row>
    <row r="1041" spans="1:24">
      <c r="A1041" s="4" t="s">
        <v>926</v>
      </c>
      <c r="B1041" s="4" t="s">
        <v>927</v>
      </c>
      <c r="D1041" s="4" t="s">
        <v>928</v>
      </c>
      <c r="E1041" s="4" t="s">
        <v>929</v>
      </c>
      <c r="M1041" s="4" t="s">
        <v>875</v>
      </c>
      <c r="N1041" s="4">
        <v>-71.382003770827268</v>
      </c>
      <c r="O1041" s="4">
        <v>3.7882787548009089</v>
      </c>
      <c r="P1041" s="4" t="s">
        <v>980</v>
      </c>
      <c r="Q1041" s="4" t="s">
        <v>877</v>
      </c>
      <c r="R1041" s="4" t="s">
        <v>720</v>
      </c>
      <c r="S1041" s="2">
        <v>46174.430702164354</v>
      </c>
      <c r="T1041" s="5">
        <v>1.0866782407407407E-3</v>
      </c>
      <c r="U1041" s="4">
        <v>0.63392364978790283</v>
      </c>
      <c r="V1041" s="4" t="s">
        <v>783</v>
      </c>
      <c r="W1041" s="4" t="s">
        <v>875</v>
      </c>
      <c r="X1041" s="6" t="s">
        <v>617</v>
      </c>
    </row>
    <row r="1042" spans="1:24">
      <c r="A1042" s="4" t="s">
        <v>926</v>
      </c>
      <c r="B1042" s="4" t="s">
        <v>927</v>
      </c>
      <c r="D1042" s="4" t="s">
        <v>928</v>
      </c>
      <c r="E1042" s="4" t="s">
        <v>929</v>
      </c>
      <c r="M1042" s="4" t="s">
        <v>875</v>
      </c>
      <c r="N1042" s="4">
        <v>-71.384348140249998</v>
      </c>
      <c r="O1042" s="4">
        <v>3.7932997306450003</v>
      </c>
      <c r="P1042" s="4" t="s">
        <v>904</v>
      </c>
      <c r="Q1042" s="4" t="s">
        <v>877</v>
      </c>
      <c r="R1042" s="4" t="s">
        <v>720</v>
      </c>
      <c r="S1042" s="2">
        <v>46174.431939479167</v>
      </c>
      <c r="T1042" s="5">
        <v>1.1298611111111111E-4</v>
      </c>
      <c r="U1042" s="4">
        <v>6.348099559545517E-2</v>
      </c>
      <c r="V1042" s="4" t="s">
        <v>751</v>
      </c>
      <c r="W1042" s="4" t="s">
        <v>875</v>
      </c>
      <c r="X1042" s="6" t="s">
        <v>617</v>
      </c>
    </row>
    <row r="1043" spans="1:24">
      <c r="A1043" s="4" t="s">
        <v>926</v>
      </c>
      <c r="B1043" s="4" t="s">
        <v>927</v>
      </c>
      <c r="D1043" s="4" t="s">
        <v>928</v>
      </c>
      <c r="E1043" s="4" t="s">
        <v>929</v>
      </c>
      <c r="M1043" s="4" t="s">
        <v>875</v>
      </c>
      <c r="N1043" s="4">
        <v>-71.384979200000004</v>
      </c>
      <c r="O1043" s="4">
        <v>3.7932272</v>
      </c>
      <c r="P1043" s="4" t="s">
        <v>905</v>
      </c>
      <c r="Q1043" s="4" t="s">
        <v>877</v>
      </c>
      <c r="R1043" s="4" t="s">
        <v>720</v>
      </c>
      <c r="S1043" s="2">
        <v>46174.432083333333</v>
      </c>
      <c r="T1043" s="5">
        <v>9.9201388888888893E-5</v>
      </c>
      <c r="U1043" s="4">
        <v>5.5853337049484253E-2</v>
      </c>
      <c r="V1043" s="4" t="s">
        <v>751</v>
      </c>
      <c r="W1043" s="4" t="s">
        <v>875</v>
      </c>
      <c r="X1043" s="6" t="s">
        <v>617</v>
      </c>
    </row>
    <row r="1044" spans="1:24">
      <c r="A1044" s="4" t="s">
        <v>926</v>
      </c>
      <c r="B1044" s="4" t="s">
        <v>927</v>
      </c>
      <c r="D1044" s="4" t="s">
        <v>928</v>
      </c>
      <c r="E1044" s="4" t="s">
        <v>929</v>
      </c>
      <c r="M1044" s="4" t="s">
        <v>875</v>
      </c>
      <c r="N1044" s="4">
        <v>-71.385688799999997</v>
      </c>
      <c r="O1044" s="4">
        <v>3.7930655500000001</v>
      </c>
      <c r="P1044" s="4" t="s">
        <v>905</v>
      </c>
      <c r="Q1044" s="4" t="s">
        <v>877</v>
      </c>
      <c r="R1044" s="4" t="s">
        <v>720</v>
      </c>
      <c r="S1044" s="2">
        <v>46174.432245370372</v>
      </c>
      <c r="T1044" s="5">
        <v>3.6458343333333333E-4</v>
      </c>
      <c r="U1044" s="4">
        <v>0.25462621450424194</v>
      </c>
      <c r="V1044" s="4" t="s">
        <v>781</v>
      </c>
      <c r="W1044" s="4" t="s">
        <v>875</v>
      </c>
      <c r="X1044" s="6" t="s">
        <v>617</v>
      </c>
    </row>
    <row r="1045" spans="1:24">
      <c r="A1045" s="4" t="s">
        <v>926</v>
      </c>
      <c r="B1045" s="4" t="s">
        <v>927</v>
      </c>
      <c r="D1045" s="4" t="s">
        <v>928</v>
      </c>
      <c r="E1045" s="4" t="s">
        <v>929</v>
      </c>
      <c r="M1045" s="4" t="s">
        <v>875</v>
      </c>
      <c r="N1045" s="4">
        <v>-71.387912749999998</v>
      </c>
      <c r="O1045" s="4">
        <v>3.793748855</v>
      </c>
      <c r="P1045" s="4" t="s">
        <v>905</v>
      </c>
      <c r="Q1045" s="4" t="s">
        <v>877</v>
      </c>
      <c r="R1045" s="4" t="s">
        <v>720</v>
      </c>
      <c r="S1045" s="2">
        <v>46174.432644676024</v>
      </c>
      <c r="T1045" s="5">
        <v>5.5624999999999997E-5</v>
      </c>
      <c r="U1045" s="4">
        <v>3.5540681332349777E-2</v>
      </c>
      <c r="V1045" s="4" t="s">
        <v>789</v>
      </c>
      <c r="W1045" s="4" t="s">
        <v>875</v>
      </c>
      <c r="X1045" s="6" t="s">
        <v>617</v>
      </c>
    </row>
    <row r="1046" spans="1:24">
      <c r="A1046" s="4" t="s">
        <v>926</v>
      </c>
      <c r="B1046" s="4" t="s">
        <v>927</v>
      </c>
      <c r="D1046" s="4" t="s">
        <v>928</v>
      </c>
      <c r="E1046" s="4" t="s">
        <v>929</v>
      </c>
      <c r="M1046" s="4" t="s">
        <v>625</v>
      </c>
      <c r="N1046" s="4">
        <v>-71.390479999999997</v>
      </c>
      <c r="O1046" s="4">
        <v>3.79383874</v>
      </c>
      <c r="P1046" s="4" t="s">
        <v>946</v>
      </c>
      <c r="Q1046" s="4" t="s">
        <v>743</v>
      </c>
      <c r="R1046" s="4" t="s">
        <v>730</v>
      </c>
      <c r="S1046" s="2">
        <v>46174.433032407411</v>
      </c>
      <c r="T1046" s="5">
        <v>0</v>
      </c>
      <c r="U1046" s="4">
        <v>0</v>
      </c>
      <c r="V1046" s="4" t="s">
        <v>970</v>
      </c>
      <c r="W1046" s="4" t="s">
        <v>625</v>
      </c>
      <c r="X1046" s="6" t="s">
        <v>617</v>
      </c>
    </row>
    <row r="1047" spans="1:24">
      <c r="A1047" s="4" t="s">
        <v>926</v>
      </c>
      <c r="B1047" s="4" t="s">
        <v>927</v>
      </c>
      <c r="D1047" s="4" t="s">
        <v>928</v>
      </c>
      <c r="E1047" s="4" t="s">
        <v>929</v>
      </c>
      <c r="M1047" s="4" t="s">
        <v>939</v>
      </c>
      <c r="N1047" s="4">
        <v>-71.390014600000001</v>
      </c>
      <c r="O1047" s="4">
        <v>3.7934947000000001</v>
      </c>
      <c r="P1047" s="4" t="s">
        <v>981</v>
      </c>
      <c r="Q1047" s="4" t="s">
        <v>743</v>
      </c>
      <c r="R1047" s="4" t="s">
        <v>730</v>
      </c>
      <c r="S1047" s="2">
        <v>46174.434745370374</v>
      </c>
      <c r="T1047" s="5">
        <v>0</v>
      </c>
      <c r="U1047" s="4">
        <v>0</v>
      </c>
      <c r="V1047" s="4" t="s">
        <v>628</v>
      </c>
      <c r="W1047" s="4" t="s">
        <v>939</v>
      </c>
      <c r="X1047" s="6" t="s">
        <v>617</v>
      </c>
    </row>
    <row r="1048" spans="1:24">
      <c r="A1048" s="4" t="s">
        <v>926</v>
      </c>
      <c r="B1048" s="4" t="s">
        <v>927</v>
      </c>
      <c r="D1048" s="4" t="s">
        <v>928</v>
      </c>
      <c r="E1048" s="4" t="s">
        <v>929</v>
      </c>
      <c r="M1048" s="4" t="s">
        <v>939</v>
      </c>
      <c r="N1048" s="4">
        <v>-71.390213000000003</v>
      </c>
      <c r="O1048" s="4">
        <v>3.7930529100000001</v>
      </c>
      <c r="P1048" s="4" t="s">
        <v>981</v>
      </c>
      <c r="Q1048" s="4" t="s">
        <v>743</v>
      </c>
      <c r="R1048" s="4" t="s">
        <v>730</v>
      </c>
      <c r="S1048" s="2">
        <v>46174.436319444445</v>
      </c>
      <c r="T1048" s="5">
        <v>0</v>
      </c>
      <c r="U1048" s="4">
        <v>0</v>
      </c>
      <c r="V1048" s="4" t="s">
        <v>960</v>
      </c>
      <c r="W1048" s="4" t="s">
        <v>939</v>
      </c>
      <c r="X1048" s="6" t="s">
        <v>617</v>
      </c>
    </row>
    <row r="1049" spans="1:24">
      <c r="A1049" s="4" t="s">
        <v>926</v>
      </c>
      <c r="B1049" s="4" t="s">
        <v>927</v>
      </c>
      <c r="D1049" s="4" t="s">
        <v>928</v>
      </c>
      <c r="E1049" s="4" t="s">
        <v>929</v>
      </c>
      <c r="M1049" s="4" t="s">
        <v>625</v>
      </c>
      <c r="N1049" s="4">
        <v>-71.391021699999996</v>
      </c>
      <c r="O1049" s="4">
        <v>3.7937169100000001</v>
      </c>
      <c r="P1049" s="4" t="s">
        <v>946</v>
      </c>
      <c r="Q1049" s="4" t="s">
        <v>743</v>
      </c>
      <c r="R1049" s="4" t="s">
        <v>730</v>
      </c>
      <c r="S1049" s="2">
        <v>46174.437824074077</v>
      </c>
      <c r="T1049" s="5">
        <v>0</v>
      </c>
      <c r="U1049" s="4">
        <v>0</v>
      </c>
      <c r="V1049" s="4" t="s">
        <v>944</v>
      </c>
      <c r="W1049" s="4" t="s">
        <v>625</v>
      </c>
      <c r="X1049" s="6" t="s">
        <v>617</v>
      </c>
    </row>
    <row r="1050" spans="1:24">
      <c r="A1050" s="4" t="s">
        <v>926</v>
      </c>
      <c r="B1050" s="4" t="s">
        <v>927</v>
      </c>
      <c r="D1050" s="4" t="s">
        <v>928</v>
      </c>
      <c r="E1050" s="4" t="s">
        <v>929</v>
      </c>
      <c r="M1050" s="4" t="s">
        <v>757</v>
      </c>
      <c r="N1050" s="4">
        <v>-71.391534921399995</v>
      </c>
      <c r="O1050" s="4">
        <v>3.79365103128</v>
      </c>
      <c r="P1050" s="4" t="s">
        <v>946</v>
      </c>
      <c r="Q1050" s="4" t="s">
        <v>743</v>
      </c>
      <c r="R1050" s="4" t="s">
        <v>730</v>
      </c>
      <c r="S1050" s="2">
        <v>46174.437905613428</v>
      </c>
      <c r="T1050" s="5">
        <v>9.8327546296296292E-4</v>
      </c>
      <c r="U1050" s="4">
        <v>1.1135526895523071</v>
      </c>
      <c r="V1050" s="4" t="s">
        <v>982</v>
      </c>
      <c r="W1050" s="4" t="s">
        <v>757</v>
      </c>
      <c r="X1050" s="6" t="s">
        <v>617</v>
      </c>
    </row>
    <row r="1051" spans="1:24">
      <c r="A1051" s="4" t="s">
        <v>926</v>
      </c>
      <c r="B1051" s="4" t="s">
        <v>927</v>
      </c>
      <c r="D1051" s="4" t="s">
        <v>928</v>
      </c>
      <c r="E1051" s="4" t="s">
        <v>929</v>
      </c>
      <c r="M1051" s="4" t="s">
        <v>757</v>
      </c>
      <c r="N1051" s="4">
        <v>-71.402106312499996</v>
      </c>
      <c r="O1051" s="4">
        <v>3.7915455362500001</v>
      </c>
      <c r="P1051" s="4" t="s">
        <v>942</v>
      </c>
      <c r="Q1051" s="4" t="s">
        <v>743</v>
      </c>
      <c r="R1051" s="4" t="s">
        <v>730</v>
      </c>
      <c r="S1051" s="2">
        <v>46174.449563078706</v>
      </c>
      <c r="T1051" s="5">
        <v>3.8401620370370369E-4</v>
      </c>
      <c r="U1051" s="4">
        <v>0.42920702695846558</v>
      </c>
      <c r="V1051" s="4" t="s">
        <v>983</v>
      </c>
      <c r="W1051" s="4" t="s">
        <v>757</v>
      </c>
      <c r="X1051" s="6" t="s">
        <v>617</v>
      </c>
    </row>
    <row r="1052" spans="1:24">
      <c r="A1052" s="4" t="s">
        <v>926</v>
      </c>
      <c r="B1052" s="4" t="s">
        <v>927</v>
      </c>
      <c r="D1052" s="4" t="s">
        <v>928</v>
      </c>
      <c r="E1052" s="4" t="s">
        <v>929</v>
      </c>
      <c r="M1052" s="4" t="s">
        <v>939</v>
      </c>
      <c r="N1052" s="4">
        <v>-71.401206999999999</v>
      </c>
      <c r="O1052" s="4">
        <v>3.7900648100000001</v>
      </c>
      <c r="P1052" s="4" t="s">
        <v>942</v>
      </c>
      <c r="Q1052" s="4" t="s">
        <v>743</v>
      </c>
      <c r="R1052" s="4" t="s">
        <v>730</v>
      </c>
      <c r="S1052" s="2">
        <v>46174.456597222219</v>
      </c>
      <c r="T1052" s="5">
        <v>0</v>
      </c>
      <c r="U1052" s="4">
        <v>0</v>
      </c>
      <c r="V1052" s="4" t="s">
        <v>960</v>
      </c>
      <c r="W1052" s="4" t="s">
        <v>939</v>
      </c>
      <c r="X1052" s="6" t="s">
        <v>617</v>
      </c>
    </row>
    <row r="1053" spans="1:24">
      <c r="A1053" s="4" t="s">
        <v>926</v>
      </c>
      <c r="B1053" s="4" t="s">
        <v>927</v>
      </c>
      <c r="D1053" s="4" t="s">
        <v>928</v>
      </c>
      <c r="E1053" s="4" t="s">
        <v>929</v>
      </c>
      <c r="M1053" s="4" t="s">
        <v>939</v>
      </c>
      <c r="N1053" s="4">
        <v>-71.401122999999998</v>
      </c>
      <c r="O1053" s="4">
        <v>3.78941083</v>
      </c>
      <c r="P1053" s="4" t="s">
        <v>942</v>
      </c>
      <c r="Q1053" s="4" t="s">
        <v>743</v>
      </c>
      <c r="R1053" s="4" t="s">
        <v>730</v>
      </c>
      <c r="S1053" s="2">
        <v>46174.457916666666</v>
      </c>
      <c r="T1053" s="5">
        <v>0</v>
      </c>
      <c r="U1053" s="4">
        <v>0</v>
      </c>
      <c r="V1053" s="4" t="s">
        <v>979</v>
      </c>
      <c r="W1053" s="4" t="s">
        <v>939</v>
      </c>
      <c r="X1053" s="6" t="s">
        <v>617</v>
      </c>
    </row>
    <row r="1054" spans="1:24">
      <c r="A1054" s="4" t="s">
        <v>926</v>
      </c>
      <c r="B1054" s="4" t="s">
        <v>927</v>
      </c>
      <c r="D1054" s="4" t="s">
        <v>928</v>
      </c>
      <c r="E1054" s="4" t="s">
        <v>929</v>
      </c>
      <c r="M1054" s="4" t="s">
        <v>757</v>
      </c>
      <c r="N1054" s="4">
        <v>-71.402026697028575</v>
      </c>
      <c r="O1054" s="4">
        <v>3.7890834128971429</v>
      </c>
      <c r="P1054" s="4" t="s">
        <v>984</v>
      </c>
      <c r="Q1054" s="4" t="s">
        <v>743</v>
      </c>
      <c r="R1054" s="4" t="s">
        <v>730</v>
      </c>
      <c r="S1054" s="2">
        <v>46174.458118564813</v>
      </c>
      <c r="T1054" s="5">
        <v>2.0319444444444446E-4</v>
      </c>
      <c r="U1054" s="4">
        <v>0.20628495514392853</v>
      </c>
      <c r="V1054" s="4" t="s">
        <v>778</v>
      </c>
      <c r="W1054" s="4" t="s">
        <v>757</v>
      </c>
      <c r="X1054" s="6" t="s">
        <v>617</v>
      </c>
    </row>
    <row r="1055" spans="1:24">
      <c r="A1055" s="4" t="s">
        <v>926</v>
      </c>
      <c r="B1055" s="4" t="s">
        <v>927</v>
      </c>
      <c r="D1055" s="4" t="s">
        <v>928</v>
      </c>
      <c r="E1055" s="4" t="s">
        <v>929</v>
      </c>
      <c r="M1055" s="4" t="s">
        <v>674</v>
      </c>
      <c r="N1055" s="4">
        <v>-71.403801000000001</v>
      </c>
      <c r="O1055" s="4">
        <v>3.7883255500000002</v>
      </c>
      <c r="P1055" s="4" t="s">
        <v>984</v>
      </c>
      <c r="Q1055" s="4" t="s">
        <v>743</v>
      </c>
      <c r="R1055" s="4" t="s">
        <v>730</v>
      </c>
      <c r="S1055" s="2">
        <v>46174.458356481482</v>
      </c>
      <c r="T1055" s="5">
        <v>0</v>
      </c>
      <c r="U1055" s="4">
        <v>0</v>
      </c>
      <c r="V1055" s="4" t="s">
        <v>985</v>
      </c>
      <c r="W1055" s="4" t="s">
        <v>674</v>
      </c>
      <c r="X1055" s="6" t="s">
        <v>617</v>
      </c>
    </row>
    <row r="1056" spans="1:24">
      <c r="A1056" s="4" t="s">
        <v>926</v>
      </c>
      <c r="B1056" s="4" t="s">
        <v>927</v>
      </c>
      <c r="D1056" s="4" t="s">
        <v>928</v>
      </c>
      <c r="E1056" s="4" t="s">
        <v>929</v>
      </c>
      <c r="M1056" s="4" t="s">
        <v>757</v>
      </c>
      <c r="N1056" s="4">
        <v>-71.403766649999994</v>
      </c>
      <c r="O1056" s="4">
        <v>3.78703141</v>
      </c>
      <c r="P1056" s="4" t="s">
        <v>984</v>
      </c>
      <c r="Q1056" s="4" t="s">
        <v>743</v>
      </c>
      <c r="R1056" s="4" t="s">
        <v>730</v>
      </c>
      <c r="S1056" s="2">
        <v>46174.458541666667</v>
      </c>
      <c r="T1056" s="5">
        <v>1.3503472222222223E-4</v>
      </c>
      <c r="U1056" s="4">
        <v>0.1331133097410202</v>
      </c>
      <c r="V1056" s="4" t="s">
        <v>774</v>
      </c>
      <c r="W1056" s="4" t="s">
        <v>757</v>
      </c>
      <c r="X1056" s="6" t="s">
        <v>617</v>
      </c>
    </row>
    <row r="1057" spans="1:24">
      <c r="A1057" s="4" t="s">
        <v>926</v>
      </c>
      <c r="B1057" s="4" t="s">
        <v>927</v>
      </c>
      <c r="D1057" s="4" t="s">
        <v>928</v>
      </c>
      <c r="E1057" s="4" t="s">
        <v>929</v>
      </c>
      <c r="M1057" s="4" t="s">
        <v>757</v>
      </c>
      <c r="N1057" s="4">
        <v>-71.404042599999997</v>
      </c>
      <c r="O1057" s="4">
        <v>3.7856573233333335</v>
      </c>
      <c r="P1057" s="4" t="s">
        <v>984</v>
      </c>
      <c r="Q1057" s="4" t="s">
        <v>743</v>
      </c>
      <c r="R1057" s="4" t="s">
        <v>730</v>
      </c>
      <c r="S1057" s="2">
        <v>46174.458703703705</v>
      </c>
      <c r="T1057" s="5">
        <v>4.9606481481481481E-5</v>
      </c>
      <c r="U1057" s="4">
        <v>4.986238107085228E-2</v>
      </c>
      <c r="V1057" s="4" t="s">
        <v>774</v>
      </c>
      <c r="W1057" s="4" t="s">
        <v>757</v>
      </c>
      <c r="X1057" s="6" t="s">
        <v>617</v>
      </c>
    </row>
    <row r="1058" spans="1:24">
      <c r="A1058" s="4" t="s">
        <v>926</v>
      </c>
      <c r="B1058" s="4" t="s">
        <v>927</v>
      </c>
      <c r="D1058" s="4" t="s">
        <v>928</v>
      </c>
      <c r="E1058" s="4" t="s">
        <v>929</v>
      </c>
      <c r="M1058" s="4" t="s">
        <v>674</v>
      </c>
      <c r="N1058" s="4">
        <v>-71.403655999999998</v>
      </c>
      <c r="O1058" s="4">
        <v>3.7852072699999999</v>
      </c>
      <c r="P1058" s="4" t="s">
        <v>986</v>
      </c>
      <c r="Q1058" s="4" t="s">
        <v>743</v>
      </c>
      <c r="R1058" s="4" t="s">
        <v>730</v>
      </c>
      <c r="S1058" s="2">
        <v>46174.458784722221</v>
      </c>
      <c r="T1058" s="5">
        <v>0</v>
      </c>
      <c r="U1058" s="4">
        <v>0</v>
      </c>
      <c r="V1058" s="4" t="s">
        <v>966</v>
      </c>
      <c r="W1058" s="4" t="s">
        <v>674</v>
      </c>
      <c r="X1058" s="6" t="s">
        <v>617</v>
      </c>
    </row>
    <row r="1059" spans="1:24">
      <c r="A1059" s="4" t="s">
        <v>926</v>
      </c>
      <c r="B1059" s="4" t="s">
        <v>927</v>
      </c>
      <c r="D1059" s="4" t="s">
        <v>928</v>
      </c>
      <c r="E1059" s="4" t="s">
        <v>929</v>
      </c>
      <c r="M1059" s="4" t="s">
        <v>939</v>
      </c>
      <c r="N1059" s="4">
        <v>-71.403350799999998</v>
      </c>
      <c r="O1059" s="4">
        <v>3.7856583600000002</v>
      </c>
      <c r="P1059" s="4" t="s">
        <v>987</v>
      </c>
      <c r="Q1059" s="4" t="s">
        <v>743</v>
      </c>
      <c r="R1059" s="4" t="s">
        <v>730</v>
      </c>
      <c r="S1059" s="2">
        <v>46174.460474537038</v>
      </c>
      <c r="T1059" s="5">
        <v>0</v>
      </c>
      <c r="U1059" s="4">
        <v>0</v>
      </c>
      <c r="V1059" s="4" t="s">
        <v>960</v>
      </c>
      <c r="W1059" s="4" t="s">
        <v>939</v>
      </c>
      <c r="X1059" s="6" t="s">
        <v>617</v>
      </c>
    </row>
    <row r="1060" spans="1:24">
      <c r="A1060" s="4" t="s">
        <v>926</v>
      </c>
      <c r="B1060" s="4" t="s">
        <v>927</v>
      </c>
      <c r="D1060" s="4" t="s">
        <v>928</v>
      </c>
      <c r="E1060" s="4" t="s">
        <v>929</v>
      </c>
      <c r="M1060" s="4" t="s">
        <v>939</v>
      </c>
      <c r="N1060" s="4">
        <v>-71.403442400000003</v>
      </c>
      <c r="O1060" s="4">
        <v>3.7855927899999999</v>
      </c>
      <c r="P1060" s="4" t="s">
        <v>987</v>
      </c>
      <c r="Q1060" s="4" t="s">
        <v>743</v>
      </c>
      <c r="R1060" s="4" t="s">
        <v>730</v>
      </c>
      <c r="S1060" s="2">
        <v>46174.461516203701</v>
      </c>
      <c r="T1060" s="5">
        <v>0</v>
      </c>
      <c r="U1060" s="4">
        <v>0</v>
      </c>
      <c r="V1060" s="4" t="s">
        <v>979</v>
      </c>
      <c r="W1060" s="4" t="s">
        <v>939</v>
      </c>
      <c r="X1060" s="6" t="s">
        <v>617</v>
      </c>
    </row>
    <row r="1061" spans="1:24">
      <c r="A1061" s="4" t="s">
        <v>926</v>
      </c>
      <c r="B1061" s="4" t="s">
        <v>927</v>
      </c>
      <c r="D1061" s="4" t="s">
        <v>928</v>
      </c>
      <c r="E1061" s="4" t="s">
        <v>929</v>
      </c>
      <c r="M1061" s="4" t="s">
        <v>939</v>
      </c>
      <c r="N1061" s="4">
        <v>-71.402503999999993</v>
      </c>
      <c r="O1061" s="4">
        <v>3.77599931</v>
      </c>
      <c r="P1061" s="4" t="s">
        <v>988</v>
      </c>
      <c r="Q1061" s="4" t="s">
        <v>743</v>
      </c>
      <c r="R1061" s="4" t="s">
        <v>730</v>
      </c>
      <c r="S1061" s="2">
        <v>46174.467314814814</v>
      </c>
      <c r="T1061" s="5">
        <v>0</v>
      </c>
      <c r="U1061" s="4">
        <v>0</v>
      </c>
      <c r="V1061" s="4" t="s">
        <v>979</v>
      </c>
      <c r="W1061" s="4" t="s">
        <v>939</v>
      </c>
      <c r="X1061" s="6" t="s">
        <v>617</v>
      </c>
    </row>
    <row r="1062" spans="1:24">
      <c r="A1062" s="4" t="s">
        <v>926</v>
      </c>
      <c r="B1062" s="4" t="s">
        <v>927</v>
      </c>
      <c r="D1062" s="4" t="s">
        <v>928</v>
      </c>
      <c r="E1062" s="4" t="s">
        <v>929</v>
      </c>
      <c r="M1062" s="4" t="s">
        <v>939</v>
      </c>
      <c r="N1062" s="4">
        <v>-71.400459299999994</v>
      </c>
      <c r="O1062" s="4">
        <v>3.7760324500000002</v>
      </c>
      <c r="P1062" s="4" t="s">
        <v>989</v>
      </c>
      <c r="Q1062" s="4" t="s">
        <v>743</v>
      </c>
      <c r="R1062" s="4" t="s">
        <v>730</v>
      </c>
      <c r="S1062" s="2">
        <v>46174.476168981484</v>
      </c>
      <c r="T1062" s="5">
        <v>0</v>
      </c>
      <c r="U1062" s="4">
        <v>0</v>
      </c>
      <c r="V1062" s="4" t="s">
        <v>964</v>
      </c>
      <c r="W1062" s="4" t="s">
        <v>939</v>
      </c>
      <c r="X1062" s="6" t="s">
        <v>617</v>
      </c>
    </row>
    <row r="1063" spans="1:24">
      <c r="A1063" s="4" t="s">
        <v>926</v>
      </c>
      <c r="B1063" s="4" t="s">
        <v>927</v>
      </c>
      <c r="D1063" s="4" t="s">
        <v>928</v>
      </c>
      <c r="E1063" s="4" t="s">
        <v>929</v>
      </c>
      <c r="M1063" s="4" t="s">
        <v>757</v>
      </c>
      <c r="N1063" s="4">
        <v>-71.40106561333333</v>
      </c>
      <c r="O1063" s="4">
        <v>3.7752250526666664</v>
      </c>
      <c r="P1063" s="4" t="s">
        <v>990</v>
      </c>
      <c r="Q1063" s="4" t="s">
        <v>743</v>
      </c>
      <c r="R1063" s="4" t="s">
        <v>730</v>
      </c>
      <c r="S1063" s="2">
        <v>46174.476601851849</v>
      </c>
      <c r="T1063" s="5">
        <v>4.5833333333333332E-4</v>
      </c>
      <c r="U1063" s="4">
        <v>0.44759073853492737</v>
      </c>
      <c r="V1063" s="4" t="s">
        <v>774</v>
      </c>
      <c r="W1063" s="4" t="s">
        <v>757</v>
      </c>
      <c r="X1063" s="6" t="s">
        <v>617</v>
      </c>
    </row>
    <row r="1064" spans="1:24">
      <c r="A1064" s="4" t="s">
        <v>926</v>
      </c>
      <c r="B1064" s="4" t="s">
        <v>927</v>
      </c>
      <c r="D1064" s="4" t="s">
        <v>928</v>
      </c>
      <c r="E1064" s="4" t="s">
        <v>929</v>
      </c>
      <c r="M1064" s="4" t="s">
        <v>875</v>
      </c>
      <c r="N1064" s="4">
        <v>-71.400119113599999</v>
      </c>
      <c r="O1064" s="4">
        <v>3.7715407727600003</v>
      </c>
      <c r="P1064" s="4" t="s">
        <v>991</v>
      </c>
      <c r="Q1064" s="4" t="s">
        <v>877</v>
      </c>
      <c r="R1064" s="4" t="s">
        <v>720</v>
      </c>
      <c r="S1064" s="2">
        <v>46174.477048472225</v>
      </c>
      <c r="T1064" s="5">
        <v>4.1680555555555557E-4</v>
      </c>
      <c r="U1064" s="4">
        <v>0.34914171695709229</v>
      </c>
      <c r="V1064" s="4" t="s">
        <v>778</v>
      </c>
      <c r="W1064" s="4" t="s">
        <v>875</v>
      </c>
      <c r="X1064" s="6" t="s">
        <v>617</v>
      </c>
    </row>
    <row r="1065" spans="1:24">
      <c r="A1065" s="4" t="s">
        <v>926</v>
      </c>
      <c r="B1065" s="4" t="s">
        <v>927</v>
      </c>
      <c r="D1065" s="4" t="s">
        <v>928</v>
      </c>
      <c r="E1065" s="4" t="s">
        <v>929</v>
      </c>
      <c r="M1065" s="4" t="s">
        <v>757</v>
      </c>
      <c r="N1065" s="4">
        <v>-71.402012407200004</v>
      </c>
      <c r="O1065" s="4">
        <v>3.7702192033324997</v>
      </c>
      <c r="P1065" s="4" t="s">
        <v>991</v>
      </c>
      <c r="Q1065" s="4" t="s">
        <v>877</v>
      </c>
      <c r="R1065" s="4" t="s">
        <v>720</v>
      </c>
      <c r="S1065" s="2">
        <v>46174.477371030094</v>
      </c>
      <c r="T1065" s="5">
        <v>5.7210648148148145E-5</v>
      </c>
      <c r="U1065" s="4">
        <v>5.7330116629600525E-2</v>
      </c>
      <c r="V1065" s="4" t="s">
        <v>778</v>
      </c>
      <c r="W1065" s="4" t="s">
        <v>757</v>
      </c>
      <c r="X1065" s="6" t="s">
        <v>617</v>
      </c>
    </row>
    <row r="1066" spans="1:24">
      <c r="A1066" s="4" t="s">
        <v>926</v>
      </c>
      <c r="B1066" s="4" t="s">
        <v>927</v>
      </c>
      <c r="D1066" s="4" t="s">
        <v>928</v>
      </c>
      <c r="E1066" s="4" t="s">
        <v>929</v>
      </c>
      <c r="M1066" s="4" t="s">
        <v>875</v>
      </c>
      <c r="N1066" s="4">
        <v>-71.402359000000004</v>
      </c>
      <c r="O1066" s="4">
        <v>3.76956487</v>
      </c>
      <c r="P1066" s="4" t="s">
        <v>991</v>
      </c>
      <c r="Q1066" s="4" t="s">
        <v>877</v>
      </c>
      <c r="R1066" s="4" t="s">
        <v>720</v>
      </c>
      <c r="S1066" s="2">
        <v>46174.477465277778</v>
      </c>
      <c r="T1066" s="5">
        <v>1.087962962962963E-4</v>
      </c>
      <c r="U1066" s="4">
        <v>6.0812611132860184E-2</v>
      </c>
      <c r="V1066" s="4" t="s">
        <v>789</v>
      </c>
      <c r="W1066" s="4" t="s">
        <v>875</v>
      </c>
      <c r="X1066" s="6" t="s">
        <v>617</v>
      </c>
    </row>
    <row r="1067" spans="1:24">
      <c r="A1067" s="4" t="s">
        <v>926</v>
      </c>
      <c r="B1067" s="4" t="s">
        <v>927</v>
      </c>
      <c r="D1067" s="4" t="s">
        <v>928</v>
      </c>
      <c r="E1067" s="4" t="s">
        <v>929</v>
      </c>
      <c r="M1067" s="4" t="s">
        <v>875</v>
      </c>
      <c r="N1067" s="4">
        <v>-71.402097369100005</v>
      </c>
      <c r="O1067" s="4">
        <v>3.76847974485</v>
      </c>
      <c r="P1067" s="4" t="s">
        <v>991</v>
      </c>
      <c r="Q1067" s="4" t="s">
        <v>877</v>
      </c>
      <c r="R1067" s="4" t="s">
        <v>720</v>
      </c>
      <c r="S1067" s="2">
        <v>46174.480221944446</v>
      </c>
      <c r="T1067" s="5">
        <v>6.7407407407407412E-5</v>
      </c>
      <c r="U1067" s="4">
        <v>3.0465243384242058E-2</v>
      </c>
      <c r="V1067" s="4" t="s">
        <v>751</v>
      </c>
      <c r="W1067" s="4" t="s">
        <v>875</v>
      </c>
      <c r="X1067" s="6" t="s">
        <v>617</v>
      </c>
    </row>
    <row r="1068" spans="1:24">
      <c r="A1068" s="4" t="s">
        <v>926</v>
      </c>
      <c r="B1068" s="4" t="s">
        <v>927</v>
      </c>
      <c r="D1068" s="4" t="s">
        <v>928</v>
      </c>
      <c r="E1068" s="4" t="s">
        <v>929</v>
      </c>
      <c r="M1068" s="4" t="s">
        <v>875</v>
      </c>
      <c r="N1068" s="4">
        <v>-71.40159607999999</v>
      </c>
      <c r="O1068" s="4">
        <v>3.7683027240000002</v>
      </c>
      <c r="P1068" s="4" t="s">
        <v>991</v>
      </c>
      <c r="Q1068" s="4" t="s">
        <v>877</v>
      </c>
      <c r="R1068" s="4" t="s">
        <v>720</v>
      </c>
      <c r="S1068" s="2">
        <v>46174.48165509259</v>
      </c>
      <c r="T1068" s="5">
        <v>1.099538037037037E-4</v>
      </c>
      <c r="U1068" s="4">
        <v>5.731094628572464E-2</v>
      </c>
      <c r="V1068" s="4" t="s">
        <v>750</v>
      </c>
      <c r="W1068" s="4" t="s">
        <v>875</v>
      </c>
      <c r="X1068" s="6" t="s">
        <v>617</v>
      </c>
    </row>
    <row r="1069" spans="1:24">
      <c r="A1069" s="4" t="s">
        <v>926</v>
      </c>
      <c r="B1069" s="4" t="s">
        <v>927</v>
      </c>
      <c r="D1069" s="4" t="s">
        <v>928</v>
      </c>
      <c r="E1069" s="4" t="s">
        <v>929</v>
      </c>
      <c r="M1069" s="4" t="s">
        <v>875</v>
      </c>
      <c r="N1069" s="4">
        <v>-71.401779199999993</v>
      </c>
      <c r="O1069" s="4">
        <v>3.7687470900000002</v>
      </c>
      <c r="P1069" s="4" t="s">
        <v>991</v>
      </c>
      <c r="Q1069" s="4" t="s">
        <v>877</v>
      </c>
      <c r="R1069" s="4" t="s">
        <v>720</v>
      </c>
      <c r="S1069" s="2">
        <v>46174.482499999998</v>
      </c>
      <c r="T1069" s="5">
        <v>4.9590277777777773E-4</v>
      </c>
      <c r="U1069" s="4">
        <v>0.30517169833183289</v>
      </c>
      <c r="V1069" s="4" t="s">
        <v>783</v>
      </c>
      <c r="W1069" s="4" t="s">
        <v>875</v>
      </c>
      <c r="X1069" s="6" t="s">
        <v>617</v>
      </c>
    </row>
    <row r="1070" spans="1:24">
      <c r="A1070" s="4" t="s">
        <v>926</v>
      </c>
      <c r="B1070" s="4" t="s">
        <v>927</v>
      </c>
      <c r="D1070" s="4" t="s">
        <v>928</v>
      </c>
      <c r="E1070" s="4" t="s">
        <v>929</v>
      </c>
      <c r="M1070" s="4" t="s">
        <v>875</v>
      </c>
      <c r="N1070" s="4">
        <v>-71.400962833333338</v>
      </c>
      <c r="O1070" s="4">
        <v>3.7701323033333334</v>
      </c>
      <c r="P1070" s="4" t="s">
        <v>991</v>
      </c>
      <c r="Q1070" s="4" t="s">
        <v>877</v>
      </c>
      <c r="R1070" s="4" t="s">
        <v>720</v>
      </c>
      <c r="S1070" s="2">
        <v>46174.483217592591</v>
      </c>
      <c r="T1070" s="5">
        <v>4.0509359259259258E-5</v>
      </c>
      <c r="U1070" s="4">
        <v>1.9518794491887093E-2</v>
      </c>
      <c r="V1070" s="4" t="s">
        <v>738</v>
      </c>
      <c r="W1070" s="4" t="s">
        <v>875</v>
      </c>
      <c r="X1070" s="6" t="s">
        <v>617</v>
      </c>
    </row>
    <row r="1071" spans="1:24">
      <c r="A1071" s="4" t="s">
        <v>926</v>
      </c>
      <c r="B1071" s="4" t="s">
        <v>927</v>
      </c>
      <c r="D1071" s="4" t="s">
        <v>928</v>
      </c>
      <c r="E1071" s="4" t="s">
        <v>929</v>
      </c>
      <c r="M1071" s="4" t="s">
        <v>875</v>
      </c>
      <c r="N1071" s="4">
        <v>-71.400733949999989</v>
      </c>
      <c r="O1071" s="4">
        <v>3.7698748100000001</v>
      </c>
      <c r="P1071" s="4" t="s">
        <v>991</v>
      </c>
      <c r="Q1071" s="4" t="s">
        <v>877</v>
      </c>
      <c r="R1071" s="4" t="s">
        <v>720</v>
      </c>
      <c r="S1071" s="2">
        <v>46174.483298611114</v>
      </c>
      <c r="T1071" s="5">
        <v>1.273148148148148E-4</v>
      </c>
      <c r="U1071" s="4">
        <v>6.8763233721256256E-2</v>
      </c>
      <c r="V1071" s="4" t="s">
        <v>751</v>
      </c>
      <c r="W1071" s="4" t="s">
        <v>875</v>
      </c>
      <c r="X1071" s="6" t="s">
        <v>617</v>
      </c>
    </row>
    <row r="1072" spans="1:24">
      <c r="A1072" s="4" t="s">
        <v>926</v>
      </c>
      <c r="B1072" s="4" t="s">
        <v>927</v>
      </c>
      <c r="D1072" s="4" t="s">
        <v>928</v>
      </c>
      <c r="E1072" s="4" t="s">
        <v>929</v>
      </c>
      <c r="M1072" s="4" t="s">
        <v>875</v>
      </c>
      <c r="N1072" s="4">
        <v>-71.400703452345454</v>
      </c>
      <c r="O1072" s="4">
        <v>3.7708807452763637</v>
      </c>
      <c r="P1072" s="4" t="s">
        <v>991</v>
      </c>
      <c r="Q1072" s="4" t="s">
        <v>877</v>
      </c>
      <c r="R1072" s="4" t="s">
        <v>720</v>
      </c>
      <c r="S1072" s="2">
        <v>46174.498207847224</v>
      </c>
      <c r="T1072" s="5">
        <v>1.4164351851851851E-4</v>
      </c>
      <c r="U1072" s="4">
        <v>0.10159344971179962</v>
      </c>
      <c r="V1072" s="4" t="s">
        <v>798</v>
      </c>
      <c r="W1072" s="4" t="s">
        <v>875</v>
      </c>
      <c r="X1072" s="6" t="s">
        <v>617</v>
      </c>
    </row>
    <row r="1073" spans="1:24">
      <c r="A1073" s="4" t="s">
        <v>926</v>
      </c>
      <c r="B1073" s="4" t="s">
        <v>927</v>
      </c>
      <c r="D1073" s="4" t="s">
        <v>928</v>
      </c>
      <c r="E1073" s="4" t="s">
        <v>929</v>
      </c>
      <c r="M1073" s="4" t="s">
        <v>757</v>
      </c>
      <c r="N1073" s="4">
        <v>-71.40005644</v>
      </c>
      <c r="O1073" s="4">
        <v>3.7716493139999998</v>
      </c>
      <c r="P1073" s="4" t="s">
        <v>990</v>
      </c>
      <c r="Q1073" s="4" t="s">
        <v>743</v>
      </c>
      <c r="R1073" s="4" t="s">
        <v>730</v>
      </c>
      <c r="S1073" s="2">
        <v>46174.498363425926</v>
      </c>
      <c r="T1073" s="5">
        <v>3.9525462962962962E-4</v>
      </c>
      <c r="U1073" s="4">
        <v>0.37570908665657043</v>
      </c>
      <c r="V1073" s="4" t="s">
        <v>774</v>
      </c>
      <c r="W1073" s="4" t="s">
        <v>757</v>
      </c>
      <c r="X1073" s="6" t="s">
        <v>617</v>
      </c>
    </row>
    <row r="1074" spans="1:24">
      <c r="A1074" s="4" t="s">
        <v>926</v>
      </c>
      <c r="B1074" s="4" t="s">
        <v>927</v>
      </c>
      <c r="D1074" s="4" t="s">
        <v>928</v>
      </c>
      <c r="E1074" s="4" t="s">
        <v>929</v>
      </c>
      <c r="M1074" s="4" t="s">
        <v>757</v>
      </c>
      <c r="N1074" s="4">
        <v>-71.401468300000005</v>
      </c>
      <c r="O1074" s="4">
        <v>3.7762708049999998</v>
      </c>
      <c r="P1074" s="4" t="s">
        <v>988</v>
      </c>
      <c r="Q1074" s="4" t="s">
        <v>743</v>
      </c>
      <c r="R1074" s="4" t="s">
        <v>730</v>
      </c>
      <c r="S1074" s="2">
        <v>46174.498940972328</v>
      </c>
      <c r="T1074" s="5">
        <v>2.6041676666666664E-4</v>
      </c>
      <c r="U1074" s="4">
        <v>0.25404816865921021</v>
      </c>
      <c r="V1074" s="4" t="s">
        <v>758</v>
      </c>
      <c r="W1074" s="4" t="s">
        <v>757</v>
      </c>
      <c r="X1074" s="6" t="s">
        <v>617</v>
      </c>
    </row>
    <row r="1075" spans="1:24">
      <c r="A1075" s="4" t="s">
        <v>926</v>
      </c>
      <c r="B1075" s="4" t="s">
        <v>927</v>
      </c>
      <c r="D1075" s="4" t="s">
        <v>928</v>
      </c>
      <c r="E1075" s="4" t="s">
        <v>929</v>
      </c>
      <c r="M1075" s="4" t="s">
        <v>757</v>
      </c>
      <c r="N1075" s="4">
        <v>-71.401699050000005</v>
      </c>
      <c r="O1075" s="4">
        <v>3.7794213249999999</v>
      </c>
      <c r="P1075" s="4" t="s">
        <v>988</v>
      </c>
      <c r="Q1075" s="4" t="s">
        <v>743</v>
      </c>
      <c r="R1075" s="4" t="s">
        <v>730</v>
      </c>
      <c r="S1075" s="2">
        <v>46174.499305555553</v>
      </c>
      <c r="T1075" s="5">
        <v>2.121875E-4</v>
      </c>
      <c r="U1075" s="4">
        <v>0.20776131749153137</v>
      </c>
      <c r="V1075" s="4" t="s">
        <v>774</v>
      </c>
      <c r="W1075" s="4" t="s">
        <v>757</v>
      </c>
      <c r="X1075" s="6" t="s">
        <v>617</v>
      </c>
    </row>
    <row r="1076" spans="1:24">
      <c r="A1076" s="4" t="s">
        <v>926</v>
      </c>
      <c r="B1076" s="4" t="s">
        <v>927</v>
      </c>
      <c r="D1076" s="4" t="s">
        <v>928</v>
      </c>
      <c r="E1076" s="4" t="s">
        <v>929</v>
      </c>
      <c r="M1076" s="4" t="s">
        <v>757</v>
      </c>
      <c r="N1076" s="4">
        <v>-71.402242032607148</v>
      </c>
      <c r="O1076" s="4">
        <v>3.7819139498864285</v>
      </c>
      <c r="P1076" s="4" t="s">
        <v>988</v>
      </c>
      <c r="Q1076" s="4" t="s">
        <v>743</v>
      </c>
      <c r="R1076" s="4" t="s">
        <v>730</v>
      </c>
      <c r="S1076" s="2">
        <v>46174.499602627315</v>
      </c>
      <c r="T1076" s="5">
        <v>1.6357638888888889E-4</v>
      </c>
      <c r="U1076" s="4">
        <v>0.15732160210609436</v>
      </c>
      <c r="V1076" s="4" t="s">
        <v>774</v>
      </c>
      <c r="W1076" s="4" t="s">
        <v>757</v>
      </c>
      <c r="X1076" s="6" t="s">
        <v>617</v>
      </c>
    </row>
    <row r="1077" spans="1:24">
      <c r="A1077" s="4" t="s">
        <v>926</v>
      </c>
      <c r="B1077" s="4" t="s">
        <v>927</v>
      </c>
      <c r="D1077" s="4" t="s">
        <v>928</v>
      </c>
      <c r="E1077" s="4" t="s">
        <v>929</v>
      </c>
      <c r="M1077" s="4" t="s">
        <v>757</v>
      </c>
      <c r="N1077" s="4">
        <v>-71.401909421799999</v>
      </c>
      <c r="O1077" s="4">
        <v>3.7842750049457141</v>
      </c>
      <c r="P1077" s="4" t="s">
        <v>984</v>
      </c>
      <c r="Q1077" s="4" t="s">
        <v>743</v>
      </c>
      <c r="R1077" s="4" t="s">
        <v>730</v>
      </c>
      <c r="S1077" s="2">
        <v>46174.500028495371</v>
      </c>
      <c r="T1077" s="5">
        <v>4.5100694444444447E-4</v>
      </c>
      <c r="U1077" s="4">
        <v>0.45516559481620789</v>
      </c>
      <c r="V1077" s="4" t="s">
        <v>778</v>
      </c>
      <c r="W1077" s="4" t="s">
        <v>757</v>
      </c>
      <c r="X1077" s="6" t="s">
        <v>617</v>
      </c>
    </row>
    <row r="1078" spans="1:24">
      <c r="A1078" s="4" t="s">
        <v>926</v>
      </c>
      <c r="B1078" s="4" t="s">
        <v>927</v>
      </c>
      <c r="D1078" s="4" t="s">
        <v>928</v>
      </c>
      <c r="E1078" s="4" t="s">
        <v>929</v>
      </c>
      <c r="M1078" s="4" t="s">
        <v>757</v>
      </c>
      <c r="N1078" s="4">
        <v>-71.397154240000006</v>
      </c>
      <c r="O1078" s="4">
        <v>3.7832952500000001</v>
      </c>
      <c r="P1078" s="4" t="s">
        <v>984</v>
      </c>
      <c r="Q1078" s="4" t="s">
        <v>743</v>
      </c>
      <c r="R1078" s="4" t="s">
        <v>730</v>
      </c>
      <c r="S1078" s="2">
        <v>46174.500592592594</v>
      </c>
      <c r="T1078" s="5">
        <v>4.3584490740740742E-4</v>
      </c>
      <c r="U1078" s="4">
        <v>0.44769081473350525</v>
      </c>
      <c r="V1078" s="4" t="s">
        <v>849</v>
      </c>
      <c r="W1078" s="4" t="s">
        <v>757</v>
      </c>
      <c r="X1078" s="6" t="s">
        <v>617</v>
      </c>
    </row>
    <row r="1079" spans="1:24">
      <c r="A1079" s="4" t="s">
        <v>926</v>
      </c>
      <c r="B1079" s="4" t="s">
        <v>927</v>
      </c>
      <c r="D1079" s="4" t="s">
        <v>928</v>
      </c>
      <c r="E1079" s="4" t="s">
        <v>929</v>
      </c>
      <c r="M1079" s="4" t="s">
        <v>757</v>
      </c>
      <c r="N1079" s="4">
        <v>-71.393323899999999</v>
      </c>
      <c r="O1079" s="4">
        <v>3.7819707375</v>
      </c>
      <c r="P1079" s="4" t="s">
        <v>992</v>
      </c>
      <c r="Q1079" s="4" t="s">
        <v>743</v>
      </c>
      <c r="R1079" s="4" t="s">
        <v>730</v>
      </c>
      <c r="S1079" s="2">
        <v>46174.501189236114</v>
      </c>
      <c r="T1079" s="5">
        <v>1.6400462962962961E-5</v>
      </c>
      <c r="U1079" s="4">
        <v>1.529829204082489E-2</v>
      </c>
      <c r="V1079" s="4" t="s">
        <v>758</v>
      </c>
      <c r="W1079" s="4" t="s">
        <v>757</v>
      </c>
      <c r="X1079" s="6" t="s">
        <v>617</v>
      </c>
    </row>
    <row r="1080" spans="1:24">
      <c r="A1080" s="4" t="s">
        <v>926</v>
      </c>
      <c r="B1080" s="4" t="s">
        <v>927</v>
      </c>
      <c r="D1080" s="4" t="s">
        <v>928</v>
      </c>
      <c r="E1080" s="4" t="s">
        <v>929</v>
      </c>
      <c r="M1080" s="4" t="s">
        <v>939</v>
      </c>
      <c r="N1080" s="4">
        <v>-71.3930206</v>
      </c>
      <c r="O1080" s="4">
        <v>3.7827611000000001</v>
      </c>
      <c r="P1080" s="4" t="s">
        <v>992</v>
      </c>
      <c r="Q1080" s="4" t="s">
        <v>743</v>
      </c>
      <c r="R1080" s="4" t="s">
        <v>730</v>
      </c>
      <c r="S1080" s="2">
        <v>46174.506435185183</v>
      </c>
      <c r="T1080" s="5">
        <v>0</v>
      </c>
      <c r="U1080" s="4">
        <v>0</v>
      </c>
      <c r="V1080" s="4" t="s">
        <v>960</v>
      </c>
      <c r="W1080" s="4" t="s">
        <v>939</v>
      </c>
      <c r="X1080" s="6" t="s">
        <v>617</v>
      </c>
    </row>
    <row r="1081" spans="1:24">
      <c r="A1081" s="4" t="s">
        <v>926</v>
      </c>
      <c r="B1081" s="4" t="s">
        <v>927</v>
      </c>
      <c r="D1081" s="4" t="s">
        <v>928</v>
      </c>
      <c r="E1081" s="4" t="s">
        <v>929</v>
      </c>
      <c r="M1081" s="4" t="s">
        <v>939</v>
      </c>
      <c r="N1081" s="4">
        <v>-71.394310000000004</v>
      </c>
      <c r="O1081" s="4">
        <v>3.7835047199999998</v>
      </c>
      <c r="P1081" s="4" t="s">
        <v>992</v>
      </c>
      <c r="Q1081" s="4" t="s">
        <v>743</v>
      </c>
      <c r="R1081" s="4" t="s">
        <v>730</v>
      </c>
      <c r="S1081" s="2">
        <v>46174.513368055559</v>
      </c>
      <c r="T1081" s="5">
        <v>0</v>
      </c>
      <c r="U1081" s="4">
        <v>0</v>
      </c>
      <c r="V1081" s="4" t="s">
        <v>960</v>
      </c>
      <c r="W1081" s="4" t="s">
        <v>939</v>
      </c>
      <c r="X1081" s="6" t="s">
        <v>617</v>
      </c>
    </row>
    <row r="1082" spans="1:24">
      <c r="A1082" s="4" t="s">
        <v>926</v>
      </c>
      <c r="B1082" s="4" t="s">
        <v>927</v>
      </c>
      <c r="D1082" s="4" t="s">
        <v>928</v>
      </c>
      <c r="E1082" s="4" t="s">
        <v>929</v>
      </c>
      <c r="M1082" s="4" t="s">
        <v>757</v>
      </c>
      <c r="N1082" s="4">
        <v>-71.392999053428582</v>
      </c>
      <c r="O1082" s="4">
        <v>3.7810916657285714</v>
      </c>
      <c r="P1082" s="4" t="s">
        <v>993</v>
      </c>
      <c r="Q1082" s="4" t="s">
        <v>743</v>
      </c>
      <c r="R1082" s="4" t="s">
        <v>730</v>
      </c>
      <c r="S1082" s="2">
        <v>46174.513871006944</v>
      </c>
      <c r="T1082" s="5">
        <v>1.2590277777777779E-4</v>
      </c>
      <c r="U1082" s="4">
        <v>0.12791456282138824</v>
      </c>
      <c r="V1082" s="4" t="s">
        <v>778</v>
      </c>
      <c r="W1082" s="4" t="s">
        <v>757</v>
      </c>
      <c r="X1082" s="6" t="s">
        <v>617</v>
      </c>
    </row>
    <row r="1083" spans="1:24">
      <c r="A1083" s="4" t="s">
        <v>926</v>
      </c>
      <c r="B1083" s="4" t="s">
        <v>927</v>
      </c>
      <c r="D1083" s="4" t="s">
        <v>928</v>
      </c>
      <c r="E1083" s="4" t="s">
        <v>929</v>
      </c>
      <c r="M1083" s="4" t="s">
        <v>757</v>
      </c>
      <c r="N1083" s="4">
        <v>-71.391565907900002</v>
      </c>
      <c r="O1083" s="4">
        <v>3.7808004791459999</v>
      </c>
      <c r="P1083" s="4" t="s">
        <v>993</v>
      </c>
      <c r="Q1083" s="4" t="s">
        <v>743</v>
      </c>
      <c r="R1083" s="4" t="s">
        <v>730</v>
      </c>
      <c r="S1083" s="2">
        <v>46174.514035497683</v>
      </c>
      <c r="T1083" s="5">
        <v>6.3319444444444447E-4</v>
      </c>
      <c r="U1083" s="4">
        <v>0.6677507758140564</v>
      </c>
      <c r="V1083" s="4" t="s">
        <v>956</v>
      </c>
      <c r="W1083" s="4" t="s">
        <v>757</v>
      </c>
      <c r="X1083" s="6" t="s">
        <v>617</v>
      </c>
    </row>
    <row r="1084" spans="1:24">
      <c r="A1084" s="4" t="s">
        <v>926</v>
      </c>
      <c r="B1084" s="4" t="s">
        <v>927</v>
      </c>
      <c r="D1084" s="4" t="s">
        <v>928</v>
      </c>
      <c r="E1084" s="4" t="s">
        <v>929</v>
      </c>
      <c r="M1084" s="4" t="s">
        <v>757</v>
      </c>
      <c r="N1084" s="4">
        <v>-71.385508212695456</v>
      </c>
      <c r="O1084" s="4">
        <v>3.7731595967136364</v>
      </c>
      <c r="P1084" s="4" t="s">
        <v>994</v>
      </c>
      <c r="Q1084" s="4" t="s">
        <v>743</v>
      </c>
      <c r="R1084" s="4" t="s">
        <v>730</v>
      </c>
      <c r="S1084" s="2">
        <v>46174.515906631947</v>
      </c>
      <c r="T1084" s="5">
        <v>7.1377314814814819E-5</v>
      </c>
      <c r="U1084" s="4">
        <v>6.7719772458076477E-2</v>
      </c>
      <c r="V1084" s="4" t="s">
        <v>758</v>
      </c>
      <c r="W1084" s="4" t="s">
        <v>757</v>
      </c>
      <c r="X1084" s="6" t="s">
        <v>617</v>
      </c>
    </row>
    <row r="1085" spans="1:24">
      <c r="A1085" s="4" t="s">
        <v>926</v>
      </c>
      <c r="B1085" s="4" t="s">
        <v>927</v>
      </c>
      <c r="D1085" s="4" t="s">
        <v>928</v>
      </c>
      <c r="E1085" s="4" t="s">
        <v>929</v>
      </c>
      <c r="M1085" s="4" t="s">
        <v>757</v>
      </c>
      <c r="N1085" s="4">
        <v>-71.3820877</v>
      </c>
      <c r="O1085" s="4">
        <v>3.7683370099999998</v>
      </c>
      <c r="P1085" s="4" t="s">
        <v>994</v>
      </c>
      <c r="Q1085" s="4" t="s">
        <v>743</v>
      </c>
      <c r="R1085" s="4" t="s">
        <v>730</v>
      </c>
      <c r="S1085" s="2">
        <v>46174.51666666667</v>
      </c>
      <c r="T1085" s="5">
        <v>1.6010416666666666E-4</v>
      </c>
      <c r="U1085" s="4">
        <v>0.14828576147556305</v>
      </c>
      <c r="V1085" s="4" t="s">
        <v>758</v>
      </c>
      <c r="W1085" s="4" t="s">
        <v>757</v>
      </c>
      <c r="X1085" s="6" t="s">
        <v>617</v>
      </c>
    </row>
    <row r="1086" spans="1:24">
      <c r="A1086" s="4" t="s">
        <v>926</v>
      </c>
      <c r="B1086" s="4" t="s">
        <v>927</v>
      </c>
      <c r="D1086" s="4" t="s">
        <v>928</v>
      </c>
      <c r="E1086" s="4" t="s">
        <v>929</v>
      </c>
      <c r="M1086" s="4" t="s">
        <v>757</v>
      </c>
      <c r="N1086" s="4">
        <v>-71.381215400000002</v>
      </c>
      <c r="O1086" s="4">
        <v>3.76369854</v>
      </c>
      <c r="P1086" s="4" t="s">
        <v>995</v>
      </c>
      <c r="Q1086" s="4" t="s">
        <v>743</v>
      </c>
      <c r="R1086" s="4" t="s">
        <v>730</v>
      </c>
      <c r="S1086" s="2">
        <v>46174.517299247687</v>
      </c>
      <c r="T1086" s="5">
        <v>5.0162037037037037E-5</v>
      </c>
      <c r="U1086" s="4">
        <v>4.6503681689500809E-2</v>
      </c>
      <c r="V1086" s="4" t="s">
        <v>758</v>
      </c>
      <c r="W1086" s="4" t="s">
        <v>757</v>
      </c>
      <c r="X1086" s="6" t="s">
        <v>617</v>
      </c>
    </row>
    <row r="1087" spans="1:24">
      <c r="A1087" s="4" t="s">
        <v>926</v>
      </c>
      <c r="B1087" s="4" t="s">
        <v>927</v>
      </c>
      <c r="D1087" s="4" t="s">
        <v>928</v>
      </c>
      <c r="E1087" s="4" t="s">
        <v>929</v>
      </c>
      <c r="M1087" s="4" t="s">
        <v>757</v>
      </c>
      <c r="N1087" s="4">
        <v>-71.381628000000006</v>
      </c>
      <c r="O1087" s="4">
        <v>3.7618823074999996</v>
      </c>
      <c r="P1087" s="4" t="s">
        <v>995</v>
      </c>
      <c r="Q1087" s="4" t="s">
        <v>743</v>
      </c>
      <c r="R1087" s="4" t="s">
        <v>730</v>
      </c>
      <c r="S1087" s="2">
        <v>46174.517514467596</v>
      </c>
      <c r="T1087" s="5">
        <v>2.4016203703703705E-4</v>
      </c>
      <c r="U1087" s="4">
        <v>0.22847878932952881</v>
      </c>
      <c r="V1087" s="4" t="s">
        <v>758</v>
      </c>
      <c r="W1087" s="4" t="s">
        <v>757</v>
      </c>
      <c r="X1087" s="6" t="s">
        <v>617</v>
      </c>
    </row>
    <row r="1088" spans="1:24">
      <c r="A1088" s="4" t="s">
        <v>926</v>
      </c>
      <c r="B1088" s="4" t="s">
        <v>927</v>
      </c>
      <c r="D1088" s="4" t="s">
        <v>928</v>
      </c>
      <c r="E1088" s="4" t="s">
        <v>929</v>
      </c>
      <c r="M1088" s="4" t="s">
        <v>757</v>
      </c>
      <c r="N1088" s="4">
        <v>-71.388671930835713</v>
      </c>
      <c r="O1088" s="4">
        <v>3.7765672852371428</v>
      </c>
      <c r="P1088" s="4" t="s">
        <v>993</v>
      </c>
      <c r="Q1088" s="4" t="s">
        <v>743</v>
      </c>
      <c r="R1088" s="4" t="s">
        <v>730</v>
      </c>
      <c r="S1088" s="2">
        <v>46174.528329479166</v>
      </c>
      <c r="T1088" s="5">
        <v>7.3298611111111112E-5</v>
      </c>
      <c r="U1088" s="4">
        <v>6.9469615817070007E-2</v>
      </c>
      <c r="V1088" s="4" t="s">
        <v>758</v>
      </c>
      <c r="W1088" s="4" t="s">
        <v>757</v>
      </c>
      <c r="X1088" s="6" t="s">
        <v>617</v>
      </c>
    </row>
    <row r="1089" spans="1:24">
      <c r="A1089" s="4" t="s">
        <v>926</v>
      </c>
      <c r="B1089" s="4" t="s">
        <v>927</v>
      </c>
      <c r="D1089" s="4" t="s">
        <v>928</v>
      </c>
      <c r="E1089" s="4" t="s">
        <v>929</v>
      </c>
      <c r="M1089" s="4" t="s">
        <v>757</v>
      </c>
      <c r="N1089" s="4">
        <v>-71.390249224999991</v>
      </c>
      <c r="O1089" s="4">
        <v>3.7794834399999999</v>
      </c>
      <c r="P1089" s="4" t="s">
        <v>993</v>
      </c>
      <c r="Q1089" s="4" t="s">
        <v>743</v>
      </c>
      <c r="R1089" s="4" t="s">
        <v>730</v>
      </c>
      <c r="S1089" s="2">
        <v>46174.528715277775</v>
      </c>
      <c r="T1089" s="5">
        <v>2.121875E-4</v>
      </c>
      <c r="U1089" s="4">
        <v>0.2051081508398056</v>
      </c>
      <c r="V1089" s="4" t="s">
        <v>774</v>
      </c>
      <c r="W1089" s="4" t="s">
        <v>757</v>
      </c>
      <c r="X1089" s="6" t="s">
        <v>617</v>
      </c>
    </row>
    <row r="1090" spans="1:24">
      <c r="A1090" s="4" t="s">
        <v>926</v>
      </c>
      <c r="B1090" s="4" t="s">
        <v>927</v>
      </c>
      <c r="D1090" s="4" t="s">
        <v>928</v>
      </c>
      <c r="E1090" s="4" t="s">
        <v>929</v>
      </c>
      <c r="M1090" s="4" t="s">
        <v>757</v>
      </c>
      <c r="N1090" s="4">
        <v>-71.391751119999995</v>
      </c>
      <c r="O1090" s="4">
        <v>3.7809393419999999</v>
      </c>
      <c r="P1090" s="4" t="s">
        <v>993</v>
      </c>
      <c r="Q1090" s="4" t="s">
        <v>743</v>
      </c>
      <c r="R1090" s="4" t="s">
        <v>730</v>
      </c>
      <c r="S1090" s="2">
        <v>46174.528960648146</v>
      </c>
      <c r="T1090" s="5">
        <v>1.7361111111111112E-4</v>
      </c>
      <c r="U1090" s="4">
        <v>0.1734749972820282</v>
      </c>
      <c r="V1090" s="4" t="s">
        <v>778</v>
      </c>
      <c r="W1090" s="4" t="s">
        <v>757</v>
      </c>
      <c r="X1090" s="6" t="s">
        <v>617</v>
      </c>
    </row>
    <row r="1091" spans="1:24">
      <c r="A1091" s="4" t="s">
        <v>926</v>
      </c>
      <c r="B1091" s="4" t="s">
        <v>927</v>
      </c>
      <c r="D1091" s="4" t="s">
        <v>928</v>
      </c>
      <c r="E1091" s="4" t="s">
        <v>929</v>
      </c>
      <c r="M1091" s="4" t="s">
        <v>757</v>
      </c>
      <c r="N1091" s="4">
        <v>-71.394122571899999</v>
      </c>
      <c r="O1091" s="4">
        <v>3.7811900617812499</v>
      </c>
      <c r="P1091" s="4" t="s">
        <v>984</v>
      </c>
      <c r="Q1091" s="4" t="s">
        <v>743</v>
      </c>
      <c r="R1091" s="4" t="s">
        <v>730</v>
      </c>
      <c r="S1091" s="2">
        <v>46174.529229502317</v>
      </c>
      <c r="T1091" s="5">
        <v>3.5576388888888892E-4</v>
      </c>
      <c r="U1091" s="4">
        <v>0.35464853048324585</v>
      </c>
      <c r="V1091" s="4" t="s">
        <v>778</v>
      </c>
      <c r="W1091" s="4" t="s">
        <v>757</v>
      </c>
      <c r="X1091" s="6" t="s">
        <v>617</v>
      </c>
    </row>
    <row r="1092" spans="1:24">
      <c r="A1092" s="4" t="s">
        <v>926</v>
      </c>
      <c r="B1092" s="4" t="s">
        <v>927</v>
      </c>
      <c r="D1092" s="4" t="s">
        <v>928</v>
      </c>
      <c r="E1092" s="4" t="s">
        <v>929</v>
      </c>
      <c r="M1092" s="4" t="s">
        <v>757</v>
      </c>
      <c r="N1092" s="4">
        <v>-71.397833259999999</v>
      </c>
      <c r="O1092" s="4">
        <v>3.7838078040000003</v>
      </c>
      <c r="P1092" s="4" t="s">
        <v>984</v>
      </c>
      <c r="Q1092" s="4" t="s">
        <v>743</v>
      </c>
      <c r="R1092" s="4" t="s">
        <v>730</v>
      </c>
      <c r="S1092" s="2">
        <v>46174.529803240737</v>
      </c>
      <c r="T1092" s="5">
        <v>7.3184027777777776E-4</v>
      </c>
      <c r="U1092" s="4">
        <v>0.72499346733093262</v>
      </c>
      <c r="V1092" s="4" t="s">
        <v>778</v>
      </c>
      <c r="W1092" s="4" t="s">
        <v>757</v>
      </c>
      <c r="X1092" s="6" t="s">
        <v>617</v>
      </c>
    </row>
    <row r="1093" spans="1:24">
      <c r="A1093" s="4" t="s">
        <v>926</v>
      </c>
      <c r="B1093" s="4" t="s">
        <v>927</v>
      </c>
      <c r="D1093" s="4" t="s">
        <v>928</v>
      </c>
      <c r="E1093" s="4" t="s">
        <v>929</v>
      </c>
      <c r="M1093" s="4" t="s">
        <v>757</v>
      </c>
      <c r="N1093" s="4">
        <v>-71.404968239380011</v>
      </c>
      <c r="O1093" s="4">
        <v>3.7849484086919998</v>
      </c>
      <c r="P1093" s="4" t="s">
        <v>996</v>
      </c>
      <c r="Q1093" s="4" t="s">
        <v>743</v>
      </c>
      <c r="R1093" s="4" t="s">
        <v>730</v>
      </c>
      <c r="S1093" s="2">
        <v>46174.530735775465</v>
      </c>
      <c r="T1093" s="5">
        <v>1.8436342592592593E-4</v>
      </c>
      <c r="U1093" s="4">
        <v>0.17818373441696167</v>
      </c>
      <c r="V1093" s="4" t="s">
        <v>774</v>
      </c>
      <c r="W1093" s="4" t="s">
        <v>757</v>
      </c>
      <c r="X1093" s="6" t="s">
        <v>617</v>
      </c>
    </row>
    <row r="1094" spans="1:24">
      <c r="A1094" s="4" t="s">
        <v>926</v>
      </c>
      <c r="B1094" s="4" t="s">
        <v>927</v>
      </c>
      <c r="D1094" s="4" t="s">
        <v>928</v>
      </c>
      <c r="E1094" s="4" t="s">
        <v>929</v>
      </c>
      <c r="M1094" s="4" t="s">
        <v>757</v>
      </c>
      <c r="N1094" s="4">
        <v>-71.406705217799995</v>
      </c>
      <c r="O1094" s="4">
        <v>3.7839858213420001</v>
      </c>
      <c r="P1094" s="4" t="s">
        <v>996</v>
      </c>
      <c r="Q1094" s="4" t="s">
        <v>743</v>
      </c>
      <c r="R1094" s="4" t="s">
        <v>730</v>
      </c>
      <c r="S1094" s="2">
        <v>46174.530968368053</v>
      </c>
      <c r="T1094" s="5">
        <v>7.0983796296296298E-5</v>
      </c>
      <c r="U1094" s="4">
        <v>6.8040579557418823E-2</v>
      </c>
      <c r="V1094" s="4" t="s">
        <v>774</v>
      </c>
      <c r="W1094" s="4" t="s">
        <v>757</v>
      </c>
      <c r="X1094" s="6" t="s">
        <v>617</v>
      </c>
    </row>
    <row r="1095" spans="1:24">
      <c r="A1095" s="4" t="s">
        <v>926</v>
      </c>
      <c r="B1095" s="4" t="s">
        <v>927</v>
      </c>
      <c r="D1095" s="4" t="s">
        <v>928</v>
      </c>
      <c r="E1095" s="4" t="s">
        <v>929</v>
      </c>
      <c r="M1095" s="4" t="s">
        <v>757</v>
      </c>
      <c r="N1095" s="4">
        <v>-71.408693358333338</v>
      </c>
      <c r="O1095" s="4">
        <v>3.7797323241666665</v>
      </c>
      <c r="P1095" s="4" t="s">
        <v>997</v>
      </c>
      <c r="Q1095" s="4" t="s">
        <v>743</v>
      </c>
      <c r="R1095" s="4" t="s">
        <v>730</v>
      </c>
      <c r="S1095" s="2">
        <v>46174.537065972327</v>
      </c>
      <c r="T1095" s="5">
        <v>1.0003472222222222E-4</v>
      </c>
      <c r="U1095" s="4">
        <v>9.9797286093235016E-2</v>
      </c>
      <c r="V1095" s="4" t="s">
        <v>774</v>
      </c>
      <c r="W1095" s="4" t="s">
        <v>757</v>
      </c>
      <c r="X1095" s="6" t="s">
        <v>617</v>
      </c>
    </row>
    <row r="1096" spans="1:24">
      <c r="A1096" s="4" t="s">
        <v>926</v>
      </c>
      <c r="B1096" s="4" t="s">
        <v>927</v>
      </c>
      <c r="D1096" s="4" t="s">
        <v>928</v>
      </c>
      <c r="E1096" s="4" t="s">
        <v>929</v>
      </c>
      <c r="M1096" s="4" t="s">
        <v>757</v>
      </c>
      <c r="N1096" s="4">
        <v>-71.408775349999999</v>
      </c>
      <c r="O1096" s="4">
        <v>3.7796751249999998</v>
      </c>
      <c r="P1096" s="4" t="s">
        <v>997</v>
      </c>
      <c r="Q1096" s="4" t="s">
        <v>743</v>
      </c>
      <c r="R1096" s="4" t="s">
        <v>730</v>
      </c>
      <c r="S1096" s="2">
        <v>46174.540405092594</v>
      </c>
      <c r="T1096" s="5">
        <v>4.0069444444444442E-5</v>
      </c>
      <c r="U1096" s="4">
        <v>3.7808045744895935E-2</v>
      </c>
      <c r="V1096" s="4" t="s">
        <v>758</v>
      </c>
      <c r="W1096" s="4" t="s">
        <v>757</v>
      </c>
      <c r="X1096" s="6" t="s">
        <v>617</v>
      </c>
    </row>
    <row r="1097" spans="1:24">
      <c r="A1097" s="4" t="s">
        <v>926</v>
      </c>
      <c r="B1097" s="4" t="s">
        <v>927</v>
      </c>
      <c r="D1097" s="4" t="s">
        <v>928</v>
      </c>
      <c r="E1097" s="4" t="s">
        <v>929</v>
      </c>
      <c r="M1097" s="4" t="s">
        <v>757</v>
      </c>
      <c r="N1097" s="4">
        <v>-71.408151219999993</v>
      </c>
      <c r="O1097" s="4">
        <v>3.7795993340000003</v>
      </c>
      <c r="P1097" s="4" t="s">
        <v>998</v>
      </c>
      <c r="Q1097" s="4" t="s">
        <v>743</v>
      </c>
      <c r="R1097" s="4" t="s">
        <v>730</v>
      </c>
      <c r="S1097" s="2">
        <v>46174.540659722225</v>
      </c>
      <c r="T1097" s="5">
        <v>1.7691782407407407E-3</v>
      </c>
      <c r="U1097" s="4">
        <v>1.8419663906097412</v>
      </c>
      <c r="V1097" s="4" t="s">
        <v>849</v>
      </c>
      <c r="W1097" s="4" t="s">
        <v>757</v>
      </c>
      <c r="X1097" s="6" t="s">
        <v>617</v>
      </c>
    </row>
    <row r="1098" spans="1:24">
      <c r="A1098" s="4" t="s">
        <v>926</v>
      </c>
      <c r="B1098" s="4" t="s">
        <v>927</v>
      </c>
      <c r="D1098" s="4" t="s">
        <v>928</v>
      </c>
      <c r="E1098" s="4" t="s">
        <v>929</v>
      </c>
      <c r="M1098" s="4" t="s">
        <v>757</v>
      </c>
      <c r="N1098" s="4">
        <v>-71.4048004486</v>
      </c>
      <c r="O1098" s="4">
        <v>3.7652926551600001</v>
      </c>
      <c r="P1098" s="4" t="s">
        <v>998</v>
      </c>
      <c r="Q1098" s="4" t="s">
        <v>743</v>
      </c>
      <c r="R1098" s="4" t="s">
        <v>730</v>
      </c>
      <c r="S1098" s="2">
        <v>46174.54251929398</v>
      </c>
      <c r="T1098" s="5">
        <v>1.542824074074074E-5</v>
      </c>
      <c r="U1098" s="4">
        <v>1.4123622328042984E-2</v>
      </c>
      <c r="V1098" s="4" t="s">
        <v>758</v>
      </c>
      <c r="W1098" s="4" t="s">
        <v>757</v>
      </c>
      <c r="X1098" s="6" t="s">
        <v>617</v>
      </c>
    </row>
    <row r="1099" spans="1:24">
      <c r="A1099" s="4" t="s">
        <v>926</v>
      </c>
      <c r="B1099" s="4" t="s">
        <v>927</v>
      </c>
      <c r="D1099" s="4" t="s">
        <v>928</v>
      </c>
      <c r="E1099" s="4" t="s">
        <v>929</v>
      </c>
      <c r="M1099" s="4" t="s">
        <v>757</v>
      </c>
      <c r="N1099" s="4">
        <v>-71.404710379999997</v>
      </c>
      <c r="O1099" s="4">
        <v>3.7647252580000004</v>
      </c>
      <c r="P1099" s="4" t="s">
        <v>998</v>
      </c>
      <c r="Q1099" s="4" t="s">
        <v>743</v>
      </c>
      <c r="R1099" s="4" t="s">
        <v>730</v>
      </c>
      <c r="S1099" s="2">
        <v>46174.542604166665</v>
      </c>
      <c r="T1099" s="5">
        <v>2.0061342592592592E-4</v>
      </c>
      <c r="U1099" s="4">
        <v>0.20226427912712097</v>
      </c>
      <c r="V1099" s="4" t="s">
        <v>774</v>
      </c>
      <c r="W1099" s="4" t="s">
        <v>757</v>
      </c>
      <c r="X1099" s="6" t="s">
        <v>617</v>
      </c>
    </row>
    <row r="1100" spans="1:24">
      <c r="A1100" s="4" t="s">
        <v>926</v>
      </c>
      <c r="B1100" s="4" t="s">
        <v>927</v>
      </c>
      <c r="D1100" s="4" t="s">
        <v>928</v>
      </c>
      <c r="E1100" s="4" t="s">
        <v>929</v>
      </c>
      <c r="M1100" s="4" t="s">
        <v>757</v>
      </c>
      <c r="N1100" s="4">
        <v>-71.402561939999998</v>
      </c>
      <c r="O1100" s="4">
        <v>3.763110256</v>
      </c>
      <c r="P1100" s="4" t="s">
        <v>998</v>
      </c>
      <c r="Q1100" s="4" t="s">
        <v>743</v>
      </c>
      <c r="R1100" s="4" t="s">
        <v>730</v>
      </c>
      <c r="S1100" s="2">
        <v>46174.542928240742</v>
      </c>
      <c r="T1100" s="5">
        <v>3.0753472222222223E-4</v>
      </c>
      <c r="U1100" s="4">
        <v>0.31366854906082153</v>
      </c>
      <c r="V1100" s="4" t="s">
        <v>849</v>
      </c>
      <c r="W1100" s="4" t="s">
        <v>757</v>
      </c>
      <c r="X1100" s="6" t="s">
        <v>617</v>
      </c>
    </row>
    <row r="1101" spans="1:24">
      <c r="A1101" s="4" t="s">
        <v>926</v>
      </c>
      <c r="B1101" s="4" t="s">
        <v>927</v>
      </c>
      <c r="D1101" s="4" t="s">
        <v>928</v>
      </c>
      <c r="E1101" s="4" t="s">
        <v>929</v>
      </c>
      <c r="M1101" s="4" t="s">
        <v>757</v>
      </c>
      <c r="N1101" s="4">
        <v>-71.401171365214282</v>
      </c>
      <c r="O1101" s="4">
        <v>3.76033587448</v>
      </c>
      <c r="P1101" s="4" t="s">
        <v>998</v>
      </c>
      <c r="Q1101" s="4" t="s">
        <v>743</v>
      </c>
      <c r="R1101" s="4" t="s">
        <v>730</v>
      </c>
      <c r="S1101" s="2">
        <v>46174.543279317128</v>
      </c>
      <c r="T1101" s="5">
        <v>4.4092592592592594E-4</v>
      </c>
      <c r="U1101" s="4">
        <v>0.44439795613288879</v>
      </c>
      <c r="V1101" s="4" t="s">
        <v>778</v>
      </c>
      <c r="W1101" s="4" t="s">
        <v>757</v>
      </c>
      <c r="X1101" s="6" t="s">
        <v>617</v>
      </c>
    </row>
    <row r="1102" spans="1:24">
      <c r="A1102" s="4" t="s">
        <v>926</v>
      </c>
      <c r="B1102" s="4" t="s">
        <v>927</v>
      </c>
      <c r="D1102" s="4" t="s">
        <v>928</v>
      </c>
      <c r="E1102" s="4" t="s">
        <v>929</v>
      </c>
      <c r="M1102" s="4" t="s">
        <v>939</v>
      </c>
      <c r="N1102" s="4">
        <v>-71.3985062</v>
      </c>
      <c r="O1102" s="4">
        <v>3.7562696899999999</v>
      </c>
      <c r="P1102" s="4" t="s">
        <v>998</v>
      </c>
      <c r="Q1102" s="4" t="s">
        <v>743</v>
      </c>
      <c r="R1102" s="4" t="s">
        <v>730</v>
      </c>
      <c r="S1102" s="2">
        <v>46174.54515046296</v>
      </c>
      <c r="T1102" s="5">
        <v>0</v>
      </c>
      <c r="U1102" s="4">
        <v>0</v>
      </c>
      <c r="V1102" s="4" t="s">
        <v>964</v>
      </c>
      <c r="W1102" s="4" t="s">
        <v>939</v>
      </c>
      <c r="X1102" s="6" t="s">
        <v>617</v>
      </c>
    </row>
    <row r="1103" spans="1:24">
      <c r="A1103" s="4" t="s">
        <v>926</v>
      </c>
      <c r="B1103" s="4" t="s">
        <v>927</v>
      </c>
      <c r="D1103" s="4" t="s">
        <v>928</v>
      </c>
      <c r="E1103" s="4" t="s">
        <v>929</v>
      </c>
      <c r="M1103" s="4" t="s">
        <v>757</v>
      </c>
      <c r="N1103" s="4">
        <v>-71.398787160636374</v>
      </c>
      <c r="O1103" s="4">
        <v>3.7551334019027274</v>
      </c>
      <c r="P1103" s="4" t="s">
        <v>998</v>
      </c>
      <c r="Q1103" s="4" t="s">
        <v>743</v>
      </c>
      <c r="R1103" s="4" t="s">
        <v>730</v>
      </c>
      <c r="S1103" s="2">
        <v>46174.546575034721</v>
      </c>
      <c r="T1103" s="5">
        <v>1.2650462962962963E-5</v>
      </c>
      <c r="U1103" s="4">
        <v>1.0675095021724701E-2</v>
      </c>
      <c r="V1103" s="4" t="s">
        <v>758</v>
      </c>
      <c r="W1103" s="4" t="s">
        <v>757</v>
      </c>
      <c r="X1103" s="6" t="s">
        <v>617</v>
      </c>
    </row>
    <row r="1104" spans="1:24">
      <c r="A1104" s="4" t="s">
        <v>926</v>
      </c>
      <c r="B1104" s="4" t="s">
        <v>927</v>
      </c>
      <c r="D1104" s="4" t="s">
        <v>928</v>
      </c>
      <c r="E1104" s="4" t="s">
        <v>929</v>
      </c>
      <c r="M1104" s="4" t="s">
        <v>757</v>
      </c>
      <c r="N1104" s="4">
        <v>-71.398203910500001</v>
      </c>
      <c r="O1104" s="4">
        <v>3.75423842391</v>
      </c>
      <c r="P1104" s="4" t="s">
        <v>998</v>
      </c>
      <c r="Q1104" s="4" t="s">
        <v>743</v>
      </c>
      <c r="R1104" s="4" t="s">
        <v>730</v>
      </c>
      <c r="S1104" s="2">
        <v>46174.546744120373</v>
      </c>
      <c r="T1104" s="5">
        <v>1.3956018518518519E-4</v>
      </c>
      <c r="U1104" s="4">
        <v>0.13449369370937347</v>
      </c>
      <c r="V1104" s="4" t="s">
        <v>774</v>
      </c>
      <c r="W1104" s="4" t="s">
        <v>757</v>
      </c>
      <c r="X1104" s="6" t="s">
        <v>617</v>
      </c>
    </row>
    <row r="1105" spans="1:24">
      <c r="A1105" s="4" t="s">
        <v>926</v>
      </c>
      <c r="B1105" s="4" t="s">
        <v>927</v>
      </c>
      <c r="D1105" s="4" t="s">
        <v>928</v>
      </c>
      <c r="E1105" s="4" t="s">
        <v>929</v>
      </c>
      <c r="M1105" s="4" t="s">
        <v>757</v>
      </c>
      <c r="N1105" s="4">
        <v>-71.397792280399997</v>
      </c>
      <c r="O1105" s="4">
        <v>3.7522838371212499</v>
      </c>
      <c r="P1105" s="4" t="s">
        <v>998</v>
      </c>
      <c r="Q1105" s="4" t="s">
        <v>743</v>
      </c>
      <c r="R1105" s="4" t="s">
        <v>730</v>
      </c>
      <c r="S1105" s="2">
        <v>46174.546984131943</v>
      </c>
      <c r="T1105" s="5">
        <v>3.290277777777778E-4</v>
      </c>
      <c r="U1105" s="4">
        <v>0.33970177173614502</v>
      </c>
      <c r="V1105" s="4" t="s">
        <v>849</v>
      </c>
      <c r="W1105" s="4" t="s">
        <v>757</v>
      </c>
      <c r="X1105" s="6" t="s">
        <v>617</v>
      </c>
    </row>
    <row r="1106" spans="1:24">
      <c r="A1106" s="4" t="s">
        <v>926</v>
      </c>
      <c r="B1106" s="4" t="s">
        <v>927</v>
      </c>
      <c r="D1106" s="4" t="s">
        <v>928</v>
      </c>
      <c r="E1106" s="4" t="s">
        <v>929</v>
      </c>
      <c r="M1106" s="4" t="s">
        <v>757</v>
      </c>
      <c r="N1106" s="4">
        <v>-71.397916126720006</v>
      </c>
      <c r="O1106" s="4">
        <v>3.748972387432</v>
      </c>
      <c r="P1106" s="4" t="s">
        <v>998</v>
      </c>
      <c r="Q1106" s="4" t="s">
        <v>743</v>
      </c>
      <c r="R1106" s="4" t="s">
        <v>730</v>
      </c>
      <c r="S1106" s="2">
        <v>46174.547345682869</v>
      </c>
      <c r="T1106" s="5">
        <v>1.0802083333333333E-4</v>
      </c>
      <c r="U1106" s="4">
        <v>0.10457687824964523</v>
      </c>
      <c r="V1106" s="4" t="s">
        <v>774</v>
      </c>
      <c r="W1106" s="4" t="s">
        <v>757</v>
      </c>
      <c r="X1106" s="6" t="s">
        <v>617</v>
      </c>
    </row>
    <row r="1107" spans="1:24">
      <c r="A1107" s="4" t="s">
        <v>926</v>
      </c>
      <c r="B1107" s="4" t="s">
        <v>927</v>
      </c>
      <c r="D1107" s="4" t="s">
        <v>928</v>
      </c>
      <c r="E1107" s="4" t="s">
        <v>929</v>
      </c>
      <c r="M1107" s="4" t="s">
        <v>757</v>
      </c>
      <c r="N1107" s="4">
        <v>-71.397375479999994</v>
      </c>
      <c r="O1107" s="4">
        <v>3.7477088919999999</v>
      </c>
      <c r="P1107" s="4" t="s">
        <v>999</v>
      </c>
      <c r="Q1107" s="4" t="s">
        <v>743</v>
      </c>
      <c r="R1107" s="4" t="s">
        <v>730</v>
      </c>
      <c r="S1107" s="2">
        <v>46174.547504629627</v>
      </c>
      <c r="T1107" s="5">
        <v>2.7893518518518518E-4</v>
      </c>
      <c r="U1107" s="4">
        <v>0.2818659245967865</v>
      </c>
      <c r="V1107" s="4" t="s">
        <v>778</v>
      </c>
      <c r="W1107" s="4" t="s">
        <v>757</v>
      </c>
      <c r="X1107" s="6" t="s">
        <v>617</v>
      </c>
    </row>
    <row r="1108" spans="1:24">
      <c r="A1108" s="4" t="s">
        <v>926</v>
      </c>
      <c r="B1108" s="4" t="s">
        <v>927</v>
      </c>
      <c r="D1108" s="4" t="s">
        <v>928</v>
      </c>
      <c r="E1108" s="4" t="s">
        <v>929</v>
      </c>
      <c r="M1108" s="4" t="s">
        <v>757</v>
      </c>
      <c r="N1108" s="4">
        <v>-71.395619733333334</v>
      </c>
      <c r="O1108" s="4">
        <v>3.7434183766666669</v>
      </c>
      <c r="P1108" s="4" t="s">
        <v>999</v>
      </c>
      <c r="Q1108" s="4" t="s">
        <v>743</v>
      </c>
      <c r="R1108" s="4" t="s">
        <v>730</v>
      </c>
      <c r="S1108" s="2">
        <v>46174.548159722224</v>
      </c>
      <c r="T1108" s="5">
        <v>5.3240740740740744E-4</v>
      </c>
      <c r="U1108" s="4">
        <v>0.51804494857788086</v>
      </c>
      <c r="V1108" s="4" t="s">
        <v>774</v>
      </c>
      <c r="W1108" s="4" t="s">
        <v>757</v>
      </c>
      <c r="X1108" s="6" t="s">
        <v>617</v>
      </c>
    </row>
    <row r="1109" spans="1:24">
      <c r="A1109" s="4" t="s">
        <v>926</v>
      </c>
      <c r="B1109" s="4" t="s">
        <v>927</v>
      </c>
      <c r="D1109" s="4" t="s">
        <v>928</v>
      </c>
      <c r="E1109" s="4" t="s">
        <v>929</v>
      </c>
      <c r="M1109" s="4" t="s">
        <v>939</v>
      </c>
      <c r="N1109" s="4">
        <v>-71.397094699999997</v>
      </c>
      <c r="O1109" s="4">
        <v>3.7395656100000001</v>
      </c>
      <c r="P1109" s="4" t="s">
        <v>1000</v>
      </c>
      <c r="Q1109" s="4" t="s">
        <v>743</v>
      </c>
      <c r="R1109" s="4" t="s">
        <v>730</v>
      </c>
      <c r="S1109" s="2">
        <v>46174.55028935185</v>
      </c>
      <c r="T1109" s="5">
        <v>0</v>
      </c>
      <c r="U1109" s="4">
        <v>0</v>
      </c>
      <c r="V1109" s="4" t="s">
        <v>960</v>
      </c>
      <c r="W1109" s="4" t="s">
        <v>939</v>
      </c>
      <c r="X1109" s="6" t="s">
        <v>617</v>
      </c>
    </row>
    <row r="1110" spans="1:24">
      <c r="A1110" s="4" t="s">
        <v>926</v>
      </c>
      <c r="B1110" s="4" t="s">
        <v>927</v>
      </c>
      <c r="D1110" s="4" t="s">
        <v>928</v>
      </c>
      <c r="E1110" s="4" t="s">
        <v>929</v>
      </c>
      <c r="M1110" s="4" t="s">
        <v>674</v>
      </c>
      <c r="N1110" s="4">
        <v>-71.395690900000005</v>
      </c>
      <c r="O1110" s="4">
        <v>3.7388835</v>
      </c>
      <c r="P1110" s="4" t="s">
        <v>1001</v>
      </c>
      <c r="Q1110" s="4" t="s">
        <v>743</v>
      </c>
      <c r="R1110" s="4" t="s">
        <v>730</v>
      </c>
      <c r="S1110" s="2">
        <v>46174.551493055558</v>
      </c>
      <c r="T1110" s="5">
        <v>0</v>
      </c>
      <c r="U1110" s="4">
        <v>0</v>
      </c>
      <c r="V1110" s="4" t="s">
        <v>1002</v>
      </c>
      <c r="W1110" s="4" t="s">
        <v>674</v>
      </c>
      <c r="X1110" s="6" t="s">
        <v>617</v>
      </c>
    </row>
    <row r="1111" spans="1:24">
      <c r="A1111" s="4" t="s">
        <v>926</v>
      </c>
      <c r="B1111" s="4" t="s">
        <v>927</v>
      </c>
      <c r="D1111" s="4" t="s">
        <v>928</v>
      </c>
      <c r="E1111" s="4" t="s">
        <v>929</v>
      </c>
      <c r="M1111" s="4" t="s">
        <v>939</v>
      </c>
      <c r="N1111" s="4">
        <v>-71.396148699999998</v>
      </c>
      <c r="O1111" s="4">
        <v>3.7361667199999999</v>
      </c>
      <c r="P1111" s="4" t="s">
        <v>1001</v>
      </c>
      <c r="Q1111" s="4" t="s">
        <v>743</v>
      </c>
      <c r="R1111" s="4" t="s">
        <v>730</v>
      </c>
      <c r="S1111" s="2">
        <v>46174.552870370368</v>
      </c>
      <c r="T1111" s="5">
        <v>0</v>
      </c>
      <c r="U1111" s="4">
        <v>0</v>
      </c>
      <c r="V1111" s="4" t="s">
        <v>962</v>
      </c>
      <c r="W1111" s="4" t="s">
        <v>939</v>
      </c>
      <c r="X1111" s="6" t="s">
        <v>617</v>
      </c>
    </row>
    <row r="1112" spans="1:24">
      <c r="A1112" s="4" t="s">
        <v>926</v>
      </c>
      <c r="B1112" s="4" t="s">
        <v>927</v>
      </c>
      <c r="D1112" s="4" t="s">
        <v>928</v>
      </c>
      <c r="E1112" s="4" t="s">
        <v>929</v>
      </c>
      <c r="M1112" s="4" t="s">
        <v>757</v>
      </c>
      <c r="N1112" s="4">
        <v>-71.396448124999992</v>
      </c>
      <c r="O1112" s="4">
        <v>3.7437847849999999</v>
      </c>
      <c r="P1112" s="4" t="s">
        <v>999</v>
      </c>
      <c r="Q1112" s="4" t="s">
        <v>743</v>
      </c>
      <c r="R1112" s="4" t="s">
        <v>730</v>
      </c>
      <c r="S1112" s="2">
        <v>46174.556087962963</v>
      </c>
      <c r="T1112" s="5">
        <v>2.8935285185185187E-5</v>
      </c>
      <c r="U1112" s="4">
        <v>2.707500196993351E-2</v>
      </c>
      <c r="V1112" s="4" t="s">
        <v>758</v>
      </c>
      <c r="W1112" s="4" t="s">
        <v>757</v>
      </c>
      <c r="X1112" s="6" t="s">
        <v>617</v>
      </c>
    </row>
    <row r="1113" spans="1:24">
      <c r="A1113" s="4" t="s">
        <v>926</v>
      </c>
      <c r="B1113" s="4" t="s">
        <v>927</v>
      </c>
      <c r="D1113" s="4" t="s">
        <v>928</v>
      </c>
      <c r="E1113" s="4" t="s">
        <v>929</v>
      </c>
      <c r="M1113" s="4" t="s">
        <v>757</v>
      </c>
      <c r="N1113" s="4">
        <v>-71.397857649999992</v>
      </c>
      <c r="O1113" s="4">
        <v>3.7495169600000002</v>
      </c>
      <c r="P1113" s="4" t="s">
        <v>998</v>
      </c>
      <c r="Q1113" s="4" t="s">
        <v>743</v>
      </c>
      <c r="R1113" s="4" t="s">
        <v>730</v>
      </c>
      <c r="S1113" s="2">
        <v>46174.556898148148</v>
      </c>
      <c r="T1113" s="5">
        <v>6.0763888888888887E-5</v>
      </c>
      <c r="U1113" s="4">
        <v>5.882500484585762E-2</v>
      </c>
      <c r="V1113" s="4" t="s">
        <v>758</v>
      </c>
      <c r="W1113" s="4" t="s">
        <v>757</v>
      </c>
      <c r="X1113" s="6" t="s">
        <v>617</v>
      </c>
    </row>
    <row r="1114" spans="1:24">
      <c r="A1114" s="4" t="s">
        <v>926</v>
      </c>
      <c r="B1114" s="4" t="s">
        <v>927</v>
      </c>
      <c r="D1114" s="4" t="s">
        <v>928</v>
      </c>
      <c r="E1114" s="4" t="s">
        <v>929</v>
      </c>
      <c r="M1114" s="4" t="s">
        <v>757</v>
      </c>
      <c r="N1114" s="4">
        <v>-71.397624987500009</v>
      </c>
      <c r="O1114" s="4">
        <v>3.75115319875</v>
      </c>
      <c r="P1114" s="4" t="s">
        <v>998</v>
      </c>
      <c r="Q1114" s="4" t="s">
        <v>743</v>
      </c>
      <c r="R1114" s="4" t="s">
        <v>730</v>
      </c>
      <c r="S1114" s="2">
        <v>46174.557100694547</v>
      </c>
      <c r="T1114" s="5">
        <v>2.6504629629629632E-4</v>
      </c>
      <c r="U1114" s="4">
        <v>0.26610752940177917</v>
      </c>
      <c r="V1114" s="4" t="s">
        <v>778</v>
      </c>
      <c r="W1114" s="4" t="s">
        <v>757</v>
      </c>
      <c r="X1114" s="6" t="s">
        <v>617</v>
      </c>
    </row>
    <row r="1115" spans="1:24">
      <c r="A1115" s="4" t="s">
        <v>926</v>
      </c>
      <c r="B1115" s="4" t="s">
        <v>927</v>
      </c>
      <c r="D1115" s="4" t="s">
        <v>928</v>
      </c>
      <c r="E1115" s="4" t="s">
        <v>929</v>
      </c>
      <c r="M1115" s="4" t="s">
        <v>757</v>
      </c>
      <c r="N1115" s="4">
        <v>-71.400571825</v>
      </c>
      <c r="O1115" s="4">
        <v>3.7575356950000001</v>
      </c>
      <c r="P1115" s="4" t="s">
        <v>998</v>
      </c>
      <c r="Q1115" s="4" t="s">
        <v>743</v>
      </c>
      <c r="R1115" s="4" t="s">
        <v>730</v>
      </c>
      <c r="S1115" s="2">
        <v>46174.55800636574</v>
      </c>
      <c r="T1115" s="5">
        <v>3.5474537037037039E-4</v>
      </c>
      <c r="U1115" s="4">
        <v>0.34535565972328186</v>
      </c>
      <c r="V1115" s="4" t="s">
        <v>774</v>
      </c>
      <c r="W1115" s="4" t="s">
        <v>757</v>
      </c>
      <c r="X1115" s="6" t="s">
        <v>617</v>
      </c>
    </row>
    <row r="1116" spans="1:24">
      <c r="A1116" s="4" t="s">
        <v>926</v>
      </c>
      <c r="B1116" s="4" t="s">
        <v>927</v>
      </c>
      <c r="D1116" s="4" t="s">
        <v>928</v>
      </c>
      <c r="E1116" s="4" t="s">
        <v>929</v>
      </c>
      <c r="M1116" s="4" t="s">
        <v>757</v>
      </c>
      <c r="N1116" s="4">
        <v>-71.401226000000008</v>
      </c>
      <c r="O1116" s="4">
        <v>3.7610265000000003</v>
      </c>
      <c r="P1116" s="4" t="s">
        <v>998</v>
      </c>
      <c r="Q1116" s="4" t="s">
        <v>743</v>
      </c>
      <c r="R1116" s="4" t="s">
        <v>730</v>
      </c>
      <c r="S1116" s="2">
        <v>46174.558463541667</v>
      </c>
      <c r="T1116" s="5">
        <v>1.0127314814814815E-4</v>
      </c>
      <c r="U1116" s="4">
        <v>9.6910819411277771E-2</v>
      </c>
      <c r="V1116" s="4" t="s">
        <v>758</v>
      </c>
      <c r="W1116" s="4" t="s">
        <v>757</v>
      </c>
      <c r="X1116" s="6" t="s">
        <v>617</v>
      </c>
    </row>
    <row r="1117" spans="1:24">
      <c r="A1117" s="4" t="s">
        <v>926</v>
      </c>
      <c r="B1117" s="4" t="s">
        <v>927</v>
      </c>
      <c r="D1117" s="4" t="s">
        <v>928</v>
      </c>
      <c r="E1117" s="4" t="s">
        <v>929</v>
      </c>
      <c r="M1117" s="4" t="s">
        <v>757</v>
      </c>
      <c r="N1117" s="4">
        <v>-71.401888512479999</v>
      </c>
      <c r="O1117" s="4">
        <v>3.7621952453079999</v>
      </c>
      <c r="P1117" s="4" t="s">
        <v>998</v>
      </c>
      <c r="Q1117" s="4" t="s">
        <v>743</v>
      </c>
      <c r="R1117" s="4" t="s">
        <v>730</v>
      </c>
      <c r="S1117" s="2">
        <v>46174.55862653935</v>
      </c>
      <c r="T1117" s="5">
        <v>1.9290509259259258E-4</v>
      </c>
      <c r="U1117" s="4">
        <v>0.18654549121856689</v>
      </c>
      <c r="V1117" s="4" t="s">
        <v>774</v>
      </c>
      <c r="W1117" s="4" t="s">
        <v>757</v>
      </c>
      <c r="X1117" s="6" t="s">
        <v>617</v>
      </c>
    </row>
    <row r="1118" spans="1:24">
      <c r="A1118" s="4" t="s">
        <v>926</v>
      </c>
      <c r="B1118" s="4" t="s">
        <v>927</v>
      </c>
      <c r="D1118" s="4" t="s">
        <v>928</v>
      </c>
      <c r="E1118" s="4" t="s">
        <v>929</v>
      </c>
      <c r="M1118" s="4" t="s">
        <v>757</v>
      </c>
      <c r="N1118" s="4">
        <v>-71.403138300116666</v>
      </c>
      <c r="O1118" s="4">
        <v>3.7640829382799996</v>
      </c>
      <c r="P1118" s="4" t="s">
        <v>998</v>
      </c>
      <c r="Q1118" s="4" t="s">
        <v>743</v>
      </c>
      <c r="R1118" s="4" t="s">
        <v>730</v>
      </c>
      <c r="S1118" s="2">
        <v>46174.558887233798</v>
      </c>
      <c r="T1118" s="5">
        <v>1.6700231481481481E-4</v>
      </c>
      <c r="U1118" s="4">
        <v>0.17537470161914825</v>
      </c>
      <c r="V1118" s="4" t="s">
        <v>849</v>
      </c>
      <c r="W1118" s="4" t="s">
        <v>757</v>
      </c>
      <c r="X1118" s="6" t="s">
        <v>617</v>
      </c>
    </row>
    <row r="1119" spans="1:24">
      <c r="A1119" s="4" t="s">
        <v>926</v>
      </c>
      <c r="B1119" s="4" t="s">
        <v>927</v>
      </c>
      <c r="D1119" s="4" t="s">
        <v>928</v>
      </c>
      <c r="E1119" s="4" t="s">
        <v>929</v>
      </c>
      <c r="M1119" s="4" t="s">
        <v>757</v>
      </c>
      <c r="N1119" s="4">
        <v>-71.40593211880001</v>
      </c>
      <c r="O1119" s="4">
        <v>3.76829748876</v>
      </c>
      <c r="P1119" s="4" t="s">
        <v>998</v>
      </c>
      <c r="Q1119" s="4" t="s">
        <v>743</v>
      </c>
      <c r="R1119" s="4" t="s">
        <v>730</v>
      </c>
      <c r="S1119" s="2">
        <v>46174.559581400463</v>
      </c>
      <c r="T1119" s="5">
        <v>1.2056712962962963E-4</v>
      </c>
      <c r="U1119" s="4">
        <v>0.11514431238174438</v>
      </c>
      <c r="V1119" s="4" t="s">
        <v>758</v>
      </c>
      <c r="W1119" s="4" t="s">
        <v>757</v>
      </c>
      <c r="X1119" s="6" t="s">
        <v>617</v>
      </c>
    </row>
    <row r="1120" spans="1:24">
      <c r="A1120" s="4" t="s">
        <v>926</v>
      </c>
      <c r="B1120" s="4" t="s">
        <v>927</v>
      </c>
      <c r="D1120" s="4" t="s">
        <v>928</v>
      </c>
      <c r="E1120" s="4" t="s">
        <v>929</v>
      </c>
      <c r="M1120" s="4" t="s">
        <v>757</v>
      </c>
      <c r="N1120" s="4">
        <v>-71.407594887323071</v>
      </c>
      <c r="O1120" s="4">
        <v>3.7693230911830771</v>
      </c>
      <c r="P1120" s="4" t="s">
        <v>998</v>
      </c>
      <c r="Q1120" s="4" t="s">
        <v>743</v>
      </c>
      <c r="R1120" s="4" t="s">
        <v>730</v>
      </c>
      <c r="S1120" s="2">
        <v>46174.559809849539</v>
      </c>
      <c r="T1120" s="5">
        <v>1.6314814814814816E-4</v>
      </c>
      <c r="U1120" s="4">
        <v>0.16436204314231873</v>
      </c>
      <c r="V1120" s="4" t="s">
        <v>778</v>
      </c>
      <c r="W1120" s="4" t="s">
        <v>757</v>
      </c>
      <c r="X1120" s="6" t="s">
        <v>617</v>
      </c>
    </row>
    <row r="1121" spans="1:24">
      <c r="A1121" s="4" t="s">
        <v>926</v>
      </c>
      <c r="B1121" s="4" t="s">
        <v>927</v>
      </c>
      <c r="D1121" s="4" t="s">
        <v>928</v>
      </c>
      <c r="E1121" s="4" t="s">
        <v>929</v>
      </c>
      <c r="M1121" s="4" t="s">
        <v>757</v>
      </c>
      <c r="N1121" s="4">
        <v>-71.409069100000011</v>
      </c>
      <c r="O1121" s="4">
        <v>3.7704469</v>
      </c>
      <c r="P1121" s="4" t="s">
        <v>998</v>
      </c>
      <c r="Q1121" s="4" t="s">
        <v>743</v>
      </c>
      <c r="R1121" s="4" t="s">
        <v>730</v>
      </c>
      <c r="S1121" s="2">
        <v>46174.560028935288</v>
      </c>
      <c r="T1121" s="5">
        <v>1.8518518518518518E-4</v>
      </c>
      <c r="U1121" s="4">
        <v>0.17541907727718353</v>
      </c>
      <c r="V1121" s="4" t="s">
        <v>758</v>
      </c>
      <c r="W1121" s="4" t="s">
        <v>757</v>
      </c>
      <c r="X1121" s="6" t="s">
        <v>617</v>
      </c>
    </row>
    <row r="1122" spans="1:24">
      <c r="A1122" s="4" t="s">
        <v>926</v>
      </c>
      <c r="B1122" s="4" t="s">
        <v>927</v>
      </c>
      <c r="D1122" s="4" t="s">
        <v>928</v>
      </c>
      <c r="E1122" s="4" t="s">
        <v>929</v>
      </c>
      <c r="M1122" s="4" t="s">
        <v>757</v>
      </c>
      <c r="N1122" s="4">
        <v>-71.408966050000004</v>
      </c>
      <c r="O1122" s="4">
        <v>3.772197485</v>
      </c>
      <c r="P1122" s="4" t="s">
        <v>998</v>
      </c>
      <c r="Q1122" s="4" t="s">
        <v>743</v>
      </c>
      <c r="R1122" s="4" t="s">
        <v>730</v>
      </c>
      <c r="S1122" s="2">
        <v>46174.560250439812</v>
      </c>
      <c r="T1122" s="5">
        <v>6.4953703703703706E-5</v>
      </c>
      <c r="U1122" s="4">
        <v>6.4921922981739044E-2</v>
      </c>
      <c r="V1122" s="4" t="s">
        <v>758</v>
      </c>
      <c r="W1122" s="4" t="s">
        <v>757</v>
      </c>
      <c r="X1122" s="6" t="s">
        <v>617</v>
      </c>
    </row>
    <row r="1123" spans="1:24">
      <c r="A1123" s="4" t="s">
        <v>926</v>
      </c>
      <c r="B1123" s="4" t="s">
        <v>927</v>
      </c>
      <c r="D1123" s="4" t="s">
        <v>928</v>
      </c>
      <c r="E1123" s="4" t="s">
        <v>929</v>
      </c>
      <c r="M1123" s="4" t="s">
        <v>757</v>
      </c>
      <c r="N1123" s="4">
        <v>-71.409500120000004</v>
      </c>
      <c r="O1123" s="4">
        <v>3.7731007079999999</v>
      </c>
      <c r="P1123" s="4" t="s">
        <v>998</v>
      </c>
      <c r="Q1123" s="4" t="s">
        <v>743</v>
      </c>
      <c r="R1123" s="4" t="s">
        <v>730</v>
      </c>
      <c r="S1123" s="2">
        <v>46174.560372685184</v>
      </c>
      <c r="T1123" s="5">
        <v>7.8703703703703702E-5</v>
      </c>
      <c r="U1123" s="4">
        <v>7.597997784614563E-2</v>
      </c>
      <c r="V1123" s="4" t="s">
        <v>774</v>
      </c>
      <c r="W1123" s="4" t="s">
        <v>757</v>
      </c>
      <c r="X1123" s="6" t="s">
        <v>617</v>
      </c>
    </row>
    <row r="1124" spans="1:24">
      <c r="A1124" s="4" t="s">
        <v>926</v>
      </c>
      <c r="B1124" s="4" t="s">
        <v>927</v>
      </c>
      <c r="D1124" s="4" t="s">
        <v>928</v>
      </c>
      <c r="E1124" s="4" t="s">
        <v>929</v>
      </c>
      <c r="M1124" s="4" t="s">
        <v>757</v>
      </c>
      <c r="N1124" s="4">
        <v>-71.409358999999995</v>
      </c>
      <c r="O1124" s="4">
        <v>3.77420366</v>
      </c>
      <c r="P1124" s="4" t="s">
        <v>998</v>
      </c>
      <c r="Q1124" s="4" t="s">
        <v>743</v>
      </c>
      <c r="R1124" s="4" t="s">
        <v>730</v>
      </c>
      <c r="S1124" s="2">
        <v>46174.56050925926</v>
      </c>
      <c r="T1124" s="5">
        <v>4.6296296296296294E-5</v>
      </c>
      <c r="U1124" s="4">
        <v>4.2983740568161011E-2</v>
      </c>
      <c r="V1124" s="4" t="s">
        <v>758</v>
      </c>
      <c r="W1124" s="4" t="s">
        <v>757</v>
      </c>
      <c r="X1124" s="6" t="s">
        <v>617</v>
      </c>
    </row>
    <row r="1125" spans="1:24">
      <c r="A1125" s="4" t="s">
        <v>926</v>
      </c>
      <c r="B1125" s="4" t="s">
        <v>927</v>
      </c>
      <c r="D1125" s="4" t="s">
        <v>928</v>
      </c>
      <c r="E1125" s="4" t="s">
        <v>929</v>
      </c>
      <c r="M1125" s="4" t="s">
        <v>757</v>
      </c>
      <c r="N1125" s="4">
        <v>-71.40896032500001</v>
      </c>
      <c r="O1125" s="4">
        <v>3.7751180500000001</v>
      </c>
      <c r="P1125" s="4" t="s">
        <v>998</v>
      </c>
      <c r="Q1125" s="4" t="s">
        <v>743</v>
      </c>
      <c r="R1125" s="4" t="s">
        <v>730</v>
      </c>
      <c r="S1125" s="2">
        <v>46174.560633680558</v>
      </c>
      <c r="T1125" s="5">
        <v>2.4594907407407405E-4</v>
      </c>
      <c r="U1125" s="4">
        <v>0.23895837366580963</v>
      </c>
      <c r="V1125" s="4" t="s">
        <v>774</v>
      </c>
      <c r="W1125" s="4" t="s">
        <v>757</v>
      </c>
      <c r="X1125" s="6" t="s">
        <v>617</v>
      </c>
    </row>
    <row r="1126" spans="1:24">
      <c r="A1126" s="4" t="s">
        <v>926</v>
      </c>
      <c r="B1126" s="4" t="s">
        <v>927</v>
      </c>
      <c r="D1126" s="4" t="s">
        <v>928</v>
      </c>
      <c r="E1126" s="4" t="s">
        <v>929</v>
      </c>
      <c r="M1126" s="4" t="s">
        <v>757</v>
      </c>
      <c r="N1126" s="4">
        <v>-71.408042899999998</v>
      </c>
      <c r="O1126" s="4">
        <v>3.7811580899999999</v>
      </c>
      <c r="P1126" s="4" t="s">
        <v>996</v>
      </c>
      <c r="Q1126" s="4" t="s">
        <v>743</v>
      </c>
      <c r="R1126" s="4" t="s">
        <v>730</v>
      </c>
      <c r="S1126" s="2">
        <v>46174.561406250104</v>
      </c>
      <c r="T1126" s="5">
        <v>5.7870370370370373E-5</v>
      </c>
      <c r="U1126" s="4">
        <v>5.6881330907344818E-2</v>
      </c>
      <c r="V1126" s="4" t="s">
        <v>758</v>
      </c>
      <c r="W1126" s="4" t="s">
        <v>757</v>
      </c>
      <c r="X1126" s="6" t="s">
        <v>617</v>
      </c>
    </row>
    <row r="1127" spans="1:24">
      <c r="A1127" s="4" t="s">
        <v>926</v>
      </c>
      <c r="B1127" s="4" t="s">
        <v>927</v>
      </c>
      <c r="D1127" s="4" t="s">
        <v>928</v>
      </c>
      <c r="E1127" s="4" t="s">
        <v>929</v>
      </c>
      <c r="M1127" s="4" t="s">
        <v>757</v>
      </c>
      <c r="N1127" s="4">
        <v>-71.406784049999999</v>
      </c>
      <c r="O1127" s="4">
        <v>3.7896403099999998</v>
      </c>
      <c r="P1127" s="4" t="s">
        <v>941</v>
      </c>
      <c r="Q1127" s="4" t="s">
        <v>743</v>
      </c>
      <c r="R1127" s="4" t="s">
        <v>730</v>
      </c>
      <c r="S1127" s="2">
        <v>46174.563003472322</v>
      </c>
      <c r="T1127" s="5">
        <v>3.4722222222222222E-5</v>
      </c>
      <c r="U1127" s="4">
        <v>3.1928431242704391E-2</v>
      </c>
      <c r="V1127" s="4" t="s">
        <v>758</v>
      </c>
      <c r="W1127" s="4" t="s">
        <v>757</v>
      </c>
      <c r="X1127" s="6" t="s">
        <v>617</v>
      </c>
    </row>
    <row r="1128" spans="1:24">
      <c r="A1128" s="4" t="s">
        <v>926</v>
      </c>
      <c r="B1128" s="4" t="s">
        <v>927</v>
      </c>
      <c r="D1128" s="4" t="s">
        <v>928</v>
      </c>
      <c r="E1128" s="4" t="s">
        <v>929</v>
      </c>
      <c r="M1128" s="4" t="s">
        <v>757</v>
      </c>
      <c r="N1128" s="4">
        <v>-71.407941226960006</v>
      </c>
      <c r="O1128" s="4">
        <v>3.7890883483260001</v>
      </c>
      <c r="P1128" s="4" t="s">
        <v>941</v>
      </c>
      <c r="Q1128" s="4" t="s">
        <v>743</v>
      </c>
      <c r="R1128" s="4" t="s">
        <v>730</v>
      </c>
      <c r="S1128" s="2">
        <v>46174.563179016201</v>
      </c>
      <c r="T1128" s="5">
        <v>4.8533564814814815E-4</v>
      </c>
      <c r="U1128" s="4">
        <v>0.49029982089996338</v>
      </c>
      <c r="V1128" s="4" t="s">
        <v>778</v>
      </c>
      <c r="W1128" s="4" t="s">
        <v>757</v>
      </c>
      <c r="X1128" s="6" t="s">
        <v>617</v>
      </c>
    </row>
    <row r="1129" spans="1:24">
      <c r="A1129" s="4" t="s">
        <v>926</v>
      </c>
      <c r="B1129" s="4" t="s">
        <v>927</v>
      </c>
      <c r="D1129" s="4" t="s">
        <v>928</v>
      </c>
      <c r="E1129" s="4" t="s">
        <v>929</v>
      </c>
      <c r="M1129" s="4" t="s">
        <v>757</v>
      </c>
      <c r="N1129" s="4">
        <v>-71.412483180924994</v>
      </c>
      <c r="O1129" s="4">
        <v>3.7905648286325002</v>
      </c>
      <c r="P1129" s="4" t="s">
        <v>941</v>
      </c>
      <c r="Q1129" s="4" t="s">
        <v>743</v>
      </c>
      <c r="R1129" s="4" t="s">
        <v>730</v>
      </c>
      <c r="S1129" s="2">
        <v>46174.563753854163</v>
      </c>
      <c r="T1129" s="5">
        <v>1.4275462962962964E-4</v>
      </c>
      <c r="U1129" s="4">
        <v>0.14286796748638153</v>
      </c>
      <c r="V1129" s="4" t="s">
        <v>774</v>
      </c>
      <c r="W1129" s="4" t="s">
        <v>757</v>
      </c>
      <c r="X1129" s="6" t="s">
        <v>617</v>
      </c>
    </row>
    <row r="1130" spans="1:24">
      <c r="A1130" s="4" t="s">
        <v>926</v>
      </c>
      <c r="B1130" s="4" t="s">
        <v>927</v>
      </c>
      <c r="D1130" s="4" t="s">
        <v>928</v>
      </c>
      <c r="E1130" s="4" t="s">
        <v>929</v>
      </c>
      <c r="M1130" s="4" t="s">
        <v>757</v>
      </c>
      <c r="N1130" s="4">
        <v>-71.416236900000001</v>
      </c>
      <c r="O1130" s="4">
        <v>3.7937049900000002</v>
      </c>
      <c r="P1130" s="4" t="s">
        <v>1003</v>
      </c>
      <c r="Q1130" s="4" t="s">
        <v>743</v>
      </c>
      <c r="R1130" s="4" t="s">
        <v>730</v>
      </c>
      <c r="S1130" s="2">
        <v>46174.564571759256</v>
      </c>
      <c r="T1130" s="5">
        <v>6.3657507407407395E-5</v>
      </c>
      <c r="U1130" s="4">
        <v>5.8920226991176605E-2</v>
      </c>
      <c r="V1130" s="4" t="s">
        <v>758</v>
      </c>
      <c r="W1130" s="4" t="s">
        <v>757</v>
      </c>
      <c r="X1130" s="6" t="s">
        <v>617</v>
      </c>
    </row>
    <row r="1131" spans="1:24">
      <c r="A1131" s="4" t="s">
        <v>926</v>
      </c>
      <c r="B1131" s="4" t="s">
        <v>927</v>
      </c>
      <c r="D1131" s="4" t="s">
        <v>928</v>
      </c>
      <c r="E1131" s="4" t="s">
        <v>929</v>
      </c>
      <c r="M1131" s="4" t="s">
        <v>875</v>
      </c>
      <c r="N1131" s="4">
        <v>-71.419427230300002</v>
      </c>
      <c r="O1131" s="4">
        <v>3.7945009623349999</v>
      </c>
      <c r="P1131" s="4" t="s">
        <v>906</v>
      </c>
      <c r="Q1131" s="4" t="s">
        <v>877</v>
      </c>
      <c r="R1131" s="4" t="s">
        <v>720</v>
      </c>
      <c r="S1131" s="2">
        <v>46174.565083483794</v>
      </c>
      <c r="T1131" s="5">
        <v>3.1003472222222223E-4</v>
      </c>
      <c r="U1131" s="4">
        <v>0.16963499784469604</v>
      </c>
      <c r="V1131" s="4" t="s">
        <v>751</v>
      </c>
      <c r="W1131" s="4" t="s">
        <v>875</v>
      </c>
      <c r="X1131" s="6" t="s">
        <v>617</v>
      </c>
    </row>
    <row r="1132" spans="1:24">
      <c r="A1132" s="4" t="s">
        <v>926</v>
      </c>
      <c r="B1132" s="4" t="s">
        <v>927</v>
      </c>
      <c r="D1132" s="4" t="s">
        <v>928</v>
      </c>
      <c r="E1132" s="4" t="s">
        <v>929</v>
      </c>
      <c r="M1132" s="4" t="s">
        <v>875</v>
      </c>
      <c r="N1132" s="4">
        <v>-71.425410459999995</v>
      </c>
      <c r="O1132" s="4">
        <v>3.7933322879999998</v>
      </c>
      <c r="P1132" s="4" t="s">
        <v>907</v>
      </c>
      <c r="Q1132" s="4" t="s">
        <v>877</v>
      </c>
      <c r="R1132" s="4" t="s">
        <v>720</v>
      </c>
      <c r="S1132" s="2">
        <v>46174.566618055556</v>
      </c>
      <c r="T1132" s="5">
        <v>1.238425925925926E-4</v>
      </c>
      <c r="U1132" s="4">
        <v>5.6812867522239685E-2</v>
      </c>
      <c r="V1132" s="4" t="s">
        <v>738</v>
      </c>
      <c r="W1132" s="4" t="s">
        <v>875</v>
      </c>
      <c r="X1132" s="6" t="s">
        <v>617</v>
      </c>
    </row>
    <row r="1133" spans="1:24">
      <c r="A1133" s="4" t="s">
        <v>926</v>
      </c>
      <c r="B1133" s="4" t="s">
        <v>927</v>
      </c>
      <c r="D1133" s="4" t="s">
        <v>928</v>
      </c>
      <c r="E1133" s="4" t="s">
        <v>929</v>
      </c>
      <c r="M1133" s="4" t="s">
        <v>875</v>
      </c>
      <c r="N1133" s="4">
        <v>-71.427781523383331</v>
      </c>
      <c r="O1133" s="4">
        <v>3.79279056731</v>
      </c>
      <c r="P1133" s="4" t="s">
        <v>908</v>
      </c>
      <c r="Q1133" s="4" t="s">
        <v>877</v>
      </c>
      <c r="R1133" s="4" t="s">
        <v>720</v>
      </c>
      <c r="S1133" s="2">
        <v>46174.567257997682</v>
      </c>
      <c r="T1133" s="5">
        <v>2.2245370370370371E-5</v>
      </c>
      <c r="U1133" s="4">
        <v>1.2394759804010391E-2</v>
      </c>
      <c r="V1133" s="4" t="s">
        <v>750</v>
      </c>
      <c r="W1133" s="4" t="s">
        <v>875</v>
      </c>
      <c r="X1133" s="6" t="s">
        <v>617</v>
      </c>
    </row>
    <row r="1134" spans="1:24">
      <c r="A1134" s="4" t="s">
        <v>926</v>
      </c>
      <c r="B1134" s="4" t="s">
        <v>927</v>
      </c>
      <c r="D1134" s="4" t="s">
        <v>928</v>
      </c>
      <c r="E1134" s="4" t="s">
        <v>929</v>
      </c>
      <c r="M1134" s="4" t="s">
        <v>757</v>
      </c>
      <c r="N1134" s="4">
        <v>-71.428688617112499</v>
      </c>
      <c r="O1134" s="4">
        <v>3.7929685633662498</v>
      </c>
      <c r="P1134" s="4" t="s">
        <v>1004</v>
      </c>
      <c r="Q1134" s="4" t="s">
        <v>743</v>
      </c>
      <c r="R1134" s="4" t="s">
        <v>730</v>
      </c>
      <c r="S1134" s="2">
        <v>46174.567393159719</v>
      </c>
      <c r="T1134" s="5">
        <v>1.7049768518518518E-4</v>
      </c>
      <c r="U1134" s="4">
        <v>0.16536796092987061</v>
      </c>
      <c r="V1134" s="4" t="s">
        <v>774</v>
      </c>
      <c r="W1134" s="4" t="s">
        <v>757</v>
      </c>
      <c r="X1134" s="6" t="s">
        <v>617</v>
      </c>
    </row>
    <row r="1135" spans="1:24">
      <c r="A1135" s="4" t="s">
        <v>926</v>
      </c>
      <c r="B1135" s="4" t="s">
        <v>927</v>
      </c>
      <c r="D1135" s="4" t="s">
        <v>928</v>
      </c>
      <c r="E1135" s="4" t="s">
        <v>929</v>
      </c>
      <c r="M1135" s="4" t="s">
        <v>757</v>
      </c>
      <c r="N1135" s="4">
        <v>-71.435609825</v>
      </c>
      <c r="O1135" s="4">
        <v>3.7888656250000001</v>
      </c>
      <c r="P1135" s="4" t="s">
        <v>1004</v>
      </c>
      <c r="Q1135" s="4" t="s">
        <v>743</v>
      </c>
      <c r="R1135" s="4" t="s">
        <v>730</v>
      </c>
      <c r="S1135" s="2">
        <v>46174.568556134262</v>
      </c>
      <c r="T1135" s="5">
        <v>4.3402777777777779E-5</v>
      </c>
      <c r="U1135" s="4">
        <v>4.1067399084568024E-2</v>
      </c>
      <c r="V1135" s="4" t="s">
        <v>758</v>
      </c>
      <c r="W1135" s="4" t="s">
        <v>757</v>
      </c>
      <c r="X1135" s="6" t="s">
        <v>617</v>
      </c>
    </row>
    <row r="1136" spans="1:24">
      <c r="A1136" s="4" t="s">
        <v>926</v>
      </c>
      <c r="B1136" s="4" t="s">
        <v>927</v>
      </c>
      <c r="D1136" s="4" t="s">
        <v>928</v>
      </c>
      <c r="E1136" s="4" t="s">
        <v>929</v>
      </c>
      <c r="M1136" s="4" t="s">
        <v>757</v>
      </c>
      <c r="N1136" s="4">
        <v>-71.437767024999999</v>
      </c>
      <c r="O1136" s="4">
        <v>3.7865117800000001</v>
      </c>
      <c r="P1136" s="4" t="s">
        <v>1004</v>
      </c>
      <c r="Q1136" s="4" t="s">
        <v>743</v>
      </c>
      <c r="R1136" s="4" t="s">
        <v>730</v>
      </c>
      <c r="S1136" s="2">
        <v>46174.568981481483</v>
      </c>
      <c r="T1136" s="5">
        <v>6.0763888888888887E-5</v>
      </c>
      <c r="U1136" s="4">
        <v>5.72996586561203E-2</v>
      </c>
      <c r="V1136" s="4" t="s">
        <v>758</v>
      </c>
      <c r="W1136" s="4" t="s">
        <v>757</v>
      </c>
      <c r="X1136" s="6" t="s">
        <v>617</v>
      </c>
    </row>
    <row r="1137" spans="1:24">
      <c r="A1137" s="4" t="s">
        <v>926</v>
      </c>
      <c r="B1137" s="4" t="s">
        <v>927</v>
      </c>
      <c r="D1137" s="4" t="s">
        <v>928</v>
      </c>
      <c r="E1137" s="4" t="s">
        <v>929</v>
      </c>
      <c r="M1137" s="4" t="s">
        <v>757</v>
      </c>
      <c r="N1137" s="4">
        <v>-71.442684149999991</v>
      </c>
      <c r="O1137" s="4">
        <v>3.7857712499999998</v>
      </c>
      <c r="P1137" s="4" t="s">
        <v>1004</v>
      </c>
      <c r="Q1137" s="4" t="s">
        <v>743</v>
      </c>
      <c r="R1137" s="4" t="s">
        <v>730</v>
      </c>
      <c r="S1137" s="2">
        <v>46174.569675925923</v>
      </c>
      <c r="T1137" s="5">
        <v>4.6296296296296294E-5</v>
      </c>
      <c r="U1137" s="4">
        <v>4.3806053698062897E-2</v>
      </c>
      <c r="V1137" s="4" t="s">
        <v>758</v>
      </c>
      <c r="W1137" s="4" t="s">
        <v>757</v>
      </c>
      <c r="X1137" s="6" t="s">
        <v>617</v>
      </c>
    </row>
    <row r="1138" spans="1:24">
      <c r="A1138" s="4" t="s">
        <v>926</v>
      </c>
      <c r="B1138" s="4" t="s">
        <v>927</v>
      </c>
      <c r="D1138" s="4" t="s">
        <v>928</v>
      </c>
      <c r="E1138" s="4" t="s">
        <v>929</v>
      </c>
      <c r="M1138" s="4" t="s">
        <v>645</v>
      </c>
      <c r="N1138" s="4">
        <v>-71.444520371999999</v>
      </c>
      <c r="O1138" s="4">
        <v>3.7833167281428572</v>
      </c>
      <c r="P1138" s="4" t="s">
        <v>930</v>
      </c>
      <c r="Q1138" s="4" t="s">
        <v>746</v>
      </c>
      <c r="R1138" s="4" t="s">
        <v>720</v>
      </c>
      <c r="S1138" s="2">
        <v>46174.570237615742</v>
      </c>
      <c r="T1138" s="5">
        <v>6.4862268518518513E-4</v>
      </c>
      <c r="U1138" s="4">
        <v>0.2909921407699585</v>
      </c>
      <c r="V1138" s="4" t="s">
        <v>789</v>
      </c>
      <c r="W1138" s="4" t="s">
        <v>645</v>
      </c>
      <c r="X1138" s="6" t="s">
        <v>617</v>
      </c>
    </row>
    <row r="1139" spans="1:24">
      <c r="A1139" s="4" t="s">
        <v>926</v>
      </c>
      <c r="B1139" s="4" t="s">
        <v>927</v>
      </c>
      <c r="D1139" s="4" t="s">
        <v>928</v>
      </c>
      <c r="E1139" s="4" t="s">
        <v>929</v>
      </c>
      <c r="M1139" s="4" t="s">
        <v>645</v>
      </c>
      <c r="N1139" s="4">
        <v>-71.446388260000006</v>
      </c>
      <c r="O1139" s="4">
        <v>3.7830125359999998</v>
      </c>
      <c r="P1139" s="4" t="s">
        <v>930</v>
      </c>
      <c r="Q1139" s="4" t="s">
        <v>746</v>
      </c>
      <c r="R1139" s="4" t="s">
        <v>720</v>
      </c>
      <c r="S1139" s="2">
        <v>46174.57097453704</v>
      </c>
      <c r="T1139" s="5">
        <v>7.7418981481481479E-5</v>
      </c>
      <c r="U1139" s="4">
        <v>1.9396491348743439E-2</v>
      </c>
      <c r="V1139" s="4" t="s">
        <v>728</v>
      </c>
      <c r="W1139" s="4" t="s">
        <v>645</v>
      </c>
      <c r="X1139" s="6" t="s">
        <v>617</v>
      </c>
    </row>
    <row r="1140" spans="1:24">
      <c r="A1140" s="4" t="s">
        <v>926</v>
      </c>
      <c r="B1140" s="4" t="s">
        <v>927</v>
      </c>
      <c r="D1140" s="4" t="s">
        <v>928</v>
      </c>
      <c r="E1140" s="4" t="s">
        <v>929</v>
      </c>
      <c r="M1140" s="4" t="s">
        <v>645</v>
      </c>
      <c r="N1140" s="4">
        <v>-71.446357750000004</v>
      </c>
      <c r="O1140" s="4">
        <v>3.7832667850000004</v>
      </c>
      <c r="P1140" s="4" t="s">
        <v>930</v>
      </c>
      <c r="Q1140" s="4" t="s">
        <v>746</v>
      </c>
      <c r="R1140" s="4" t="s">
        <v>720</v>
      </c>
      <c r="S1140" s="2">
        <v>46174.571128472322</v>
      </c>
      <c r="T1140" s="5">
        <v>1.9785069444444446E-3</v>
      </c>
      <c r="U1140" s="4">
        <v>0.73523461818695068</v>
      </c>
      <c r="V1140" s="4" t="s">
        <v>738</v>
      </c>
      <c r="W1140" s="4" t="s">
        <v>645</v>
      </c>
      <c r="X1140" s="6" t="s">
        <v>617</v>
      </c>
    </row>
    <row r="1141" spans="1:24">
      <c r="A1141" s="4" t="s">
        <v>926</v>
      </c>
      <c r="B1141" s="4" t="s">
        <v>927</v>
      </c>
      <c r="D1141" s="4" t="s">
        <v>928</v>
      </c>
      <c r="E1141" s="4" t="s">
        <v>929</v>
      </c>
      <c r="M1141" s="4" t="s">
        <v>645</v>
      </c>
      <c r="N1141" s="4">
        <v>-71.450993497059997</v>
      </c>
      <c r="O1141" s="4">
        <v>3.781477667776</v>
      </c>
      <c r="P1141" s="4" t="s">
        <v>930</v>
      </c>
      <c r="Q1141" s="4" t="s">
        <v>746</v>
      </c>
      <c r="R1141" s="4" t="s">
        <v>720</v>
      </c>
      <c r="S1141" s="2">
        <v>46174.57353209491</v>
      </c>
      <c r="T1141" s="5">
        <v>1.2531249999999999E-4</v>
      </c>
      <c r="U1141" s="4">
        <v>4.2611192911863327E-2</v>
      </c>
      <c r="V1141" s="4" t="s">
        <v>725</v>
      </c>
      <c r="W1141" s="4" t="s">
        <v>645</v>
      </c>
      <c r="X1141" s="6" t="s">
        <v>617</v>
      </c>
    </row>
    <row r="1142" spans="1:24">
      <c r="A1142" s="4" t="s">
        <v>926</v>
      </c>
      <c r="B1142" s="4" t="s">
        <v>927</v>
      </c>
      <c r="D1142" s="4" t="s">
        <v>928</v>
      </c>
      <c r="E1142" s="4" t="s">
        <v>929</v>
      </c>
      <c r="M1142" s="4" t="s">
        <v>645</v>
      </c>
      <c r="N1142" s="4">
        <v>-71.450790400000002</v>
      </c>
      <c r="O1142" s="4">
        <v>3.7811543900000002</v>
      </c>
      <c r="P1142" s="4" t="s">
        <v>930</v>
      </c>
      <c r="Q1142" s="4" t="s">
        <v>746</v>
      </c>
      <c r="R1142" s="4" t="s">
        <v>720</v>
      </c>
      <c r="S1142" s="2">
        <v>46174.573657407411</v>
      </c>
      <c r="T1142" s="5">
        <v>1.1316898148148148E-3</v>
      </c>
      <c r="U1142" s="4">
        <v>0.41876477003097534</v>
      </c>
      <c r="V1142" s="4" t="s">
        <v>752</v>
      </c>
      <c r="W1142" s="4" t="s">
        <v>645</v>
      </c>
      <c r="X1142" s="6" t="s">
        <v>617</v>
      </c>
    </row>
    <row r="1143" spans="1:24">
      <c r="A1143" s="4" t="s">
        <v>926</v>
      </c>
      <c r="B1143" s="4" t="s">
        <v>927</v>
      </c>
      <c r="D1143" s="4" t="s">
        <v>928</v>
      </c>
      <c r="E1143" s="4" t="s">
        <v>929</v>
      </c>
      <c r="M1143" s="4" t="s">
        <v>645</v>
      </c>
      <c r="N1143" s="4">
        <v>-71.448661799999996</v>
      </c>
      <c r="O1143" s="4">
        <v>3.77984118</v>
      </c>
      <c r="P1143" s="4" t="s">
        <v>930</v>
      </c>
      <c r="Q1143" s="4" t="s">
        <v>746</v>
      </c>
      <c r="R1143" s="4" t="s">
        <v>720</v>
      </c>
      <c r="S1143" s="2">
        <v>46174.5859837963</v>
      </c>
      <c r="T1143" s="5">
        <v>6.134259259259259E-4</v>
      </c>
      <c r="U1143" s="4">
        <v>0.17230555415153503</v>
      </c>
      <c r="V1143" s="4" t="s">
        <v>731</v>
      </c>
      <c r="W1143" s="4" t="s">
        <v>645</v>
      </c>
      <c r="X1143" s="6" t="s">
        <v>617</v>
      </c>
    </row>
    <row r="1144" spans="1:24">
      <c r="A1144" s="4" t="s">
        <v>926</v>
      </c>
      <c r="B1144" s="4" t="s">
        <v>927</v>
      </c>
      <c r="D1144" s="4" t="s">
        <v>928</v>
      </c>
      <c r="E1144" s="4" t="s">
        <v>929</v>
      </c>
      <c r="M1144" s="4" t="s">
        <v>645</v>
      </c>
      <c r="N1144" s="4">
        <v>-71.450653099999997</v>
      </c>
      <c r="O1144" s="4">
        <v>3.7806704</v>
      </c>
      <c r="P1144" s="4" t="s">
        <v>930</v>
      </c>
      <c r="Q1144" s="4" t="s">
        <v>746</v>
      </c>
      <c r="R1144" s="4" t="s">
        <v>720</v>
      </c>
      <c r="S1144" s="2">
        <v>46174.587557870371</v>
      </c>
      <c r="T1144" s="5">
        <v>1.9675925925925926E-4</v>
      </c>
      <c r="U1144" s="4">
        <v>5.0676483660936356E-2</v>
      </c>
      <c r="V1144" s="4" t="s">
        <v>728</v>
      </c>
      <c r="W1144" s="4" t="s">
        <v>645</v>
      </c>
      <c r="X1144" s="6" t="s">
        <v>617</v>
      </c>
    </row>
    <row r="1145" spans="1:24">
      <c r="A1145" s="4" t="s">
        <v>926</v>
      </c>
      <c r="B1145" s="4" t="s">
        <v>927</v>
      </c>
      <c r="D1145" s="4" t="s">
        <v>928</v>
      </c>
      <c r="E1145" s="4" t="s">
        <v>929</v>
      </c>
      <c r="M1145" s="4" t="s">
        <v>645</v>
      </c>
      <c r="N1145" s="4">
        <v>-71.450912474999996</v>
      </c>
      <c r="O1145" s="4">
        <v>3.7815331225</v>
      </c>
      <c r="P1145" s="4" t="s">
        <v>930</v>
      </c>
      <c r="Q1145" s="4" t="s">
        <v>746</v>
      </c>
      <c r="R1145" s="4" t="s">
        <v>720</v>
      </c>
      <c r="S1145" s="2">
        <v>46174.587971643516</v>
      </c>
      <c r="T1145" s="5">
        <v>1.7632060185185186E-3</v>
      </c>
      <c r="U1145" s="4">
        <v>0.78022176027297974</v>
      </c>
      <c r="V1145" s="4" t="s">
        <v>751</v>
      </c>
      <c r="W1145" s="4" t="s">
        <v>645</v>
      </c>
      <c r="X1145" s="6" t="s">
        <v>617</v>
      </c>
    </row>
    <row r="1146" spans="1:24">
      <c r="A1146" s="4" t="s">
        <v>926</v>
      </c>
      <c r="B1146" s="4" t="s">
        <v>927</v>
      </c>
      <c r="D1146" s="4" t="s">
        <v>928</v>
      </c>
      <c r="E1146" s="4" t="s">
        <v>929</v>
      </c>
      <c r="M1146" s="4" t="s">
        <v>645</v>
      </c>
      <c r="N1146" s="4">
        <v>-71.446087425299993</v>
      </c>
      <c r="O1146" s="4">
        <v>3.7838603166599998</v>
      </c>
      <c r="P1146" s="4" t="s">
        <v>1005</v>
      </c>
      <c r="Q1146" s="4" t="s">
        <v>746</v>
      </c>
      <c r="R1146" s="4" t="s">
        <v>720</v>
      </c>
      <c r="S1146" s="2">
        <v>46174.589961967591</v>
      </c>
      <c r="T1146" s="5">
        <v>1.8464120370370371E-4</v>
      </c>
      <c r="U1146" s="4">
        <v>5.358901247382164E-2</v>
      </c>
      <c r="V1146" s="4" t="s">
        <v>666</v>
      </c>
      <c r="W1146" s="4" t="s">
        <v>645</v>
      </c>
      <c r="X1146" s="6" t="s">
        <v>617</v>
      </c>
    </row>
    <row r="1147" spans="1:24">
      <c r="A1147" s="4" t="s">
        <v>926</v>
      </c>
      <c r="B1147" s="4" t="s">
        <v>927</v>
      </c>
      <c r="D1147" s="4" t="s">
        <v>928</v>
      </c>
      <c r="E1147" s="4" t="s">
        <v>929</v>
      </c>
      <c r="M1147" s="4" t="s">
        <v>645</v>
      </c>
      <c r="N1147" s="4">
        <v>-71.446441699999994</v>
      </c>
      <c r="O1147" s="4">
        <v>3.7830343200000001</v>
      </c>
      <c r="P1147" s="4" t="s">
        <v>930</v>
      </c>
      <c r="Q1147" s="4" t="s">
        <v>746</v>
      </c>
      <c r="R1147" s="4" t="s">
        <v>720</v>
      </c>
      <c r="S1147" s="2">
        <v>46174.590439814812</v>
      </c>
      <c r="T1147" s="5">
        <v>7.1932870370370369E-4</v>
      </c>
      <c r="U1147" s="4">
        <v>0.32562550902366638</v>
      </c>
      <c r="V1147" s="4" t="s">
        <v>750</v>
      </c>
      <c r="W1147" s="4" t="s">
        <v>645</v>
      </c>
      <c r="X1147" s="6" t="s">
        <v>617</v>
      </c>
    </row>
    <row r="1148" spans="1:24">
      <c r="A1148" s="4" t="s">
        <v>926</v>
      </c>
      <c r="B1148" s="4" t="s">
        <v>927</v>
      </c>
      <c r="D1148" s="4" t="s">
        <v>928</v>
      </c>
      <c r="E1148" s="4" t="s">
        <v>929</v>
      </c>
      <c r="M1148" s="4" t="s">
        <v>757</v>
      </c>
      <c r="N1148" s="4">
        <v>-71.445777862499995</v>
      </c>
      <c r="O1148" s="4">
        <v>3.7844168812499999</v>
      </c>
      <c r="P1148" s="4" t="s">
        <v>1004</v>
      </c>
      <c r="Q1148" s="4" t="s">
        <v>743</v>
      </c>
      <c r="R1148" s="4" t="s">
        <v>730</v>
      </c>
      <c r="S1148" s="2">
        <v>46174.591451099535</v>
      </c>
      <c r="T1148" s="5">
        <v>1.8807870370370372E-5</v>
      </c>
      <c r="U1148" s="4">
        <v>1.7373889684677124E-2</v>
      </c>
      <c r="V1148" s="4" t="s">
        <v>758</v>
      </c>
      <c r="W1148" s="4" t="s">
        <v>757</v>
      </c>
      <c r="X1148" s="6" t="s">
        <v>617</v>
      </c>
    </row>
    <row r="1149" spans="1:24">
      <c r="A1149" s="4" t="s">
        <v>926</v>
      </c>
      <c r="B1149" s="4" t="s">
        <v>927</v>
      </c>
      <c r="D1149" s="4" t="s">
        <v>928</v>
      </c>
      <c r="E1149" s="4" t="s">
        <v>929</v>
      </c>
      <c r="M1149" s="4" t="s">
        <v>757</v>
      </c>
      <c r="N1149" s="4">
        <v>-71.446499639999999</v>
      </c>
      <c r="O1149" s="4">
        <v>3.7845187660000001</v>
      </c>
      <c r="P1149" s="4" t="s">
        <v>1004</v>
      </c>
      <c r="Q1149" s="4" t="s">
        <v>743</v>
      </c>
      <c r="R1149" s="4" t="s">
        <v>730</v>
      </c>
      <c r="S1149" s="2">
        <v>46174.591539351852</v>
      </c>
      <c r="T1149" s="5">
        <v>3.8773158148148145E-4</v>
      </c>
      <c r="U1149" s="4">
        <v>0.37065833806991577</v>
      </c>
      <c r="V1149" s="4" t="s">
        <v>774</v>
      </c>
      <c r="W1149" s="4" t="s">
        <v>757</v>
      </c>
      <c r="X1149" s="6" t="s">
        <v>617</v>
      </c>
    </row>
    <row r="1150" spans="1:24">
      <c r="A1150" s="4" t="s">
        <v>926</v>
      </c>
      <c r="B1150" s="4" t="s">
        <v>927</v>
      </c>
      <c r="D1150" s="4" t="s">
        <v>928</v>
      </c>
      <c r="E1150" s="4" t="s">
        <v>929</v>
      </c>
      <c r="M1150" s="4" t="s">
        <v>757</v>
      </c>
      <c r="N1150" s="4">
        <v>-71.451386437499991</v>
      </c>
      <c r="O1150" s="4">
        <v>3.7898706799999999</v>
      </c>
      <c r="P1150" s="4" t="s">
        <v>1006</v>
      </c>
      <c r="Q1150" s="4" t="s">
        <v>743</v>
      </c>
      <c r="R1150" s="4" t="s">
        <v>730</v>
      </c>
      <c r="S1150" s="2">
        <v>46174.592808159723</v>
      </c>
      <c r="T1150" s="5">
        <v>2.4739583333333335E-4</v>
      </c>
      <c r="U1150" s="4">
        <v>0.23278288543224335</v>
      </c>
      <c r="V1150" s="4" t="s">
        <v>758</v>
      </c>
      <c r="W1150" s="4" t="s">
        <v>757</v>
      </c>
      <c r="X1150" s="6" t="s">
        <v>617</v>
      </c>
    </row>
    <row r="1151" spans="1:24">
      <c r="A1151" s="4" t="s">
        <v>926</v>
      </c>
      <c r="B1151" s="4" t="s">
        <v>927</v>
      </c>
      <c r="D1151" s="4" t="s">
        <v>928</v>
      </c>
      <c r="E1151" s="4" t="s">
        <v>929</v>
      </c>
      <c r="M1151" s="4" t="s">
        <v>645</v>
      </c>
      <c r="N1151" s="4">
        <v>-71.448787511346154</v>
      </c>
      <c r="O1151" s="4">
        <v>3.7945130387692307</v>
      </c>
      <c r="P1151" s="4" t="s">
        <v>1007</v>
      </c>
      <c r="Q1151" s="4" t="s">
        <v>746</v>
      </c>
      <c r="R1151" s="4" t="s">
        <v>720</v>
      </c>
      <c r="S1151" s="2">
        <v>46174.593626331021</v>
      </c>
      <c r="T1151" s="5">
        <v>3.7384259259259257E-5</v>
      </c>
      <c r="U1151" s="4">
        <v>1.5162540599703789E-2</v>
      </c>
      <c r="V1151" s="4" t="s">
        <v>738</v>
      </c>
      <c r="W1151" s="4" t="s">
        <v>645</v>
      </c>
      <c r="X1151" s="6" t="s">
        <v>617</v>
      </c>
    </row>
    <row r="1152" spans="1:24">
      <c r="A1152" s="4" t="s">
        <v>926</v>
      </c>
      <c r="B1152" s="4" t="s">
        <v>927</v>
      </c>
      <c r="D1152" s="4" t="s">
        <v>928</v>
      </c>
      <c r="E1152" s="4" t="s">
        <v>929</v>
      </c>
      <c r="M1152" s="4" t="s">
        <v>645</v>
      </c>
      <c r="N1152" s="4">
        <v>-71.448585499999993</v>
      </c>
      <c r="O1152" s="4">
        <v>3.7946066900000002</v>
      </c>
      <c r="P1152" s="4" t="s">
        <v>1007</v>
      </c>
      <c r="Q1152" s="4" t="s">
        <v>746</v>
      </c>
      <c r="R1152" s="4" t="s">
        <v>720</v>
      </c>
      <c r="S1152" s="2">
        <v>46174.594293981485</v>
      </c>
      <c r="T1152" s="5">
        <v>1.1217592592592593E-4</v>
      </c>
      <c r="U1152" s="4">
        <v>3.4515354782342911E-2</v>
      </c>
      <c r="V1152" s="4" t="s">
        <v>752</v>
      </c>
      <c r="W1152" s="4" t="s">
        <v>645</v>
      </c>
      <c r="X1152" s="6" t="s">
        <v>617</v>
      </c>
    </row>
    <row r="1153" spans="1:24">
      <c r="A1153" s="4" t="s">
        <v>926</v>
      </c>
      <c r="B1153" s="4" t="s">
        <v>927</v>
      </c>
      <c r="D1153" s="4" t="s">
        <v>928</v>
      </c>
      <c r="E1153" s="4" t="s">
        <v>929</v>
      </c>
      <c r="M1153" s="4" t="s">
        <v>754</v>
      </c>
      <c r="N1153" s="4">
        <v>-71.448706079999994</v>
      </c>
      <c r="O1153" s="4">
        <v>3.7951290119999999</v>
      </c>
      <c r="P1153" s="4" t="s">
        <v>1008</v>
      </c>
      <c r="Q1153" s="4" t="s">
        <v>877</v>
      </c>
      <c r="R1153" s="4" t="s">
        <v>720</v>
      </c>
      <c r="S1153" s="2">
        <v>46174.598275462966</v>
      </c>
      <c r="T1153" s="5">
        <v>1.4652777777777779E-5</v>
      </c>
      <c r="U1153" s="4">
        <v>4.587272647768259E-3</v>
      </c>
      <c r="V1153" s="4" t="s">
        <v>791</v>
      </c>
      <c r="W1153" s="4" t="s">
        <v>754</v>
      </c>
      <c r="X1153" s="6" t="s">
        <v>617</v>
      </c>
    </row>
    <row r="1154" spans="1:24">
      <c r="A1154" s="4" t="s">
        <v>926</v>
      </c>
      <c r="B1154" s="4" t="s">
        <v>927</v>
      </c>
      <c r="D1154" s="4" t="s">
        <v>928</v>
      </c>
      <c r="E1154" s="4" t="s">
        <v>929</v>
      </c>
      <c r="M1154" s="4" t="s">
        <v>875</v>
      </c>
      <c r="N1154" s="4">
        <v>-71.448871600000004</v>
      </c>
      <c r="O1154" s="4">
        <v>3.7950456725000001</v>
      </c>
      <c r="P1154" s="4" t="s">
        <v>1008</v>
      </c>
      <c r="Q1154" s="4" t="s">
        <v>877</v>
      </c>
      <c r="R1154" s="4" t="s">
        <v>720</v>
      </c>
      <c r="S1154" s="2">
        <v>46174.598333333335</v>
      </c>
      <c r="T1154" s="5">
        <v>4.7349537037037036E-5</v>
      </c>
      <c r="U1154" s="4">
        <v>2.5094158947467804E-2</v>
      </c>
      <c r="V1154" s="4" t="s">
        <v>751</v>
      </c>
      <c r="W1154" s="4" t="s">
        <v>875</v>
      </c>
      <c r="X1154" s="6" t="s">
        <v>617</v>
      </c>
    </row>
    <row r="1155" spans="1:24">
      <c r="A1155" s="4" t="s">
        <v>926</v>
      </c>
      <c r="B1155" s="4" t="s">
        <v>927</v>
      </c>
      <c r="D1155" s="4" t="s">
        <v>928</v>
      </c>
      <c r="E1155" s="4" t="s">
        <v>929</v>
      </c>
      <c r="M1155" s="4" t="s">
        <v>875</v>
      </c>
      <c r="N1155" s="4">
        <v>-71.449256899999995</v>
      </c>
      <c r="O1155" s="4">
        <v>3.7948559499999996</v>
      </c>
      <c r="P1155" s="4" t="s">
        <v>1008</v>
      </c>
      <c r="Q1155" s="4" t="s">
        <v>877</v>
      </c>
      <c r="R1155" s="4" t="s">
        <v>720</v>
      </c>
      <c r="S1155" s="2">
        <v>46174.598431713064</v>
      </c>
      <c r="T1155" s="5">
        <v>9.298611111111111E-5</v>
      </c>
      <c r="U1155" s="4">
        <v>6.0875121504068375E-2</v>
      </c>
      <c r="V1155" s="4" t="s">
        <v>783</v>
      </c>
      <c r="W1155" s="4" t="s">
        <v>875</v>
      </c>
      <c r="X1155" s="6" t="s">
        <v>617</v>
      </c>
    </row>
    <row r="1156" spans="1:24">
      <c r="A1156" s="4" t="s">
        <v>926</v>
      </c>
      <c r="B1156" s="4" t="s">
        <v>927</v>
      </c>
      <c r="D1156" s="4" t="s">
        <v>928</v>
      </c>
      <c r="E1156" s="4" t="s">
        <v>929</v>
      </c>
      <c r="M1156" s="4" t="s">
        <v>757</v>
      </c>
      <c r="N1156" s="4">
        <v>-71.441137996550012</v>
      </c>
      <c r="O1156" s="4">
        <v>3.7853897339625</v>
      </c>
      <c r="P1156" s="4" t="s">
        <v>1004</v>
      </c>
      <c r="Q1156" s="4" t="s">
        <v>743</v>
      </c>
      <c r="R1156" s="4" t="s">
        <v>730</v>
      </c>
      <c r="S1156" s="2">
        <v>46174.601658946762</v>
      </c>
      <c r="T1156" s="5">
        <v>3.0241898148148147E-4</v>
      </c>
      <c r="U1156" s="4">
        <v>0.3438396155834198</v>
      </c>
      <c r="V1156" s="4" t="s">
        <v>982</v>
      </c>
      <c r="W1156" s="4" t="s">
        <v>757</v>
      </c>
      <c r="X1156" s="6" t="s">
        <v>617</v>
      </c>
    </row>
    <row r="1157" spans="1:24">
      <c r="A1157" s="4" t="s">
        <v>926</v>
      </c>
      <c r="B1157" s="4" t="s">
        <v>927</v>
      </c>
      <c r="D1157" s="4" t="s">
        <v>928</v>
      </c>
      <c r="E1157" s="4" t="s">
        <v>929</v>
      </c>
      <c r="M1157" s="4" t="s">
        <v>939</v>
      </c>
      <c r="N1157" s="4">
        <v>-71.437889100000007</v>
      </c>
      <c r="O1157" s="4">
        <v>3.7864084199999999</v>
      </c>
      <c r="P1157" s="4" t="s">
        <v>1004</v>
      </c>
      <c r="Q1157" s="4" t="s">
        <v>743</v>
      </c>
      <c r="R1157" s="4" t="s">
        <v>730</v>
      </c>
      <c r="S1157" s="2">
        <v>46174.602152777778</v>
      </c>
      <c r="T1157" s="5">
        <v>0</v>
      </c>
      <c r="U1157" s="4">
        <v>0</v>
      </c>
      <c r="V1157" s="4" t="s">
        <v>628</v>
      </c>
      <c r="W1157" s="4" t="s">
        <v>939</v>
      </c>
      <c r="X1157" s="6" t="s">
        <v>617</v>
      </c>
    </row>
    <row r="1158" spans="1:24">
      <c r="A1158" s="4" t="s">
        <v>926</v>
      </c>
      <c r="B1158" s="4" t="s">
        <v>927</v>
      </c>
      <c r="D1158" s="4" t="s">
        <v>928</v>
      </c>
      <c r="E1158" s="4" t="s">
        <v>929</v>
      </c>
      <c r="M1158" s="4" t="s">
        <v>757</v>
      </c>
      <c r="N1158" s="4">
        <v>-71.43696592500001</v>
      </c>
      <c r="O1158" s="4">
        <v>3.7870095975</v>
      </c>
      <c r="P1158" s="4" t="s">
        <v>1004</v>
      </c>
      <c r="Q1158" s="4" t="s">
        <v>743</v>
      </c>
      <c r="R1158" s="4" t="s">
        <v>730</v>
      </c>
      <c r="S1158" s="2">
        <v>46174.602314814816</v>
      </c>
      <c r="T1158" s="5">
        <v>2.8935285185185187E-5</v>
      </c>
      <c r="U1158" s="4">
        <v>2.7458610013127327E-2</v>
      </c>
      <c r="V1158" s="4" t="s">
        <v>758</v>
      </c>
      <c r="W1158" s="4" t="s">
        <v>757</v>
      </c>
      <c r="X1158" s="6" t="s">
        <v>617</v>
      </c>
    </row>
    <row r="1159" spans="1:24">
      <c r="A1159" s="4" t="s">
        <v>926</v>
      </c>
      <c r="B1159" s="4" t="s">
        <v>927</v>
      </c>
      <c r="D1159" s="4" t="s">
        <v>928</v>
      </c>
      <c r="E1159" s="4" t="s">
        <v>929</v>
      </c>
      <c r="M1159" s="4" t="s">
        <v>757</v>
      </c>
      <c r="N1159" s="4">
        <v>-71.436641699999996</v>
      </c>
      <c r="O1159" s="4">
        <v>3.7879138000000001</v>
      </c>
      <c r="P1159" s="4" t="s">
        <v>1004</v>
      </c>
      <c r="Q1159" s="4" t="s">
        <v>743</v>
      </c>
      <c r="R1159" s="4" t="s">
        <v>730</v>
      </c>
      <c r="S1159" s="2">
        <v>46174.602436342691</v>
      </c>
      <c r="T1159" s="5">
        <v>6.9444444444444444E-5</v>
      </c>
      <c r="U1159" s="4">
        <v>6.4834922552108765E-2</v>
      </c>
      <c r="V1159" s="4" t="s">
        <v>758</v>
      </c>
      <c r="W1159" s="4" t="s">
        <v>757</v>
      </c>
      <c r="X1159" s="6" t="s">
        <v>617</v>
      </c>
    </row>
    <row r="1160" spans="1:24">
      <c r="A1160" s="4" t="s">
        <v>926</v>
      </c>
      <c r="B1160" s="4" t="s">
        <v>927</v>
      </c>
      <c r="D1160" s="4" t="s">
        <v>928</v>
      </c>
      <c r="E1160" s="4" t="s">
        <v>929</v>
      </c>
      <c r="M1160" s="4" t="s">
        <v>757</v>
      </c>
      <c r="N1160" s="4">
        <v>-71.435160624999995</v>
      </c>
      <c r="O1160" s="4">
        <v>3.7900629612499999</v>
      </c>
      <c r="P1160" s="4" t="s">
        <v>1004</v>
      </c>
      <c r="Q1160" s="4" t="s">
        <v>743</v>
      </c>
      <c r="R1160" s="4" t="s">
        <v>730</v>
      </c>
      <c r="S1160" s="2">
        <v>46174.603117766201</v>
      </c>
      <c r="T1160" s="5">
        <v>1.4033564814814814E-4</v>
      </c>
      <c r="U1160" s="4">
        <v>0.1357448399066925</v>
      </c>
      <c r="V1160" s="4" t="s">
        <v>758</v>
      </c>
      <c r="W1160" s="4" t="s">
        <v>757</v>
      </c>
      <c r="X1160" s="6" t="s">
        <v>617</v>
      </c>
    </row>
    <row r="1161" spans="1:24">
      <c r="A1161" s="4" t="s">
        <v>926</v>
      </c>
      <c r="B1161" s="4" t="s">
        <v>927</v>
      </c>
      <c r="D1161" s="4" t="s">
        <v>928</v>
      </c>
      <c r="E1161" s="4" t="s">
        <v>929</v>
      </c>
      <c r="M1161" s="4" t="s">
        <v>757</v>
      </c>
      <c r="N1161" s="4">
        <v>-71.43345260000001</v>
      </c>
      <c r="O1161" s="4">
        <v>3.7911095599999998</v>
      </c>
      <c r="P1161" s="4" t="s">
        <v>1004</v>
      </c>
      <c r="Q1161" s="4" t="s">
        <v>743</v>
      </c>
      <c r="R1161" s="4" t="s">
        <v>730</v>
      </c>
      <c r="S1161" s="2">
        <v>46174.603385416769</v>
      </c>
      <c r="T1161" s="5">
        <v>5.4398148148148144E-4</v>
      </c>
      <c r="U1161" s="4">
        <v>0.54598128795623779</v>
      </c>
      <c r="V1161" s="4" t="s">
        <v>778</v>
      </c>
      <c r="W1161" s="4" t="s">
        <v>757</v>
      </c>
      <c r="X1161" s="6" t="s">
        <v>617</v>
      </c>
    </row>
    <row r="1162" spans="1:24">
      <c r="A1162" s="4" t="s">
        <v>926</v>
      </c>
      <c r="B1162" s="4" t="s">
        <v>927</v>
      </c>
      <c r="D1162" s="4" t="s">
        <v>928</v>
      </c>
      <c r="E1162" s="4" t="s">
        <v>929</v>
      </c>
      <c r="M1162" s="4" t="s">
        <v>875</v>
      </c>
      <c r="N1162" s="4">
        <v>-71.427888649714276</v>
      </c>
      <c r="O1162" s="4">
        <v>3.7925326698714286</v>
      </c>
      <c r="P1162" s="4" t="s">
        <v>931</v>
      </c>
      <c r="Q1162" s="4" t="s">
        <v>877</v>
      </c>
      <c r="R1162" s="4" t="s">
        <v>720</v>
      </c>
      <c r="S1162" s="2">
        <v>46174.604180300928</v>
      </c>
      <c r="T1162" s="5">
        <v>3.9608796296296294E-4</v>
      </c>
      <c r="U1162" s="4">
        <v>0.28910845518112183</v>
      </c>
      <c r="V1162" s="4" t="s">
        <v>780</v>
      </c>
      <c r="W1162" s="4" t="s">
        <v>875</v>
      </c>
      <c r="X1162" s="6" t="s">
        <v>617</v>
      </c>
    </row>
    <row r="1163" spans="1:24">
      <c r="A1163" s="4" t="s">
        <v>926</v>
      </c>
      <c r="B1163" s="4" t="s">
        <v>927</v>
      </c>
      <c r="D1163" s="4" t="s">
        <v>928</v>
      </c>
      <c r="E1163" s="4" t="s">
        <v>929</v>
      </c>
      <c r="M1163" s="4" t="s">
        <v>754</v>
      </c>
      <c r="N1163" s="4">
        <v>-71.425220525</v>
      </c>
      <c r="O1163" s="4">
        <v>3.7921536549999999</v>
      </c>
      <c r="P1163" s="4" t="s">
        <v>907</v>
      </c>
      <c r="Q1163" s="4" t="s">
        <v>877</v>
      </c>
      <c r="R1163" s="4" t="s">
        <v>720</v>
      </c>
      <c r="S1163" s="2">
        <v>46174.606576967592</v>
      </c>
      <c r="T1163" s="5">
        <v>6.1458333333333331E-6</v>
      </c>
      <c r="U1163" s="4">
        <v>1.7474234336987138E-3</v>
      </c>
      <c r="V1163" s="4" t="s">
        <v>1009</v>
      </c>
      <c r="W1163" s="4" t="s">
        <v>754</v>
      </c>
      <c r="X1163" s="6" t="s">
        <v>617</v>
      </c>
    </row>
    <row r="1164" spans="1:24">
      <c r="A1164" s="4" t="s">
        <v>926</v>
      </c>
      <c r="B1164" s="4" t="s">
        <v>927</v>
      </c>
      <c r="D1164" s="4" t="s">
        <v>928</v>
      </c>
      <c r="E1164" s="4" t="s">
        <v>929</v>
      </c>
      <c r="M1164" s="4" t="s">
        <v>645</v>
      </c>
      <c r="N1164" s="4">
        <v>-71.424327998120006</v>
      </c>
      <c r="O1164" s="4">
        <v>3.7921243632592003</v>
      </c>
      <c r="P1164" s="4" t="s">
        <v>936</v>
      </c>
      <c r="Q1164" s="4" t="s">
        <v>933</v>
      </c>
      <c r="R1164" s="4" t="s">
        <v>934</v>
      </c>
      <c r="S1164" s="2">
        <v>46174.60691978009</v>
      </c>
      <c r="T1164" s="5">
        <v>8.8114583333333328E-4</v>
      </c>
      <c r="U1164" s="4">
        <v>0.24199272692203522</v>
      </c>
      <c r="V1164" s="4" t="s">
        <v>728</v>
      </c>
      <c r="W1164" s="4" t="s">
        <v>645</v>
      </c>
      <c r="X1164" s="6" t="s">
        <v>617</v>
      </c>
    </row>
    <row r="1165" spans="1:24">
      <c r="A1165" s="4" t="s">
        <v>926</v>
      </c>
      <c r="B1165" s="4" t="s">
        <v>927</v>
      </c>
      <c r="D1165" s="4" t="s">
        <v>928</v>
      </c>
      <c r="E1165" s="4" t="s">
        <v>929</v>
      </c>
      <c r="M1165" s="4" t="s">
        <v>645</v>
      </c>
      <c r="N1165" s="4">
        <v>-71.424018899999993</v>
      </c>
      <c r="O1165" s="4">
        <v>3.7938857100000001</v>
      </c>
      <c r="P1165" s="4" t="s">
        <v>936</v>
      </c>
      <c r="Q1165" s="4" t="s">
        <v>933</v>
      </c>
      <c r="R1165" s="4" t="s">
        <v>934</v>
      </c>
      <c r="S1165" s="2">
        <v>46174.607800925929</v>
      </c>
      <c r="T1165" s="5">
        <v>6.7258101851851854E-4</v>
      </c>
      <c r="U1165" s="4">
        <v>0.19344490766525269</v>
      </c>
      <c r="V1165" s="4" t="s">
        <v>725</v>
      </c>
      <c r="W1165" s="4" t="s">
        <v>645</v>
      </c>
      <c r="X1165" s="6" t="s">
        <v>617</v>
      </c>
    </row>
    <row r="1166" spans="1:24">
      <c r="A1166" s="4" t="s">
        <v>926</v>
      </c>
      <c r="B1166" s="4" t="s">
        <v>927</v>
      </c>
      <c r="D1166" s="4" t="s">
        <v>928</v>
      </c>
      <c r="E1166" s="4" t="s">
        <v>929</v>
      </c>
      <c r="M1166" s="4" t="s">
        <v>645</v>
      </c>
      <c r="N1166" s="4">
        <v>-71.423156700000007</v>
      </c>
      <c r="O1166" s="4">
        <v>3.7940740599999998</v>
      </c>
      <c r="P1166" s="4" t="s">
        <v>935</v>
      </c>
      <c r="Q1166" s="4" t="s">
        <v>933</v>
      </c>
      <c r="R1166" s="4" t="s">
        <v>934</v>
      </c>
      <c r="S1166" s="2">
        <v>46174.6875</v>
      </c>
      <c r="T1166" s="5">
        <v>9.7334490740740736E-4</v>
      </c>
      <c r="U1166" s="4">
        <v>0.37394171953201294</v>
      </c>
      <c r="V1166" s="4" t="s">
        <v>741</v>
      </c>
      <c r="W1166" s="4" t="s">
        <v>645</v>
      </c>
      <c r="X1166" s="6" t="s">
        <v>617</v>
      </c>
    </row>
    <row r="1167" spans="1:24">
      <c r="A1167" s="4" t="s">
        <v>926</v>
      </c>
      <c r="B1167" s="4" t="s">
        <v>927</v>
      </c>
      <c r="D1167" s="4" t="s">
        <v>928</v>
      </c>
      <c r="E1167" s="4" t="s">
        <v>929</v>
      </c>
      <c r="M1167" s="4" t="s">
        <v>614</v>
      </c>
      <c r="N1167" s="4">
        <v>-71.425308200000003</v>
      </c>
      <c r="O1167" s="4">
        <v>3.7920723000000001</v>
      </c>
      <c r="P1167" s="4" t="s">
        <v>907</v>
      </c>
      <c r="Q1167" s="4" t="s">
        <v>877</v>
      </c>
      <c r="R1167" s="4" t="s">
        <v>720</v>
      </c>
      <c r="S1167" s="2">
        <v>46174.688807870371</v>
      </c>
      <c r="T1167" s="5">
        <v>4.6412037037037038E-3</v>
      </c>
      <c r="U1167" s="4">
        <v>0</v>
      </c>
      <c r="V1167" s="4" t="s">
        <v>616</v>
      </c>
      <c r="W1167" s="4" t="s">
        <v>614</v>
      </c>
      <c r="X1167" s="6" t="s">
        <v>617</v>
      </c>
    </row>
    <row r="1168" spans="1:24">
      <c r="A1168" s="4" t="s">
        <v>926</v>
      </c>
      <c r="B1168" s="4" t="s">
        <v>927</v>
      </c>
      <c r="D1168" s="4" t="s">
        <v>928</v>
      </c>
      <c r="E1168" s="4" t="s">
        <v>929</v>
      </c>
      <c r="M1168" s="4" t="s">
        <v>754</v>
      </c>
      <c r="N1168" s="4">
        <v>-71.425346399999995</v>
      </c>
      <c r="O1168" s="4">
        <v>3.7921729100000001</v>
      </c>
      <c r="P1168" s="4" t="s">
        <v>907</v>
      </c>
      <c r="Q1168" s="4" t="s">
        <v>877</v>
      </c>
      <c r="R1168" s="4" t="s">
        <v>720</v>
      </c>
      <c r="S1168" s="2">
        <v>46174.693495370368</v>
      </c>
      <c r="T1168" s="5">
        <v>5.2939814814814812E-5</v>
      </c>
      <c r="U1168" s="4">
        <v>1.4142281375825405E-2</v>
      </c>
      <c r="V1168" s="4" t="s">
        <v>814</v>
      </c>
      <c r="W1168" s="4" t="s">
        <v>754</v>
      </c>
      <c r="X1168" s="6" t="s">
        <v>617</v>
      </c>
    </row>
    <row r="1169" spans="1:24">
      <c r="A1169" s="4" t="s">
        <v>926</v>
      </c>
      <c r="B1169" s="4" t="s">
        <v>927</v>
      </c>
      <c r="D1169" s="4" t="s">
        <v>928</v>
      </c>
      <c r="E1169" s="4" t="s">
        <v>929</v>
      </c>
      <c r="M1169" s="4" t="s">
        <v>645</v>
      </c>
      <c r="N1169" s="4">
        <v>-71.424335114399994</v>
      </c>
      <c r="O1169" s="4">
        <v>3.79216259256</v>
      </c>
      <c r="P1169" s="4" t="s">
        <v>936</v>
      </c>
      <c r="Q1169" s="4" t="s">
        <v>933</v>
      </c>
      <c r="R1169" s="4" t="s">
        <v>934</v>
      </c>
      <c r="S1169" s="2">
        <v>46174.693894814816</v>
      </c>
      <c r="T1169" s="5">
        <v>1.0209490740740741E-4</v>
      </c>
      <c r="U1169" s="4">
        <v>2.7434611693024635E-2</v>
      </c>
      <c r="V1169" s="4" t="s">
        <v>728</v>
      </c>
      <c r="W1169" s="4" t="s">
        <v>645</v>
      </c>
      <c r="X1169" s="6" t="s">
        <v>617</v>
      </c>
    </row>
    <row r="1170" spans="1:24">
      <c r="A1170" s="4" t="s">
        <v>926</v>
      </c>
      <c r="B1170" s="4" t="s">
        <v>927</v>
      </c>
      <c r="D1170" s="4" t="s">
        <v>928</v>
      </c>
      <c r="E1170" s="4" t="s">
        <v>929</v>
      </c>
      <c r="M1170" s="4" t="s">
        <v>645</v>
      </c>
      <c r="N1170" s="4">
        <v>-71.42391357999999</v>
      </c>
      <c r="O1170" s="4">
        <v>3.7923374160000001</v>
      </c>
      <c r="P1170" s="4" t="s">
        <v>936</v>
      </c>
      <c r="Q1170" s="4" t="s">
        <v>933</v>
      </c>
      <c r="R1170" s="4" t="s">
        <v>934</v>
      </c>
      <c r="S1170" s="2">
        <v>46174.694203703701</v>
      </c>
      <c r="T1170" s="5">
        <v>1.0404050925925926E-3</v>
      </c>
      <c r="U1170" s="4">
        <v>0.35250440239906311</v>
      </c>
      <c r="V1170" s="4" t="s">
        <v>741</v>
      </c>
      <c r="W1170" s="4" t="s">
        <v>645</v>
      </c>
      <c r="X1170" s="6" t="s">
        <v>617</v>
      </c>
    </row>
    <row r="1171" spans="1:24">
      <c r="A1171" s="4" t="s">
        <v>926</v>
      </c>
      <c r="B1171" s="4" t="s">
        <v>927</v>
      </c>
      <c r="D1171" s="4" t="s">
        <v>928</v>
      </c>
      <c r="E1171" s="4" t="s">
        <v>929</v>
      </c>
      <c r="M1171" s="4" t="s">
        <v>645</v>
      </c>
      <c r="N1171" s="4">
        <v>-71.423159799999993</v>
      </c>
      <c r="O1171" s="4">
        <v>3.7939584239999999</v>
      </c>
      <c r="P1171" s="4" t="s">
        <v>935</v>
      </c>
      <c r="Q1171" s="4" t="s">
        <v>933</v>
      </c>
      <c r="R1171" s="4" t="s">
        <v>934</v>
      </c>
      <c r="S1171" s="2">
        <v>46174.776722222225</v>
      </c>
      <c r="T1171" s="5">
        <v>3.1215277777777779E-4</v>
      </c>
      <c r="U1171" s="4">
        <v>8.1597201526165009E-2</v>
      </c>
      <c r="V1171" s="4" t="s">
        <v>728</v>
      </c>
      <c r="W1171" s="4" t="s">
        <v>645</v>
      </c>
      <c r="X1171" s="6" t="s">
        <v>617</v>
      </c>
    </row>
    <row r="1172" spans="1:24">
      <c r="A1172" s="4" t="s">
        <v>926</v>
      </c>
      <c r="B1172" s="4" t="s">
        <v>927</v>
      </c>
      <c r="D1172" s="4" t="s">
        <v>928</v>
      </c>
      <c r="E1172" s="4" t="s">
        <v>929</v>
      </c>
      <c r="M1172" s="4" t="s">
        <v>754</v>
      </c>
      <c r="N1172" s="4">
        <v>-71.410907000000009</v>
      </c>
      <c r="O1172" s="4">
        <v>3.792246676</v>
      </c>
      <c r="P1172" s="4" t="s">
        <v>938</v>
      </c>
      <c r="Q1172" s="4" t="s">
        <v>743</v>
      </c>
      <c r="R1172" s="4" t="s">
        <v>730</v>
      </c>
      <c r="S1172" s="2">
        <v>46174.7815162037</v>
      </c>
      <c r="T1172" s="5">
        <v>8.1018518518518516E-5</v>
      </c>
      <c r="U1172" s="4">
        <v>1.8449703231453896E-2</v>
      </c>
      <c r="V1172" s="4" t="s">
        <v>790</v>
      </c>
      <c r="W1172" s="4" t="s">
        <v>754</v>
      </c>
      <c r="X1172" s="6" t="s">
        <v>617</v>
      </c>
    </row>
    <row r="1173" spans="1:24">
      <c r="A1173" s="4" t="s">
        <v>926</v>
      </c>
      <c r="B1173" s="4" t="s">
        <v>927</v>
      </c>
      <c r="D1173" s="4" t="s">
        <v>928</v>
      </c>
      <c r="E1173" s="4" t="s">
        <v>929</v>
      </c>
      <c r="M1173" s="4" t="s">
        <v>754</v>
      </c>
      <c r="N1173" s="4">
        <v>-71.410586539999997</v>
      </c>
      <c r="O1173" s="4">
        <v>3.7923683640000001</v>
      </c>
      <c r="P1173" s="4" t="s">
        <v>938</v>
      </c>
      <c r="Q1173" s="4" t="s">
        <v>743</v>
      </c>
      <c r="R1173" s="4" t="s">
        <v>730</v>
      </c>
      <c r="S1173" s="2">
        <v>46174.781682870373</v>
      </c>
      <c r="T1173" s="5">
        <v>4.0990740740740739E-4</v>
      </c>
      <c r="U1173" s="4">
        <v>0.12713651359081268</v>
      </c>
      <c r="V1173" s="4" t="s">
        <v>820</v>
      </c>
      <c r="W1173" s="4" t="s">
        <v>754</v>
      </c>
      <c r="X1173" s="6" t="s">
        <v>617</v>
      </c>
    </row>
    <row r="1174" spans="1:24">
      <c r="A1174" s="4" t="s">
        <v>926</v>
      </c>
      <c r="B1174" s="4" t="s">
        <v>927</v>
      </c>
      <c r="D1174" s="4" t="s">
        <v>928</v>
      </c>
      <c r="E1174" s="4" t="s">
        <v>929</v>
      </c>
      <c r="M1174" s="4" t="s">
        <v>754</v>
      </c>
      <c r="N1174" s="4">
        <v>-71.401679999999999</v>
      </c>
      <c r="O1174" s="4">
        <v>3.78797483</v>
      </c>
      <c r="P1174" s="4" t="s">
        <v>984</v>
      </c>
      <c r="Q1174" s="4" t="s">
        <v>743</v>
      </c>
      <c r="R1174" s="4" t="s">
        <v>730</v>
      </c>
      <c r="S1174" s="2">
        <v>46174.785219907404</v>
      </c>
      <c r="T1174" s="5">
        <v>6.9444444444444444E-5</v>
      </c>
      <c r="U1174" s="4">
        <v>1.9112365320324898E-2</v>
      </c>
      <c r="V1174" s="4" t="s">
        <v>791</v>
      </c>
      <c r="W1174" s="4" t="s">
        <v>754</v>
      </c>
      <c r="X1174" s="6" t="s">
        <v>617</v>
      </c>
    </row>
    <row r="1175" spans="1:24">
      <c r="A1175" s="4" t="s">
        <v>926</v>
      </c>
      <c r="B1175" s="4" t="s">
        <v>927</v>
      </c>
      <c r="D1175" s="4" t="s">
        <v>928</v>
      </c>
      <c r="E1175" s="4" t="s">
        <v>929</v>
      </c>
      <c r="M1175" s="4" t="s">
        <v>754</v>
      </c>
      <c r="N1175" s="4">
        <v>-71.401832600000006</v>
      </c>
      <c r="O1175" s="4">
        <v>3.7881312399999998</v>
      </c>
      <c r="P1175" s="4" t="s">
        <v>984</v>
      </c>
      <c r="Q1175" s="4" t="s">
        <v>743</v>
      </c>
      <c r="R1175" s="4" t="s">
        <v>730</v>
      </c>
      <c r="S1175" s="2">
        <v>46174.78533564815</v>
      </c>
      <c r="T1175" s="5">
        <v>2.6064814814814814E-4</v>
      </c>
      <c r="U1175" s="4">
        <v>6.8561166524887085E-2</v>
      </c>
      <c r="V1175" s="4" t="s">
        <v>820</v>
      </c>
      <c r="W1175" s="4" t="s">
        <v>754</v>
      </c>
      <c r="X1175" s="6" t="s">
        <v>617</v>
      </c>
    </row>
    <row r="1176" spans="1:24">
      <c r="A1176" s="4" t="s">
        <v>926</v>
      </c>
      <c r="B1176" s="4" t="s">
        <v>927</v>
      </c>
      <c r="D1176" s="4" t="s">
        <v>928</v>
      </c>
      <c r="E1176" s="4" t="s">
        <v>929</v>
      </c>
      <c r="M1176" s="4" t="s">
        <v>754</v>
      </c>
      <c r="N1176" s="4">
        <v>-71.401164999999992</v>
      </c>
      <c r="O1176" s="4">
        <v>3.7900174849999999</v>
      </c>
      <c r="P1176" s="4" t="s">
        <v>942</v>
      </c>
      <c r="Q1176" s="4" t="s">
        <v>743</v>
      </c>
      <c r="R1176" s="4" t="s">
        <v>730</v>
      </c>
      <c r="S1176" s="2">
        <v>46174.786712962959</v>
      </c>
      <c r="T1176" s="5">
        <v>2.9288194444444446E-4</v>
      </c>
      <c r="U1176" s="4">
        <v>9.1771043837070465E-2</v>
      </c>
      <c r="V1176" s="4" t="s">
        <v>823</v>
      </c>
      <c r="W1176" s="4" t="s">
        <v>754</v>
      </c>
      <c r="X1176" s="6" t="s">
        <v>617</v>
      </c>
    </row>
    <row r="1177" spans="1:24">
      <c r="A1177" s="4" t="s">
        <v>926</v>
      </c>
      <c r="B1177" s="4" t="s">
        <v>927</v>
      </c>
      <c r="D1177" s="4" t="s">
        <v>928</v>
      </c>
      <c r="E1177" s="4" t="s">
        <v>929</v>
      </c>
      <c r="M1177" s="4" t="s">
        <v>674</v>
      </c>
      <c r="N1177" s="4">
        <v>-71.404624900000002</v>
      </c>
      <c r="O1177" s="4">
        <v>3.76568317</v>
      </c>
      <c r="P1177" s="4" t="s">
        <v>998</v>
      </c>
      <c r="Q1177" s="4" t="s">
        <v>743</v>
      </c>
      <c r="R1177" s="4" t="s">
        <v>730</v>
      </c>
      <c r="S1177" s="2">
        <v>46174.793275127318</v>
      </c>
      <c r="T1177" s="5">
        <v>0</v>
      </c>
      <c r="U1177" s="4">
        <v>0</v>
      </c>
      <c r="V1177" s="4" t="s">
        <v>915</v>
      </c>
      <c r="W1177" s="4" t="s">
        <v>674</v>
      </c>
      <c r="X1177" s="6" t="s">
        <v>617</v>
      </c>
    </row>
    <row r="1178" spans="1:24">
      <c r="A1178" s="4" t="s">
        <v>926</v>
      </c>
      <c r="B1178" s="4" t="s">
        <v>927</v>
      </c>
      <c r="D1178" s="4" t="s">
        <v>928</v>
      </c>
      <c r="E1178" s="4" t="s">
        <v>929</v>
      </c>
      <c r="M1178" s="4" t="s">
        <v>757</v>
      </c>
      <c r="N1178" s="4">
        <v>-71.39273455</v>
      </c>
      <c r="O1178" s="4">
        <v>3.7409600000000003</v>
      </c>
      <c r="P1178" s="4" t="s">
        <v>999</v>
      </c>
      <c r="Q1178" s="4" t="s">
        <v>743</v>
      </c>
      <c r="R1178" s="4" t="s">
        <v>730</v>
      </c>
      <c r="S1178" s="2">
        <v>46174.800734953802</v>
      </c>
      <c r="T1178" s="5">
        <v>6.9444444444444444E-5</v>
      </c>
      <c r="U1178" s="4">
        <v>6.5168768167495728E-2</v>
      </c>
      <c r="V1178" s="4" t="s">
        <v>758</v>
      </c>
      <c r="W1178" s="4" t="s">
        <v>757</v>
      </c>
      <c r="X1178" s="6" t="s">
        <v>617</v>
      </c>
    </row>
    <row r="1179" spans="1:24">
      <c r="A1179" s="4" t="s">
        <v>926</v>
      </c>
      <c r="B1179" s="4" t="s">
        <v>927</v>
      </c>
      <c r="D1179" s="4" t="s">
        <v>928</v>
      </c>
      <c r="E1179" s="4" t="s">
        <v>929</v>
      </c>
      <c r="M1179" s="4" t="s">
        <v>754</v>
      </c>
      <c r="N1179" s="4">
        <v>-71.396636999999998</v>
      </c>
      <c r="O1179" s="4">
        <v>3.7395501700000002</v>
      </c>
      <c r="P1179" s="4" t="s">
        <v>1000</v>
      </c>
      <c r="Q1179" s="4" t="s">
        <v>743</v>
      </c>
      <c r="R1179" s="4" t="s">
        <v>730</v>
      </c>
      <c r="S1179" s="2">
        <v>46174.805648148147</v>
      </c>
      <c r="T1179" s="5">
        <v>8.9699084074074077E-4</v>
      </c>
      <c r="U1179" s="4">
        <v>0.46629077196121216</v>
      </c>
      <c r="V1179" s="4" t="s">
        <v>805</v>
      </c>
      <c r="W1179" s="4" t="s">
        <v>754</v>
      </c>
      <c r="X1179" s="6" t="s">
        <v>617</v>
      </c>
    </row>
    <row r="1180" spans="1:24">
      <c r="A1180" s="4" t="s">
        <v>926</v>
      </c>
      <c r="B1180" s="4" t="s">
        <v>927</v>
      </c>
      <c r="D1180" s="4" t="s">
        <v>928</v>
      </c>
      <c r="E1180" s="4" t="s">
        <v>929</v>
      </c>
      <c r="M1180" s="4" t="s">
        <v>754</v>
      </c>
      <c r="N1180" s="4">
        <v>-71.396059310360002</v>
      </c>
      <c r="O1180" s="4">
        <v>3.7361092600000001</v>
      </c>
      <c r="P1180" s="4" t="s">
        <v>1001</v>
      </c>
      <c r="Q1180" s="4" t="s">
        <v>743</v>
      </c>
      <c r="R1180" s="4" t="s">
        <v>730</v>
      </c>
      <c r="S1180" s="2">
        <v>46174.81129795139</v>
      </c>
      <c r="T1180" s="5">
        <v>1.5922453703703704E-4</v>
      </c>
      <c r="U1180" s="4">
        <v>4.7407098114490509E-2</v>
      </c>
      <c r="V1180" s="4" t="s">
        <v>815</v>
      </c>
      <c r="W1180" s="4" t="s">
        <v>754</v>
      </c>
      <c r="X1180" s="6" t="s">
        <v>617</v>
      </c>
    </row>
    <row r="1181" spans="1:24">
      <c r="A1181" s="4" t="s">
        <v>926</v>
      </c>
      <c r="B1181" s="4" t="s">
        <v>927</v>
      </c>
      <c r="D1181" s="4" t="s">
        <v>928</v>
      </c>
      <c r="E1181" s="4" t="s">
        <v>929</v>
      </c>
      <c r="M1181" s="4" t="s">
        <v>754</v>
      </c>
      <c r="N1181" s="4">
        <v>-71.396087600000001</v>
      </c>
      <c r="O1181" s="4">
        <v>3.7358653550000001</v>
      </c>
      <c r="P1181" s="4" t="s">
        <v>1001</v>
      </c>
      <c r="Q1181" s="4" t="s">
        <v>743</v>
      </c>
      <c r="R1181" s="4" t="s">
        <v>730</v>
      </c>
      <c r="S1181" s="2">
        <v>46174.813651620476</v>
      </c>
      <c r="T1181" s="5">
        <v>1.1163194444444445E-4</v>
      </c>
      <c r="U1181" s="4">
        <v>3.0906843021512032E-2</v>
      </c>
      <c r="V1181" s="4" t="s">
        <v>791</v>
      </c>
      <c r="W1181" s="4" t="s">
        <v>754</v>
      </c>
      <c r="X1181" s="6" t="s">
        <v>617</v>
      </c>
    </row>
    <row r="1182" spans="1:24">
      <c r="A1182" s="4" t="s">
        <v>926</v>
      </c>
      <c r="B1182" s="4" t="s">
        <v>927</v>
      </c>
      <c r="D1182" s="4" t="s">
        <v>928</v>
      </c>
      <c r="E1182" s="4" t="s">
        <v>929</v>
      </c>
      <c r="M1182" s="4" t="s">
        <v>757</v>
      </c>
      <c r="N1182" s="4">
        <v>-71.394256606166664</v>
      </c>
      <c r="O1182" s="4">
        <v>3.7391380978733335</v>
      </c>
      <c r="P1182" s="4" t="s">
        <v>1001</v>
      </c>
      <c r="Q1182" s="4" t="s">
        <v>743</v>
      </c>
      <c r="R1182" s="4" t="s">
        <v>730</v>
      </c>
      <c r="S1182" s="2">
        <v>46174.814500208333</v>
      </c>
      <c r="T1182" s="5">
        <v>6.1263888888888891E-4</v>
      </c>
      <c r="U1182" s="4">
        <v>0.64778518676757813</v>
      </c>
      <c r="V1182" s="4" t="s">
        <v>849</v>
      </c>
      <c r="W1182" s="4" t="s">
        <v>757</v>
      </c>
      <c r="X1182" s="6" t="s">
        <v>617</v>
      </c>
    </row>
    <row r="1183" spans="1:24">
      <c r="A1183" s="4" t="s">
        <v>926</v>
      </c>
      <c r="B1183" s="4" t="s">
        <v>927</v>
      </c>
      <c r="D1183" s="4" t="s">
        <v>928</v>
      </c>
      <c r="E1183" s="4" t="s">
        <v>929</v>
      </c>
      <c r="M1183" s="4" t="s">
        <v>757</v>
      </c>
      <c r="N1183" s="4">
        <v>-71.395063739999998</v>
      </c>
      <c r="O1183" s="4">
        <v>3.743524646</v>
      </c>
      <c r="P1183" s="4" t="s">
        <v>999</v>
      </c>
      <c r="Q1183" s="4" t="s">
        <v>743</v>
      </c>
      <c r="R1183" s="4" t="s">
        <v>730</v>
      </c>
      <c r="S1183" s="2">
        <v>46174.815159722224</v>
      </c>
      <c r="T1183" s="5">
        <v>8.4618055555555553E-5</v>
      </c>
      <c r="U1183" s="4">
        <v>8.3550095558166504E-2</v>
      </c>
      <c r="V1183" s="4" t="s">
        <v>774</v>
      </c>
      <c r="W1183" s="4" t="s">
        <v>757</v>
      </c>
      <c r="X1183" s="6" t="s">
        <v>617</v>
      </c>
    </row>
    <row r="1184" spans="1:24">
      <c r="A1184" s="4" t="s">
        <v>926</v>
      </c>
      <c r="B1184" s="4" t="s">
        <v>927</v>
      </c>
      <c r="D1184" s="4" t="s">
        <v>928</v>
      </c>
      <c r="E1184" s="4" t="s">
        <v>929</v>
      </c>
      <c r="M1184" s="4" t="s">
        <v>757</v>
      </c>
      <c r="N1184" s="4">
        <v>-71.396337190200001</v>
      </c>
      <c r="O1184" s="4">
        <v>3.7441409610600003</v>
      </c>
      <c r="P1184" s="4" t="s">
        <v>999</v>
      </c>
      <c r="Q1184" s="4" t="s">
        <v>743</v>
      </c>
      <c r="R1184" s="4" t="s">
        <v>730</v>
      </c>
      <c r="S1184" s="2">
        <v>46174.815443125</v>
      </c>
      <c r="T1184" s="5">
        <v>6.1793981481481479E-5</v>
      </c>
      <c r="U1184" s="4">
        <v>6.2730669975280762E-2</v>
      </c>
      <c r="V1184" s="4" t="s">
        <v>849</v>
      </c>
      <c r="W1184" s="4" t="s">
        <v>757</v>
      </c>
      <c r="X1184" s="6" t="s">
        <v>617</v>
      </c>
    </row>
    <row r="1185" spans="1:24">
      <c r="A1185" s="4" t="s">
        <v>926</v>
      </c>
      <c r="B1185" s="4" t="s">
        <v>927</v>
      </c>
      <c r="D1185" s="4" t="s">
        <v>928</v>
      </c>
      <c r="E1185" s="4" t="s">
        <v>929</v>
      </c>
      <c r="M1185" s="4" t="s">
        <v>757</v>
      </c>
      <c r="N1185" s="4">
        <v>-71.396927602600002</v>
      </c>
      <c r="O1185" s="4">
        <v>3.7455637130700001</v>
      </c>
      <c r="P1185" s="4" t="s">
        <v>999</v>
      </c>
      <c r="Q1185" s="4" t="s">
        <v>743</v>
      </c>
      <c r="R1185" s="4" t="s">
        <v>730</v>
      </c>
      <c r="S1185" s="2">
        <v>46174.815660775464</v>
      </c>
      <c r="T1185" s="5">
        <v>1.5519675925925925E-4</v>
      </c>
      <c r="U1185" s="4">
        <v>0.16834025084972382</v>
      </c>
      <c r="V1185" s="4" t="s">
        <v>973</v>
      </c>
      <c r="W1185" s="4" t="s">
        <v>757</v>
      </c>
      <c r="X1185" s="6" t="s">
        <v>617</v>
      </c>
    </row>
    <row r="1186" spans="1:24">
      <c r="A1186" s="4" t="s">
        <v>926</v>
      </c>
      <c r="B1186" s="4" t="s">
        <v>927</v>
      </c>
      <c r="D1186" s="4" t="s">
        <v>928</v>
      </c>
      <c r="E1186" s="4" t="s">
        <v>929</v>
      </c>
      <c r="M1186" s="4" t="s">
        <v>754</v>
      </c>
      <c r="N1186" s="4">
        <v>-71.402116379999995</v>
      </c>
      <c r="O1186" s="4">
        <v>3.776241588</v>
      </c>
      <c r="P1186" s="4" t="s">
        <v>988</v>
      </c>
      <c r="Q1186" s="4" t="s">
        <v>743</v>
      </c>
      <c r="R1186" s="4" t="s">
        <v>730</v>
      </c>
      <c r="S1186" s="2">
        <v>46174.838245370367</v>
      </c>
      <c r="T1186" s="5">
        <v>5.9027777777777778E-4</v>
      </c>
      <c r="U1186" s="4">
        <v>0.17334666848182678</v>
      </c>
      <c r="V1186" s="4" t="s">
        <v>820</v>
      </c>
      <c r="W1186" s="4" t="s">
        <v>754</v>
      </c>
      <c r="X1186" s="6" t="s">
        <v>617</v>
      </c>
    </row>
    <row r="1187" spans="1:24">
      <c r="A1187" s="4" t="s">
        <v>926</v>
      </c>
      <c r="B1187" s="4" t="s">
        <v>927</v>
      </c>
      <c r="D1187" s="4" t="s">
        <v>928</v>
      </c>
      <c r="E1187" s="4" t="s">
        <v>929</v>
      </c>
      <c r="M1187" s="4" t="s">
        <v>754</v>
      </c>
      <c r="N1187" s="4">
        <v>-71.400554650000004</v>
      </c>
      <c r="O1187" s="4">
        <v>3.776389955</v>
      </c>
      <c r="P1187" s="4" t="s">
        <v>989</v>
      </c>
      <c r="Q1187" s="4" t="s">
        <v>743</v>
      </c>
      <c r="R1187" s="4" t="s">
        <v>730</v>
      </c>
      <c r="S1187" s="2">
        <v>46174.840983796297</v>
      </c>
      <c r="T1187" s="5">
        <v>1.6782417407407407E-4</v>
      </c>
      <c r="U1187" s="4">
        <v>4.6982448548078537E-2</v>
      </c>
      <c r="V1187" s="4" t="s">
        <v>790</v>
      </c>
      <c r="W1187" s="4" t="s">
        <v>754</v>
      </c>
      <c r="X1187" s="6" t="s">
        <v>617</v>
      </c>
    </row>
    <row r="1188" spans="1:24">
      <c r="A1188" s="4" t="s">
        <v>926</v>
      </c>
      <c r="B1188" s="4" t="s">
        <v>927</v>
      </c>
      <c r="D1188" s="4" t="s">
        <v>928</v>
      </c>
      <c r="E1188" s="4" t="s">
        <v>929</v>
      </c>
      <c r="M1188" s="4" t="s">
        <v>754</v>
      </c>
      <c r="N1188" s="4">
        <v>-71.400222792371423</v>
      </c>
      <c r="O1188" s="4">
        <v>3.7760168779085714</v>
      </c>
      <c r="P1188" s="4" t="s">
        <v>989</v>
      </c>
      <c r="Q1188" s="4" t="s">
        <v>743</v>
      </c>
      <c r="R1188" s="4" t="s">
        <v>730</v>
      </c>
      <c r="S1188" s="2">
        <v>46174.842156631945</v>
      </c>
      <c r="T1188" s="5">
        <v>1.8133101851851852E-4</v>
      </c>
      <c r="U1188" s="4">
        <v>4.6828899532556534E-2</v>
      </c>
      <c r="V1188" s="4" t="s">
        <v>790</v>
      </c>
      <c r="W1188" s="4" t="s">
        <v>754</v>
      </c>
      <c r="X1188" s="6" t="s">
        <v>617</v>
      </c>
    </row>
    <row r="1189" spans="1:24">
      <c r="A1189" s="4" t="s">
        <v>926</v>
      </c>
      <c r="B1189" s="4" t="s">
        <v>927</v>
      </c>
      <c r="D1189" s="4" t="s">
        <v>928</v>
      </c>
      <c r="E1189" s="4" t="s">
        <v>929</v>
      </c>
      <c r="M1189" s="4" t="s">
        <v>754</v>
      </c>
      <c r="N1189" s="4">
        <v>-71.400333399999994</v>
      </c>
      <c r="O1189" s="4">
        <v>3.7762028000000001</v>
      </c>
      <c r="P1189" s="4" t="s">
        <v>989</v>
      </c>
      <c r="Q1189" s="4" t="s">
        <v>743</v>
      </c>
      <c r="R1189" s="4" t="s">
        <v>730</v>
      </c>
      <c r="S1189" s="2">
        <v>46174.844079861214</v>
      </c>
      <c r="T1189" s="5">
        <v>1.099538037037037E-4</v>
      </c>
      <c r="U1189" s="4">
        <v>2.9446752741932869E-2</v>
      </c>
      <c r="V1189" s="4" t="s">
        <v>815</v>
      </c>
      <c r="W1189" s="4" t="s">
        <v>754</v>
      </c>
      <c r="X1189" s="6" t="s">
        <v>617</v>
      </c>
    </row>
    <row r="1190" spans="1:24">
      <c r="A1190" s="4" t="s">
        <v>926</v>
      </c>
      <c r="B1190" s="4" t="s">
        <v>927</v>
      </c>
      <c r="D1190" s="4" t="s">
        <v>928</v>
      </c>
      <c r="E1190" s="4" t="s">
        <v>929</v>
      </c>
      <c r="M1190" s="4" t="s">
        <v>754</v>
      </c>
      <c r="N1190" s="4">
        <v>-71.400344799999999</v>
      </c>
      <c r="O1190" s="4">
        <v>3.7760200500000001</v>
      </c>
      <c r="P1190" s="4" t="s">
        <v>989</v>
      </c>
      <c r="Q1190" s="4" t="s">
        <v>743</v>
      </c>
      <c r="R1190" s="4" t="s">
        <v>730</v>
      </c>
      <c r="S1190" s="2">
        <v>46174.844189814816</v>
      </c>
      <c r="T1190" s="5">
        <v>5.0231481481481482E-5</v>
      </c>
      <c r="U1190" s="4">
        <v>1.5228393487632275E-2</v>
      </c>
      <c r="V1190" s="4" t="s">
        <v>791</v>
      </c>
      <c r="W1190" s="4" t="s">
        <v>754</v>
      </c>
      <c r="X1190" s="6" t="s">
        <v>617</v>
      </c>
    </row>
    <row r="1191" spans="1:24">
      <c r="A1191" s="4" t="s">
        <v>926</v>
      </c>
      <c r="B1191" s="4" t="s">
        <v>927</v>
      </c>
      <c r="D1191" s="4" t="s">
        <v>928</v>
      </c>
      <c r="E1191" s="4" t="s">
        <v>929</v>
      </c>
      <c r="M1191" s="4" t="s">
        <v>875</v>
      </c>
      <c r="N1191" s="4">
        <v>-71.400071370799992</v>
      </c>
      <c r="O1191" s="4">
        <v>3.7715408413700002</v>
      </c>
      <c r="P1191" s="4" t="s">
        <v>991</v>
      </c>
      <c r="Q1191" s="4" t="s">
        <v>877</v>
      </c>
      <c r="R1191" s="4" t="s">
        <v>720</v>
      </c>
      <c r="S1191" s="2">
        <v>46174.846078252318</v>
      </c>
      <c r="T1191" s="5">
        <v>2.1341435185185184E-4</v>
      </c>
      <c r="U1191" s="4">
        <v>0.12245739996433258</v>
      </c>
      <c r="V1191" s="4" t="s">
        <v>789</v>
      </c>
      <c r="W1191" s="4" t="s">
        <v>875</v>
      </c>
      <c r="X1191" s="6" t="s">
        <v>617</v>
      </c>
    </row>
    <row r="1192" spans="1:24">
      <c r="A1192" s="4" t="s">
        <v>926</v>
      </c>
      <c r="B1192" s="4" t="s">
        <v>927</v>
      </c>
      <c r="D1192" s="4" t="s">
        <v>928</v>
      </c>
      <c r="E1192" s="4" t="s">
        <v>929</v>
      </c>
      <c r="M1192" s="4" t="s">
        <v>875</v>
      </c>
      <c r="N1192" s="4">
        <v>-71.401843260000007</v>
      </c>
      <c r="O1192" s="4">
        <v>3.770420836</v>
      </c>
      <c r="P1192" s="4" t="s">
        <v>991</v>
      </c>
      <c r="Q1192" s="4" t="s">
        <v>877</v>
      </c>
      <c r="R1192" s="4" t="s">
        <v>720</v>
      </c>
      <c r="S1192" s="2">
        <v>46174.846525462963</v>
      </c>
      <c r="T1192" s="5">
        <v>1.5804398148148147E-4</v>
      </c>
      <c r="U1192" s="4">
        <v>0.10048903524875641</v>
      </c>
      <c r="V1192" s="4" t="s">
        <v>783</v>
      </c>
      <c r="W1192" s="4" t="s">
        <v>875</v>
      </c>
      <c r="X1192" s="6" t="s">
        <v>617</v>
      </c>
    </row>
    <row r="1193" spans="1:24">
      <c r="A1193" s="4" t="s">
        <v>926</v>
      </c>
      <c r="B1193" s="4" t="s">
        <v>927</v>
      </c>
      <c r="D1193" s="4" t="s">
        <v>928</v>
      </c>
      <c r="E1193" s="4" t="s">
        <v>929</v>
      </c>
      <c r="M1193" s="4" t="s">
        <v>754</v>
      </c>
      <c r="N1193" s="4">
        <v>-71.402264379999991</v>
      </c>
      <c r="O1193" s="4">
        <v>3.7684840679999998</v>
      </c>
      <c r="P1193" s="4" t="s">
        <v>991</v>
      </c>
      <c r="Q1193" s="4" t="s">
        <v>877</v>
      </c>
      <c r="R1193" s="4" t="s">
        <v>720</v>
      </c>
      <c r="S1193" s="2">
        <v>46174.848719907408</v>
      </c>
      <c r="T1193" s="5">
        <v>8.5208333333333335E-5</v>
      </c>
      <c r="U1193" s="4">
        <v>2.9930774122476578E-2</v>
      </c>
      <c r="V1193" s="4" t="s">
        <v>815</v>
      </c>
      <c r="W1193" s="4" t="s">
        <v>754</v>
      </c>
      <c r="X1193" s="6" t="s">
        <v>617</v>
      </c>
    </row>
    <row r="1194" spans="1:24">
      <c r="A1194" s="4" t="s">
        <v>926</v>
      </c>
      <c r="B1194" s="4" t="s">
        <v>927</v>
      </c>
      <c r="D1194" s="4" t="s">
        <v>928</v>
      </c>
      <c r="E1194" s="4" t="s">
        <v>929</v>
      </c>
      <c r="M1194" s="4" t="s">
        <v>625</v>
      </c>
      <c r="N1194" s="4">
        <v>-71.400909400000003</v>
      </c>
      <c r="O1194" s="4">
        <v>3.77072239</v>
      </c>
      <c r="P1194" s="4" t="s">
        <v>991</v>
      </c>
      <c r="Q1194" s="4" t="s">
        <v>877</v>
      </c>
      <c r="R1194" s="4" t="s">
        <v>720</v>
      </c>
      <c r="S1194" s="2">
        <v>46174.849965277775</v>
      </c>
      <c r="T1194" s="5">
        <v>0</v>
      </c>
      <c r="U1194" s="4">
        <v>0</v>
      </c>
      <c r="V1194" s="4" t="s">
        <v>960</v>
      </c>
      <c r="W1194" s="4" t="s">
        <v>625</v>
      </c>
      <c r="X1194" s="6" t="s">
        <v>617</v>
      </c>
    </row>
    <row r="1195" spans="1:24">
      <c r="A1195" s="4" t="s">
        <v>926</v>
      </c>
      <c r="B1195" s="4" t="s">
        <v>927</v>
      </c>
      <c r="D1195" s="4" t="s">
        <v>928</v>
      </c>
      <c r="E1195" s="4" t="s">
        <v>929</v>
      </c>
      <c r="M1195" s="4" t="s">
        <v>614</v>
      </c>
      <c r="N1195" s="4">
        <v>-71.393936199999999</v>
      </c>
      <c r="O1195" s="4">
        <v>3.7832632099999999</v>
      </c>
      <c r="P1195" s="4" t="s">
        <v>992</v>
      </c>
      <c r="Q1195" s="4" t="s">
        <v>743</v>
      </c>
      <c r="R1195" s="4" t="s">
        <v>730</v>
      </c>
      <c r="S1195" s="2">
        <v>46174.866481481484</v>
      </c>
      <c r="T1195" s="5">
        <v>6.4351851851851853E-3</v>
      </c>
      <c r="U1195" s="4">
        <v>1.9693702924996614E-3</v>
      </c>
      <c r="V1195" s="4" t="s">
        <v>616</v>
      </c>
      <c r="W1195" s="4" t="s">
        <v>614</v>
      </c>
      <c r="X1195" s="6" t="s">
        <v>617</v>
      </c>
    </row>
    <row r="1196" spans="1:24">
      <c r="A1196" s="4" t="s">
        <v>926</v>
      </c>
      <c r="B1196" s="4" t="s">
        <v>927</v>
      </c>
      <c r="D1196" s="4" t="s">
        <v>928</v>
      </c>
      <c r="E1196" s="4" t="s">
        <v>929</v>
      </c>
      <c r="M1196" s="4" t="s">
        <v>754</v>
      </c>
      <c r="N1196" s="4">
        <v>-71.393936199999999</v>
      </c>
      <c r="O1196" s="4">
        <v>3.7831822649999998</v>
      </c>
      <c r="P1196" s="4" t="s">
        <v>992</v>
      </c>
      <c r="Q1196" s="4" t="s">
        <v>743</v>
      </c>
      <c r="R1196" s="4" t="s">
        <v>730</v>
      </c>
      <c r="S1196" s="2">
        <v>46174.875133101952</v>
      </c>
      <c r="T1196" s="5">
        <v>1.0787037037037037E-4</v>
      </c>
      <c r="U1196" s="4">
        <v>4.9148485064506531E-2</v>
      </c>
      <c r="V1196" s="4" t="s">
        <v>1010</v>
      </c>
      <c r="W1196" s="4" t="s">
        <v>754</v>
      </c>
      <c r="X1196" s="6" t="s">
        <v>617</v>
      </c>
    </row>
    <row r="1197" spans="1:24">
      <c r="A1197" s="4" t="s">
        <v>926</v>
      </c>
      <c r="B1197" s="4" t="s">
        <v>927</v>
      </c>
      <c r="D1197" s="4" t="s">
        <v>928</v>
      </c>
      <c r="E1197" s="4" t="s">
        <v>929</v>
      </c>
      <c r="M1197" s="4" t="s">
        <v>754</v>
      </c>
      <c r="N1197" s="4">
        <v>-71.392791749999986</v>
      </c>
      <c r="O1197" s="4">
        <v>3.7827146049999998</v>
      </c>
      <c r="P1197" s="4" t="s">
        <v>992</v>
      </c>
      <c r="Q1197" s="4" t="s">
        <v>743</v>
      </c>
      <c r="R1197" s="4" t="s">
        <v>730</v>
      </c>
      <c r="S1197" s="2">
        <v>46174.878587962965</v>
      </c>
      <c r="T1197" s="5">
        <v>5.0543981481481483E-5</v>
      </c>
      <c r="U1197" s="4">
        <v>1.3095386326313019E-2</v>
      </c>
      <c r="V1197" s="4" t="s">
        <v>791</v>
      </c>
      <c r="W1197" s="4" t="s">
        <v>754</v>
      </c>
      <c r="X1197" s="6" t="s">
        <v>617</v>
      </c>
    </row>
    <row r="1198" spans="1:24">
      <c r="A1198" s="4" t="s">
        <v>926</v>
      </c>
      <c r="B1198" s="4" t="s">
        <v>927</v>
      </c>
      <c r="D1198" s="4" t="s">
        <v>928</v>
      </c>
      <c r="E1198" s="4" t="s">
        <v>929</v>
      </c>
      <c r="M1198" s="4" t="s">
        <v>757</v>
      </c>
      <c r="N1198" s="4">
        <v>-71.390354132690007</v>
      </c>
      <c r="O1198" s="4">
        <v>3.7794922833459998</v>
      </c>
      <c r="P1198" s="4" t="s">
        <v>993</v>
      </c>
      <c r="Q1198" s="4" t="s">
        <v>743</v>
      </c>
      <c r="R1198" s="4" t="s">
        <v>730</v>
      </c>
      <c r="S1198" s="2">
        <v>46174.879610335651</v>
      </c>
      <c r="T1198" s="5">
        <v>5.1122685185185183E-5</v>
      </c>
      <c r="U1198" s="4">
        <v>4.6973563730716705E-2</v>
      </c>
      <c r="V1198" s="4" t="s">
        <v>758</v>
      </c>
      <c r="W1198" s="4" t="s">
        <v>757</v>
      </c>
      <c r="X1198" s="6" t="s">
        <v>617</v>
      </c>
    </row>
    <row r="1199" spans="1:24">
      <c r="A1199" s="4" t="s">
        <v>926</v>
      </c>
      <c r="B1199" s="4" t="s">
        <v>927</v>
      </c>
      <c r="D1199" s="4" t="s">
        <v>928</v>
      </c>
      <c r="E1199" s="4" t="s">
        <v>929</v>
      </c>
      <c r="M1199" s="4" t="s">
        <v>754</v>
      </c>
      <c r="N1199" s="4">
        <v>-71.383453399999993</v>
      </c>
      <c r="O1199" s="4">
        <v>3.7584843600000002</v>
      </c>
      <c r="P1199" s="4" t="s">
        <v>1011</v>
      </c>
      <c r="Q1199" s="4" t="s">
        <v>743</v>
      </c>
      <c r="R1199" s="4" t="s">
        <v>730</v>
      </c>
      <c r="S1199" s="2">
        <v>46174.889351851853</v>
      </c>
      <c r="T1199" s="5">
        <v>3.5879629629629629E-4</v>
      </c>
      <c r="U1199" s="4">
        <v>9.4750568270683289E-2</v>
      </c>
      <c r="V1199" s="4" t="s">
        <v>791</v>
      </c>
      <c r="W1199" s="4" t="s">
        <v>754</v>
      </c>
      <c r="X1199" s="6" t="s">
        <v>617</v>
      </c>
    </row>
    <row r="1200" spans="1:24">
      <c r="A1200" s="4" t="s">
        <v>926</v>
      </c>
      <c r="B1200" s="4" t="s">
        <v>927</v>
      </c>
      <c r="D1200" s="4" t="s">
        <v>928</v>
      </c>
      <c r="E1200" s="4" t="s">
        <v>929</v>
      </c>
      <c r="M1200" s="4" t="s">
        <v>754</v>
      </c>
      <c r="N1200" s="4">
        <v>-71.382705700000002</v>
      </c>
      <c r="O1200" s="4">
        <v>3.7585500449999998</v>
      </c>
      <c r="P1200" s="4" t="s">
        <v>1011</v>
      </c>
      <c r="Q1200" s="4" t="s">
        <v>743</v>
      </c>
      <c r="R1200" s="4" t="s">
        <v>730</v>
      </c>
      <c r="S1200" s="2">
        <v>46174.898726851854</v>
      </c>
      <c r="T1200" s="5">
        <v>3.4722222222222222E-5</v>
      </c>
      <c r="U1200" s="4">
        <v>8.695981465280056E-3</v>
      </c>
      <c r="V1200" s="4" t="s">
        <v>790</v>
      </c>
      <c r="W1200" s="4" t="s">
        <v>754</v>
      </c>
      <c r="X1200" s="6" t="s">
        <v>617</v>
      </c>
    </row>
    <row r="1201" spans="1:24">
      <c r="A1201" s="4" t="s">
        <v>926</v>
      </c>
      <c r="B1201" s="4" t="s">
        <v>927</v>
      </c>
      <c r="D1201" s="4" t="s">
        <v>928</v>
      </c>
      <c r="E1201" s="4" t="s">
        <v>929</v>
      </c>
      <c r="M1201" s="4" t="s">
        <v>754</v>
      </c>
      <c r="N1201" s="4">
        <v>-71.382553099999996</v>
      </c>
      <c r="O1201" s="4">
        <v>3.7585959400000002</v>
      </c>
      <c r="P1201" s="4" t="s">
        <v>1011</v>
      </c>
      <c r="Q1201" s="4" t="s">
        <v>743</v>
      </c>
      <c r="R1201" s="4" t="s">
        <v>730</v>
      </c>
      <c r="S1201" s="2">
        <v>46174.89880787037</v>
      </c>
      <c r="T1201" s="5">
        <v>1.5150462962962963E-5</v>
      </c>
      <c r="U1201" s="4">
        <v>5.7863541878759861E-3</v>
      </c>
      <c r="V1201" s="4" t="s">
        <v>790</v>
      </c>
      <c r="W1201" s="4" t="s">
        <v>754</v>
      </c>
      <c r="X1201" s="6" t="s">
        <v>617</v>
      </c>
    </row>
    <row r="1202" spans="1:24">
      <c r="A1202" s="4" t="s">
        <v>926</v>
      </c>
      <c r="B1202" s="4" t="s">
        <v>927</v>
      </c>
      <c r="D1202" s="4" t="s">
        <v>928</v>
      </c>
      <c r="E1202" s="4" t="s">
        <v>929</v>
      </c>
      <c r="M1202" s="4" t="s">
        <v>757</v>
      </c>
      <c r="N1202" s="4">
        <v>-71.392323310000009</v>
      </c>
      <c r="O1202" s="4">
        <v>3.7810188810000001</v>
      </c>
      <c r="P1202" s="4" t="s">
        <v>993</v>
      </c>
      <c r="Q1202" s="4" t="s">
        <v>743</v>
      </c>
      <c r="R1202" s="4" t="s">
        <v>730</v>
      </c>
      <c r="S1202" s="2">
        <v>46174.902873842591</v>
      </c>
      <c r="T1202" s="5">
        <v>3.7037037037037037E-5</v>
      </c>
      <c r="U1202" s="4">
        <v>3.487863764166832E-2</v>
      </c>
      <c r="V1202" s="4" t="s">
        <v>758</v>
      </c>
      <c r="W1202" s="4" t="s">
        <v>757</v>
      </c>
      <c r="X1202" s="6" t="s">
        <v>617</v>
      </c>
    </row>
    <row r="1203" spans="1:24">
      <c r="A1203" s="4" t="s">
        <v>926</v>
      </c>
      <c r="B1203" s="4" t="s">
        <v>927</v>
      </c>
      <c r="D1203" s="4" t="s">
        <v>928</v>
      </c>
      <c r="E1203" s="4" t="s">
        <v>929</v>
      </c>
      <c r="M1203" s="4" t="s">
        <v>757</v>
      </c>
      <c r="N1203" s="4">
        <v>-71.394448615437497</v>
      </c>
      <c r="O1203" s="4">
        <v>3.7811804648675</v>
      </c>
      <c r="P1203" s="4" t="s">
        <v>984</v>
      </c>
      <c r="Q1203" s="4" t="s">
        <v>743</v>
      </c>
      <c r="R1203" s="4" t="s">
        <v>730</v>
      </c>
      <c r="S1203" s="2">
        <v>46174.903132719905</v>
      </c>
      <c r="T1203" s="5">
        <v>4.1469907407407404E-5</v>
      </c>
      <c r="U1203" s="4">
        <v>3.8655776530504227E-2</v>
      </c>
      <c r="V1203" s="4" t="s">
        <v>758</v>
      </c>
      <c r="W1203" s="4" t="s">
        <v>757</v>
      </c>
      <c r="X1203" s="6" t="s">
        <v>617</v>
      </c>
    </row>
    <row r="1204" spans="1:24">
      <c r="A1204" s="4" t="s">
        <v>926</v>
      </c>
      <c r="B1204" s="4" t="s">
        <v>927</v>
      </c>
      <c r="D1204" s="4" t="s">
        <v>928</v>
      </c>
      <c r="E1204" s="4" t="s">
        <v>929</v>
      </c>
      <c r="M1204" s="4" t="s">
        <v>757</v>
      </c>
      <c r="N1204" s="4">
        <v>-71.396003750000006</v>
      </c>
      <c r="O1204" s="4">
        <v>3.7815532699999999</v>
      </c>
      <c r="P1204" s="4" t="s">
        <v>984</v>
      </c>
      <c r="Q1204" s="4" t="s">
        <v>743</v>
      </c>
      <c r="R1204" s="4" t="s">
        <v>730</v>
      </c>
      <c r="S1204" s="2">
        <v>46174.903327546395</v>
      </c>
      <c r="T1204" s="5">
        <v>4.4363425925925926E-5</v>
      </c>
      <c r="U1204" s="4">
        <v>4.1178494691848755E-2</v>
      </c>
      <c r="V1204" s="4" t="s">
        <v>758</v>
      </c>
      <c r="W1204" s="4" t="s">
        <v>757</v>
      </c>
      <c r="X1204" s="6" t="s">
        <v>617</v>
      </c>
    </row>
    <row r="1205" spans="1:24">
      <c r="A1205" s="4" t="s">
        <v>926</v>
      </c>
      <c r="B1205" s="4" t="s">
        <v>927</v>
      </c>
      <c r="D1205" s="4" t="s">
        <v>928</v>
      </c>
      <c r="E1205" s="4" t="s">
        <v>929</v>
      </c>
      <c r="M1205" s="4" t="s">
        <v>754</v>
      </c>
      <c r="N1205" s="4">
        <v>-71.400090000000006</v>
      </c>
      <c r="O1205" s="4">
        <v>3.7918497580000001</v>
      </c>
      <c r="P1205" s="4" t="s">
        <v>942</v>
      </c>
      <c r="Q1205" s="4" t="s">
        <v>743</v>
      </c>
      <c r="R1205" s="4" t="s">
        <v>730</v>
      </c>
      <c r="S1205" s="2">
        <v>46174.908668981479</v>
      </c>
      <c r="T1205" s="5">
        <v>7.5231581481481481E-5</v>
      </c>
      <c r="U1205" s="4">
        <v>1.6339167952537537E-2</v>
      </c>
      <c r="V1205" s="4" t="s">
        <v>791</v>
      </c>
      <c r="W1205" s="4" t="s">
        <v>754</v>
      </c>
      <c r="X1205" s="6" t="s">
        <v>617</v>
      </c>
    </row>
    <row r="1206" spans="1:24">
      <c r="A1206" s="4" t="s">
        <v>926</v>
      </c>
      <c r="B1206" s="4" t="s">
        <v>927</v>
      </c>
      <c r="D1206" s="4" t="s">
        <v>928</v>
      </c>
      <c r="E1206" s="4" t="s">
        <v>929</v>
      </c>
      <c r="M1206" s="4" t="s">
        <v>754</v>
      </c>
      <c r="N1206" s="4">
        <v>-71.400417300000001</v>
      </c>
      <c r="O1206" s="4">
        <v>3.7919594024999999</v>
      </c>
      <c r="P1206" s="4" t="s">
        <v>942</v>
      </c>
      <c r="Q1206" s="4" t="s">
        <v>743</v>
      </c>
      <c r="R1206" s="4" t="s">
        <v>730</v>
      </c>
      <c r="S1206" s="2">
        <v>46174.911319444444</v>
      </c>
      <c r="T1206" s="5">
        <v>3.0868055555555554E-5</v>
      </c>
      <c r="U1206" s="4">
        <v>7.2681396268308163E-3</v>
      </c>
      <c r="V1206" s="4" t="s">
        <v>814</v>
      </c>
      <c r="W1206" s="4" t="s">
        <v>754</v>
      </c>
      <c r="X1206" s="6" t="s">
        <v>617</v>
      </c>
    </row>
    <row r="1207" spans="1:24">
      <c r="A1207" s="4" t="s">
        <v>926</v>
      </c>
      <c r="B1207" s="4" t="s">
        <v>927</v>
      </c>
      <c r="D1207" s="4" t="s">
        <v>928</v>
      </c>
      <c r="E1207" s="4" t="s">
        <v>929</v>
      </c>
      <c r="M1207" s="4" t="s">
        <v>754</v>
      </c>
      <c r="N1207" s="4">
        <v>-71.400672900000004</v>
      </c>
      <c r="O1207" s="4">
        <v>3.7920148400000002</v>
      </c>
      <c r="P1207" s="4" t="s">
        <v>942</v>
      </c>
      <c r="Q1207" s="4" t="s">
        <v>743</v>
      </c>
      <c r="R1207" s="4" t="s">
        <v>730</v>
      </c>
      <c r="S1207" s="2">
        <v>46174.911469907405</v>
      </c>
      <c r="T1207" s="5">
        <v>9.2326388888888889E-5</v>
      </c>
      <c r="U1207" s="4">
        <v>3.9036784321069717E-2</v>
      </c>
      <c r="V1207" s="4" t="s">
        <v>820</v>
      </c>
      <c r="W1207" s="4" t="s">
        <v>754</v>
      </c>
      <c r="X1207" s="6" t="s">
        <v>617</v>
      </c>
    </row>
    <row r="1208" spans="1:24">
      <c r="A1208" s="4" t="s">
        <v>926</v>
      </c>
      <c r="B1208" s="4" t="s">
        <v>927</v>
      </c>
      <c r="D1208" s="4" t="s">
        <v>928</v>
      </c>
      <c r="E1208" s="4" t="s">
        <v>929</v>
      </c>
      <c r="M1208" s="4" t="s">
        <v>614</v>
      </c>
      <c r="N1208" s="4">
        <v>-71.389999399999994</v>
      </c>
      <c r="O1208" s="4">
        <v>3.7934448700000001</v>
      </c>
      <c r="P1208" s="4" t="s">
        <v>981</v>
      </c>
      <c r="Q1208" s="4" t="s">
        <v>743</v>
      </c>
      <c r="R1208" s="4" t="s">
        <v>730</v>
      </c>
      <c r="S1208" s="2">
        <v>46174.926145833335</v>
      </c>
      <c r="T1208" s="5">
        <v>3.5348148148148149E-3</v>
      </c>
      <c r="U1208" s="4">
        <v>0</v>
      </c>
      <c r="V1208" s="4" t="s">
        <v>616</v>
      </c>
      <c r="W1208" s="4" t="s">
        <v>614</v>
      </c>
      <c r="X1208" s="6" t="s">
        <v>617</v>
      </c>
    </row>
    <row r="1209" spans="1:24">
      <c r="A1209" s="4" t="s">
        <v>926</v>
      </c>
      <c r="B1209" s="4" t="s">
        <v>927</v>
      </c>
      <c r="D1209" s="4" t="s">
        <v>928</v>
      </c>
      <c r="E1209" s="4" t="s">
        <v>929</v>
      </c>
      <c r="M1209" s="4" t="s">
        <v>754</v>
      </c>
      <c r="N1209" s="4">
        <v>-71.3899002</v>
      </c>
      <c r="O1209" s="4">
        <v>3.7933476000000002</v>
      </c>
      <c r="P1209" s="4" t="s">
        <v>981</v>
      </c>
      <c r="Q1209" s="4" t="s">
        <v>743</v>
      </c>
      <c r="R1209" s="4" t="s">
        <v>730</v>
      </c>
      <c r="S1209" s="2">
        <v>46174.938356481478</v>
      </c>
      <c r="T1209" s="5">
        <v>3.857638888888889E-5</v>
      </c>
      <c r="U1209" s="4">
        <v>1.1712014675140381E-2</v>
      </c>
      <c r="V1209" s="4" t="s">
        <v>814</v>
      </c>
      <c r="W1209" s="4" t="s">
        <v>754</v>
      </c>
      <c r="X1209" s="6" t="s">
        <v>617</v>
      </c>
    </row>
    <row r="1210" spans="1:24">
      <c r="A1210" s="4" t="s">
        <v>926</v>
      </c>
      <c r="B1210" s="4" t="s">
        <v>927</v>
      </c>
      <c r="D1210" s="4" t="s">
        <v>928</v>
      </c>
      <c r="E1210" s="4" t="s">
        <v>929</v>
      </c>
      <c r="M1210" s="4" t="s">
        <v>754</v>
      </c>
      <c r="N1210" s="4">
        <v>-71.390202833333333</v>
      </c>
      <c r="O1210" s="4">
        <v>3.7931145833333333</v>
      </c>
      <c r="P1210" s="4" t="s">
        <v>981</v>
      </c>
      <c r="Q1210" s="4" t="s">
        <v>743</v>
      </c>
      <c r="R1210" s="4" t="s">
        <v>730</v>
      </c>
      <c r="S1210" s="2">
        <v>46174.938622685186</v>
      </c>
      <c r="T1210" s="5">
        <v>1.4756944444444445E-4</v>
      </c>
      <c r="U1210" s="4">
        <v>3.853849321603775E-2</v>
      </c>
      <c r="V1210" s="4" t="s">
        <v>790</v>
      </c>
      <c r="W1210" s="4" t="s">
        <v>754</v>
      </c>
      <c r="X1210" s="6" t="s">
        <v>617</v>
      </c>
    </row>
    <row r="1211" spans="1:24">
      <c r="A1211" s="4" t="s">
        <v>926</v>
      </c>
      <c r="B1211" s="4" t="s">
        <v>927</v>
      </c>
      <c r="D1211" s="4" t="s">
        <v>928</v>
      </c>
      <c r="E1211" s="4" t="s">
        <v>929</v>
      </c>
      <c r="M1211" s="4" t="s">
        <v>754</v>
      </c>
      <c r="N1211" s="4">
        <v>-71.390409425000001</v>
      </c>
      <c r="O1211" s="4">
        <v>3.7930410549999998</v>
      </c>
      <c r="P1211" s="4" t="s">
        <v>981</v>
      </c>
      <c r="Q1211" s="4" t="s">
        <v>743</v>
      </c>
      <c r="R1211" s="4" t="s">
        <v>730</v>
      </c>
      <c r="S1211" s="2">
        <v>46174.940341435286</v>
      </c>
      <c r="T1211" s="5">
        <v>1.2708333333333332E-4</v>
      </c>
      <c r="U1211" s="4">
        <v>4.0298033505678177E-2</v>
      </c>
      <c r="V1211" s="4" t="s">
        <v>823</v>
      </c>
      <c r="W1211" s="4" t="s">
        <v>754</v>
      </c>
      <c r="X1211" s="6" t="s">
        <v>617</v>
      </c>
    </row>
    <row r="1212" spans="1:24">
      <c r="A1212" s="4" t="s">
        <v>926</v>
      </c>
      <c r="B1212" s="4" t="s">
        <v>927</v>
      </c>
      <c r="D1212" s="4" t="s">
        <v>928</v>
      </c>
      <c r="E1212" s="4" t="s">
        <v>929</v>
      </c>
      <c r="M1212" s="4" t="s">
        <v>625</v>
      </c>
      <c r="N1212" s="4">
        <v>-71.389923100000004</v>
      </c>
      <c r="O1212" s="4">
        <v>3.7938695</v>
      </c>
      <c r="P1212" s="4" t="s">
        <v>946</v>
      </c>
      <c r="Q1212" s="4" t="s">
        <v>743</v>
      </c>
      <c r="R1212" s="4" t="s">
        <v>730</v>
      </c>
      <c r="S1212" s="2">
        <v>46174.940706018519</v>
      </c>
      <c r="T1212" s="5">
        <v>1.1574074074074073E-5</v>
      </c>
      <c r="U1212" s="4">
        <v>4.3194885365664959E-3</v>
      </c>
      <c r="V1212" s="4" t="s">
        <v>1012</v>
      </c>
      <c r="W1212" s="4" t="s">
        <v>625</v>
      </c>
      <c r="X1212" s="6" t="s">
        <v>617</v>
      </c>
    </row>
    <row r="1213" spans="1:24">
      <c r="A1213" s="4" t="s">
        <v>926</v>
      </c>
      <c r="B1213" s="4" t="s">
        <v>927</v>
      </c>
      <c r="D1213" s="4" t="s">
        <v>928</v>
      </c>
      <c r="E1213" s="4" t="s">
        <v>929</v>
      </c>
      <c r="M1213" s="4" t="s">
        <v>754</v>
      </c>
      <c r="N1213" s="4">
        <v>-71.389679000000001</v>
      </c>
      <c r="O1213" s="4">
        <v>3.7939159899999999</v>
      </c>
      <c r="P1213" s="4" t="s">
        <v>946</v>
      </c>
      <c r="Q1213" s="4" t="s">
        <v>743</v>
      </c>
      <c r="R1213" s="4" t="s">
        <v>730</v>
      </c>
      <c r="S1213" s="2">
        <v>46174.942615740743</v>
      </c>
      <c r="T1213" s="5">
        <v>3.0474537037037036E-5</v>
      </c>
      <c r="U1213" s="4">
        <v>1.5611923299729824E-2</v>
      </c>
      <c r="V1213" s="4" t="s">
        <v>796</v>
      </c>
      <c r="W1213" s="4" t="s">
        <v>754</v>
      </c>
      <c r="X1213" s="6" t="s">
        <v>617</v>
      </c>
    </row>
    <row r="1214" spans="1:24">
      <c r="A1214" s="4" t="s">
        <v>926</v>
      </c>
      <c r="B1214" s="4" t="s">
        <v>927</v>
      </c>
      <c r="D1214" s="4" t="s">
        <v>928</v>
      </c>
      <c r="E1214" s="4" t="s">
        <v>929</v>
      </c>
      <c r="M1214" s="4" t="s">
        <v>875</v>
      </c>
      <c r="N1214" s="4">
        <v>-71.388227548328572</v>
      </c>
      <c r="O1214" s="4">
        <v>3.7938498486857144</v>
      </c>
      <c r="P1214" s="4" t="s">
        <v>947</v>
      </c>
      <c r="Q1214" s="4" t="s">
        <v>877</v>
      </c>
      <c r="R1214" s="4" t="s">
        <v>720</v>
      </c>
      <c r="S1214" s="2">
        <v>46174.942851770837</v>
      </c>
      <c r="T1214" s="5">
        <v>3.7276620370370371E-4</v>
      </c>
      <c r="U1214" s="4">
        <v>0.30360600352287292</v>
      </c>
      <c r="V1214" s="4" t="s">
        <v>798</v>
      </c>
      <c r="W1214" s="4" t="s">
        <v>875</v>
      </c>
      <c r="X1214" s="6" t="s">
        <v>617</v>
      </c>
    </row>
    <row r="1215" spans="1:24">
      <c r="A1215" s="4" t="s">
        <v>926</v>
      </c>
      <c r="B1215" s="4" t="s">
        <v>927</v>
      </c>
      <c r="D1215" s="4" t="s">
        <v>928</v>
      </c>
      <c r="E1215" s="4" t="s">
        <v>929</v>
      </c>
      <c r="M1215" s="4" t="s">
        <v>875</v>
      </c>
      <c r="N1215" s="4">
        <v>-71.385510260000004</v>
      </c>
      <c r="O1215" s="4">
        <v>3.7930373639999999</v>
      </c>
      <c r="P1215" s="4" t="s">
        <v>905</v>
      </c>
      <c r="Q1215" s="4" t="s">
        <v>877</v>
      </c>
      <c r="R1215" s="4" t="s">
        <v>720</v>
      </c>
      <c r="S1215" s="2">
        <v>46174.94328472222</v>
      </c>
      <c r="T1215" s="5">
        <v>1.1868055555555556E-4</v>
      </c>
      <c r="U1215" s="4">
        <v>6.4194612205028534E-2</v>
      </c>
      <c r="V1215" s="4" t="s">
        <v>751</v>
      </c>
      <c r="W1215" s="4" t="s">
        <v>875</v>
      </c>
      <c r="X1215" s="6" t="s">
        <v>617</v>
      </c>
    </row>
    <row r="1216" spans="1:24">
      <c r="A1216" s="4" t="s">
        <v>926</v>
      </c>
      <c r="B1216" s="4" t="s">
        <v>927</v>
      </c>
      <c r="D1216" s="4" t="s">
        <v>928</v>
      </c>
      <c r="E1216" s="4" t="s">
        <v>929</v>
      </c>
      <c r="M1216" s="4" t="s">
        <v>875</v>
      </c>
      <c r="N1216" s="4">
        <v>-71.384768851800004</v>
      </c>
      <c r="O1216" s="4">
        <v>3.7932512520000001</v>
      </c>
      <c r="P1216" s="4" t="s">
        <v>905</v>
      </c>
      <c r="Q1216" s="4" t="s">
        <v>877</v>
      </c>
      <c r="R1216" s="4" t="s">
        <v>720</v>
      </c>
      <c r="S1216" s="2">
        <v>46174.943454039349</v>
      </c>
      <c r="T1216" s="5">
        <v>2.9756944444444445E-5</v>
      </c>
      <c r="U1216" s="4">
        <v>1.4127574861049652E-2</v>
      </c>
      <c r="V1216" s="4" t="s">
        <v>738</v>
      </c>
      <c r="W1216" s="4" t="s">
        <v>875</v>
      </c>
      <c r="X1216" s="6" t="s">
        <v>617</v>
      </c>
    </row>
    <row r="1217" spans="1:24">
      <c r="A1217" s="4" t="s">
        <v>926</v>
      </c>
      <c r="B1217" s="4" t="s">
        <v>927</v>
      </c>
      <c r="D1217" s="4" t="s">
        <v>928</v>
      </c>
      <c r="E1217" s="4" t="s">
        <v>929</v>
      </c>
      <c r="M1217" s="4" t="s">
        <v>875</v>
      </c>
      <c r="N1217" s="4">
        <v>-71.383888282690009</v>
      </c>
      <c r="O1217" s="4">
        <v>3.792833655051</v>
      </c>
      <c r="P1217" s="4" t="s">
        <v>904</v>
      </c>
      <c r="Q1217" s="4" t="s">
        <v>877</v>
      </c>
      <c r="R1217" s="4" t="s">
        <v>720</v>
      </c>
      <c r="S1217" s="2">
        <v>46174.943742280091</v>
      </c>
      <c r="T1217" s="5">
        <v>2.6234953703703701E-4</v>
      </c>
      <c r="U1217" s="4">
        <v>0.15031565725803375</v>
      </c>
      <c r="V1217" s="4" t="s">
        <v>789</v>
      </c>
      <c r="W1217" s="4" t="s">
        <v>875</v>
      </c>
      <c r="X1217" s="6" t="s">
        <v>617</v>
      </c>
    </row>
    <row r="1218" spans="1:24">
      <c r="A1218" s="4" t="s">
        <v>926</v>
      </c>
      <c r="B1218" s="4" t="s">
        <v>927</v>
      </c>
      <c r="D1218" s="4" t="s">
        <v>928</v>
      </c>
      <c r="E1218" s="4" t="s">
        <v>929</v>
      </c>
      <c r="M1218" s="4" t="s">
        <v>875</v>
      </c>
      <c r="N1218" s="4">
        <v>-71.382374600000006</v>
      </c>
      <c r="O1218" s="4">
        <v>3.7920819720000001</v>
      </c>
      <c r="P1218" s="4" t="s">
        <v>904</v>
      </c>
      <c r="Q1218" s="4" t="s">
        <v>877</v>
      </c>
      <c r="R1218" s="4" t="s">
        <v>720</v>
      </c>
      <c r="S1218" s="2">
        <v>46174.944097222222</v>
      </c>
      <c r="T1218" s="5">
        <v>4.6296296296296294E-5</v>
      </c>
      <c r="U1218" s="4">
        <v>2.2865964099764824E-2</v>
      </c>
      <c r="V1218" s="4" t="s">
        <v>738</v>
      </c>
      <c r="W1218" s="4" t="s">
        <v>875</v>
      </c>
      <c r="X1218" s="6" t="s">
        <v>617</v>
      </c>
    </row>
    <row r="1219" spans="1:24">
      <c r="A1219" s="4" t="s">
        <v>926</v>
      </c>
      <c r="B1219" s="4" t="s">
        <v>927</v>
      </c>
      <c r="D1219" s="4" t="s">
        <v>928</v>
      </c>
      <c r="E1219" s="4" t="s">
        <v>929</v>
      </c>
      <c r="M1219" s="4" t="s">
        <v>875</v>
      </c>
      <c r="N1219" s="4">
        <v>-71.382263199999997</v>
      </c>
      <c r="O1219" s="4">
        <v>3.7919111299999999</v>
      </c>
      <c r="P1219" s="4" t="s">
        <v>904</v>
      </c>
      <c r="Q1219" s="4" t="s">
        <v>877</v>
      </c>
      <c r="R1219" s="4" t="s">
        <v>720</v>
      </c>
      <c r="S1219" s="2">
        <v>46174.944143518522</v>
      </c>
      <c r="T1219" s="5">
        <v>6.018518518518519E-4</v>
      </c>
      <c r="U1219" s="4">
        <v>0.31718382239341736</v>
      </c>
      <c r="V1219" s="4" t="s">
        <v>750</v>
      </c>
      <c r="W1219" s="4" t="s">
        <v>875</v>
      </c>
      <c r="X1219" s="6" t="s">
        <v>617</v>
      </c>
    </row>
    <row r="1220" spans="1:24">
      <c r="A1220" s="4" t="s">
        <v>926</v>
      </c>
      <c r="B1220" s="4" t="s">
        <v>927</v>
      </c>
      <c r="D1220" s="4" t="s">
        <v>928</v>
      </c>
      <c r="E1220" s="4" t="s">
        <v>929</v>
      </c>
      <c r="M1220" s="4" t="s">
        <v>875</v>
      </c>
      <c r="N1220" s="4">
        <v>-71.381973299999999</v>
      </c>
      <c r="O1220" s="4">
        <v>3.78908873</v>
      </c>
      <c r="P1220" s="4" t="s">
        <v>980</v>
      </c>
      <c r="Q1220" s="4" t="s">
        <v>877</v>
      </c>
      <c r="R1220" s="4" t="s">
        <v>720</v>
      </c>
      <c r="S1220" s="2">
        <v>46174.944745370369</v>
      </c>
      <c r="T1220" s="5">
        <v>4.1666666666666669E-4</v>
      </c>
      <c r="U1220" s="4">
        <v>0.22424770891666412</v>
      </c>
      <c r="V1220" s="4" t="s">
        <v>750</v>
      </c>
      <c r="W1220" s="4" t="s">
        <v>875</v>
      </c>
      <c r="X1220" s="6" t="s">
        <v>617</v>
      </c>
    </row>
    <row r="1221" spans="1:24">
      <c r="A1221" s="4" t="s">
        <v>926</v>
      </c>
      <c r="B1221" s="4" t="s">
        <v>927</v>
      </c>
      <c r="D1221" s="4" t="s">
        <v>928</v>
      </c>
      <c r="E1221" s="4" t="s">
        <v>929</v>
      </c>
      <c r="M1221" s="4" t="s">
        <v>875</v>
      </c>
      <c r="N1221" s="4">
        <v>-71.381360366666669</v>
      </c>
      <c r="O1221" s="4">
        <v>3.7866634533333334</v>
      </c>
      <c r="P1221" s="4" t="s">
        <v>904</v>
      </c>
      <c r="Q1221" s="4" t="s">
        <v>877</v>
      </c>
      <c r="R1221" s="4" t="s">
        <v>720</v>
      </c>
      <c r="S1221" s="2">
        <v>46174.945335648146</v>
      </c>
      <c r="T1221" s="5">
        <v>4.6296296296296294E-5</v>
      </c>
      <c r="U1221" s="4">
        <v>2.4586236104369164E-2</v>
      </c>
      <c r="V1221" s="4" t="s">
        <v>750</v>
      </c>
      <c r="W1221" s="4" t="s">
        <v>875</v>
      </c>
      <c r="X1221" s="6" t="s">
        <v>617</v>
      </c>
    </row>
    <row r="1222" spans="1:24">
      <c r="A1222" s="4" t="s">
        <v>926</v>
      </c>
      <c r="B1222" s="4" t="s">
        <v>927</v>
      </c>
      <c r="D1222" s="4" t="s">
        <v>928</v>
      </c>
      <c r="E1222" s="4" t="s">
        <v>929</v>
      </c>
      <c r="M1222" s="4" t="s">
        <v>875</v>
      </c>
      <c r="N1222" s="4">
        <v>-71.380599972400006</v>
      </c>
      <c r="O1222" s="4">
        <v>3.7864698084449997</v>
      </c>
      <c r="P1222" s="4" t="s">
        <v>904</v>
      </c>
      <c r="Q1222" s="4" t="s">
        <v>877</v>
      </c>
      <c r="R1222" s="4" t="s">
        <v>720</v>
      </c>
      <c r="S1222" s="2">
        <v>46174.945679560187</v>
      </c>
      <c r="T1222" s="5">
        <v>2.3020833333333335E-5</v>
      </c>
      <c r="U1222" s="4">
        <v>1.2967753224074841E-2</v>
      </c>
      <c r="V1222" s="4" t="s">
        <v>850</v>
      </c>
      <c r="W1222" s="4" t="s">
        <v>875</v>
      </c>
      <c r="X1222" s="6" t="s">
        <v>617</v>
      </c>
    </row>
    <row r="1223" spans="1:24">
      <c r="A1223" s="4" t="s">
        <v>926</v>
      </c>
      <c r="B1223" s="4" t="s">
        <v>927</v>
      </c>
      <c r="D1223" s="4" t="s">
        <v>928</v>
      </c>
      <c r="E1223" s="4" t="s">
        <v>929</v>
      </c>
      <c r="M1223" s="4" t="s">
        <v>754</v>
      </c>
      <c r="N1223" s="4">
        <v>-71.379385783100005</v>
      </c>
      <c r="O1223" s="4">
        <v>3.7814446868060001</v>
      </c>
      <c r="P1223" s="4" t="s">
        <v>969</v>
      </c>
      <c r="Q1223" s="4" t="s">
        <v>743</v>
      </c>
      <c r="R1223" s="4" t="s">
        <v>730</v>
      </c>
      <c r="S1223" s="2">
        <v>46174.950777118058</v>
      </c>
      <c r="T1223" s="5">
        <v>4.3815972222222222E-4</v>
      </c>
      <c r="U1223" s="4">
        <v>0.1398601233959198</v>
      </c>
      <c r="V1223" s="4" t="s">
        <v>823</v>
      </c>
      <c r="W1223" s="4" t="s">
        <v>754</v>
      </c>
      <c r="X1223" s="6" t="s">
        <v>617</v>
      </c>
    </row>
    <row r="1224" spans="1:24">
      <c r="A1224" s="4" t="s">
        <v>926</v>
      </c>
      <c r="B1224" s="4" t="s">
        <v>927</v>
      </c>
      <c r="D1224" s="4" t="s">
        <v>928</v>
      </c>
      <c r="E1224" s="4" t="s">
        <v>929</v>
      </c>
      <c r="M1224" s="4" t="s">
        <v>754</v>
      </c>
      <c r="N1224" s="4">
        <v>-71.379787475000001</v>
      </c>
      <c r="O1224" s="4">
        <v>3.7815306175000001</v>
      </c>
      <c r="P1224" s="4" t="s">
        <v>969</v>
      </c>
      <c r="Q1224" s="4" t="s">
        <v>743</v>
      </c>
      <c r="R1224" s="4" t="s">
        <v>730</v>
      </c>
      <c r="S1224" s="2">
        <v>46174.953324652779</v>
      </c>
      <c r="T1224" s="5">
        <v>4.1145833333333335E-5</v>
      </c>
      <c r="U1224" s="4">
        <v>1.0074814781546593E-2</v>
      </c>
      <c r="V1224" s="4" t="s">
        <v>814</v>
      </c>
      <c r="W1224" s="4" t="s">
        <v>754</v>
      </c>
      <c r="X1224" s="6" t="s">
        <v>617</v>
      </c>
    </row>
    <row r="1225" spans="1:24">
      <c r="A1225" s="4" t="s">
        <v>926</v>
      </c>
      <c r="B1225" s="4" t="s">
        <v>927</v>
      </c>
      <c r="D1225" s="4" t="s">
        <v>928</v>
      </c>
      <c r="E1225" s="4" t="s">
        <v>929</v>
      </c>
      <c r="M1225" s="4" t="s">
        <v>685</v>
      </c>
      <c r="N1225" s="4">
        <v>-71.373427889799999</v>
      </c>
      <c r="O1225" s="4">
        <v>3.7821776917066665</v>
      </c>
      <c r="P1225" s="4" t="s">
        <v>971</v>
      </c>
      <c r="Q1225" s="4" t="s">
        <v>743</v>
      </c>
      <c r="R1225" s="4" t="s">
        <v>730</v>
      </c>
      <c r="S1225" s="2">
        <v>46174.955178078701</v>
      </c>
      <c r="T1225" s="5">
        <v>1.0416666666666667E-7</v>
      </c>
      <c r="U1225" s="4">
        <v>4.140219243708998E-5</v>
      </c>
      <c r="V1225" s="4" t="s">
        <v>1013</v>
      </c>
      <c r="W1225" s="4" t="s">
        <v>685</v>
      </c>
      <c r="X1225" s="6" t="s">
        <v>617</v>
      </c>
    </row>
    <row r="1226" spans="1:24">
      <c r="A1226" s="4" t="s">
        <v>926</v>
      </c>
      <c r="B1226" s="4" t="s">
        <v>927</v>
      </c>
      <c r="D1226" s="4" t="s">
        <v>928</v>
      </c>
      <c r="E1226" s="4" t="s">
        <v>929</v>
      </c>
      <c r="M1226" s="4" t="s">
        <v>685</v>
      </c>
      <c r="N1226" s="4">
        <v>-71.372679091400002</v>
      </c>
      <c r="O1226" s="4">
        <v>3.7821913024599998</v>
      </c>
      <c r="P1226" s="4" t="s">
        <v>971</v>
      </c>
      <c r="Q1226" s="4" t="s">
        <v>743</v>
      </c>
      <c r="R1226" s="4" t="s">
        <v>730</v>
      </c>
      <c r="S1226" s="2">
        <v>46174.955360601853</v>
      </c>
      <c r="T1226" s="5">
        <v>1.0879629629629629E-6</v>
      </c>
      <c r="U1226" s="4">
        <v>3.6549411015585065E-4</v>
      </c>
      <c r="V1226" s="4" t="s">
        <v>788</v>
      </c>
      <c r="W1226" s="4" t="s">
        <v>685</v>
      </c>
      <c r="X1226" s="6" t="s">
        <v>617</v>
      </c>
    </row>
    <row r="1227" spans="1:24">
      <c r="A1227" s="4" t="s">
        <v>926</v>
      </c>
      <c r="B1227" s="4" t="s">
        <v>927</v>
      </c>
      <c r="D1227" s="4" t="s">
        <v>928</v>
      </c>
      <c r="E1227" s="4" t="s">
        <v>929</v>
      </c>
      <c r="M1227" s="4" t="s">
        <v>685</v>
      </c>
      <c r="N1227" s="4">
        <v>-71.372617911500001</v>
      </c>
      <c r="O1227" s="4">
        <v>3.7822069367950002</v>
      </c>
      <c r="P1227" s="4" t="s">
        <v>971</v>
      </c>
      <c r="Q1227" s="4" t="s">
        <v>743</v>
      </c>
      <c r="R1227" s="4" t="s">
        <v>730</v>
      </c>
      <c r="S1227" s="2">
        <v>46174.956868553243</v>
      </c>
      <c r="T1227" s="5">
        <v>6.712962962962963E-7</v>
      </c>
      <c r="U1227" s="4">
        <v>1.9778500427491963E-4</v>
      </c>
      <c r="V1227" s="4" t="s">
        <v>1014</v>
      </c>
      <c r="W1227" s="4" t="s">
        <v>685</v>
      </c>
      <c r="X1227" s="6" t="s">
        <v>617</v>
      </c>
    </row>
    <row r="1228" spans="1:24">
      <c r="A1228" s="4" t="s">
        <v>926</v>
      </c>
      <c r="B1228" s="4" t="s">
        <v>927</v>
      </c>
      <c r="D1228" s="4" t="s">
        <v>928</v>
      </c>
      <c r="E1228" s="4" t="s">
        <v>929</v>
      </c>
      <c r="M1228" s="4" t="s">
        <v>685</v>
      </c>
      <c r="N1228" s="4">
        <v>-71.372643775499995</v>
      </c>
      <c r="O1228" s="4">
        <v>3.7822035999149999</v>
      </c>
      <c r="P1228" s="4" t="s">
        <v>971</v>
      </c>
      <c r="Q1228" s="4" t="s">
        <v>743</v>
      </c>
      <c r="R1228" s="4" t="s">
        <v>730</v>
      </c>
      <c r="S1228" s="2">
        <v>46174.956878368059</v>
      </c>
      <c r="T1228" s="5">
        <v>4.6296296296296295E-8</v>
      </c>
      <c r="U1228" s="4">
        <v>1.3640346878673881E-5</v>
      </c>
      <c r="V1228" s="4" t="s">
        <v>782</v>
      </c>
      <c r="W1228" s="4" t="s">
        <v>685</v>
      </c>
      <c r="X1228" s="6" t="s">
        <v>617</v>
      </c>
    </row>
    <row r="1229" spans="1:24">
      <c r="A1229" s="4" t="s">
        <v>926</v>
      </c>
      <c r="B1229" s="4" t="s">
        <v>927</v>
      </c>
      <c r="D1229" s="4" t="s">
        <v>928</v>
      </c>
      <c r="E1229" s="4" t="s">
        <v>929</v>
      </c>
      <c r="M1229" s="4" t="s">
        <v>757</v>
      </c>
      <c r="N1229" s="4">
        <v>-71.375564550000007</v>
      </c>
      <c r="O1229" s="4">
        <v>3.7805789700000001</v>
      </c>
      <c r="P1229" s="4" t="s">
        <v>972</v>
      </c>
      <c r="Q1229" s="4" t="s">
        <v>743</v>
      </c>
      <c r="R1229" s="4" t="s">
        <v>730</v>
      </c>
      <c r="S1229" s="2">
        <v>46174.957905092589</v>
      </c>
      <c r="T1229" s="5">
        <v>3.4722222222222222E-5</v>
      </c>
      <c r="U1229" s="4">
        <v>3.2768778502941132E-2</v>
      </c>
      <c r="V1229" s="4" t="s">
        <v>758</v>
      </c>
      <c r="W1229" s="4" t="s">
        <v>757</v>
      </c>
      <c r="X1229" s="6" t="s">
        <v>617</v>
      </c>
    </row>
    <row r="1230" spans="1:24">
      <c r="A1230" s="4" t="s">
        <v>926</v>
      </c>
      <c r="B1230" s="4" t="s">
        <v>927</v>
      </c>
      <c r="D1230" s="4" t="s">
        <v>928</v>
      </c>
      <c r="E1230" s="4" t="s">
        <v>929</v>
      </c>
      <c r="M1230" s="4" t="s">
        <v>754</v>
      </c>
      <c r="N1230" s="4">
        <v>-71.369417840600008</v>
      </c>
      <c r="O1230" s="4">
        <v>3.7708354793414287</v>
      </c>
      <c r="P1230" s="4" t="s">
        <v>1015</v>
      </c>
      <c r="Q1230" s="4" t="s">
        <v>743</v>
      </c>
      <c r="R1230" s="4" t="s">
        <v>730</v>
      </c>
      <c r="S1230" s="2">
        <v>46174.962642743056</v>
      </c>
      <c r="T1230" s="5">
        <v>1.9290509259259258E-4</v>
      </c>
      <c r="U1230" s="4">
        <v>5.4308995604515076E-2</v>
      </c>
      <c r="V1230" s="4" t="s">
        <v>823</v>
      </c>
      <c r="W1230" s="4" t="s">
        <v>754</v>
      </c>
      <c r="X1230" s="6" t="s">
        <v>617</v>
      </c>
    </row>
    <row r="1231" spans="1:24">
      <c r="A1231" s="4" t="s">
        <v>926</v>
      </c>
      <c r="B1231" s="4" t="s">
        <v>927</v>
      </c>
      <c r="D1231" s="4" t="s">
        <v>928</v>
      </c>
      <c r="E1231" s="4" t="s">
        <v>929</v>
      </c>
      <c r="M1231" s="4" t="s">
        <v>754</v>
      </c>
      <c r="N1231" s="4">
        <v>-71.369466799999998</v>
      </c>
      <c r="O1231" s="4">
        <v>3.7711878400000001</v>
      </c>
      <c r="P1231" s="4" t="s">
        <v>1015</v>
      </c>
      <c r="Q1231" s="4" t="s">
        <v>743</v>
      </c>
      <c r="R1231" s="4" t="s">
        <v>730</v>
      </c>
      <c r="S1231" s="2">
        <v>46174.963017939815</v>
      </c>
      <c r="T1231" s="5">
        <v>1.3406250000000001E-4</v>
      </c>
      <c r="U1231" s="4">
        <v>3.7787530571222305E-2</v>
      </c>
      <c r="V1231" s="4" t="s">
        <v>1016</v>
      </c>
      <c r="W1231" s="4" t="s">
        <v>754</v>
      </c>
      <c r="X1231" s="6" t="s">
        <v>617</v>
      </c>
    </row>
    <row r="1232" spans="1:24">
      <c r="A1232" s="4" t="s">
        <v>926</v>
      </c>
      <c r="B1232" s="4" t="s">
        <v>927</v>
      </c>
      <c r="D1232" s="4" t="s">
        <v>928</v>
      </c>
      <c r="E1232" s="4" t="s">
        <v>929</v>
      </c>
      <c r="M1232" s="4" t="s">
        <v>754</v>
      </c>
      <c r="N1232" s="4">
        <v>-71.369630439999995</v>
      </c>
      <c r="O1232" s="4">
        <v>3.7713292100000002</v>
      </c>
      <c r="P1232" s="4" t="s">
        <v>1015</v>
      </c>
      <c r="Q1232" s="4" t="s">
        <v>743</v>
      </c>
      <c r="R1232" s="4" t="s">
        <v>730</v>
      </c>
      <c r="S1232" s="2">
        <v>46174.963168981485</v>
      </c>
      <c r="T1232" s="5">
        <v>2.5462962962962961E-5</v>
      </c>
      <c r="U1232" s="4">
        <v>6.3974820077419281E-3</v>
      </c>
      <c r="V1232" s="4" t="s">
        <v>791</v>
      </c>
      <c r="W1232" s="4" t="s">
        <v>754</v>
      </c>
      <c r="X1232" s="6" t="s">
        <v>617</v>
      </c>
    </row>
    <row r="1233" spans="1:24">
      <c r="A1233" s="4" t="s">
        <v>926</v>
      </c>
      <c r="B1233" s="4" t="s">
        <v>927</v>
      </c>
      <c r="D1233" s="4" t="s">
        <v>928</v>
      </c>
      <c r="E1233" s="4" t="s">
        <v>929</v>
      </c>
      <c r="M1233" s="4" t="s">
        <v>754</v>
      </c>
      <c r="N1233" s="4">
        <v>-71.369338999999997</v>
      </c>
      <c r="O1233" s="4">
        <v>3.7711820633333333</v>
      </c>
      <c r="P1233" s="4" t="s">
        <v>1015</v>
      </c>
      <c r="Q1233" s="4" t="s">
        <v>743</v>
      </c>
      <c r="R1233" s="4" t="s">
        <v>730</v>
      </c>
      <c r="S1233" s="2">
        <v>46174.964918981481</v>
      </c>
      <c r="T1233" s="5">
        <v>1.638425925925926E-4</v>
      </c>
      <c r="U1233" s="4">
        <v>6.4287394285202026E-2</v>
      </c>
      <c r="V1233" s="4" t="s">
        <v>821</v>
      </c>
      <c r="W1233" s="4" t="s">
        <v>754</v>
      </c>
      <c r="X1233" s="6" t="s">
        <v>617</v>
      </c>
    </row>
    <row r="1234" spans="1:24">
      <c r="A1234" s="4" t="s">
        <v>926</v>
      </c>
      <c r="B1234" s="4" t="s">
        <v>927</v>
      </c>
      <c r="D1234" s="4" t="s">
        <v>928</v>
      </c>
      <c r="E1234" s="4" t="s">
        <v>929</v>
      </c>
      <c r="M1234" s="4" t="s">
        <v>754</v>
      </c>
      <c r="N1234" s="4">
        <v>-71.371988927199993</v>
      </c>
      <c r="O1234" s="4">
        <v>3.7532289807529411</v>
      </c>
      <c r="P1234" s="4" t="s">
        <v>975</v>
      </c>
      <c r="Q1234" s="4" t="s">
        <v>743</v>
      </c>
      <c r="R1234" s="4" t="s">
        <v>730</v>
      </c>
      <c r="S1234" s="2">
        <v>46174.975142743053</v>
      </c>
      <c r="T1234" s="5">
        <v>9.1053240740740735E-5</v>
      </c>
      <c r="U1234" s="4">
        <v>2.0831955596804619E-2</v>
      </c>
      <c r="V1234" s="4" t="s">
        <v>814</v>
      </c>
      <c r="W1234" s="4" t="s">
        <v>754</v>
      </c>
      <c r="X1234" s="6" t="s">
        <v>617</v>
      </c>
    </row>
    <row r="1235" spans="1:24">
      <c r="A1235" s="4" t="s">
        <v>926</v>
      </c>
      <c r="B1235" s="4" t="s">
        <v>927</v>
      </c>
      <c r="D1235" s="4" t="s">
        <v>928</v>
      </c>
      <c r="E1235" s="4" t="s">
        <v>929</v>
      </c>
      <c r="M1235" s="4" t="s">
        <v>754</v>
      </c>
      <c r="N1235" s="4">
        <v>-71.372128765181714</v>
      </c>
      <c r="O1235" s="4">
        <v>3.7530143132708091</v>
      </c>
      <c r="P1235" s="4" t="s">
        <v>975</v>
      </c>
      <c r="Q1235" s="4" t="s">
        <v>743</v>
      </c>
      <c r="R1235" s="4" t="s">
        <v>730</v>
      </c>
      <c r="S1235" s="2">
        <v>46174.975519247688</v>
      </c>
      <c r="T1235" s="5">
        <v>6.7175925925925931E-5</v>
      </c>
      <c r="U1235" s="4">
        <v>1.831904798746109E-2</v>
      </c>
      <c r="V1235" s="4" t="s">
        <v>790</v>
      </c>
      <c r="W1235" s="4" t="s">
        <v>754</v>
      </c>
      <c r="X1235" s="6" t="s">
        <v>617</v>
      </c>
    </row>
    <row r="1236" spans="1:24">
      <c r="A1236" s="4" t="s">
        <v>926</v>
      </c>
      <c r="B1236" s="4" t="s">
        <v>927</v>
      </c>
      <c r="D1236" s="4" t="s">
        <v>928</v>
      </c>
      <c r="E1236" s="4" t="s">
        <v>929</v>
      </c>
      <c r="M1236" s="4" t="s">
        <v>754</v>
      </c>
      <c r="N1236" s="4">
        <v>-71.371929940000001</v>
      </c>
      <c r="O1236" s="4">
        <v>3.7527802480000001</v>
      </c>
      <c r="P1236" s="4" t="s">
        <v>975</v>
      </c>
      <c r="Q1236" s="4" t="s">
        <v>743</v>
      </c>
      <c r="R1236" s="4" t="s">
        <v>730</v>
      </c>
      <c r="S1236" s="2">
        <v>46174.975745370371</v>
      </c>
      <c r="T1236" s="5">
        <v>4.6458333333333335E-5</v>
      </c>
      <c r="U1236" s="4">
        <v>1.1764995753765106E-2</v>
      </c>
      <c r="V1236" s="4" t="s">
        <v>790</v>
      </c>
      <c r="W1236" s="4" t="s">
        <v>754</v>
      </c>
      <c r="X1236" s="6" t="s">
        <v>617</v>
      </c>
    </row>
    <row r="1237" spans="1:24">
      <c r="A1237" s="4" t="s">
        <v>926</v>
      </c>
      <c r="B1237" s="4" t="s">
        <v>927</v>
      </c>
      <c r="D1237" s="4" t="s">
        <v>928</v>
      </c>
      <c r="E1237" s="4" t="s">
        <v>929</v>
      </c>
      <c r="M1237" s="4" t="s">
        <v>875</v>
      </c>
      <c r="N1237" s="4">
        <v>-71.367088281600005</v>
      </c>
      <c r="O1237" s="4">
        <v>3.7682338129119999</v>
      </c>
      <c r="P1237" s="4" t="s">
        <v>902</v>
      </c>
      <c r="Q1237" s="4" t="s">
        <v>877</v>
      </c>
      <c r="R1237" s="4" t="s">
        <v>720</v>
      </c>
      <c r="S1237" s="2">
        <v>46174.981629722221</v>
      </c>
      <c r="T1237" s="5">
        <v>3.5471064814814816E-4</v>
      </c>
      <c r="U1237" s="4">
        <v>0.24730139970779419</v>
      </c>
      <c r="V1237" s="4" t="s">
        <v>784</v>
      </c>
      <c r="W1237" s="4" t="s">
        <v>875</v>
      </c>
      <c r="X1237" s="6" t="s">
        <v>617</v>
      </c>
    </row>
    <row r="1238" spans="1:24">
      <c r="A1238" s="4" t="s">
        <v>926</v>
      </c>
      <c r="B1238" s="4" t="s">
        <v>927</v>
      </c>
      <c r="D1238" s="4" t="s">
        <v>928</v>
      </c>
      <c r="E1238" s="4" t="s">
        <v>929</v>
      </c>
      <c r="M1238" s="4" t="s">
        <v>875</v>
      </c>
      <c r="N1238" s="4">
        <v>-71.365455600000004</v>
      </c>
      <c r="O1238" s="4">
        <v>3.7667651798999997</v>
      </c>
      <c r="P1238" s="4" t="s">
        <v>902</v>
      </c>
      <c r="Q1238" s="4" t="s">
        <v>877</v>
      </c>
      <c r="R1238" s="4" t="s">
        <v>720</v>
      </c>
      <c r="S1238" s="2">
        <v>46174.982021608797</v>
      </c>
      <c r="T1238" s="5">
        <v>1.0802083333333333E-4</v>
      </c>
      <c r="U1238" s="4">
        <v>5.4605327546596527E-2</v>
      </c>
      <c r="V1238" s="4" t="s">
        <v>738</v>
      </c>
      <c r="W1238" s="4" t="s">
        <v>875</v>
      </c>
      <c r="X1238" s="6" t="s">
        <v>617</v>
      </c>
    </row>
    <row r="1239" spans="1:24">
      <c r="A1239" s="4" t="s">
        <v>926</v>
      </c>
      <c r="B1239" s="4" t="s">
        <v>927</v>
      </c>
      <c r="D1239" s="4" t="s">
        <v>928</v>
      </c>
      <c r="E1239" s="4" t="s">
        <v>929</v>
      </c>
      <c r="M1239" s="4" t="s">
        <v>875</v>
      </c>
      <c r="N1239" s="4">
        <v>-71.364997900000006</v>
      </c>
      <c r="O1239" s="4">
        <v>3.76560235</v>
      </c>
      <c r="P1239" s="4" t="s">
        <v>902</v>
      </c>
      <c r="Q1239" s="4" t="s">
        <v>877</v>
      </c>
      <c r="R1239" s="4" t="s">
        <v>720</v>
      </c>
      <c r="S1239" s="2">
        <v>46174.98232638889</v>
      </c>
      <c r="T1239" s="5">
        <v>2.199074074074074E-4</v>
      </c>
      <c r="U1239" s="4">
        <v>0.11526836454868317</v>
      </c>
      <c r="V1239" s="4" t="s">
        <v>750</v>
      </c>
      <c r="W1239" s="4" t="s">
        <v>875</v>
      </c>
      <c r="X1239" s="6" t="s">
        <v>617</v>
      </c>
    </row>
    <row r="1240" spans="1:24">
      <c r="A1240" s="4" t="s">
        <v>926</v>
      </c>
      <c r="B1240" s="4" t="s">
        <v>927</v>
      </c>
      <c r="D1240" s="4" t="s">
        <v>928</v>
      </c>
      <c r="E1240" s="4" t="s">
        <v>929</v>
      </c>
      <c r="M1240" s="4" t="s">
        <v>875</v>
      </c>
      <c r="N1240" s="4">
        <v>-71.364173899999997</v>
      </c>
      <c r="O1240" s="4">
        <v>3.7650663899999999</v>
      </c>
      <c r="P1240" s="4" t="s">
        <v>977</v>
      </c>
      <c r="Q1240" s="4" t="s">
        <v>877</v>
      </c>
      <c r="R1240" s="4" t="s">
        <v>720</v>
      </c>
      <c r="S1240" s="2">
        <v>46174.982546296298</v>
      </c>
      <c r="T1240" s="5">
        <v>1.7361111111111112E-4</v>
      </c>
      <c r="U1240" s="4">
        <v>8.6414255201816559E-2</v>
      </c>
      <c r="V1240" s="4" t="s">
        <v>738</v>
      </c>
      <c r="W1240" s="4" t="s">
        <v>875</v>
      </c>
      <c r="X1240" s="6" t="s">
        <v>617</v>
      </c>
    </row>
    <row r="1241" spans="1:24">
      <c r="A1241" s="4" t="s">
        <v>926</v>
      </c>
      <c r="B1241" s="4" t="s">
        <v>927</v>
      </c>
      <c r="D1241" s="4" t="s">
        <v>928</v>
      </c>
      <c r="E1241" s="4" t="s">
        <v>929</v>
      </c>
      <c r="M1241" s="4" t="s">
        <v>875</v>
      </c>
      <c r="N1241" s="4">
        <v>-71.362609899999995</v>
      </c>
      <c r="O1241" s="4">
        <v>3.7650539900000002</v>
      </c>
      <c r="P1241" s="4" t="s">
        <v>977</v>
      </c>
      <c r="Q1241" s="4" t="s">
        <v>877</v>
      </c>
      <c r="R1241" s="4" t="s">
        <v>720</v>
      </c>
      <c r="S1241" s="2">
        <v>46174.982905092591</v>
      </c>
      <c r="T1241" s="5">
        <v>1.6369212962962963E-4</v>
      </c>
      <c r="U1241" s="4">
        <v>7.9363599419593811E-2</v>
      </c>
      <c r="V1241" s="4" t="s">
        <v>738</v>
      </c>
      <c r="W1241" s="4" t="s">
        <v>875</v>
      </c>
      <c r="X1241" s="6" t="s">
        <v>617</v>
      </c>
    </row>
    <row r="1242" spans="1:24">
      <c r="A1242" s="4" t="s">
        <v>926</v>
      </c>
      <c r="B1242" s="4" t="s">
        <v>927</v>
      </c>
      <c r="D1242" s="4" t="s">
        <v>928</v>
      </c>
      <c r="E1242" s="4" t="s">
        <v>929</v>
      </c>
      <c r="M1242" s="4" t="s">
        <v>875</v>
      </c>
      <c r="N1242" s="4">
        <v>-71.360773062500002</v>
      </c>
      <c r="O1242" s="4">
        <v>3.7642410987499999</v>
      </c>
      <c r="P1242" s="4" t="s">
        <v>902</v>
      </c>
      <c r="Q1242" s="4" t="s">
        <v>877</v>
      </c>
      <c r="R1242" s="4" t="s">
        <v>720</v>
      </c>
      <c r="S1242" s="2">
        <v>46174.983554687497</v>
      </c>
      <c r="T1242" s="5">
        <v>1.2122685185185186E-4</v>
      </c>
      <c r="U1242" s="4">
        <v>8.0878995358943939E-2</v>
      </c>
      <c r="V1242" s="4" t="s">
        <v>783</v>
      </c>
      <c r="W1242" s="4" t="s">
        <v>875</v>
      </c>
      <c r="X1242" s="6" t="s">
        <v>617</v>
      </c>
    </row>
    <row r="1243" spans="1:24">
      <c r="A1243" s="4" t="s">
        <v>926</v>
      </c>
      <c r="B1243" s="4" t="s">
        <v>927</v>
      </c>
      <c r="D1243" s="4" t="s">
        <v>928</v>
      </c>
      <c r="E1243" s="4" t="s">
        <v>929</v>
      </c>
      <c r="M1243" s="4" t="s">
        <v>754</v>
      </c>
      <c r="N1243" s="4">
        <v>-71.357152245350008</v>
      </c>
      <c r="O1243" s="4">
        <v>3.7474089074450001</v>
      </c>
      <c r="P1243" s="4" t="s">
        <v>978</v>
      </c>
      <c r="Q1243" s="4" t="s">
        <v>743</v>
      </c>
      <c r="R1243" s="4" t="s">
        <v>730</v>
      </c>
      <c r="S1243" s="2">
        <v>46174.994225625</v>
      </c>
      <c r="T1243" s="5">
        <v>3.667013888888889E-4</v>
      </c>
      <c r="U1243" s="4">
        <v>0.15915125608444214</v>
      </c>
      <c r="V1243" s="4" t="s">
        <v>805</v>
      </c>
      <c r="W1243" s="4" t="s">
        <v>754</v>
      </c>
      <c r="X1243" s="6" t="s">
        <v>617</v>
      </c>
    </row>
    <row r="1244" spans="1:24">
      <c r="A1244" s="4" t="s">
        <v>926</v>
      </c>
      <c r="B1244" s="4" t="s">
        <v>927</v>
      </c>
      <c r="D1244" s="4" t="s">
        <v>928</v>
      </c>
      <c r="E1244" s="4" t="s">
        <v>929</v>
      </c>
      <c r="M1244" s="4" t="s">
        <v>875</v>
      </c>
      <c r="N1244" s="4">
        <v>-71.36022191008</v>
      </c>
      <c r="O1244" s="4">
        <v>3.7637577186680002</v>
      </c>
      <c r="P1244" s="4" t="s">
        <v>902</v>
      </c>
      <c r="Q1244" s="4" t="s">
        <v>877</v>
      </c>
      <c r="R1244" s="4" t="s">
        <v>720</v>
      </c>
      <c r="S1244" s="2">
        <v>46174.998799687499</v>
      </c>
      <c r="T1244" s="5">
        <v>1.2623842592592594E-4</v>
      </c>
      <c r="U1244" s="4">
        <v>8.307231217622757E-2</v>
      </c>
      <c r="V1244" s="4" t="s">
        <v>763</v>
      </c>
      <c r="W1244" s="4" t="s">
        <v>875</v>
      </c>
      <c r="X1244" s="6" t="s">
        <v>617</v>
      </c>
    </row>
    <row r="1245" spans="1:24">
      <c r="A1245" s="4" t="s">
        <v>926</v>
      </c>
      <c r="B1245" s="4" t="s">
        <v>927</v>
      </c>
      <c r="D1245" s="4" t="s">
        <v>928</v>
      </c>
      <c r="E1245" s="4" t="s">
        <v>929</v>
      </c>
      <c r="M1245" s="4" t="s">
        <v>875</v>
      </c>
      <c r="N1245" s="4">
        <v>-71.36117973518553</v>
      </c>
      <c r="O1245" s="4">
        <v>3.7645345719928422</v>
      </c>
      <c r="P1245" s="4" t="s">
        <v>902</v>
      </c>
      <c r="Q1245" s="4" t="s">
        <v>877</v>
      </c>
      <c r="R1245" s="4" t="s">
        <v>720</v>
      </c>
      <c r="S1245" s="2">
        <v>46174.999141435183</v>
      </c>
      <c r="T1245" s="5">
        <v>3.1018518518518521E-5</v>
      </c>
      <c r="U1245" s="4">
        <v>1.5514397993683815E-2</v>
      </c>
      <c r="V1245" s="4" t="s">
        <v>738</v>
      </c>
      <c r="W1245" s="4" t="s">
        <v>875</v>
      </c>
      <c r="X1245" s="6" t="s">
        <v>617</v>
      </c>
    </row>
    <row r="1246" spans="1:24">
      <c r="A1246" s="4" t="s">
        <v>926</v>
      </c>
      <c r="B1246" s="4" t="s">
        <v>927</v>
      </c>
      <c r="D1246" s="4" t="s">
        <v>928</v>
      </c>
      <c r="E1246" s="4" t="s">
        <v>929</v>
      </c>
      <c r="M1246" s="4" t="s">
        <v>875</v>
      </c>
      <c r="N1246" s="4">
        <v>-71.362751000000003</v>
      </c>
      <c r="O1246" s="4">
        <v>3.7650237099999999</v>
      </c>
      <c r="P1246" s="4" t="s">
        <v>977</v>
      </c>
      <c r="Q1246" s="4" t="s">
        <v>877</v>
      </c>
      <c r="R1246" s="4" t="s">
        <v>720</v>
      </c>
      <c r="S1246" s="2">
        <v>46174.999531250105</v>
      </c>
      <c r="T1246" s="5">
        <v>4.3402777777777779E-5</v>
      </c>
      <c r="U1246" s="4">
        <v>2.0741015672683716E-2</v>
      </c>
      <c r="V1246" s="4" t="s">
        <v>738</v>
      </c>
      <c r="W1246" s="4" t="s">
        <v>875</v>
      </c>
      <c r="X1246" s="6" t="s">
        <v>617</v>
      </c>
    </row>
    <row r="1247" spans="1:24">
      <c r="A1247" s="4" t="s">
        <v>926</v>
      </c>
      <c r="B1247" s="4" t="s">
        <v>927</v>
      </c>
      <c r="D1247" s="4" t="s">
        <v>928</v>
      </c>
      <c r="E1247" s="4" t="s">
        <v>929</v>
      </c>
      <c r="M1247" s="4" t="s">
        <v>875</v>
      </c>
      <c r="N1247" s="4">
        <v>-71.363227800000004</v>
      </c>
      <c r="O1247" s="4">
        <v>3.7650349099999998</v>
      </c>
      <c r="P1247" s="4" t="s">
        <v>977</v>
      </c>
      <c r="Q1247" s="4" t="s">
        <v>877</v>
      </c>
      <c r="R1247" s="4" t="s">
        <v>720</v>
      </c>
      <c r="S1247" s="2">
        <v>46174.999652777777</v>
      </c>
      <c r="T1247" s="5">
        <v>7.5231581481481481E-5</v>
      </c>
      <c r="U1247" s="4">
        <v>3.7659447640180588E-2</v>
      </c>
      <c r="V1247" s="4" t="s">
        <v>738</v>
      </c>
      <c r="W1247" s="4" t="s">
        <v>875</v>
      </c>
      <c r="X1247" s="6" t="s">
        <v>617</v>
      </c>
    </row>
    <row r="1248" spans="1:24">
      <c r="A1248" s="4" t="s">
        <v>926</v>
      </c>
      <c r="B1248" s="4" t="s">
        <v>927</v>
      </c>
      <c r="D1248" s="4" t="s">
        <v>928</v>
      </c>
      <c r="E1248" s="4" t="s">
        <v>929</v>
      </c>
      <c r="M1248" s="4" t="s">
        <v>875</v>
      </c>
      <c r="N1248" s="4">
        <v>-71.364013672400006</v>
      </c>
      <c r="O1248" s="4">
        <v>3.7650194536066666</v>
      </c>
      <c r="P1248" s="4" t="s">
        <v>977</v>
      </c>
      <c r="Q1248" s="4" t="s">
        <v>877</v>
      </c>
      <c r="R1248" s="4" t="s">
        <v>720</v>
      </c>
      <c r="S1248" s="2">
        <v>46174.999875995367</v>
      </c>
      <c r="T1248" s="5">
        <v>2.6289351851851853E-4</v>
      </c>
      <c r="U1248" s="4">
        <v>0.1465701162815094</v>
      </c>
      <c r="V1248" s="4" t="s">
        <v>751</v>
      </c>
      <c r="W1248" s="4" t="s">
        <v>875</v>
      </c>
      <c r="X1248" s="6" t="s">
        <v>617</v>
      </c>
    </row>
    <row r="1249" spans="1:24">
      <c r="A1249" s="4" t="s">
        <v>1017</v>
      </c>
      <c r="B1249" s="4" t="s">
        <v>1018</v>
      </c>
      <c r="D1249" s="4" t="s">
        <v>716</v>
      </c>
      <c r="E1249" s="4" t="s">
        <v>717</v>
      </c>
      <c r="F1249" s="4" t="s">
        <v>1019</v>
      </c>
      <c r="G1249" s="4" t="s">
        <v>1020</v>
      </c>
      <c r="H1249" s="4" t="s">
        <v>1021</v>
      </c>
      <c r="I1249" s="4" t="s">
        <v>922</v>
      </c>
      <c r="K1249" s="4" t="s">
        <v>730</v>
      </c>
      <c r="L1249" s="4" t="s">
        <v>730</v>
      </c>
      <c r="M1249" s="4" t="s">
        <v>762</v>
      </c>
      <c r="N1249" s="4">
        <v>-71.64961456479999</v>
      </c>
      <c r="O1249" s="4">
        <v>3.7763416358735711</v>
      </c>
      <c r="P1249" s="4" t="s">
        <v>786</v>
      </c>
      <c r="Q1249" s="4" t="s">
        <v>735</v>
      </c>
      <c r="R1249" s="4" t="s">
        <v>730</v>
      </c>
      <c r="S1249" s="2">
        <v>46174.247473692129</v>
      </c>
      <c r="T1249" s="5">
        <v>1.9699074074074073E-5</v>
      </c>
      <c r="U1249" s="4">
        <v>1.3185929507017136E-2</v>
      </c>
      <c r="V1249" s="4" t="s">
        <v>763</v>
      </c>
      <c r="W1249" s="4" t="s">
        <v>762</v>
      </c>
      <c r="X1249" s="6" t="s">
        <v>617</v>
      </c>
    </row>
    <row r="1250" spans="1:24">
      <c r="A1250" s="4" t="s">
        <v>1017</v>
      </c>
      <c r="B1250" s="4" t="s">
        <v>1018</v>
      </c>
      <c r="D1250" s="4" t="s">
        <v>716</v>
      </c>
      <c r="E1250" s="4" t="s">
        <v>717</v>
      </c>
      <c r="F1250" s="4" t="s">
        <v>1019</v>
      </c>
      <c r="G1250" s="4" t="s">
        <v>1020</v>
      </c>
      <c r="H1250" s="4" t="s">
        <v>1021</v>
      </c>
      <c r="I1250" s="4" t="s">
        <v>922</v>
      </c>
      <c r="K1250" s="4" t="s">
        <v>730</v>
      </c>
      <c r="L1250" s="4" t="s">
        <v>730</v>
      </c>
      <c r="M1250" s="4" t="s">
        <v>762</v>
      </c>
      <c r="N1250" s="4">
        <v>-71.63938397728181</v>
      </c>
      <c r="O1250" s="4">
        <v>3.7844551889472728</v>
      </c>
      <c r="P1250" s="4" t="s">
        <v>734</v>
      </c>
      <c r="Q1250" s="4" t="s">
        <v>735</v>
      </c>
      <c r="R1250" s="4" t="s">
        <v>730</v>
      </c>
      <c r="S1250" s="2">
        <v>46174.250796678243</v>
      </c>
      <c r="T1250" s="5">
        <v>2.1721064814814815E-4</v>
      </c>
      <c r="U1250" s="4">
        <v>0.17245160043239594</v>
      </c>
      <c r="V1250" s="4" t="s">
        <v>784</v>
      </c>
      <c r="W1250" s="4" t="s">
        <v>762</v>
      </c>
      <c r="X1250" s="6" t="s">
        <v>617</v>
      </c>
    </row>
    <row r="1251" spans="1:24">
      <c r="A1251" s="4" t="s">
        <v>1017</v>
      </c>
      <c r="B1251" s="4" t="s">
        <v>1018</v>
      </c>
      <c r="D1251" s="4" t="s">
        <v>716</v>
      </c>
      <c r="E1251" s="4" t="s">
        <v>717</v>
      </c>
      <c r="F1251" s="4" t="s">
        <v>1019</v>
      </c>
      <c r="G1251" s="4" t="s">
        <v>1020</v>
      </c>
      <c r="H1251" s="4" t="s">
        <v>1021</v>
      </c>
      <c r="I1251" s="4" t="s">
        <v>922</v>
      </c>
      <c r="K1251" s="4" t="s">
        <v>730</v>
      </c>
      <c r="L1251" s="4" t="s">
        <v>730</v>
      </c>
      <c r="M1251" s="4" t="s">
        <v>645</v>
      </c>
      <c r="N1251" s="4">
        <v>-71.636698534633339</v>
      </c>
      <c r="O1251" s="4">
        <v>3.7843014043633336</v>
      </c>
      <c r="P1251" s="4" t="s">
        <v>718</v>
      </c>
      <c r="Q1251" s="4" t="s">
        <v>719</v>
      </c>
      <c r="R1251" s="4" t="s">
        <v>720</v>
      </c>
      <c r="S1251" s="2">
        <v>46174.251289756947</v>
      </c>
      <c r="T1251" s="5">
        <v>3.4945601851851853E-4</v>
      </c>
      <c r="U1251" s="4">
        <v>0.18272776901721954</v>
      </c>
      <c r="V1251" s="4" t="s">
        <v>751</v>
      </c>
      <c r="W1251" s="4" t="s">
        <v>645</v>
      </c>
      <c r="X1251" s="6" t="s">
        <v>617</v>
      </c>
    </row>
    <row r="1252" spans="1:24">
      <c r="A1252" s="4" t="s">
        <v>1017</v>
      </c>
      <c r="B1252" s="4" t="s">
        <v>1018</v>
      </c>
      <c r="D1252" s="4" t="s">
        <v>716</v>
      </c>
      <c r="E1252" s="4" t="s">
        <v>717</v>
      </c>
      <c r="F1252" s="4" t="s">
        <v>1019</v>
      </c>
      <c r="G1252" s="4" t="s">
        <v>1020</v>
      </c>
      <c r="H1252" s="4" t="s">
        <v>1021</v>
      </c>
      <c r="I1252" s="4" t="s">
        <v>922</v>
      </c>
      <c r="K1252" s="4" t="s">
        <v>730</v>
      </c>
      <c r="L1252" s="4" t="s">
        <v>730</v>
      </c>
      <c r="M1252" s="4" t="s">
        <v>762</v>
      </c>
      <c r="N1252" s="4">
        <v>-71.629772199999991</v>
      </c>
      <c r="O1252" s="4">
        <v>3.78283155</v>
      </c>
      <c r="P1252" s="4" t="s">
        <v>734</v>
      </c>
      <c r="Q1252" s="4" t="s">
        <v>735</v>
      </c>
      <c r="R1252" s="4" t="s">
        <v>730</v>
      </c>
      <c r="S1252" s="2">
        <v>46174.252899305655</v>
      </c>
      <c r="T1252" s="5">
        <v>2.0833333333333335E-4</v>
      </c>
      <c r="U1252" s="4">
        <v>0.16029195487499237</v>
      </c>
      <c r="V1252" s="4" t="s">
        <v>763</v>
      </c>
      <c r="W1252" s="4" t="s">
        <v>762</v>
      </c>
      <c r="X1252" s="6" t="s">
        <v>617</v>
      </c>
    </row>
    <row r="1253" spans="1:24">
      <c r="A1253" s="4" t="s">
        <v>1017</v>
      </c>
      <c r="B1253" s="4" t="s">
        <v>1018</v>
      </c>
      <c r="D1253" s="4" t="s">
        <v>716</v>
      </c>
      <c r="E1253" s="4" t="s">
        <v>717</v>
      </c>
      <c r="F1253" s="4" t="s">
        <v>1019</v>
      </c>
      <c r="G1253" s="4" t="s">
        <v>1020</v>
      </c>
      <c r="H1253" s="4" t="s">
        <v>1021</v>
      </c>
      <c r="I1253" s="4" t="s">
        <v>922</v>
      </c>
      <c r="K1253" s="4" t="s">
        <v>730</v>
      </c>
      <c r="L1253" s="4" t="s">
        <v>730</v>
      </c>
      <c r="M1253" s="4" t="s">
        <v>645</v>
      </c>
      <c r="N1253" s="4">
        <v>-71.626571631343481</v>
      </c>
      <c r="O1253" s="4">
        <v>3.7802600942130433</v>
      </c>
      <c r="P1253" s="4" t="s">
        <v>726</v>
      </c>
      <c r="Q1253" s="4" t="s">
        <v>727</v>
      </c>
      <c r="R1253" s="4" t="s">
        <v>720</v>
      </c>
      <c r="S1253" s="2">
        <v>46174.254066354166</v>
      </c>
      <c r="T1253" s="5">
        <v>2.5656250000000001E-4</v>
      </c>
      <c r="U1253" s="4">
        <v>5.8944858610630035E-2</v>
      </c>
      <c r="V1253" s="4" t="s">
        <v>724</v>
      </c>
      <c r="W1253" s="4" t="s">
        <v>645</v>
      </c>
      <c r="X1253" s="6" t="s">
        <v>617</v>
      </c>
    </row>
    <row r="1254" spans="1:24">
      <c r="A1254" s="4" t="s">
        <v>1017</v>
      </c>
      <c r="B1254" s="4" t="s">
        <v>1018</v>
      </c>
      <c r="D1254" s="4" t="s">
        <v>716</v>
      </c>
      <c r="E1254" s="4" t="s">
        <v>717</v>
      </c>
      <c r="F1254" s="4" t="s">
        <v>1019</v>
      </c>
      <c r="G1254" s="4" t="s">
        <v>1020</v>
      </c>
      <c r="H1254" s="4" t="s">
        <v>1021</v>
      </c>
      <c r="I1254" s="4" t="s">
        <v>922</v>
      </c>
      <c r="K1254" s="4" t="s">
        <v>730</v>
      </c>
      <c r="L1254" s="4" t="s">
        <v>730</v>
      </c>
      <c r="M1254" s="4" t="s">
        <v>645</v>
      </c>
      <c r="N1254" s="4">
        <v>-71.625986124999997</v>
      </c>
      <c r="O1254" s="4">
        <v>3.7793113025</v>
      </c>
      <c r="P1254" s="4" t="s">
        <v>726</v>
      </c>
      <c r="Q1254" s="4" t="s">
        <v>727</v>
      </c>
      <c r="R1254" s="4" t="s">
        <v>720</v>
      </c>
      <c r="S1254" s="2">
        <v>46174.25485532418</v>
      </c>
      <c r="T1254" s="5">
        <v>4.7453703703703701E-5</v>
      </c>
      <c r="U1254" s="4">
        <v>9.2681925743818283E-3</v>
      </c>
      <c r="V1254" s="4" t="s">
        <v>724</v>
      </c>
      <c r="W1254" s="4" t="s">
        <v>645</v>
      </c>
      <c r="X1254" s="6" t="s">
        <v>617</v>
      </c>
    </row>
    <row r="1255" spans="1:24">
      <c r="A1255" s="4" t="s">
        <v>1017</v>
      </c>
      <c r="B1255" s="4" t="s">
        <v>1018</v>
      </c>
      <c r="D1255" s="4" t="s">
        <v>716</v>
      </c>
      <c r="E1255" s="4" t="s">
        <v>717</v>
      </c>
      <c r="F1255" s="4" t="s">
        <v>1019</v>
      </c>
      <c r="G1255" s="4" t="s">
        <v>1020</v>
      </c>
      <c r="H1255" s="4" t="s">
        <v>1021</v>
      </c>
      <c r="I1255" s="4" t="s">
        <v>922</v>
      </c>
      <c r="K1255" s="4" t="s">
        <v>730</v>
      </c>
      <c r="L1255" s="4" t="s">
        <v>730</v>
      </c>
      <c r="M1255" s="4" t="s">
        <v>614</v>
      </c>
      <c r="N1255" s="4">
        <v>-71.625785800000003</v>
      </c>
      <c r="O1255" s="4">
        <v>3.7807741199999998</v>
      </c>
      <c r="P1255" s="4" t="s">
        <v>722</v>
      </c>
      <c r="Q1255" s="4" t="s">
        <v>723</v>
      </c>
      <c r="R1255" s="4" t="s">
        <v>720</v>
      </c>
      <c r="S1255" s="2">
        <v>46174.272407407407</v>
      </c>
      <c r="T1255" s="5">
        <v>1.3761574074074074E-2</v>
      </c>
      <c r="U1255" s="4">
        <v>0</v>
      </c>
      <c r="V1255" s="4" t="s">
        <v>616</v>
      </c>
      <c r="W1255" s="4" t="s">
        <v>614</v>
      </c>
      <c r="X1255" s="6" t="s">
        <v>617</v>
      </c>
    </row>
    <row r="1256" spans="1:24">
      <c r="A1256" s="4" t="s">
        <v>1017</v>
      </c>
      <c r="B1256" s="4" t="s">
        <v>1018</v>
      </c>
      <c r="D1256" s="4" t="s">
        <v>716</v>
      </c>
      <c r="E1256" s="4" t="s">
        <v>717</v>
      </c>
      <c r="F1256" s="4" t="s">
        <v>1019</v>
      </c>
      <c r="G1256" s="4" t="s">
        <v>1020</v>
      </c>
      <c r="H1256" s="4" t="s">
        <v>1021</v>
      </c>
      <c r="I1256" s="4" t="s">
        <v>922</v>
      </c>
      <c r="K1256" s="4" t="s">
        <v>730</v>
      </c>
      <c r="L1256" s="4" t="s">
        <v>730</v>
      </c>
      <c r="M1256" s="4" t="s">
        <v>645</v>
      </c>
      <c r="N1256" s="4">
        <v>-71.626403800000006</v>
      </c>
      <c r="O1256" s="4">
        <v>3.7807885140000002</v>
      </c>
      <c r="P1256" s="4" t="s">
        <v>722</v>
      </c>
      <c r="Q1256" s="4" t="s">
        <v>723</v>
      </c>
      <c r="R1256" s="4" t="s">
        <v>720</v>
      </c>
      <c r="S1256" s="2">
        <v>46174.287125000003</v>
      </c>
      <c r="T1256" s="5">
        <v>6.2500000000000001E-5</v>
      </c>
      <c r="U1256" s="4">
        <v>1.5454188920557499E-2</v>
      </c>
      <c r="V1256" s="4" t="s">
        <v>724</v>
      </c>
      <c r="W1256" s="4" t="s">
        <v>645</v>
      </c>
      <c r="X1256" s="6" t="s">
        <v>617</v>
      </c>
    </row>
    <row r="1257" spans="1:24">
      <c r="A1257" s="4" t="s">
        <v>1017</v>
      </c>
      <c r="B1257" s="4" t="s">
        <v>1018</v>
      </c>
      <c r="D1257" s="4" t="s">
        <v>716</v>
      </c>
      <c r="E1257" s="4" t="s">
        <v>717</v>
      </c>
      <c r="F1257" s="4" t="s">
        <v>1019</v>
      </c>
      <c r="G1257" s="4" t="s">
        <v>1020</v>
      </c>
      <c r="H1257" s="4" t="s">
        <v>1021</v>
      </c>
      <c r="I1257" s="4" t="s">
        <v>922</v>
      </c>
      <c r="K1257" s="4" t="s">
        <v>730</v>
      </c>
      <c r="L1257" s="4" t="s">
        <v>730</v>
      </c>
      <c r="M1257" s="4" t="s">
        <v>645</v>
      </c>
      <c r="N1257" s="4">
        <v>-71.6261978</v>
      </c>
      <c r="O1257" s="4">
        <v>3.7809526899999999</v>
      </c>
      <c r="P1257" s="4" t="s">
        <v>770</v>
      </c>
      <c r="Q1257" s="4" t="s">
        <v>740</v>
      </c>
      <c r="R1257" s="4" t="s">
        <v>730</v>
      </c>
      <c r="S1257" s="2">
        <v>46174.287268518521</v>
      </c>
      <c r="T1257" s="5">
        <v>1.7361111111111112E-4</v>
      </c>
      <c r="U1257" s="4">
        <v>5.6862637400627136E-2</v>
      </c>
      <c r="V1257" s="4" t="s">
        <v>725</v>
      </c>
      <c r="W1257" s="4" t="s">
        <v>645</v>
      </c>
      <c r="X1257" s="6" t="s">
        <v>617</v>
      </c>
    </row>
    <row r="1258" spans="1:24">
      <c r="A1258" s="4" t="s">
        <v>1017</v>
      </c>
      <c r="B1258" s="4" t="s">
        <v>1018</v>
      </c>
      <c r="D1258" s="4" t="s">
        <v>716</v>
      </c>
      <c r="E1258" s="4" t="s">
        <v>717</v>
      </c>
      <c r="F1258" s="4" t="s">
        <v>1019</v>
      </c>
      <c r="G1258" s="4" t="s">
        <v>1020</v>
      </c>
      <c r="H1258" s="4" t="s">
        <v>1021</v>
      </c>
      <c r="I1258" s="4" t="s">
        <v>922</v>
      </c>
      <c r="K1258" s="4" t="s">
        <v>730</v>
      </c>
      <c r="L1258" s="4" t="s">
        <v>730</v>
      </c>
      <c r="M1258" s="4" t="s">
        <v>645</v>
      </c>
      <c r="N1258" s="4">
        <v>-71.625686599999995</v>
      </c>
      <c r="O1258" s="4">
        <v>3.7809863099999999</v>
      </c>
      <c r="P1258" s="4" t="s">
        <v>759</v>
      </c>
      <c r="Q1258" s="4" t="s">
        <v>760</v>
      </c>
      <c r="R1258" s="4" t="s">
        <v>730</v>
      </c>
      <c r="S1258" s="2">
        <v>46174.287442129629</v>
      </c>
      <c r="T1258" s="5">
        <v>1.0644675925925925E-4</v>
      </c>
      <c r="U1258" s="4">
        <v>4.2648885399103165E-2</v>
      </c>
      <c r="V1258" s="4" t="s">
        <v>741</v>
      </c>
      <c r="W1258" s="4" t="s">
        <v>645</v>
      </c>
      <c r="X1258" s="6" t="s">
        <v>617</v>
      </c>
    </row>
    <row r="1259" spans="1:24">
      <c r="A1259" s="4" t="s">
        <v>1017</v>
      </c>
      <c r="B1259" s="4" t="s">
        <v>1018</v>
      </c>
      <c r="D1259" s="4" t="s">
        <v>716</v>
      </c>
      <c r="E1259" s="4" t="s">
        <v>717</v>
      </c>
      <c r="F1259" s="4" t="s">
        <v>1019</v>
      </c>
      <c r="G1259" s="4" t="s">
        <v>1020</v>
      </c>
      <c r="H1259" s="4" t="s">
        <v>1021</v>
      </c>
      <c r="I1259" s="4" t="s">
        <v>922</v>
      </c>
      <c r="K1259" s="4" t="s">
        <v>730</v>
      </c>
      <c r="L1259" s="4" t="s">
        <v>730</v>
      </c>
      <c r="M1259" s="4" t="s">
        <v>645</v>
      </c>
      <c r="N1259" s="4">
        <v>-71.534927400000001</v>
      </c>
      <c r="O1259" s="4">
        <v>3.8040635599999999</v>
      </c>
      <c r="P1259" s="4" t="s">
        <v>749</v>
      </c>
      <c r="Q1259" s="4" t="s">
        <v>746</v>
      </c>
      <c r="R1259" s="4" t="s">
        <v>720</v>
      </c>
      <c r="S1259" s="2">
        <v>46174.317546296297</v>
      </c>
      <c r="T1259" s="5">
        <v>3.4722222222222224E-4</v>
      </c>
      <c r="U1259" s="4">
        <v>8.363698422908783E-2</v>
      </c>
      <c r="V1259" s="4" t="s">
        <v>724</v>
      </c>
      <c r="W1259" s="4" t="s">
        <v>645</v>
      </c>
      <c r="X1259" s="6" t="s">
        <v>617</v>
      </c>
    </row>
    <row r="1260" spans="1:24">
      <c r="A1260" s="4" t="s">
        <v>1017</v>
      </c>
      <c r="B1260" s="4" t="s">
        <v>1018</v>
      </c>
      <c r="D1260" s="4" t="s">
        <v>716</v>
      </c>
      <c r="E1260" s="4" t="s">
        <v>717</v>
      </c>
      <c r="F1260" s="4" t="s">
        <v>1019</v>
      </c>
      <c r="G1260" s="4" t="s">
        <v>1020</v>
      </c>
      <c r="H1260" s="4" t="s">
        <v>1021</v>
      </c>
      <c r="I1260" s="4" t="s">
        <v>922</v>
      </c>
      <c r="K1260" s="4" t="s">
        <v>730</v>
      </c>
      <c r="L1260" s="4" t="s">
        <v>730</v>
      </c>
      <c r="M1260" s="4" t="s">
        <v>645</v>
      </c>
      <c r="N1260" s="4">
        <v>-71.532501199999999</v>
      </c>
      <c r="O1260" s="4">
        <v>3.8041272199999998</v>
      </c>
      <c r="P1260" s="4" t="s">
        <v>747</v>
      </c>
      <c r="Q1260" s="4" t="s">
        <v>746</v>
      </c>
      <c r="R1260" s="4" t="s">
        <v>720</v>
      </c>
      <c r="S1260" s="2">
        <v>46174.375381944446</v>
      </c>
      <c r="T1260" s="5">
        <v>5.6712962962962967E-4</v>
      </c>
      <c r="U1260" s="4">
        <v>0.14740543067455292</v>
      </c>
      <c r="V1260" s="4" t="s">
        <v>666</v>
      </c>
      <c r="W1260" s="4" t="s">
        <v>645</v>
      </c>
      <c r="X1260" s="6" t="s">
        <v>617</v>
      </c>
    </row>
    <row r="1261" spans="1:24">
      <c r="A1261" s="4" t="s">
        <v>1017</v>
      </c>
      <c r="B1261" s="4" t="s">
        <v>1018</v>
      </c>
      <c r="D1261" s="4" t="s">
        <v>716</v>
      </c>
      <c r="E1261" s="4" t="s">
        <v>717</v>
      </c>
      <c r="F1261" s="4" t="s">
        <v>1019</v>
      </c>
      <c r="G1261" s="4" t="s">
        <v>1020</v>
      </c>
      <c r="H1261" s="4" t="s">
        <v>1021</v>
      </c>
      <c r="I1261" s="4" t="s">
        <v>922</v>
      </c>
      <c r="K1261" s="4" t="s">
        <v>730</v>
      </c>
      <c r="L1261" s="4" t="s">
        <v>730</v>
      </c>
      <c r="M1261" s="4" t="s">
        <v>645</v>
      </c>
      <c r="N1261" s="4">
        <v>-71.530796049999992</v>
      </c>
      <c r="O1261" s="4">
        <v>3.8027901650000002</v>
      </c>
      <c r="P1261" s="4" t="s">
        <v>747</v>
      </c>
      <c r="Q1261" s="4" t="s">
        <v>746</v>
      </c>
      <c r="R1261" s="4" t="s">
        <v>720</v>
      </c>
      <c r="S1261" s="2">
        <v>46174.376626157507</v>
      </c>
      <c r="T1261" s="5">
        <v>1.2152787777777777E-4</v>
      </c>
      <c r="U1261" s="4">
        <v>2.6797110214829445E-2</v>
      </c>
      <c r="V1261" s="4" t="s">
        <v>724</v>
      </c>
      <c r="W1261" s="4" t="s">
        <v>645</v>
      </c>
      <c r="X1261" s="6" t="s">
        <v>617</v>
      </c>
    </row>
    <row r="1262" spans="1:24">
      <c r="A1262" s="4" t="s">
        <v>1017</v>
      </c>
      <c r="B1262" s="4" t="s">
        <v>1018</v>
      </c>
      <c r="D1262" s="4" t="s">
        <v>716</v>
      </c>
      <c r="E1262" s="4" t="s">
        <v>717</v>
      </c>
      <c r="F1262" s="4" t="s">
        <v>1019</v>
      </c>
      <c r="G1262" s="4" t="s">
        <v>1020</v>
      </c>
      <c r="H1262" s="4" t="s">
        <v>1021</v>
      </c>
      <c r="I1262" s="4" t="s">
        <v>922</v>
      </c>
      <c r="K1262" s="4" t="s">
        <v>730</v>
      </c>
      <c r="L1262" s="4" t="s">
        <v>730</v>
      </c>
      <c r="M1262" s="4" t="s">
        <v>645</v>
      </c>
      <c r="N1262" s="4">
        <v>-71.531173680171435</v>
      </c>
      <c r="O1262" s="4">
        <v>3.8025680125828569</v>
      </c>
      <c r="P1262" s="4" t="s">
        <v>748</v>
      </c>
      <c r="Q1262" s="4" t="s">
        <v>746</v>
      </c>
      <c r="R1262" s="4" t="s">
        <v>720</v>
      </c>
      <c r="S1262" s="2">
        <v>46174.393361620372</v>
      </c>
      <c r="T1262" s="5">
        <v>9.5173611111111115E-5</v>
      </c>
      <c r="U1262" s="4">
        <v>2.1919699385762215E-2</v>
      </c>
      <c r="V1262" s="4" t="s">
        <v>728</v>
      </c>
      <c r="W1262" s="4" t="s">
        <v>645</v>
      </c>
      <c r="X1262" s="6" t="s">
        <v>617</v>
      </c>
    </row>
    <row r="1263" spans="1:24">
      <c r="A1263" s="4" t="s">
        <v>1017</v>
      </c>
      <c r="B1263" s="4" t="s">
        <v>1018</v>
      </c>
      <c r="D1263" s="4" t="s">
        <v>716</v>
      </c>
      <c r="E1263" s="4" t="s">
        <v>717</v>
      </c>
      <c r="F1263" s="4" t="s">
        <v>1019</v>
      </c>
      <c r="G1263" s="4" t="s">
        <v>1020</v>
      </c>
      <c r="H1263" s="4" t="s">
        <v>1021</v>
      </c>
      <c r="I1263" s="4" t="s">
        <v>922</v>
      </c>
      <c r="K1263" s="4" t="s">
        <v>730</v>
      </c>
      <c r="L1263" s="4" t="s">
        <v>730</v>
      </c>
      <c r="M1263" s="4" t="s">
        <v>645</v>
      </c>
      <c r="N1263" s="4">
        <v>-71.5316823</v>
      </c>
      <c r="O1263" s="4">
        <v>3.8030850133333334</v>
      </c>
      <c r="P1263" s="4" t="s">
        <v>747</v>
      </c>
      <c r="Q1263" s="4" t="s">
        <v>746</v>
      </c>
      <c r="R1263" s="4" t="s">
        <v>720</v>
      </c>
      <c r="S1263" s="2">
        <v>46174.39371527778</v>
      </c>
      <c r="T1263" s="5">
        <v>1.6203703703703703E-4</v>
      </c>
      <c r="U1263" s="4">
        <v>4.110327735543251E-2</v>
      </c>
      <c r="V1263" s="4" t="s">
        <v>724</v>
      </c>
      <c r="W1263" s="4" t="s">
        <v>645</v>
      </c>
      <c r="X1263" s="6" t="s">
        <v>617</v>
      </c>
    </row>
    <row r="1264" spans="1:24">
      <c r="A1264" s="4" t="s">
        <v>1017</v>
      </c>
      <c r="B1264" s="4" t="s">
        <v>1018</v>
      </c>
      <c r="D1264" s="4" t="s">
        <v>716</v>
      </c>
      <c r="E1264" s="4" t="s">
        <v>717</v>
      </c>
      <c r="F1264" s="4" t="s">
        <v>1019</v>
      </c>
      <c r="G1264" s="4" t="s">
        <v>1020</v>
      </c>
      <c r="H1264" s="4" t="s">
        <v>1021</v>
      </c>
      <c r="I1264" s="4" t="s">
        <v>922</v>
      </c>
      <c r="K1264" s="4" t="s">
        <v>730</v>
      </c>
      <c r="L1264" s="4" t="s">
        <v>730</v>
      </c>
      <c r="M1264" s="4" t="s">
        <v>645</v>
      </c>
      <c r="N1264" s="4">
        <v>-71.532630900000001</v>
      </c>
      <c r="O1264" s="4">
        <v>3.8043544300000001</v>
      </c>
      <c r="P1264" s="4" t="s">
        <v>745</v>
      </c>
      <c r="Q1264" s="4" t="s">
        <v>746</v>
      </c>
      <c r="R1264" s="4" t="s">
        <v>720</v>
      </c>
      <c r="S1264" s="2">
        <v>46174.394409722219</v>
      </c>
      <c r="T1264" s="5">
        <v>1.3425925925925926E-4</v>
      </c>
      <c r="U1264" s="4">
        <v>3.0592670664191246E-2</v>
      </c>
      <c r="V1264" s="4" t="s">
        <v>724</v>
      </c>
      <c r="W1264" s="4" t="s">
        <v>645</v>
      </c>
      <c r="X1264" s="6" t="s">
        <v>617</v>
      </c>
    </row>
    <row r="1265" spans="1:24">
      <c r="A1265" s="4" t="s">
        <v>1017</v>
      </c>
      <c r="B1265" s="4" t="s">
        <v>1018</v>
      </c>
      <c r="D1265" s="4" t="s">
        <v>716</v>
      </c>
      <c r="E1265" s="4" t="s">
        <v>717</v>
      </c>
      <c r="F1265" s="4" t="s">
        <v>1019</v>
      </c>
      <c r="G1265" s="4" t="s">
        <v>1020</v>
      </c>
      <c r="H1265" s="4" t="s">
        <v>1021</v>
      </c>
      <c r="I1265" s="4" t="s">
        <v>922</v>
      </c>
      <c r="K1265" s="4" t="s">
        <v>730</v>
      </c>
      <c r="L1265" s="4" t="s">
        <v>730</v>
      </c>
      <c r="M1265" s="4" t="s">
        <v>645</v>
      </c>
      <c r="N1265" s="4">
        <v>-71.533047968121423</v>
      </c>
      <c r="O1265" s="4">
        <v>3.8042716100192857</v>
      </c>
      <c r="P1265" s="4" t="s">
        <v>745</v>
      </c>
      <c r="Q1265" s="4" t="s">
        <v>746</v>
      </c>
      <c r="R1265" s="4" t="s">
        <v>720</v>
      </c>
      <c r="S1265" s="2">
        <v>46174.633545520832</v>
      </c>
      <c r="T1265" s="5">
        <v>9.1049768518518519E-4</v>
      </c>
      <c r="U1265" s="4">
        <v>0.2611420750617981</v>
      </c>
      <c r="V1265" s="4" t="s">
        <v>725</v>
      </c>
      <c r="W1265" s="4" t="s">
        <v>645</v>
      </c>
      <c r="X1265" s="6" t="s">
        <v>617</v>
      </c>
    </row>
    <row r="1266" spans="1:24">
      <c r="A1266" s="4" t="s">
        <v>1017</v>
      </c>
      <c r="B1266" s="4" t="s">
        <v>1018</v>
      </c>
      <c r="D1266" s="4" t="s">
        <v>716</v>
      </c>
      <c r="E1266" s="4" t="s">
        <v>717</v>
      </c>
      <c r="F1266" s="4" t="s">
        <v>1019</v>
      </c>
      <c r="G1266" s="4" t="s">
        <v>1020</v>
      </c>
      <c r="H1266" s="4" t="s">
        <v>1021</v>
      </c>
      <c r="I1266" s="4" t="s">
        <v>922</v>
      </c>
      <c r="K1266" s="4" t="s">
        <v>730</v>
      </c>
      <c r="L1266" s="4" t="s">
        <v>730</v>
      </c>
      <c r="M1266" s="4" t="s">
        <v>645</v>
      </c>
      <c r="N1266" s="4">
        <v>-71.5315552</v>
      </c>
      <c r="O1266" s="4">
        <v>3.8028500099999998</v>
      </c>
      <c r="P1266" s="4" t="s">
        <v>747</v>
      </c>
      <c r="Q1266" s="4" t="s">
        <v>746</v>
      </c>
      <c r="R1266" s="4" t="s">
        <v>720</v>
      </c>
      <c r="S1266" s="2">
        <v>46174.634456018517</v>
      </c>
      <c r="T1266" s="5">
        <v>1.9675925925925926E-4</v>
      </c>
      <c r="U1266" s="4">
        <v>5.2732914686203003E-2</v>
      </c>
      <c r="V1266" s="4" t="s">
        <v>731</v>
      </c>
      <c r="W1266" s="4" t="s">
        <v>645</v>
      </c>
      <c r="X1266" s="6" t="s">
        <v>617</v>
      </c>
    </row>
    <row r="1267" spans="1:24">
      <c r="A1267" s="4" t="s">
        <v>1017</v>
      </c>
      <c r="B1267" s="4" t="s">
        <v>1018</v>
      </c>
      <c r="D1267" s="4" t="s">
        <v>716</v>
      </c>
      <c r="E1267" s="4" t="s">
        <v>717</v>
      </c>
      <c r="F1267" s="4" t="s">
        <v>1019</v>
      </c>
      <c r="G1267" s="4" t="s">
        <v>1020</v>
      </c>
      <c r="H1267" s="4" t="s">
        <v>1021</v>
      </c>
      <c r="I1267" s="4" t="s">
        <v>922</v>
      </c>
      <c r="K1267" s="4" t="s">
        <v>730</v>
      </c>
      <c r="L1267" s="4" t="s">
        <v>730</v>
      </c>
      <c r="M1267" s="4" t="s">
        <v>645</v>
      </c>
      <c r="N1267" s="4">
        <v>-71.531227099999995</v>
      </c>
      <c r="O1267" s="4">
        <v>3.8025224199999998</v>
      </c>
      <c r="P1267" s="4" t="s">
        <v>748</v>
      </c>
      <c r="Q1267" s="4" t="s">
        <v>746</v>
      </c>
      <c r="R1267" s="4" t="s">
        <v>720</v>
      </c>
      <c r="S1267" s="2">
        <v>46174.634652777779</v>
      </c>
      <c r="T1267" s="5">
        <v>6.8947916666666669E-4</v>
      </c>
      <c r="U1267" s="4">
        <v>0.18503116071224213</v>
      </c>
      <c r="V1267" s="4" t="s">
        <v>731</v>
      </c>
      <c r="W1267" s="4" t="s">
        <v>645</v>
      </c>
      <c r="X1267" s="6" t="s">
        <v>617</v>
      </c>
    </row>
    <row r="1268" spans="1:24">
      <c r="A1268" s="4" t="s">
        <v>1017</v>
      </c>
      <c r="B1268" s="4" t="s">
        <v>1018</v>
      </c>
      <c r="D1268" s="4" t="s">
        <v>716</v>
      </c>
      <c r="E1268" s="4" t="s">
        <v>717</v>
      </c>
      <c r="F1268" s="4" t="s">
        <v>1019</v>
      </c>
      <c r="G1268" s="4" t="s">
        <v>1020</v>
      </c>
      <c r="H1268" s="4" t="s">
        <v>1021</v>
      </c>
      <c r="I1268" s="4" t="s">
        <v>922</v>
      </c>
      <c r="K1268" s="4" t="s">
        <v>730</v>
      </c>
      <c r="L1268" s="4" t="s">
        <v>730</v>
      </c>
      <c r="M1268" s="4" t="s">
        <v>645</v>
      </c>
      <c r="N1268" s="4">
        <v>-71.531280499999994</v>
      </c>
      <c r="O1268" s="4">
        <v>3.80250478</v>
      </c>
      <c r="P1268" s="4" t="s">
        <v>748</v>
      </c>
      <c r="Q1268" s="4" t="s">
        <v>746</v>
      </c>
      <c r="R1268" s="4" t="s">
        <v>720</v>
      </c>
      <c r="S1268" s="2">
        <v>46174.64576388889</v>
      </c>
      <c r="T1268" s="5">
        <v>1.0300925925925926E-3</v>
      </c>
      <c r="U1268" s="4">
        <v>0.29461216926574707</v>
      </c>
      <c r="V1268" s="4" t="s">
        <v>728</v>
      </c>
      <c r="W1268" s="4" t="s">
        <v>645</v>
      </c>
      <c r="X1268" s="6" t="s">
        <v>617</v>
      </c>
    </row>
    <row r="1269" spans="1:24">
      <c r="A1269" s="4" t="s">
        <v>1017</v>
      </c>
      <c r="B1269" s="4" t="s">
        <v>1018</v>
      </c>
      <c r="D1269" s="4" t="s">
        <v>716</v>
      </c>
      <c r="E1269" s="4" t="s">
        <v>717</v>
      </c>
      <c r="F1269" s="4" t="s">
        <v>1019</v>
      </c>
      <c r="G1269" s="4" t="s">
        <v>1020</v>
      </c>
      <c r="H1269" s="4" t="s">
        <v>1021</v>
      </c>
      <c r="I1269" s="4" t="s">
        <v>922</v>
      </c>
      <c r="K1269" s="4" t="s">
        <v>730</v>
      </c>
      <c r="L1269" s="4" t="s">
        <v>730</v>
      </c>
      <c r="M1269" s="4" t="s">
        <v>645</v>
      </c>
      <c r="N1269" s="4">
        <v>-71.533302300000003</v>
      </c>
      <c r="O1269" s="4">
        <v>3.8041112400000001</v>
      </c>
      <c r="P1269" s="4" t="s">
        <v>749</v>
      </c>
      <c r="Q1269" s="4" t="s">
        <v>746</v>
      </c>
      <c r="R1269" s="4" t="s">
        <v>720</v>
      </c>
      <c r="S1269" s="2">
        <v>46174.64707175926</v>
      </c>
      <c r="T1269" s="5">
        <v>6.2500000000000001E-4</v>
      </c>
      <c r="U1269" s="4">
        <v>0.15654397010803223</v>
      </c>
      <c r="V1269" s="4" t="s">
        <v>728</v>
      </c>
      <c r="W1269" s="4" t="s">
        <v>645</v>
      </c>
      <c r="X1269" s="6" t="s">
        <v>617</v>
      </c>
    </row>
    <row r="1270" spans="1:24">
      <c r="A1270" s="4" t="s">
        <v>1017</v>
      </c>
      <c r="B1270" s="4" t="s">
        <v>1018</v>
      </c>
      <c r="D1270" s="4" t="s">
        <v>716</v>
      </c>
      <c r="E1270" s="4" t="s">
        <v>717</v>
      </c>
      <c r="F1270" s="4" t="s">
        <v>1019</v>
      </c>
      <c r="G1270" s="4" t="s">
        <v>1020</v>
      </c>
      <c r="H1270" s="4" t="s">
        <v>1021</v>
      </c>
      <c r="I1270" s="4" t="s">
        <v>922</v>
      </c>
      <c r="K1270" s="4" t="s">
        <v>730</v>
      </c>
      <c r="L1270" s="4" t="s">
        <v>730</v>
      </c>
      <c r="M1270" s="4" t="s">
        <v>645</v>
      </c>
      <c r="N1270" s="4">
        <v>-71.534802724815009</v>
      </c>
      <c r="O1270" s="4">
        <v>3.8047030821779999</v>
      </c>
      <c r="P1270" s="4" t="s">
        <v>745</v>
      </c>
      <c r="Q1270" s="4" t="s">
        <v>746</v>
      </c>
      <c r="R1270" s="4" t="s">
        <v>720</v>
      </c>
      <c r="S1270" s="2">
        <v>46174.647932094907</v>
      </c>
      <c r="T1270" s="5">
        <v>1.1419791666666666E-3</v>
      </c>
      <c r="U1270" s="4">
        <v>0.31294152140617371</v>
      </c>
      <c r="V1270" s="4" t="s">
        <v>731</v>
      </c>
      <c r="W1270" s="4" t="s">
        <v>645</v>
      </c>
      <c r="X1270" s="6" t="s">
        <v>617</v>
      </c>
    </row>
    <row r="1271" spans="1:24">
      <c r="A1271" s="4" t="s">
        <v>1017</v>
      </c>
      <c r="B1271" s="4" t="s">
        <v>1018</v>
      </c>
      <c r="D1271" s="4" t="s">
        <v>716</v>
      </c>
      <c r="E1271" s="4" t="s">
        <v>717</v>
      </c>
      <c r="F1271" s="4" t="s">
        <v>1019</v>
      </c>
      <c r="G1271" s="4" t="s">
        <v>1020</v>
      </c>
      <c r="H1271" s="4" t="s">
        <v>1021</v>
      </c>
      <c r="I1271" s="4" t="s">
        <v>922</v>
      </c>
      <c r="K1271" s="4" t="s">
        <v>730</v>
      </c>
      <c r="L1271" s="4" t="s">
        <v>730</v>
      </c>
      <c r="M1271" s="4" t="s">
        <v>645</v>
      </c>
      <c r="N1271" s="4">
        <v>-71.532867460000006</v>
      </c>
      <c r="O1271" s="4">
        <v>3.8020380459999998</v>
      </c>
      <c r="P1271" s="4" t="s">
        <v>745</v>
      </c>
      <c r="Q1271" s="4" t="s">
        <v>746</v>
      </c>
      <c r="R1271" s="4" t="s">
        <v>720</v>
      </c>
      <c r="S1271" s="2">
        <v>46174.649930555555</v>
      </c>
      <c r="T1271" s="5">
        <v>2.6234953703703701E-4</v>
      </c>
      <c r="U1271" s="4">
        <v>6.9224238395690918E-2</v>
      </c>
      <c r="V1271" s="4" t="s">
        <v>728</v>
      </c>
      <c r="W1271" s="4" t="s">
        <v>645</v>
      </c>
      <c r="X1271" s="6" t="s">
        <v>617</v>
      </c>
    </row>
    <row r="1272" spans="1:24">
      <c r="A1272" s="4" t="s">
        <v>1017</v>
      </c>
      <c r="B1272" s="4" t="s">
        <v>1018</v>
      </c>
      <c r="D1272" s="4" t="s">
        <v>716</v>
      </c>
      <c r="E1272" s="4" t="s">
        <v>717</v>
      </c>
      <c r="F1272" s="4" t="s">
        <v>1019</v>
      </c>
      <c r="G1272" s="4" t="s">
        <v>1020</v>
      </c>
      <c r="H1272" s="4" t="s">
        <v>1021</v>
      </c>
      <c r="I1272" s="4" t="s">
        <v>922</v>
      </c>
      <c r="K1272" s="4" t="s">
        <v>730</v>
      </c>
      <c r="L1272" s="4" t="s">
        <v>730</v>
      </c>
      <c r="M1272" s="4" t="s">
        <v>614</v>
      </c>
      <c r="N1272" s="4">
        <v>-71.532943700000004</v>
      </c>
      <c r="O1272" s="4">
        <v>3.8026688100000001</v>
      </c>
      <c r="P1272" s="4" t="s">
        <v>745</v>
      </c>
      <c r="Q1272" s="4" t="s">
        <v>746</v>
      </c>
      <c r="R1272" s="4" t="s">
        <v>720</v>
      </c>
      <c r="S1272" s="2">
        <v>46174.650266203702</v>
      </c>
      <c r="T1272" s="5">
        <v>3.5069444444444445E-3</v>
      </c>
      <c r="U1272" s="4">
        <v>0</v>
      </c>
      <c r="V1272" s="4" t="s">
        <v>616</v>
      </c>
      <c r="W1272" s="4" t="s">
        <v>614</v>
      </c>
      <c r="X1272" s="6" t="s">
        <v>617</v>
      </c>
    </row>
    <row r="1273" spans="1:24">
      <c r="A1273" s="4" t="s">
        <v>1017</v>
      </c>
      <c r="B1273" s="4" t="s">
        <v>1018</v>
      </c>
      <c r="D1273" s="4" t="s">
        <v>716</v>
      </c>
      <c r="E1273" s="4" t="s">
        <v>717</v>
      </c>
      <c r="F1273" s="4" t="s">
        <v>1019</v>
      </c>
      <c r="G1273" s="4" t="s">
        <v>1020</v>
      </c>
      <c r="H1273" s="4" t="s">
        <v>1021</v>
      </c>
      <c r="I1273" s="4" t="s">
        <v>922</v>
      </c>
      <c r="K1273" s="4" t="s">
        <v>730</v>
      </c>
      <c r="L1273" s="4" t="s">
        <v>730</v>
      </c>
      <c r="M1273" s="4" t="s">
        <v>645</v>
      </c>
      <c r="N1273" s="4">
        <v>-71.534695400000004</v>
      </c>
      <c r="O1273" s="4">
        <v>3.8030468480000001</v>
      </c>
      <c r="P1273" s="4" t="s">
        <v>749</v>
      </c>
      <c r="Q1273" s="4" t="s">
        <v>746</v>
      </c>
      <c r="R1273" s="4" t="s">
        <v>720</v>
      </c>
      <c r="S1273" s="2">
        <v>46174.655261574073</v>
      </c>
      <c r="T1273" s="5">
        <v>1.550925925925926E-4</v>
      </c>
      <c r="U1273" s="4">
        <v>3.7647653371095657E-2</v>
      </c>
      <c r="V1273" s="4" t="s">
        <v>731</v>
      </c>
      <c r="W1273" s="4" t="s">
        <v>645</v>
      </c>
      <c r="X1273" s="6" t="s">
        <v>617</v>
      </c>
    </row>
    <row r="1274" spans="1:24">
      <c r="A1274" s="4" t="s">
        <v>1017</v>
      </c>
      <c r="B1274" s="4" t="s">
        <v>1018</v>
      </c>
      <c r="D1274" s="4" t="s">
        <v>716</v>
      </c>
      <c r="E1274" s="4" t="s">
        <v>717</v>
      </c>
      <c r="F1274" s="4" t="s">
        <v>1019</v>
      </c>
      <c r="G1274" s="4" t="s">
        <v>1020</v>
      </c>
      <c r="H1274" s="4" t="s">
        <v>1021</v>
      </c>
      <c r="I1274" s="4" t="s">
        <v>922</v>
      </c>
      <c r="K1274" s="4" t="s">
        <v>730</v>
      </c>
      <c r="L1274" s="4" t="s">
        <v>730</v>
      </c>
      <c r="M1274" s="4" t="s">
        <v>645</v>
      </c>
      <c r="N1274" s="4">
        <v>-71.535041800000002</v>
      </c>
      <c r="O1274" s="4">
        <v>3.8044183299999998</v>
      </c>
      <c r="P1274" s="4" t="s">
        <v>745</v>
      </c>
      <c r="Q1274" s="4" t="s">
        <v>746</v>
      </c>
      <c r="R1274" s="4" t="s">
        <v>720</v>
      </c>
      <c r="S1274" s="2">
        <v>46174.655960648146</v>
      </c>
      <c r="T1274" s="5">
        <v>2.5925925925925926E-4</v>
      </c>
      <c r="U1274" s="4">
        <v>6.4180813729763031E-2</v>
      </c>
      <c r="V1274" s="4" t="s">
        <v>728</v>
      </c>
      <c r="W1274" s="4" t="s">
        <v>645</v>
      </c>
      <c r="X1274" s="6" t="s">
        <v>617</v>
      </c>
    </row>
    <row r="1275" spans="1:24">
      <c r="A1275" s="4" t="s">
        <v>1017</v>
      </c>
      <c r="B1275" s="4" t="s">
        <v>1018</v>
      </c>
      <c r="D1275" s="4" t="s">
        <v>716</v>
      </c>
      <c r="E1275" s="4" t="s">
        <v>717</v>
      </c>
      <c r="F1275" s="4" t="s">
        <v>1019</v>
      </c>
      <c r="G1275" s="4" t="s">
        <v>1020</v>
      </c>
      <c r="H1275" s="4" t="s">
        <v>1021</v>
      </c>
      <c r="I1275" s="4" t="s">
        <v>922</v>
      </c>
      <c r="K1275" s="4" t="s">
        <v>730</v>
      </c>
      <c r="L1275" s="4" t="s">
        <v>730</v>
      </c>
      <c r="M1275" s="4" t="s">
        <v>645</v>
      </c>
      <c r="N1275" s="4">
        <v>-71.534412400000008</v>
      </c>
      <c r="O1275" s="4">
        <v>3.804992795</v>
      </c>
      <c r="P1275" s="4" t="s">
        <v>749</v>
      </c>
      <c r="Q1275" s="4" t="s">
        <v>746</v>
      </c>
      <c r="R1275" s="4" t="s">
        <v>720</v>
      </c>
      <c r="S1275" s="2">
        <v>46174.656348379729</v>
      </c>
      <c r="T1275" s="5">
        <v>4.1473379629629629E-4</v>
      </c>
      <c r="U1275" s="4">
        <v>0.10307075083255768</v>
      </c>
      <c r="V1275" s="4" t="s">
        <v>731</v>
      </c>
      <c r="W1275" s="4" t="s">
        <v>645</v>
      </c>
      <c r="X1275" s="6" t="s">
        <v>617</v>
      </c>
    </row>
    <row r="1276" spans="1:24">
      <c r="A1276" s="4" t="s">
        <v>1017</v>
      </c>
      <c r="B1276" s="4" t="s">
        <v>1018</v>
      </c>
      <c r="D1276" s="4" t="s">
        <v>716</v>
      </c>
      <c r="E1276" s="4" t="s">
        <v>717</v>
      </c>
      <c r="F1276" s="4" t="s">
        <v>1019</v>
      </c>
      <c r="G1276" s="4" t="s">
        <v>1020</v>
      </c>
      <c r="H1276" s="4" t="s">
        <v>1021</v>
      </c>
      <c r="I1276" s="4" t="s">
        <v>922</v>
      </c>
      <c r="K1276" s="4" t="s">
        <v>730</v>
      </c>
      <c r="L1276" s="4" t="s">
        <v>730</v>
      </c>
      <c r="M1276" s="4" t="s">
        <v>645</v>
      </c>
      <c r="N1276" s="4">
        <v>-71.533557900000005</v>
      </c>
      <c r="O1276" s="4">
        <v>3.8041691750000002</v>
      </c>
      <c r="P1276" s="4" t="s">
        <v>745</v>
      </c>
      <c r="Q1276" s="4" t="s">
        <v>746</v>
      </c>
      <c r="R1276" s="4" t="s">
        <v>720</v>
      </c>
      <c r="S1276" s="2">
        <v>46174.65693287037</v>
      </c>
      <c r="T1276" s="5">
        <v>8.4872685185185184E-5</v>
      </c>
      <c r="U1276" s="4">
        <v>2.0032715052366257E-2</v>
      </c>
      <c r="V1276" s="4" t="s">
        <v>724</v>
      </c>
      <c r="W1276" s="4" t="s">
        <v>645</v>
      </c>
      <c r="X1276" s="6" t="s">
        <v>617</v>
      </c>
    </row>
    <row r="1277" spans="1:24">
      <c r="A1277" s="4" t="s">
        <v>1017</v>
      </c>
      <c r="B1277" s="4" t="s">
        <v>1018</v>
      </c>
      <c r="D1277" s="4" t="s">
        <v>716</v>
      </c>
      <c r="E1277" s="4" t="s">
        <v>717</v>
      </c>
      <c r="F1277" s="4" t="s">
        <v>1019</v>
      </c>
      <c r="G1277" s="4" t="s">
        <v>1020</v>
      </c>
      <c r="H1277" s="4" t="s">
        <v>1021</v>
      </c>
      <c r="I1277" s="4" t="s">
        <v>922</v>
      </c>
      <c r="K1277" s="4" t="s">
        <v>730</v>
      </c>
      <c r="L1277" s="4" t="s">
        <v>730</v>
      </c>
      <c r="M1277" s="4" t="s">
        <v>645</v>
      </c>
      <c r="N1277" s="4">
        <v>-71.533073400000006</v>
      </c>
      <c r="O1277" s="4">
        <v>3.8043859000000002</v>
      </c>
      <c r="P1277" s="4" t="s">
        <v>749</v>
      </c>
      <c r="Q1277" s="4" t="s">
        <v>746</v>
      </c>
      <c r="R1277" s="4" t="s">
        <v>720</v>
      </c>
      <c r="S1277" s="2">
        <v>46174.657314814816</v>
      </c>
      <c r="T1277" s="5">
        <v>4.9768518518518521E-4</v>
      </c>
      <c r="U1277" s="4">
        <v>0.13411055505275726</v>
      </c>
      <c r="V1277" s="4" t="s">
        <v>731</v>
      </c>
      <c r="W1277" s="4" t="s">
        <v>645</v>
      </c>
      <c r="X1277" s="6" t="s">
        <v>617</v>
      </c>
    </row>
    <row r="1278" spans="1:24">
      <c r="A1278" s="4" t="s">
        <v>1017</v>
      </c>
      <c r="B1278" s="4" t="s">
        <v>1018</v>
      </c>
      <c r="D1278" s="4" t="s">
        <v>716</v>
      </c>
      <c r="E1278" s="4" t="s">
        <v>717</v>
      </c>
      <c r="F1278" s="4" t="s">
        <v>1019</v>
      </c>
      <c r="G1278" s="4" t="s">
        <v>1020</v>
      </c>
      <c r="H1278" s="4" t="s">
        <v>1021</v>
      </c>
      <c r="I1278" s="4" t="s">
        <v>922</v>
      </c>
      <c r="K1278" s="4" t="s">
        <v>730</v>
      </c>
      <c r="L1278" s="4" t="s">
        <v>730</v>
      </c>
      <c r="M1278" s="4" t="s">
        <v>645</v>
      </c>
      <c r="N1278" s="4">
        <v>-71.532226600000001</v>
      </c>
      <c r="O1278" s="4">
        <v>3.8037157100000001</v>
      </c>
      <c r="P1278" s="4" t="s">
        <v>747</v>
      </c>
      <c r="Q1278" s="4" t="s">
        <v>746</v>
      </c>
      <c r="R1278" s="4" t="s">
        <v>720</v>
      </c>
      <c r="S1278" s="2">
        <v>46174.657812500001</v>
      </c>
      <c r="T1278" s="5">
        <v>6.4236121111111116E-4</v>
      </c>
      <c r="U1278" s="4">
        <v>0.17934346199035645</v>
      </c>
      <c r="V1278" s="4" t="s">
        <v>728</v>
      </c>
      <c r="W1278" s="4" t="s">
        <v>645</v>
      </c>
      <c r="X1278" s="6" t="s">
        <v>617</v>
      </c>
    </row>
    <row r="1279" spans="1:24">
      <c r="A1279" s="4" t="s">
        <v>1017</v>
      </c>
      <c r="B1279" s="4" t="s">
        <v>1018</v>
      </c>
      <c r="D1279" s="4" t="s">
        <v>716</v>
      </c>
      <c r="E1279" s="4" t="s">
        <v>717</v>
      </c>
      <c r="F1279" s="4" t="s">
        <v>1019</v>
      </c>
      <c r="G1279" s="4" t="s">
        <v>1020</v>
      </c>
      <c r="H1279" s="4" t="s">
        <v>1021</v>
      </c>
      <c r="I1279" s="4" t="s">
        <v>922</v>
      </c>
      <c r="K1279" s="4" t="s">
        <v>730</v>
      </c>
      <c r="L1279" s="4" t="s">
        <v>730</v>
      </c>
      <c r="M1279" s="4" t="s">
        <v>645</v>
      </c>
      <c r="N1279" s="4">
        <v>-71.530850733333338</v>
      </c>
      <c r="O1279" s="4">
        <v>3.8027519399999998</v>
      </c>
      <c r="P1279" s="4" t="s">
        <v>747</v>
      </c>
      <c r="Q1279" s="4" t="s">
        <v>746</v>
      </c>
      <c r="R1279" s="4" t="s">
        <v>720</v>
      </c>
      <c r="S1279" s="2">
        <v>46174.658668981479</v>
      </c>
      <c r="T1279" s="5">
        <v>1.8518518518518518E-4</v>
      </c>
      <c r="U1279" s="4">
        <v>4.0022648870944977E-2</v>
      </c>
      <c r="V1279" s="4" t="s">
        <v>728</v>
      </c>
      <c r="W1279" s="4" t="s">
        <v>645</v>
      </c>
      <c r="X1279" s="6" t="s">
        <v>617</v>
      </c>
    </row>
    <row r="1280" spans="1:24">
      <c r="A1280" s="4" t="s">
        <v>1017</v>
      </c>
      <c r="B1280" s="4" t="s">
        <v>1018</v>
      </c>
      <c r="D1280" s="4" t="s">
        <v>716</v>
      </c>
      <c r="E1280" s="4" t="s">
        <v>717</v>
      </c>
      <c r="F1280" s="4" t="s">
        <v>1019</v>
      </c>
      <c r="G1280" s="4" t="s">
        <v>1020</v>
      </c>
      <c r="H1280" s="4" t="s">
        <v>1021</v>
      </c>
      <c r="I1280" s="4" t="s">
        <v>922</v>
      </c>
      <c r="K1280" s="4" t="s">
        <v>730</v>
      </c>
      <c r="L1280" s="4" t="s">
        <v>730</v>
      </c>
      <c r="M1280" s="4" t="s">
        <v>614</v>
      </c>
      <c r="N1280" s="4">
        <v>-71.5299835</v>
      </c>
      <c r="O1280" s="4">
        <v>3.8020491600000001</v>
      </c>
      <c r="P1280" s="4" t="s">
        <v>747</v>
      </c>
      <c r="Q1280" s="4" t="s">
        <v>746</v>
      </c>
      <c r="R1280" s="4" t="s">
        <v>720</v>
      </c>
      <c r="S1280" s="2">
        <v>46174.672151053244</v>
      </c>
      <c r="T1280" s="5">
        <v>7.6290393518518521E-3</v>
      </c>
      <c r="U1280" s="4">
        <v>9.1441059485077858E-3</v>
      </c>
      <c r="V1280" s="4" t="s">
        <v>616</v>
      </c>
      <c r="W1280" s="4" t="s">
        <v>614</v>
      </c>
      <c r="X1280" s="6" t="s">
        <v>617</v>
      </c>
    </row>
    <row r="1281" spans="1:24">
      <c r="A1281" s="4" t="s">
        <v>1017</v>
      </c>
      <c r="B1281" s="4" t="s">
        <v>1018</v>
      </c>
      <c r="D1281" s="4" t="s">
        <v>716</v>
      </c>
      <c r="E1281" s="4" t="s">
        <v>717</v>
      </c>
      <c r="F1281" s="4" t="s">
        <v>1019</v>
      </c>
      <c r="G1281" s="4" t="s">
        <v>1020</v>
      </c>
      <c r="H1281" s="4" t="s">
        <v>1021</v>
      </c>
      <c r="I1281" s="4" t="s">
        <v>922</v>
      </c>
      <c r="K1281" s="4" t="s">
        <v>730</v>
      </c>
      <c r="L1281" s="4" t="s">
        <v>730</v>
      </c>
      <c r="M1281" s="4" t="s">
        <v>645</v>
      </c>
      <c r="N1281" s="4">
        <v>-71.531433100000001</v>
      </c>
      <c r="O1281" s="4">
        <v>3.8026800199999999</v>
      </c>
      <c r="P1281" s="4" t="s">
        <v>747</v>
      </c>
      <c r="Q1281" s="4" t="s">
        <v>746</v>
      </c>
      <c r="R1281" s="4" t="s">
        <v>720</v>
      </c>
      <c r="S1281" s="2">
        <v>46174.682650462964</v>
      </c>
      <c r="T1281" s="5">
        <v>7.7546296296296293E-4</v>
      </c>
      <c r="U1281" s="4">
        <v>0.22681073844432831</v>
      </c>
      <c r="V1281" s="4" t="s">
        <v>731</v>
      </c>
      <c r="W1281" s="4" t="s">
        <v>645</v>
      </c>
      <c r="X1281" s="6" t="s">
        <v>617</v>
      </c>
    </row>
    <row r="1282" spans="1:24">
      <c r="A1282" s="4" t="s">
        <v>1017</v>
      </c>
      <c r="B1282" s="4" t="s">
        <v>1018</v>
      </c>
      <c r="D1282" s="4" t="s">
        <v>716</v>
      </c>
      <c r="E1282" s="4" t="s">
        <v>717</v>
      </c>
      <c r="F1282" s="4" t="s">
        <v>1019</v>
      </c>
      <c r="G1282" s="4" t="s">
        <v>1020</v>
      </c>
      <c r="H1282" s="4" t="s">
        <v>1021</v>
      </c>
      <c r="I1282" s="4" t="s">
        <v>922</v>
      </c>
      <c r="K1282" s="4" t="s">
        <v>730</v>
      </c>
      <c r="L1282" s="4" t="s">
        <v>730</v>
      </c>
      <c r="M1282" s="4" t="s">
        <v>614</v>
      </c>
      <c r="N1282" s="4">
        <v>-71.550514199999995</v>
      </c>
      <c r="O1282" s="4">
        <v>3.7805604900000001</v>
      </c>
      <c r="P1282" s="4" t="s">
        <v>742</v>
      </c>
      <c r="Q1282" s="4" t="s">
        <v>743</v>
      </c>
      <c r="R1282" s="4" t="s">
        <v>730</v>
      </c>
      <c r="S1282" s="2">
        <v>46174.703009259261</v>
      </c>
      <c r="T1282" s="5">
        <v>4.5949074074074078E-3</v>
      </c>
      <c r="U1282" s="4">
        <v>0</v>
      </c>
      <c r="V1282" s="4" t="s">
        <v>616</v>
      </c>
      <c r="W1282" s="4" t="s">
        <v>614</v>
      </c>
      <c r="X1282" s="6" t="s">
        <v>617</v>
      </c>
    </row>
    <row r="1283" spans="1:24">
      <c r="A1283" s="4" t="s">
        <v>1017</v>
      </c>
      <c r="B1283" s="4" t="s">
        <v>1018</v>
      </c>
      <c r="D1283" s="4" t="s">
        <v>716</v>
      </c>
      <c r="E1283" s="4" t="s">
        <v>717</v>
      </c>
      <c r="F1283" s="4" t="s">
        <v>1019</v>
      </c>
      <c r="G1283" s="4" t="s">
        <v>1020</v>
      </c>
      <c r="H1283" s="4" t="s">
        <v>1021</v>
      </c>
      <c r="I1283" s="4" t="s">
        <v>922</v>
      </c>
      <c r="K1283" s="4" t="s">
        <v>730</v>
      </c>
      <c r="L1283" s="4" t="s">
        <v>730</v>
      </c>
      <c r="M1283" s="4" t="s">
        <v>645</v>
      </c>
      <c r="N1283" s="4">
        <v>-71.625405207500009</v>
      </c>
      <c r="O1283" s="4">
        <v>3.7810448427625003</v>
      </c>
      <c r="P1283" s="4" t="s">
        <v>759</v>
      </c>
      <c r="Q1283" s="4" t="s">
        <v>760</v>
      </c>
      <c r="R1283" s="4" t="s">
        <v>730</v>
      </c>
      <c r="S1283" s="2">
        <v>46174.727128530096</v>
      </c>
      <c r="T1283" s="5">
        <v>8.211805555555556E-5</v>
      </c>
      <c r="U1283" s="4">
        <v>3.1676527112722397E-2</v>
      </c>
      <c r="V1283" s="4" t="s">
        <v>721</v>
      </c>
      <c r="W1283" s="4" t="s">
        <v>645</v>
      </c>
      <c r="X1283" s="6" t="s">
        <v>617</v>
      </c>
    </row>
    <row r="1284" spans="1:24">
      <c r="A1284" s="4" t="s">
        <v>1017</v>
      </c>
      <c r="B1284" s="4" t="s">
        <v>1018</v>
      </c>
      <c r="D1284" s="4" t="s">
        <v>716</v>
      </c>
      <c r="E1284" s="4" t="s">
        <v>717</v>
      </c>
      <c r="F1284" s="4" t="s">
        <v>1019</v>
      </c>
      <c r="G1284" s="4" t="s">
        <v>1020</v>
      </c>
      <c r="H1284" s="4" t="s">
        <v>1021</v>
      </c>
      <c r="I1284" s="4" t="s">
        <v>922</v>
      </c>
      <c r="K1284" s="4" t="s">
        <v>730</v>
      </c>
      <c r="L1284" s="4" t="s">
        <v>730</v>
      </c>
      <c r="M1284" s="4" t="s">
        <v>645</v>
      </c>
      <c r="N1284" s="4">
        <v>-71.625686599999995</v>
      </c>
      <c r="O1284" s="4">
        <v>3.78099608</v>
      </c>
      <c r="P1284" s="4" t="s">
        <v>759</v>
      </c>
      <c r="Q1284" s="4" t="s">
        <v>760</v>
      </c>
      <c r="R1284" s="4" t="s">
        <v>730</v>
      </c>
      <c r="S1284" s="2">
        <v>46174.727210648147</v>
      </c>
      <c r="T1284" s="5">
        <v>1.5046296296296297E-4</v>
      </c>
      <c r="U1284" s="4">
        <v>5.8448091149330139E-2</v>
      </c>
      <c r="V1284" s="4" t="s">
        <v>721</v>
      </c>
      <c r="W1284" s="4" t="s">
        <v>645</v>
      </c>
      <c r="X1284" s="6" t="s">
        <v>617</v>
      </c>
    </row>
    <row r="1285" spans="1:24">
      <c r="A1285" s="4" t="s">
        <v>1017</v>
      </c>
      <c r="B1285" s="4" t="s">
        <v>1018</v>
      </c>
      <c r="D1285" s="4" t="s">
        <v>716</v>
      </c>
      <c r="E1285" s="4" t="s">
        <v>717</v>
      </c>
      <c r="F1285" s="4" t="s">
        <v>1019</v>
      </c>
      <c r="G1285" s="4" t="s">
        <v>1020</v>
      </c>
      <c r="H1285" s="4" t="s">
        <v>1021</v>
      </c>
      <c r="I1285" s="4" t="s">
        <v>922</v>
      </c>
      <c r="K1285" s="4" t="s">
        <v>730</v>
      </c>
      <c r="L1285" s="4" t="s">
        <v>730</v>
      </c>
      <c r="M1285" s="4" t="s">
        <v>645</v>
      </c>
      <c r="N1285" s="4">
        <v>-71.626594499999996</v>
      </c>
      <c r="O1285" s="4">
        <v>3.7802178899999999</v>
      </c>
      <c r="P1285" s="4" t="s">
        <v>726</v>
      </c>
      <c r="Q1285" s="4" t="s">
        <v>727</v>
      </c>
      <c r="R1285" s="4" t="s">
        <v>720</v>
      </c>
      <c r="S1285" s="2">
        <v>46174.728229166663</v>
      </c>
      <c r="T1285" s="5">
        <v>2.7777777777777778E-4</v>
      </c>
      <c r="U1285" s="4">
        <v>7.9029001295566559E-2</v>
      </c>
      <c r="V1285" s="4" t="s">
        <v>731</v>
      </c>
      <c r="W1285" s="4" t="s">
        <v>645</v>
      </c>
      <c r="X1285" s="6" t="s">
        <v>617</v>
      </c>
    </row>
    <row r="1286" spans="1:24">
      <c r="A1286" s="4" t="s">
        <v>1017</v>
      </c>
      <c r="B1286" s="4" t="s">
        <v>1018</v>
      </c>
      <c r="D1286" s="4" t="s">
        <v>716</v>
      </c>
      <c r="E1286" s="4" t="s">
        <v>717</v>
      </c>
      <c r="F1286" s="4" t="s">
        <v>1019</v>
      </c>
      <c r="G1286" s="4" t="s">
        <v>1020</v>
      </c>
      <c r="H1286" s="4" t="s">
        <v>1021</v>
      </c>
      <c r="I1286" s="4" t="s">
        <v>922</v>
      </c>
      <c r="K1286" s="4" t="s">
        <v>730</v>
      </c>
      <c r="L1286" s="4" t="s">
        <v>730</v>
      </c>
      <c r="M1286" s="4" t="s">
        <v>645</v>
      </c>
      <c r="N1286" s="4">
        <v>-71.626597579814572</v>
      </c>
      <c r="O1286" s="4">
        <v>3.7799131018517853</v>
      </c>
      <c r="P1286" s="4" t="s">
        <v>726</v>
      </c>
      <c r="Q1286" s="4" t="s">
        <v>727</v>
      </c>
      <c r="R1286" s="4" t="s">
        <v>720</v>
      </c>
      <c r="S1286" s="2">
        <v>46174.744953321759</v>
      </c>
      <c r="T1286" s="5">
        <v>1.1456018518518518E-4</v>
      </c>
      <c r="U1286" s="4">
        <v>2.6676932349801064E-2</v>
      </c>
      <c r="V1286" s="4" t="s">
        <v>728</v>
      </c>
      <c r="W1286" s="4" t="s">
        <v>645</v>
      </c>
      <c r="X1286" s="6" t="s">
        <v>617</v>
      </c>
    </row>
    <row r="1287" spans="1:24">
      <c r="A1287" s="4" t="s">
        <v>1017</v>
      </c>
      <c r="B1287" s="4" t="s">
        <v>1018</v>
      </c>
      <c r="D1287" s="4" t="s">
        <v>716</v>
      </c>
      <c r="E1287" s="4" t="s">
        <v>717</v>
      </c>
      <c r="F1287" s="4" t="s">
        <v>1019</v>
      </c>
      <c r="G1287" s="4" t="s">
        <v>1020</v>
      </c>
      <c r="H1287" s="4" t="s">
        <v>1021</v>
      </c>
      <c r="I1287" s="4" t="s">
        <v>922</v>
      </c>
      <c r="K1287" s="4" t="s">
        <v>730</v>
      </c>
      <c r="L1287" s="4" t="s">
        <v>730</v>
      </c>
      <c r="M1287" s="4" t="s">
        <v>645</v>
      </c>
      <c r="N1287" s="4">
        <v>-71.635059341666675</v>
      </c>
      <c r="O1287" s="4">
        <v>3.7842422141666665</v>
      </c>
      <c r="P1287" s="4" t="s">
        <v>718</v>
      </c>
      <c r="Q1287" s="4" t="s">
        <v>719</v>
      </c>
      <c r="R1287" s="4" t="s">
        <v>720</v>
      </c>
      <c r="S1287" s="2">
        <v>46174.748197337962</v>
      </c>
      <c r="T1287" s="5">
        <v>4.6542824074074075E-4</v>
      </c>
      <c r="U1287" s="4">
        <v>0.18447498977184296</v>
      </c>
      <c r="V1287" s="4" t="s">
        <v>750</v>
      </c>
      <c r="W1287" s="4" t="s">
        <v>645</v>
      </c>
      <c r="X1287" s="6" t="s">
        <v>617</v>
      </c>
    </row>
    <row r="1288" spans="1:24">
      <c r="A1288" s="4" t="s">
        <v>1017</v>
      </c>
      <c r="B1288" s="4" t="s">
        <v>1018</v>
      </c>
      <c r="D1288" s="4" t="s">
        <v>716</v>
      </c>
      <c r="E1288" s="4" t="s">
        <v>717</v>
      </c>
      <c r="F1288" s="4" t="s">
        <v>1019</v>
      </c>
      <c r="G1288" s="4" t="s">
        <v>1020</v>
      </c>
      <c r="H1288" s="4" t="s">
        <v>1021</v>
      </c>
      <c r="I1288" s="4" t="s">
        <v>922</v>
      </c>
      <c r="K1288" s="4" t="s">
        <v>730</v>
      </c>
      <c r="L1288" s="4" t="s">
        <v>730</v>
      </c>
      <c r="M1288" s="4" t="s">
        <v>762</v>
      </c>
      <c r="N1288" s="4">
        <v>-71.638157920683341</v>
      </c>
      <c r="O1288" s="4">
        <v>3.7843486802149999</v>
      </c>
      <c r="P1288" s="4" t="s">
        <v>734</v>
      </c>
      <c r="Q1288" s="4" t="s">
        <v>735</v>
      </c>
      <c r="R1288" s="4" t="s">
        <v>730</v>
      </c>
      <c r="S1288" s="2">
        <v>46174.748945706022</v>
      </c>
      <c r="T1288" s="5">
        <v>1.6887731481481482E-4</v>
      </c>
      <c r="U1288" s="4">
        <v>0.12916874885559082</v>
      </c>
      <c r="V1288" s="4" t="s">
        <v>763</v>
      </c>
      <c r="W1288" s="4" t="s">
        <v>762</v>
      </c>
      <c r="X1288" s="6" t="s">
        <v>617</v>
      </c>
    </row>
    <row r="1289" spans="1:24">
      <c r="A1289" s="4" t="s">
        <v>1022</v>
      </c>
      <c r="B1289" s="4" t="s">
        <v>1023</v>
      </c>
      <c r="C1289" s="4" t="s">
        <v>860</v>
      </c>
      <c r="D1289" s="4" t="s">
        <v>716</v>
      </c>
      <c r="E1289" s="4" t="s">
        <v>717</v>
      </c>
      <c r="M1289" s="4" t="s">
        <v>614</v>
      </c>
      <c r="N1289" s="4">
        <v>-71.618507399999999</v>
      </c>
      <c r="O1289" s="4">
        <v>3.70039797</v>
      </c>
      <c r="P1289" s="4" t="s">
        <v>839</v>
      </c>
      <c r="Q1289" s="4" t="s">
        <v>743</v>
      </c>
      <c r="R1289" s="4" t="s">
        <v>730</v>
      </c>
      <c r="S1289" s="2">
        <v>46174.008631979166</v>
      </c>
      <c r="T1289" s="5">
        <v>5.1180208333333329E-3</v>
      </c>
      <c r="U1289" s="4">
        <v>3.52891581133008E-3</v>
      </c>
      <c r="V1289" s="4" t="s">
        <v>616</v>
      </c>
      <c r="W1289" s="4" t="s">
        <v>614</v>
      </c>
      <c r="X1289" s="6" t="s">
        <v>617</v>
      </c>
    </row>
    <row r="1290" spans="1:24">
      <c r="A1290" s="4" t="s">
        <v>1022</v>
      </c>
      <c r="B1290" s="4" t="s">
        <v>1023</v>
      </c>
      <c r="C1290" s="4" t="s">
        <v>860</v>
      </c>
      <c r="D1290" s="4" t="s">
        <v>716</v>
      </c>
      <c r="E1290" s="4" t="s">
        <v>717</v>
      </c>
      <c r="M1290" s="4" t="s">
        <v>754</v>
      </c>
      <c r="N1290" s="4">
        <v>-71.618449399999989</v>
      </c>
      <c r="O1290" s="4">
        <v>3.7003391260000003</v>
      </c>
      <c r="P1290" s="4" t="s">
        <v>839</v>
      </c>
      <c r="Q1290" s="4" t="s">
        <v>743</v>
      </c>
      <c r="R1290" s="4" t="s">
        <v>730</v>
      </c>
      <c r="S1290" s="2">
        <v>46174.015594907411</v>
      </c>
      <c r="T1290" s="5">
        <v>1.3425925925925926E-4</v>
      </c>
      <c r="U1290" s="4">
        <v>3.4750469028949738E-2</v>
      </c>
      <c r="V1290" s="4" t="s">
        <v>790</v>
      </c>
      <c r="W1290" s="4" t="s">
        <v>754</v>
      </c>
      <c r="X1290" s="6" t="s">
        <v>617</v>
      </c>
    </row>
    <row r="1291" spans="1:24">
      <c r="A1291" s="4" t="s">
        <v>1022</v>
      </c>
      <c r="B1291" s="4" t="s">
        <v>1023</v>
      </c>
      <c r="C1291" s="4" t="s">
        <v>860</v>
      </c>
      <c r="D1291" s="4" t="s">
        <v>716</v>
      </c>
      <c r="E1291" s="4" t="s">
        <v>717</v>
      </c>
      <c r="M1291" s="4" t="s">
        <v>754</v>
      </c>
      <c r="N1291" s="4">
        <v>-71.618574150000001</v>
      </c>
      <c r="O1291" s="4">
        <v>3.7000270500000001</v>
      </c>
      <c r="P1291" s="4" t="s">
        <v>795</v>
      </c>
      <c r="Q1291" s="4" t="s">
        <v>743</v>
      </c>
      <c r="R1291" s="4" t="s">
        <v>730</v>
      </c>
      <c r="S1291" s="2">
        <v>46174.021264467592</v>
      </c>
      <c r="T1291" s="5">
        <v>1.0127314814814815E-4</v>
      </c>
      <c r="U1291" s="4">
        <v>2.4680158123373985E-2</v>
      </c>
      <c r="V1291" s="4" t="s">
        <v>814</v>
      </c>
      <c r="W1291" s="4" t="s">
        <v>754</v>
      </c>
      <c r="X1291" s="6" t="s">
        <v>617</v>
      </c>
    </row>
    <row r="1292" spans="1:24">
      <c r="A1292" s="4" t="s">
        <v>1022</v>
      </c>
      <c r="B1292" s="4" t="s">
        <v>1023</v>
      </c>
      <c r="C1292" s="4" t="s">
        <v>860</v>
      </c>
      <c r="D1292" s="4" t="s">
        <v>716</v>
      </c>
      <c r="E1292" s="4" t="s">
        <v>717</v>
      </c>
      <c r="M1292" s="4" t="s">
        <v>614</v>
      </c>
      <c r="N1292" s="4">
        <v>-71.618347200000002</v>
      </c>
      <c r="O1292" s="4">
        <v>3.7003088000000002</v>
      </c>
      <c r="P1292" s="4" t="s">
        <v>839</v>
      </c>
      <c r="Q1292" s="4" t="s">
        <v>743</v>
      </c>
      <c r="R1292" s="4" t="s">
        <v>730</v>
      </c>
      <c r="S1292" s="2">
        <v>46174.167280092595</v>
      </c>
      <c r="T1292" s="5">
        <v>7.3032407407407404E-3</v>
      </c>
      <c r="U1292" s="4">
        <v>1.1002452112734318E-2</v>
      </c>
      <c r="V1292" s="4" t="s">
        <v>616</v>
      </c>
      <c r="W1292" s="4" t="s">
        <v>614</v>
      </c>
      <c r="X1292" s="6" t="s">
        <v>617</v>
      </c>
    </row>
    <row r="1293" spans="1:24">
      <c r="A1293" s="4" t="s">
        <v>1022</v>
      </c>
      <c r="B1293" s="4" t="s">
        <v>1023</v>
      </c>
      <c r="C1293" s="4" t="s">
        <v>860</v>
      </c>
      <c r="D1293" s="4" t="s">
        <v>716</v>
      </c>
      <c r="E1293" s="4" t="s">
        <v>717</v>
      </c>
      <c r="M1293" s="4" t="s">
        <v>614</v>
      </c>
      <c r="N1293" s="4">
        <v>-71.618720999999994</v>
      </c>
      <c r="O1293" s="4">
        <v>3.7000067200000002</v>
      </c>
      <c r="P1293" s="4" t="s">
        <v>795</v>
      </c>
      <c r="Q1293" s="4" t="s">
        <v>743</v>
      </c>
      <c r="R1293" s="4" t="s">
        <v>730</v>
      </c>
      <c r="S1293" s="2">
        <v>46174.178032407406</v>
      </c>
      <c r="T1293" s="5">
        <v>3.5069444444444445E-3</v>
      </c>
      <c r="U1293" s="4">
        <v>0</v>
      </c>
      <c r="V1293" s="4" t="s">
        <v>616</v>
      </c>
      <c r="W1293" s="4" t="s">
        <v>614</v>
      </c>
      <c r="X1293" s="6" t="s">
        <v>617</v>
      </c>
    </row>
    <row r="1294" spans="1:24">
      <c r="A1294" s="4" t="s">
        <v>1022</v>
      </c>
      <c r="B1294" s="4" t="s">
        <v>1023</v>
      </c>
      <c r="C1294" s="4" t="s">
        <v>860</v>
      </c>
      <c r="D1294" s="4" t="s">
        <v>716</v>
      </c>
      <c r="E1294" s="4" t="s">
        <v>717</v>
      </c>
      <c r="M1294" s="4" t="s">
        <v>754</v>
      </c>
      <c r="N1294" s="4">
        <v>-71.618461600000003</v>
      </c>
      <c r="O1294" s="4">
        <v>3.7002751800000002</v>
      </c>
      <c r="P1294" s="4" t="s">
        <v>839</v>
      </c>
      <c r="Q1294" s="4" t="s">
        <v>743</v>
      </c>
      <c r="R1294" s="4" t="s">
        <v>730</v>
      </c>
      <c r="S1294" s="2">
        <v>46174.222025462965</v>
      </c>
      <c r="T1294" s="5">
        <v>1.5689814814814814E-4</v>
      </c>
      <c r="U1294" s="4">
        <v>3.6150209605693817E-2</v>
      </c>
      <c r="V1294" s="4" t="s">
        <v>814</v>
      </c>
      <c r="W1294" s="4" t="s">
        <v>754</v>
      </c>
      <c r="X1294" s="6" t="s">
        <v>617</v>
      </c>
    </row>
    <row r="1295" spans="1:24">
      <c r="A1295" s="4" t="s">
        <v>1022</v>
      </c>
      <c r="B1295" s="4" t="s">
        <v>1023</v>
      </c>
      <c r="C1295" s="4" t="s">
        <v>860</v>
      </c>
      <c r="D1295" s="4" t="s">
        <v>716</v>
      </c>
      <c r="E1295" s="4" t="s">
        <v>717</v>
      </c>
      <c r="M1295" s="4" t="s">
        <v>614</v>
      </c>
      <c r="N1295" s="4">
        <v>-71.618545499999996</v>
      </c>
      <c r="O1295" s="4">
        <v>3.70025206</v>
      </c>
      <c r="P1295" s="4" t="s">
        <v>839</v>
      </c>
      <c r="Q1295" s="4" t="s">
        <v>743</v>
      </c>
      <c r="R1295" s="4" t="s">
        <v>730</v>
      </c>
      <c r="S1295" s="2">
        <v>46174.258148148147</v>
      </c>
      <c r="T1295" s="5">
        <v>9.0247337962962963E-3</v>
      </c>
      <c r="U1295" s="4">
        <v>5.3340056183515117E-5</v>
      </c>
      <c r="V1295" s="4" t="s">
        <v>616</v>
      </c>
      <c r="W1295" s="4" t="s">
        <v>614</v>
      </c>
      <c r="X1295" s="6" t="s">
        <v>617</v>
      </c>
    </row>
    <row r="1296" spans="1:24">
      <c r="A1296" s="4" t="s">
        <v>1022</v>
      </c>
      <c r="B1296" s="4" t="s">
        <v>1023</v>
      </c>
      <c r="C1296" s="4" t="s">
        <v>860</v>
      </c>
      <c r="D1296" s="4" t="s">
        <v>716</v>
      </c>
      <c r="E1296" s="4" t="s">
        <v>717</v>
      </c>
      <c r="M1296" s="4" t="s">
        <v>614</v>
      </c>
      <c r="N1296" s="4">
        <v>-71.618545499999996</v>
      </c>
      <c r="O1296" s="4">
        <v>3.7002515800000002</v>
      </c>
      <c r="P1296" s="4" t="s">
        <v>839</v>
      </c>
      <c r="Q1296" s="4" t="s">
        <v>743</v>
      </c>
      <c r="R1296" s="4" t="s">
        <v>730</v>
      </c>
      <c r="S1296" s="2">
        <v>46174.286945300926</v>
      </c>
      <c r="T1296" s="5">
        <v>6.3301620370370369E-3</v>
      </c>
      <c r="U1296" s="4">
        <v>7.3975143022835255E-3</v>
      </c>
      <c r="V1296" s="4" t="s">
        <v>616</v>
      </c>
      <c r="W1296" s="4" t="s">
        <v>614</v>
      </c>
      <c r="X1296" s="6" t="s">
        <v>617</v>
      </c>
    </row>
    <row r="1297" spans="1:24">
      <c r="A1297" s="4" t="s">
        <v>1022</v>
      </c>
      <c r="B1297" s="4" t="s">
        <v>1023</v>
      </c>
      <c r="C1297" s="4" t="s">
        <v>860</v>
      </c>
      <c r="D1297" s="4" t="s">
        <v>716</v>
      </c>
      <c r="E1297" s="4" t="s">
        <v>717</v>
      </c>
      <c r="M1297" s="4" t="s">
        <v>614</v>
      </c>
      <c r="N1297" s="4">
        <v>-71.618545499999996</v>
      </c>
      <c r="O1297" s="4">
        <v>3.70025563</v>
      </c>
      <c r="P1297" s="4" t="s">
        <v>839</v>
      </c>
      <c r="Q1297" s="4" t="s">
        <v>743</v>
      </c>
      <c r="R1297" s="4" t="s">
        <v>730</v>
      </c>
      <c r="S1297" s="2">
        <v>46174.295486111114</v>
      </c>
      <c r="T1297" s="5">
        <v>6.8771643518518522E-3</v>
      </c>
      <c r="U1297" s="4">
        <v>1.7775431042537093E-3</v>
      </c>
      <c r="V1297" s="4" t="s">
        <v>616</v>
      </c>
      <c r="W1297" s="4" t="s">
        <v>614</v>
      </c>
      <c r="X1297" s="6" t="s">
        <v>617</v>
      </c>
    </row>
    <row r="1298" spans="1:24">
      <c r="A1298" s="4" t="s">
        <v>1022</v>
      </c>
      <c r="B1298" s="4" t="s">
        <v>1023</v>
      </c>
      <c r="C1298" s="4" t="s">
        <v>860</v>
      </c>
      <c r="D1298" s="4" t="s">
        <v>716</v>
      </c>
      <c r="E1298" s="4" t="s">
        <v>717</v>
      </c>
      <c r="M1298" s="4" t="s">
        <v>614</v>
      </c>
      <c r="N1298" s="4">
        <v>-71.618560799999997</v>
      </c>
      <c r="O1298" s="4">
        <v>3.7002599200000001</v>
      </c>
      <c r="P1298" s="4" t="s">
        <v>839</v>
      </c>
      <c r="Q1298" s="4" t="s">
        <v>743</v>
      </c>
      <c r="R1298" s="4" t="s">
        <v>730</v>
      </c>
      <c r="S1298" s="2">
        <v>46174.317149131944</v>
      </c>
      <c r="T1298" s="5">
        <v>8.7845023148148144E-3</v>
      </c>
      <c r="U1298" s="4">
        <v>3.5525707062333822E-3</v>
      </c>
      <c r="V1298" s="4" t="s">
        <v>616</v>
      </c>
      <c r="W1298" s="4" t="s">
        <v>614</v>
      </c>
      <c r="X1298" s="6" t="s">
        <v>617</v>
      </c>
    </row>
    <row r="1299" spans="1:24">
      <c r="A1299" s="4" t="s">
        <v>1022</v>
      </c>
      <c r="B1299" s="4" t="s">
        <v>1023</v>
      </c>
      <c r="C1299" s="4" t="s">
        <v>860</v>
      </c>
      <c r="D1299" s="4" t="s">
        <v>716</v>
      </c>
      <c r="E1299" s="4" t="s">
        <v>717</v>
      </c>
      <c r="M1299" s="4" t="s">
        <v>614</v>
      </c>
      <c r="N1299" s="4">
        <v>-71.618637100000001</v>
      </c>
      <c r="O1299" s="4">
        <v>3.7003755599999999</v>
      </c>
      <c r="P1299" s="4" t="s">
        <v>839</v>
      </c>
      <c r="Q1299" s="4" t="s">
        <v>743</v>
      </c>
      <c r="R1299" s="4" t="s">
        <v>730</v>
      </c>
      <c r="S1299" s="2">
        <v>46174.334699074076</v>
      </c>
      <c r="T1299" s="5">
        <v>8.1712962962962963E-3</v>
      </c>
      <c r="U1299" s="4">
        <v>0</v>
      </c>
      <c r="V1299" s="4" t="s">
        <v>616</v>
      </c>
      <c r="W1299" s="4" t="s">
        <v>614</v>
      </c>
      <c r="X1299" s="6" t="s">
        <v>617</v>
      </c>
    </row>
    <row r="1300" spans="1:24">
      <c r="A1300" s="4" t="s">
        <v>1022</v>
      </c>
      <c r="B1300" s="4" t="s">
        <v>1023</v>
      </c>
      <c r="C1300" s="4" t="s">
        <v>860</v>
      </c>
      <c r="D1300" s="4" t="s">
        <v>716</v>
      </c>
      <c r="E1300" s="4" t="s">
        <v>717</v>
      </c>
      <c r="M1300" s="4" t="s">
        <v>614</v>
      </c>
      <c r="N1300" s="4">
        <v>-71.618774400000007</v>
      </c>
      <c r="O1300" s="4">
        <v>3.70014691</v>
      </c>
      <c r="P1300" s="4" t="s">
        <v>839</v>
      </c>
      <c r="Q1300" s="4" t="s">
        <v>743</v>
      </c>
      <c r="R1300" s="4" t="s">
        <v>730</v>
      </c>
      <c r="S1300" s="2">
        <v>46174.379155798611</v>
      </c>
      <c r="T1300" s="5">
        <v>4.7151157407407411E-3</v>
      </c>
      <c r="U1300" s="4">
        <v>4.0943152271211147E-3</v>
      </c>
      <c r="V1300" s="4" t="s">
        <v>616</v>
      </c>
      <c r="W1300" s="4" t="s">
        <v>614</v>
      </c>
      <c r="X1300" s="6" t="s">
        <v>617</v>
      </c>
    </row>
    <row r="1301" spans="1:24">
      <c r="A1301" s="4" t="s">
        <v>1022</v>
      </c>
      <c r="B1301" s="4" t="s">
        <v>1023</v>
      </c>
      <c r="C1301" s="4" t="s">
        <v>860</v>
      </c>
      <c r="D1301" s="4" t="s">
        <v>716</v>
      </c>
      <c r="E1301" s="4" t="s">
        <v>717</v>
      </c>
      <c r="M1301" s="4" t="s">
        <v>614</v>
      </c>
      <c r="N1301" s="4">
        <v>-71.618774400000007</v>
      </c>
      <c r="O1301" s="4">
        <v>3.7001388099999999</v>
      </c>
      <c r="P1301" s="4" t="s">
        <v>839</v>
      </c>
      <c r="Q1301" s="4" t="s">
        <v>743</v>
      </c>
      <c r="R1301" s="4" t="s">
        <v>730</v>
      </c>
      <c r="S1301" s="2">
        <v>46174.40749484954</v>
      </c>
      <c r="T1301" s="5">
        <v>6.322997685185185E-3</v>
      </c>
      <c r="U1301" s="4">
        <v>4.6710954047739506E-3</v>
      </c>
      <c r="V1301" s="4" t="s">
        <v>616</v>
      </c>
      <c r="W1301" s="4" t="s">
        <v>614</v>
      </c>
      <c r="X1301" s="6" t="s">
        <v>617</v>
      </c>
    </row>
    <row r="1302" spans="1:24">
      <c r="A1302" s="4" t="s">
        <v>1022</v>
      </c>
      <c r="B1302" s="4" t="s">
        <v>1023</v>
      </c>
      <c r="C1302" s="4" t="s">
        <v>860</v>
      </c>
      <c r="D1302" s="4" t="s">
        <v>716</v>
      </c>
      <c r="E1302" s="4" t="s">
        <v>717</v>
      </c>
      <c r="M1302" s="4" t="s">
        <v>614</v>
      </c>
      <c r="N1302" s="4">
        <v>-71.618537900000007</v>
      </c>
      <c r="O1302" s="4">
        <v>3.7004592399999998</v>
      </c>
      <c r="P1302" s="4" t="s">
        <v>839</v>
      </c>
      <c r="Q1302" s="4" t="s">
        <v>743</v>
      </c>
      <c r="R1302" s="4" t="s">
        <v>730</v>
      </c>
      <c r="S1302" s="2">
        <v>46174.479102349535</v>
      </c>
      <c r="T1302" s="5">
        <v>1.0917094907407407E-2</v>
      </c>
      <c r="U1302" s="4">
        <v>2.5181690230965614E-2</v>
      </c>
      <c r="V1302" s="4" t="s">
        <v>616</v>
      </c>
      <c r="W1302" s="4" t="s">
        <v>614</v>
      </c>
      <c r="X1302" s="6" t="s">
        <v>617</v>
      </c>
    </row>
    <row r="1303" spans="1:24">
      <c r="A1303" s="4" t="s">
        <v>1022</v>
      </c>
      <c r="B1303" s="4" t="s">
        <v>1023</v>
      </c>
      <c r="C1303" s="4" t="s">
        <v>860</v>
      </c>
      <c r="D1303" s="4" t="s">
        <v>716</v>
      </c>
      <c r="E1303" s="4" t="s">
        <v>717</v>
      </c>
      <c r="M1303" s="4" t="s">
        <v>614</v>
      </c>
      <c r="N1303" s="4">
        <v>-71.618545499999996</v>
      </c>
      <c r="O1303" s="4">
        <v>3.7004599599999999</v>
      </c>
      <c r="P1303" s="4" t="s">
        <v>839</v>
      </c>
      <c r="Q1303" s="4" t="s">
        <v>743</v>
      </c>
      <c r="R1303" s="4" t="s">
        <v>730</v>
      </c>
      <c r="S1303" s="2">
        <v>46174.516772141207</v>
      </c>
      <c r="T1303" s="5">
        <v>1.0343912037037037E-2</v>
      </c>
      <c r="U1303" s="4">
        <v>2.9816285241395235E-3</v>
      </c>
      <c r="V1303" s="4" t="s">
        <v>616</v>
      </c>
      <c r="W1303" s="4" t="s">
        <v>614</v>
      </c>
      <c r="X1303" s="6" t="s">
        <v>617</v>
      </c>
    </row>
    <row r="1304" spans="1:24">
      <c r="A1304" s="4" t="s">
        <v>1022</v>
      </c>
      <c r="B1304" s="4" t="s">
        <v>1023</v>
      </c>
      <c r="C1304" s="4" t="s">
        <v>860</v>
      </c>
      <c r="D1304" s="4" t="s">
        <v>716</v>
      </c>
      <c r="E1304" s="4" t="s">
        <v>717</v>
      </c>
      <c r="M1304" s="4" t="s">
        <v>614</v>
      </c>
      <c r="N1304" s="4">
        <v>-71.618537900000007</v>
      </c>
      <c r="O1304" s="4">
        <v>3.7004699699999999</v>
      </c>
      <c r="P1304" s="4" t="s">
        <v>839</v>
      </c>
      <c r="Q1304" s="4" t="s">
        <v>743</v>
      </c>
      <c r="R1304" s="4" t="s">
        <v>730</v>
      </c>
      <c r="S1304" s="2">
        <v>46174.588780972219</v>
      </c>
      <c r="T1304" s="5">
        <v>8.8546643518518514E-3</v>
      </c>
      <c r="U1304" s="4">
        <v>1.9332912052050233E-3</v>
      </c>
      <c r="V1304" s="4" t="s">
        <v>616</v>
      </c>
      <c r="W1304" s="4" t="s">
        <v>614</v>
      </c>
      <c r="X1304" s="6" t="s">
        <v>617</v>
      </c>
    </row>
    <row r="1305" spans="1:24">
      <c r="A1305" s="4" t="s">
        <v>1022</v>
      </c>
      <c r="B1305" s="4" t="s">
        <v>1023</v>
      </c>
      <c r="C1305" s="4" t="s">
        <v>860</v>
      </c>
      <c r="D1305" s="4" t="s">
        <v>716</v>
      </c>
      <c r="E1305" s="4" t="s">
        <v>717</v>
      </c>
      <c r="M1305" s="4" t="s">
        <v>614</v>
      </c>
      <c r="N1305" s="4">
        <v>-71.618545499999996</v>
      </c>
      <c r="O1305" s="4">
        <v>3.7004485100000002</v>
      </c>
      <c r="P1305" s="4" t="s">
        <v>839</v>
      </c>
      <c r="Q1305" s="4" t="s">
        <v>743</v>
      </c>
      <c r="R1305" s="4" t="s">
        <v>730</v>
      </c>
      <c r="S1305" s="2">
        <v>46174.624535648145</v>
      </c>
      <c r="T1305" s="5">
        <v>9.7814814814814813E-3</v>
      </c>
      <c r="U1305" s="4">
        <v>2.1175732836127281E-2</v>
      </c>
      <c r="V1305" s="4" t="s">
        <v>616</v>
      </c>
      <c r="W1305" s="4" t="s">
        <v>614</v>
      </c>
      <c r="X1305" s="6" t="s">
        <v>617</v>
      </c>
    </row>
    <row r="1306" spans="1:24">
      <c r="A1306" s="4" t="s">
        <v>1022</v>
      </c>
      <c r="B1306" s="4" t="s">
        <v>1023</v>
      </c>
      <c r="C1306" s="4" t="s">
        <v>860</v>
      </c>
      <c r="D1306" s="4" t="s">
        <v>716</v>
      </c>
      <c r="E1306" s="4" t="s">
        <v>717</v>
      </c>
      <c r="M1306" s="4" t="s">
        <v>614</v>
      </c>
      <c r="N1306" s="4">
        <v>-71.618530300000003</v>
      </c>
      <c r="O1306" s="4">
        <v>3.7004527999999999</v>
      </c>
      <c r="P1306" s="4" t="s">
        <v>839</v>
      </c>
      <c r="Q1306" s="4" t="s">
        <v>743</v>
      </c>
      <c r="R1306" s="4" t="s">
        <v>730</v>
      </c>
      <c r="S1306" s="2">
        <v>46174.66548891204</v>
      </c>
      <c r="T1306" s="5">
        <v>6.3615972222222225E-3</v>
      </c>
      <c r="U1306" s="4">
        <v>3.3411683980375528E-3</v>
      </c>
      <c r="V1306" s="4" t="s">
        <v>616</v>
      </c>
      <c r="W1306" s="4" t="s">
        <v>614</v>
      </c>
      <c r="X1306" s="6" t="s">
        <v>617</v>
      </c>
    </row>
    <row r="1307" spans="1:24">
      <c r="A1307" s="4" t="s">
        <v>1022</v>
      </c>
      <c r="B1307" s="4" t="s">
        <v>1023</v>
      </c>
      <c r="C1307" s="4" t="s">
        <v>860</v>
      </c>
      <c r="D1307" s="4" t="s">
        <v>716</v>
      </c>
      <c r="E1307" s="4" t="s">
        <v>717</v>
      </c>
      <c r="M1307" s="4" t="s">
        <v>614</v>
      </c>
      <c r="N1307" s="4">
        <v>-71.618545499999996</v>
      </c>
      <c r="O1307" s="4">
        <v>3.7004480399999999</v>
      </c>
      <c r="P1307" s="4" t="s">
        <v>839</v>
      </c>
      <c r="Q1307" s="4" t="s">
        <v>743</v>
      </c>
      <c r="R1307" s="4" t="s">
        <v>730</v>
      </c>
      <c r="S1307" s="2">
        <v>46174.700589363427</v>
      </c>
      <c r="T1307" s="5">
        <v>7.7704166666666668E-3</v>
      </c>
      <c r="U1307" s="4">
        <v>5.6737316772341728E-3</v>
      </c>
      <c r="V1307" s="4" t="s">
        <v>616</v>
      </c>
      <c r="W1307" s="4" t="s">
        <v>614</v>
      </c>
      <c r="X1307" s="6" t="s">
        <v>617</v>
      </c>
    </row>
    <row r="1308" spans="1:24">
      <c r="A1308" s="4" t="s">
        <v>1022</v>
      </c>
      <c r="B1308" s="4" t="s">
        <v>1023</v>
      </c>
      <c r="C1308" s="4" t="s">
        <v>860</v>
      </c>
      <c r="D1308" s="4" t="s">
        <v>716</v>
      </c>
      <c r="E1308" s="4" t="s">
        <v>717</v>
      </c>
      <c r="M1308" s="4" t="s">
        <v>614</v>
      </c>
      <c r="N1308" s="4">
        <v>-71.618537900000007</v>
      </c>
      <c r="O1308" s="4">
        <v>3.7003696000000001</v>
      </c>
      <c r="P1308" s="4" t="s">
        <v>839</v>
      </c>
      <c r="Q1308" s="4" t="s">
        <v>743</v>
      </c>
      <c r="R1308" s="4" t="s">
        <v>730</v>
      </c>
      <c r="S1308" s="2">
        <v>46174.963301076386</v>
      </c>
      <c r="T1308" s="5">
        <v>4.0947569444444443E-3</v>
      </c>
      <c r="U1308" s="4">
        <v>5.2991644479334354E-3</v>
      </c>
      <c r="V1308" s="4" t="s">
        <v>616</v>
      </c>
      <c r="W1308" s="4" t="s">
        <v>614</v>
      </c>
      <c r="X1308" s="6" t="s">
        <v>617</v>
      </c>
    </row>
    <row r="1309" spans="1:24">
      <c r="A1309" s="4" t="s">
        <v>1022</v>
      </c>
      <c r="B1309" s="4" t="s">
        <v>1023</v>
      </c>
      <c r="C1309" s="4" t="s">
        <v>860</v>
      </c>
      <c r="D1309" s="4" t="s">
        <v>716</v>
      </c>
      <c r="E1309" s="4" t="s">
        <v>717</v>
      </c>
      <c r="M1309" s="4" t="s">
        <v>754</v>
      </c>
      <c r="N1309" s="4">
        <v>-71.618650162600005</v>
      </c>
      <c r="O1309" s="4">
        <v>3.7000120662899998</v>
      </c>
      <c r="P1309" s="4" t="s">
        <v>795</v>
      </c>
      <c r="Q1309" s="4" t="s">
        <v>743</v>
      </c>
      <c r="R1309" s="4" t="s">
        <v>730</v>
      </c>
      <c r="S1309" s="2">
        <v>46174.971952708336</v>
      </c>
      <c r="T1309" s="5">
        <v>2.1936342592592594E-4</v>
      </c>
      <c r="U1309" s="4">
        <v>6.0617540031671524E-2</v>
      </c>
      <c r="V1309" s="4" t="s">
        <v>791</v>
      </c>
      <c r="W1309" s="4" t="s">
        <v>754</v>
      </c>
      <c r="X1309" s="6" t="s">
        <v>617</v>
      </c>
    </row>
    <row r="1310" spans="1:24">
      <c r="A1310" s="4" t="s">
        <v>1024</v>
      </c>
      <c r="B1310" s="4" t="s">
        <v>1025</v>
      </c>
      <c r="D1310" s="4" t="s">
        <v>716</v>
      </c>
      <c r="E1310" s="4" t="s">
        <v>717</v>
      </c>
      <c r="M1310" s="4" t="s">
        <v>645</v>
      </c>
      <c r="N1310" s="4">
        <v>-71.636698414910967</v>
      </c>
      <c r="O1310" s="4">
        <v>3.7842813465052423</v>
      </c>
      <c r="P1310" s="4" t="s">
        <v>718</v>
      </c>
      <c r="Q1310" s="4" t="s">
        <v>719</v>
      </c>
      <c r="R1310" s="4" t="s">
        <v>720</v>
      </c>
      <c r="S1310" s="2">
        <v>46174.243295740744</v>
      </c>
      <c r="T1310" s="5">
        <v>1.6781249999999999E-4</v>
      </c>
      <c r="U1310" s="4">
        <v>7.9250730574131012E-2</v>
      </c>
      <c r="V1310" s="4" t="s">
        <v>750</v>
      </c>
      <c r="W1310" s="4" t="s">
        <v>645</v>
      </c>
      <c r="X1310" s="6" t="s">
        <v>617</v>
      </c>
    </row>
    <row r="1311" spans="1:24">
      <c r="A1311" s="4" t="s">
        <v>1024</v>
      </c>
      <c r="B1311" s="4" t="s">
        <v>1025</v>
      </c>
      <c r="D1311" s="4" t="s">
        <v>716</v>
      </c>
      <c r="E1311" s="4" t="s">
        <v>717</v>
      </c>
      <c r="M1311" s="4" t="s">
        <v>645</v>
      </c>
      <c r="N1311" s="4">
        <v>-71.635758199999998</v>
      </c>
      <c r="O1311" s="4">
        <v>3.784102582</v>
      </c>
      <c r="P1311" s="4" t="s">
        <v>718</v>
      </c>
      <c r="Q1311" s="4" t="s">
        <v>719</v>
      </c>
      <c r="R1311" s="4" t="s">
        <v>720</v>
      </c>
      <c r="S1311" s="2">
        <v>46174.246571365744</v>
      </c>
      <c r="T1311" s="5">
        <v>1.9365740740740742E-4</v>
      </c>
      <c r="U1311" s="4">
        <v>7.7775426208972931E-2</v>
      </c>
      <c r="V1311" s="4" t="s">
        <v>864</v>
      </c>
      <c r="W1311" s="4" t="s">
        <v>645</v>
      </c>
      <c r="X1311" s="6" t="s">
        <v>617</v>
      </c>
    </row>
    <row r="1312" spans="1:24">
      <c r="A1312" s="4" t="s">
        <v>1024</v>
      </c>
      <c r="B1312" s="4" t="s">
        <v>1025</v>
      </c>
      <c r="D1312" s="4" t="s">
        <v>716</v>
      </c>
      <c r="E1312" s="4" t="s">
        <v>717</v>
      </c>
      <c r="M1312" s="4" t="s">
        <v>645</v>
      </c>
      <c r="N1312" s="4">
        <v>-71.626448424960003</v>
      </c>
      <c r="O1312" s="4">
        <v>3.7808694122720001</v>
      </c>
      <c r="P1312" s="4" t="s">
        <v>729</v>
      </c>
      <c r="Q1312" s="4" t="s">
        <v>723</v>
      </c>
      <c r="R1312" s="4" t="s">
        <v>730</v>
      </c>
      <c r="S1312" s="2">
        <v>46174.248663622682</v>
      </c>
      <c r="T1312" s="5">
        <v>1.4259259259259259E-5</v>
      </c>
      <c r="U1312" s="4">
        <v>2.4862545542418957E-3</v>
      </c>
      <c r="V1312" s="4" t="s">
        <v>724</v>
      </c>
      <c r="W1312" s="4" t="s">
        <v>645</v>
      </c>
      <c r="X1312" s="6" t="s">
        <v>617</v>
      </c>
    </row>
    <row r="1313" spans="1:24">
      <c r="A1313" s="4" t="s">
        <v>1024</v>
      </c>
      <c r="B1313" s="4" t="s">
        <v>1025</v>
      </c>
      <c r="D1313" s="4" t="s">
        <v>716</v>
      </c>
      <c r="E1313" s="4" t="s">
        <v>717</v>
      </c>
      <c r="M1313" s="4" t="s">
        <v>645</v>
      </c>
      <c r="N1313" s="4">
        <v>-71.626293187864732</v>
      </c>
      <c r="O1313" s="4">
        <v>3.7806267751086264</v>
      </c>
      <c r="P1313" s="4" t="s">
        <v>722</v>
      </c>
      <c r="Q1313" s="4" t="s">
        <v>723</v>
      </c>
      <c r="R1313" s="4" t="s">
        <v>720</v>
      </c>
      <c r="S1313" s="2">
        <v>46174.248892013886</v>
      </c>
      <c r="T1313" s="5">
        <v>1.6395833333333334E-4</v>
      </c>
      <c r="U1313" s="4">
        <v>4.3007507920265198E-2</v>
      </c>
      <c r="V1313" s="4" t="s">
        <v>728</v>
      </c>
      <c r="W1313" s="4" t="s">
        <v>645</v>
      </c>
      <c r="X1313" s="6" t="s">
        <v>617</v>
      </c>
    </row>
    <row r="1314" spans="1:24">
      <c r="A1314" s="4" t="s">
        <v>1024</v>
      </c>
      <c r="B1314" s="4" t="s">
        <v>1025</v>
      </c>
      <c r="D1314" s="4" t="s">
        <v>716</v>
      </c>
      <c r="E1314" s="4" t="s">
        <v>717</v>
      </c>
      <c r="M1314" s="4" t="s">
        <v>645</v>
      </c>
      <c r="N1314" s="4">
        <v>-71.626432449999996</v>
      </c>
      <c r="O1314" s="4">
        <v>3.7808933874999999</v>
      </c>
      <c r="P1314" s="4" t="s">
        <v>739</v>
      </c>
      <c r="Q1314" s="4" t="s">
        <v>740</v>
      </c>
      <c r="R1314" s="4" t="s">
        <v>730</v>
      </c>
      <c r="S1314" s="2">
        <v>46174.308409016201</v>
      </c>
      <c r="T1314" s="5">
        <v>9.1435185185185185E-7</v>
      </c>
      <c r="U1314" s="4">
        <v>2.0149044576101005E-4</v>
      </c>
      <c r="V1314" s="4" t="s">
        <v>664</v>
      </c>
      <c r="W1314" s="4" t="s">
        <v>645</v>
      </c>
      <c r="X1314" s="6" t="s">
        <v>617</v>
      </c>
    </row>
    <row r="1315" spans="1:24">
      <c r="A1315" s="4" t="s">
        <v>1024</v>
      </c>
      <c r="B1315" s="4" t="s">
        <v>1025</v>
      </c>
      <c r="D1315" s="4" t="s">
        <v>716</v>
      </c>
      <c r="E1315" s="4" t="s">
        <v>717</v>
      </c>
      <c r="M1315" s="4" t="s">
        <v>762</v>
      </c>
      <c r="N1315" s="4">
        <v>-71.628454599999998</v>
      </c>
      <c r="O1315" s="4">
        <v>3.7813200459999998</v>
      </c>
      <c r="P1315" s="4" t="s">
        <v>734</v>
      </c>
      <c r="Q1315" s="4" t="s">
        <v>735</v>
      </c>
      <c r="R1315" s="4" t="s">
        <v>730</v>
      </c>
      <c r="S1315" s="2">
        <v>46174.309512141204</v>
      </c>
      <c r="T1315" s="5">
        <v>2.9740740740740742E-4</v>
      </c>
      <c r="U1315" s="4">
        <v>0.24100759625434875</v>
      </c>
      <c r="V1315" s="4" t="s">
        <v>843</v>
      </c>
      <c r="W1315" s="4" t="s">
        <v>762</v>
      </c>
      <c r="X1315" s="6" t="s">
        <v>617</v>
      </c>
    </row>
    <row r="1316" spans="1:24">
      <c r="A1316" s="4" t="s">
        <v>1024</v>
      </c>
      <c r="B1316" s="4" t="s">
        <v>1025</v>
      </c>
      <c r="D1316" s="4" t="s">
        <v>716</v>
      </c>
      <c r="E1316" s="4" t="s">
        <v>717</v>
      </c>
      <c r="M1316" s="4" t="s">
        <v>762</v>
      </c>
      <c r="N1316" s="4">
        <v>-71.630972432959993</v>
      </c>
      <c r="O1316" s="4">
        <v>3.7834782378880001</v>
      </c>
      <c r="P1316" s="4" t="s">
        <v>734</v>
      </c>
      <c r="Q1316" s="4" t="s">
        <v>735</v>
      </c>
      <c r="R1316" s="4" t="s">
        <v>730</v>
      </c>
      <c r="S1316" s="2">
        <v>46174.310193715275</v>
      </c>
      <c r="T1316" s="5">
        <v>5.7141203703703706E-5</v>
      </c>
      <c r="U1316" s="4">
        <v>4.5406859368085861E-2</v>
      </c>
      <c r="V1316" s="4" t="s">
        <v>784</v>
      </c>
      <c r="W1316" s="4" t="s">
        <v>762</v>
      </c>
      <c r="X1316" s="6" t="s">
        <v>617</v>
      </c>
    </row>
    <row r="1317" spans="1:24">
      <c r="A1317" s="4" t="s">
        <v>1024</v>
      </c>
      <c r="B1317" s="4" t="s">
        <v>1025</v>
      </c>
      <c r="D1317" s="4" t="s">
        <v>716</v>
      </c>
      <c r="E1317" s="4" t="s">
        <v>717</v>
      </c>
      <c r="M1317" s="4" t="s">
        <v>762</v>
      </c>
      <c r="N1317" s="4">
        <v>-71.631535833333331</v>
      </c>
      <c r="O1317" s="4">
        <v>3.7836141599999999</v>
      </c>
      <c r="P1317" s="4" t="s">
        <v>734</v>
      </c>
      <c r="Q1317" s="4" t="s">
        <v>735</v>
      </c>
      <c r="R1317" s="4" t="s">
        <v>730</v>
      </c>
      <c r="S1317" s="2">
        <v>46174.310278344907</v>
      </c>
      <c r="T1317" s="5">
        <v>3.857638888888889E-5</v>
      </c>
      <c r="U1317" s="4">
        <v>2.7426118031144142E-2</v>
      </c>
      <c r="V1317" s="4" t="s">
        <v>843</v>
      </c>
      <c r="W1317" s="4" t="s">
        <v>762</v>
      </c>
      <c r="X1317" s="6" t="s">
        <v>617</v>
      </c>
    </row>
    <row r="1318" spans="1:24">
      <c r="A1318" s="4" t="s">
        <v>1024</v>
      </c>
      <c r="B1318" s="4" t="s">
        <v>1025</v>
      </c>
      <c r="D1318" s="4" t="s">
        <v>716</v>
      </c>
      <c r="E1318" s="4" t="s">
        <v>717</v>
      </c>
      <c r="M1318" s="4" t="s">
        <v>762</v>
      </c>
      <c r="N1318" s="4">
        <v>-71.632265794640006</v>
      </c>
      <c r="O1318" s="4">
        <v>3.7837650016579998</v>
      </c>
      <c r="P1318" s="4" t="s">
        <v>734</v>
      </c>
      <c r="Q1318" s="4" t="s">
        <v>735</v>
      </c>
      <c r="R1318" s="4" t="s">
        <v>730</v>
      </c>
      <c r="S1318" s="2">
        <v>46174.310401817129</v>
      </c>
      <c r="T1318" s="5">
        <v>5.9398148148148151E-5</v>
      </c>
      <c r="U1318" s="4">
        <v>4.7521498054265976E-2</v>
      </c>
      <c r="V1318" s="4" t="s">
        <v>844</v>
      </c>
      <c r="W1318" s="4" t="s">
        <v>762</v>
      </c>
      <c r="X1318" s="6" t="s">
        <v>617</v>
      </c>
    </row>
    <row r="1319" spans="1:24">
      <c r="A1319" s="4" t="s">
        <v>1024</v>
      </c>
      <c r="B1319" s="4" t="s">
        <v>1025</v>
      </c>
      <c r="D1319" s="4" t="s">
        <v>716</v>
      </c>
      <c r="E1319" s="4" t="s">
        <v>717</v>
      </c>
      <c r="M1319" s="4" t="s">
        <v>762</v>
      </c>
      <c r="N1319" s="4">
        <v>-71.6329803</v>
      </c>
      <c r="O1319" s="4">
        <v>3.7838909599999999</v>
      </c>
      <c r="P1319" s="4" t="s">
        <v>734</v>
      </c>
      <c r="Q1319" s="4" t="s">
        <v>735</v>
      </c>
      <c r="R1319" s="4" t="s">
        <v>730</v>
      </c>
      <c r="S1319" s="2">
        <v>46174.310509826391</v>
      </c>
      <c r="T1319" s="5">
        <v>1.9675925925925926E-4</v>
      </c>
      <c r="U1319" s="4">
        <v>0.15134251117706299</v>
      </c>
      <c r="V1319" s="4" t="s">
        <v>781</v>
      </c>
      <c r="W1319" s="4" t="s">
        <v>762</v>
      </c>
      <c r="X1319" s="6" t="s">
        <v>617</v>
      </c>
    </row>
    <row r="1320" spans="1:24">
      <c r="A1320" s="4" t="s">
        <v>1024</v>
      </c>
      <c r="B1320" s="4" t="s">
        <v>1025</v>
      </c>
      <c r="D1320" s="4" t="s">
        <v>716</v>
      </c>
      <c r="E1320" s="4" t="s">
        <v>717</v>
      </c>
      <c r="M1320" s="4" t="s">
        <v>645</v>
      </c>
      <c r="N1320" s="4">
        <v>-71.635059509090908</v>
      </c>
      <c r="O1320" s="4">
        <v>3.7842513990340909</v>
      </c>
      <c r="P1320" s="4" t="s">
        <v>718</v>
      </c>
      <c r="Q1320" s="4" t="s">
        <v>719</v>
      </c>
      <c r="R1320" s="4" t="s">
        <v>720</v>
      </c>
      <c r="S1320" s="2">
        <v>46174.310819722225</v>
      </c>
      <c r="T1320" s="5">
        <v>2.5100694444444443E-4</v>
      </c>
      <c r="U1320" s="4">
        <v>0.18369325995445251</v>
      </c>
      <c r="V1320" s="4" t="s">
        <v>763</v>
      </c>
      <c r="W1320" s="4" t="s">
        <v>645</v>
      </c>
      <c r="X1320" s="6" t="s">
        <v>617</v>
      </c>
    </row>
    <row r="1321" spans="1:24">
      <c r="A1321" s="4" t="s">
        <v>1024</v>
      </c>
      <c r="B1321" s="4" t="s">
        <v>1025</v>
      </c>
      <c r="D1321" s="4" t="s">
        <v>716</v>
      </c>
      <c r="E1321" s="4" t="s">
        <v>717</v>
      </c>
      <c r="M1321" s="4" t="s">
        <v>762</v>
      </c>
      <c r="N1321" s="4">
        <v>-71.635376000000008</v>
      </c>
      <c r="O1321" s="4">
        <v>3.784305335</v>
      </c>
      <c r="P1321" s="4" t="s">
        <v>718</v>
      </c>
      <c r="Q1321" s="4" t="s">
        <v>719</v>
      </c>
      <c r="R1321" s="4" t="s">
        <v>720</v>
      </c>
      <c r="S1321" s="2">
        <v>46174.310868622684</v>
      </c>
      <c r="T1321" s="5">
        <v>2.199074074074074E-4</v>
      </c>
      <c r="U1321" s="4">
        <v>0.16127757728099823</v>
      </c>
      <c r="V1321" s="4" t="s">
        <v>763</v>
      </c>
      <c r="W1321" s="4" t="s">
        <v>762</v>
      </c>
      <c r="X1321" s="6" t="s">
        <v>617</v>
      </c>
    </row>
    <row r="1322" spans="1:24">
      <c r="A1322" s="4" t="s">
        <v>1024</v>
      </c>
      <c r="B1322" s="4" t="s">
        <v>1025</v>
      </c>
      <c r="D1322" s="4" t="s">
        <v>716</v>
      </c>
      <c r="E1322" s="4" t="s">
        <v>717</v>
      </c>
      <c r="M1322" s="4" t="s">
        <v>762</v>
      </c>
      <c r="N1322" s="4">
        <v>-71.637493648320003</v>
      </c>
      <c r="O1322" s="4">
        <v>3.7843838743440004</v>
      </c>
      <c r="P1322" s="4" t="s">
        <v>734</v>
      </c>
      <c r="Q1322" s="4" t="s">
        <v>735</v>
      </c>
      <c r="R1322" s="4" t="s">
        <v>730</v>
      </c>
      <c r="S1322" s="2">
        <v>46174.311189386572</v>
      </c>
      <c r="T1322" s="5">
        <v>3.6909722222222221E-4</v>
      </c>
      <c r="U1322" s="4">
        <v>0.29502514004707336</v>
      </c>
      <c r="V1322" s="4" t="s">
        <v>844</v>
      </c>
      <c r="W1322" s="4" t="s">
        <v>762</v>
      </c>
      <c r="X1322" s="6" t="s">
        <v>617</v>
      </c>
    </row>
    <row r="1323" spans="1:24">
      <c r="A1323" s="4" t="s">
        <v>1024</v>
      </c>
      <c r="B1323" s="4" t="s">
        <v>1025</v>
      </c>
      <c r="D1323" s="4" t="s">
        <v>716</v>
      </c>
      <c r="E1323" s="4" t="s">
        <v>717</v>
      </c>
      <c r="M1323" s="4" t="s">
        <v>762</v>
      </c>
      <c r="N1323" s="4">
        <v>-71.642888366666668</v>
      </c>
      <c r="O1323" s="4">
        <v>3.7843112933333334</v>
      </c>
      <c r="P1323" s="4" t="s">
        <v>734</v>
      </c>
      <c r="Q1323" s="4" t="s">
        <v>735</v>
      </c>
      <c r="R1323" s="4" t="s">
        <v>730</v>
      </c>
      <c r="S1323" s="2">
        <v>46174.312014456016</v>
      </c>
      <c r="T1323" s="5">
        <v>6.9444444444444444E-5</v>
      </c>
      <c r="U1323" s="4">
        <v>4.926672950387001E-2</v>
      </c>
      <c r="V1323" s="4" t="s">
        <v>763</v>
      </c>
      <c r="W1323" s="4" t="s">
        <v>762</v>
      </c>
      <c r="X1323" s="6" t="s">
        <v>617</v>
      </c>
    </row>
    <row r="1324" spans="1:24">
      <c r="A1324" s="4" t="s">
        <v>1024</v>
      </c>
      <c r="B1324" s="4" t="s">
        <v>1025</v>
      </c>
      <c r="D1324" s="4" t="s">
        <v>716</v>
      </c>
      <c r="E1324" s="4" t="s">
        <v>717</v>
      </c>
      <c r="M1324" s="4" t="s">
        <v>614</v>
      </c>
      <c r="N1324" s="4">
        <v>-71.643226600000006</v>
      </c>
      <c r="O1324" s="4">
        <v>3.78199649</v>
      </c>
      <c r="P1324" s="4" t="s">
        <v>734</v>
      </c>
      <c r="Q1324" s="4" t="s">
        <v>735</v>
      </c>
      <c r="R1324" s="4" t="s">
        <v>730</v>
      </c>
      <c r="S1324" s="2">
        <v>46174.318993854169</v>
      </c>
      <c r="T1324" s="5">
        <v>1.4976967592592592E-2</v>
      </c>
      <c r="U1324" s="4">
        <v>2.9652662575244904E-2</v>
      </c>
      <c r="V1324" s="4" t="s">
        <v>616</v>
      </c>
      <c r="W1324" s="4" t="s">
        <v>614</v>
      </c>
      <c r="X1324" s="6" t="s">
        <v>617</v>
      </c>
    </row>
    <row r="1325" spans="1:24">
      <c r="A1325" s="4" t="s">
        <v>1024</v>
      </c>
      <c r="B1325" s="4" t="s">
        <v>1025</v>
      </c>
      <c r="D1325" s="4" t="s">
        <v>716</v>
      </c>
      <c r="E1325" s="4" t="s">
        <v>717</v>
      </c>
      <c r="M1325" s="4" t="s">
        <v>614</v>
      </c>
      <c r="N1325" s="4">
        <v>-71.643211399999998</v>
      </c>
      <c r="O1325" s="4">
        <v>3.7819960099999999</v>
      </c>
      <c r="P1325" s="4" t="s">
        <v>734</v>
      </c>
      <c r="Q1325" s="4" t="s">
        <v>735</v>
      </c>
      <c r="R1325" s="4" t="s">
        <v>730</v>
      </c>
      <c r="S1325" s="2">
        <v>46174.3340865625</v>
      </c>
      <c r="T1325" s="5">
        <v>5.5902893518518515E-3</v>
      </c>
      <c r="U1325" s="4">
        <v>6.131109781563282E-3</v>
      </c>
      <c r="V1325" s="4" t="s">
        <v>616</v>
      </c>
      <c r="W1325" s="4" t="s">
        <v>614</v>
      </c>
      <c r="X1325" s="6" t="s">
        <v>617</v>
      </c>
    </row>
    <row r="1326" spans="1:24">
      <c r="A1326" s="4" t="s">
        <v>1024</v>
      </c>
      <c r="B1326" s="4" t="s">
        <v>1025</v>
      </c>
      <c r="D1326" s="4" t="s">
        <v>716</v>
      </c>
      <c r="E1326" s="4" t="s">
        <v>717</v>
      </c>
      <c r="M1326" s="4" t="s">
        <v>614</v>
      </c>
      <c r="N1326" s="4">
        <v>-71.643203700000001</v>
      </c>
      <c r="O1326" s="4">
        <v>3.7820076899999999</v>
      </c>
      <c r="P1326" s="4" t="s">
        <v>734</v>
      </c>
      <c r="Q1326" s="4" t="s">
        <v>735</v>
      </c>
      <c r="R1326" s="4" t="s">
        <v>730</v>
      </c>
      <c r="S1326" s="2">
        <v>46174.340845833336</v>
      </c>
      <c r="T1326" s="5">
        <v>6.9791550925925924E-3</v>
      </c>
      <c r="U1326" s="4">
        <v>7.6327645219862461E-3</v>
      </c>
      <c r="V1326" s="4" t="s">
        <v>616</v>
      </c>
      <c r="W1326" s="4" t="s">
        <v>614</v>
      </c>
      <c r="X1326" s="6" t="s">
        <v>617</v>
      </c>
    </row>
    <row r="1327" spans="1:24">
      <c r="A1327" s="4" t="s">
        <v>1024</v>
      </c>
      <c r="B1327" s="4" t="s">
        <v>1025</v>
      </c>
      <c r="D1327" s="4" t="s">
        <v>716</v>
      </c>
      <c r="E1327" s="4" t="s">
        <v>717</v>
      </c>
      <c r="M1327" s="4" t="s">
        <v>762</v>
      </c>
      <c r="N1327" s="4">
        <v>-71.639700079656393</v>
      </c>
      <c r="O1327" s="4">
        <v>3.7845456544559584</v>
      </c>
      <c r="P1327" s="4" t="s">
        <v>734</v>
      </c>
      <c r="Q1327" s="4" t="s">
        <v>735</v>
      </c>
      <c r="R1327" s="4" t="s">
        <v>730</v>
      </c>
      <c r="S1327" s="2">
        <v>46174.349986782407</v>
      </c>
      <c r="T1327" s="5">
        <v>1.5307870370370369E-4</v>
      </c>
      <c r="U1327" s="4">
        <v>0.10825046896934509</v>
      </c>
      <c r="V1327" s="4" t="s">
        <v>763</v>
      </c>
      <c r="W1327" s="4" t="s">
        <v>762</v>
      </c>
      <c r="X1327" s="6" t="s">
        <v>617</v>
      </c>
    </row>
    <row r="1328" spans="1:24">
      <c r="A1328" s="4" t="s">
        <v>1024</v>
      </c>
      <c r="B1328" s="4" t="s">
        <v>1025</v>
      </c>
      <c r="D1328" s="4" t="s">
        <v>716</v>
      </c>
      <c r="E1328" s="4" t="s">
        <v>717</v>
      </c>
      <c r="M1328" s="4" t="s">
        <v>762</v>
      </c>
      <c r="N1328" s="4">
        <v>-71.63811499005125</v>
      </c>
      <c r="O1328" s="4">
        <v>3.7843288128396453</v>
      </c>
      <c r="P1328" s="4" t="s">
        <v>734</v>
      </c>
      <c r="Q1328" s="4" t="s">
        <v>735</v>
      </c>
      <c r="R1328" s="4" t="s">
        <v>730</v>
      </c>
      <c r="S1328" s="2">
        <v>46174.350232395831</v>
      </c>
      <c r="T1328" s="5">
        <v>5.3541666666666669E-5</v>
      </c>
      <c r="U1328" s="4">
        <v>4.036238044500351E-2</v>
      </c>
      <c r="V1328" s="4" t="s">
        <v>763</v>
      </c>
      <c r="W1328" s="4" t="s">
        <v>762</v>
      </c>
      <c r="X1328" s="6" t="s">
        <v>617</v>
      </c>
    </row>
    <row r="1329" spans="1:24">
      <c r="A1329" s="4" t="s">
        <v>1024</v>
      </c>
      <c r="B1329" s="4" t="s">
        <v>1025</v>
      </c>
      <c r="D1329" s="4" t="s">
        <v>716</v>
      </c>
      <c r="E1329" s="4" t="s">
        <v>717</v>
      </c>
      <c r="M1329" s="4" t="s">
        <v>645</v>
      </c>
      <c r="N1329" s="4">
        <v>-71.636698543375005</v>
      </c>
      <c r="O1329" s="4">
        <v>3.7843034181424997</v>
      </c>
      <c r="P1329" s="4" t="s">
        <v>718</v>
      </c>
      <c r="Q1329" s="4" t="s">
        <v>719</v>
      </c>
      <c r="R1329" s="4" t="s">
        <v>720</v>
      </c>
      <c r="S1329" s="2">
        <v>46174.350474965278</v>
      </c>
      <c r="T1329" s="5">
        <v>2.9354166666666667E-4</v>
      </c>
      <c r="U1329" s="4">
        <v>0.18268759548664093</v>
      </c>
      <c r="V1329" s="4" t="s">
        <v>751</v>
      </c>
      <c r="W1329" s="4" t="s">
        <v>645</v>
      </c>
      <c r="X1329" s="6" t="s">
        <v>617</v>
      </c>
    </row>
    <row r="1330" spans="1:24">
      <c r="A1330" s="4" t="s">
        <v>1024</v>
      </c>
      <c r="B1330" s="4" t="s">
        <v>1025</v>
      </c>
      <c r="D1330" s="4" t="s">
        <v>716</v>
      </c>
      <c r="E1330" s="4" t="s">
        <v>717</v>
      </c>
      <c r="M1330" s="4" t="s">
        <v>656</v>
      </c>
      <c r="N1330" s="4">
        <v>-71.634124799999995</v>
      </c>
      <c r="O1330" s="4">
        <v>3.7838256399999999</v>
      </c>
      <c r="P1330" s="4" t="s">
        <v>742</v>
      </c>
      <c r="Q1330" s="4" t="s">
        <v>743</v>
      </c>
      <c r="R1330" s="4" t="s">
        <v>730</v>
      </c>
      <c r="S1330" s="2">
        <v>46174.350949988424</v>
      </c>
      <c r="T1330" s="5">
        <v>4.2835648148148149E-4</v>
      </c>
      <c r="U1330" s="4">
        <v>0.2873547375202179</v>
      </c>
      <c r="V1330" s="4" t="s">
        <v>1026</v>
      </c>
      <c r="W1330" s="4" t="s">
        <v>656</v>
      </c>
      <c r="X1330" s="6" t="s">
        <v>617</v>
      </c>
    </row>
    <row r="1331" spans="1:24">
      <c r="A1331" s="4" t="s">
        <v>1024</v>
      </c>
      <c r="B1331" s="4" t="s">
        <v>1025</v>
      </c>
      <c r="D1331" s="4" t="s">
        <v>716</v>
      </c>
      <c r="E1331" s="4" t="s">
        <v>717</v>
      </c>
      <c r="M1331" s="4" t="s">
        <v>645</v>
      </c>
      <c r="N1331" s="4">
        <v>-71.634496574094626</v>
      </c>
      <c r="O1331" s="4">
        <v>3.7813907049426749</v>
      </c>
      <c r="P1331" s="4" t="s">
        <v>800</v>
      </c>
      <c r="Q1331" s="4" t="s">
        <v>746</v>
      </c>
      <c r="R1331" s="4" t="s">
        <v>720</v>
      </c>
      <c r="S1331" s="2">
        <v>46174.351443171297</v>
      </c>
      <c r="T1331" s="5">
        <v>4.5920138888888888E-4</v>
      </c>
      <c r="U1331" s="4">
        <v>0.14076884090900421</v>
      </c>
      <c r="V1331" s="4" t="s">
        <v>725</v>
      </c>
      <c r="W1331" s="4" t="s">
        <v>645</v>
      </c>
      <c r="X1331" s="6" t="s">
        <v>617</v>
      </c>
    </row>
    <row r="1332" spans="1:24">
      <c r="A1332" s="4" t="s">
        <v>1024</v>
      </c>
      <c r="B1332" s="4" t="s">
        <v>1025</v>
      </c>
      <c r="D1332" s="4" t="s">
        <v>716</v>
      </c>
      <c r="E1332" s="4" t="s">
        <v>717</v>
      </c>
      <c r="M1332" s="4" t="s">
        <v>614</v>
      </c>
      <c r="N1332" s="4">
        <v>-71.633323700000005</v>
      </c>
      <c r="O1332" s="4">
        <v>3.7807817500000001</v>
      </c>
      <c r="P1332" s="4" t="s">
        <v>800</v>
      </c>
      <c r="Q1332" s="4" t="s">
        <v>746</v>
      </c>
      <c r="R1332" s="4" t="s">
        <v>720</v>
      </c>
      <c r="S1332" s="2">
        <v>46174.352477766202</v>
      </c>
      <c r="T1332" s="5">
        <v>9.3055555555555548E-3</v>
      </c>
      <c r="U1332" s="4">
        <v>8.9217992499470711E-3</v>
      </c>
      <c r="V1332" s="4" t="s">
        <v>616</v>
      </c>
      <c r="W1332" s="4" t="s">
        <v>614</v>
      </c>
      <c r="X1332" s="6" t="s">
        <v>617</v>
      </c>
    </row>
    <row r="1333" spans="1:24">
      <c r="A1333" s="4" t="s">
        <v>1024</v>
      </c>
      <c r="B1333" s="4" t="s">
        <v>1025</v>
      </c>
      <c r="D1333" s="4" t="s">
        <v>716</v>
      </c>
      <c r="E1333" s="4" t="s">
        <v>717</v>
      </c>
      <c r="M1333" s="4" t="s">
        <v>645</v>
      </c>
      <c r="N1333" s="4">
        <v>-71.633354199999999</v>
      </c>
      <c r="O1333" s="4">
        <v>3.7809176400000002</v>
      </c>
      <c r="P1333" s="4" t="s">
        <v>800</v>
      </c>
      <c r="Q1333" s="4" t="s">
        <v>746</v>
      </c>
      <c r="R1333" s="4" t="s">
        <v>720</v>
      </c>
      <c r="S1333" s="2">
        <v>46174.362142233796</v>
      </c>
      <c r="T1333" s="5">
        <v>3.3564814814814812E-4</v>
      </c>
      <c r="U1333" s="4">
        <v>8.813796192407608E-2</v>
      </c>
      <c r="V1333" s="4" t="s">
        <v>724</v>
      </c>
      <c r="W1333" s="4" t="s">
        <v>645</v>
      </c>
      <c r="X1333" s="6" t="s">
        <v>617</v>
      </c>
    </row>
    <row r="1334" spans="1:24">
      <c r="A1334" s="4" t="s">
        <v>1024</v>
      </c>
      <c r="B1334" s="4" t="s">
        <v>1025</v>
      </c>
      <c r="D1334" s="4" t="s">
        <v>716</v>
      </c>
      <c r="E1334" s="4" t="s">
        <v>717</v>
      </c>
      <c r="M1334" s="4" t="s">
        <v>645</v>
      </c>
      <c r="N1334" s="4">
        <v>-71.634071399999996</v>
      </c>
      <c r="O1334" s="4">
        <v>3.7812111399999999</v>
      </c>
      <c r="P1334" s="4" t="s">
        <v>800</v>
      </c>
      <c r="Q1334" s="4" t="s">
        <v>746</v>
      </c>
      <c r="R1334" s="4" t="s">
        <v>720</v>
      </c>
      <c r="S1334" s="2">
        <v>46174.362477881943</v>
      </c>
      <c r="T1334" s="5">
        <v>1.9820601851851851E-4</v>
      </c>
      <c r="U1334" s="4">
        <v>5.1646258682012558E-2</v>
      </c>
      <c r="V1334" s="4" t="s">
        <v>724</v>
      </c>
      <c r="W1334" s="4" t="s">
        <v>645</v>
      </c>
      <c r="X1334" s="6" t="s">
        <v>617</v>
      </c>
    </row>
    <row r="1335" spans="1:24">
      <c r="A1335" s="4" t="s">
        <v>1024</v>
      </c>
      <c r="B1335" s="4" t="s">
        <v>1025</v>
      </c>
      <c r="D1335" s="4" t="s">
        <v>716</v>
      </c>
      <c r="E1335" s="4" t="s">
        <v>717</v>
      </c>
      <c r="M1335" s="4" t="s">
        <v>656</v>
      </c>
      <c r="N1335" s="4">
        <v>-71.634590099999997</v>
      </c>
      <c r="O1335" s="4">
        <v>3.7816216900000001</v>
      </c>
      <c r="P1335" s="4" t="s">
        <v>742</v>
      </c>
      <c r="Q1335" s="4" t="s">
        <v>743</v>
      </c>
      <c r="R1335" s="4" t="s">
        <v>730</v>
      </c>
      <c r="S1335" s="2">
        <v>46174.362790393519</v>
      </c>
      <c r="T1335" s="5">
        <v>4.9767361111111106E-4</v>
      </c>
      <c r="U1335" s="4">
        <v>0.30687850713729858</v>
      </c>
      <c r="V1335" s="4" t="s">
        <v>1027</v>
      </c>
      <c r="W1335" s="4" t="s">
        <v>656</v>
      </c>
      <c r="X1335" s="6" t="s">
        <v>617</v>
      </c>
    </row>
    <row r="1336" spans="1:24">
      <c r="A1336" s="4" t="s">
        <v>1024</v>
      </c>
      <c r="B1336" s="4" t="s">
        <v>1025</v>
      </c>
      <c r="D1336" s="4" t="s">
        <v>716</v>
      </c>
      <c r="E1336" s="4" t="s">
        <v>717</v>
      </c>
      <c r="M1336" s="4" t="s">
        <v>762</v>
      </c>
      <c r="N1336" s="4">
        <v>-71.629894989999997</v>
      </c>
      <c r="O1336" s="4">
        <v>3.7829278030000002</v>
      </c>
      <c r="P1336" s="4" t="s">
        <v>734</v>
      </c>
      <c r="Q1336" s="4" t="s">
        <v>735</v>
      </c>
      <c r="R1336" s="4" t="s">
        <v>730</v>
      </c>
      <c r="S1336" s="2">
        <v>46174.364101724539</v>
      </c>
      <c r="T1336" s="5">
        <v>3.4374999999999998E-4</v>
      </c>
      <c r="U1336" s="4">
        <v>0.27620616555213928</v>
      </c>
      <c r="V1336" s="4" t="s">
        <v>784</v>
      </c>
      <c r="W1336" s="4" t="s">
        <v>762</v>
      </c>
      <c r="X1336" s="6" t="s">
        <v>617</v>
      </c>
    </row>
    <row r="1337" spans="1:24">
      <c r="A1337" s="4" t="s">
        <v>1024</v>
      </c>
      <c r="B1337" s="4" t="s">
        <v>1025</v>
      </c>
      <c r="D1337" s="4" t="s">
        <v>716</v>
      </c>
      <c r="E1337" s="4" t="s">
        <v>717</v>
      </c>
      <c r="M1337" s="4" t="s">
        <v>645</v>
      </c>
      <c r="N1337" s="4">
        <v>-71.626445786228743</v>
      </c>
      <c r="O1337" s="4">
        <v>3.7808738017505834</v>
      </c>
      <c r="P1337" s="4" t="s">
        <v>739</v>
      </c>
      <c r="Q1337" s="4" t="s">
        <v>740</v>
      </c>
      <c r="R1337" s="4" t="s">
        <v>730</v>
      </c>
      <c r="S1337" s="2">
        <v>46174.364843344905</v>
      </c>
      <c r="T1337" s="5">
        <v>1.8796296296296296E-5</v>
      </c>
      <c r="U1337" s="4">
        <v>5.0360937602818012E-3</v>
      </c>
      <c r="V1337" s="4" t="s">
        <v>731</v>
      </c>
      <c r="W1337" s="4" t="s">
        <v>645</v>
      </c>
      <c r="X1337" s="6" t="s">
        <v>617</v>
      </c>
    </row>
    <row r="1338" spans="1:24">
      <c r="A1338" s="4" t="s">
        <v>1024</v>
      </c>
      <c r="B1338" s="4" t="s">
        <v>1025</v>
      </c>
      <c r="D1338" s="4" t="s">
        <v>716</v>
      </c>
      <c r="E1338" s="4" t="s">
        <v>717</v>
      </c>
      <c r="M1338" s="4" t="s">
        <v>645</v>
      </c>
      <c r="N1338" s="4">
        <v>-71.626525900000004</v>
      </c>
      <c r="O1338" s="4">
        <v>3.7804872999999999</v>
      </c>
      <c r="P1338" s="4" t="s">
        <v>722</v>
      </c>
      <c r="Q1338" s="4" t="s">
        <v>723</v>
      </c>
      <c r="R1338" s="4" t="s">
        <v>720</v>
      </c>
      <c r="S1338" s="2">
        <v>46174.365452418984</v>
      </c>
      <c r="T1338" s="5">
        <v>3.5107638888888889E-4</v>
      </c>
      <c r="U1338" s="4">
        <v>9.2774763703346252E-2</v>
      </c>
      <c r="V1338" s="4" t="s">
        <v>724</v>
      </c>
      <c r="W1338" s="4" t="s">
        <v>645</v>
      </c>
      <c r="X1338" s="6" t="s">
        <v>617</v>
      </c>
    </row>
    <row r="1339" spans="1:24">
      <c r="A1339" s="4" t="s">
        <v>1024</v>
      </c>
      <c r="B1339" s="4" t="s">
        <v>1025</v>
      </c>
      <c r="D1339" s="4" t="s">
        <v>716</v>
      </c>
      <c r="E1339" s="4" t="s">
        <v>717</v>
      </c>
      <c r="M1339" s="4" t="s">
        <v>614</v>
      </c>
      <c r="N1339" s="4">
        <v>-71.626762400000004</v>
      </c>
      <c r="O1339" s="4">
        <v>3.77938843</v>
      </c>
      <c r="P1339" s="4" t="s">
        <v>726</v>
      </c>
      <c r="Q1339" s="4" t="s">
        <v>727</v>
      </c>
      <c r="R1339" s="4" t="s">
        <v>720</v>
      </c>
      <c r="S1339" s="2">
        <v>46174.369954733796</v>
      </c>
      <c r="T1339" s="5">
        <v>5.7638888888888887E-3</v>
      </c>
      <c r="U1339" s="4">
        <v>6.126046646386385E-3</v>
      </c>
      <c r="V1339" s="4" t="s">
        <v>616</v>
      </c>
      <c r="W1339" s="4" t="s">
        <v>614</v>
      </c>
      <c r="X1339" s="6" t="s">
        <v>617</v>
      </c>
    </row>
    <row r="1340" spans="1:24">
      <c r="A1340" s="4" t="s">
        <v>1024</v>
      </c>
      <c r="B1340" s="4" t="s">
        <v>1025</v>
      </c>
      <c r="D1340" s="4" t="s">
        <v>716</v>
      </c>
      <c r="E1340" s="4" t="s">
        <v>717</v>
      </c>
      <c r="M1340" s="4" t="s">
        <v>645</v>
      </c>
      <c r="N1340" s="4">
        <v>-71.626525900000004</v>
      </c>
      <c r="O1340" s="4">
        <v>3.7804248299999998</v>
      </c>
      <c r="P1340" s="4" t="s">
        <v>722</v>
      </c>
      <c r="Q1340" s="4" t="s">
        <v>723</v>
      </c>
      <c r="R1340" s="4" t="s">
        <v>720</v>
      </c>
      <c r="S1340" s="2">
        <v>46174.376551956018</v>
      </c>
      <c r="T1340" s="5">
        <v>3.7042824074074072E-4</v>
      </c>
      <c r="U1340" s="4">
        <v>9.0177051723003387E-2</v>
      </c>
      <c r="V1340" s="4" t="s">
        <v>724</v>
      </c>
      <c r="W1340" s="4" t="s">
        <v>645</v>
      </c>
      <c r="X1340" s="6" t="s">
        <v>617</v>
      </c>
    </row>
    <row r="1341" spans="1:24">
      <c r="A1341" s="4" t="s">
        <v>1024</v>
      </c>
      <c r="B1341" s="4" t="s">
        <v>1025</v>
      </c>
      <c r="D1341" s="4" t="s">
        <v>716</v>
      </c>
      <c r="E1341" s="4" t="s">
        <v>717</v>
      </c>
      <c r="M1341" s="4" t="s">
        <v>614</v>
      </c>
      <c r="N1341" s="4">
        <v>-71.625686599999995</v>
      </c>
      <c r="O1341" s="4">
        <v>3.7808511299999998</v>
      </c>
      <c r="P1341" s="4" t="s">
        <v>1028</v>
      </c>
      <c r="Q1341" s="4" t="s">
        <v>727</v>
      </c>
      <c r="R1341" s="4" t="s">
        <v>730</v>
      </c>
      <c r="S1341" s="2">
        <v>46174.378392233797</v>
      </c>
      <c r="T1341" s="5">
        <v>3.7268414351851853E-2</v>
      </c>
      <c r="U1341" s="4">
        <v>4.7907359898090363E-2</v>
      </c>
      <c r="V1341" s="4" t="s">
        <v>616</v>
      </c>
      <c r="W1341" s="4" t="s">
        <v>614</v>
      </c>
      <c r="X1341" s="6" t="s">
        <v>617</v>
      </c>
    </row>
    <row r="1342" spans="1:24">
      <c r="A1342" s="4" t="s">
        <v>1024</v>
      </c>
      <c r="B1342" s="4" t="s">
        <v>1025</v>
      </c>
      <c r="D1342" s="4" t="s">
        <v>716</v>
      </c>
      <c r="E1342" s="4" t="s">
        <v>717</v>
      </c>
      <c r="M1342" s="4" t="s">
        <v>614</v>
      </c>
      <c r="N1342" s="4">
        <v>-71.625686599999995</v>
      </c>
      <c r="O1342" s="4">
        <v>3.78084993</v>
      </c>
      <c r="P1342" s="4" t="s">
        <v>1029</v>
      </c>
      <c r="Q1342" s="4" t="s">
        <v>727</v>
      </c>
      <c r="R1342" s="4" t="s">
        <v>730</v>
      </c>
      <c r="S1342" s="2">
        <v>46174.416829618058</v>
      </c>
      <c r="T1342" s="5">
        <v>1.5139004629629629E-2</v>
      </c>
      <c r="U1342" s="4">
        <v>2.0682400092482567E-2</v>
      </c>
      <c r="V1342" s="4" t="s">
        <v>616</v>
      </c>
      <c r="W1342" s="4" t="s">
        <v>614</v>
      </c>
      <c r="X1342" s="6" t="s">
        <v>617</v>
      </c>
    </row>
    <row r="1343" spans="1:24">
      <c r="A1343" s="4" t="s">
        <v>1024</v>
      </c>
      <c r="B1343" s="4" t="s">
        <v>1025</v>
      </c>
      <c r="D1343" s="4" t="s">
        <v>716</v>
      </c>
      <c r="E1343" s="4" t="s">
        <v>717</v>
      </c>
      <c r="M1343" s="4" t="s">
        <v>656</v>
      </c>
      <c r="N1343" s="4">
        <v>-71.634000498986481</v>
      </c>
      <c r="O1343" s="4">
        <v>3.7839935152364865</v>
      </c>
      <c r="P1343" s="4" t="s">
        <v>734</v>
      </c>
      <c r="Q1343" s="4" t="s">
        <v>735</v>
      </c>
      <c r="R1343" s="4" t="s">
        <v>730</v>
      </c>
      <c r="S1343" s="2">
        <v>46174.43498302083</v>
      </c>
      <c r="T1343" s="5">
        <v>5.2715277777777775E-4</v>
      </c>
      <c r="U1343" s="4">
        <v>0.30573582649230957</v>
      </c>
      <c r="V1343" s="4" t="s">
        <v>1030</v>
      </c>
      <c r="W1343" s="4" t="s">
        <v>656</v>
      </c>
      <c r="X1343" s="6" t="s">
        <v>617</v>
      </c>
    </row>
    <row r="1344" spans="1:24">
      <c r="A1344" s="4" t="s">
        <v>1024</v>
      </c>
      <c r="B1344" s="4" t="s">
        <v>1025</v>
      </c>
      <c r="D1344" s="4" t="s">
        <v>716</v>
      </c>
      <c r="E1344" s="4" t="s">
        <v>717</v>
      </c>
      <c r="M1344" s="4" t="s">
        <v>645</v>
      </c>
      <c r="N1344" s="4">
        <v>-71.6344945589735</v>
      </c>
      <c r="O1344" s="4">
        <v>3.7814018777737046</v>
      </c>
      <c r="P1344" s="4" t="s">
        <v>800</v>
      </c>
      <c r="Q1344" s="4" t="s">
        <v>746</v>
      </c>
      <c r="R1344" s="4" t="s">
        <v>720</v>
      </c>
      <c r="S1344" s="2">
        <v>46174.435590844907</v>
      </c>
      <c r="T1344" s="5">
        <v>4.1135416666666669E-4</v>
      </c>
      <c r="U1344" s="4">
        <v>0.11279092729091644</v>
      </c>
      <c r="V1344" s="4" t="s">
        <v>731</v>
      </c>
      <c r="W1344" s="4" t="s">
        <v>645</v>
      </c>
      <c r="X1344" s="6" t="s">
        <v>617</v>
      </c>
    </row>
    <row r="1345" spans="1:24">
      <c r="A1345" s="4" t="s">
        <v>1024</v>
      </c>
      <c r="B1345" s="4" t="s">
        <v>1025</v>
      </c>
      <c r="D1345" s="4" t="s">
        <v>716</v>
      </c>
      <c r="E1345" s="4" t="s">
        <v>717</v>
      </c>
      <c r="M1345" s="4" t="s">
        <v>645</v>
      </c>
      <c r="N1345" s="4">
        <v>-71.633581549288934</v>
      </c>
      <c r="O1345" s="4">
        <v>3.7809960898496069</v>
      </c>
      <c r="P1345" s="4" t="s">
        <v>800</v>
      </c>
      <c r="Q1345" s="4" t="s">
        <v>746</v>
      </c>
      <c r="R1345" s="4" t="s">
        <v>720</v>
      </c>
      <c r="S1345" s="2">
        <v>46174.438459305558</v>
      </c>
      <c r="T1345" s="5">
        <v>2.2922453703703703E-4</v>
      </c>
      <c r="U1345" s="4">
        <v>6.0592062771320343E-2</v>
      </c>
      <c r="V1345" s="4" t="s">
        <v>731</v>
      </c>
      <c r="W1345" s="4" t="s">
        <v>645</v>
      </c>
      <c r="X1345" s="6" t="s">
        <v>617</v>
      </c>
    </row>
    <row r="1346" spans="1:24">
      <c r="A1346" s="4" t="s">
        <v>1024</v>
      </c>
      <c r="B1346" s="4" t="s">
        <v>1025</v>
      </c>
      <c r="D1346" s="4" t="s">
        <v>716</v>
      </c>
      <c r="E1346" s="4" t="s">
        <v>717</v>
      </c>
      <c r="M1346" s="4" t="s">
        <v>645</v>
      </c>
      <c r="N1346" s="4">
        <v>-71.634343121913886</v>
      </c>
      <c r="O1346" s="4">
        <v>3.7812574825261049</v>
      </c>
      <c r="P1346" s="4" t="s">
        <v>800</v>
      </c>
      <c r="Q1346" s="4" t="s">
        <v>746</v>
      </c>
      <c r="R1346" s="4" t="s">
        <v>720</v>
      </c>
      <c r="S1346" s="2">
        <v>46174.438827673614</v>
      </c>
      <c r="T1346" s="5">
        <v>7.4965277777777774E-5</v>
      </c>
      <c r="U1346" s="4">
        <v>2.1506365388631821E-2</v>
      </c>
      <c r="V1346" s="4" t="s">
        <v>771</v>
      </c>
      <c r="W1346" s="4" t="s">
        <v>645</v>
      </c>
      <c r="X1346" s="6" t="s">
        <v>617</v>
      </c>
    </row>
    <row r="1347" spans="1:24">
      <c r="A1347" s="4" t="s">
        <v>1024</v>
      </c>
      <c r="B1347" s="4" t="s">
        <v>1025</v>
      </c>
      <c r="D1347" s="4" t="s">
        <v>716</v>
      </c>
      <c r="E1347" s="4" t="s">
        <v>717</v>
      </c>
      <c r="M1347" s="4" t="s">
        <v>656</v>
      </c>
      <c r="N1347" s="4">
        <v>-71.634597799999995</v>
      </c>
      <c r="O1347" s="4">
        <v>3.7815976099999999</v>
      </c>
      <c r="P1347" s="4" t="s">
        <v>742</v>
      </c>
      <c r="Q1347" s="4" t="s">
        <v>743</v>
      </c>
      <c r="R1347" s="4" t="s">
        <v>730</v>
      </c>
      <c r="S1347" s="2">
        <v>46174.439017233795</v>
      </c>
      <c r="T1347" s="5">
        <v>5.1158564814814816E-4</v>
      </c>
      <c r="U1347" s="4">
        <v>0.29547443985939026</v>
      </c>
      <c r="V1347" s="4" t="s">
        <v>833</v>
      </c>
      <c r="W1347" s="4" t="s">
        <v>656</v>
      </c>
      <c r="X1347" s="6" t="s">
        <v>617</v>
      </c>
    </row>
    <row r="1348" spans="1:24">
      <c r="A1348" s="4" t="s">
        <v>1024</v>
      </c>
      <c r="B1348" s="4" t="s">
        <v>1025</v>
      </c>
      <c r="D1348" s="4" t="s">
        <v>716</v>
      </c>
      <c r="E1348" s="4" t="s">
        <v>717</v>
      </c>
      <c r="M1348" s="4" t="s">
        <v>645</v>
      </c>
      <c r="N1348" s="4">
        <v>-71.63506002362638</v>
      </c>
      <c r="O1348" s="4">
        <v>3.7843011622427571</v>
      </c>
      <c r="P1348" s="4" t="s">
        <v>718</v>
      </c>
      <c r="Q1348" s="4" t="s">
        <v>719</v>
      </c>
      <c r="R1348" s="4" t="s">
        <v>720</v>
      </c>
      <c r="S1348" s="2">
        <v>46174.439881759259</v>
      </c>
      <c r="T1348" s="5">
        <v>4.0373842592592593E-4</v>
      </c>
      <c r="U1348" s="4">
        <v>0.18361526727676392</v>
      </c>
      <c r="V1348" s="4" t="s">
        <v>827</v>
      </c>
      <c r="W1348" s="4" t="s">
        <v>645</v>
      </c>
      <c r="X1348" s="6" t="s">
        <v>617</v>
      </c>
    </row>
    <row r="1349" spans="1:24">
      <c r="A1349" s="4" t="s">
        <v>1024</v>
      </c>
      <c r="B1349" s="4" t="s">
        <v>1025</v>
      </c>
      <c r="D1349" s="4" t="s">
        <v>716</v>
      </c>
      <c r="E1349" s="4" t="s">
        <v>717</v>
      </c>
      <c r="M1349" s="4" t="s">
        <v>757</v>
      </c>
      <c r="N1349" s="4">
        <v>-71.672330200000005</v>
      </c>
      <c r="O1349" s="4">
        <v>3.7733380799999998</v>
      </c>
      <c r="P1349" s="4" t="s">
        <v>910</v>
      </c>
      <c r="Q1349" s="4" t="s">
        <v>743</v>
      </c>
      <c r="R1349" s="4" t="s">
        <v>730</v>
      </c>
      <c r="S1349" s="2">
        <v>46174.449202418982</v>
      </c>
      <c r="T1349" s="5">
        <v>8.3888888888888894E-5</v>
      </c>
      <c r="U1349" s="4">
        <v>7.8420035541057587E-2</v>
      </c>
      <c r="V1349" s="4" t="s">
        <v>758</v>
      </c>
      <c r="W1349" s="4" t="s">
        <v>757</v>
      </c>
      <c r="X1349" s="6" t="s">
        <v>617</v>
      </c>
    </row>
    <row r="1350" spans="1:24">
      <c r="A1350" s="4" t="s">
        <v>1024</v>
      </c>
      <c r="B1350" s="4" t="s">
        <v>1025</v>
      </c>
      <c r="D1350" s="4" t="s">
        <v>716</v>
      </c>
      <c r="E1350" s="4" t="s">
        <v>717</v>
      </c>
      <c r="M1350" s="4" t="s">
        <v>757</v>
      </c>
      <c r="N1350" s="4">
        <v>-71.676071199999996</v>
      </c>
      <c r="O1350" s="4">
        <v>3.77548051</v>
      </c>
      <c r="P1350" s="4" t="s">
        <v>872</v>
      </c>
      <c r="Q1350" s="4" t="s">
        <v>743</v>
      </c>
      <c r="R1350" s="4" t="s">
        <v>730</v>
      </c>
      <c r="S1350" s="2">
        <v>46174.449838877314</v>
      </c>
      <c r="T1350" s="5">
        <v>4.5150462962962961E-4</v>
      </c>
      <c r="U1350" s="4">
        <v>0.44577199220657349</v>
      </c>
      <c r="V1350" s="4" t="s">
        <v>774</v>
      </c>
      <c r="W1350" s="4" t="s">
        <v>757</v>
      </c>
      <c r="X1350" s="6" t="s">
        <v>617</v>
      </c>
    </row>
    <row r="1351" spans="1:24">
      <c r="A1351" s="4" t="s">
        <v>1024</v>
      </c>
      <c r="B1351" s="4" t="s">
        <v>1025</v>
      </c>
      <c r="D1351" s="4" t="s">
        <v>716</v>
      </c>
      <c r="E1351" s="4" t="s">
        <v>717</v>
      </c>
      <c r="M1351" s="4" t="s">
        <v>757</v>
      </c>
      <c r="N1351" s="4">
        <v>-71.678568559780004</v>
      </c>
      <c r="O1351" s="4">
        <v>3.779449442162</v>
      </c>
      <c r="P1351" s="4" t="s">
        <v>872</v>
      </c>
      <c r="Q1351" s="4" t="s">
        <v>743</v>
      </c>
      <c r="R1351" s="4" t="s">
        <v>730</v>
      </c>
      <c r="S1351" s="2">
        <v>46174.450436874999</v>
      </c>
      <c r="T1351" s="5">
        <v>1.2430555555555556E-4</v>
      </c>
      <c r="U1351" s="4">
        <v>0.12414920330047607</v>
      </c>
      <c r="V1351" s="4" t="s">
        <v>847</v>
      </c>
      <c r="W1351" s="4" t="s">
        <v>757</v>
      </c>
      <c r="X1351" s="6" t="s">
        <v>617</v>
      </c>
    </row>
    <row r="1352" spans="1:24">
      <c r="A1352" s="4" t="s">
        <v>1024</v>
      </c>
      <c r="B1352" s="4" t="s">
        <v>1025</v>
      </c>
      <c r="D1352" s="4" t="s">
        <v>716</v>
      </c>
      <c r="E1352" s="4" t="s">
        <v>717</v>
      </c>
      <c r="M1352" s="4" t="s">
        <v>757</v>
      </c>
      <c r="N1352" s="4">
        <v>-71.680137599999995</v>
      </c>
      <c r="O1352" s="4">
        <v>3.77887774</v>
      </c>
      <c r="P1352" s="4" t="s">
        <v>872</v>
      </c>
      <c r="Q1352" s="4" t="s">
        <v>743</v>
      </c>
      <c r="R1352" s="4" t="s">
        <v>730</v>
      </c>
      <c r="S1352" s="2">
        <v>46174.450637604168</v>
      </c>
      <c r="T1352" s="5">
        <v>2.0590277777777778E-4</v>
      </c>
      <c r="U1352" s="4">
        <v>0.20711217820644379</v>
      </c>
      <c r="V1352" s="4" t="s">
        <v>774</v>
      </c>
      <c r="W1352" s="4" t="s">
        <v>757</v>
      </c>
      <c r="X1352" s="6" t="s">
        <v>617</v>
      </c>
    </row>
    <row r="1353" spans="1:24">
      <c r="A1353" s="4" t="s">
        <v>1024</v>
      </c>
      <c r="B1353" s="4" t="s">
        <v>1025</v>
      </c>
      <c r="D1353" s="4" t="s">
        <v>716</v>
      </c>
      <c r="E1353" s="4" t="s">
        <v>717</v>
      </c>
      <c r="M1353" s="4" t="s">
        <v>614</v>
      </c>
      <c r="N1353" s="4">
        <v>-71.689209000000005</v>
      </c>
      <c r="O1353" s="4">
        <v>3.7814865100000001</v>
      </c>
      <c r="P1353" s="4" t="s">
        <v>911</v>
      </c>
      <c r="Q1353" s="4" t="s">
        <v>743</v>
      </c>
      <c r="R1353" s="4" t="s">
        <v>730</v>
      </c>
      <c r="S1353" s="2">
        <v>46174.451899178239</v>
      </c>
      <c r="T1353" s="5">
        <v>3.6572916666666668E-3</v>
      </c>
      <c r="U1353" s="4">
        <v>2.1297619678080082E-3</v>
      </c>
      <c r="V1353" s="4" t="s">
        <v>616</v>
      </c>
      <c r="W1353" s="4" t="s">
        <v>614</v>
      </c>
      <c r="X1353" s="6" t="s">
        <v>617</v>
      </c>
    </row>
    <row r="1354" spans="1:24">
      <c r="A1354" s="4" t="s">
        <v>1024</v>
      </c>
      <c r="B1354" s="4" t="s">
        <v>1025</v>
      </c>
      <c r="D1354" s="4" t="s">
        <v>716</v>
      </c>
      <c r="E1354" s="4" t="s">
        <v>717</v>
      </c>
      <c r="M1354" s="4" t="s">
        <v>757</v>
      </c>
      <c r="N1354" s="4">
        <v>-71.7055893</v>
      </c>
      <c r="O1354" s="4">
        <v>3.7817311299999998</v>
      </c>
      <c r="P1354" s="4" t="s">
        <v>872</v>
      </c>
      <c r="Q1354" s="4" t="s">
        <v>743</v>
      </c>
      <c r="R1354" s="4" t="s">
        <v>730</v>
      </c>
      <c r="S1354" s="2">
        <v>46174.458183784722</v>
      </c>
      <c r="T1354" s="5">
        <v>1.6589120370370371E-4</v>
      </c>
      <c r="U1354" s="4">
        <v>0.15856239199638367</v>
      </c>
      <c r="V1354" s="4" t="s">
        <v>758</v>
      </c>
      <c r="W1354" s="4" t="s">
        <v>757</v>
      </c>
      <c r="X1354" s="6" t="s">
        <v>617</v>
      </c>
    </row>
    <row r="1355" spans="1:24">
      <c r="A1355" s="4" t="s">
        <v>1024</v>
      </c>
      <c r="B1355" s="4" t="s">
        <v>1025</v>
      </c>
      <c r="D1355" s="4" t="s">
        <v>716</v>
      </c>
      <c r="E1355" s="4" t="s">
        <v>717</v>
      </c>
      <c r="M1355" s="4" t="s">
        <v>757</v>
      </c>
      <c r="N1355" s="4">
        <v>-71.728009532814241</v>
      </c>
      <c r="O1355" s="4">
        <v>3.7755041966918799</v>
      </c>
      <c r="P1355" s="4" t="s">
        <v>872</v>
      </c>
      <c r="Q1355" s="4" t="s">
        <v>743</v>
      </c>
      <c r="R1355" s="4" t="s">
        <v>730</v>
      </c>
      <c r="S1355" s="2">
        <v>46174.461737106481</v>
      </c>
      <c r="T1355" s="5">
        <v>1.0408564814814815E-4</v>
      </c>
      <c r="U1355" s="4">
        <v>9.9399566650390625E-2</v>
      </c>
      <c r="V1355" s="4" t="s">
        <v>774</v>
      </c>
      <c r="W1355" s="4" t="s">
        <v>757</v>
      </c>
      <c r="X1355" s="6" t="s">
        <v>617</v>
      </c>
    </row>
    <row r="1356" spans="1:24">
      <c r="A1356" s="4" t="s">
        <v>1024</v>
      </c>
      <c r="B1356" s="4" t="s">
        <v>1025</v>
      </c>
      <c r="D1356" s="4" t="s">
        <v>716</v>
      </c>
      <c r="E1356" s="4" t="s">
        <v>717</v>
      </c>
      <c r="M1356" s="4" t="s">
        <v>757</v>
      </c>
      <c r="N1356" s="4">
        <v>-71.742749559857145</v>
      </c>
      <c r="O1356" s="4">
        <v>3.7722330687399999</v>
      </c>
      <c r="P1356" s="4" t="s">
        <v>872</v>
      </c>
      <c r="Q1356" s="4" t="s">
        <v>743</v>
      </c>
      <c r="R1356" s="4" t="s">
        <v>730</v>
      </c>
      <c r="S1356" s="2">
        <v>46174.463747060188</v>
      </c>
      <c r="T1356" s="5">
        <v>5.8831018518518519E-5</v>
      </c>
      <c r="U1356" s="4">
        <v>5.4540079087018967E-2</v>
      </c>
      <c r="V1356" s="4" t="s">
        <v>758</v>
      </c>
      <c r="W1356" s="4" t="s">
        <v>757</v>
      </c>
      <c r="X1356" s="6" t="s">
        <v>617</v>
      </c>
    </row>
    <row r="1357" spans="1:24">
      <c r="A1357" s="4" t="s">
        <v>1024</v>
      </c>
      <c r="B1357" s="4" t="s">
        <v>1025</v>
      </c>
      <c r="D1357" s="4" t="s">
        <v>716</v>
      </c>
      <c r="E1357" s="4" t="s">
        <v>717</v>
      </c>
      <c r="M1357" s="4" t="s">
        <v>757</v>
      </c>
      <c r="N1357" s="4">
        <v>-71.752803800000009</v>
      </c>
      <c r="O1357" s="4">
        <v>3.7662700400000002</v>
      </c>
      <c r="P1357" s="4" t="s">
        <v>872</v>
      </c>
      <c r="Q1357" s="4" t="s">
        <v>743</v>
      </c>
      <c r="R1357" s="4" t="s">
        <v>730</v>
      </c>
      <c r="S1357" s="2">
        <v>46174.465284479164</v>
      </c>
      <c r="T1357" s="5">
        <v>1.5046296296296297E-4</v>
      </c>
      <c r="U1357" s="4">
        <v>0.14364032447338104</v>
      </c>
      <c r="V1357" s="4" t="s">
        <v>758</v>
      </c>
      <c r="W1357" s="4" t="s">
        <v>757</v>
      </c>
      <c r="X1357" s="6" t="s">
        <v>617</v>
      </c>
    </row>
    <row r="1358" spans="1:24">
      <c r="A1358" s="4" t="s">
        <v>1024</v>
      </c>
      <c r="B1358" s="4" t="s">
        <v>1025</v>
      </c>
      <c r="D1358" s="4" t="s">
        <v>716</v>
      </c>
      <c r="E1358" s="4" t="s">
        <v>717</v>
      </c>
      <c r="M1358" s="4" t="s">
        <v>757</v>
      </c>
      <c r="N1358" s="4">
        <v>-71.756790199999998</v>
      </c>
      <c r="O1358" s="4">
        <v>3.7641007900000001</v>
      </c>
      <c r="P1358" s="4" t="s">
        <v>872</v>
      </c>
      <c r="Q1358" s="4" t="s">
        <v>743</v>
      </c>
      <c r="R1358" s="4" t="s">
        <v>730</v>
      </c>
      <c r="S1358" s="2">
        <v>46174.465822673614</v>
      </c>
      <c r="T1358" s="5">
        <v>1.3888888888888889E-4</v>
      </c>
      <c r="U1358" s="4">
        <v>0.13219758868217468</v>
      </c>
      <c r="V1358" s="4" t="s">
        <v>758</v>
      </c>
      <c r="W1358" s="4" t="s">
        <v>757</v>
      </c>
      <c r="X1358" s="6" t="s">
        <v>617</v>
      </c>
    </row>
    <row r="1359" spans="1:24">
      <c r="A1359" s="4" t="s">
        <v>1024</v>
      </c>
      <c r="B1359" s="4" t="s">
        <v>1025</v>
      </c>
      <c r="D1359" s="4" t="s">
        <v>716</v>
      </c>
      <c r="E1359" s="4" t="s">
        <v>717</v>
      </c>
      <c r="M1359" s="4" t="s">
        <v>757</v>
      </c>
      <c r="N1359" s="4">
        <v>-71.757946000000004</v>
      </c>
      <c r="O1359" s="4">
        <v>3.7620437149999999</v>
      </c>
      <c r="P1359" s="4" t="s">
        <v>872</v>
      </c>
      <c r="Q1359" s="4" t="s">
        <v>743</v>
      </c>
      <c r="R1359" s="4" t="s">
        <v>730</v>
      </c>
      <c r="S1359" s="2">
        <v>46174.466100451391</v>
      </c>
      <c r="T1359" s="5">
        <v>1.0416666666666667E-4</v>
      </c>
      <c r="U1359" s="4">
        <v>0.10199800133705139</v>
      </c>
      <c r="V1359" s="4" t="s">
        <v>774</v>
      </c>
      <c r="W1359" s="4" t="s">
        <v>757</v>
      </c>
      <c r="X1359" s="6" t="s">
        <v>617</v>
      </c>
    </row>
    <row r="1360" spans="1:24">
      <c r="A1360" s="4" t="s">
        <v>1024</v>
      </c>
      <c r="B1360" s="4" t="s">
        <v>1025</v>
      </c>
      <c r="D1360" s="4" t="s">
        <v>716</v>
      </c>
      <c r="E1360" s="4" t="s">
        <v>717</v>
      </c>
      <c r="M1360" s="4" t="s">
        <v>757</v>
      </c>
      <c r="N1360" s="4">
        <v>-71.761838272622356</v>
      </c>
      <c r="O1360" s="4">
        <v>3.7597265451348352</v>
      </c>
      <c r="P1360" s="4" t="s">
        <v>872</v>
      </c>
      <c r="Q1360" s="4" t="s">
        <v>743</v>
      </c>
      <c r="R1360" s="4" t="s">
        <v>730</v>
      </c>
      <c r="S1360" s="2">
        <v>46174.466644513886</v>
      </c>
      <c r="T1360" s="5">
        <v>3.8880787037037036E-4</v>
      </c>
      <c r="U1360" s="4">
        <v>0.37897393107414246</v>
      </c>
      <c r="V1360" s="4" t="s">
        <v>778</v>
      </c>
      <c r="W1360" s="4" t="s">
        <v>757</v>
      </c>
      <c r="X1360" s="6" t="s">
        <v>617</v>
      </c>
    </row>
    <row r="1361" spans="1:24">
      <c r="A1361" s="4" t="s">
        <v>1024</v>
      </c>
      <c r="B1361" s="4" t="s">
        <v>1025</v>
      </c>
      <c r="D1361" s="4" t="s">
        <v>716</v>
      </c>
      <c r="E1361" s="4" t="s">
        <v>717</v>
      </c>
      <c r="M1361" s="4" t="s">
        <v>757</v>
      </c>
      <c r="N1361" s="4">
        <v>-71.769088750000009</v>
      </c>
      <c r="O1361" s="4">
        <v>3.733412865</v>
      </c>
      <c r="P1361" s="4" t="s">
        <v>795</v>
      </c>
      <c r="Q1361" s="4" t="s">
        <v>743</v>
      </c>
      <c r="R1361" s="4" t="s">
        <v>730</v>
      </c>
      <c r="S1361" s="2">
        <v>46174.472714976851</v>
      </c>
      <c r="T1361" s="5">
        <v>9.8437500000000001E-5</v>
      </c>
      <c r="U1361" s="4">
        <v>9.7393468022346497E-2</v>
      </c>
      <c r="V1361" s="4" t="s">
        <v>774</v>
      </c>
      <c r="W1361" s="4" t="s">
        <v>757</v>
      </c>
      <c r="X1361" s="6" t="s">
        <v>617</v>
      </c>
    </row>
    <row r="1362" spans="1:24">
      <c r="A1362" s="4" t="s">
        <v>1024</v>
      </c>
      <c r="B1362" s="4" t="s">
        <v>1025</v>
      </c>
      <c r="D1362" s="4" t="s">
        <v>716</v>
      </c>
      <c r="E1362" s="4" t="s">
        <v>717</v>
      </c>
      <c r="M1362" s="4" t="s">
        <v>757</v>
      </c>
      <c r="N1362" s="4">
        <v>-71.767761199999995</v>
      </c>
      <c r="O1362" s="4">
        <v>3.73321652</v>
      </c>
      <c r="P1362" s="4" t="s">
        <v>795</v>
      </c>
      <c r="Q1362" s="4" t="s">
        <v>743</v>
      </c>
      <c r="R1362" s="4" t="s">
        <v>730</v>
      </c>
      <c r="S1362" s="2">
        <v>46174.472871284721</v>
      </c>
      <c r="T1362" s="5">
        <v>2.3148148148148149E-4</v>
      </c>
      <c r="U1362" s="4">
        <v>0.22025346755981445</v>
      </c>
      <c r="V1362" s="4" t="s">
        <v>758</v>
      </c>
      <c r="W1362" s="4" t="s">
        <v>757</v>
      </c>
      <c r="X1362" s="6" t="s">
        <v>617</v>
      </c>
    </row>
    <row r="1363" spans="1:24">
      <c r="A1363" s="4" t="s">
        <v>1024</v>
      </c>
      <c r="B1363" s="4" t="s">
        <v>1025</v>
      </c>
      <c r="D1363" s="4" t="s">
        <v>716</v>
      </c>
      <c r="E1363" s="4" t="s">
        <v>717</v>
      </c>
      <c r="M1363" s="4" t="s">
        <v>757</v>
      </c>
      <c r="N1363" s="4">
        <v>-71.761854937459319</v>
      </c>
      <c r="O1363" s="4">
        <v>3.7330464503554444</v>
      </c>
      <c r="P1363" s="4" t="s">
        <v>795</v>
      </c>
      <c r="Q1363" s="4" t="s">
        <v>743</v>
      </c>
      <c r="R1363" s="4" t="s">
        <v>730</v>
      </c>
      <c r="S1363" s="2">
        <v>46174.473795474536</v>
      </c>
      <c r="T1363" s="5">
        <v>7.2465277777777781E-5</v>
      </c>
      <c r="U1363" s="4">
        <v>7.0835575461387634E-2</v>
      </c>
      <c r="V1363" s="4" t="s">
        <v>774</v>
      </c>
      <c r="W1363" s="4" t="s">
        <v>757</v>
      </c>
      <c r="X1363" s="6" t="s">
        <v>617</v>
      </c>
    </row>
    <row r="1364" spans="1:24">
      <c r="A1364" s="4" t="s">
        <v>1024</v>
      </c>
      <c r="B1364" s="4" t="s">
        <v>1025</v>
      </c>
      <c r="D1364" s="4" t="s">
        <v>716</v>
      </c>
      <c r="E1364" s="4" t="s">
        <v>717</v>
      </c>
      <c r="M1364" s="4" t="s">
        <v>757</v>
      </c>
      <c r="N1364" s="4">
        <v>-71.758247400000002</v>
      </c>
      <c r="O1364" s="4">
        <v>3.7323555900000001</v>
      </c>
      <c r="P1364" s="4" t="s">
        <v>795</v>
      </c>
      <c r="Q1364" s="4" t="s">
        <v>743</v>
      </c>
      <c r="R1364" s="4" t="s">
        <v>730</v>
      </c>
      <c r="S1364" s="2">
        <v>46174.474318043984</v>
      </c>
      <c r="T1364" s="5">
        <v>9.8287037037037041E-5</v>
      </c>
      <c r="U1364" s="4">
        <v>9.4217456877231598E-2</v>
      </c>
      <c r="V1364" s="4" t="s">
        <v>758</v>
      </c>
      <c r="W1364" s="4" t="s">
        <v>757</v>
      </c>
      <c r="X1364" s="6" t="s">
        <v>617</v>
      </c>
    </row>
    <row r="1365" spans="1:24">
      <c r="A1365" s="4" t="s">
        <v>1024</v>
      </c>
      <c r="B1365" s="4" t="s">
        <v>1025</v>
      </c>
      <c r="D1365" s="4" t="s">
        <v>716</v>
      </c>
      <c r="E1365" s="4" t="s">
        <v>717</v>
      </c>
      <c r="M1365" s="4" t="s">
        <v>757</v>
      </c>
      <c r="N1365" s="4">
        <v>-71.756523099999995</v>
      </c>
      <c r="O1365" s="4">
        <v>3.7304012800000002</v>
      </c>
      <c r="P1365" s="4" t="s">
        <v>795</v>
      </c>
      <c r="Q1365" s="4" t="s">
        <v>743</v>
      </c>
      <c r="R1365" s="4" t="s">
        <v>730</v>
      </c>
      <c r="S1365" s="2">
        <v>46174.474630543984</v>
      </c>
      <c r="T1365" s="5">
        <v>1.3888888888888889E-4</v>
      </c>
      <c r="U1365" s="4">
        <v>0.13494089245796204</v>
      </c>
      <c r="V1365" s="4" t="s">
        <v>847</v>
      </c>
      <c r="W1365" s="4" t="s">
        <v>757</v>
      </c>
      <c r="X1365" s="6" t="s">
        <v>617</v>
      </c>
    </row>
    <row r="1366" spans="1:24">
      <c r="A1366" s="4" t="s">
        <v>1024</v>
      </c>
      <c r="B1366" s="4" t="s">
        <v>1025</v>
      </c>
      <c r="D1366" s="4" t="s">
        <v>716</v>
      </c>
      <c r="E1366" s="4" t="s">
        <v>717</v>
      </c>
      <c r="M1366" s="4" t="s">
        <v>757</v>
      </c>
      <c r="N1366" s="4">
        <v>-71.75605392786558</v>
      </c>
      <c r="O1366" s="4">
        <v>3.7285934210982199</v>
      </c>
      <c r="P1366" s="4" t="s">
        <v>795</v>
      </c>
      <c r="Q1366" s="4" t="s">
        <v>743</v>
      </c>
      <c r="R1366" s="4" t="s">
        <v>730</v>
      </c>
      <c r="S1366" s="2">
        <v>46174.474844675926</v>
      </c>
      <c r="T1366" s="5">
        <v>3.9350694444444443E-4</v>
      </c>
      <c r="U1366" s="4">
        <v>0.38592952489852905</v>
      </c>
      <c r="V1366" s="4" t="s">
        <v>847</v>
      </c>
      <c r="W1366" s="4" t="s">
        <v>757</v>
      </c>
      <c r="X1366" s="6" t="s">
        <v>617</v>
      </c>
    </row>
    <row r="1367" spans="1:24">
      <c r="A1367" s="4" t="s">
        <v>1024</v>
      </c>
      <c r="B1367" s="4" t="s">
        <v>1025</v>
      </c>
      <c r="D1367" s="4" t="s">
        <v>716</v>
      </c>
      <c r="E1367" s="4" t="s">
        <v>717</v>
      </c>
      <c r="M1367" s="4" t="s">
        <v>757</v>
      </c>
      <c r="N1367" s="4">
        <v>-71.754067980000002</v>
      </c>
      <c r="O1367" s="4">
        <v>3.7236761079999998</v>
      </c>
      <c r="P1367" s="4" t="s">
        <v>795</v>
      </c>
      <c r="Q1367" s="4" t="s">
        <v>743</v>
      </c>
      <c r="R1367" s="4" t="s">
        <v>730</v>
      </c>
      <c r="S1367" s="2">
        <v>46174.475456886576</v>
      </c>
      <c r="T1367" s="5">
        <v>9.8449074074074069E-5</v>
      </c>
      <c r="U1367" s="4">
        <v>9.6562318503856659E-2</v>
      </c>
      <c r="V1367" s="4" t="s">
        <v>847</v>
      </c>
      <c r="W1367" s="4" t="s">
        <v>757</v>
      </c>
      <c r="X1367" s="6" t="s">
        <v>617</v>
      </c>
    </row>
    <row r="1368" spans="1:24">
      <c r="A1368" s="4" t="s">
        <v>1024</v>
      </c>
      <c r="B1368" s="4" t="s">
        <v>1025</v>
      </c>
      <c r="D1368" s="4" t="s">
        <v>716</v>
      </c>
      <c r="E1368" s="4" t="s">
        <v>717</v>
      </c>
      <c r="M1368" s="4" t="s">
        <v>757</v>
      </c>
      <c r="N1368" s="4">
        <v>-71.753060210566673</v>
      </c>
      <c r="O1368" s="4">
        <v>3.7215635726133334</v>
      </c>
      <c r="P1368" s="4" t="s">
        <v>795</v>
      </c>
      <c r="Q1368" s="4" t="s">
        <v>743</v>
      </c>
      <c r="R1368" s="4" t="s">
        <v>730</v>
      </c>
      <c r="S1368" s="2">
        <v>46174.475737800924</v>
      </c>
      <c r="T1368" s="5">
        <v>6.172453703703704E-5</v>
      </c>
      <c r="U1368" s="4">
        <v>5.8326691389083862E-2</v>
      </c>
      <c r="V1368" s="4" t="s">
        <v>758</v>
      </c>
      <c r="W1368" s="4" t="s">
        <v>757</v>
      </c>
      <c r="X1368" s="6" t="s">
        <v>617</v>
      </c>
    </row>
    <row r="1369" spans="1:24">
      <c r="A1369" s="4" t="s">
        <v>1024</v>
      </c>
      <c r="B1369" s="4" t="s">
        <v>1025</v>
      </c>
      <c r="D1369" s="4" t="s">
        <v>716</v>
      </c>
      <c r="E1369" s="4" t="s">
        <v>717</v>
      </c>
      <c r="M1369" s="4" t="s">
        <v>757</v>
      </c>
      <c r="N1369" s="4">
        <v>-71.747723901000001</v>
      </c>
      <c r="O1369" s="4">
        <v>3.7139608799614288</v>
      </c>
      <c r="P1369" s="4" t="s">
        <v>795</v>
      </c>
      <c r="Q1369" s="4" t="s">
        <v>743</v>
      </c>
      <c r="R1369" s="4" t="s">
        <v>730</v>
      </c>
      <c r="S1369" s="2">
        <v>46174.476976111109</v>
      </c>
      <c r="T1369" s="5">
        <v>9.6446759259259256E-5</v>
      </c>
      <c r="U1369" s="4">
        <v>9.2493481934070587E-2</v>
      </c>
      <c r="V1369" s="4" t="s">
        <v>758</v>
      </c>
      <c r="W1369" s="4" t="s">
        <v>757</v>
      </c>
      <c r="X1369" s="6" t="s">
        <v>617</v>
      </c>
    </row>
    <row r="1370" spans="1:24">
      <c r="A1370" s="4" t="s">
        <v>1024</v>
      </c>
      <c r="B1370" s="4" t="s">
        <v>1025</v>
      </c>
      <c r="D1370" s="4" t="s">
        <v>716</v>
      </c>
      <c r="E1370" s="4" t="s">
        <v>717</v>
      </c>
      <c r="M1370" s="4" t="s">
        <v>875</v>
      </c>
      <c r="N1370" s="4">
        <v>-71.743051499520007</v>
      </c>
      <c r="O1370" s="4">
        <v>3.713346030976</v>
      </c>
      <c r="P1370" s="4" t="s">
        <v>876</v>
      </c>
      <c r="Q1370" s="4" t="s">
        <v>877</v>
      </c>
      <c r="R1370" s="4" t="s">
        <v>720</v>
      </c>
      <c r="S1370" s="2">
        <v>46174.477602002313</v>
      </c>
      <c r="T1370" s="5">
        <v>6.4340277777777779E-4</v>
      </c>
      <c r="U1370" s="4">
        <v>0.36288627982139587</v>
      </c>
      <c r="V1370" s="4" t="s">
        <v>751</v>
      </c>
      <c r="W1370" s="4" t="s">
        <v>875</v>
      </c>
      <c r="X1370" s="6" t="s">
        <v>617</v>
      </c>
    </row>
    <row r="1371" spans="1:24">
      <c r="A1371" s="4" t="s">
        <v>1024</v>
      </c>
      <c r="B1371" s="4" t="s">
        <v>1025</v>
      </c>
      <c r="D1371" s="4" t="s">
        <v>716</v>
      </c>
      <c r="E1371" s="4" t="s">
        <v>717</v>
      </c>
      <c r="M1371" s="4" t="s">
        <v>875</v>
      </c>
      <c r="N1371" s="4">
        <v>-71.739410383061383</v>
      </c>
      <c r="O1371" s="4">
        <v>3.712560790654901</v>
      </c>
      <c r="P1371" s="4" t="s">
        <v>876</v>
      </c>
      <c r="Q1371" s="4" t="s">
        <v>877</v>
      </c>
      <c r="R1371" s="4" t="s">
        <v>720</v>
      </c>
      <c r="S1371" s="2">
        <v>46174.478352708335</v>
      </c>
      <c r="T1371" s="5">
        <v>2.4584490740740741E-4</v>
      </c>
      <c r="U1371" s="4">
        <v>0.1274825781583786</v>
      </c>
      <c r="V1371" s="4" t="s">
        <v>750</v>
      </c>
      <c r="W1371" s="4" t="s">
        <v>875</v>
      </c>
      <c r="X1371" s="6" t="s">
        <v>617</v>
      </c>
    </row>
    <row r="1372" spans="1:24">
      <c r="A1372" s="4" t="s">
        <v>1024</v>
      </c>
      <c r="B1372" s="4" t="s">
        <v>1025</v>
      </c>
      <c r="D1372" s="4" t="s">
        <v>716</v>
      </c>
      <c r="E1372" s="4" t="s">
        <v>717</v>
      </c>
      <c r="M1372" s="4" t="s">
        <v>875</v>
      </c>
      <c r="N1372" s="4">
        <v>-71.737876900000003</v>
      </c>
      <c r="O1372" s="4">
        <v>3.7120883500000001</v>
      </c>
      <c r="P1372" s="4" t="s">
        <v>876</v>
      </c>
      <c r="Q1372" s="4" t="s">
        <v>877</v>
      </c>
      <c r="R1372" s="4" t="s">
        <v>720</v>
      </c>
      <c r="S1372" s="2">
        <v>46174.478773946757</v>
      </c>
      <c r="T1372" s="5">
        <v>8.873842592592592E-5</v>
      </c>
      <c r="U1372" s="4">
        <v>4.730629175901413E-2</v>
      </c>
      <c r="V1372" s="4" t="s">
        <v>750</v>
      </c>
      <c r="W1372" s="4" t="s">
        <v>875</v>
      </c>
      <c r="X1372" s="6" t="s">
        <v>617</v>
      </c>
    </row>
    <row r="1373" spans="1:24">
      <c r="A1373" s="4" t="s">
        <v>1024</v>
      </c>
      <c r="B1373" s="4" t="s">
        <v>1025</v>
      </c>
      <c r="D1373" s="4" t="s">
        <v>716</v>
      </c>
      <c r="E1373" s="4" t="s">
        <v>717</v>
      </c>
      <c r="M1373" s="4" t="s">
        <v>875</v>
      </c>
      <c r="N1373" s="4">
        <v>-71.737284350774999</v>
      </c>
      <c r="O1373" s="4">
        <v>3.7118770251325</v>
      </c>
      <c r="P1373" s="4" t="s">
        <v>876</v>
      </c>
      <c r="Q1373" s="4" t="s">
        <v>877</v>
      </c>
      <c r="R1373" s="4" t="s">
        <v>720</v>
      </c>
      <c r="S1373" s="2">
        <v>46174.47890898148</v>
      </c>
      <c r="T1373" s="5">
        <v>1.3116898148148148E-4</v>
      </c>
      <c r="U1373" s="4">
        <v>6.5060585737228394E-2</v>
      </c>
      <c r="V1373" s="4" t="s">
        <v>761</v>
      </c>
      <c r="W1373" s="4" t="s">
        <v>875</v>
      </c>
      <c r="X1373" s="6" t="s">
        <v>617</v>
      </c>
    </row>
    <row r="1374" spans="1:24">
      <c r="A1374" s="4" t="s">
        <v>1024</v>
      </c>
      <c r="B1374" s="4" t="s">
        <v>1025</v>
      </c>
      <c r="D1374" s="4" t="s">
        <v>716</v>
      </c>
      <c r="E1374" s="4" t="s">
        <v>717</v>
      </c>
      <c r="M1374" s="4" t="s">
        <v>875</v>
      </c>
      <c r="N1374" s="4">
        <v>-71.736732500000002</v>
      </c>
      <c r="O1374" s="4">
        <v>3.7116785000000001</v>
      </c>
      <c r="P1374" s="4" t="s">
        <v>876</v>
      </c>
      <c r="Q1374" s="4" t="s">
        <v>877</v>
      </c>
      <c r="R1374" s="4" t="s">
        <v>720</v>
      </c>
      <c r="S1374" s="2">
        <v>46174.479040150465</v>
      </c>
      <c r="T1374" s="5">
        <v>4.4754629629629631E-4</v>
      </c>
      <c r="U1374" s="4">
        <v>0.23411601781845093</v>
      </c>
      <c r="V1374" s="4" t="s">
        <v>761</v>
      </c>
      <c r="W1374" s="4" t="s">
        <v>875</v>
      </c>
      <c r="X1374" s="6" t="s">
        <v>617</v>
      </c>
    </row>
    <row r="1375" spans="1:24">
      <c r="A1375" s="4" t="s">
        <v>1024</v>
      </c>
      <c r="B1375" s="4" t="s">
        <v>1025</v>
      </c>
      <c r="D1375" s="4" t="s">
        <v>716</v>
      </c>
      <c r="E1375" s="4" t="s">
        <v>717</v>
      </c>
      <c r="M1375" s="4" t="s">
        <v>685</v>
      </c>
      <c r="N1375" s="4">
        <v>-71.730033616994987</v>
      </c>
      <c r="O1375" s="4">
        <v>3.7093953665726209</v>
      </c>
      <c r="P1375" s="4" t="s">
        <v>795</v>
      </c>
      <c r="Q1375" s="4" t="s">
        <v>743</v>
      </c>
      <c r="R1375" s="4" t="s">
        <v>730</v>
      </c>
      <c r="S1375" s="2">
        <v>46174.480835995368</v>
      </c>
      <c r="T1375" s="5">
        <v>1.0416666666666667E-7</v>
      </c>
      <c r="U1375" s="4">
        <v>2.6703786716097966E-5</v>
      </c>
      <c r="V1375" s="4" t="s">
        <v>775</v>
      </c>
      <c r="W1375" s="4" t="s">
        <v>685</v>
      </c>
      <c r="X1375" s="6" t="s">
        <v>617</v>
      </c>
    </row>
    <row r="1376" spans="1:24">
      <c r="A1376" s="4" t="s">
        <v>1024</v>
      </c>
      <c r="B1376" s="4" t="s">
        <v>1025</v>
      </c>
      <c r="D1376" s="4" t="s">
        <v>716</v>
      </c>
      <c r="E1376" s="4" t="s">
        <v>717</v>
      </c>
      <c r="M1376" s="4" t="s">
        <v>757</v>
      </c>
      <c r="N1376" s="4">
        <v>-71.699565898402668</v>
      </c>
      <c r="O1376" s="4">
        <v>3.7120679540099832</v>
      </c>
      <c r="P1376" s="4" t="s">
        <v>795</v>
      </c>
      <c r="Q1376" s="4" t="s">
        <v>743</v>
      </c>
      <c r="R1376" s="4" t="s">
        <v>730</v>
      </c>
      <c r="S1376" s="2">
        <v>46174.487489317129</v>
      </c>
      <c r="T1376" s="5">
        <v>2.1226851851851851E-5</v>
      </c>
      <c r="U1376" s="4">
        <v>1.9950946792960167E-2</v>
      </c>
      <c r="V1376" s="4" t="s">
        <v>758</v>
      </c>
      <c r="W1376" s="4" t="s">
        <v>757</v>
      </c>
      <c r="X1376" s="6" t="s">
        <v>617</v>
      </c>
    </row>
    <row r="1377" spans="1:24">
      <c r="A1377" s="4" t="s">
        <v>1024</v>
      </c>
      <c r="B1377" s="4" t="s">
        <v>1025</v>
      </c>
      <c r="D1377" s="4" t="s">
        <v>716</v>
      </c>
      <c r="E1377" s="4" t="s">
        <v>717</v>
      </c>
      <c r="M1377" s="4" t="s">
        <v>757</v>
      </c>
      <c r="N1377" s="4">
        <v>-71.697692866666671</v>
      </c>
      <c r="O1377" s="4">
        <v>3.7120471033333331</v>
      </c>
      <c r="P1377" s="4" t="s">
        <v>795</v>
      </c>
      <c r="Q1377" s="4" t="s">
        <v>743</v>
      </c>
      <c r="R1377" s="4" t="s">
        <v>730</v>
      </c>
      <c r="S1377" s="2">
        <v>46174.487716886571</v>
      </c>
      <c r="T1377" s="5">
        <v>1.4271990740740741E-4</v>
      </c>
      <c r="U1377" s="4">
        <v>0.13793417811393738</v>
      </c>
      <c r="V1377" s="4" t="s">
        <v>774</v>
      </c>
      <c r="W1377" s="4" t="s">
        <v>757</v>
      </c>
      <c r="X1377" s="6" t="s">
        <v>617</v>
      </c>
    </row>
    <row r="1378" spans="1:24">
      <c r="A1378" s="4" t="s">
        <v>1024</v>
      </c>
      <c r="B1378" s="4" t="s">
        <v>1025</v>
      </c>
      <c r="D1378" s="4" t="s">
        <v>716</v>
      </c>
      <c r="E1378" s="4" t="s">
        <v>717</v>
      </c>
      <c r="M1378" s="4" t="s">
        <v>757</v>
      </c>
      <c r="N1378" s="4">
        <v>-71.705136600000003</v>
      </c>
      <c r="O1378" s="4">
        <v>3.7103494033333333</v>
      </c>
      <c r="P1378" s="4" t="s">
        <v>795</v>
      </c>
      <c r="Q1378" s="4" t="s">
        <v>743</v>
      </c>
      <c r="R1378" s="4" t="s">
        <v>730</v>
      </c>
      <c r="S1378" s="2">
        <v>46174.533370937497</v>
      </c>
      <c r="T1378" s="5">
        <v>5.3530092592592594E-5</v>
      </c>
      <c r="U1378" s="4">
        <v>4.7976355999708176E-2</v>
      </c>
      <c r="V1378" s="4" t="s">
        <v>758</v>
      </c>
      <c r="W1378" s="4" t="s">
        <v>757</v>
      </c>
      <c r="X1378" s="6" t="s">
        <v>617</v>
      </c>
    </row>
    <row r="1379" spans="1:24">
      <c r="A1379" s="4" t="s">
        <v>1024</v>
      </c>
      <c r="B1379" s="4" t="s">
        <v>1025</v>
      </c>
      <c r="D1379" s="4" t="s">
        <v>716</v>
      </c>
      <c r="E1379" s="4" t="s">
        <v>717</v>
      </c>
      <c r="M1379" s="4" t="s">
        <v>625</v>
      </c>
      <c r="N1379" s="4">
        <v>-71.734458900000007</v>
      </c>
      <c r="O1379" s="4">
        <v>3.71085048</v>
      </c>
      <c r="P1379" s="4" t="s">
        <v>795</v>
      </c>
      <c r="Q1379" s="4" t="s">
        <v>743</v>
      </c>
      <c r="R1379" s="4" t="s">
        <v>730</v>
      </c>
      <c r="S1379" s="2">
        <v>46174.539505312503</v>
      </c>
      <c r="T1379" s="5">
        <v>0</v>
      </c>
      <c r="U1379" s="4">
        <v>0</v>
      </c>
      <c r="V1379" s="4" t="s">
        <v>966</v>
      </c>
      <c r="W1379" s="4" t="s">
        <v>625</v>
      </c>
      <c r="X1379" s="6" t="s">
        <v>617</v>
      </c>
    </row>
    <row r="1380" spans="1:24">
      <c r="A1380" s="4" t="s">
        <v>1024</v>
      </c>
      <c r="B1380" s="4" t="s">
        <v>1025</v>
      </c>
      <c r="D1380" s="4" t="s">
        <v>716</v>
      </c>
      <c r="E1380" s="4" t="s">
        <v>717</v>
      </c>
      <c r="M1380" s="4" t="s">
        <v>875</v>
      </c>
      <c r="N1380" s="4">
        <v>-71.734773812930413</v>
      </c>
      <c r="O1380" s="4">
        <v>3.7109519108072582</v>
      </c>
      <c r="P1380" s="4" t="s">
        <v>876</v>
      </c>
      <c r="Q1380" s="4" t="s">
        <v>877</v>
      </c>
      <c r="R1380" s="4" t="s">
        <v>720</v>
      </c>
      <c r="S1380" s="2">
        <v>46174.539592534726</v>
      </c>
      <c r="T1380" s="5">
        <v>8.7855324074074073E-4</v>
      </c>
      <c r="U1380" s="4">
        <v>0.50196796655654907</v>
      </c>
      <c r="V1380" s="4" t="s">
        <v>850</v>
      </c>
      <c r="W1380" s="4" t="s">
        <v>875</v>
      </c>
      <c r="X1380" s="6" t="s">
        <v>617</v>
      </c>
    </row>
    <row r="1381" spans="1:24">
      <c r="A1381" s="4" t="s">
        <v>1024</v>
      </c>
      <c r="B1381" s="4" t="s">
        <v>1025</v>
      </c>
      <c r="D1381" s="4" t="s">
        <v>716</v>
      </c>
      <c r="E1381" s="4" t="s">
        <v>717</v>
      </c>
      <c r="M1381" s="4" t="s">
        <v>875</v>
      </c>
      <c r="N1381" s="4">
        <v>-71.739783134900009</v>
      </c>
      <c r="O1381" s="4">
        <v>3.7126808106159999</v>
      </c>
      <c r="P1381" s="4" t="s">
        <v>876</v>
      </c>
      <c r="Q1381" s="4" t="s">
        <v>877</v>
      </c>
      <c r="R1381" s="4" t="s">
        <v>720</v>
      </c>
      <c r="S1381" s="2">
        <v>46174.540684097221</v>
      </c>
      <c r="T1381" s="5">
        <v>6.2815972222222223E-4</v>
      </c>
      <c r="U1381" s="4">
        <v>0.37269529700279236</v>
      </c>
      <c r="V1381" s="4" t="s">
        <v>751</v>
      </c>
      <c r="W1381" s="4" t="s">
        <v>875</v>
      </c>
      <c r="X1381" s="6" t="s">
        <v>617</v>
      </c>
    </row>
    <row r="1382" spans="1:24">
      <c r="A1382" s="4" t="s">
        <v>1024</v>
      </c>
      <c r="B1382" s="4" t="s">
        <v>1025</v>
      </c>
      <c r="D1382" s="4" t="s">
        <v>716</v>
      </c>
      <c r="E1382" s="4" t="s">
        <v>717</v>
      </c>
      <c r="M1382" s="4" t="s">
        <v>685</v>
      </c>
      <c r="N1382" s="4">
        <v>-71.760938244794005</v>
      </c>
      <c r="O1382" s="4">
        <v>3.733450845071161</v>
      </c>
      <c r="P1382" s="4" t="s">
        <v>795</v>
      </c>
      <c r="Q1382" s="4" t="s">
        <v>743</v>
      </c>
      <c r="R1382" s="4" t="s">
        <v>730</v>
      </c>
      <c r="S1382" s="2">
        <v>46174.545696076391</v>
      </c>
      <c r="T1382" s="5">
        <v>1.2731481481481482E-7</v>
      </c>
      <c r="U1382" s="4">
        <v>9.4550116045866162E-5</v>
      </c>
      <c r="V1382" s="4" t="s">
        <v>1031</v>
      </c>
      <c r="W1382" s="4" t="s">
        <v>685</v>
      </c>
      <c r="X1382" s="6" t="s">
        <v>617</v>
      </c>
    </row>
    <row r="1383" spans="1:24">
      <c r="A1383" s="4" t="s">
        <v>1024</v>
      </c>
      <c r="B1383" s="4" t="s">
        <v>1025</v>
      </c>
      <c r="D1383" s="4" t="s">
        <v>716</v>
      </c>
      <c r="E1383" s="4" t="s">
        <v>717</v>
      </c>
      <c r="M1383" s="4" t="s">
        <v>757</v>
      </c>
      <c r="N1383" s="4">
        <v>-71.7529526</v>
      </c>
      <c r="O1383" s="4">
        <v>3.7661552399999998</v>
      </c>
      <c r="P1383" s="4" t="s">
        <v>872</v>
      </c>
      <c r="Q1383" s="4" t="s">
        <v>743</v>
      </c>
      <c r="R1383" s="4" t="s">
        <v>730</v>
      </c>
      <c r="S1383" s="2">
        <v>46174.554655659726</v>
      </c>
      <c r="T1383" s="5">
        <v>4.5140046296296296E-4</v>
      </c>
      <c r="U1383" s="4">
        <v>0.42918843030929565</v>
      </c>
      <c r="V1383" s="4" t="s">
        <v>758</v>
      </c>
      <c r="W1383" s="4" t="s">
        <v>757</v>
      </c>
      <c r="X1383" s="6" t="s">
        <v>617</v>
      </c>
    </row>
    <row r="1384" spans="1:24">
      <c r="A1384" s="4" t="s">
        <v>1024</v>
      </c>
      <c r="B1384" s="4" t="s">
        <v>1025</v>
      </c>
      <c r="D1384" s="4" t="s">
        <v>716</v>
      </c>
      <c r="E1384" s="4" t="s">
        <v>717</v>
      </c>
      <c r="M1384" s="4" t="s">
        <v>757</v>
      </c>
      <c r="N1384" s="4">
        <v>-71.743968949999996</v>
      </c>
      <c r="O1384" s="4">
        <v>3.770967245</v>
      </c>
      <c r="P1384" s="4" t="s">
        <v>872</v>
      </c>
      <c r="Q1384" s="4" t="s">
        <v>743</v>
      </c>
      <c r="R1384" s="4" t="s">
        <v>730</v>
      </c>
      <c r="S1384" s="2">
        <v>46174.555905671295</v>
      </c>
      <c r="T1384" s="5">
        <v>3.7807870370370371E-4</v>
      </c>
      <c r="U1384" s="4">
        <v>0.36634072661399841</v>
      </c>
      <c r="V1384" s="4" t="s">
        <v>774</v>
      </c>
      <c r="W1384" s="4" t="s">
        <v>757</v>
      </c>
      <c r="X1384" s="6" t="s">
        <v>617</v>
      </c>
    </row>
    <row r="1385" spans="1:24">
      <c r="A1385" s="4" t="s">
        <v>1024</v>
      </c>
      <c r="B1385" s="4" t="s">
        <v>1025</v>
      </c>
      <c r="D1385" s="4" t="s">
        <v>716</v>
      </c>
      <c r="E1385" s="4" t="s">
        <v>717</v>
      </c>
      <c r="M1385" s="4" t="s">
        <v>757</v>
      </c>
      <c r="N1385" s="4">
        <v>-71.738878834369999</v>
      </c>
      <c r="O1385" s="4">
        <v>3.7729124180959999</v>
      </c>
      <c r="P1385" s="4" t="s">
        <v>872</v>
      </c>
      <c r="Q1385" s="4" t="s">
        <v>743</v>
      </c>
      <c r="R1385" s="4" t="s">
        <v>730</v>
      </c>
      <c r="S1385" s="2">
        <v>46174.556584675927</v>
      </c>
      <c r="T1385" s="5">
        <v>6.6354166666666669E-5</v>
      </c>
      <c r="U1385" s="4">
        <v>6.0651510953903198E-2</v>
      </c>
      <c r="V1385" s="4" t="s">
        <v>758</v>
      </c>
      <c r="W1385" s="4" t="s">
        <v>757</v>
      </c>
      <c r="X1385" s="6" t="s">
        <v>617</v>
      </c>
    </row>
    <row r="1386" spans="1:24">
      <c r="A1386" s="4" t="s">
        <v>1024</v>
      </c>
      <c r="B1386" s="4" t="s">
        <v>1025</v>
      </c>
      <c r="D1386" s="4" t="s">
        <v>716</v>
      </c>
      <c r="E1386" s="4" t="s">
        <v>717</v>
      </c>
      <c r="M1386" s="4" t="s">
        <v>757</v>
      </c>
      <c r="N1386" s="4">
        <v>-71.73416395000001</v>
      </c>
      <c r="O1386" s="4">
        <v>3.7733566766666664</v>
      </c>
      <c r="P1386" s="4" t="s">
        <v>872</v>
      </c>
      <c r="Q1386" s="4" t="s">
        <v>743</v>
      </c>
      <c r="R1386" s="4" t="s">
        <v>730</v>
      </c>
      <c r="S1386" s="2">
        <v>46174.557190381944</v>
      </c>
      <c r="T1386" s="5">
        <v>5.6215277777777779E-5</v>
      </c>
      <c r="U1386" s="4">
        <v>5.0542138516902924E-2</v>
      </c>
      <c r="V1386" s="4" t="s">
        <v>758</v>
      </c>
      <c r="W1386" s="4" t="s">
        <v>757</v>
      </c>
      <c r="X1386" s="6" t="s">
        <v>617</v>
      </c>
    </row>
    <row r="1387" spans="1:24">
      <c r="A1387" s="4" t="s">
        <v>1024</v>
      </c>
      <c r="B1387" s="4" t="s">
        <v>1025</v>
      </c>
      <c r="D1387" s="4" t="s">
        <v>716</v>
      </c>
      <c r="E1387" s="4" t="s">
        <v>717</v>
      </c>
      <c r="M1387" s="4" t="s">
        <v>757</v>
      </c>
      <c r="N1387" s="4">
        <v>-71.725555400000005</v>
      </c>
      <c r="O1387" s="4">
        <v>3.7754824199999999</v>
      </c>
      <c r="P1387" s="4" t="s">
        <v>872</v>
      </c>
      <c r="Q1387" s="4" t="s">
        <v>743</v>
      </c>
      <c r="R1387" s="4" t="s">
        <v>730</v>
      </c>
      <c r="S1387" s="2">
        <v>46174.558347789352</v>
      </c>
      <c r="T1387" s="5">
        <v>6.7576388888888894E-4</v>
      </c>
      <c r="U1387" s="4">
        <v>0.66874855756759644</v>
      </c>
      <c r="V1387" s="4" t="s">
        <v>758</v>
      </c>
      <c r="W1387" s="4" t="s">
        <v>757</v>
      </c>
      <c r="X1387" s="6" t="s">
        <v>617</v>
      </c>
    </row>
    <row r="1388" spans="1:24">
      <c r="A1388" s="4" t="s">
        <v>1024</v>
      </c>
      <c r="B1388" s="4" t="s">
        <v>1025</v>
      </c>
      <c r="D1388" s="4" t="s">
        <v>716</v>
      </c>
      <c r="E1388" s="4" t="s">
        <v>717</v>
      </c>
      <c r="M1388" s="4" t="s">
        <v>625</v>
      </c>
      <c r="N1388" s="4">
        <v>-71.7141266</v>
      </c>
      <c r="O1388" s="4">
        <v>3.7776973200000001</v>
      </c>
      <c r="P1388" s="4" t="s">
        <v>872</v>
      </c>
      <c r="Q1388" s="4" t="s">
        <v>743</v>
      </c>
      <c r="R1388" s="4" t="s">
        <v>730</v>
      </c>
      <c r="S1388" s="2">
        <v>46174.559910289354</v>
      </c>
      <c r="T1388" s="5">
        <v>0</v>
      </c>
      <c r="U1388" s="4">
        <v>0</v>
      </c>
      <c r="V1388" s="4" t="s">
        <v>1032</v>
      </c>
      <c r="W1388" s="4" t="s">
        <v>625</v>
      </c>
      <c r="X1388" s="6" t="s">
        <v>617</v>
      </c>
    </row>
    <row r="1389" spans="1:24">
      <c r="A1389" s="4" t="s">
        <v>1024</v>
      </c>
      <c r="B1389" s="4" t="s">
        <v>1025</v>
      </c>
      <c r="D1389" s="4" t="s">
        <v>716</v>
      </c>
      <c r="E1389" s="4" t="s">
        <v>717</v>
      </c>
      <c r="M1389" s="4" t="s">
        <v>757</v>
      </c>
      <c r="N1389" s="4">
        <v>-71.676418350000006</v>
      </c>
      <c r="O1389" s="4">
        <v>3.7762523850000003</v>
      </c>
      <c r="P1389" s="4" t="s">
        <v>872</v>
      </c>
      <c r="Q1389" s="4" t="s">
        <v>743</v>
      </c>
      <c r="R1389" s="4" t="s">
        <v>730</v>
      </c>
      <c r="S1389" s="2">
        <v>46174.565824641206</v>
      </c>
      <c r="T1389" s="5">
        <v>3.8587962962962965E-5</v>
      </c>
      <c r="U1389" s="4">
        <v>3.6771010607481003E-2</v>
      </c>
      <c r="V1389" s="4" t="s">
        <v>758</v>
      </c>
      <c r="W1389" s="4" t="s">
        <v>757</v>
      </c>
      <c r="X1389" s="6" t="s">
        <v>617</v>
      </c>
    </row>
    <row r="1390" spans="1:24">
      <c r="A1390" s="4" t="s">
        <v>1024</v>
      </c>
      <c r="B1390" s="4" t="s">
        <v>1025</v>
      </c>
      <c r="D1390" s="4" t="s">
        <v>716</v>
      </c>
      <c r="E1390" s="4" t="s">
        <v>717</v>
      </c>
      <c r="M1390" s="4" t="s">
        <v>757</v>
      </c>
      <c r="N1390" s="4">
        <v>-71.671409642907136</v>
      </c>
      <c r="O1390" s="4">
        <v>3.773813344775653</v>
      </c>
      <c r="P1390" s="4" t="s">
        <v>910</v>
      </c>
      <c r="Q1390" s="4" t="s">
        <v>743</v>
      </c>
      <c r="R1390" s="4" t="s">
        <v>730</v>
      </c>
      <c r="S1390" s="2">
        <v>46174.566692696761</v>
      </c>
      <c r="T1390" s="5">
        <v>1.3888888888888889E-4</v>
      </c>
      <c r="U1390" s="4">
        <v>0.13248685002326965</v>
      </c>
      <c r="V1390" s="4" t="s">
        <v>758</v>
      </c>
      <c r="W1390" s="4" t="s">
        <v>757</v>
      </c>
      <c r="X1390" s="6" t="s">
        <v>617</v>
      </c>
    </row>
    <row r="1391" spans="1:24">
      <c r="A1391" s="4" t="s">
        <v>1024</v>
      </c>
      <c r="B1391" s="4" t="s">
        <v>1025</v>
      </c>
      <c r="D1391" s="4" t="s">
        <v>716</v>
      </c>
      <c r="E1391" s="4" t="s">
        <v>717</v>
      </c>
      <c r="M1391" s="4" t="s">
        <v>757</v>
      </c>
      <c r="N1391" s="4">
        <v>-71.666503899999995</v>
      </c>
      <c r="O1391" s="4">
        <v>3.7746771166666666</v>
      </c>
      <c r="P1391" s="4" t="s">
        <v>910</v>
      </c>
      <c r="Q1391" s="4" t="s">
        <v>743</v>
      </c>
      <c r="R1391" s="4" t="s">
        <v>730</v>
      </c>
      <c r="S1391" s="2">
        <v>46174.567294548608</v>
      </c>
      <c r="T1391" s="5">
        <v>1.3109953703703705E-4</v>
      </c>
      <c r="U1391" s="4">
        <v>0.12933981418609619</v>
      </c>
      <c r="V1391" s="4" t="s">
        <v>774</v>
      </c>
      <c r="W1391" s="4" t="s">
        <v>757</v>
      </c>
      <c r="X1391" s="6" t="s">
        <v>617</v>
      </c>
    </row>
    <row r="1392" spans="1:24">
      <c r="A1392" s="4" t="s">
        <v>1024</v>
      </c>
      <c r="B1392" s="4" t="s">
        <v>1025</v>
      </c>
      <c r="D1392" s="4" t="s">
        <v>716</v>
      </c>
      <c r="E1392" s="4" t="s">
        <v>717</v>
      </c>
      <c r="M1392" s="4" t="s">
        <v>762</v>
      </c>
      <c r="N1392" s="4">
        <v>-71.662310987944068</v>
      </c>
      <c r="O1392" s="4">
        <v>3.7743158184134682</v>
      </c>
      <c r="P1392" s="4" t="s">
        <v>1033</v>
      </c>
      <c r="Q1392" s="4" t="s">
        <v>735</v>
      </c>
      <c r="R1392" s="4" t="s">
        <v>730</v>
      </c>
      <c r="S1392" s="2">
        <v>46174.567799606484</v>
      </c>
      <c r="T1392" s="5">
        <v>2.8784722222222224E-5</v>
      </c>
      <c r="U1392" s="4">
        <v>2.39094328135252E-2</v>
      </c>
      <c r="V1392" s="4" t="s">
        <v>781</v>
      </c>
      <c r="W1392" s="4" t="s">
        <v>762</v>
      </c>
      <c r="X1392" s="6" t="s">
        <v>617</v>
      </c>
    </row>
    <row r="1393" spans="1:24">
      <c r="A1393" s="4" t="s">
        <v>1024</v>
      </c>
      <c r="B1393" s="4" t="s">
        <v>1025</v>
      </c>
      <c r="D1393" s="4" t="s">
        <v>716</v>
      </c>
      <c r="E1393" s="4" t="s">
        <v>717</v>
      </c>
      <c r="M1393" s="4" t="s">
        <v>762</v>
      </c>
      <c r="N1393" s="4">
        <v>-71.63903423851535</v>
      </c>
      <c r="O1393" s="4">
        <v>3.784383765216274</v>
      </c>
      <c r="P1393" s="4" t="s">
        <v>734</v>
      </c>
      <c r="Q1393" s="4" t="s">
        <v>735</v>
      </c>
      <c r="R1393" s="4" t="s">
        <v>730</v>
      </c>
      <c r="S1393" s="2">
        <v>46174.600889548608</v>
      </c>
      <c r="T1393" s="5">
        <v>6.6990740740740739E-5</v>
      </c>
      <c r="U1393" s="4">
        <v>4.7390781342983246E-2</v>
      </c>
      <c r="V1393" s="4" t="s">
        <v>763</v>
      </c>
      <c r="W1393" s="4" t="s">
        <v>762</v>
      </c>
      <c r="X1393" s="6" t="s">
        <v>617</v>
      </c>
    </row>
    <row r="1394" spans="1:24">
      <c r="A1394" s="4" t="s">
        <v>1024</v>
      </c>
      <c r="B1394" s="4" t="s">
        <v>1025</v>
      </c>
      <c r="D1394" s="4" t="s">
        <v>716</v>
      </c>
      <c r="E1394" s="4" t="s">
        <v>717</v>
      </c>
      <c r="M1394" s="4" t="s">
        <v>645</v>
      </c>
      <c r="N1394" s="4">
        <v>-71.636698594727008</v>
      </c>
      <c r="O1394" s="4">
        <v>3.7843085336877542</v>
      </c>
      <c r="P1394" s="4" t="s">
        <v>718</v>
      </c>
      <c r="Q1394" s="4" t="s">
        <v>719</v>
      </c>
      <c r="R1394" s="4" t="s">
        <v>720</v>
      </c>
      <c r="S1394" s="2">
        <v>46174.601336886575</v>
      </c>
      <c r="T1394" s="5">
        <v>3.6197916666666664E-4</v>
      </c>
      <c r="U1394" s="4">
        <v>0.18285225331783295</v>
      </c>
      <c r="V1394" s="4" t="s">
        <v>761</v>
      </c>
      <c r="W1394" s="4" t="s">
        <v>645</v>
      </c>
      <c r="X1394" s="6" t="s">
        <v>617</v>
      </c>
    </row>
    <row r="1395" spans="1:24">
      <c r="A1395" s="4" t="s">
        <v>1024</v>
      </c>
      <c r="B1395" s="4" t="s">
        <v>1025</v>
      </c>
      <c r="D1395" s="4" t="s">
        <v>716</v>
      </c>
      <c r="E1395" s="4" t="s">
        <v>717</v>
      </c>
      <c r="M1395" s="4" t="s">
        <v>762</v>
      </c>
      <c r="N1395" s="4">
        <v>-71.629516571566228</v>
      </c>
      <c r="O1395" s="4">
        <v>3.78260323838651</v>
      </c>
      <c r="P1395" s="4" t="s">
        <v>734</v>
      </c>
      <c r="Q1395" s="4" t="s">
        <v>735</v>
      </c>
      <c r="R1395" s="4" t="s">
        <v>730</v>
      </c>
      <c r="S1395" s="2">
        <v>46174.602903356485</v>
      </c>
      <c r="T1395" s="5">
        <v>1.9680555555555556E-4</v>
      </c>
      <c r="U1395" s="4">
        <v>0.14882791042327881</v>
      </c>
      <c r="V1395" s="4" t="s">
        <v>843</v>
      </c>
      <c r="W1395" s="4" t="s">
        <v>762</v>
      </c>
      <c r="X1395" s="6" t="s">
        <v>617</v>
      </c>
    </row>
    <row r="1396" spans="1:24">
      <c r="A1396" s="4" t="s">
        <v>1024</v>
      </c>
      <c r="B1396" s="4" t="s">
        <v>1025</v>
      </c>
      <c r="D1396" s="4" t="s">
        <v>716</v>
      </c>
      <c r="E1396" s="4" t="s">
        <v>717</v>
      </c>
      <c r="M1396" s="4" t="s">
        <v>645</v>
      </c>
      <c r="N1396" s="4">
        <v>-71.626289400000005</v>
      </c>
      <c r="O1396" s="4">
        <v>3.7806367866666668</v>
      </c>
      <c r="P1396" s="4" t="s">
        <v>722</v>
      </c>
      <c r="Q1396" s="4" t="s">
        <v>723</v>
      </c>
      <c r="R1396" s="4" t="s">
        <v>720</v>
      </c>
      <c r="S1396" s="2">
        <v>46174.603908437501</v>
      </c>
      <c r="T1396" s="5">
        <v>1.1184027777777778E-4</v>
      </c>
      <c r="U1396" s="4">
        <v>2.5474734604358673E-2</v>
      </c>
      <c r="V1396" s="4" t="s">
        <v>728</v>
      </c>
      <c r="W1396" s="4" t="s">
        <v>645</v>
      </c>
      <c r="X1396" s="6" t="s">
        <v>617</v>
      </c>
    </row>
    <row r="1397" spans="1:24">
      <c r="A1397" s="4" t="s">
        <v>1024</v>
      </c>
      <c r="B1397" s="4" t="s">
        <v>1025</v>
      </c>
      <c r="D1397" s="4" t="s">
        <v>716</v>
      </c>
      <c r="E1397" s="4" t="s">
        <v>717</v>
      </c>
      <c r="M1397" s="4" t="s">
        <v>614</v>
      </c>
      <c r="N1397" s="4">
        <v>-71.625717199999997</v>
      </c>
      <c r="O1397" s="4">
        <v>3.7807581400000001</v>
      </c>
      <c r="P1397" s="4" t="s">
        <v>726</v>
      </c>
      <c r="Q1397" s="4" t="s">
        <v>727</v>
      </c>
      <c r="R1397" s="4" t="s">
        <v>720</v>
      </c>
      <c r="S1397" s="2">
        <v>46174.604772685183</v>
      </c>
      <c r="T1397" s="5">
        <v>4.6527777777777774E-3</v>
      </c>
      <c r="U1397" s="4">
        <v>4.4040312059223652E-3</v>
      </c>
      <c r="V1397" s="4" t="s">
        <v>616</v>
      </c>
      <c r="W1397" s="4" t="s">
        <v>614</v>
      </c>
      <c r="X1397" s="6" t="s">
        <v>617</v>
      </c>
    </row>
    <row r="1398" spans="1:24">
      <c r="A1398" s="4" t="s">
        <v>1024</v>
      </c>
      <c r="B1398" s="4" t="s">
        <v>1025</v>
      </c>
      <c r="D1398" s="4" t="s">
        <v>716</v>
      </c>
      <c r="E1398" s="4" t="s">
        <v>717</v>
      </c>
      <c r="M1398" s="4" t="s">
        <v>762</v>
      </c>
      <c r="N1398" s="4">
        <v>-71.626948342052657</v>
      </c>
      <c r="O1398" s="4">
        <v>3.7810225197934022</v>
      </c>
      <c r="P1398" s="4" t="s">
        <v>802</v>
      </c>
      <c r="Q1398" s="4" t="s">
        <v>803</v>
      </c>
      <c r="R1398" s="4" t="s">
        <v>730</v>
      </c>
      <c r="S1398" s="2">
        <v>46174.610511979168</v>
      </c>
      <c r="T1398" s="5">
        <v>3.6157407407407404E-5</v>
      </c>
      <c r="U1398" s="4">
        <v>2.6757802814245224E-2</v>
      </c>
      <c r="V1398" s="4" t="s">
        <v>781</v>
      </c>
      <c r="W1398" s="4" t="s">
        <v>762</v>
      </c>
      <c r="X1398" s="6" t="s">
        <v>617</v>
      </c>
    </row>
    <row r="1399" spans="1:24">
      <c r="A1399" s="4" t="s">
        <v>1024</v>
      </c>
      <c r="B1399" s="4" t="s">
        <v>1025</v>
      </c>
      <c r="D1399" s="4" t="s">
        <v>716</v>
      </c>
      <c r="E1399" s="4" t="s">
        <v>717</v>
      </c>
      <c r="M1399" s="4" t="s">
        <v>762</v>
      </c>
      <c r="N1399" s="4">
        <v>-71.628304458111614</v>
      </c>
      <c r="O1399" s="4">
        <v>3.7812673450130028</v>
      </c>
      <c r="P1399" s="4" t="s">
        <v>734</v>
      </c>
      <c r="Q1399" s="4" t="s">
        <v>735</v>
      </c>
      <c r="R1399" s="4" t="s">
        <v>730</v>
      </c>
      <c r="S1399" s="2">
        <v>46174.611013275462</v>
      </c>
      <c r="T1399" s="5">
        <v>3.3153935185185185E-4</v>
      </c>
      <c r="U1399" s="4">
        <v>0.29928857088088989</v>
      </c>
      <c r="V1399" s="4" t="s">
        <v>774</v>
      </c>
      <c r="W1399" s="4" t="s">
        <v>762</v>
      </c>
      <c r="X1399" s="6" t="s">
        <v>617</v>
      </c>
    </row>
    <row r="1400" spans="1:24">
      <c r="A1400" s="4" t="s">
        <v>1024</v>
      </c>
      <c r="B1400" s="4" t="s">
        <v>1025</v>
      </c>
      <c r="D1400" s="4" t="s">
        <v>716</v>
      </c>
      <c r="E1400" s="4" t="s">
        <v>717</v>
      </c>
      <c r="M1400" s="4" t="s">
        <v>757</v>
      </c>
      <c r="N1400" s="4">
        <v>-71.629371633333335</v>
      </c>
      <c r="O1400" s="4">
        <v>3.7824921599999999</v>
      </c>
      <c r="P1400" s="4" t="s">
        <v>734</v>
      </c>
      <c r="Q1400" s="4" t="s">
        <v>735</v>
      </c>
      <c r="R1400" s="4" t="s">
        <v>730</v>
      </c>
      <c r="S1400" s="2">
        <v>46174.611215578705</v>
      </c>
      <c r="T1400" s="5">
        <v>6.172453703703704E-5</v>
      </c>
      <c r="U1400" s="4">
        <v>6.0546964406967163E-2</v>
      </c>
      <c r="V1400" s="4" t="s">
        <v>774</v>
      </c>
      <c r="W1400" s="4" t="s">
        <v>757</v>
      </c>
      <c r="X1400" s="6" t="s">
        <v>617</v>
      </c>
    </row>
    <row r="1401" spans="1:24">
      <c r="A1401" s="4" t="s">
        <v>1024</v>
      </c>
      <c r="B1401" s="4" t="s">
        <v>1025</v>
      </c>
      <c r="D1401" s="4" t="s">
        <v>716</v>
      </c>
      <c r="E1401" s="4" t="s">
        <v>717</v>
      </c>
      <c r="M1401" s="4" t="s">
        <v>762</v>
      </c>
      <c r="N1401" s="4">
        <v>-71.630686678000004</v>
      </c>
      <c r="O1401" s="4">
        <v>3.7834050803750001</v>
      </c>
      <c r="P1401" s="4" t="s">
        <v>734</v>
      </c>
      <c r="Q1401" s="4" t="s">
        <v>735</v>
      </c>
      <c r="R1401" s="4" t="s">
        <v>730</v>
      </c>
      <c r="S1401" s="2">
        <v>46174.611455879633</v>
      </c>
      <c r="T1401" s="5">
        <v>9.8148148148148151E-5</v>
      </c>
      <c r="U1401" s="4">
        <v>8.2536116242408752E-2</v>
      </c>
      <c r="V1401" s="4" t="s">
        <v>798</v>
      </c>
      <c r="W1401" s="4" t="s">
        <v>762</v>
      </c>
      <c r="X1401" s="6" t="s">
        <v>617</v>
      </c>
    </row>
    <row r="1402" spans="1:24">
      <c r="A1402" s="4" t="s">
        <v>1024</v>
      </c>
      <c r="B1402" s="4" t="s">
        <v>1025</v>
      </c>
      <c r="D1402" s="4" t="s">
        <v>716</v>
      </c>
      <c r="E1402" s="4" t="s">
        <v>717</v>
      </c>
      <c r="M1402" s="4" t="s">
        <v>762</v>
      </c>
      <c r="N1402" s="4">
        <v>-71.632324229999995</v>
      </c>
      <c r="O1402" s="4">
        <v>3.7837707090000001</v>
      </c>
      <c r="P1402" s="4" t="s">
        <v>734</v>
      </c>
      <c r="Q1402" s="4" t="s">
        <v>735</v>
      </c>
      <c r="R1402" s="4" t="s">
        <v>730</v>
      </c>
      <c r="S1402" s="2">
        <v>46174.611729849537</v>
      </c>
      <c r="T1402" s="5">
        <v>4.5138888888888887E-5</v>
      </c>
      <c r="U1402" s="4">
        <v>3.475816547870636E-2</v>
      </c>
      <c r="V1402" s="4" t="s">
        <v>781</v>
      </c>
      <c r="W1402" s="4" t="s">
        <v>762</v>
      </c>
      <c r="X1402" s="6" t="s">
        <v>617</v>
      </c>
    </row>
    <row r="1403" spans="1:24">
      <c r="A1403" s="4" t="s">
        <v>1024</v>
      </c>
      <c r="B1403" s="4" t="s">
        <v>1025</v>
      </c>
      <c r="D1403" s="4" t="s">
        <v>716</v>
      </c>
      <c r="E1403" s="4" t="s">
        <v>717</v>
      </c>
      <c r="M1403" s="4" t="s">
        <v>762</v>
      </c>
      <c r="N1403" s="4">
        <v>-71.632785005658874</v>
      </c>
      <c r="O1403" s="4">
        <v>3.7838477599120175</v>
      </c>
      <c r="P1403" s="4" t="s">
        <v>734</v>
      </c>
      <c r="Q1403" s="4" t="s">
        <v>735</v>
      </c>
      <c r="R1403" s="4" t="s">
        <v>730</v>
      </c>
      <c r="S1403" s="2">
        <v>46174.611798136575</v>
      </c>
      <c r="T1403" s="5">
        <v>5.4656249999999996E-4</v>
      </c>
      <c r="U1403" s="4">
        <v>0.47537612915039063</v>
      </c>
      <c r="V1403" s="4" t="s">
        <v>758</v>
      </c>
      <c r="W1403" s="4" t="s">
        <v>762</v>
      </c>
      <c r="X1403" s="6" t="s">
        <v>617</v>
      </c>
    </row>
    <row r="1404" spans="1:24">
      <c r="A1404" s="4" t="s">
        <v>1024</v>
      </c>
      <c r="B1404" s="4" t="s">
        <v>1025</v>
      </c>
      <c r="D1404" s="4" t="s">
        <v>716</v>
      </c>
      <c r="E1404" s="4" t="s">
        <v>717</v>
      </c>
      <c r="M1404" s="4" t="s">
        <v>757</v>
      </c>
      <c r="N1404" s="4">
        <v>-71.634033199066593</v>
      </c>
      <c r="O1404" s="4">
        <v>3.784047297905659</v>
      </c>
      <c r="P1404" s="4" t="s">
        <v>734</v>
      </c>
      <c r="Q1404" s="4" t="s">
        <v>735</v>
      </c>
      <c r="R1404" s="4" t="s">
        <v>730</v>
      </c>
      <c r="S1404" s="2">
        <v>46174.611963483796</v>
      </c>
      <c r="T1404" s="5">
        <v>4.2986111111111114E-5</v>
      </c>
      <c r="U1404" s="4">
        <v>3.9179515093564987E-2</v>
      </c>
      <c r="V1404" s="4" t="s">
        <v>758</v>
      </c>
      <c r="W1404" s="4" t="s">
        <v>757</v>
      </c>
      <c r="X1404" s="6" t="s">
        <v>617</v>
      </c>
    </row>
    <row r="1405" spans="1:24">
      <c r="A1405" s="4" t="s">
        <v>1024</v>
      </c>
      <c r="B1405" s="4" t="s">
        <v>1025</v>
      </c>
      <c r="D1405" s="4" t="s">
        <v>716</v>
      </c>
      <c r="E1405" s="4" t="s">
        <v>717</v>
      </c>
      <c r="M1405" s="4" t="s">
        <v>645</v>
      </c>
      <c r="N1405" s="4">
        <v>-71.635059355435303</v>
      </c>
      <c r="O1405" s="4">
        <v>3.78424184074</v>
      </c>
      <c r="P1405" s="4" t="s">
        <v>718</v>
      </c>
      <c r="Q1405" s="4" t="s">
        <v>719</v>
      </c>
      <c r="R1405" s="4" t="s">
        <v>720</v>
      </c>
      <c r="S1405" s="2">
        <v>46174.612090937502</v>
      </c>
      <c r="T1405" s="5">
        <v>2.0962962962962962E-4</v>
      </c>
      <c r="U1405" s="4">
        <v>0.18261578679084778</v>
      </c>
      <c r="V1405" s="4" t="s">
        <v>780</v>
      </c>
      <c r="W1405" s="4" t="s">
        <v>645</v>
      </c>
      <c r="X1405" s="6" t="s">
        <v>617</v>
      </c>
    </row>
    <row r="1406" spans="1:24">
      <c r="A1406" s="4" t="s">
        <v>1024</v>
      </c>
      <c r="B1406" s="4" t="s">
        <v>1025</v>
      </c>
      <c r="D1406" s="4" t="s">
        <v>716</v>
      </c>
      <c r="E1406" s="4" t="s">
        <v>717</v>
      </c>
      <c r="M1406" s="4" t="s">
        <v>762</v>
      </c>
      <c r="N1406" s="4">
        <v>-71.637390134339057</v>
      </c>
      <c r="O1406" s="4">
        <v>3.7843767353308886</v>
      </c>
      <c r="P1406" s="4" t="s">
        <v>734</v>
      </c>
      <c r="Q1406" s="4" t="s">
        <v>735</v>
      </c>
      <c r="R1406" s="4" t="s">
        <v>730</v>
      </c>
      <c r="S1406" s="2">
        <v>46174.612399999998</v>
      </c>
      <c r="T1406" s="5">
        <v>1.7359953703703705E-4</v>
      </c>
      <c r="U1406" s="4">
        <v>0.12637390196323395</v>
      </c>
      <c r="V1406" s="4" t="s">
        <v>808</v>
      </c>
      <c r="W1406" s="4" t="s">
        <v>762</v>
      </c>
      <c r="X1406" s="6" t="s">
        <v>617</v>
      </c>
    </row>
    <row r="1407" spans="1:24">
      <c r="A1407" s="4" t="s">
        <v>1024</v>
      </c>
      <c r="B1407" s="4" t="s">
        <v>1025</v>
      </c>
      <c r="D1407" s="4" t="s">
        <v>716</v>
      </c>
      <c r="E1407" s="4" t="s">
        <v>717</v>
      </c>
      <c r="M1407" s="4" t="s">
        <v>762</v>
      </c>
      <c r="N1407" s="4">
        <v>-71.638526900000002</v>
      </c>
      <c r="O1407" s="4">
        <v>3.7843048600000002</v>
      </c>
      <c r="P1407" s="4" t="s">
        <v>734</v>
      </c>
      <c r="Q1407" s="4" t="s">
        <v>735</v>
      </c>
      <c r="R1407" s="4" t="s">
        <v>730</v>
      </c>
      <c r="S1407" s="2">
        <v>46174.612573599537</v>
      </c>
      <c r="T1407" s="5">
        <v>2.562847222222222E-4</v>
      </c>
      <c r="U1407" s="4">
        <v>0.19119997322559357</v>
      </c>
      <c r="V1407" s="4" t="s">
        <v>808</v>
      </c>
      <c r="W1407" s="4" t="s">
        <v>762</v>
      </c>
      <c r="X1407" s="6" t="s">
        <v>617</v>
      </c>
    </row>
    <row r="1408" spans="1:24">
      <c r="A1408" s="4" t="s">
        <v>1024</v>
      </c>
      <c r="B1408" s="4" t="s">
        <v>1025</v>
      </c>
      <c r="D1408" s="4" t="s">
        <v>716</v>
      </c>
      <c r="E1408" s="4" t="s">
        <v>717</v>
      </c>
      <c r="M1408" s="4" t="s">
        <v>762</v>
      </c>
      <c r="N1408" s="4">
        <v>-71.64462468848653</v>
      </c>
      <c r="O1408" s="4">
        <v>3.7817000622498393</v>
      </c>
      <c r="P1408" s="4" t="s">
        <v>734</v>
      </c>
      <c r="Q1408" s="4" t="s">
        <v>735</v>
      </c>
      <c r="R1408" s="4" t="s">
        <v>730</v>
      </c>
      <c r="S1408" s="2">
        <v>46174.613910416665</v>
      </c>
      <c r="T1408" s="5">
        <v>5.2106481481481481E-5</v>
      </c>
      <c r="U1408" s="4">
        <v>3.6778297275304794E-2</v>
      </c>
      <c r="V1408" s="4" t="s">
        <v>763</v>
      </c>
      <c r="W1408" s="4" t="s">
        <v>762</v>
      </c>
      <c r="X1408" s="6" t="s">
        <v>617</v>
      </c>
    </row>
    <row r="1409" spans="1:24">
      <c r="A1409" s="4" t="s">
        <v>1024</v>
      </c>
      <c r="B1409" s="4" t="s">
        <v>1025</v>
      </c>
      <c r="D1409" s="4" t="s">
        <v>716</v>
      </c>
      <c r="E1409" s="4" t="s">
        <v>717</v>
      </c>
      <c r="M1409" s="4" t="s">
        <v>757</v>
      </c>
      <c r="N1409" s="4">
        <v>-71.642982500000002</v>
      </c>
      <c r="O1409" s="4">
        <v>3.7664165500000002</v>
      </c>
      <c r="P1409" s="4" t="s">
        <v>795</v>
      </c>
      <c r="Q1409" s="4" t="s">
        <v>743</v>
      </c>
      <c r="R1409" s="4" t="s">
        <v>730</v>
      </c>
      <c r="S1409" s="2">
        <v>46174.6213121412</v>
      </c>
      <c r="T1409" s="5">
        <v>1.1851851851851852E-4</v>
      </c>
      <c r="U1409" s="4">
        <v>0.11331198364496231</v>
      </c>
      <c r="V1409" s="4" t="s">
        <v>774</v>
      </c>
      <c r="W1409" s="4" t="s">
        <v>757</v>
      </c>
      <c r="X1409" s="6" t="s">
        <v>617</v>
      </c>
    </row>
    <row r="1410" spans="1:24">
      <c r="A1410" s="4" t="s">
        <v>1024</v>
      </c>
      <c r="B1410" s="4" t="s">
        <v>1025</v>
      </c>
      <c r="D1410" s="4" t="s">
        <v>716</v>
      </c>
      <c r="E1410" s="4" t="s">
        <v>717</v>
      </c>
      <c r="M1410" s="4" t="s">
        <v>757</v>
      </c>
      <c r="N1410" s="4">
        <v>-71.640686000000002</v>
      </c>
      <c r="O1410" s="4">
        <v>3.7643060699999999</v>
      </c>
      <c r="P1410" s="4" t="s">
        <v>795</v>
      </c>
      <c r="Q1410" s="4" t="s">
        <v>743</v>
      </c>
      <c r="R1410" s="4" t="s">
        <v>730</v>
      </c>
      <c r="S1410" s="2">
        <v>46174.621774988424</v>
      </c>
      <c r="T1410" s="5">
        <v>1.3518634259259258E-3</v>
      </c>
      <c r="U1410" s="4">
        <v>1.3837499618530273</v>
      </c>
      <c r="V1410" s="4" t="s">
        <v>849</v>
      </c>
      <c r="W1410" s="4" t="s">
        <v>757</v>
      </c>
      <c r="X1410" s="6" t="s">
        <v>617</v>
      </c>
    </row>
    <row r="1411" spans="1:24">
      <c r="A1411" s="4" t="s">
        <v>1024</v>
      </c>
      <c r="B1411" s="4" t="s">
        <v>1025</v>
      </c>
      <c r="D1411" s="4" t="s">
        <v>716</v>
      </c>
      <c r="E1411" s="4" t="s">
        <v>717</v>
      </c>
      <c r="M1411" s="4" t="s">
        <v>757</v>
      </c>
      <c r="N1411" s="4">
        <v>-71.638150711102227</v>
      </c>
      <c r="O1411" s="4">
        <v>3.7509091267893582</v>
      </c>
      <c r="P1411" s="4" t="s">
        <v>795</v>
      </c>
      <c r="Q1411" s="4" t="s">
        <v>743</v>
      </c>
      <c r="R1411" s="4" t="s">
        <v>730</v>
      </c>
      <c r="S1411" s="2">
        <v>46174.623425625003</v>
      </c>
      <c r="T1411" s="5">
        <v>3.9178240740740741E-5</v>
      </c>
      <c r="U1411" s="4">
        <v>3.7331942468881607E-2</v>
      </c>
      <c r="V1411" s="4" t="s">
        <v>758</v>
      </c>
      <c r="W1411" s="4" t="s">
        <v>757</v>
      </c>
      <c r="X1411" s="6" t="s">
        <v>617</v>
      </c>
    </row>
    <row r="1412" spans="1:24">
      <c r="A1412" s="4" t="s">
        <v>1024</v>
      </c>
      <c r="B1412" s="4" t="s">
        <v>1025</v>
      </c>
      <c r="D1412" s="4" t="s">
        <v>716</v>
      </c>
      <c r="E1412" s="4" t="s">
        <v>717</v>
      </c>
      <c r="M1412" s="4" t="s">
        <v>757</v>
      </c>
      <c r="N1412" s="4">
        <v>-71.638614625000002</v>
      </c>
      <c r="O1412" s="4">
        <v>3.7486473875000001</v>
      </c>
      <c r="P1412" s="4" t="s">
        <v>795</v>
      </c>
      <c r="Q1412" s="4" t="s">
        <v>743</v>
      </c>
      <c r="R1412" s="4" t="s">
        <v>730</v>
      </c>
      <c r="S1412" s="2">
        <v>46174.623710752312</v>
      </c>
      <c r="T1412" s="5">
        <v>4.4386574074074077E-4</v>
      </c>
      <c r="U1412" s="4">
        <v>0.44560474157333374</v>
      </c>
      <c r="V1412" s="4" t="s">
        <v>848</v>
      </c>
      <c r="W1412" s="4" t="s">
        <v>757</v>
      </c>
      <c r="X1412" s="6" t="s">
        <v>617</v>
      </c>
    </row>
    <row r="1413" spans="1:24">
      <c r="A1413" s="4" t="s">
        <v>1024</v>
      </c>
      <c r="B1413" s="4" t="s">
        <v>1025</v>
      </c>
      <c r="D1413" s="4" t="s">
        <v>716</v>
      </c>
      <c r="E1413" s="4" t="s">
        <v>717</v>
      </c>
      <c r="M1413" s="4" t="s">
        <v>757</v>
      </c>
      <c r="N1413" s="4">
        <v>-71.636344899999997</v>
      </c>
      <c r="O1413" s="4">
        <v>3.74502325</v>
      </c>
      <c r="P1413" s="4" t="s">
        <v>795</v>
      </c>
      <c r="Q1413" s="4" t="s">
        <v>743</v>
      </c>
      <c r="R1413" s="4" t="s">
        <v>730</v>
      </c>
      <c r="S1413" s="2">
        <v>46174.624217245371</v>
      </c>
      <c r="T1413" s="5">
        <v>5.3613425925925931E-4</v>
      </c>
      <c r="U1413" s="4">
        <v>0.54894256591796875</v>
      </c>
      <c r="V1413" s="4" t="s">
        <v>778</v>
      </c>
      <c r="W1413" s="4" t="s">
        <v>757</v>
      </c>
      <c r="X1413" s="6" t="s">
        <v>617</v>
      </c>
    </row>
    <row r="1414" spans="1:24">
      <c r="A1414" s="4" t="s">
        <v>1024</v>
      </c>
      <c r="B1414" s="4" t="s">
        <v>1025</v>
      </c>
      <c r="D1414" s="4" t="s">
        <v>716</v>
      </c>
      <c r="E1414" s="4" t="s">
        <v>717</v>
      </c>
      <c r="M1414" s="4" t="s">
        <v>685</v>
      </c>
      <c r="N1414" s="4">
        <v>-71.636260895334885</v>
      </c>
      <c r="O1414" s="4">
        <v>3.7402444612895702</v>
      </c>
      <c r="P1414" s="4" t="s">
        <v>856</v>
      </c>
      <c r="Q1414" s="4" t="s">
        <v>743</v>
      </c>
      <c r="R1414" s="4" t="s">
        <v>730</v>
      </c>
      <c r="S1414" s="2">
        <v>46174.6248046412</v>
      </c>
      <c r="T1414" s="5">
        <v>2.1759259259259257E-6</v>
      </c>
      <c r="U1414" s="4">
        <v>2.0070152822881937E-3</v>
      </c>
      <c r="V1414" s="4" t="s">
        <v>1034</v>
      </c>
      <c r="W1414" s="4" t="s">
        <v>685</v>
      </c>
      <c r="X1414" s="6" t="s">
        <v>617</v>
      </c>
    </row>
    <row r="1415" spans="1:24">
      <c r="A1415" s="4" t="s">
        <v>1024</v>
      </c>
      <c r="B1415" s="4" t="s">
        <v>1025</v>
      </c>
      <c r="D1415" s="4" t="s">
        <v>716</v>
      </c>
      <c r="E1415" s="4" t="s">
        <v>717</v>
      </c>
      <c r="M1415" s="4" t="s">
        <v>757</v>
      </c>
      <c r="N1415" s="4">
        <v>-71.636245700000003</v>
      </c>
      <c r="O1415" s="4">
        <v>3.74022722</v>
      </c>
      <c r="P1415" s="4" t="s">
        <v>856</v>
      </c>
      <c r="Q1415" s="4" t="s">
        <v>743</v>
      </c>
      <c r="R1415" s="4" t="s">
        <v>730</v>
      </c>
      <c r="S1415" s="2">
        <v>46174.62480740741</v>
      </c>
      <c r="T1415" s="5">
        <v>1.8286921296296295E-3</v>
      </c>
      <c r="U1415" s="4">
        <v>1.9740984439849854</v>
      </c>
      <c r="V1415" s="4" t="s">
        <v>842</v>
      </c>
      <c r="W1415" s="4" t="s">
        <v>757</v>
      </c>
      <c r="X1415" s="6" t="s">
        <v>617</v>
      </c>
    </row>
    <row r="1416" spans="1:24">
      <c r="A1416" s="4" t="s">
        <v>1024</v>
      </c>
      <c r="B1416" s="4" t="s">
        <v>1025</v>
      </c>
      <c r="D1416" s="4" t="s">
        <v>716</v>
      </c>
      <c r="E1416" s="4" t="s">
        <v>717</v>
      </c>
      <c r="M1416" s="4" t="s">
        <v>685</v>
      </c>
      <c r="N1416" s="4">
        <v>-71.636247658439615</v>
      </c>
      <c r="O1416" s="4">
        <v>3.7402158969692421</v>
      </c>
      <c r="P1416" s="4" t="s">
        <v>856</v>
      </c>
      <c r="Q1416" s="4" t="s">
        <v>743</v>
      </c>
      <c r="R1416" s="4" t="s">
        <v>730</v>
      </c>
      <c r="S1416" s="2">
        <v>46174.624808726854</v>
      </c>
      <c r="T1416" s="5">
        <v>1.5046296296296296E-6</v>
      </c>
      <c r="U1416" s="4">
        <v>1.4560871059074998E-3</v>
      </c>
      <c r="V1416" s="4" t="s">
        <v>1035</v>
      </c>
      <c r="W1416" s="4" t="s">
        <v>685</v>
      </c>
      <c r="X1416" s="6" t="s">
        <v>617</v>
      </c>
    </row>
    <row r="1417" spans="1:24">
      <c r="A1417" s="4" t="s">
        <v>1024</v>
      </c>
      <c r="B1417" s="4" t="s">
        <v>1025</v>
      </c>
      <c r="D1417" s="4" t="s">
        <v>716</v>
      </c>
      <c r="E1417" s="4" t="s">
        <v>717</v>
      </c>
      <c r="M1417" s="4" t="s">
        <v>757</v>
      </c>
      <c r="N1417" s="4">
        <v>-71.640275540409078</v>
      </c>
      <c r="O1417" s="4">
        <v>3.7244749519306559</v>
      </c>
      <c r="P1417" s="4" t="s">
        <v>795</v>
      </c>
      <c r="Q1417" s="4" t="s">
        <v>743</v>
      </c>
      <c r="R1417" s="4" t="s">
        <v>730</v>
      </c>
      <c r="S1417" s="2">
        <v>46174.626700856483</v>
      </c>
      <c r="T1417" s="5">
        <v>7.5700231481481484E-4</v>
      </c>
      <c r="U1417" s="4">
        <v>0.77113133668899536</v>
      </c>
      <c r="V1417" s="4" t="s">
        <v>848</v>
      </c>
      <c r="W1417" s="4" t="s">
        <v>757</v>
      </c>
      <c r="X1417" s="6" t="s">
        <v>617</v>
      </c>
    </row>
    <row r="1418" spans="1:24">
      <c r="A1418" s="4" t="s">
        <v>1024</v>
      </c>
      <c r="B1418" s="4" t="s">
        <v>1025</v>
      </c>
      <c r="D1418" s="4" t="s">
        <v>716</v>
      </c>
      <c r="E1418" s="4" t="s">
        <v>717</v>
      </c>
      <c r="M1418" s="4" t="s">
        <v>757</v>
      </c>
      <c r="N1418" s="4">
        <v>-71.634285000000006</v>
      </c>
      <c r="O1418" s="4">
        <v>3.7243392499999999</v>
      </c>
      <c r="P1418" s="4" t="s">
        <v>795</v>
      </c>
      <c r="Q1418" s="4" t="s">
        <v>743</v>
      </c>
      <c r="R1418" s="4" t="s">
        <v>730</v>
      </c>
      <c r="S1418" s="2">
        <v>46174.627457858798</v>
      </c>
      <c r="T1418" s="5">
        <v>1.9677083333333333E-4</v>
      </c>
      <c r="U1418" s="4">
        <v>0.19117076694965363</v>
      </c>
      <c r="V1418" s="4" t="s">
        <v>758</v>
      </c>
      <c r="W1418" s="4" t="s">
        <v>757</v>
      </c>
      <c r="X1418" s="6" t="s">
        <v>617</v>
      </c>
    </row>
    <row r="1419" spans="1:24">
      <c r="A1419" s="4" t="s">
        <v>1024</v>
      </c>
      <c r="B1419" s="4" t="s">
        <v>1025</v>
      </c>
      <c r="D1419" s="4" t="s">
        <v>716</v>
      </c>
      <c r="E1419" s="4" t="s">
        <v>717</v>
      </c>
      <c r="M1419" s="4" t="s">
        <v>757</v>
      </c>
      <c r="N1419" s="4">
        <v>-71.63361359999999</v>
      </c>
      <c r="O1419" s="4">
        <v>3.7215434300000001</v>
      </c>
      <c r="P1419" s="4" t="s">
        <v>795</v>
      </c>
      <c r="Q1419" s="4" t="s">
        <v>743</v>
      </c>
      <c r="R1419" s="4" t="s">
        <v>730</v>
      </c>
      <c r="S1419" s="2">
        <v>46174.627805081022</v>
      </c>
      <c r="T1419" s="5">
        <v>8.1297453703703707E-4</v>
      </c>
      <c r="U1419" s="4">
        <v>0.82071107625961304</v>
      </c>
      <c r="V1419" s="4" t="s">
        <v>848</v>
      </c>
      <c r="W1419" s="4" t="s">
        <v>757</v>
      </c>
      <c r="X1419" s="6" t="s">
        <v>617</v>
      </c>
    </row>
    <row r="1420" spans="1:24">
      <c r="A1420" s="4" t="s">
        <v>1024</v>
      </c>
      <c r="B1420" s="4" t="s">
        <v>1025</v>
      </c>
      <c r="D1420" s="4" t="s">
        <v>716</v>
      </c>
      <c r="E1420" s="4" t="s">
        <v>717</v>
      </c>
      <c r="M1420" s="4" t="s">
        <v>757</v>
      </c>
      <c r="N1420" s="4">
        <v>-71.627661140000001</v>
      </c>
      <c r="O1420" s="4">
        <v>3.7148076080000001</v>
      </c>
      <c r="P1420" s="4" t="s">
        <v>795</v>
      </c>
      <c r="Q1420" s="4" t="s">
        <v>743</v>
      </c>
      <c r="R1420" s="4" t="s">
        <v>730</v>
      </c>
      <c r="S1420" s="2">
        <v>46174.628918506947</v>
      </c>
      <c r="T1420" s="5">
        <v>7.8703703703703702E-5</v>
      </c>
      <c r="U1420" s="4">
        <v>7.6083630323410034E-2</v>
      </c>
      <c r="V1420" s="4" t="s">
        <v>758</v>
      </c>
      <c r="W1420" s="4" t="s">
        <v>757</v>
      </c>
      <c r="X1420" s="6" t="s">
        <v>617</v>
      </c>
    </row>
    <row r="1421" spans="1:24">
      <c r="A1421" s="4" t="s">
        <v>1024</v>
      </c>
      <c r="B1421" s="4" t="s">
        <v>1025</v>
      </c>
      <c r="D1421" s="4" t="s">
        <v>716</v>
      </c>
      <c r="E1421" s="4" t="s">
        <v>717</v>
      </c>
      <c r="M1421" s="4" t="s">
        <v>757</v>
      </c>
      <c r="N1421" s="4">
        <v>-71.626777666666669</v>
      </c>
      <c r="O1421" s="4">
        <v>3.7132564399999999</v>
      </c>
      <c r="P1421" s="4" t="s">
        <v>795</v>
      </c>
      <c r="Q1421" s="4" t="s">
        <v>743</v>
      </c>
      <c r="R1421" s="4" t="s">
        <v>730</v>
      </c>
      <c r="S1421" s="2">
        <v>46174.629136099538</v>
      </c>
      <c r="T1421" s="5">
        <v>2.3149305555555556E-4</v>
      </c>
      <c r="U1421" s="4">
        <v>0.22451440989971161</v>
      </c>
      <c r="V1421" s="4" t="s">
        <v>758</v>
      </c>
      <c r="W1421" s="4" t="s">
        <v>757</v>
      </c>
      <c r="X1421" s="6" t="s">
        <v>617</v>
      </c>
    </row>
    <row r="1422" spans="1:24">
      <c r="A1422" s="4" t="s">
        <v>1024</v>
      </c>
      <c r="B1422" s="4" t="s">
        <v>1025</v>
      </c>
      <c r="D1422" s="4" t="s">
        <v>716</v>
      </c>
      <c r="E1422" s="4" t="s">
        <v>717</v>
      </c>
      <c r="M1422" s="4" t="s">
        <v>614</v>
      </c>
      <c r="N1422" s="4">
        <v>-71.624984699999999</v>
      </c>
      <c r="O1422" s="4">
        <v>3.7082612500000001</v>
      </c>
      <c r="P1422" s="4" t="s">
        <v>1036</v>
      </c>
      <c r="Q1422" s="4" t="s">
        <v>743</v>
      </c>
      <c r="R1422" s="4" t="s">
        <v>730</v>
      </c>
      <c r="S1422" s="2">
        <v>46174.632133784726</v>
      </c>
      <c r="T1422" s="5">
        <v>4.1655092592592591E-2</v>
      </c>
      <c r="U1422" s="4">
        <v>4.2168997228145599E-2</v>
      </c>
      <c r="V1422" s="4" t="s">
        <v>616</v>
      </c>
      <c r="W1422" s="4" t="s">
        <v>614</v>
      </c>
      <c r="X1422" s="6" t="s">
        <v>617</v>
      </c>
    </row>
    <row r="1423" spans="1:24">
      <c r="A1423" s="4" t="s">
        <v>1024</v>
      </c>
      <c r="B1423" s="4" t="s">
        <v>1025</v>
      </c>
      <c r="D1423" s="4" t="s">
        <v>716</v>
      </c>
      <c r="E1423" s="4" t="s">
        <v>717</v>
      </c>
      <c r="M1423" s="4" t="s">
        <v>757</v>
      </c>
      <c r="N1423" s="4">
        <v>-71.626293732933334</v>
      </c>
      <c r="O1423" s="4">
        <v>3.7113381466533335</v>
      </c>
      <c r="P1423" s="4" t="s">
        <v>1036</v>
      </c>
      <c r="Q1423" s="4" t="s">
        <v>743</v>
      </c>
      <c r="R1423" s="4" t="s">
        <v>730</v>
      </c>
      <c r="S1423" s="2">
        <v>46174.676273171295</v>
      </c>
      <c r="T1423" s="5">
        <v>3.9765046296296299E-4</v>
      </c>
      <c r="U1423" s="4">
        <v>0.41583928465843201</v>
      </c>
      <c r="V1423" s="4" t="s">
        <v>1037</v>
      </c>
      <c r="W1423" s="4" t="s">
        <v>757</v>
      </c>
      <c r="X1423" s="6" t="s">
        <v>617</v>
      </c>
    </row>
    <row r="1424" spans="1:24">
      <c r="A1424" s="4" t="s">
        <v>1024</v>
      </c>
      <c r="B1424" s="4" t="s">
        <v>1025</v>
      </c>
      <c r="D1424" s="4" t="s">
        <v>716</v>
      </c>
      <c r="E1424" s="4" t="s">
        <v>717</v>
      </c>
      <c r="M1424" s="4" t="s">
        <v>757</v>
      </c>
      <c r="N1424" s="4">
        <v>-71.629958453828579</v>
      </c>
      <c r="O1424" s="4">
        <v>3.7157812131314287</v>
      </c>
      <c r="P1424" s="4" t="s">
        <v>795</v>
      </c>
      <c r="Q1424" s="4" t="s">
        <v>743</v>
      </c>
      <c r="R1424" s="4" t="s">
        <v>730</v>
      </c>
      <c r="S1424" s="2">
        <v>46174.676999108793</v>
      </c>
      <c r="T1424" s="5">
        <v>3.0509259259259259E-5</v>
      </c>
      <c r="U1424" s="4">
        <v>2.8457304462790489E-2</v>
      </c>
      <c r="V1424" s="4" t="s">
        <v>758</v>
      </c>
      <c r="W1424" s="4" t="s">
        <v>757</v>
      </c>
      <c r="X1424" s="6" t="s">
        <v>617</v>
      </c>
    </row>
    <row r="1425" spans="1:24">
      <c r="A1425" s="4" t="s">
        <v>1024</v>
      </c>
      <c r="B1425" s="4" t="s">
        <v>1025</v>
      </c>
      <c r="D1425" s="4" t="s">
        <v>716</v>
      </c>
      <c r="E1425" s="4" t="s">
        <v>717</v>
      </c>
      <c r="M1425" s="4" t="s">
        <v>757</v>
      </c>
      <c r="N1425" s="4">
        <v>-71.633130379654546</v>
      </c>
      <c r="O1425" s="4">
        <v>3.7199102801081816</v>
      </c>
      <c r="P1425" s="4" t="s">
        <v>795</v>
      </c>
      <c r="Q1425" s="4" t="s">
        <v>743</v>
      </c>
      <c r="R1425" s="4" t="s">
        <v>730</v>
      </c>
      <c r="S1425" s="2">
        <v>46174.677646898148</v>
      </c>
      <c r="T1425" s="5">
        <v>1.7555555555555556E-4</v>
      </c>
      <c r="U1425" s="4">
        <v>0.17371521890163422</v>
      </c>
      <c r="V1425" s="4" t="s">
        <v>758</v>
      </c>
      <c r="W1425" s="4" t="s">
        <v>757</v>
      </c>
      <c r="X1425" s="6" t="s">
        <v>617</v>
      </c>
    </row>
    <row r="1426" spans="1:24">
      <c r="A1426" s="4" t="s">
        <v>1024</v>
      </c>
      <c r="B1426" s="4" t="s">
        <v>1025</v>
      </c>
      <c r="D1426" s="4" t="s">
        <v>716</v>
      </c>
      <c r="E1426" s="4" t="s">
        <v>717</v>
      </c>
      <c r="M1426" s="4" t="s">
        <v>757</v>
      </c>
      <c r="N1426" s="4">
        <v>-71.633562358350005</v>
      </c>
      <c r="O1426" s="4">
        <v>3.7231519817150001</v>
      </c>
      <c r="P1426" s="4" t="s">
        <v>795</v>
      </c>
      <c r="Q1426" s="4" t="s">
        <v>743</v>
      </c>
      <c r="R1426" s="4" t="s">
        <v>730</v>
      </c>
      <c r="S1426" s="2">
        <v>46174.678031597221</v>
      </c>
      <c r="T1426" s="5">
        <v>2.711689814814815E-4</v>
      </c>
      <c r="U1426" s="4">
        <v>0.26147797703742981</v>
      </c>
      <c r="V1426" s="4" t="s">
        <v>778</v>
      </c>
      <c r="W1426" s="4" t="s">
        <v>757</v>
      </c>
      <c r="X1426" s="6" t="s">
        <v>617</v>
      </c>
    </row>
    <row r="1427" spans="1:24">
      <c r="A1427" s="4" t="s">
        <v>1024</v>
      </c>
      <c r="B1427" s="4" t="s">
        <v>1025</v>
      </c>
      <c r="D1427" s="4" t="s">
        <v>716</v>
      </c>
      <c r="E1427" s="4" t="s">
        <v>717</v>
      </c>
      <c r="M1427" s="4" t="s">
        <v>757</v>
      </c>
      <c r="N1427" s="4">
        <v>-71.636127450000004</v>
      </c>
      <c r="O1427" s="4">
        <v>3.7258741849999999</v>
      </c>
      <c r="P1427" s="4" t="s">
        <v>795</v>
      </c>
      <c r="Q1427" s="4" t="s">
        <v>743</v>
      </c>
      <c r="R1427" s="4" t="s">
        <v>730</v>
      </c>
      <c r="S1427" s="2">
        <v>46174.678487951387</v>
      </c>
      <c r="T1427" s="5">
        <v>1.3888888888888889E-4</v>
      </c>
      <c r="U1427" s="4">
        <v>0.1330544650554657</v>
      </c>
      <c r="V1427" s="4" t="s">
        <v>758</v>
      </c>
      <c r="W1427" s="4" t="s">
        <v>757</v>
      </c>
      <c r="X1427" s="6" t="s">
        <v>617</v>
      </c>
    </row>
    <row r="1428" spans="1:24">
      <c r="A1428" s="4" t="s">
        <v>1024</v>
      </c>
      <c r="B1428" s="4" t="s">
        <v>1025</v>
      </c>
      <c r="D1428" s="4" t="s">
        <v>716</v>
      </c>
      <c r="E1428" s="4" t="s">
        <v>717</v>
      </c>
      <c r="M1428" s="4" t="s">
        <v>757</v>
      </c>
      <c r="N1428" s="4">
        <v>-71.637275700000004</v>
      </c>
      <c r="O1428" s="4">
        <v>3.72556734</v>
      </c>
      <c r="P1428" s="4" t="s">
        <v>795</v>
      </c>
      <c r="Q1428" s="4" t="s">
        <v>743</v>
      </c>
      <c r="R1428" s="4" t="s">
        <v>730</v>
      </c>
      <c r="S1428" s="2">
        <v>46174.678626840279</v>
      </c>
      <c r="T1428" s="5">
        <v>3.7615750740740739E-4</v>
      </c>
      <c r="U1428" s="4">
        <v>0.36940476298332214</v>
      </c>
      <c r="V1428" s="4" t="s">
        <v>758</v>
      </c>
      <c r="W1428" s="4" t="s">
        <v>757</v>
      </c>
      <c r="X1428" s="6" t="s">
        <v>617</v>
      </c>
    </row>
    <row r="1429" spans="1:24">
      <c r="A1429" s="4" t="s">
        <v>1024</v>
      </c>
      <c r="B1429" s="4" t="s">
        <v>1025</v>
      </c>
      <c r="D1429" s="4" t="s">
        <v>716</v>
      </c>
      <c r="E1429" s="4" t="s">
        <v>717</v>
      </c>
      <c r="M1429" s="4" t="s">
        <v>757</v>
      </c>
      <c r="N1429" s="4">
        <v>-71.640653570125536</v>
      </c>
      <c r="O1429" s="4">
        <v>3.7265823223564047</v>
      </c>
      <c r="P1429" s="4" t="s">
        <v>795</v>
      </c>
      <c r="Q1429" s="4" t="s">
        <v>743</v>
      </c>
      <c r="R1429" s="4" t="s">
        <v>730</v>
      </c>
      <c r="S1429" s="2">
        <v>46174.679266307867</v>
      </c>
      <c r="T1429" s="5">
        <v>1.7071759259259259E-4</v>
      </c>
      <c r="U1429" s="4">
        <v>0.17093905806541443</v>
      </c>
      <c r="V1429" s="4" t="s">
        <v>847</v>
      </c>
      <c r="W1429" s="4" t="s">
        <v>757</v>
      </c>
      <c r="X1429" s="6" t="s">
        <v>617</v>
      </c>
    </row>
    <row r="1430" spans="1:24">
      <c r="A1430" s="4" t="s">
        <v>1024</v>
      </c>
      <c r="B1430" s="4" t="s">
        <v>1025</v>
      </c>
      <c r="D1430" s="4" t="s">
        <v>716</v>
      </c>
      <c r="E1430" s="4" t="s">
        <v>717</v>
      </c>
      <c r="M1430" s="4" t="s">
        <v>757</v>
      </c>
      <c r="N1430" s="4">
        <v>-71.641937299999995</v>
      </c>
      <c r="O1430" s="4">
        <v>3.73065114</v>
      </c>
      <c r="P1430" s="4" t="s">
        <v>795</v>
      </c>
      <c r="Q1430" s="4" t="s">
        <v>743</v>
      </c>
      <c r="R1430" s="4" t="s">
        <v>730</v>
      </c>
      <c r="S1430" s="2">
        <v>46174.679772673611</v>
      </c>
      <c r="T1430" s="5">
        <v>1.7361111111111112E-4</v>
      </c>
      <c r="U1430" s="4">
        <v>0.16384994983673096</v>
      </c>
      <c r="V1430" s="4" t="s">
        <v>758</v>
      </c>
      <c r="W1430" s="4" t="s">
        <v>757</v>
      </c>
      <c r="X1430" s="6" t="s">
        <v>617</v>
      </c>
    </row>
    <row r="1431" spans="1:24">
      <c r="A1431" s="4" t="s">
        <v>1024</v>
      </c>
      <c r="B1431" s="4" t="s">
        <v>1025</v>
      </c>
      <c r="D1431" s="4" t="s">
        <v>716</v>
      </c>
      <c r="E1431" s="4" t="s">
        <v>717</v>
      </c>
      <c r="M1431" s="4" t="s">
        <v>757</v>
      </c>
      <c r="N1431" s="4">
        <v>-71.641380299999994</v>
      </c>
      <c r="O1431" s="4">
        <v>3.7320025000000001</v>
      </c>
      <c r="P1431" s="4" t="s">
        <v>795</v>
      </c>
      <c r="Q1431" s="4" t="s">
        <v>743</v>
      </c>
      <c r="R1431" s="4" t="s">
        <v>730</v>
      </c>
      <c r="S1431" s="2">
        <v>46174.679946284719</v>
      </c>
      <c r="T1431" s="5">
        <v>1.6203703703703703E-4</v>
      </c>
      <c r="U1431" s="4">
        <v>0.15087372064590454</v>
      </c>
      <c r="V1431" s="4" t="s">
        <v>758</v>
      </c>
      <c r="W1431" s="4" t="s">
        <v>757</v>
      </c>
      <c r="X1431" s="6" t="s">
        <v>617</v>
      </c>
    </row>
    <row r="1432" spans="1:24">
      <c r="A1432" s="4" t="s">
        <v>1024</v>
      </c>
      <c r="B1432" s="4" t="s">
        <v>1025</v>
      </c>
      <c r="D1432" s="4" t="s">
        <v>716</v>
      </c>
      <c r="E1432" s="4" t="s">
        <v>717</v>
      </c>
      <c r="M1432" s="4" t="s">
        <v>757</v>
      </c>
      <c r="N1432" s="4">
        <v>-71.637934400000006</v>
      </c>
      <c r="O1432" s="4">
        <v>3.7364789633333335</v>
      </c>
      <c r="P1432" s="4" t="s">
        <v>856</v>
      </c>
      <c r="Q1432" s="4" t="s">
        <v>743</v>
      </c>
      <c r="R1432" s="4" t="s">
        <v>730</v>
      </c>
      <c r="S1432" s="2">
        <v>46174.680640729166</v>
      </c>
      <c r="T1432" s="5">
        <v>4.3981481481481481E-4</v>
      </c>
      <c r="U1432" s="4">
        <v>0.44187936186790466</v>
      </c>
      <c r="V1432" s="4" t="s">
        <v>778</v>
      </c>
      <c r="W1432" s="4" t="s">
        <v>757</v>
      </c>
      <c r="X1432" s="6" t="s">
        <v>617</v>
      </c>
    </row>
    <row r="1433" spans="1:24">
      <c r="A1433" s="4" t="s">
        <v>1024</v>
      </c>
      <c r="B1433" s="4" t="s">
        <v>1025</v>
      </c>
      <c r="D1433" s="4" t="s">
        <v>716</v>
      </c>
      <c r="E1433" s="4" t="s">
        <v>717</v>
      </c>
      <c r="M1433" s="4" t="s">
        <v>757</v>
      </c>
      <c r="N1433" s="4">
        <v>-71.636512800000006</v>
      </c>
      <c r="O1433" s="4">
        <v>3.7410080400000001</v>
      </c>
      <c r="P1433" s="4" t="s">
        <v>856</v>
      </c>
      <c r="Q1433" s="4" t="s">
        <v>743</v>
      </c>
      <c r="R1433" s="4" t="s">
        <v>730</v>
      </c>
      <c r="S1433" s="2">
        <v>46174.681219432867</v>
      </c>
      <c r="T1433" s="5">
        <v>2.5462962962962961E-4</v>
      </c>
      <c r="U1433" s="4">
        <v>0.25263658165931702</v>
      </c>
      <c r="V1433" s="4" t="s">
        <v>774</v>
      </c>
      <c r="W1433" s="4" t="s">
        <v>757</v>
      </c>
      <c r="X1433" s="6" t="s">
        <v>617</v>
      </c>
    </row>
    <row r="1434" spans="1:24">
      <c r="A1434" s="4" t="s">
        <v>1024</v>
      </c>
      <c r="B1434" s="4" t="s">
        <v>1025</v>
      </c>
      <c r="D1434" s="4" t="s">
        <v>716</v>
      </c>
      <c r="E1434" s="4" t="s">
        <v>717</v>
      </c>
      <c r="M1434" s="4" t="s">
        <v>757</v>
      </c>
      <c r="N1434" s="4">
        <v>-71.635635399999998</v>
      </c>
      <c r="O1434" s="4">
        <v>3.7431061300000001</v>
      </c>
      <c r="P1434" s="4" t="s">
        <v>795</v>
      </c>
      <c r="Q1434" s="4" t="s">
        <v>743</v>
      </c>
      <c r="R1434" s="4" t="s">
        <v>730</v>
      </c>
      <c r="S1434" s="2">
        <v>46174.681474062498</v>
      </c>
      <c r="T1434" s="5">
        <v>1.7362268518518519E-4</v>
      </c>
      <c r="U1434" s="4">
        <v>0.16957634687423706</v>
      </c>
      <c r="V1434" s="4" t="s">
        <v>774</v>
      </c>
      <c r="W1434" s="4" t="s">
        <v>757</v>
      </c>
      <c r="X1434" s="6" t="s">
        <v>617</v>
      </c>
    </row>
    <row r="1435" spans="1:24">
      <c r="A1435" s="4" t="s">
        <v>1024</v>
      </c>
      <c r="B1435" s="4" t="s">
        <v>1025</v>
      </c>
      <c r="D1435" s="4" t="s">
        <v>716</v>
      </c>
      <c r="E1435" s="4" t="s">
        <v>717</v>
      </c>
      <c r="M1435" s="4" t="s">
        <v>757</v>
      </c>
      <c r="N1435" s="4">
        <v>-71.636192345789155</v>
      </c>
      <c r="O1435" s="4">
        <v>3.7449528141968393</v>
      </c>
      <c r="P1435" s="4" t="s">
        <v>795</v>
      </c>
      <c r="Q1435" s="4" t="s">
        <v>743</v>
      </c>
      <c r="R1435" s="4" t="s">
        <v>730</v>
      </c>
      <c r="S1435" s="2">
        <v>46174.681711342593</v>
      </c>
      <c r="T1435" s="5">
        <v>7.5219907407407405E-5</v>
      </c>
      <c r="U1435" s="4">
        <v>6.9899752736091614E-2</v>
      </c>
      <c r="V1435" s="4" t="s">
        <v>758</v>
      </c>
      <c r="W1435" s="4" t="s">
        <v>757</v>
      </c>
      <c r="X1435" s="6" t="s">
        <v>617</v>
      </c>
    </row>
    <row r="1436" spans="1:24">
      <c r="A1436" s="4" t="s">
        <v>1024</v>
      </c>
      <c r="B1436" s="4" t="s">
        <v>1025</v>
      </c>
      <c r="D1436" s="4" t="s">
        <v>716</v>
      </c>
      <c r="E1436" s="4" t="s">
        <v>717</v>
      </c>
      <c r="M1436" s="4" t="s">
        <v>757</v>
      </c>
      <c r="N1436" s="4">
        <v>-71.636581399999997</v>
      </c>
      <c r="O1436" s="4">
        <v>3.7453949500000001</v>
      </c>
      <c r="P1436" s="4" t="s">
        <v>795</v>
      </c>
      <c r="Q1436" s="4" t="s">
        <v>743</v>
      </c>
      <c r="R1436" s="4" t="s">
        <v>730</v>
      </c>
      <c r="S1436" s="2">
        <v>46174.681786562498</v>
      </c>
      <c r="T1436" s="5">
        <v>1.7824074074074075E-4</v>
      </c>
      <c r="U1436" s="4">
        <v>0.17888689041137695</v>
      </c>
      <c r="V1436" s="4" t="s">
        <v>847</v>
      </c>
      <c r="W1436" s="4" t="s">
        <v>757</v>
      </c>
      <c r="X1436" s="6" t="s">
        <v>617</v>
      </c>
    </row>
    <row r="1437" spans="1:24">
      <c r="A1437" s="4" t="s">
        <v>1024</v>
      </c>
      <c r="B1437" s="4" t="s">
        <v>1025</v>
      </c>
      <c r="D1437" s="4" t="s">
        <v>716</v>
      </c>
      <c r="E1437" s="4" t="s">
        <v>717</v>
      </c>
      <c r="M1437" s="4" t="s">
        <v>757</v>
      </c>
      <c r="N1437" s="4">
        <v>-71.638671900000006</v>
      </c>
      <c r="O1437" s="4">
        <v>3.74931693</v>
      </c>
      <c r="P1437" s="4" t="s">
        <v>795</v>
      </c>
      <c r="Q1437" s="4" t="s">
        <v>743</v>
      </c>
      <c r="R1437" s="4" t="s">
        <v>730</v>
      </c>
      <c r="S1437" s="2">
        <v>46174.682353703705</v>
      </c>
      <c r="T1437" s="5">
        <v>2.8935185185185184E-4</v>
      </c>
      <c r="U1437" s="4">
        <v>0.2764066755771637</v>
      </c>
      <c r="V1437" s="4" t="s">
        <v>758</v>
      </c>
      <c r="W1437" s="4" t="s">
        <v>757</v>
      </c>
      <c r="X1437" s="6" t="s">
        <v>617</v>
      </c>
    </row>
    <row r="1438" spans="1:24">
      <c r="A1438" s="4" t="s">
        <v>1024</v>
      </c>
      <c r="B1438" s="4" t="s">
        <v>1025</v>
      </c>
      <c r="D1438" s="4" t="s">
        <v>716</v>
      </c>
      <c r="E1438" s="4" t="s">
        <v>717</v>
      </c>
      <c r="M1438" s="4" t="s">
        <v>757</v>
      </c>
      <c r="N1438" s="4">
        <v>-71.636978099999993</v>
      </c>
      <c r="O1438" s="4">
        <v>3.75521255</v>
      </c>
      <c r="P1438" s="4" t="s">
        <v>795</v>
      </c>
      <c r="Q1438" s="4" t="s">
        <v>743</v>
      </c>
      <c r="R1438" s="4" t="s">
        <v>730</v>
      </c>
      <c r="S1438" s="2">
        <v>46174.683071296298</v>
      </c>
      <c r="T1438" s="5">
        <v>1.7359953703703705E-4</v>
      </c>
      <c r="U1438" s="4">
        <v>0.17042477428913116</v>
      </c>
      <c r="V1438" s="4" t="s">
        <v>758</v>
      </c>
      <c r="W1438" s="4" t="s">
        <v>757</v>
      </c>
      <c r="X1438" s="6" t="s">
        <v>617</v>
      </c>
    </row>
    <row r="1439" spans="1:24">
      <c r="A1439" s="4" t="s">
        <v>1024</v>
      </c>
      <c r="B1439" s="4" t="s">
        <v>1025</v>
      </c>
      <c r="D1439" s="4" t="s">
        <v>716</v>
      </c>
      <c r="E1439" s="4" t="s">
        <v>717</v>
      </c>
      <c r="M1439" s="4" t="s">
        <v>757</v>
      </c>
      <c r="N1439" s="4">
        <v>-71.637298599999994</v>
      </c>
      <c r="O1439" s="4">
        <v>3.7566759599999999</v>
      </c>
      <c r="P1439" s="4" t="s">
        <v>795</v>
      </c>
      <c r="Q1439" s="4" t="s">
        <v>743</v>
      </c>
      <c r="R1439" s="4" t="s">
        <v>730</v>
      </c>
      <c r="S1439" s="2">
        <v>46174.68324489583</v>
      </c>
      <c r="T1439" s="5">
        <v>2.0833333333333335E-4</v>
      </c>
      <c r="U1439" s="4">
        <v>0.20800374448299408</v>
      </c>
      <c r="V1439" s="4" t="s">
        <v>774</v>
      </c>
      <c r="W1439" s="4" t="s">
        <v>757</v>
      </c>
      <c r="X1439" s="6" t="s">
        <v>617</v>
      </c>
    </row>
    <row r="1440" spans="1:24">
      <c r="A1440" s="4" t="s">
        <v>1024</v>
      </c>
      <c r="B1440" s="4" t="s">
        <v>1025</v>
      </c>
      <c r="D1440" s="4" t="s">
        <v>716</v>
      </c>
      <c r="E1440" s="4" t="s">
        <v>717</v>
      </c>
      <c r="M1440" s="4" t="s">
        <v>757</v>
      </c>
      <c r="N1440" s="4">
        <v>-71.638412500000001</v>
      </c>
      <c r="O1440" s="4">
        <v>3.7581376999999998</v>
      </c>
      <c r="P1440" s="4" t="s">
        <v>795</v>
      </c>
      <c r="Q1440" s="4" t="s">
        <v>743</v>
      </c>
      <c r="R1440" s="4" t="s">
        <v>730</v>
      </c>
      <c r="S1440" s="2">
        <v>46174.683453229169</v>
      </c>
      <c r="T1440" s="5">
        <v>3.0092592592592595E-4</v>
      </c>
      <c r="U1440" s="4">
        <v>0.30238938331604004</v>
      </c>
      <c r="V1440" s="4" t="s">
        <v>847</v>
      </c>
      <c r="W1440" s="4" t="s">
        <v>757</v>
      </c>
      <c r="X1440" s="6" t="s">
        <v>617</v>
      </c>
    </row>
    <row r="1441" spans="1:24">
      <c r="A1441" s="4" t="s">
        <v>1024</v>
      </c>
      <c r="B1441" s="4" t="s">
        <v>1025</v>
      </c>
      <c r="D1441" s="4" t="s">
        <v>716</v>
      </c>
      <c r="E1441" s="4" t="s">
        <v>717</v>
      </c>
      <c r="M1441" s="4" t="s">
        <v>757</v>
      </c>
      <c r="N1441" s="4">
        <v>-71.642106200000001</v>
      </c>
      <c r="O1441" s="4">
        <v>3.7659322914285713</v>
      </c>
      <c r="P1441" s="4" t="s">
        <v>795</v>
      </c>
      <c r="Q1441" s="4" t="s">
        <v>743</v>
      </c>
      <c r="R1441" s="4" t="s">
        <v>730</v>
      </c>
      <c r="S1441" s="2">
        <v>46174.684542847222</v>
      </c>
      <c r="T1441" s="5">
        <v>1.7195601851851852E-4</v>
      </c>
      <c r="U1441" s="4">
        <v>0.16685807704925537</v>
      </c>
      <c r="V1441" s="4" t="s">
        <v>758</v>
      </c>
      <c r="W1441" s="4" t="s">
        <v>757</v>
      </c>
      <c r="X1441" s="6" t="s">
        <v>617</v>
      </c>
    </row>
    <row r="1442" spans="1:24">
      <c r="A1442" s="4" t="s">
        <v>1024</v>
      </c>
      <c r="B1442" s="4" t="s">
        <v>1025</v>
      </c>
      <c r="D1442" s="4" t="s">
        <v>716</v>
      </c>
      <c r="E1442" s="4" t="s">
        <v>717</v>
      </c>
      <c r="M1442" s="4" t="s">
        <v>614</v>
      </c>
      <c r="N1442" s="4">
        <v>-71.650466899999998</v>
      </c>
      <c r="O1442" s="4">
        <v>3.7732901600000002</v>
      </c>
      <c r="P1442" s="4" t="s">
        <v>1038</v>
      </c>
      <c r="Q1442" s="4" t="s">
        <v>735</v>
      </c>
      <c r="R1442" s="4" t="s">
        <v>730</v>
      </c>
      <c r="S1442" s="2">
        <v>46174.686879039349</v>
      </c>
      <c r="T1442" s="5">
        <v>1.3738437500000001E-2</v>
      </c>
      <c r="U1442" s="4">
        <v>1.9326603040099144E-2</v>
      </c>
      <c r="V1442" s="4" t="s">
        <v>616</v>
      </c>
      <c r="W1442" s="4" t="s">
        <v>614</v>
      </c>
      <c r="X1442" s="6" t="s">
        <v>617</v>
      </c>
    </row>
    <row r="1443" spans="1:24">
      <c r="A1443" s="4" t="s">
        <v>1024</v>
      </c>
      <c r="B1443" s="4" t="s">
        <v>1025</v>
      </c>
      <c r="D1443" s="4" t="s">
        <v>716</v>
      </c>
      <c r="E1443" s="4" t="s">
        <v>717</v>
      </c>
      <c r="M1443" s="4" t="s">
        <v>762</v>
      </c>
      <c r="N1443" s="4">
        <v>-71.649943579999999</v>
      </c>
      <c r="O1443" s="4">
        <v>3.7757751019999999</v>
      </c>
      <c r="P1443" s="4" t="s">
        <v>786</v>
      </c>
      <c r="Q1443" s="4" t="s">
        <v>735</v>
      </c>
      <c r="R1443" s="4" t="s">
        <v>730</v>
      </c>
      <c r="S1443" s="2">
        <v>46174.701499409719</v>
      </c>
      <c r="T1443" s="5">
        <v>1.7295138888888888E-4</v>
      </c>
      <c r="U1443" s="4">
        <v>0.13395680487155914</v>
      </c>
      <c r="V1443" s="4" t="s">
        <v>781</v>
      </c>
      <c r="W1443" s="4" t="s">
        <v>762</v>
      </c>
      <c r="X1443" s="6" t="s">
        <v>617</v>
      </c>
    </row>
    <row r="1444" spans="1:24">
      <c r="A1444" s="4" t="s">
        <v>1024</v>
      </c>
      <c r="B1444" s="4" t="s">
        <v>1025</v>
      </c>
      <c r="D1444" s="4" t="s">
        <v>716</v>
      </c>
      <c r="E1444" s="4" t="s">
        <v>717</v>
      </c>
      <c r="M1444" s="4" t="s">
        <v>762</v>
      </c>
      <c r="N1444" s="4">
        <v>-71.648055999999997</v>
      </c>
      <c r="O1444" s="4">
        <v>3.7782487900000001</v>
      </c>
      <c r="P1444" s="4" t="s">
        <v>734</v>
      </c>
      <c r="Q1444" s="4" t="s">
        <v>735</v>
      </c>
      <c r="R1444" s="4" t="s">
        <v>730</v>
      </c>
      <c r="S1444" s="2">
        <v>46174.70212209491</v>
      </c>
      <c r="T1444" s="5">
        <v>6.9560185185185184E-5</v>
      </c>
      <c r="U1444" s="4">
        <v>5.4745081812143326E-2</v>
      </c>
      <c r="V1444" s="4" t="s">
        <v>844</v>
      </c>
      <c r="W1444" s="4" t="s">
        <v>762</v>
      </c>
      <c r="X1444" s="6" t="s">
        <v>617</v>
      </c>
    </row>
    <row r="1445" spans="1:24">
      <c r="A1445" s="4" t="s">
        <v>1024</v>
      </c>
      <c r="B1445" s="4" t="s">
        <v>1025</v>
      </c>
      <c r="D1445" s="4" t="s">
        <v>716</v>
      </c>
      <c r="E1445" s="4" t="s">
        <v>717</v>
      </c>
      <c r="M1445" s="4" t="s">
        <v>762</v>
      </c>
      <c r="N1445" s="4">
        <v>-71.647647821939799</v>
      </c>
      <c r="O1445" s="4">
        <v>3.7787340620936454</v>
      </c>
      <c r="P1445" s="4" t="s">
        <v>734</v>
      </c>
      <c r="Q1445" s="4" t="s">
        <v>735</v>
      </c>
      <c r="R1445" s="4" t="s">
        <v>730</v>
      </c>
      <c r="S1445" s="2">
        <v>46174.702211886572</v>
      </c>
      <c r="T1445" s="5">
        <v>1.9377314814814816E-4</v>
      </c>
      <c r="U1445" s="4">
        <v>0.17781415581703186</v>
      </c>
      <c r="V1445" s="4" t="s">
        <v>758</v>
      </c>
      <c r="W1445" s="4" t="s">
        <v>762</v>
      </c>
      <c r="X1445" s="6" t="s">
        <v>617</v>
      </c>
    </row>
    <row r="1446" spans="1:24">
      <c r="A1446" s="4" t="s">
        <v>1024</v>
      </c>
      <c r="B1446" s="4" t="s">
        <v>1025</v>
      </c>
      <c r="D1446" s="4" t="s">
        <v>716</v>
      </c>
      <c r="E1446" s="4" t="s">
        <v>717</v>
      </c>
      <c r="M1446" s="4" t="s">
        <v>757</v>
      </c>
      <c r="N1446" s="4">
        <v>-71.647384649999992</v>
      </c>
      <c r="O1446" s="4">
        <v>3.7790311550000002</v>
      </c>
      <c r="P1446" s="4" t="s">
        <v>734</v>
      </c>
      <c r="Q1446" s="4" t="s">
        <v>735</v>
      </c>
      <c r="R1446" s="4" t="s">
        <v>730</v>
      </c>
      <c r="S1446" s="2">
        <v>46174.702261041668</v>
      </c>
      <c r="T1446" s="5">
        <v>4.3437499999999999E-5</v>
      </c>
      <c r="U1446" s="4">
        <v>4.2509675025939941E-2</v>
      </c>
      <c r="V1446" s="4" t="s">
        <v>758</v>
      </c>
      <c r="W1446" s="4" t="s">
        <v>757</v>
      </c>
      <c r="X1446" s="6" t="s">
        <v>617</v>
      </c>
    </row>
    <row r="1447" spans="1:24">
      <c r="A1447" s="4" t="s">
        <v>1024</v>
      </c>
      <c r="B1447" s="4" t="s">
        <v>1025</v>
      </c>
      <c r="D1447" s="4" t="s">
        <v>716</v>
      </c>
      <c r="E1447" s="4" t="s">
        <v>717</v>
      </c>
      <c r="M1447" s="4" t="s">
        <v>762</v>
      </c>
      <c r="N1447" s="4">
        <v>-71.646460759999997</v>
      </c>
      <c r="O1447" s="4">
        <v>3.7799599670000004</v>
      </c>
      <c r="P1447" s="4" t="s">
        <v>734</v>
      </c>
      <c r="Q1447" s="4" t="s">
        <v>735</v>
      </c>
      <c r="R1447" s="4" t="s">
        <v>730</v>
      </c>
      <c r="S1447" s="2">
        <v>46174.702419560184</v>
      </c>
      <c r="T1447" s="5">
        <v>1.4418981481481482E-4</v>
      </c>
      <c r="U1447" s="4">
        <v>0.12507236003875732</v>
      </c>
      <c r="V1447" s="4" t="s">
        <v>798</v>
      </c>
      <c r="W1447" s="4" t="s">
        <v>762</v>
      </c>
      <c r="X1447" s="6" t="s">
        <v>617</v>
      </c>
    </row>
    <row r="1448" spans="1:24">
      <c r="A1448" s="4" t="s">
        <v>1024</v>
      </c>
      <c r="B1448" s="4" t="s">
        <v>1025</v>
      </c>
      <c r="D1448" s="4" t="s">
        <v>716</v>
      </c>
      <c r="E1448" s="4" t="s">
        <v>717</v>
      </c>
      <c r="M1448" s="4" t="s">
        <v>762</v>
      </c>
      <c r="N1448" s="4">
        <v>-71.645014240999998</v>
      </c>
      <c r="O1448" s="4">
        <v>3.781282885125</v>
      </c>
      <c r="P1448" s="4" t="s">
        <v>734</v>
      </c>
      <c r="Q1448" s="4" t="s">
        <v>735</v>
      </c>
      <c r="R1448" s="4" t="s">
        <v>730</v>
      </c>
      <c r="S1448" s="2">
        <v>46174.702751666664</v>
      </c>
      <c r="T1448" s="5">
        <v>2.2702546296296297E-4</v>
      </c>
      <c r="U1448" s="4">
        <v>0.20296569168567657</v>
      </c>
      <c r="V1448" s="4" t="s">
        <v>851</v>
      </c>
      <c r="W1448" s="4" t="s">
        <v>762</v>
      </c>
      <c r="X1448" s="6" t="s">
        <v>617</v>
      </c>
    </row>
    <row r="1449" spans="1:24">
      <c r="A1449" s="4" t="s">
        <v>1024</v>
      </c>
      <c r="B1449" s="4" t="s">
        <v>1025</v>
      </c>
      <c r="D1449" s="4" t="s">
        <v>716</v>
      </c>
      <c r="E1449" s="4" t="s">
        <v>717</v>
      </c>
      <c r="M1449" s="4" t="s">
        <v>625</v>
      </c>
      <c r="N1449" s="4">
        <v>-71.643768300000005</v>
      </c>
      <c r="O1449" s="4">
        <v>3.7826793200000002</v>
      </c>
      <c r="P1449" s="4" t="s">
        <v>734</v>
      </c>
      <c r="Q1449" s="4" t="s">
        <v>735</v>
      </c>
      <c r="R1449" s="4" t="s">
        <v>730</v>
      </c>
      <c r="S1449" s="2">
        <v>46174.702990150465</v>
      </c>
      <c r="T1449" s="5">
        <v>0</v>
      </c>
      <c r="U1449" s="4">
        <v>0</v>
      </c>
      <c r="V1449" s="4" t="s">
        <v>756</v>
      </c>
      <c r="W1449" s="4" t="s">
        <v>625</v>
      </c>
      <c r="X1449" s="6" t="s">
        <v>617</v>
      </c>
    </row>
    <row r="1450" spans="1:24">
      <c r="A1450" s="4" t="s">
        <v>1024</v>
      </c>
      <c r="B1450" s="4" t="s">
        <v>1025</v>
      </c>
      <c r="D1450" s="4" t="s">
        <v>716</v>
      </c>
      <c r="E1450" s="4" t="s">
        <v>717</v>
      </c>
      <c r="M1450" s="4" t="s">
        <v>762</v>
      </c>
      <c r="N1450" s="4">
        <v>-71.643402100000003</v>
      </c>
      <c r="O1450" s="4">
        <v>3.7835395300000001</v>
      </c>
      <c r="P1450" s="4" t="s">
        <v>734</v>
      </c>
      <c r="Q1450" s="4" t="s">
        <v>735</v>
      </c>
      <c r="R1450" s="4" t="s">
        <v>730</v>
      </c>
      <c r="S1450" s="2">
        <v>46174.703256354165</v>
      </c>
      <c r="T1450" s="5">
        <v>3.5879629629629629E-4</v>
      </c>
      <c r="U1450" s="4">
        <v>0.28522136807441711</v>
      </c>
      <c r="V1450" s="4" t="s">
        <v>784</v>
      </c>
      <c r="W1450" s="4" t="s">
        <v>762</v>
      </c>
      <c r="X1450" s="6" t="s">
        <v>617</v>
      </c>
    </row>
    <row r="1451" spans="1:24">
      <c r="A1451" s="4" t="s">
        <v>1024</v>
      </c>
      <c r="B1451" s="4" t="s">
        <v>1025</v>
      </c>
      <c r="D1451" s="4" t="s">
        <v>716</v>
      </c>
      <c r="E1451" s="4" t="s">
        <v>717</v>
      </c>
      <c r="M1451" s="4" t="s">
        <v>762</v>
      </c>
      <c r="N1451" s="4">
        <v>-71.641357400000004</v>
      </c>
      <c r="O1451" s="4">
        <v>3.78468728</v>
      </c>
      <c r="P1451" s="4" t="s">
        <v>734</v>
      </c>
      <c r="Q1451" s="4" t="s">
        <v>735</v>
      </c>
      <c r="R1451" s="4" t="s">
        <v>730</v>
      </c>
      <c r="S1451" s="2">
        <v>46174.703615150465</v>
      </c>
      <c r="T1451" s="5">
        <v>1.3311342592592593E-4</v>
      </c>
      <c r="U1451" s="4">
        <v>0.10277341306209564</v>
      </c>
      <c r="V1451" s="4" t="s">
        <v>781</v>
      </c>
      <c r="W1451" s="4" t="s">
        <v>762</v>
      </c>
      <c r="X1451" s="6" t="s">
        <v>617</v>
      </c>
    </row>
    <row r="1452" spans="1:24">
      <c r="A1452" s="4" t="s">
        <v>1024</v>
      </c>
      <c r="B1452" s="4" t="s">
        <v>1025</v>
      </c>
      <c r="D1452" s="4" t="s">
        <v>716</v>
      </c>
      <c r="E1452" s="4" t="s">
        <v>717</v>
      </c>
      <c r="M1452" s="4" t="s">
        <v>762</v>
      </c>
      <c r="N1452" s="4">
        <v>-71.640081417172397</v>
      </c>
      <c r="O1452" s="4">
        <v>3.7845805862320772</v>
      </c>
      <c r="P1452" s="4" t="s">
        <v>734</v>
      </c>
      <c r="Q1452" s="4" t="s">
        <v>735</v>
      </c>
      <c r="R1452" s="4" t="s">
        <v>730</v>
      </c>
      <c r="S1452" s="2">
        <v>46174.703803229168</v>
      </c>
      <c r="T1452" s="5">
        <v>4.9479166666666671E-4</v>
      </c>
      <c r="U1452" s="4">
        <v>0.4071681797504425</v>
      </c>
      <c r="V1452" s="4" t="s">
        <v>780</v>
      </c>
      <c r="W1452" s="4" t="s">
        <v>762</v>
      </c>
      <c r="X1452" s="6" t="s">
        <v>617</v>
      </c>
    </row>
    <row r="1453" spans="1:24">
      <c r="A1453" s="4" t="s">
        <v>1024</v>
      </c>
      <c r="B1453" s="4" t="s">
        <v>1025</v>
      </c>
      <c r="D1453" s="4" t="s">
        <v>716</v>
      </c>
      <c r="E1453" s="4" t="s">
        <v>717</v>
      </c>
      <c r="M1453" s="4" t="s">
        <v>645</v>
      </c>
      <c r="N1453" s="4">
        <v>-71.636698366387492</v>
      </c>
      <c r="O1453" s="4">
        <v>3.78427641733375</v>
      </c>
      <c r="P1453" s="4" t="s">
        <v>718</v>
      </c>
      <c r="Q1453" s="4" t="s">
        <v>719</v>
      </c>
      <c r="R1453" s="4" t="s">
        <v>720</v>
      </c>
      <c r="S1453" s="2">
        <v>46174.704262384257</v>
      </c>
      <c r="T1453" s="5">
        <v>2.4056712962962964E-4</v>
      </c>
      <c r="U1453" s="4">
        <v>0.18382279574871063</v>
      </c>
      <c r="V1453" s="4" t="s">
        <v>843</v>
      </c>
      <c r="W1453" s="4" t="s">
        <v>645</v>
      </c>
      <c r="X1453" s="6" t="s">
        <v>617</v>
      </c>
    </row>
    <row r="1454" spans="1:24">
      <c r="A1454" s="4" t="s">
        <v>1024</v>
      </c>
      <c r="B1454" s="4" t="s">
        <v>1025</v>
      </c>
      <c r="D1454" s="4" t="s">
        <v>716</v>
      </c>
      <c r="E1454" s="4" t="s">
        <v>717</v>
      </c>
      <c r="M1454" s="4" t="s">
        <v>762</v>
      </c>
      <c r="N1454" s="4">
        <v>-71.635656740000002</v>
      </c>
      <c r="O1454" s="4">
        <v>3.7841415380000001</v>
      </c>
      <c r="P1454" s="4" t="s">
        <v>718</v>
      </c>
      <c r="Q1454" s="4" t="s">
        <v>719</v>
      </c>
      <c r="R1454" s="4" t="s">
        <v>720</v>
      </c>
      <c r="S1454" s="2">
        <v>46174.704420706017</v>
      </c>
      <c r="T1454" s="5">
        <v>2.6851851851851852E-4</v>
      </c>
      <c r="U1454" s="4">
        <v>0.21581314504146576</v>
      </c>
      <c r="V1454" s="4" t="s">
        <v>843</v>
      </c>
      <c r="W1454" s="4" t="s">
        <v>762</v>
      </c>
      <c r="X1454" s="6" t="s">
        <v>617</v>
      </c>
    </row>
    <row r="1455" spans="1:24">
      <c r="A1455" s="4" t="s">
        <v>1024</v>
      </c>
      <c r="B1455" s="4" t="s">
        <v>1025</v>
      </c>
      <c r="D1455" s="4" t="s">
        <v>716</v>
      </c>
      <c r="E1455" s="4" t="s">
        <v>717</v>
      </c>
      <c r="M1455" s="4" t="s">
        <v>762</v>
      </c>
      <c r="N1455" s="4">
        <v>-71.633409159999999</v>
      </c>
      <c r="O1455" s="4">
        <v>3.7839034099999997</v>
      </c>
      <c r="P1455" s="4" t="s">
        <v>734</v>
      </c>
      <c r="Q1455" s="4" t="s">
        <v>735</v>
      </c>
      <c r="R1455" s="4" t="s">
        <v>730</v>
      </c>
      <c r="S1455" s="2">
        <v>46174.704735520834</v>
      </c>
      <c r="T1455" s="5">
        <v>6.1967592592592589E-5</v>
      </c>
      <c r="U1455" s="4">
        <v>5.0303950905799866E-2</v>
      </c>
      <c r="V1455" s="4" t="s">
        <v>851</v>
      </c>
      <c r="W1455" s="4" t="s">
        <v>762</v>
      </c>
      <c r="X1455" s="6" t="s">
        <v>617</v>
      </c>
    </row>
    <row r="1456" spans="1:24">
      <c r="A1456" s="4" t="s">
        <v>1024</v>
      </c>
      <c r="B1456" s="4" t="s">
        <v>1025</v>
      </c>
      <c r="D1456" s="4" t="s">
        <v>716</v>
      </c>
      <c r="E1456" s="4" t="s">
        <v>717</v>
      </c>
      <c r="M1456" s="4" t="s">
        <v>625</v>
      </c>
      <c r="N1456" s="4">
        <v>-71.632965100000007</v>
      </c>
      <c r="O1456" s="4">
        <v>3.7838597300000001</v>
      </c>
      <c r="P1456" s="4" t="s">
        <v>734</v>
      </c>
      <c r="Q1456" s="4" t="s">
        <v>735</v>
      </c>
      <c r="R1456" s="4" t="s">
        <v>730</v>
      </c>
      <c r="S1456" s="2">
        <v>46174.70479570602</v>
      </c>
      <c r="T1456" s="5">
        <v>0</v>
      </c>
      <c r="U1456" s="4">
        <v>0</v>
      </c>
      <c r="V1456" s="4" t="s">
        <v>1039</v>
      </c>
      <c r="W1456" s="4" t="s">
        <v>625</v>
      </c>
      <c r="X1456" s="6" t="s">
        <v>617</v>
      </c>
    </row>
    <row r="1457" spans="1:24">
      <c r="A1457" s="4" t="s">
        <v>1024</v>
      </c>
      <c r="B1457" s="4" t="s">
        <v>1025</v>
      </c>
      <c r="D1457" s="4" t="s">
        <v>716</v>
      </c>
      <c r="E1457" s="4" t="s">
        <v>717</v>
      </c>
      <c r="M1457" s="4" t="s">
        <v>762</v>
      </c>
      <c r="N1457" s="4">
        <v>-71.632655528571433</v>
      </c>
      <c r="O1457" s="4">
        <v>3.783809322857143</v>
      </c>
      <c r="P1457" s="4" t="s">
        <v>734</v>
      </c>
      <c r="Q1457" s="4" t="s">
        <v>735</v>
      </c>
      <c r="R1457" s="4" t="s">
        <v>730</v>
      </c>
      <c r="S1457" s="2">
        <v>46174.704873518516</v>
      </c>
      <c r="T1457" s="5">
        <v>6.6527777777777779E-5</v>
      </c>
      <c r="U1457" s="4">
        <v>5.6139439344406128E-2</v>
      </c>
      <c r="V1457" s="4" t="s">
        <v>780</v>
      </c>
      <c r="W1457" s="4" t="s">
        <v>762</v>
      </c>
      <c r="X1457" s="6" t="s">
        <v>617</v>
      </c>
    </row>
    <row r="1458" spans="1:24">
      <c r="A1458" s="4" t="s">
        <v>1024</v>
      </c>
      <c r="B1458" s="4" t="s">
        <v>1025</v>
      </c>
      <c r="D1458" s="4" t="s">
        <v>716</v>
      </c>
      <c r="E1458" s="4" t="s">
        <v>717</v>
      </c>
      <c r="M1458" s="4" t="s">
        <v>762</v>
      </c>
      <c r="N1458" s="4">
        <v>-71.631686359999989</v>
      </c>
      <c r="O1458" s="4">
        <v>3.7836573160000002</v>
      </c>
      <c r="P1458" s="4" t="s">
        <v>734</v>
      </c>
      <c r="Q1458" s="4" t="s">
        <v>735</v>
      </c>
      <c r="R1458" s="4" t="s">
        <v>730</v>
      </c>
      <c r="S1458" s="2">
        <v>46174.705041099536</v>
      </c>
      <c r="T1458" s="5">
        <v>1.6613425925925926E-4</v>
      </c>
      <c r="U1458" s="4">
        <v>0.14258399605751038</v>
      </c>
      <c r="V1458" s="4" t="s">
        <v>798</v>
      </c>
      <c r="W1458" s="4" t="s">
        <v>762</v>
      </c>
      <c r="X1458" s="6" t="s">
        <v>617</v>
      </c>
    </row>
    <row r="1459" spans="1:24">
      <c r="A1459" s="4" t="s">
        <v>1024</v>
      </c>
      <c r="B1459" s="4" t="s">
        <v>1025</v>
      </c>
      <c r="D1459" s="4" t="s">
        <v>716</v>
      </c>
      <c r="E1459" s="4" t="s">
        <v>717</v>
      </c>
      <c r="M1459" s="4" t="s">
        <v>762</v>
      </c>
      <c r="N1459" s="4">
        <v>-71.630110286600001</v>
      </c>
      <c r="O1459" s="4">
        <v>3.7831251954899998</v>
      </c>
      <c r="P1459" s="4" t="s">
        <v>734</v>
      </c>
      <c r="Q1459" s="4" t="s">
        <v>735</v>
      </c>
      <c r="R1459" s="4" t="s">
        <v>730</v>
      </c>
      <c r="S1459" s="2">
        <v>46174.705290231483</v>
      </c>
      <c r="T1459" s="5">
        <v>3.3502314814814815E-4</v>
      </c>
      <c r="U1459" s="4">
        <v>0.31123006343841553</v>
      </c>
      <c r="V1459" s="4" t="s">
        <v>758</v>
      </c>
      <c r="W1459" s="4" t="s">
        <v>762</v>
      </c>
      <c r="X1459" s="6" t="s">
        <v>617</v>
      </c>
    </row>
    <row r="1460" spans="1:24">
      <c r="A1460" s="4" t="s">
        <v>1024</v>
      </c>
      <c r="B1460" s="4" t="s">
        <v>1025</v>
      </c>
      <c r="D1460" s="4" t="s">
        <v>716</v>
      </c>
      <c r="E1460" s="4" t="s">
        <v>717</v>
      </c>
      <c r="M1460" s="4" t="s">
        <v>757</v>
      </c>
      <c r="N1460" s="4">
        <v>-71.629730199999997</v>
      </c>
      <c r="O1460" s="4">
        <v>3.7828168899999999</v>
      </c>
      <c r="P1460" s="4" t="s">
        <v>734</v>
      </c>
      <c r="Q1460" s="4" t="s">
        <v>735</v>
      </c>
      <c r="R1460" s="4" t="s">
        <v>730</v>
      </c>
      <c r="S1460" s="2">
        <v>46174.705351261575</v>
      </c>
      <c r="T1460" s="5">
        <v>1.0802083333333333E-4</v>
      </c>
      <c r="U1460" s="4">
        <v>0.10523494333028793</v>
      </c>
      <c r="V1460" s="4" t="s">
        <v>758</v>
      </c>
      <c r="W1460" s="4" t="s">
        <v>757</v>
      </c>
      <c r="X1460" s="6" t="s">
        <v>617</v>
      </c>
    </row>
    <row r="1461" spans="1:24">
      <c r="A1461" s="4" t="s">
        <v>1024</v>
      </c>
      <c r="B1461" s="4" t="s">
        <v>1025</v>
      </c>
      <c r="D1461" s="4" t="s">
        <v>716</v>
      </c>
      <c r="E1461" s="4" t="s">
        <v>717</v>
      </c>
      <c r="M1461" s="4" t="s">
        <v>762</v>
      </c>
      <c r="N1461" s="4">
        <v>-71.6275351946</v>
      </c>
      <c r="O1461" s="4">
        <v>3.7810389258000003</v>
      </c>
      <c r="P1461" s="4" t="s">
        <v>802</v>
      </c>
      <c r="Q1461" s="4" t="s">
        <v>803</v>
      </c>
      <c r="R1461" s="4" t="s">
        <v>730</v>
      </c>
      <c r="S1461" s="2">
        <v>46174.705746979169</v>
      </c>
      <c r="T1461" s="5">
        <v>1.0858796296296296E-4</v>
      </c>
      <c r="U1461" s="4">
        <v>8.615468442440033E-2</v>
      </c>
      <c r="V1461" s="4" t="s">
        <v>851</v>
      </c>
      <c r="W1461" s="4" t="s">
        <v>762</v>
      </c>
      <c r="X1461" s="6" t="s">
        <v>617</v>
      </c>
    </row>
    <row r="1462" spans="1:24">
      <c r="A1462" s="4" t="s">
        <v>1024</v>
      </c>
      <c r="B1462" s="4" t="s">
        <v>1025</v>
      </c>
      <c r="D1462" s="4" t="s">
        <v>716</v>
      </c>
      <c r="E1462" s="4" t="s">
        <v>717</v>
      </c>
      <c r="M1462" s="4" t="s">
        <v>645</v>
      </c>
      <c r="N1462" s="4">
        <v>-71.62638798355556</v>
      </c>
      <c r="O1462" s="4">
        <v>3.7809698502133333</v>
      </c>
      <c r="P1462" s="4" t="s">
        <v>739</v>
      </c>
      <c r="Q1462" s="4" t="s">
        <v>740</v>
      </c>
      <c r="R1462" s="4" t="s">
        <v>730</v>
      </c>
      <c r="S1462" s="2">
        <v>46174.705954409721</v>
      </c>
      <c r="T1462" s="5">
        <v>3.3361111111111113E-4</v>
      </c>
      <c r="U1462" s="4">
        <v>0.13932821154594421</v>
      </c>
      <c r="V1462" s="4" t="s">
        <v>761</v>
      </c>
      <c r="W1462" s="4" t="s">
        <v>645</v>
      </c>
      <c r="X1462" s="6" t="s">
        <v>617</v>
      </c>
    </row>
    <row r="1463" spans="1:24">
      <c r="A1463" s="4" t="s">
        <v>1024</v>
      </c>
      <c r="B1463" s="4" t="s">
        <v>1025</v>
      </c>
      <c r="D1463" s="4" t="s">
        <v>716</v>
      </c>
      <c r="E1463" s="4" t="s">
        <v>717</v>
      </c>
      <c r="M1463" s="4" t="s">
        <v>757</v>
      </c>
      <c r="N1463" s="4">
        <v>-71.614282844428857</v>
      </c>
      <c r="O1463" s="4">
        <v>3.7796461292525052</v>
      </c>
      <c r="P1463" s="4" t="s">
        <v>776</v>
      </c>
      <c r="Q1463" s="4" t="s">
        <v>743</v>
      </c>
      <c r="R1463" s="4" t="s">
        <v>730</v>
      </c>
      <c r="S1463" s="2">
        <v>46174.708507777781</v>
      </c>
      <c r="T1463" s="5">
        <v>2.811111111111111E-4</v>
      </c>
      <c r="U1463" s="4">
        <v>0.27968403697013855</v>
      </c>
      <c r="V1463" s="4" t="s">
        <v>778</v>
      </c>
      <c r="W1463" s="4" t="s">
        <v>757</v>
      </c>
      <c r="X1463" s="6" t="s">
        <v>617</v>
      </c>
    </row>
    <row r="1464" spans="1:24">
      <c r="A1464" s="4" t="s">
        <v>1024</v>
      </c>
      <c r="B1464" s="4" t="s">
        <v>1025</v>
      </c>
      <c r="D1464" s="4" t="s">
        <v>716</v>
      </c>
      <c r="E1464" s="4" t="s">
        <v>717</v>
      </c>
      <c r="M1464" s="4" t="s">
        <v>757</v>
      </c>
      <c r="N1464" s="4">
        <v>-71.616554300000004</v>
      </c>
      <c r="O1464" s="4">
        <v>3.77855206</v>
      </c>
      <c r="P1464" s="4" t="s">
        <v>776</v>
      </c>
      <c r="Q1464" s="4" t="s">
        <v>743</v>
      </c>
      <c r="R1464" s="4" t="s">
        <v>730</v>
      </c>
      <c r="S1464" s="2">
        <v>46174.708788888885</v>
      </c>
      <c r="T1464" s="5">
        <v>1.7348379629629631E-4</v>
      </c>
      <c r="U1464" s="4">
        <v>0.17225900292396545</v>
      </c>
      <c r="V1464" s="4" t="s">
        <v>774</v>
      </c>
      <c r="W1464" s="4" t="s">
        <v>757</v>
      </c>
      <c r="X1464" s="6" t="s">
        <v>617</v>
      </c>
    </row>
    <row r="1465" spans="1:24">
      <c r="A1465" s="4" t="s">
        <v>1024</v>
      </c>
      <c r="B1465" s="4" t="s">
        <v>1025</v>
      </c>
      <c r="D1465" s="4" t="s">
        <v>716</v>
      </c>
      <c r="E1465" s="4" t="s">
        <v>717</v>
      </c>
      <c r="M1465" s="4" t="s">
        <v>757</v>
      </c>
      <c r="N1465" s="4">
        <v>-71.618862150000012</v>
      </c>
      <c r="O1465" s="4">
        <v>3.7718312699999998</v>
      </c>
      <c r="P1465" s="4" t="s">
        <v>776</v>
      </c>
      <c r="Q1465" s="4" t="s">
        <v>743</v>
      </c>
      <c r="R1465" s="4" t="s">
        <v>730</v>
      </c>
      <c r="S1465" s="2">
        <v>46174.709662604168</v>
      </c>
      <c r="T1465" s="5">
        <v>1.4467602592592592E-4</v>
      </c>
      <c r="U1465" s="4">
        <v>0.14392058551311493</v>
      </c>
      <c r="V1465" s="4" t="s">
        <v>847</v>
      </c>
      <c r="W1465" s="4" t="s">
        <v>757</v>
      </c>
      <c r="X1465" s="6" t="s">
        <v>617</v>
      </c>
    </row>
    <row r="1466" spans="1:24">
      <c r="A1466" s="4" t="s">
        <v>1024</v>
      </c>
      <c r="B1466" s="4" t="s">
        <v>1025</v>
      </c>
      <c r="D1466" s="4" t="s">
        <v>716</v>
      </c>
      <c r="E1466" s="4" t="s">
        <v>717</v>
      </c>
      <c r="M1466" s="4" t="s">
        <v>757</v>
      </c>
      <c r="N1466" s="4">
        <v>-71.621280650000003</v>
      </c>
      <c r="O1466" s="4">
        <v>3.7689214900000003</v>
      </c>
      <c r="P1466" s="4" t="s">
        <v>779</v>
      </c>
      <c r="Q1466" s="4" t="s">
        <v>743</v>
      </c>
      <c r="R1466" s="4" t="s">
        <v>730</v>
      </c>
      <c r="S1466" s="2">
        <v>46174.710137141206</v>
      </c>
      <c r="T1466" s="5">
        <v>2.719908407407407E-4</v>
      </c>
      <c r="U1466" s="4">
        <v>0.26867902278900146</v>
      </c>
      <c r="V1466" s="4" t="s">
        <v>774</v>
      </c>
      <c r="W1466" s="4" t="s">
        <v>757</v>
      </c>
      <c r="X1466" s="6" t="s">
        <v>617</v>
      </c>
    </row>
    <row r="1467" spans="1:24">
      <c r="A1467" s="4" t="s">
        <v>1024</v>
      </c>
      <c r="B1467" s="4" t="s">
        <v>1025</v>
      </c>
      <c r="D1467" s="4" t="s">
        <v>716</v>
      </c>
      <c r="E1467" s="4" t="s">
        <v>717</v>
      </c>
      <c r="M1467" s="4" t="s">
        <v>757</v>
      </c>
      <c r="N1467" s="4">
        <v>-71.622975665400006</v>
      </c>
      <c r="O1467" s="4">
        <v>3.7668637789325001</v>
      </c>
      <c r="P1467" s="4" t="s">
        <v>795</v>
      </c>
      <c r="Q1467" s="4" t="s">
        <v>743</v>
      </c>
      <c r="R1467" s="4" t="s">
        <v>730</v>
      </c>
      <c r="S1467" s="2">
        <v>46174.710447708334</v>
      </c>
      <c r="T1467" s="5">
        <v>2.1605324074074075E-4</v>
      </c>
      <c r="U1467" s="4">
        <v>0.21432431042194366</v>
      </c>
      <c r="V1467" s="4" t="s">
        <v>847</v>
      </c>
      <c r="W1467" s="4" t="s">
        <v>757</v>
      </c>
      <c r="X1467" s="6" t="s">
        <v>617</v>
      </c>
    </row>
    <row r="1468" spans="1:24">
      <c r="A1468" s="4" t="s">
        <v>1024</v>
      </c>
      <c r="B1468" s="4" t="s">
        <v>1025</v>
      </c>
      <c r="D1468" s="4" t="s">
        <v>716</v>
      </c>
      <c r="E1468" s="4" t="s">
        <v>717</v>
      </c>
      <c r="M1468" s="4" t="s">
        <v>757</v>
      </c>
      <c r="N1468" s="4">
        <v>-71.6220965017</v>
      </c>
      <c r="O1468" s="4">
        <v>3.7645424515150001</v>
      </c>
      <c r="P1468" s="4" t="s">
        <v>795</v>
      </c>
      <c r="Q1468" s="4" t="s">
        <v>743</v>
      </c>
      <c r="R1468" s="4" t="s">
        <v>730</v>
      </c>
      <c r="S1468" s="2">
        <v>46174.710728240738</v>
      </c>
      <c r="T1468" s="5">
        <v>7.630671296296296E-4</v>
      </c>
      <c r="U1468" s="4">
        <v>0.81365519762039185</v>
      </c>
      <c r="V1468" s="4" t="s">
        <v>849</v>
      </c>
      <c r="W1468" s="4" t="s">
        <v>757</v>
      </c>
      <c r="X1468" s="6" t="s">
        <v>617</v>
      </c>
    </row>
    <row r="1469" spans="1:24">
      <c r="A1469" s="4" t="s">
        <v>1024</v>
      </c>
      <c r="B1469" s="4" t="s">
        <v>1025</v>
      </c>
      <c r="D1469" s="4" t="s">
        <v>716</v>
      </c>
      <c r="E1469" s="4" t="s">
        <v>717</v>
      </c>
      <c r="M1469" s="4" t="s">
        <v>757</v>
      </c>
      <c r="N1469" s="4">
        <v>-71.62038169818571</v>
      </c>
      <c r="O1469" s="4">
        <v>3.7564578519485714</v>
      </c>
      <c r="P1469" s="4" t="s">
        <v>795</v>
      </c>
      <c r="Q1469" s="4" t="s">
        <v>743</v>
      </c>
      <c r="R1469" s="4" t="s">
        <v>730</v>
      </c>
      <c r="S1469" s="2">
        <v>46174.711608981481</v>
      </c>
      <c r="T1469" s="5">
        <v>3.0312500000000002E-5</v>
      </c>
      <c r="U1469" s="4">
        <v>3.0058782547712326E-2</v>
      </c>
      <c r="V1469" s="4" t="s">
        <v>758</v>
      </c>
      <c r="W1469" s="4" t="s">
        <v>757</v>
      </c>
      <c r="X1469" s="6" t="s">
        <v>617</v>
      </c>
    </row>
    <row r="1470" spans="1:24">
      <c r="A1470" s="4" t="s">
        <v>1024</v>
      </c>
      <c r="B1470" s="4" t="s">
        <v>1025</v>
      </c>
      <c r="D1470" s="4" t="s">
        <v>716</v>
      </c>
      <c r="E1470" s="4" t="s">
        <v>717</v>
      </c>
      <c r="M1470" s="4" t="s">
        <v>614</v>
      </c>
      <c r="N1470" s="4">
        <v>-71.620742800000002</v>
      </c>
      <c r="O1470" s="4">
        <v>3.7559001400000001</v>
      </c>
      <c r="P1470" s="4" t="s">
        <v>795</v>
      </c>
      <c r="Q1470" s="4" t="s">
        <v>743</v>
      </c>
      <c r="R1470" s="4" t="s">
        <v>730</v>
      </c>
      <c r="S1470" s="2">
        <v>46174.712052650466</v>
      </c>
      <c r="T1470" s="5">
        <v>9.8265162037037036E-3</v>
      </c>
      <c r="U1470" s="4">
        <v>9.928165003657341E-3</v>
      </c>
      <c r="V1470" s="4" t="s">
        <v>616</v>
      </c>
      <c r="W1470" s="4" t="s">
        <v>614</v>
      </c>
      <c r="X1470" s="6" t="s">
        <v>617</v>
      </c>
    </row>
    <row r="1471" spans="1:24">
      <c r="A1471" s="4" t="s">
        <v>1024</v>
      </c>
      <c r="B1471" s="4" t="s">
        <v>1025</v>
      </c>
      <c r="D1471" s="4" t="s">
        <v>716</v>
      </c>
      <c r="E1471" s="4" t="s">
        <v>717</v>
      </c>
      <c r="M1471" s="4" t="s">
        <v>757</v>
      </c>
      <c r="N1471" s="4">
        <v>-71.620887750000009</v>
      </c>
      <c r="O1471" s="4">
        <v>3.7582547699999997</v>
      </c>
      <c r="P1471" s="4" t="s">
        <v>795</v>
      </c>
      <c r="Q1471" s="4" t="s">
        <v>743</v>
      </c>
      <c r="R1471" s="4" t="s">
        <v>730</v>
      </c>
      <c r="S1471" s="2">
        <v>46174.723481990739</v>
      </c>
      <c r="T1471" s="5">
        <v>3.413888888888889E-4</v>
      </c>
      <c r="U1471" s="4">
        <v>0.34324789047241211</v>
      </c>
      <c r="V1471" s="4" t="s">
        <v>774</v>
      </c>
      <c r="W1471" s="4" t="s">
        <v>757</v>
      </c>
      <c r="X1471" s="6" t="s">
        <v>617</v>
      </c>
    </row>
    <row r="1472" spans="1:24">
      <c r="A1472" s="4" t="s">
        <v>1024</v>
      </c>
      <c r="B1472" s="4" t="s">
        <v>1025</v>
      </c>
      <c r="D1472" s="4" t="s">
        <v>716</v>
      </c>
      <c r="E1472" s="4" t="s">
        <v>717</v>
      </c>
      <c r="M1472" s="4" t="s">
        <v>757</v>
      </c>
      <c r="N1472" s="4">
        <v>-71.621242525</v>
      </c>
      <c r="O1472" s="4">
        <v>3.7624568924999999</v>
      </c>
      <c r="P1472" s="4" t="s">
        <v>795</v>
      </c>
      <c r="Q1472" s="4" t="s">
        <v>743</v>
      </c>
      <c r="R1472" s="4" t="s">
        <v>730</v>
      </c>
      <c r="S1472" s="2">
        <v>46174.723953576387</v>
      </c>
      <c r="T1472" s="5">
        <v>4.4849537037037037E-4</v>
      </c>
      <c r="U1472" s="4">
        <v>0.44095170497894287</v>
      </c>
      <c r="V1472" s="4" t="s">
        <v>847</v>
      </c>
      <c r="W1472" s="4" t="s">
        <v>757</v>
      </c>
      <c r="X1472" s="6" t="s">
        <v>617</v>
      </c>
    </row>
    <row r="1473" spans="1:24">
      <c r="A1473" s="4" t="s">
        <v>1024</v>
      </c>
      <c r="B1473" s="4" t="s">
        <v>1025</v>
      </c>
      <c r="D1473" s="4" t="s">
        <v>716</v>
      </c>
      <c r="E1473" s="4" t="s">
        <v>717</v>
      </c>
      <c r="M1473" s="4" t="s">
        <v>757</v>
      </c>
      <c r="N1473" s="4">
        <v>-71.622703566666672</v>
      </c>
      <c r="O1473" s="4">
        <v>3.7672234366666668</v>
      </c>
      <c r="P1473" s="4" t="s">
        <v>795</v>
      </c>
      <c r="Q1473" s="4" t="s">
        <v>743</v>
      </c>
      <c r="R1473" s="4" t="s">
        <v>730</v>
      </c>
      <c r="S1473" s="2">
        <v>46174.724552650463</v>
      </c>
      <c r="T1473" s="5">
        <v>4.5127314814814813E-4</v>
      </c>
      <c r="U1473" s="4">
        <v>0.44976136088371277</v>
      </c>
      <c r="V1473" s="4" t="s">
        <v>774</v>
      </c>
      <c r="W1473" s="4" t="s">
        <v>757</v>
      </c>
      <c r="X1473" s="6" t="s">
        <v>617</v>
      </c>
    </row>
    <row r="1474" spans="1:24">
      <c r="A1474" s="4" t="s">
        <v>1024</v>
      </c>
      <c r="B1474" s="4" t="s">
        <v>1025</v>
      </c>
      <c r="D1474" s="4" t="s">
        <v>716</v>
      </c>
      <c r="E1474" s="4" t="s">
        <v>717</v>
      </c>
      <c r="M1474" s="4" t="s">
        <v>757</v>
      </c>
      <c r="N1474" s="4">
        <v>-71.619556469999992</v>
      </c>
      <c r="O1474" s="4">
        <v>3.771006801</v>
      </c>
      <c r="P1474" s="4" t="s">
        <v>779</v>
      </c>
      <c r="Q1474" s="4" t="s">
        <v>743</v>
      </c>
      <c r="R1474" s="4" t="s">
        <v>730</v>
      </c>
      <c r="S1474" s="2">
        <v>46174.725161331022</v>
      </c>
      <c r="T1474" s="5">
        <v>7.9513888888888892E-6</v>
      </c>
      <c r="U1474" s="4">
        <v>7.1536703035235405E-3</v>
      </c>
      <c r="V1474" s="4" t="s">
        <v>758</v>
      </c>
      <c r="W1474" s="4" t="s">
        <v>757</v>
      </c>
      <c r="X1474" s="6" t="s">
        <v>617</v>
      </c>
    </row>
    <row r="1475" spans="1:24">
      <c r="A1475" s="4" t="s">
        <v>1024</v>
      </c>
      <c r="B1475" s="4" t="s">
        <v>1025</v>
      </c>
      <c r="D1475" s="4" t="s">
        <v>716</v>
      </c>
      <c r="E1475" s="4" t="s">
        <v>717</v>
      </c>
      <c r="M1475" s="4" t="s">
        <v>757</v>
      </c>
      <c r="N1475" s="4">
        <v>-71.619846337500007</v>
      </c>
      <c r="O1475" s="4">
        <v>3.7716421812499998</v>
      </c>
      <c r="P1475" s="4" t="s">
        <v>804</v>
      </c>
      <c r="Q1475" s="4" t="s">
        <v>743</v>
      </c>
      <c r="R1475" s="4" t="s">
        <v>730</v>
      </c>
      <c r="S1475" s="2">
        <v>46174.725287488429</v>
      </c>
      <c r="T1475" s="5">
        <v>5.2083433333333337E-5</v>
      </c>
      <c r="U1475" s="4">
        <v>5.0294879823923111E-2</v>
      </c>
      <c r="V1475" s="4" t="s">
        <v>758</v>
      </c>
      <c r="W1475" s="4" t="s">
        <v>757</v>
      </c>
      <c r="X1475" s="6" t="s">
        <v>617</v>
      </c>
    </row>
    <row r="1476" spans="1:24">
      <c r="A1476" s="4" t="s">
        <v>1024</v>
      </c>
      <c r="B1476" s="4" t="s">
        <v>1025</v>
      </c>
      <c r="D1476" s="4" t="s">
        <v>716</v>
      </c>
      <c r="E1476" s="4" t="s">
        <v>717</v>
      </c>
      <c r="M1476" s="4" t="s">
        <v>757</v>
      </c>
      <c r="N1476" s="4">
        <v>-71.620297449999995</v>
      </c>
      <c r="O1476" s="4">
        <v>3.7811288274999999</v>
      </c>
      <c r="P1476" s="4" t="s">
        <v>742</v>
      </c>
      <c r="Q1476" s="4" t="s">
        <v>743</v>
      </c>
      <c r="R1476" s="4" t="s">
        <v>730</v>
      </c>
      <c r="S1476" s="2">
        <v>46174.731650335649</v>
      </c>
      <c r="T1476" s="5">
        <v>3.8136574074074074E-5</v>
      </c>
      <c r="U1476" s="4">
        <v>3.7296444177627563E-2</v>
      </c>
      <c r="V1476" s="4" t="s">
        <v>847</v>
      </c>
      <c r="W1476" s="4" t="s">
        <v>757</v>
      </c>
      <c r="X1476" s="6" t="s">
        <v>617</v>
      </c>
    </row>
    <row r="1477" spans="1:24">
      <c r="A1477" s="4" t="s">
        <v>1024</v>
      </c>
      <c r="B1477" s="4" t="s">
        <v>1025</v>
      </c>
      <c r="D1477" s="4" t="s">
        <v>716</v>
      </c>
      <c r="E1477" s="4" t="s">
        <v>717</v>
      </c>
      <c r="M1477" s="4" t="s">
        <v>645</v>
      </c>
      <c r="N1477" s="4">
        <v>-71.62525874692939</v>
      </c>
      <c r="O1477" s="4">
        <v>3.7810515951510304</v>
      </c>
      <c r="P1477" s="4" t="s">
        <v>759</v>
      </c>
      <c r="Q1477" s="4" t="s">
        <v>760</v>
      </c>
      <c r="R1477" s="4" t="s">
        <v>730</v>
      </c>
      <c r="S1477" s="2">
        <v>46174.732729085648</v>
      </c>
      <c r="T1477" s="5">
        <v>2.628587962962963E-4</v>
      </c>
      <c r="U1477" s="4">
        <v>0.12586846947669983</v>
      </c>
      <c r="V1477" s="4" t="s">
        <v>850</v>
      </c>
      <c r="W1477" s="4" t="s">
        <v>645</v>
      </c>
      <c r="X1477" s="6" t="s">
        <v>617</v>
      </c>
    </row>
    <row r="1478" spans="1:24">
      <c r="A1478" s="4" t="s">
        <v>1024</v>
      </c>
      <c r="B1478" s="4" t="s">
        <v>1025</v>
      </c>
      <c r="D1478" s="4" t="s">
        <v>716</v>
      </c>
      <c r="E1478" s="4" t="s">
        <v>717</v>
      </c>
      <c r="M1478" s="4" t="s">
        <v>762</v>
      </c>
      <c r="N1478" s="4">
        <v>-71.626946723862687</v>
      </c>
      <c r="O1478" s="4">
        <v>3.7810025025162473</v>
      </c>
      <c r="P1478" s="4" t="s">
        <v>802</v>
      </c>
      <c r="Q1478" s="4" t="s">
        <v>803</v>
      </c>
      <c r="R1478" s="4" t="s">
        <v>730</v>
      </c>
      <c r="S1478" s="2">
        <v>46174.7331146875</v>
      </c>
      <c r="T1478" s="5">
        <v>8.6990740740740738E-5</v>
      </c>
      <c r="U1478" s="4">
        <v>7.0119105279445648E-2</v>
      </c>
      <c r="V1478" s="4" t="s">
        <v>780</v>
      </c>
      <c r="W1478" s="4" t="s">
        <v>762</v>
      </c>
      <c r="X1478" s="6" t="s">
        <v>617</v>
      </c>
    </row>
    <row r="1479" spans="1:24">
      <c r="A1479" s="4" t="s">
        <v>1024</v>
      </c>
      <c r="B1479" s="4" t="s">
        <v>1025</v>
      </c>
      <c r="D1479" s="4" t="s">
        <v>716</v>
      </c>
      <c r="E1479" s="4" t="s">
        <v>717</v>
      </c>
      <c r="M1479" s="4" t="s">
        <v>645</v>
      </c>
      <c r="N1479" s="4">
        <v>-71.627889714462896</v>
      </c>
      <c r="O1479" s="4">
        <v>3.7807999097959595</v>
      </c>
      <c r="P1479" s="4" t="s">
        <v>834</v>
      </c>
      <c r="Q1479" s="4" t="s">
        <v>746</v>
      </c>
      <c r="R1479" s="4" t="s">
        <v>720</v>
      </c>
      <c r="S1479" s="2">
        <v>46174.733313576391</v>
      </c>
      <c r="T1479" s="5">
        <v>8.1089120370370375E-4</v>
      </c>
      <c r="U1479" s="4">
        <v>0.53490114212036133</v>
      </c>
      <c r="V1479" s="4" t="s">
        <v>783</v>
      </c>
      <c r="W1479" s="4" t="s">
        <v>645</v>
      </c>
      <c r="X1479" s="6" t="s">
        <v>617</v>
      </c>
    </row>
    <row r="1480" spans="1:24">
      <c r="A1480" s="4" t="s">
        <v>1024</v>
      </c>
      <c r="B1480" s="4" t="s">
        <v>1025</v>
      </c>
      <c r="D1480" s="4" t="s">
        <v>716</v>
      </c>
      <c r="E1480" s="4" t="s">
        <v>717</v>
      </c>
      <c r="M1480" s="4" t="s">
        <v>645</v>
      </c>
      <c r="N1480" s="4">
        <v>-71.629901917983148</v>
      </c>
      <c r="O1480" s="4">
        <v>3.7771397597143266</v>
      </c>
      <c r="P1480" s="4" t="s">
        <v>797</v>
      </c>
      <c r="Q1480" s="4" t="s">
        <v>746</v>
      </c>
      <c r="R1480" s="4" t="s">
        <v>720</v>
      </c>
      <c r="S1480" s="2">
        <v>46174.749130543983</v>
      </c>
      <c r="T1480" s="5">
        <v>8.2616898148148144E-4</v>
      </c>
      <c r="U1480" s="4">
        <v>0.5354350209236145</v>
      </c>
      <c r="V1480" s="4" t="s">
        <v>827</v>
      </c>
      <c r="W1480" s="4" t="s">
        <v>645</v>
      </c>
      <c r="X1480" s="6" t="s">
        <v>617</v>
      </c>
    </row>
    <row r="1481" spans="1:24">
      <c r="A1481" s="4" t="s">
        <v>1024</v>
      </c>
      <c r="B1481" s="4" t="s">
        <v>1025</v>
      </c>
      <c r="D1481" s="4" t="s">
        <v>716</v>
      </c>
      <c r="E1481" s="4" t="s">
        <v>717</v>
      </c>
      <c r="M1481" s="4" t="s">
        <v>762</v>
      </c>
      <c r="N1481" s="4">
        <v>-71.628343038833322</v>
      </c>
      <c r="O1481" s="4">
        <v>3.7812855778066665</v>
      </c>
      <c r="P1481" s="4" t="s">
        <v>734</v>
      </c>
      <c r="Q1481" s="4" t="s">
        <v>735</v>
      </c>
      <c r="R1481" s="4" t="s">
        <v>730</v>
      </c>
      <c r="S1481" s="2">
        <v>46174.750145381942</v>
      </c>
      <c r="T1481" s="5">
        <v>3.4975694444444442E-4</v>
      </c>
      <c r="U1481" s="4">
        <v>0.28822341561317444</v>
      </c>
      <c r="V1481" s="4" t="s">
        <v>780</v>
      </c>
      <c r="W1481" s="4" t="s">
        <v>762</v>
      </c>
      <c r="X1481" s="6" t="s">
        <v>617</v>
      </c>
    </row>
    <row r="1482" spans="1:24">
      <c r="A1482" s="4" t="s">
        <v>1024</v>
      </c>
      <c r="B1482" s="4" t="s">
        <v>1025</v>
      </c>
      <c r="D1482" s="4" t="s">
        <v>716</v>
      </c>
      <c r="E1482" s="4" t="s">
        <v>717</v>
      </c>
      <c r="M1482" s="4" t="s">
        <v>762</v>
      </c>
      <c r="N1482" s="4">
        <v>-71.630561799999995</v>
      </c>
      <c r="O1482" s="4">
        <v>3.7833568999999998</v>
      </c>
      <c r="P1482" s="4" t="s">
        <v>734</v>
      </c>
      <c r="Q1482" s="4" t="s">
        <v>735</v>
      </c>
      <c r="R1482" s="4" t="s">
        <v>730</v>
      </c>
      <c r="S1482" s="2">
        <v>46174.750617812497</v>
      </c>
      <c r="T1482" s="5">
        <v>1.1429398148148148E-4</v>
      </c>
      <c r="U1482" s="4">
        <v>9.3411467969417572E-2</v>
      </c>
      <c r="V1482" s="4" t="s">
        <v>780</v>
      </c>
      <c r="W1482" s="4" t="s">
        <v>762</v>
      </c>
      <c r="X1482" s="6" t="s">
        <v>617</v>
      </c>
    </row>
    <row r="1483" spans="1:24">
      <c r="A1483" s="4" t="s">
        <v>1024</v>
      </c>
      <c r="B1483" s="4" t="s">
        <v>1025</v>
      </c>
      <c r="D1483" s="4" t="s">
        <v>716</v>
      </c>
      <c r="E1483" s="4" t="s">
        <v>717</v>
      </c>
      <c r="M1483" s="4" t="s">
        <v>762</v>
      </c>
      <c r="N1483" s="4">
        <v>-71.63167</v>
      </c>
      <c r="O1483" s="4">
        <v>3.7836535600000003</v>
      </c>
      <c r="P1483" s="4" t="s">
        <v>734</v>
      </c>
      <c r="Q1483" s="4" t="s">
        <v>735</v>
      </c>
      <c r="R1483" s="4" t="s">
        <v>730</v>
      </c>
      <c r="S1483" s="2">
        <v>46174.750779849535</v>
      </c>
      <c r="T1483" s="5">
        <v>1.375E-5</v>
      </c>
      <c r="U1483" s="4">
        <v>9.5417164266109467E-3</v>
      </c>
      <c r="V1483" s="4" t="s">
        <v>763</v>
      </c>
      <c r="W1483" s="4" t="s">
        <v>762</v>
      </c>
      <c r="X1483" s="6" t="s">
        <v>617</v>
      </c>
    </row>
    <row r="1484" spans="1:24">
      <c r="A1484" s="4" t="s">
        <v>1024</v>
      </c>
      <c r="B1484" s="4" t="s">
        <v>1025</v>
      </c>
      <c r="D1484" s="4" t="s">
        <v>716</v>
      </c>
      <c r="E1484" s="4" t="s">
        <v>717</v>
      </c>
      <c r="M1484" s="4" t="s">
        <v>762</v>
      </c>
      <c r="N1484" s="4">
        <v>-71.632464101933337</v>
      </c>
      <c r="O1484" s="4">
        <v>3.7837876035116667</v>
      </c>
      <c r="P1484" s="4" t="s">
        <v>734</v>
      </c>
      <c r="Q1484" s="4" t="s">
        <v>735</v>
      </c>
      <c r="R1484" s="4" t="s">
        <v>730</v>
      </c>
      <c r="S1484" s="2">
        <v>46174.750938032405</v>
      </c>
      <c r="T1484" s="5">
        <v>2.4108796296296297E-5</v>
      </c>
      <c r="U1484" s="4">
        <v>1.6719674691557884E-2</v>
      </c>
      <c r="V1484" s="4" t="s">
        <v>808</v>
      </c>
      <c r="W1484" s="4" t="s">
        <v>762</v>
      </c>
      <c r="X1484" s="6" t="s">
        <v>617</v>
      </c>
    </row>
    <row r="1485" spans="1:24">
      <c r="A1485" s="4" t="s">
        <v>1024</v>
      </c>
      <c r="B1485" s="4" t="s">
        <v>1025</v>
      </c>
      <c r="D1485" s="4" t="s">
        <v>716</v>
      </c>
      <c r="E1485" s="4" t="s">
        <v>717</v>
      </c>
      <c r="M1485" s="4" t="s">
        <v>645</v>
      </c>
      <c r="N1485" s="4">
        <v>-71.63505936192152</v>
      </c>
      <c r="O1485" s="4">
        <v>3.7842406794804209</v>
      </c>
      <c r="P1485" s="4" t="s">
        <v>718</v>
      </c>
      <c r="Q1485" s="4" t="s">
        <v>719</v>
      </c>
      <c r="R1485" s="4" t="s">
        <v>720</v>
      </c>
      <c r="S1485" s="2">
        <v>46174.751400462963</v>
      </c>
      <c r="T1485" s="5">
        <v>3.0196759259259261E-4</v>
      </c>
      <c r="U1485" s="4">
        <v>0.18379375338554382</v>
      </c>
      <c r="V1485" s="4" t="s">
        <v>732</v>
      </c>
      <c r="W1485" s="4" t="s">
        <v>645</v>
      </c>
      <c r="X1485" s="6" t="s">
        <v>617</v>
      </c>
    </row>
    <row r="1486" spans="1:24">
      <c r="A1486" s="4" t="s">
        <v>1024</v>
      </c>
      <c r="B1486" s="4" t="s">
        <v>1025</v>
      </c>
      <c r="D1486" s="4" t="s">
        <v>716</v>
      </c>
      <c r="E1486" s="4" t="s">
        <v>717</v>
      </c>
      <c r="M1486" s="4" t="s">
        <v>762</v>
      </c>
      <c r="N1486" s="4">
        <v>-71.638252300000005</v>
      </c>
      <c r="O1486" s="4">
        <v>3.7843112900000002</v>
      </c>
      <c r="P1486" s="4" t="s">
        <v>734</v>
      </c>
      <c r="Q1486" s="4" t="s">
        <v>735</v>
      </c>
      <c r="R1486" s="4" t="s">
        <v>730</v>
      </c>
      <c r="S1486" s="2">
        <v>46174.751972094906</v>
      </c>
      <c r="T1486" s="5">
        <v>2.5451388888888887E-4</v>
      </c>
      <c r="U1486" s="4">
        <v>0.19939406216144562</v>
      </c>
      <c r="V1486" s="4" t="s">
        <v>843</v>
      </c>
      <c r="W1486" s="4" t="s">
        <v>762</v>
      </c>
      <c r="X1486" s="6" t="s">
        <v>617</v>
      </c>
    </row>
    <row r="1487" spans="1:24">
      <c r="A1487" s="4" t="s">
        <v>1040</v>
      </c>
      <c r="B1487" s="4" t="s">
        <v>1041</v>
      </c>
      <c r="C1487" s="4" t="s">
        <v>1042</v>
      </c>
      <c r="D1487" s="4" t="s">
        <v>716</v>
      </c>
      <c r="E1487" s="4" t="s">
        <v>717</v>
      </c>
      <c r="M1487" s="4" t="s">
        <v>614</v>
      </c>
      <c r="N1487" s="4">
        <v>-71.572746300000006</v>
      </c>
      <c r="O1487" s="4">
        <v>3.7774195700000002</v>
      </c>
      <c r="P1487" s="4" t="s">
        <v>909</v>
      </c>
      <c r="Q1487" s="4" t="s">
        <v>743</v>
      </c>
      <c r="R1487" s="4" t="s">
        <v>730</v>
      </c>
      <c r="S1487" s="2">
        <v>46174.00592880787</v>
      </c>
      <c r="T1487" s="5">
        <v>4.4907407407407405E-3</v>
      </c>
      <c r="U1487" s="4">
        <v>4.5392373576760292E-3</v>
      </c>
      <c r="V1487" s="4" t="s">
        <v>616</v>
      </c>
      <c r="W1487" s="4" t="s">
        <v>614</v>
      </c>
      <c r="X1487" s="6" t="s">
        <v>617</v>
      </c>
    </row>
    <row r="1488" spans="1:24">
      <c r="A1488" s="4" t="s">
        <v>1040</v>
      </c>
      <c r="B1488" s="4" t="s">
        <v>1041</v>
      </c>
      <c r="C1488" s="4" t="s">
        <v>1042</v>
      </c>
      <c r="D1488" s="4" t="s">
        <v>716</v>
      </c>
      <c r="E1488" s="4" t="s">
        <v>717</v>
      </c>
      <c r="M1488" s="4" t="s">
        <v>754</v>
      </c>
      <c r="N1488" s="4">
        <v>-71.572746300000006</v>
      </c>
      <c r="O1488" s="4">
        <v>3.77742887</v>
      </c>
      <c r="P1488" s="4" t="s">
        <v>909</v>
      </c>
      <c r="Q1488" s="4" t="s">
        <v>743</v>
      </c>
      <c r="R1488" s="4" t="s">
        <v>730</v>
      </c>
      <c r="S1488" s="2">
        <v>46174.011438067129</v>
      </c>
      <c r="T1488" s="5">
        <v>1.9947916666666668E-4</v>
      </c>
      <c r="U1488" s="4">
        <v>8.2688279449939728E-2</v>
      </c>
      <c r="V1488" s="4" t="s">
        <v>820</v>
      </c>
      <c r="W1488" s="4" t="s">
        <v>754</v>
      </c>
      <c r="X1488" s="6" t="s">
        <v>617</v>
      </c>
    </row>
    <row r="1489" spans="1:24">
      <c r="A1489" s="4" t="s">
        <v>1040</v>
      </c>
      <c r="B1489" s="4" t="s">
        <v>1041</v>
      </c>
      <c r="C1489" s="4" t="s">
        <v>1042</v>
      </c>
      <c r="D1489" s="4" t="s">
        <v>716</v>
      </c>
      <c r="E1489" s="4" t="s">
        <v>717</v>
      </c>
      <c r="M1489" s="4" t="s">
        <v>645</v>
      </c>
      <c r="N1489" s="4">
        <v>-71.534774749999997</v>
      </c>
      <c r="O1489" s="4">
        <v>3.80294657</v>
      </c>
      <c r="P1489" s="4" t="s">
        <v>749</v>
      </c>
      <c r="Q1489" s="4" t="s">
        <v>746</v>
      </c>
      <c r="R1489" s="4" t="s">
        <v>720</v>
      </c>
      <c r="S1489" s="2">
        <v>46174.047295243057</v>
      </c>
      <c r="T1489" s="5">
        <v>2.3726861851851853E-4</v>
      </c>
      <c r="U1489" s="4">
        <v>5.2955590188503265E-2</v>
      </c>
      <c r="V1489" s="4" t="s">
        <v>724</v>
      </c>
      <c r="W1489" s="4" t="s">
        <v>645</v>
      </c>
      <c r="X1489" s="6" t="s">
        <v>617</v>
      </c>
    </row>
    <row r="1490" spans="1:24">
      <c r="A1490" s="4" t="s">
        <v>1040</v>
      </c>
      <c r="B1490" s="4" t="s">
        <v>1041</v>
      </c>
      <c r="C1490" s="4" t="s">
        <v>1042</v>
      </c>
      <c r="D1490" s="4" t="s">
        <v>716</v>
      </c>
      <c r="E1490" s="4" t="s">
        <v>717</v>
      </c>
      <c r="M1490" s="4" t="s">
        <v>645</v>
      </c>
      <c r="N1490" s="4">
        <v>-71.530090333333334</v>
      </c>
      <c r="O1490" s="4">
        <v>3.8028687666666667</v>
      </c>
      <c r="P1490" s="4" t="s">
        <v>747</v>
      </c>
      <c r="Q1490" s="4" t="s">
        <v>746</v>
      </c>
      <c r="R1490" s="4" t="s">
        <v>720</v>
      </c>
      <c r="S1490" s="2">
        <v>46174.100638842596</v>
      </c>
      <c r="T1490" s="5">
        <v>2.0813657407407407E-4</v>
      </c>
      <c r="U1490" s="4">
        <v>5.0523638725280762E-2</v>
      </c>
      <c r="V1490" s="4" t="s">
        <v>724</v>
      </c>
      <c r="W1490" s="4" t="s">
        <v>645</v>
      </c>
      <c r="X1490" s="6" t="s">
        <v>617</v>
      </c>
    </row>
    <row r="1491" spans="1:24">
      <c r="A1491" s="4" t="s">
        <v>1040</v>
      </c>
      <c r="B1491" s="4" t="s">
        <v>1041</v>
      </c>
      <c r="C1491" s="4" t="s">
        <v>1042</v>
      </c>
      <c r="D1491" s="4" t="s">
        <v>716</v>
      </c>
      <c r="E1491" s="4" t="s">
        <v>717</v>
      </c>
      <c r="M1491" s="4" t="s">
        <v>645</v>
      </c>
      <c r="N1491" s="4">
        <v>-71.530250499999994</v>
      </c>
      <c r="O1491" s="4">
        <v>3.8034231699999999</v>
      </c>
      <c r="P1491" s="4" t="s">
        <v>747</v>
      </c>
      <c r="Q1491" s="4" t="s">
        <v>746</v>
      </c>
      <c r="R1491" s="4" t="s">
        <v>720</v>
      </c>
      <c r="S1491" s="2">
        <v>46174.102691192129</v>
      </c>
      <c r="T1491" s="5">
        <v>9.0277777777777774E-4</v>
      </c>
      <c r="U1491" s="4">
        <v>0.22012625634670258</v>
      </c>
      <c r="V1491" s="4" t="s">
        <v>724</v>
      </c>
      <c r="W1491" s="4" t="s">
        <v>645</v>
      </c>
      <c r="X1491" s="6" t="s">
        <v>617</v>
      </c>
    </row>
    <row r="1492" spans="1:24">
      <c r="A1492" s="4" t="s">
        <v>1040</v>
      </c>
      <c r="B1492" s="4" t="s">
        <v>1041</v>
      </c>
      <c r="C1492" s="4" t="s">
        <v>1042</v>
      </c>
      <c r="D1492" s="4" t="s">
        <v>716</v>
      </c>
      <c r="E1492" s="4" t="s">
        <v>717</v>
      </c>
      <c r="M1492" s="4" t="s">
        <v>645</v>
      </c>
      <c r="N1492" s="4">
        <v>-71.532195999999999</v>
      </c>
      <c r="O1492" s="4">
        <v>3.8061256399999999</v>
      </c>
      <c r="P1492" s="4" t="s">
        <v>749</v>
      </c>
      <c r="Q1492" s="4" t="s">
        <v>746</v>
      </c>
      <c r="R1492" s="4" t="s">
        <v>720</v>
      </c>
      <c r="S1492" s="2">
        <v>46174.104369444445</v>
      </c>
      <c r="T1492" s="5">
        <v>2.0487152777777778E-3</v>
      </c>
      <c r="U1492" s="4">
        <v>0.53964823484420776</v>
      </c>
      <c r="V1492" s="4" t="s">
        <v>666</v>
      </c>
      <c r="W1492" s="4" t="s">
        <v>645</v>
      </c>
      <c r="X1492" s="6" t="s">
        <v>617</v>
      </c>
    </row>
    <row r="1493" spans="1:24">
      <c r="A1493" s="4" t="s">
        <v>1040</v>
      </c>
      <c r="B1493" s="4" t="s">
        <v>1041</v>
      </c>
      <c r="C1493" s="4" t="s">
        <v>1042</v>
      </c>
      <c r="D1493" s="4" t="s">
        <v>716</v>
      </c>
      <c r="E1493" s="4" t="s">
        <v>717</v>
      </c>
      <c r="M1493" s="4" t="s">
        <v>645</v>
      </c>
      <c r="N1493" s="4">
        <v>-71.534759500000007</v>
      </c>
      <c r="O1493" s="4">
        <v>3.8030247699999999</v>
      </c>
      <c r="P1493" s="4" t="s">
        <v>745</v>
      </c>
      <c r="Q1493" s="4" t="s">
        <v>746</v>
      </c>
      <c r="R1493" s="4" t="s">
        <v>720</v>
      </c>
      <c r="S1493" s="2">
        <v>46174.106418159725</v>
      </c>
      <c r="T1493" s="5">
        <v>2.1063657407407408E-4</v>
      </c>
      <c r="U1493" s="4">
        <v>6.4384713768959045E-2</v>
      </c>
      <c r="V1493" s="4" t="s">
        <v>731</v>
      </c>
      <c r="W1493" s="4" t="s">
        <v>645</v>
      </c>
      <c r="X1493" s="6" t="s">
        <v>617</v>
      </c>
    </row>
    <row r="1494" spans="1:24">
      <c r="A1494" s="4" t="s">
        <v>1040</v>
      </c>
      <c r="B1494" s="4" t="s">
        <v>1041</v>
      </c>
      <c r="C1494" s="4" t="s">
        <v>1042</v>
      </c>
      <c r="D1494" s="4" t="s">
        <v>716</v>
      </c>
      <c r="E1494" s="4" t="s">
        <v>717</v>
      </c>
      <c r="M1494" s="4" t="s">
        <v>645</v>
      </c>
      <c r="N1494" s="4">
        <v>-71.625226272945454</v>
      </c>
      <c r="O1494" s="4">
        <v>3.7810530969745453</v>
      </c>
      <c r="P1494" s="4" t="s">
        <v>759</v>
      </c>
      <c r="Q1494" s="4" t="s">
        <v>760</v>
      </c>
      <c r="R1494" s="4" t="s">
        <v>730</v>
      </c>
      <c r="S1494" s="2">
        <v>46174.127321990738</v>
      </c>
      <c r="T1494" s="5">
        <v>1.0837962962962963E-4</v>
      </c>
      <c r="U1494" s="4">
        <v>4.7139637172222137E-2</v>
      </c>
      <c r="V1494" s="4" t="s">
        <v>864</v>
      </c>
      <c r="W1494" s="4" t="s">
        <v>645</v>
      </c>
      <c r="X1494" s="6" t="s">
        <v>617</v>
      </c>
    </row>
    <row r="1495" spans="1:24">
      <c r="A1495" s="4" t="s">
        <v>1040</v>
      </c>
      <c r="B1495" s="4" t="s">
        <v>1041</v>
      </c>
      <c r="C1495" s="4" t="s">
        <v>1042</v>
      </c>
      <c r="D1495" s="4" t="s">
        <v>716</v>
      </c>
      <c r="E1495" s="4" t="s">
        <v>717</v>
      </c>
      <c r="M1495" s="4" t="s">
        <v>645</v>
      </c>
      <c r="N1495" s="4">
        <v>-71.625747700000005</v>
      </c>
      <c r="O1495" s="4">
        <v>3.7809646150000003</v>
      </c>
      <c r="P1495" s="4" t="s">
        <v>759</v>
      </c>
      <c r="Q1495" s="4" t="s">
        <v>760</v>
      </c>
      <c r="R1495" s="4" t="s">
        <v>730</v>
      </c>
      <c r="S1495" s="2">
        <v>46174.127482974538</v>
      </c>
      <c r="T1495" s="5">
        <v>1.6664351851851852E-4</v>
      </c>
      <c r="U1495" s="4">
        <v>4.9763817340135574E-2</v>
      </c>
      <c r="V1495" s="4" t="s">
        <v>666</v>
      </c>
      <c r="W1495" s="4" t="s">
        <v>645</v>
      </c>
      <c r="X1495" s="6" t="s">
        <v>617</v>
      </c>
    </row>
    <row r="1496" spans="1:24">
      <c r="A1496" s="4" t="s">
        <v>1040</v>
      </c>
      <c r="B1496" s="4" t="s">
        <v>1041</v>
      </c>
      <c r="C1496" s="4" t="s">
        <v>1042</v>
      </c>
      <c r="D1496" s="4" t="s">
        <v>716</v>
      </c>
      <c r="E1496" s="4" t="s">
        <v>717</v>
      </c>
      <c r="M1496" s="4" t="s">
        <v>645</v>
      </c>
      <c r="N1496" s="4">
        <v>-71.62626877999999</v>
      </c>
      <c r="O1496" s="4">
        <v>3.780958794</v>
      </c>
      <c r="P1496" s="4" t="s">
        <v>770</v>
      </c>
      <c r="Q1496" s="4" t="s">
        <v>740</v>
      </c>
      <c r="R1496" s="4" t="s">
        <v>730</v>
      </c>
      <c r="S1496" s="2">
        <v>46174.127676261574</v>
      </c>
      <c r="T1496" s="5">
        <v>3.903935185185185E-5</v>
      </c>
      <c r="U1496" s="4">
        <v>1.3480017893016338E-2</v>
      </c>
      <c r="V1496" s="4" t="s">
        <v>771</v>
      </c>
      <c r="W1496" s="4" t="s">
        <v>645</v>
      </c>
      <c r="X1496" s="6" t="s">
        <v>617</v>
      </c>
    </row>
    <row r="1497" spans="1:24">
      <c r="A1497" s="4" t="s">
        <v>1040</v>
      </c>
      <c r="B1497" s="4" t="s">
        <v>1041</v>
      </c>
      <c r="C1497" s="4" t="s">
        <v>1042</v>
      </c>
      <c r="D1497" s="4" t="s">
        <v>716</v>
      </c>
      <c r="E1497" s="4" t="s">
        <v>717</v>
      </c>
      <c r="M1497" s="4" t="s">
        <v>645</v>
      </c>
      <c r="N1497" s="4">
        <v>-71.627877695018768</v>
      </c>
      <c r="O1497" s="4">
        <v>3.7807999268110137</v>
      </c>
      <c r="P1497" s="4" t="s">
        <v>834</v>
      </c>
      <c r="Q1497" s="4" t="s">
        <v>746</v>
      </c>
      <c r="R1497" s="4" t="s">
        <v>720</v>
      </c>
      <c r="S1497" s="2">
        <v>46174.128067442129</v>
      </c>
      <c r="T1497" s="5">
        <v>1.5627314814814814E-4</v>
      </c>
      <c r="U1497" s="4">
        <v>6.7848503589630127E-2</v>
      </c>
      <c r="V1497" s="4" t="s">
        <v>761</v>
      </c>
      <c r="W1497" s="4" t="s">
        <v>645</v>
      </c>
      <c r="X1497" s="6" t="s">
        <v>617</v>
      </c>
    </row>
    <row r="1498" spans="1:24">
      <c r="A1498" s="4" t="s">
        <v>1040</v>
      </c>
      <c r="B1498" s="4" t="s">
        <v>1041</v>
      </c>
      <c r="C1498" s="4" t="s">
        <v>1042</v>
      </c>
      <c r="D1498" s="4" t="s">
        <v>716</v>
      </c>
      <c r="E1498" s="4" t="s">
        <v>717</v>
      </c>
      <c r="M1498" s="4" t="s">
        <v>645</v>
      </c>
      <c r="N1498" s="4">
        <v>-71.628005966666663</v>
      </c>
      <c r="O1498" s="4">
        <v>3.7802795566666667</v>
      </c>
      <c r="P1498" s="4" t="s">
        <v>834</v>
      </c>
      <c r="Q1498" s="4" t="s">
        <v>746</v>
      </c>
      <c r="R1498" s="4" t="s">
        <v>720</v>
      </c>
      <c r="S1498" s="2">
        <v>46174.134438993053</v>
      </c>
      <c r="T1498" s="5">
        <v>2.233912037037037E-4</v>
      </c>
      <c r="U1498" s="4">
        <v>5.8877520263195038E-2</v>
      </c>
      <c r="V1498" s="4" t="s">
        <v>724</v>
      </c>
      <c r="W1498" s="4" t="s">
        <v>645</v>
      </c>
      <c r="X1498" s="6" t="s">
        <v>617</v>
      </c>
    </row>
    <row r="1499" spans="1:24">
      <c r="A1499" s="4" t="s">
        <v>1040</v>
      </c>
      <c r="B1499" s="4" t="s">
        <v>1041</v>
      </c>
      <c r="C1499" s="4" t="s">
        <v>1042</v>
      </c>
      <c r="D1499" s="4" t="s">
        <v>716</v>
      </c>
      <c r="E1499" s="4" t="s">
        <v>717</v>
      </c>
      <c r="M1499" s="4" t="s">
        <v>645</v>
      </c>
      <c r="N1499" s="4">
        <v>-71.626399414999995</v>
      </c>
      <c r="O1499" s="4">
        <v>3.7809509067500002</v>
      </c>
      <c r="P1499" s="4" t="s">
        <v>739</v>
      </c>
      <c r="Q1499" s="4" t="s">
        <v>740</v>
      </c>
      <c r="R1499" s="4" t="s">
        <v>730</v>
      </c>
      <c r="S1499" s="2">
        <v>46174.135145312503</v>
      </c>
      <c r="T1499" s="5">
        <v>2.0473379629629631E-4</v>
      </c>
      <c r="U1499" s="4">
        <v>7.4546016752719879E-2</v>
      </c>
      <c r="V1499" s="4" t="s">
        <v>725</v>
      </c>
      <c r="W1499" s="4" t="s">
        <v>645</v>
      </c>
      <c r="X1499" s="6" t="s">
        <v>617</v>
      </c>
    </row>
    <row r="1500" spans="1:24">
      <c r="A1500" s="4" t="s">
        <v>1040</v>
      </c>
      <c r="B1500" s="4" t="s">
        <v>1041</v>
      </c>
      <c r="C1500" s="4" t="s">
        <v>1042</v>
      </c>
      <c r="D1500" s="4" t="s">
        <v>716</v>
      </c>
      <c r="E1500" s="4" t="s">
        <v>717</v>
      </c>
      <c r="M1500" s="4" t="s">
        <v>645</v>
      </c>
      <c r="N1500" s="4">
        <v>-71.625667550000003</v>
      </c>
      <c r="O1500" s="4">
        <v>3.7809613925000001</v>
      </c>
      <c r="P1500" s="4" t="s">
        <v>759</v>
      </c>
      <c r="Q1500" s="4" t="s">
        <v>760</v>
      </c>
      <c r="R1500" s="4" t="s">
        <v>730</v>
      </c>
      <c r="S1500" s="2">
        <v>46174.135384224537</v>
      </c>
      <c r="T1500" s="5">
        <v>1.750462962962963E-4</v>
      </c>
      <c r="U1500" s="4">
        <v>6.8960472941398621E-2</v>
      </c>
      <c r="V1500" s="4" t="s">
        <v>725</v>
      </c>
      <c r="W1500" s="4" t="s">
        <v>645</v>
      </c>
      <c r="X1500" s="6" t="s">
        <v>617</v>
      </c>
    </row>
    <row r="1501" spans="1:24">
      <c r="A1501" s="4" t="s">
        <v>1040</v>
      </c>
      <c r="B1501" s="4" t="s">
        <v>1041</v>
      </c>
      <c r="C1501" s="4" t="s">
        <v>1042</v>
      </c>
      <c r="D1501" s="4" t="s">
        <v>716</v>
      </c>
      <c r="E1501" s="4" t="s">
        <v>717</v>
      </c>
      <c r="M1501" s="4" t="s">
        <v>645</v>
      </c>
      <c r="N1501" s="4">
        <v>-71.625307131062499</v>
      </c>
      <c r="O1501" s="4">
        <v>3.78104936791875</v>
      </c>
      <c r="P1501" s="4" t="s">
        <v>759</v>
      </c>
      <c r="Q1501" s="4" t="s">
        <v>760</v>
      </c>
      <c r="R1501" s="4" t="s">
        <v>730</v>
      </c>
      <c r="S1501" s="2">
        <v>46174.193443796299</v>
      </c>
      <c r="T1501" s="5">
        <v>9.9791666666666662E-5</v>
      </c>
      <c r="U1501" s="4">
        <v>4.0219400078058243E-2</v>
      </c>
      <c r="V1501" s="4" t="s">
        <v>721</v>
      </c>
      <c r="W1501" s="4" t="s">
        <v>645</v>
      </c>
      <c r="X1501" s="6" t="s">
        <v>617</v>
      </c>
    </row>
    <row r="1502" spans="1:24">
      <c r="A1502" s="4" t="s">
        <v>1040</v>
      </c>
      <c r="B1502" s="4" t="s">
        <v>1041</v>
      </c>
      <c r="C1502" s="4" t="s">
        <v>1042</v>
      </c>
      <c r="D1502" s="4" t="s">
        <v>716</v>
      </c>
      <c r="E1502" s="4" t="s">
        <v>717</v>
      </c>
      <c r="M1502" s="4" t="s">
        <v>645</v>
      </c>
      <c r="N1502" s="4">
        <v>-71.625717199999997</v>
      </c>
      <c r="O1502" s="4">
        <v>3.7809780850000001</v>
      </c>
      <c r="P1502" s="4" t="s">
        <v>759</v>
      </c>
      <c r="Q1502" s="4" t="s">
        <v>760</v>
      </c>
      <c r="R1502" s="4" t="s">
        <v>730</v>
      </c>
      <c r="S1502" s="2">
        <v>46174.19357059028</v>
      </c>
      <c r="T1502" s="5">
        <v>1.8396990740740741E-4</v>
      </c>
      <c r="U1502" s="4">
        <v>7.3787860572338104E-2</v>
      </c>
      <c r="V1502" s="4" t="s">
        <v>721</v>
      </c>
      <c r="W1502" s="4" t="s">
        <v>645</v>
      </c>
      <c r="X1502" s="6" t="s">
        <v>617</v>
      </c>
    </row>
    <row r="1503" spans="1:24">
      <c r="A1503" s="4" t="s">
        <v>1040</v>
      </c>
      <c r="B1503" s="4" t="s">
        <v>1041</v>
      </c>
      <c r="C1503" s="4" t="s">
        <v>1042</v>
      </c>
      <c r="D1503" s="4" t="s">
        <v>716</v>
      </c>
      <c r="E1503" s="4" t="s">
        <v>717</v>
      </c>
      <c r="M1503" s="4" t="s">
        <v>762</v>
      </c>
      <c r="N1503" s="4">
        <v>-71.628478459012513</v>
      </c>
      <c r="O1503" s="4">
        <v>3.7813953633000001</v>
      </c>
      <c r="P1503" s="4" t="s">
        <v>734</v>
      </c>
      <c r="Q1503" s="4" t="s">
        <v>735</v>
      </c>
      <c r="R1503" s="4" t="s">
        <v>730</v>
      </c>
      <c r="S1503" s="2">
        <v>46174.194188981484</v>
      </c>
      <c r="T1503" s="5">
        <v>5.2905092592592592E-5</v>
      </c>
      <c r="U1503" s="4">
        <v>3.8293641060590744E-2</v>
      </c>
      <c r="V1503" s="4" t="s">
        <v>763</v>
      </c>
      <c r="W1503" s="4" t="s">
        <v>762</v>
      </c>
      <c r="X1503" s="6" t="s">
        <v>617</v>
      </c>
    </row>
    <row r="1504" spans="1:24">
      <c r="A1504" s="4" t="s">
        <v>1040</v>
      </c>
      <c r="B1504" s="4" t="s">
        <v>1041</v>
      </c>
      <c r="C1504" s="4" t="s">
        <v>1042</v>
      </c>
      <c r="D1504" s="4" t="s">
        <v>716</v>
      </c>
      <c r="E1504" s="4" t="s">
        <v>717</v>
      </c>
      <c r="M1504" s="4" t="s">
        <v>762</v>
      </c>
      <c r="N1504" s="4">
        <v>-71.628685000000004</v>
      </c>
      <c r="O1504" s="4">
        <v>3.7816689000000001</v>
      </c>
      <c r="P1504" s="4" t="s">
        <v>734</v>
      </c>
      <c r="Q1504" s="4" t="s">
        <v>735</v>
      </c>
      <c r="R1504" s="4" t="s">
        <v>730</v>
      </c>
      <c r="S1504" s="2">
        <v>46174.194241886573</v>
      </c>
      <c r="T1504" s="5">
        <v>2.9320601851851854E-4</v>
      </c>
      <c r="U1504" s="4">
        <v>0.21577966213226318</v>
      </c>
      <c r="V1504" s="4" t="s">
        <v>763</v>
      </c>
      <c r="W1504" s="4" t="s">
        <v>762</v>
      </c>
      <c r="X1504" s="6" t="s">
        <v>617</v>
      </c>
    </row>
    <row r="1505" spans="1:24">
      <c r="A1505" s="4" t="s">
        <v>1040</v>
      </c>
      <c r="B1505" s="4" t="s">
        <v>1041</v>
      </c>
      <c r="C1505" s="4" t="s">
        <v>1042</v>
      </c>
      <c r="D1505" s="4" t="s">
        <v>716</v>
      </c>
      <c r="E1505" s="4" t="s">
        <v>717</v>
      </c>
      <c r="M1505" s="4" t="s">
        <v>656</v>
      </c>
      <c r="N1505" s="4">
        <v>-71.633918800000004</v>
      </c>
      <c r="O1505" s="4">
        <v>3.78397608</v>
      </c>
      <c r="P1505" s="4" t="s">
        <v>734</v>
      </c>
      <c r="Q1505" s="4" t="s">
        <v>735</v>
      </c>
      <c r="R1505" s="4" t="s">
        <v>730</v>
      </c>
      <c r="S1505" s="2">
        <v>46174.195283553243</v>
      </c>
      <c r="T1505" s="5">
        <v>5.5555555555555556E-4</v>
      </c>
      <c r="U1505" s="4">
        <v>0.30516701936721802</v>
      </c>
      <c r="V1505" s="4" t="s">
        <v>1043</v>
      </c>
      <c r="W1505" s="4" t="s">
        <v>656</v>
      </c>
      <c r="X1505" s="6" t="s">
        <v>617</v>
      </c>
    </row>
    <row r="1506" spans="1:24">
      <c r="A1506" s="4" t="s">
        <v>1040</v>
      </c>
      <c r="B1506" s="4" t="s">
        <v>1041</v>
      </c>
      <c r="C1506" s="4" t="s">
        <v>1042</v>
      </c>
      <c r="D1506" s="4" t="s">
        <v>716</v>
      </c>
      <c r="E1506" s="4" t="s">
        <v>717</v>
      </c>
      <c r="M1506" s="4" t="s">
        <v>645</v>
      </c>
      <c r="N1506" s="4">
        <v>-71.634497276840008</v>
      </c>
      <c r="O1506" s="4">
        <v>3.7813869469619998</v>
      </c>
      <c r="P1506" s="4" t="s">
        <v>800</v>
      </c>
      <c r="Q1506" s="4" t="s">
        <v>746</v>
      </c>
      <c r="R1506" s="4" t="s">
        <v>720</v>
      </c>
      <c r="S1506" s="2">
        <v>46174.195919687503</v>
      </c>
      <c r="T1506" s="5">
        <v>4.5188657407407406E-4</v>
      </c>
      <c r="U1506" s="4">
        <v>0.13130097091197968</v>
      </c>
      <c r="V1506" s="4" t="s">
        <v>731</v>
      </c>
      <c r="W1506" s="4" t="s">
        <v>645</v>
      </c>
      <c r="X1506" s="6" t="s">
        <v>617</v>
      </c>
    </row>
    <row r="1507" spans="1:24">
      <c r="A1507" s="4" t="s">
        <v>1040</v>
      </c>
      <c r="B1507" s="4" t="s">
        <v>1041</v>
      </c>
      <c r="C1507" s="4" t="s">
        <v>1042</v>
      </c>
      <c r="D1507" s="4" t="s">
        <v>716</v>
      </c>
      <c r="E1507" s="4" t="s">
        <v>717</v>
      </c>
      <c r="M1507" s="4" t="s">
        <v>645</v>
      </c>
      <c r="N1507" s="4">
        <v>-71.633119233107465</v>
      </c>
      <c r="O1507" s="4">
        <v>3.7808938396289125</v>
      </c>
      <c r="P1507" s="4" t="s">
        <v>800</v>
      </c>
      <c r="Q1507" s="4" t="s">
        <v>746</v>
      </c>
      <c r="R1507" s="4" t="s">
        <v>720</v>
      </c>
      <c r="S1507" s="2">
        <v>46174.214725914353</v>
      </c>
      <c r="T1507" s="5">
        <v>4.4350694444444445E-4</v>
      </c>
      <c r="U1507" s="4">
        <v>0.16488735377788544</v>
      </c>
      <c r="V1507" s="4" t="s">
        <v>752</v>
      </c>
      <c r="W1507" s="4" t="s">
        <v>645</v>
      </c>
      <c r="X1507" s="6" t="s">
        <v>617</v>
      </c>
    </row>
    <row r="1508" spans="1:24">
      <c r="A1508" s="4" t="s">
        <v>1040</v>
      </c>
      <c r="B1508" s="4" t="s">
        <v>1041</v>
      </c>
      <c r="C1508" s="4" t="s">
        <v>1042</v>
      </c>
      <c r="D1508" s="4" t="s">
        <v>716</v>
      </c>
      <c r="E1508" s="4" t="s">
        <v>717</v>
      </c>
      <c r="M1508" s="4" t="s">
        <v>656</v>
      </c>
      <c r="N1508" s="4">
        <v>-71.634574900000004</v>
      </c>
      <c r="O1508" s="4">
        <v>3.7815437300000001</v>
      </c>
      <c r="P1508" s="4" t="s">
        <v>742</v>
      </c>
      <c r="Q1508" s="4" t="s">
        <v>743</v>
      </c>
      <c r="R1508" s="4" t="s">
        <v>730</v>
      </c>
      <c r="S1508" s="2">
        <v>46174.215238078701</v>
      </c>
      <c r="T1508" s="5">
        <v>5.439699074074074E-4</v>
      </c>
      <c r="U1508" s="4">
        <v>0.30317482352256775</v>
      </c>
      <c r="V1508" s="4" t="s">
        <v>1030</v>
      </c>
      <c r="W1508" s="4" t="s">
        <v>656</v>
      </c>
      <c r="X1508" s="6" t="s">
        <v>617</v>
      </c>
    </row>
    <row r="1509" spans="1:24">
      <c r="A1509" s="4" t="s">
        <v>1040</v>
      </c>
      <c r="B1509" s="4" t="s">
        <v>1041</v>
      </c>
      <c r="C1509" s="4" t="s">
        <v>1042</v>
      </c>
      <c r="D1509" s="4" t="s">
        <v>716</v>
      </c>
      <c r="E1509" s="4" t="s">
        <v>717</v>
      </c>
      <c r="M1509" s="4" t="s">
        <v>645</v>
      </c>
      <c r="N1509" s="4">
        <v>-71.63505956224445</v>
      </c>
      <c r="O1509" s="4">
        <v>3.7842583205455558</v>
      </c>
      <c r="P1509" s="4" t="s">
        <v>718</v>
      </c>
      <c r="Q1509" s="4" t="s">
        <v>719</v>
      </c>
      <c r="R1509" s="4" t="s">
        <v>720</v>
      </c>
      <c r="S1509" s="2">
        <v>46174.215970694444</v>
      </c>
      <c r="T1509" s="5">
        <v>2.9443287037037036E-4</v>
      </c>
      <c r="U1509" s="4">
        <v>0.18367443978786469</v>
      </c>
      <c r="V1509" s="4" t="s">
        <v>850</v>
      </c>
      <c r="W1509" s="4" t="s">
        <v>645</v>
      </c>
      <c r="X1509" s="6" t="s">
        <v>617</v>
      </c>
    </row>
    <row r="1510" spans="1:24">
      <c r="A1510" s="4" t="s">
        <v>1040</v>
      </c>
      <c r="B1510" s="4" t="s">
        <v>1041</v>
      </c>
      <c r="C1510" s="4" t="s">
        <v>1042</v>
      </c>
      <c r="D1510" s="4" t="s">
        <v>716</v>
      </c>
      <c r="E1510" s="4" t="s">
        <v>717</v>
      </c>
      <c r="M1510" s="4" t="s">
        <v>645</v>
      </c>
      <c r="N1510" s="4">
        <v>-71.636698446150135</v>
      </c>
      <c r="O1510" s="4">
        <v>3.7842864081290299</v>
      </c>
      <c r="P1510" s="4" t="s">
        <v>718</v>
      </c>
      <c r="Q1510" s="4" t="s">
        <v>719</v>
      </c>
      <c r="R1510" s="4" t="s">
        <v>720</v>
      </c>
      <c r="S1510" s="2">
        <v>46174.224595844906</v>
      </c>
      <c r="T1510" s="5">
        <v>3.7783564814814814E-4</v>
      </c>
      <c r="U1510" s="4">
        <v>0.18294687569141388</v>
      </c>
      <c r="V1510" s="4" t="s">
        <v>761</v>
      </c>
      <c r="W1510" s="4" t="s">
        <v>645</v>
      </c>
      <c r="X1510" s="6" t="s">
        <v>617</v>
      </c>
    </row>
    <row r="1511" spans="1:24">
      <c r="A1511" s="4" t="s">
        <v>1040</v>
      </c>
      <c r="B1511" s="4" t="s">
        <v>1041</v>
      </c>
      <c r="C1511" s="4" t="s">
        <v>1042</v>
      </c>
      <c r="D1511" s="4" t="s">
        <v>716</v>
      </c>
      <c r="E1511" s="4" t="s">
        <v>717</v>
      </c>
      <c r="M1511" s="4" t="s">
        <v>645</v>
      </c>
      <c r="N1511" s="4">
        <v>-71.626441484099999</v>
      </c>
      <c r="O1511" s="4">
        <v>3.7808809482100001</v>
      </c>
      <c r="P1511" s="4" t="s">
        <v>739</v>
      </c>
      <c r="Q1511" s="4" t="s">
        <v>740</v>
      </c>
      <c r="R1511" s="4" t="s">
        <v>730</v>
      </c>
      <c r="S1511" s="2">
        <v>46174.227650358793</v>
      </c>
      <c r="T1511" s="5">
        <v>1.8495370370370371E-5</v>
      </c>
      <c r="U1511" s="4">
        <v>3.8947127759456635E-3</v>
      </c>
      <c r="V1511" s="4" t="s">
        <v>724</v>
      </c>
      <c r="W1511" s="4" t="s">
        <v>645</v>
      </c>
      <c r="X1511" s="6" t="s">
        <v>617</v>
      </c>
    </row>
    <row r="1512" spans="1:24">
      <c r="A1512" s="4" t="s">
        <v>1040</v>
      </c>
      <c r="B1512" s="4" t="s">
        <v>1041</v>
      </c>
      <c r="C1512" s="4" t="s">
        <v>1042</v>
      </c>
      <c r="D1512" s="4" t="s">
        <v>716</v>
      </c>
      <c r="E1512" s="4" t="s">
        <v>717</v>
      </c>
      <c r="M1512" s="4" t="s">
        <v>645</v>
      </c>
      <c r="N1512" s="4">
        <v>-71.635059291772549</v>
      </c>
      <c r="O1512" s="4">
        <v>3.7842375538691941</v>
      </c>
      <c r="P1512" s="4" t="s">
        <v>718</v>
      </c>
      <c r="Q1512" s="4" t="s">
        <v>719</v>
      </c>
      <c r="R1512" s="4" t="s">
        <v>720</v>
      </c>
      <c r="S1512" s="2">
        <v>46174.261432418978</v>
      </c>
      <c r="T1512" s="5">
        <v>3.4381944444444445E-4</v>
      </c>
      <c r="U1512" s="4">
        <v>0.15045176446437836</v>
      </c>
      <c r="V1512" s="4" t="s">
        <v>752</v>
      </c>
      <c r="W1512" s="4" t="s">
        <v>645</v>
      </c>
      <c r="X1512" s="6" t="s">
        <v>617</v>
      </c>
    </row>
    <row r="1513" spans="1:24">
      <c r="A1513" s="4" t="s">
        <v>1040</v>
      </c>
      <c r="B1513" s="4" t="s">
        <v>1041</v>
      </c>
      <c r="C1513" s="4" t="s">
        <v>1042</v>
      </c>
      <c r="D1513" s="4" t="s">
        <v>716</v>
      </c>
      <c r="E1513" s="4" t="s">
        <v>717</v>
      </c>
      <c r="M1513" s="4" t="s">
        <v>645</v>
      </c>
      <c r="N1513" s="4">
        <v>-71.636489879999999</v>
      </c>
      <c r="O1513" s="4">
        <v>3.7844794740000003</v>
      </c>
      <c r="P1513" s="4" t="s">
        <v>718</v>
      </c>
      <c r="Q1513" s="4" t="s">
        <v>719</v>
      </c>
      <c r="R1513" s="4" t="s">
        <v>720</v>
      </c>
      <c r="S1513" s="2">
        <v>46174.264137905091</v>
      </c>
      <c r="T1513" s="5">
        <v>1.296875E-4</v>
      </c>
      <c r="U1513" s="4">
        <v>2.5627128779888153E-2</v>
      </c>
      <c r="V1513" s="4" t="s">
        <v>728</v>
      </c>
      <c r="W1513" s="4" t="s">
        <v>645</v>
      </c>
      <c r="X1513" s="6" t="s">
        <v>617</v>
      </c>
    </row>
    <row r="1514" spans="1:24">
      <c r="A1514" s="4" t="s">
        <v>1040</v>
      </c>
      <c r="B1514" s="4" t="s">
        <v>1041</v>
      </c>
      <c r="C1514" s="4" t="s">
        <v>1042</v>
      </c>
      <c r="D1514" s="4" t="s">
        <v>716</v>
      </c>
      <c r="E1514" s="4" t="s">
        <v>717</v>
      </c>
      <c r="M1514" s="4" t="s">
        <v>645</v>
      </c>
      <c r="N1514" s="4">
        <v>-71.636589099999995</v>
      </c>
      <c r="O1514" s="4">
        <v>3.7843048600000002</v>
      </c>
      <c r="P1514" s="4" t="s">
        <v>718</v>
      </c>
      <c r="Q1514" s="4" t="s">
        <v>719</v>
      </c>
      <c r="R1514" s="4" t="s">
        <v>720</v>
      </c>
      <c r="S1514" s="2">
        <v>46174.264267592589</v>
      </c>
      <c r="T1514" s="5">
        <v>4.5934027777777775E-4</v>
      </c>
      <c r="U1514" s="4">
        <v>0.17111454904079437</v>
      </c>
      <c r="V1514" s="4" t="s">
        <v>752</v>
      </c>
      <c r="W1514" s="4" t="s">
        <v>645</v>
      </c>
      <c r="X1514" s="6" t="s">
        <v>617</v>
      </c>
    </row>
    <row r="1515" spans="1:24">
      <c r="A1515" s="4" t="s">
        <v>1040</v>
      </c>
      <c r="B1515" s="4" t="s">
        <v>1041</v>
      </c>
      <c r="C1515" s="4" t="s">
        <v>1042</v>
      </c>
      <c r="D1515" s="4" t="s">
        <v>716</v>
      </c>
      <c r="E1515" s="4" t="s">
        <v>717</v>
      </c>
      <c r="M1515" s="4" t="s">
        <v>656</v>
      </c>
      <c r="N1515" s="4">
        <v>-71.634056099999995</v>
      </c>
      <c r="O1515" s="4">
        <v>3.7838175299999999</v>
      </c>
      <c r="P1515" s="4" t="s">
        <v>742</v>
      </c>
      <c r="Q1515" s="4" t="s">
        <v>743</v>
      </c>
      <c r="R1515" s="4" t="s">
        <v>730</v>
      </c>
      <c r="S1515" s="2">
        <v>46174.265031469906</v>
      </c>
      <c r="T1515" s="5">
        <v>1.7974652777777778E-3</v>
      </c>
      <c r="U1515" s="4">
        <v>0.77633994817733765</v>
      </c>
      <c r="V1515" s="4" t="s">
        <v>1044</v>
      </c>
      <c r="W1515" s="4" t="s">
        <v>656</v>
      </c>
      <c r="X1515" s="6" t="s">
        <v>617</v>
      </c>
    </row>
    <row r="1516" spans="1:24">
      <c r="A1516" s="4" t="s">
        <v>1040</v>
      </c>
      <c r="B1516" s="4" t="s">
        <v>1041</v>
      </c>
      <c r="C1516" s="4" t="s">
        <v>1042</v>
      </c>
      <c r="D1516" s="4" t="s">
        <v>716</v>
      </c>
      <c r="E1516" s="4" t="s">
        <v>717</v>
      </c>
      <c r="M1516" s="4" t="s">
        <v>656</v>
      </c>
      <c r="N1516" s="4">
        <v>-71.635902959488405</v>
      </c>
      <c r="O1516" s="4">
        <v>3.7774300633997617</v>
      </c>
      <c r="P1516" s="4" t="s">
        <v>795</v>
      </c>
      <c r="Q1516" s="4" t="s">
        <v>743</v>
      </c>
      <c r="R1516" s="4" t="s">
        <v>730</v>
      </c>
      <c r="S1516" s="2">
        <v>46174.26697326389</v>
      </c>
      <c r="T1516" s="5">
        <v>7.2025462962962961E-4</v>
      </c>
      <c r="U1516" s="4">
        <v>0.46691873669624329</v>
      </c>
      <c r="V1516" s="4" t="s">
        <v>801</v>
      </c>
      <c r="W1516" s="4" t="s">
        <v>656</v>
      </c>
      <c r="X1516" s="6" t="s">
        <v>617</v>
      </c>
    </row>
    <row r="1517" spans="1:24">
      <c r="A1517" s="4" t="s">
        <v>1040</v>
      </c>
      <c r="B1517" s="4" t="s">
        <v>1041</v>
      </c>
      <c r="C1517" s="4" t="s">
        <v>1042</v>
      </c>
      <c r="D1517" s="4" t="s">
        <v>716</v>
      </c>
      <c r="E1517" s="4" t="s">
        <v>717</v>
      </c>
      <c r="M1517" s="4" t="s">
        <v>645</v>
      </c>
      <c r="N1517" s="4">
        <v>-71.6343842</v>
      </c>
      <c r="O1517" s="4">
        <v>3.7812607300000001</v>
      </c>
      <c r="P1517" s="4" t="s">
        <v>800</v>
      </c>
      <c r="Q1517" s="4" t="s">
        <v>746</v>
      </c>
      <c r="R1517" s="4" t="s">
        <v>720</v>
      </c>
      <c r="S1517" s="2">
        <v>46174.267971296293</v>
      </c>
      <c r="T1517" s="5">
        <v>3.2406250000000002E-4</v>
      </c>
      <c r="U1517" s="4">
        <v>8.2784950733184814E-2</v>
      </c>
      <c r="V1517" s="4" t="s">
        <v>724</v>
      </c>
      <c r="W1517" s="4" t="s">
        <v>645</v>
      </c>
      <c r="X1517" s="6" t="s">
        <v>617</v>
      </c>
    </row>
    <row r="1518" spans="1:24">
      <c r="A1518" s="4" t="s">
        <v>1040</v>
      </c>
      <c r="B1518" s="4" t="s">
        <v>1041</v>
      </c>
      <c r="C1518" s="4" t="s">
        <v>1042</v>
      </c>
      <c r="D1518" s="4" t="s">
        <v>716</v>
      </c>
      <c r="E1518" s="4" t="s">
        <v>717</v>
      </c>
      <c r="M1518" s="4" t="s">
        <v>656</v>
      </c>
      <c r="N1518" s="4">
        <v>-71.634698139999998</v>
      </c>
      <c r="O1518" s="4">
        <v>3.7814229235000001</v>
      </c>
      <c r="P1518" s="4" t="s">
        <v>795</v>
      </c>
      <c r="Q1518" s="4" t="s">
        <v>743</v>
      </c>
      <c r="R1518" s="4" t="s">
        <v>730</v>
      </c>
      <c r="S1518" s="2">
        <v>46174.330154039351</v>
      </c>
      <c r="T1518" s="5">
        <v>1.6394675925925925E-3</v>
      </c>
      <c r="U1518" s="4">
        <v>0.75372970104217529</v>
      </c>
      <c r="V1518" s="4" t="s">
        <v>862</v>
      </c>
      <c r="W1518" s="4" t="s">
        <v>656</v>
      </c>
      <c r="X1518" s="6" t="s">
        <v>617</v>
      </c>
    </row>
    <row r="1519" spans="1:24">
      <c r="A1519" s="4" t="s">
        <v>1040</v>
      </c>
      <c r="B1519" s="4" t="s">
        <v>1041</v>
      </c>
      <c r="C1519" s="4" t="s">
        <v>1042</v>
      </c>
      <c r="D1519" s="4" t="s">
        <v>716</v>
      </c>
      <c r="E1519" s="4" t="s">
        <v>717</v>
      </c>
      <c r="M1519" s="4" t="s">
        <v>656</v>
      </c>
      <c r="N1519" s="4">
        <v>-71.635734600000006</v>
      </c>
      <c r="O1519" s="4">
        <v>3.7757880699999999</v>
      </c>
      <c r="P1519" s="4" t="s">
        <v>795</v>
      </c>
      <c r="Q1519" s="4" t="s">
        <v>743</v>
      </c>
      <c r="R1519" s="4" t="s">
        <v>730</v>
      </c>
      <c r="S1519" s="2">
        <v>46174.351585752316</v>
      </c>
      <c r="T1519" s="5">
        <v>1.8751157407407408E-3</v>
      </c>
      <c r="U1519" s="4">
        <v>1.0111510753631592</v>
      </c>
      <c r="V1519" s="4" t="s">
        <v>1043</v>
      </c>
      <c r="W1519" s="4" t="s">
        <v>656</v>
      </c>
      <c r="X1519" s="6" t="s">
        <v>617</v>
      </c>
    </row>
    <row r="1520" spans="1:24">
      <c r="A1520" s="4" t="s">
        <v>1040</v>
      </c>
      <c r="B1520" s="4" t="s">
        <v>1041</v>
      </c>
      <c r="C1520" s="4" t="s">
        <v>1042</v>
      </c>
      <c r="D1520" s="4" t="s">
        <v>716</v>
      </c>
      <c r="E1520" s="4" t="s">
        <v>717</v>
      </c>
      <c r="M1520" s="4" t="s">
        <v>645</v>
      </c>
      <c r="N1520" s="4">
        <v>-71.6350598026375</v>
      </c>
      <c r="O1520" s="4">
        <v>3.7842858518268749</v>
      </c>
      <c r="P1520" s="4" t="s">
        <v>718</v>
      </c>
      <c r="Q1520" s="4" t="s">
        <v>719</v>
      </c>
      <c r="R1520" s="4" t="s">
        <v>720</v>
      </c>
      <c r="S1520" s="2">
        <v>46174.353639606481</v>
      </c>
      <c r="T1520" s="5">
        <v>3.4981481481481479E-4</v>
      </c>
      <c r="U1520" s="4">
        <v>0.1492164134979248</v>
      </c>
      <c r="V1520" s="4" t="s">
        <v>761</v>
      </c>
      <c r="W1520" s="4" t="s">
        <v>645</v>
      </c>
      <c r="X1520" s="6" t="s">
        <v>617</v>
      </c>
    </row>
    <row r="1521" spans="1:24">
      <c r="A1521" s="4" t="s">
        <v>1040</v>
      </c>
      <c r="B1521" s="4" t="s">
        <v>1041</v>
      </c>
      <c r="C1521" s="4" t="s">
        <v>1042</v>
      </c>
      <c r="D1521" s="4" t="s">
        <v>716</v>
      </c>
      <c r="E1521" s="4" t="s">
        <v>717</v>
      </c>
      <c r="M1521" s="4" t="s">
        <v>614</v>
      </c>
      <c r="N1521" s="4">
        <v>-71.636131300000002</v>
      </c>
      <c r="O1521" s="4">
        <v>3.7846169500000002</v>
      </c>
      <c r="P1521" s="4" t="s">
        <v>1045</v>
      </c>
      <c r="Q1521" s="4" t="s">
        <v>746</v>
      </c>
      <c r="R1521" s="4" t="s">
        <v>720</v>
      </c>
      <c r="S1521" s="2">
        <v>46174.354502534719</v>
      </c>
      <c r="T1521" s="5">
        <v>4.8379629629629632E-3</v>
      </c>
      <c r="U1521" s="4">
        <v>5.1757898181676865E-3</v>
      </c>
      <c r="V1521" s="4" t="s">
        <v>616</v>
      </c>
      <c r="W1521" s="4" t="s">
        <v>614</v>
      </c>
      <c r="X1521" s="6" t="s">
        <v>617</v>
      </c>
    </row>
    <row r="1522" spans="1:24">
      <c r="A1522" s="4" t="s">
        <v>1040</v>
      </c>
      <c r="B1522" s="4" t="s">
        <v>1041</v>
      </c>
      <c r="C1522" s="4" t="s">
        <v>1042</v>
      </c>
      <c r="D1522" s="4" t="s">
        <v>716</v>
      </c>
      <c r="E1522" s="4" t="s">
        <v>717</v>
      </c>
      <c r="M1522" s="4" t="s">
        <v>645</v>
      </c>
      <c r="N1522" s="4">
        <v>-71.636548339984614</v>
      </c>
      <c r="O1522" s="4">
        <v>3.7844278727969232</v>
      </c>
      <c r="P1522" s="4" t="s">
        <v>718</v>
      </c>
      <c r="Q1522" s="4" t="s">
        <v>719</v>
      </c>
      <c r="R1522" s="4" t="s">
        <v>720</v>
      </c>
      <c r="S1522" s="2">
        <v>46174.366489652777</v>
      </c>
      <c r="T1522" s="5">
        <v>5.4406249999999995E-4</v>
      </c>
      <c r="U1522" s="4">
        <v>0.18975785374641418</v>
      </c>
      <c r="V1522" s="4" t="s">
        <v>741</v>
      </c>
      <c r="W1522" s="4" t="s">
        <v>645</v>
      </c>
      <c r="X1522" s="6" t="s">
        <v>617</v>
      </c>
    </row>
    <row r="1523" spans="1:24">
      <c r="A1523" s="4" t="s">
        <v>1040</v>
      </c>
      <c r="B1523" s="4" t="s">
        <v>1041</v>
      </c>
      <c r="C1523" s="4" t="s">
        <v>1042</v>
      </c>
      <c r="D1523" s="4" t="s">
        <v>716</v>
      </c>
      <c r="E1523" s="4" t="s">
        <v>717</v>
      </c>
      <c r="M1523" s="4" t="s">
        <v>645</v>
      </c>
      <c r="N1523" s="4">
        <v>-71.626393157125747</v>
      </c>
      <c r="O1523" s="4">
        <v>3.7809612907485031</v>
      </c>
      <c r="P1523" s="4" t="s">
        <v>739</v>
      </c>
      <c r="Q1523" s="4" t="s">
        <v>740</v>
      </c>
      <c r="R1523" s="4" t="s">
        <v>730</v>
      </c>
      <c r="S1523" s="2">
        <v>46174.369765833333</v>
      </c>
      <c r="T1523" s="5">
        <v>3.8055555555555553E-5</v>
      </c>
      <c r="U1523" s="4">
        <v>1.038664486259222E-2</v>
      </c>
      <c r="V1523" s="4" t="s">
        <v>728</v>
      </c>
      <c r="W1523" s="4" t="s">
        <v>645</v>
      </c>
      <c r="X1523" s="6" t="s">
        <v>617</v>
      </c>
    </row>
    <row r="1524" spans="1:24">
      <c r="A1524" s="4" t="s">
        <v>1040</v>
      </c>
      <c r="B1524" s="4" t="s">
        <v>1041</v>
      </c>
      <c r="C1524" s="4" t="s">
        <v>1042</v>
      </c>
      <c r="D1524" s="4" t="s">
        <v>716</v>
      </c>
      <c r="E1524" s="4" t="s">
        <v>717</v>
      </c>
      <c r="M1524" s="4" t="s">
        <v>645</v>
      </c>
      <c r="N1524" s="4">
        <v>-71.626228380000001</v>
      </c>
      <c r="O1524" s="4">
        <v>3.7809605620000002</v>
      </c>
      <c r="P1524" s="4" t="s">
        <v>770</v>
      </c>
      <c r="Q1524" s="4" t="s">
        <v>740</v>
      </c>
      <c r="R1524" s="4" t="s">
        <v>730</v>
      </c>
      <c r="S1524" s="2">
        <v>46174.369840844905</v>
      </c>
      <c r="T1524" s="5">
        <v>1.4814814814814815E-4</v>
      </c>
      <c r="U1524" s="4">
        <v>4.7632794827222824E-2</v>
      </c>
      <c r="V1524" s="4" t="s">
        <v>771</v>
      </c>
      <c r="W1524" s="4" t="s">
        <v>645</v>
      </c>
      <c r="X1524" s="6" t="s">
        <v>617</v>
      </c>
    </row>
    <row r="1525" spans="1:24">
      <c r="A1525" s="4" t="s">
        <v>1040</v>
      </c>
      <c r="B1525" s="4" t="s">
        <v>1041</v>
      </c>
      <c r="C1525" s="4" t="s">
        <v>1042</v>
      </c>
      <c r="D1525" s="4" t="s">
        <v>716</v>
      </c>
      <c r="E1525" s="4" t="s">
        <v>717</v>
      </c>
      <c r="M1525" s="4" t="s">
        <v>645</v>
      </c>
      <c r="N1525" s="4">
        <v>-71.625648499999997</v>
      </c>
      <c r="O1525" s="4">
        <v>3.7809950150000002</v>
      </c>
      <c r="P1525" s="4" t="s">
        <v>759</v>
      </c>
      <c r="Q1525" s="4" t="s">
        <v>760</v>
      </c>
      <c r="R1525" s="4" t="s">
        <v>730</v>
      </c>
      <c r="S1525" s="2">
        <v>46174.370052650462</v>
      </c>
      <c r="T1525" s="5">
        <v>1.2206018518518519E-4</v>
      </c>
      <c r="U1525" s="4">
        <v>4.0749568492174149E-2</v>
      </c>
      <c r="V1525" s="4" t="s">
        <v>771</v>
      </c>
      <c r="W1525" s="4" t="s">
        <v>645</v>
      </c>
      <c r="X1525" s="6" t="s">
        <v>617</v>
      </c>
    </row>
    <row r="1526" spans="1:24">
      <c r="A1526" s="4" t="s">
        <v>1040</v>
      </c>
      <c r="B1526" s="4" t="s">
        <v>1041</v>
      </c>
      <c r="C1526" s="4" t="s">
        <v>1042</v>
      </c>
      <c r="D1526" s="4" t="s">
        <v>716</v>
      </c>
      <c r="E1526" s="4" t="s">
        <v>717</v>
      </c>
      <c r="M1526" s="4" t="s">
        <v>614</v>
      </c>
      <c r="N1526" s="4">
        <v>-71.552879300000001</v>
      </c>
      <c r="O1526" s="4">
        <v>3.7518756400000002</v>
      </c>
      <c r="P1526" s="4" t="s">
        <v>1046</v>
      </c>
      <c r="Q1526" s="4" t="s">
        <v>743</v>
      </c>
      <c r="R1526" s="4" t="s">
        <v>730</v>
      </c>
      <c r="S1526" s="2">
        <v>46174.440799641205</v>
      </c>
      <c r="T1526" s="5">
        <v>5.6588078703703705E-3</v>
      </c>
      <c r="U1526" s="4">
        <v>6.3045849092304707E-3</v>
      </c>
      <c r="V1526" s="4" t="s">
        <v>616</v>
      </c>
      <c r="W1526" s="4" t="s">
        <v>614</v>
      </c>
      <c r="X1526" s="6" t="s">
        <v>617</v>
      </c>
    </row>
    <row r="1527" spans="1:24">
      <c r="A1527" s="4" t="s">
        <v>1040</v>
      </c>
      <c r="B1527" s="4" t="s">
        <v>1041</v>
      </c>
      <c r="C1527" s="4" t="s">
        <v>1042</v>
      </c>
      <c r="D1527" s="4" t="s">
        <v>716</v>
      </c>
      <c r="E1527" s="4" t="s">
        <v>717</v>
      </c>
      <c r="M1527" s="4" t="s">
        <v>614</v>
      </c>
      <c r="N1527" s="4">
        <v>-71.5911179</v>
      </c>
      <c r="O1527" s="4">
        <v>3.7709431599999998</v>
      </c>
      <c r="P1527" s="4" t="s">
        <v>742</v>
      </c>
      <c r="Q1527" s="4" t="s">
        <v>743</v>
      </c>
      <c r="R1527" s="4" t="s">
        <v>730</v>
      </c>
      <c r="S1527" s="2">
        <v>46174.461065729163</v>
      </c>
      <c r="T1527" s="5">
        <v>5.0464120370370368E-3</v>
      </c>
      <c r="U1527" s="4">
        <v>5.2785915322601795E-3</v>
      </c>
      <c r="V1527" s="4" t="s">
        <v>616</v>
      </c>
      <c r="W1527" s="4" t="s">
        <v>614</v>
      </c>
      <c r="X1527" s="6" t="s">
        <v>617</v>
      </c>
    </row>
    <row r="1528" spans="1:24">
      <c r="A1528" s="4" t="s">
        <v>1040</v>
      </c>
      <c r="B1528" s="4" t="s">
        <v>1041</v>
      </c>
      <c r="C1528" s="4" t="s">
        <v>1042</v>
      </c>
      <c r="D1528" s="4" t="s">
        <v>716</v>
      </c>
      <c r="E1528" s="4" t="s">
        <v>717</v>
      </c>
      <c r="M1528" s="4" t="s">
        <v>645</v>
      </c>
      <c r="N1528" s="4">
        <v>-71.625487072812135</v>
      </c>
      <c r="O1528" s="4">
        <v>3.7810410690048339</v>
      </c>
      <c r="P1528" s="4" t="s">
        <v>759</v>
      </c>
      <c r="Q1528" s="4" t="s">
        <v>760</v>
      </c>
      <c r="R1528" s="4" t="s">
        <v>730</v>
      </c>
      <c r="S1528" s="2">
        <v>46174.476905648145</v>
      </c>
      <c r="T1528" s="5">
        <v>4.392361111111111E-5</v>
      </c>
      <c r="U1528" s="4">
        <v>1.6346588730812073E-2</v>
      </c>
      <c r="V1528" s="4" t="s">
        <v>752</v>
      </c>
      <c r="W1528" s="4" t="s">
        <v>645</v>
      </c>
      <c r="X1528" s="6" t="s">
        <v>617</v>
      </c>
    </row>
    <row r="1529" spans="1:24">
      <c r="A1529" s="4" t="s">
        <v>1040</v>
      </c>
      <c r="B1529" s="4" t="s">
        <v>1041</v>
      </c>
      <c r="C1529" s="4" t="s">
        <v>1042</v>
      </c>
      <c r="D1529" s="4" t="s">
        <v>716</v>
      </c>
      <c r="E1529" s="4" t="s">
        <v>717</v>
      </c>
      <c r="M1529" s="4" t="s">
        <v>645</v>
      </c>
      <c r="N1529" s="4">
        <v>-71.62574004999999</v>
      </c>
      <c r="O1529" s="4">
        <v>3.780997395</v>
      </c>
      <c r="P1529" s="4" t="s">
        <v>759</v>
      </c>
      <c r="Q1529" s="4" t="s">
        <v>760</v>
      </c>
      <c r="R1529" s="4" t="s">
        <v>730</v>
      </c>
      <c r="S1529" s="2">
        <v>46174.476991655094</v>
      </c>
      <c r="T1529" s="5">
        <v>2.4305555555555555E-4</v>
      </c>
      <c r="U1529" s="4">
        <v>8.2810893654823303E-2</v>
      </c>
      <c r="V1529" s="4" t="s">
        <v>752</v>
      </c>
      <c r="W1529" s="4" t="s">
        <v>645</v>
      </c>
      <c r="X1529" s="6" t="s">
        <v>617</v>
      </c>
    </row>
    <row r="1530" spans="1:24">
      <c r="A1530" s="4" t="s">
        <v>1040</v>
      </c>
      <c r="B1530" s="4" t="s">
        <v>1041</v>
      </c>
      <c r="C1530" s="4" t="s">
        <v>1042</v>
      </c>
      <c r="D1530" s="4" t="s">
        <v>716</v>
      </c>
      <c r="E1530" s="4" t="s">
        <v>717</v>
      </c>
      <c r="M1530" s="4" t="s">
        <v>656</v>
      </c>
      <c r="N1530" s="4">
        <v>-71.633895899999999</v>
      </c>
      <c r="O1530" s="4">
        <v>3.7839772699999998</v>
      </c>
      <c r="P1530" s="4" t="s">
        <v>734</v>
      </c>
      <c r="Q1530" s="4" t="s">
        <v>735</v>
      </c>
      <c r="R1530" s="4" t="s">
        <v>730</v>
      </c>
      <c r="S1530" s="2">
        <v>46174.501957743058</v>
      </c>
      <c r="T1530" s="5">
        <v>6.6898148148148145E-4</v>
      </c>
      <c r="U1530" s="4">
        <v>0.307466059923172</v>
      </c>
      <c r="V1530" s="4" t="s">
        <v>855</v>
      </c>
      <c r="W1530" s="4" t="s">
        <v>656</v>
      </c>
      <c r="X1530" s="6" t="s">
        <v>617</v>
      </c>
    </row>
    <row r="1531" spans="1:24">
      <c r="A1531" s="4" t="s">
        <v>1040</v>
      </c>
      <c r="B1531" s="4" t="s">
        <v>1041</v>
      </c>
      <c r="C1531" s="4" t="s">
        <v>1042</v>
      </c>
      <c r="D1531" s="4" t="s">
        <v>716</v>
      </c>
      <c r="E1531" s="4" t="s">
        <v>717</v>
      </c>
      <c r="M1531" s="4" t="s">
        <v>645</v>
      </c>
      <c r="N1531" s="4">
        <v>-71.633789100000001</v>
      </c>
      <c r="O1531" s="4">
        <v>3.78118372</v>
      </c>
      <c r="P1531" s="4" t="s">
        <v>800</v>
      </c>
      <c r="Q1531" s="4" t="s">
        <v>746</v>
      </c>
      <c r="R1531" s="4" t="s">
        <v>720</v>
      </c>
      <c r="S1531" s="2">
        <v>46174.50304570602</v>
      </c>
      <c r="T1531" s="5">
        <v>2.5618055555555556E-4</v>
      </c>
      <c r="U1531" s="4">
        <v>6.4995422959327698E-2</v>
      </c>
      <c r="V1531" s="4" t="s">
        <v>724</v>
      </c>
      <c r="W1531" s="4" t="s">
        <v>645</v>
      </c>
      <c r="X1531" s="6" t="s">
        <v>617</v>
      </c>
    </row>
    <row r="1532" spans="1:24">
      <c r="A1532" s="4" t="s">
        <v>1040</v>
      </c>
      <c r="B1532" s="4" t="s">
        <v>1041</v>
      </c>
      <c r="C1532" s="4" t="s">
        <v>1042</v>
      </c>
      <c r="D1532" s="4" t="s">
        <v>716</v>
      </c>
      <c r="E1532" s="4" t="s">
        <v>717</v>
      </c>
      <c r="M1532" s="4" t="s">
        <v>645</v>
      </c>
      <c r="N1532" s="4">
        <v>-71.633415200000002</v>
      </c>
      <c r="O1532" s="4">
        <v>3.7810492500000001</v>
      </c>
      <c r="P1532" s="4" t="s">
        <v>800</v>
      </c>
      <c r="Q1532" s="4" t="s">
        <v>746</v>
      </c>
      <c r="R1532" s="4" t="s">
        <v>720</v>
      </c>
      <c r="S1532" s="2">
        <v>46174.532213761573</v>
      </c>
      <c r="T1532" s="5">
        <v>5.2268518518518517E-4</v>
      </c>
      <c r="U1532" s="4">
        <v>0.12605759501457214</v>
      </c>
      <c r="V1532" s="4" t="s">
        <v>728</v>
      </c>
      <c r="W1532" s="4" t="s">
        <v>645</v>
      </c>
      <c r="X1532" s="6" t="s">
        <v>617</v>
      </c>
    </row>
    <row r="1533" spans="1:24">
      <c r="A1533" s="4" t="s">
        <v>1040</v>
      </c>
      <c r="B1533" s="4" t="s">
        <v>1041</v>
      </c>
      <c r="C1533" s="4" t="s">
        <v>1042</v>
      </c>
      <c r="D1533" s="4" t="s">
        <v>716</v>
      </c>
      <c r="E1533" s="4" t="s">
        <v>717</v>
      </c>
      <c r="M1533" s="4" t="s">
        <v>656</v>
      </c>
      <c r="N1533" s="4">
        <v>-71.634597799999995</v>
      </c>
      <c r="O1533" s="4">
        <v>3.7815208400000002</v>
      </c>
      <c r="P1533" s="4" t="s">
        <v>742</v>
      </c>
      <c r="Q1533" s="4" t="s">
        <v>743</v>
      </c>
      <c r="R1533" s="4" t="s">
        <v>730</v>
      </c>
      <c r="S1533" s="2">
        <v>46174.532815613427</v>
      </c>
      <c r="T1533" s="5">
        <v>4.9782407407407403E-4</v>
      </c>
      <c r="U1533" s="4">
        <v>0.29337120056152344</v>
      </c>
      <c r="V1533" s="4" t="s">
        <v>799</v>
      </c>
      <c r="W1533" s="4" t="s">
        <v>656</v>
      </c>
      <c r="X1533" s="6" t="s">
        <v>617</v>
      </c>
    </row>
    <row r="1534" spans="1:24">
      <c r="A1534" s="4" t="s">
        <v>1040</v>
      </c>
      <c r="B1534" s="4" t="s">
        <v>1041</v>
      </c>
      <c r="C1534" s="4" t="s">
        <v>1042</v>
      </c>
      <c r="D1534" s="4" t="s">
        <v>716</v>
      </c>
      <c r="E1534" s="4" t="s">
        <v>717</v>
      </c>
      <c r="M1534" s="4" t="s">
        <v>645</v>
      </c>
      <c r="N1534" s="4">
        <v>-71.626470003500003</v>
      </c>
      <c r="O1534" s="4">
        <v>3.7808335059</v>
      </c>
      <c r="P1534" s="4" t="s">
        <v>729</v>
      </c>
      <c r="Q1534" s="4" t="s">
        <v>723</v>
      </c>
      <c r="R1534" s="4" t="s">
        <v>730</v>
      </c>
      <c r="S1534" s="2">
        <v>46174.535591134256</v>
      </c>
      <c r="T1534" s="5">
        <v>3.0150462962962963E-5</v>
      </c>
      <c r="U1534" s="4">
        <v>7.8424941748380661E-3</v>
      </c>
      <c r="V1534" s="4" t="s">
        <v>724</v>
      </c>
      <c r="W1534" s="4" t="s">
        <v>645</v>
      </c>
      <c r="X1534" s="6" t="s">
        <v>617</v>
      </c>
    </row>
    <row r="1535" spans="1:24">
      <c r="A1535" s="4" t="s">
        <v>1040</v>
      </c>
      <c r="B1535" s="4" t="s">
        <v>1041</v>
      </c>
      <c r="C1535" s="4" t="s">
        <v>1042</v>
      </c>
      <c r="D1535" s="4" t="s">
        <v>716</v>
      </c>
      <c r="E1535" s="4" t="s">
        <v>717</v>
      </c>
      <c r="M1535" s="4" t="s">
        <v>645</v>
      </c>
      <c r="N1535" s="4">
        <v>-71.626499163399998</v>
      </c>
      <c r="O1535" s="4">
        <v>3.7805833113485714</v>
      </c>
      <c r="P1535" s="4" t="s">
        <v>722</v>
      </c>
      <c r="Q1535" s="4" t="s">
        <v>723</v>
      </c>
      <c r="R1535" s="4" t="s">
        <v>720</v>
      </c>
      <c r="S1535" s="2">
        <v>46174.535938796296</v>
      </c>
      <c r="T1535" s="5">
        <v>5.1121527777777775E-4</v>
      </c>
      <c r="U1535" s="4">
        <v>0.13227364420890808</v>
      </c>
      <c r="V1535" s="4" t="s">
        <v>724</v>
      </c>
      <c r="W1535" s="4" t="s">
        <v>645</v>
      </c>
      <c r="X1535" s="6" t="s">
        <v>617</v>
      </c>
    </row>
    <row r="1536" spans="1:24">
      <c r="A1536" s="4" t="s">
        <v>1040</v>
      </c>
      <c r="B1536" s="4" t="s">
        <v>1041</v>
      </c>
      <c r="C1536" s="4" t="s">
        <v>1042</v>
      </c>
      <c r="D1536" s="4" t="s">
        <v>716</v>
      </c>
      <c r="E1536" s="4" t="s">
        <v>717</v>
      </c>
      <c r="M1536" s="4" t="s">
        <v>645</v>
      </c>
      <c r="N1536" s="4">
        <v>-71.626291941472445</v>
      </c>
      <c r="O1536" s="4">
        <v>3.7792543557207163</v>
      </c>
      <c r="P1536" s="4" t="s">
        <v>726</v>
      </c>
      <c r="Q1536" s="4" t="s">
        <v>727</v>
      </c>
      <c r="R1536" s="4" t="s">
        <v>720</v>
      </c>
      <c r="S1536" s="2">
        <v>46174.53659275463</v>
      </c>
      <c r="T1536" s="5">
        <v>3.2019675925925927E-4</v>
      </c>
      <c r="U1536" s="4">
        <v>7.5600206851959229E-2</v>
      </c>
      <c r="V1536" s="4" t="s">
        <v>728</v>
      </c>
      <c r="W1536" s="4" t="s">
        <v>645</v>
      </c>
      <c r="X1536" s="6" t="s">
        <v>617</v>
      </c>
    </row>
    <row r="1537" spans="1:24">
      <c r="A1537" s="4" t="s">
        <v>1040</v>
      </c>
      <c r="B1537" s="4" t="s">
        <v>1041</v>
      </c>
      <c r="C1537" s="4" t="s">
        <v>1042</v>
      </c>
      <c r="D1537" s="4" t="s">
        <v>716</v>
      </c>
      <c r="E1537" s="4" t="s">
        <v>717</v>
      </c>
      <c r="M1537" s="4" t="s">
        <v>645</v>
      </c>
      <c r="N1537" s="4">
        <v>-71.6265717</v>
      </c>
      <c r="O1537" s="4">
        <v>3.7795340999999998</v>
      </c>
      <c r="P1537" s="4" t="s">
        <v>726</v>
      </c>
      <c r="Q1537" s="4" t="s">
        <v>727</v>
      </c>
      <c r="R1537" s="4" t="s">
        <v>720</v>
      </c>
      <c r="S1537" s="2">
        <v>46174.53808204861</v>
      </c>
      <c r="T1537" s="5">
        <v>3.7037037037037035E-4</v>
      </c>
      <c r="U1537" s="4">
        <v>9.13081094622612E-2</v>
      </c>
      <c r="V1537" s="4" t="s">
        <v>724</v>
      </c>
      <c r="W1537" s="4" t="s">
        <v>645</v>
      </c>
      <c r="X1537" s="6" t="s">
        <v>617</v>
      </c>
    </row>
    <row r="1538" spans="1:24">
      <c r="A1538" s="4" t="s">
        <v>1040</v>
      </c>
      <c r="B1538" s="4" t="s">
        <v>1041</v>
      </c>
      <c r="C1538" s="4" t="s">
        <v>1042</v>
      </c>
      <c r="D1538" s="4" t="s">
        <v>716</v>
      </c>
      <c r="E1538" s="4" t="s">
        <v>717</v>
      </c>
      <c r="M1538" s="4" t="s">
        <v>656</v>
      </c>
      <c r="N1538" s="4">
        <v>-71.633987399999995</v>
      </c>
      <c r="O1538" s="4">
        <v>3.7839248200000002</v>
      </c>
      <c r="P1538" s="4" t="s">
        <v>734</v>
      </c>
      <c r="Q1538" s="4" t="s">
        <v>735</v>
      </c>
      <c r="R1538" s="4" t="s">
        <v>730</v>
      </c>
      <c r="S1538" s="2">
        <v>46174.561705428241</v>
      </c>
      <c r="T1538" s="5">
        <v>6.336226851851852E-4</v>
      </c>
      <c r="U1538" s="4">
        <v>0.29454463720321655</v>
      </c>
      <c r="V1538" s="4" t="s">
        <v>865</v>
      </c>
      <c r="W1538" s="4" t="s">
        <v>656</v>
      </c>
      <c r="X1538" s="6" t="s">
        <v>617</v>
      </c>
    </row>
    <row r="1539" spans="1:24">
      <c r="A1539" s="4" t="s">
        <v>1040</v>
      </c>
      <c r="B1539" s="4" t="s">
        <v>1041</v>
      </c>
      <c r="C1539" s="4" t="s">
        <v>1042</v>
      </c>
      <c r="D1539" s="4" t="s">
        <v>716</v>
      </c>
      <c r="E1539" s="4" t="s">
        <v>717</v>
      </c>
      <c r="M1539" s="4" t="s">
        <v>645</v>
      </c>
      <c r="N1539" s="4">
        <v>-71.634132399999999</v>
      </c>
      <c r="O1539" s="4">
        <v>3.78115201</v>
      </c>
      <c r="P1539" s="4" t="s">
        <v>800</v>
      </c>
      <c r="Q1539" s="4" t="s">
        <v>746</v>
      </c>
      <c r="R1539" s="4" t="s">
        <v>720</v>
      </c>
      <c r="S1539" s="2">
        <v>46174.563846631943</v>
      </c>
      <c r="T1539" s="5">
        <v>3.241898148148148E-4</v>
      </c>
      <c r="U1539" s="4">
        <v>8.0340132117271423E-2</v>
      </c>
      <c r="V1539" s="4" t="s">
        <v>724</v>
      </c>
      <c r="W1539" s="4" t="s">
        <v>645</v>
      </c>
      <c r="X1539" s="6" t="s">
        <v>617</v>
      </c>
    </row>
    <row r="1540" spans="1:24">
      <c r="A1540" s="4" t="s">
        <v>1040</v>
      </c>
      <c r="B1540" s="4" t="s">
        <v>1041</v>
      </c>
      <c r="C1540" s="4" t="s">
        <v>1042</v>
      </c>
      <c r="D1540" s="4" t="s">
        <v>716</v>
      </c>
      <c r="E1540" s="4" t="s">
        <v>717</v>
      </c>
      <c r="M1540" s="4" t="s">
        <v>656</v>
      </c>
      <c r="N1540" s="4">
        <v>-71.634591639999996</v>
      </c>
      <c r="O1540" s="4">
        <v>3.7816044506666668</v>
      </c>
      <c r="P1540" s="4" t="s">
        <v>742</v>
      </c>
      <c r="Q1540" s="4" t="s">
        <v>743</v>
      </c>
      <c r="R1540" s="4" t="s">
        <v>730</v>
      </c>
      <c r="S1540" s="2">
        <v>46174.569066655095</v>
      </c>
      <c r="T1540" s="5">
        <v>8.4490740740740739E-4</v>
      </c>
      <c r="U1540" s="4">
        <v>0.30160501599311829</v>
      </c>
      <c r="V1540" s="4" t="s">
        <v>861</v>
      </c>
      <c r="W1540" s="4" t="s">
        <v>656</v>
      </c>
      <c r="X1540" s="6" t="s">
        <v>617</v>
      </c>
    </row>
    <row r="1541" spans="1:24">
      <c r="A1541" s="4" t="s">
        <v>1040</v>
      </c>
      <c r="B1541" s="4" t="s">
        <v>1041</v>
      </c>
      <c r="C1541" s="4" t="s">
        <v>1042</v>
      </c>
      <c r="D1541" s="4" t="s">
        <v>716</v>
      </c>
      <c r="E1541" s="4" t="s">
        <v>717</v>
      </c>
      <c r="M1541" s="4" t="s">
        <v>645</v>
      </c>
      <c r="N1541" s="4">
        <v>-71.62619998692</v>
      </c>
      <c r="O1541" s="4">
        <v>3.7809568843260002</v>
      </c>
      <c r="P1541" s="4" t="s">
        <v>770</v>
      </c>
      <c r="Q1541" s="4" t="s">
        <v>740</v>
      </c>
      <c r="R1541" s="4" t="s">
        <v>730</v>
      </c>
      <c r="S1541" s="2">
        <v>46174.572462824071</v>
      </c>
      <c r="T1541" s="5">
        <v>1.3971064814814814E-4</v>
      </c>
      <c r="U1541" s="4">
        <v>4.5176509767770767E-2</v>
      </c>
      <c r="V1541" s="4" t="s">
        <v>771</v>
      </c>
      <c r="W1541" s="4" t="s">
        <v>645</v>
      </c>
      <c r="X1541" s="6" t="s">
        <v>617</v>
      </c>
    </row>
    <row r="1542" spans="1:24">
      <c r="A1542" s="4" t="s">
        <v>1040</v>
      </c>
      <c r="B1542" s="4" t="s">
        <v>1041</v>
      </c>
      <c r="C1542" s="4" t="s">
        <v>1042</v>
      </c>
      <c r="D1542" s="4" t="s">
        <v>716</v>
      </c>
      <c r="E1542" s="4" t="s">
        <v>717</v>
      </c>
      <c r="M1542" s="4" t="s">
        <v>645</v>
      </c>
      <c r="N1542" s="4">
        <v>-71.625396739999999</v>
      </c>
      <c r="O1542" s="4">
        <v>3.7810338020000001</v>
      </c>
      <c r="P1542" s="4" t="s">
        <v>759</v>
      </c>
      <c r="Q1542" s="4" t="s">
        <v>760</v>
      </c>
      <c r="R1542" s="4" t="s">
        <v>730</v>
      </c>
      <c r="S1542" s="2">
        <v>46174.572768043981</v>
      </c>
      <c r="T1542" s="5">
        <v>5.2962962962962962E-5</v>
      </c>
      <c r="U1542" s="4">
        <v>1.518365740776062E-2</v>
      </c>
      <c r="V1542" s="4" t="s">
        <v>724</v>
      </c>
      <c r="W1542" s="4" t="s">
        <v>645</v>
      </c>
      <c r="X1542" s="6" t="s">
        <v>617</v>
      </c>
    </row>
    <row r="1543" spans="1:24">
      <c r="A1543" s="4" t="s">
        <v>1040</v>
      </c>
      <c r="B1543" s="4" t="s">
        <v>1041</v>
      </c>
      <c r="C1543" s="4" t="s">
        <v>1042</v>
      </c>
      <c r="D1543" s="4" t="s">
        <v>716</v>
      </c>
      <c r="E1543" s="4" t="s">
        <v>717</v>
      </c>
      <c r="M1543" s="4" t="s">
        <v>614</v>
      </c>
      <c r="N1543" s="4">
        <v>-71.6203766</v>
      </c>
      <c r="O1543" s="4">
        <v>3.7832331699999999</v>
      </c>
      <c r="P1543" s="4" t="s">
        <v>742</v>
      </c>
      <c r="Q1543" s="4" t="s">
        <v>743</v>
      </c>
      <c r="R1543" s="4" t="s">
        <v>730</v>
      </c>
      <c r="S1543" s="2">
        <v>46174.602498194443</v>
      </c>
      <c r="T1543" s="5">
        <v>5.4817708333333333E-3</v>
      </c>
      <c r="U1543" s="4">
        <v>1.3944544829428196E-2</v>
      </c>
      <c r="V1543" s="4" t="s">
        <v>616</v>
      </c>
      <c r="W1543" s="4" t="s">
        <v>614</v>
      </c>
      <c r="X1543" s="6" t="s">
        <v>617</v>
      </c>
    </row>
    <row r="1544" spans="1:24">
      <c r="A1544" s="4" t="s">
        <v>1040</v>
      </c>
      <c r="B1544" s="4" t="s">
        <v>1041</v>
      </c>
      <c r="C1544" s="4" t="s">
        <v>1042</v>
      </c>
      <c r="D1544" s="4" t="s">
        <v>716</v>
      </c>
      <c r="E1544" s="4" t="s">
        <v>717</v>
      </c>
      <c r="M1544" s="4" t="s">
        <v>645</v>
      </c>
      <c r="N1544" s="4">
        <v>-71.625302797109356</v>
      </c>
      <c r="O1544" s="4">
        <v>3.7810495683856011</v>
      </c>
      <c r="P1544" s="4" t="s">
        <v>759</v>
      </c>
      <c r="Q1544" s="4" t="s">
        <v>760</v>
      </c>
      <c r="R1544" s="4" t="s">
        <v>730</v>
      </c>
      <c r="S1544" s="2">
        <v>46174.721726192132</v>
      </c>
      <c r="T1544" s="5">
        <v>8.9780092592592594E-5</v>
      </c>
      <c r="U1544" s="4">
        <v>3.6346051841974258E-2</v>
      </c>
      <c r="V1544" s="4" t="s">
        <v>725</v>
      </c>
      <c r="W1544" s="4" t="s">
        <v>645</v>
      </c>
      <c r="X1544" s="6" t="s">
        <v>617</v>
      </c>
    </row>
    <row r="1545" spans="1:24">
      <c r="A1545" s="4" t="s">
        <v>1040</v>
      </c>
      <c r="B1545" s="4" t="s">
        <v>1041</v>
      </c>
      <c r="C1545" s="4" t="s">
        <v>1042</v>
      </c>
      <c r="D1545" s="4" t="s">
        <v>716</v>
      </c>
      <c r="E1545" s="4" t="s">
        <v>717</v>
      </c>
      <c r="M1545" s="4" t="s">
        <v>645</v>
      </c>
      <c r="N1545" s="4">
        <v>-71.62570699112662</v>
      </c>
      <c r="O1545" s="4">
        <v>3.7809751876570288</v>
      </c>
      <c r="P1545" s="4" t="s">
        <v>759</v>
      </c>
      <c r="Q1545" s="4" t="s">
        <v>760</v>
      </c>
      <c r="R1545" s="4" t="s">
        <v>730</v>
      </c>
      <c r="S1545" s="2">
        <v>46174.721866168984</v>
      </c>
      <c r="T1545" s="5">
        <v>2.1600694444444445E-4</v>
      </c>
      <c r="U1545" s="4">
        <v>6.8209104239940643E-2</v>
      </c>
      <c r="V1545" s="4" t="s">
        <v>771</v>
      </c>
      <c r="W1545" s="4" t="s">
        <v>645</v>
      </c>
      <c r="X1545" s="6" t="s">
        <v>617</v>
      </c>
    </row>
    <row r="1546" spans="1:24">
      <c r="A1546" s="4" t="s">
        <v>1040</v>
      </c>
      <c r="B1546" s="4" t="s">
        <v>1041</v>
      </c>
      <c r="C1546" s="4" t="s">
        <v>1042</v>
      </c>
      <c r="D1546" s="4" t="s">
        <v>716</v>
      </c>
      <c r="E1546" s="4" t="s">
        <v>717</v>
      </c>
      <c r="M1546" s="4" t="s">
        <v>645</v>
      </c>
      <c r="N1546" s="4">
        <v>-71.62630845000001</v>
      </c>
      <c r="O1546" s="4">
        <v>3.7806087750000001</v>
      </c>
      <c r="P1546" s="4" t="s">
        <v>722</v>
      </c>
      <c r="Q1546" s="4" t="s">
        <v>723</v>
      </c>
      <c r="R1546" s="4" t="s">
        <v>720</v>
      </c>
      <c r="S1546" s="2">
        <v>46174.722475682873</v>
      </c>
      <c r="T1546" s="5">
        <v>1.6782417407407407E-4</v>
      </c>
      <c r="U1546" s="4">
        <v>3.6870084702968597E-2</v>
      </c>
      <c r="V1546" s="4" t="s">
        <v>724</v>
      </c>
      <c r="W1546" s="4" t="s">
        <v>645</v>
      </c>
      <c r="X1546" s="6" t="s">
        <v>617</v>
      </c>
    </row>
    <row r="1547" spans="1:24">
      <c r="A1547" s="4" t="s">
        <v>1040</v>
      </c>
      <c r="B1547" s="4" t="s">
        <v>1041</v>
      </c>
      <c r="C1547" s="4" t="s">
        <v>1042</v>
      </c>
      <c r="D1547" s="4" t="s">
        <v>716</v>
      </c>
      <c r="E1547" s="4" t="s">
        <v>717</v>
      </c>
      <c r="M1547" s="4" t="s">
        <v>645</v>
      </c>
      <c r="N1547" s="4">
        <v>-71.626403800000006</v>
      </c>
      <c r="O1547" s="4">
        <v>3.7808792599999999</v>
      </c>
      <c r="P1547" s="4" t="s">
        <v>739</v>
      </c>
      <c r="Q1547" s="4" t="s">
        <v>740</v>
      </c>
      <c r="R1547" s="4" t="s">
        <v>730</v>
      </c>
      <c r="S1547" s="2">
        <v>46174.749440624997</v>
      </c>
      <c r="T1547" s="5">
        <v>1.5023148148148148E-5</v>
      </c>
      <c r="U1547" s="4">
        <v>3.7098182365298271E-3</v>
      </c>
      <c r="V1547" s="4" t="s">
        <v>664</v>
      </c>
      <c r="W1547" s="4" t="s">
        <v>645</v>
      </c>
      <c r="X1547" s="6" t="s">
        <v>617</v>
      </c>
    </row>
    <row r="1548" spans="1:24">
      <c r="A1548" s="4" t="s">
        <v>1040</v>
      </c>
      <c r="B1548" s="4" t="s">
        <v>1041</v>
      </c>
      <c r="C1548" s="4" t="s">
        <v>1042</v>
      </c>
      <c r="D1548" s="4" t="s">
        <v>716</v>
      </c>
      <c r="E1548" s="4" t="s">
        <v>717</v>
      </c>
      <c r="M1548" s="4" t="s">
        <v>656</v>
      </c>
      <c r="N1548" s="4">
        <v>-71.633880599999998</v>
      </c>
      <c r="O1548" s="4">
        <v>3.7839839500000001</v>
      </c>
      <c r="P1548" s="4" t="s">
        <v>734</v>
      </c>
      <c r="Q1548" s="4" t="s">
        <v>735</v>
      </c>
      <c r="R1548" s="4" t="s">
        <v>730</v>
      </c>
      <c r="S1548" s="2">
        <v>46174.751778703707</v>
      </c>
      <c r="T1548" s="5">
        <v>7.8535879629629626E-4</v>
      </c>
      <c r="U1548" s="4">
        <v>0.30862930417060852</v>
      </c>
      <c r="V1548" s="4" t="s">
        <v>862</v>
      </c>
      <c r="W1548" s="4" t="s">
        <v>656</v>
      </c>
      <c r="X1548" s="6" t="s">
        <v>617</v>
      </c>
    </row>
    <row r="1549" spans="1:24">
      <c r="A1549" s="4" t="s">
        <v>1040</v>
      </c>
      <c r="B1549" s="4" t="s">
        <v>1041</v>
      </c>
      <c r="C1549" s="4" t="s">
        <v>1042</v>
      </c>
      <c r="D1549" s="4" t="s">
        <v>716</v>
      </c>
      <c r="E1549" s="4" t="s">
        <v>717</v>
      </c>
      <c r="M1549" s="4" t="s">
        <v>645</v>
      </c>
      <c r="N1549" s="4">
        <v>-71.634499275425711</v>
      </c>
      <c r="O1549" s="4">
        <v>3.7813760236994991</v>
      </c>
      <c r="P1549" s="4" t="s">
        <v>800</v>
      </c>
      <c r="Q1549" s="4" t="s">
        <v>746</v>
      </c>
      <c r="R1549" s="4" t="s">
        <v>720</v>
      </c>
      <c r="S1549" s="2">
        <v>46174.752659537036</v>
      </c>
      <c r="T1549" s="5">
        <v>4.9069444444444442E-4</v>
      </c>
      <c r="U1549" s="4">
        <v>0.1299457848072052</v>
      </c>
      <c r="V1549" s="4" t="s">
        <v>724</v>
      </c>
      <c r="W1549" s="4" t="s">
        <v>645</v>
      </c>
      <c r="X1549" s="6" t="s">
        <v>617</v>
      </c>
    </row>
    <row r="1550" spans="1:24">
      <c r="A1550" s="4" t="s">
        <v>1040</v>
      </c>
      <c r="B1550" s="4" t="s">
        <v>1041</v>
      </c>
      <c r="C1550" s="4" t="s">
        <v>1042</v>
      </c>
      <c r="D1550" s="4" t="s">
        <v>716</v>
      </c>
      <c r="E1550" s="4" t="s">
        <v>717</v>
      </c>
      <c r="M1550" s="4" t="s">
        <v>656</v>
      </c>
      <c r="N1550" s="4">
        <v>-71.63458095</v>
      </c>
      <c r="O1550" s="4">
        <v>3.7815271410000002</v>
      </c>
      <c r="P1550" s="4" t="s">
        <v>742</v>
      </c>
      <c r="Q1550" s="4" t="s">
        <v>743</v>
      </c>
      <c r="R1550" s="4" t="s">
        <v>730</v>
      </c>
      <c r="S1550" s="2">
        <v>46174.757288182867</v>
      </c>
      <c r="T1550" s="5">
        <v>7.2798611111111111E-4</v>
      </c>
      <c r="U1550" s="4">
        <v>0.22359070181846619</v>
      </c>
      <c r="V1550" s="4" t="s">
        <v>1047</v>
      </c>
      <c r="W1550" s="4" t="s">
        <v>656</v>
      </c>
      <c r="X1550" s="6" t="s">
        <v>617</v>
      </c>
    </row>
    <row r="1551" spans="1:24">
      <c r="A1551" s="4" t="s">
        <v>1040</v>
      </c>
      <c r="B1551" s="4" t="s">
        <v>1041</v>
      </c>
      <c r="C1551" s="4" t="s">
        <v>1042</v>
      </c>
      <c r="D1551" s="4" t="s">
        <v>716</v>
      </c>
      <c r="E1551" s="4" t="s">
        <v>717</v>
      </c>
      <c r="M1551" s="4" t="s">
        <v>656</v>
      </c>
      <c r="N1551" s="4">
        <v>-71.633908795971948</v>
      </c>
      <c r="O1551" s="4">
        <v>3.7834812939679359</v>
      </c>
      <c r="P1551" s="4" t="s">
        <v>742</v>
      </c>
      <c r="Q1551" s="4" t="s">
        <v>743</v>
      </c>
      <c r="R1551" s="4" t="s">
        <v>730</v>
      </c>
      <c r="S1551" s="2">
        <v>46174.758279965281</v>
      </c>
      <c r="T1551" s="5">
        <v>1.8866898148148147E-4</v>
      </c>
      <c r="U1551" s="4">
        <v>6.1692163348197937E-2</v>
      </c>
      <c r="V1551" s="4" t="s">
        <v>1048</v>
      </c>
      <c r="W1551" s="4" t="s">
        <v>656</v>
      </c>
      <c r="X1551" s="6" t="s">
        <v>617</v>
      </c>
    </row>
    <row r="1552" spans="1:24">
      <c r="A1552" s="4" t="s">
        <v>1040</v>
      </c>
      <c r="B1552" s="4" t="s">
        <v>1041</v>
      </c>
      <c r="C1552" s="4" t="s">
        <v>1042</v>
      </c>
      <c r="D1552" s="4" t="s">
        <v>716</v>
      </c>
      <c r="E1552" s="4" t="s">
        <v>717</v>
      </c>
      <c r="M1552" s="4" t="s">
        <v>645</v>
      </c>
      <c r="N1552" s="4">
        <v>-71.62640419680001</v>
      </c>
      <c r="O1552" s="4">
        <v>3.7809429471800002</v>
      </c>
      <c r="P1552" s="4" t="s">
        <v>739</v>
      </c>
      <c r="Q1552" s="4" t="s">
        <v>740</v>
      </c>
      <c r="R1552" s="4" t="s">
        <v>730</v>
      </c>
      <c r="S1552" s="2">
        <v>46174.760957013888</v>
      </c>
      <c r="T1552" s="5">
        <v>1.8245370370370372E-4</v>
      </c>
      <c r="U1552" s="4">
        <v>4.6416137367486954E-2</v>
      </c>
      <c r="V1552" s="4" t="s">
        <v>728</v>
      </c>
      <c r="W1552" s="4" t="s">
        <v>645</v>
      </c>
      <c r="X1552" s="6" t="s">
        <v>617</v>
      </c>
    </row>
    <row r="1553" spans="1:24">
      <c r="A1553" s="4" t="s">
        <v>1040</v>
      </c>
      <c r="B1553" s="4" t="s">
        <v>1041</v>
      </c>
      <c r="C1553" s="4" t="s">
        <v>1042</v>
      </c>
      <c r="D1553" s="4" t="s">
        <v>716</v>
      </c>
      <c r="E1553" s="4" t="s">
        <v>717</v>
      </c>
      <c r="M1553" s="4" t="s">
        <v>645</v>
      </c>
      <c r="N1553" s="4">
        <v>-71.625276575000001</v>
      </c>
      <c r="O1553" s="4">
        <v>3.781024575</v>
      </c>
      <c r="P1553" s="4" t="s">
        <v>759</v>
      </c>
      <c r="Q1553" s="4" t="s">
        <v>760</v>
      </c>
      <c r="R1553" s="4" t="s">
        <v>730</v>
      </c>
      <c r="S1553" s="2">
        <v>46174.761469328703</v>
      </c>
      <c r="T1553" s="5">
        <v>1.1341435185185185E-4</v>
      </c>
      <c r="U1553" s="4">
        <v>2.8465963900089264E-2</v>
      </c>
      <c r="V1553" s="4" t="s">
        <v>724</v>
      </c>
      <c r="W1553" s="4" t="s">
        <v>645</v>
      </c>
      <c r="X1553" s="6" t="s">
        <v>617</v>
      </c>
    </row>
    <row r="1554" spans="1:24">
      <c r="A1554" s="4" t="s">
        <v>1040</v>
      </c>
      <c r="B1554" s="4" t="s">
        <v>1041</v>
      </c>
      <c r="C1554" s="4" t="s">
        <v>1042</v>
      </c>
      <c r="D1554" s="4" t="s">
        <v>716</v>
      </c>
      <c r="E1554" s="4" t="s">
        <v>717</v>
      </c>
      <c r="M1554" s="4" t="s">
        <v>645</v>
      </c>
      <c r="N1554" s="4">
        <v>-71.625175801694439</v>
      </c>
      <c r="O1554" s="4">
        <v>3.7810554278238935</v>
      </c>
      <c r="P1554" s="4" t="s">
        <v>759</v>
      </c>
      <c r="Q1554" s="4" t="s">
        <v>760</v>
      </c>
      <c r="R1554" s="4" t="s">
        <v>730</v>
      </c>
      <c r="S1554" s="2">
        <v>46174.869733657404</v>
      </c>
      <c r="T1554" s="5">
        <v>9.8344907407407411E-5</v>
      </c>
      <c r="U1554" s="4">
        <v>2.8818909078836441E-2</v>
      </c>
      <c r="V1554" s="4" t="s">
        <v>731</v>
      </c>
      <c r="W1554" s="4" t="s">
        <v>645</v>
      </c>
      <c r="X1554" s="6" t="s">
        <v>617</v>
      </c>
    </row>
    <row r="1555" spans="1:24">
      <c r="A1555" s="4" t="s">
        <v>1040</v>
      </c>
      <c r="B1555" s="4" t="s">
        <v>1041</v>
      </c>
      <c r="C1555" s="4" t="s">
        <v>1042</v>
      </c>
      <c r="D1555" s="4" t="s">
        <v>716</v>
      </c>
      <c r="E1555" s="4" t="s">
        <v>717</v>
      </c>
      <c r="M1555" s="4" t="s">
        <v>645</v>
      </c>
      <c r="N1555" s="4">
        <v>-71.626411450000006</v>
      </c>
      <c r="O1555" s="4">
        <v>3.7808233500000004</v>
      </c>
      <c r="P1555" s="4" t="s">
        <v>729</v>
      </c>
      <c r="Q1555" s="4" t="s">
        <v>723</v>
      </c>
      <c r="R1555" s="4" t="s">
        <v>730</v>
      </c>
      <c r="S1555" s="2">
        <v>46174.895637384259</v>
      </c>
      <c r="T1555" s="5">
        <v>3.7546296296296298E-5</v>
      </c>
      <c r="U1555" s="4">
        <v>8.626159280538559E-3</v>
      </c>
      <c r="V1555" s="4" t="s">
        <v>728</v>
      </c>
      <c r="W1555" s="4" t="s">
        <v>645</v>
      </c>
      <c r="X1555" s="6" t="s">
        <v>617</v>
      </c>
    </row>
    <row r="1556" spans="1:24">
      <c r="A1556" s="4" t="s">
        <v>1040</v>
      </c>
      <c r="B1556" s="4" t="s">
        <v>1041</v>
      </c>
      <c r="C1556" s="4" t="s">
        <v>1042</v>
      </c>
      <c r="D1556" s="4" t="s">
        <v>716</v>
      </c>
      <c r="E1556" s="4" t="s">
        <v>717</v>
      </c>
      <c r="M1556" s="4" t="s">
        <v>656</v>
      </c>
      <c r="N1556" s="4">
        <v>-71.633880599999998</v>
      </c>
      <c r="O1556" s="4">
        <v>3.78396797</v>
      </c>
      <c r="P1556" s="4" t="s">
        <v>734</v>
      </c>
      <c r="Q1556" s="4" t="s">
        <v>735</v>
      </c>
      <c r="R1556" s="4" t="s">
        <v>730</v>
      </c>
      <c r="S1556" s="2">
        <v>46174.897524074077</v>
      </c>
      <c r="T1556" s="5">
        <v>6.2268518518518521E-4</v>
      </c>
      <c r="U1556" s="4">
        <v>0.30578452348709106</v>
      </c>
      <c r="V1556" s="4" t="s">
        <v>1049</v>
      </c>
      <c r="W1556" s="4" t="s">
        <v>656</v>
      </c>
      <c r="X1556" s="6" t="s">
        <v>617</v>
      </c>
    </row>
    <row r="1557" spans="1:24">
      <c r="A1557" s="4" t="s">
        <v>1040</v>
      </c>
      <c r="B1557" s="4" t="s">
        <v>1041</v>
      </c>
      <c r="C1557" s="4" t="s">
        <v>1042</v>
      </c>
      <c r="D1557" s="4" t="s">
        <v>716</v>
      </c>
      <c r="E1557" s="4" t="s">
        <v>717</v>
      </c>
      <c r="M1557" s="4" t="s">
        <v>645</v>
      </c>
      <c r="N1557" s="4">
        <v>-71.63446995000001</v>
      </c>
      <c r="O1557" s="4">
        <v>3.7813863749999999</v>
      </c>
      <c r="P1557" s="4" t="s">
        <v>800</v>
      </c>
      <c r="Q1557" s="4" t="s">
        <v>746</v>
      </c>
      <c r="R1557" s="4" t="s">
        <v>720</v>
      </c>
      <c r="S1557" s="2">
        <v>46174.898221412041</v>
      </c>
      <c r="T1557" s="5">
        <v>4.6296296296296298E-4</v>
      </c>
      <c r="U1557" s="4">
        <v>0.13629704713821411</v>
      </c>
      <c r="V1557" s="4" t="s">
        <v>731</v>
      </c>
      <c r="W1557" s="4" t="s">
        <v>645</v>
      </c>
      <c r="X1557" s="6" t="s">
        <v>617</v>
      </c>
    </row>
    <row r="1558" spans="1:24">
      <c r="A1558" s="4" t="s">
        <v>1040</v>
      </c>
      <c r="B1558" s="4" t="s">
        <v>1041</v>
      </c>
      <c r="C1558" s="4" t="s">
        <v>1042</v>
      </c>
      <c r="D1558" s="4" t="s">
        <v>716</v>
      </c>
      <c r="E1558" s="4" t="s">
        <v>717</v>
      </c>
      <c r="M1558" s="4" t="s">
        <v>645</v>
      </c>
      <c r="N1558" s="4">
        <v>-71.633598300000003</v>
      </c>
      <c r="O1558" s="4">
        <v>3.781046865</v>
      </c>
      <c r="P1558" s="4" t="s">
        <v>800</v>
      </c>
      <c r="Q1558" s="4" t="s">
        <v>746</v>
      </c>
      <c r="R1558" s="4" t="s">
        <v>720</v>
      </c>
      <c r="S1558" s="2">
        <v>46174.968690567126</v>
      </c>
      <c r="T1558" s="5">
        <v>2.333912037037037E-4</v>
      </c>
      <c r="U1558" s="4">
        <v>5.6226745247840881E-2</v>
      </c>
      <c r="V1558" s="4" t="s">
        <v>724</v>
      </c>
      <c r="W1558" s="4" t="s">
        <v>645</v>
      </c>
      <c r="X1558" s="6" t="s">
        <v>617</v>
      </c>
    </row>
    <row r="1559" spans="1:24">
      <c r="A1559" s="4" t="s">
        <v>1040</v>
      </c>
      <c r="B1559" s="4" t="s">
        <v>1041</v>
      </c>
      <c r="C1559" s="4" t="s">
        <v>1042</v>
      </c>
      <c r="D1559" s="4" t="s">
        <v>716</v>
      </c>
      <c r="E1559" s="4" t="s">
        <v>717</v>
      </c>
      <c r="M1559" s="4" t="s">
        <v>656</v>
      </c>
      <c r="N1559" s="4">
        <v>-71.634542860064286</v>
      </c>
      <c r="O1559" s="4">
        <v>3.7815821855871428</v>
      </c>
      <c r="P1559" s="4" t="s">
        <v>742</v>
      </c>
      <c r="Q1559" s="4" t="s">
        <v>743</v>
      </c>
      <c r="R1559" s="4" t="s">
        <v>730</v>
      </c>
      <c r="S1559" s="2">
        <v>46174.969312928239</v>
      </c>
      <c r="T1559" s="5">
        <v>7.955208333333333E-4</v>
      </c>
      <c r="U1559" s="4">
        <v>0.30988553166389465</v>
      </c>
      <c r="V1559" s="4" t="s">
        <v>1050</v>
      </c>
      <c r="W1559" s="4" t="s">
        <v>656</v>
      </c>
      <c r="X1559" s="6" t="s">
        <v>617</v>
      </c>
    </row>
    <row r="1560" spans="1:24">
      <c r="A1560" s="4" t="s">
        <v>1040</v>
      </c>
      <c r="B1560" s="4" t="s">
        <v>1041</v>
      </c>
      <c r="C1560" s="4" t="s">
        <v>1042</v>
      </c>
      <c r="D1560" s="4" t="s">
        <v>716</v>
      </c>
      <c r="E1560" s="4" t="s">
        <v>717</v>
      </c>
      <c r="M1560" s="4" t="s">
        <v>645</v>
      </c>
      <c r="N1560" s="4">
        <v>-71.62641119045</v>
      </c>
      <c r="O1560" s="4">
        <v>3.7809312589575002</v>
      </c>
      <c r="P1560" s="4" t="s">
        <v>739</v>
      </c>
      <c r="Q1560" s="4" t="s">
        <v>740</v>
      </c>
      <c r="R1560" s="4" t="s">
        <v>730</v>
      </c>
      <c r="S1560" s="2">
        <v>46174.972077962964</v>
      </c>
      <c r="T1560" s="5">
        <v>1.8627314814814814E-4</v>
      </c>
      <c r="U1560" s="4">
        <v>7.0226565003395081E-2</v>
      </c>
      <c r="V1560" s="4" t="s">
        <v>864</v>
      </c>
      <c r="W1560" s="4" t="s">
        <v>645</v>
      </c>
      <c r="X1560" s="6" t="s">
        <v>617</v>
      </c>
    </row>
    <row r="1561" spans="1:24">
      <c r="A1561" s="4" t="s">
        <v>1040</v>
      </c>
      <c r="B1561" s="4" t="s">
        <v>1041</v>
      </c>
      <c r="C1561" s="4" t="s">
        <v>1042</v>
      </c>
      <c r="D1561" s="4" t="s">
        <v>716</v>
      </c>
      <c r="E1561" s="4" t="s">
        <v>717</v>
      </c>
      <c r="M1561" s="4" t="s">
        <v>645</v>
      </c>
      <c r="N1561" s="4">
        <v>-71.625389100000007</v>
      </c>
      <c r="O1561" s="4">
        <v>3.78099608</v>
      </c>
      <c r="P1561" s="4" t="s">
        <v>759</v>
      </c>
      <c r="Q1561" s="4" t="s">
        <v>760</v>
      </c>
      <c r="R1561" s="4" t="s">
        <v>730</v>
      </c>
      <c r="S1561" s="2">
        <v>46174.972407175926</v>
      </c>
      <c r="T1561" s="5">
        <v>1.3655092592592592E-4</v>
      </c>
      <c r="U1561" s="4">
        <v>4.2247258126735687E-2</v>
      </c>
      <c r="V1561" s="4" t="s">
        <v>728</v>
      </c>
      <c r="W1561" s="4" t="s">
        <v>645</v>
      </c>
      <c r="X1561" s="6" t="s">
        <v>617</v>
      </c>
    </row>
    <row r="1562" spans="1:24">
      <c r="A1562" s="4" t="s">
        <v>1051</v>
      </c>
      <c r="B1562" s="4" t="s">
        <v>1052</v>
      </c>
      <c r="D1562" s="4" t="s">
        <v>716</v>
      </c>
      <c r="E1562" s="4" t="s">
        <v>717</v>
      </c>
      <c r="M1562" s="4" t="s">
        <v>614</v>
      </c>
      <c r="N1562" s="4">
        <v>-71.644073500000005</v>
      </c>
      <c r="O1562" s="4">
        <v>3.7811832399999998</v>
      </c>
      <c r="P1562" s="4" t="s">
        <v>742</v>
      </c>
      <c r="Q1562" s="4" t="s">
        <v>743</v>
      </c>
      <c r="R1562" s="4" t="s">
        <v>730</v>
      </c>
      <c r="S1562" s="2">
        <v>46173.997141203705</v>
      </c>
      <c r="T1562" s="5">
        <v>2.5231481481481483E-2</v>
      </c>
      <c r="U1562" s="4">
        <v>0</v>
      </c>
      <c r="V1562" s="4" t="s">
        <v>616</v>
      </c>
      <c r="W1562" s="4" t="s">
        <v>614</v>
      </c>
      <c r="X1562" s="6" t="s">
        <v>617</v>
      </c>
    </row>
    <row r="1563" spans="1:24">
      <c r="A1563" s="4" t="s">
        <v>1051</v>
      </c>
      <c r="B1563" s="4" t="s">
        <v>1052</v>
      </c>
      <c r="D1563" s="4" t="s">
        <v>716</v>
      </c>
      <c r="E1563" s="4" t="s">
        <v>717</v>
      </c>
      <c r="M1563" s="4" t="s">
        <v>762</v>
      </c>
      <c r="N1563" s="4">
        <v>-71.644271283900011</v>
      </c>
      <c r="O1563" s="4">
        <v>3.7819168412100002</v>
      </c>
      <c r="P1563" s="4" t="s">
        <v>734</v>
      </c>
      <c r="Q1563" s="4" t="s">
        <v>735</v>
      </c>
      <c r="R1563" s="4" t="s">
        <v>730</v>
      </c>
      <c r="S1563" s="2">
        <v>46174.023514953704</v>
      </c>
      <c r="T1563" s="5">
        <v>3.0567129629629629E-5</v>
      </c>
      <c r="U1563" s="4">
        <v>2.1611742675304413E-2</v>
      </c>
      <c r="V1563" s="4" t="s">
        <v>763</v>
      </c>
      <c r="W1563" s="4" t="s">
        <v>762</v>
      </c>
      <c r="X1563" s="6" t="s">
        <v>617</v>
      </c>
    </row>
    <row r="1564" spans="1:24">
      <c r="A1564" s="4" t="s">
        <v>1051</v>
      </c>
      <c r="B1564" s="4" t="s">
        <v>1052</v>
      </c>
      <c r="D1564" s="4" t="s">
        <v>716</v>
      </c>
      <c r="E1564" s="4" t="s">
        <v>717</v>
      </c>
      <c r="M1564" s="4" t="s">
        <v>762</v>
      </c>
      <c r="N1564" s="4">
        <v>-71.643431470599992</v>
      </c>
      <c r="O1564" s="4">
        <v>3.7834884115322223</v>
      </c>
      <c r="P1564" s="4" t="s">
        <v>734</v>
      </c>
      <c r="Q1564" s="4" t="s">
        <v>735</v>
      </c>
      <c r="R1564" s="4" t="s">
        <v>730</v>
      </c>
      <c r="S1564" s="2">
        <v>46174.023853275467</v>
      </c>
      <c r="T1564" s="5">
        <v>2.4009259259259258E-4</v>
      </c>
      <c r="U1564" s="4">
        <v>0.17813679575920105</v>
      </c>
      <c r="V1564" s="4" t="s">
        <v>781</v>
      </c>
      <c r="W1564" s="4" t="s">
        <v>762</v>
      </c>
      <c r="X1564" s="6" t="s">
        <v>617</v>
      </c>
    </row>
    <row r="1565" spans="1:24">
      <c r="A1565" s="4" t="s">
        <v>1051</v>
      </c>
      <c r="B1565" s="4" t="s">
        <v>1052</v>
      </c>
      <c r="D1565" s="4" t="s">
        <v>716</v>
      </c>
      <c r="E1565" s="4" t="s">
        <v>717</v>
      </c>
      <c r="M1565" s="4" t="s">
        <v>762</v>
      </c>
      <c r="N1565" s="4">
        <v>-71.639050824982348</v>
      </c>
      <c r="O1565" s="4">
        <v>3.7843896612058825</v>
      </c>
      <c r="P1565" s="4" t="s">
        <v>734</v>
      </c>
      <c r="Q1565" s="4" t="s">
        <v>735</v>
      </c>
      <c r="R1565" s="4" t="s">
        <v>730</v>
      </c>
      <c r="S1565" s="2">
        <v>46174.024691354163</v>
      </c>
      <c r="T1565" s="5">
        <v>2.2531250000000001E-4</v>
      </c>
      <c r="U1565" s="4">
        <v>0.1661936491727829</v>
      </c>
      <c r="V1565" s="4" t="s">
        <v>781</v>
      </c>
      <c r="W1565" s="4" t="s">
        <v>762</v>
      </c>
      <c r="X1565" s="6" t="s">
        <v>617</v>
      </c>
    </row>
    <row r="1566" spans="1:24">
      <c r="A1566" s="4" t="s">
        <v>1051</v>
      </c>
      <c r="B1566" s="4" t="s">
        <v>1052</v>
      </c>
      <c r="D1566" s="4" t="s">
        <v>716</v>
      </c>
      <c r="E1566" s="4" t="s">
        <v>717</v>
      </c>
      <c r="M1566" s="4" t="s">
        <v>762</v>
      </c>
      <c r="N1566" s="4">
        <v>-71.636975608628575</v>
      </c>
      <c r="O1566" s="4">
        <v>3.7843219446342857</v>
      </c>
      <c r="P1566" s="4" t="s">
        <v>734</v>
      </c>
      <c r="Q1566" s="4" t="s">
        <v>735</v>
      </c>
      <c r="R1566" s="4" t="s">
        <v>730</v>
      </c>
      <c r="S1566" s="2">
        <v>46174.025007719909</v>
      </c>
      <c r="T1566" s="5">
        <v>3.361111111111111E-5</v>
      </c>
      <c r="U1566" s="4">
        <v>2.3596517741680145E-2</v>
      </c>
      <c r="V1566" s="4" t="s">
        <v>763</v>
      </c>
      <c r="W1566" s="4" t="s">
        <v>762</v>
      </c>
      <c r="X1566" s="6" t="s">
        <v>617</v>
      </c>
    </row>
    <row r="1567" spans="1:24">
      <c r="A1567" s="4" t="s">
        <v>1051</v>
      </c>
      <c r="B1567" s="4" t="s">
        <v>1052</v>
      </c>
      <c r="D1567" s="4" t="s">
        <v>716</v>
      </c>
      <c r="E1567" s="4" t="s">
        <v>717</v>
      </c>
      <c r="M1567" s="4" t="s">
        <v>645</v>
      </c>
      <c r="N1567" s="4">
        <v>-71.636698520025007</v>
      </c>
      <c r="O1567" s="4">
        <v>3.7843003966825002</v>
      </c>
      <c r="P1567" s="4" t="s">
        <v>718</v>
      </c>
      <c r="Q1567" s="4" t="s">
        <v>719</v>
      </c>
      <c r="R1567" s="4" t="s">
        <v>720</v>
      </c>
      <c r="S1567" s="2">
        <v>46174.025052280092</v>
      </c>
      <c r="T1567" s="5">
        <v>2.6320601851851852E-4</v>
      </c>
      <c r="U1567" s="4">
        <v>0.18249154090881348</v>
      </c>
      <c r="V1567" s="4" t="s">
        <v>763</v>
      </c>
      <c r="W1567" s="4" t="s">
        <v>645</v>
      </c>
      <c r="X1567" s="6" t="s">
        <v>617</v>
      </c>
    </row>
    <row r="1568" spans="1:24">
      <c r="A1568" s="4" t="s">
        <v>1051</v>
      </c>
      <c r="B1568" s="4" t="s">
        <v>1052</v>
      </c>
      <c r="D1568" s="4" t="s">
        <v>716</v>
      </c>
      <c r="E1568" s="4" t="s">
        <v>717</v>
      </c>
      <c r="M1568" s="4" t="s">
        <v>762</v>
      </c>
      <c r="N1568" s="4">
        <v>-71.635635308684613</v>
      </c>
      <c r="O1568" s="4">
        <v>3.7842292783676923</v>
      </c>
      <c r="P1568" s="4" t="s">
        <v>718</v>
      </c>
      <c r="Q1568" s="4" t="s">
        <v>719</v>
      </c>
      <c r="R1568" s="4" t="s">
        <v>720</v>
      </c>
      <c r="S1568" s="2">
        <v>46174.025227627317</v>
      </c>
      <c r="T1568" s="5">
        <v>2.1797453703703703E-4</v>
      </c>
      <c r="U1568" s="4">
        <v>0.16346666216850281</v>
      </c>
      <c r="V1568" s="4" t="s">
        <v>763</v>
      </c>
      <c r="W1568" s="4" t="s">
        <v>762</v>
      </c>
      <c r="X1568" s="6" t="s">
        <v>617</v>
      </c>
    </row>
    <row r="1569" spans="1:24">
      <c r="A1569" s="4" t="s">
        <v>1051</v>
      </c>
      <c r="B1569" s="4" t="s">
        <v>1052</v>
      </c>
      <c r="D1569" s="4" t="s">
        <v>716</v>
      </c>
      <c r="E1569" s="4" t="s">
        <v>717</v>
      </c>
      <c r="M1569" s="4" t="s">
        <v>762</v>
      </c>
      <c r="N1569" s="4">
        <v>-71.632427199999995</v>
      </c>
      <c r="O1569" s="4">
        <v>3.7837903500000003</v>
      </c>
      <c r="P1569" s="4" t="s">
        <v>734</v>
      </c>
      <c r="Q1569" s="4" t="s">
        <v>735</v>
      </c>
      <c r="R1569" s="4" t="s">
        <v>730</v>
      </c>
      <c r="S1569" s="2">
        <v>46174.025717592594</v>
      </c>
      <c r="T1569" s="5">
        <v>3.6898148148148146E-5</v>
      </c>
      <c r="U1569" s="4">
        <v>2.6686497032642365E-2</v>
      </c>
      <c r="V1569" s="4" t="s">
        <v>763</v>
      </c>
      <c r="W1569" s="4" t="s">
        <v>762</v>
      </c>
      <c r="X1569" s="6" t="s">
        <v>617</v>
      </c>
    </row>
    <row r="1570" spans="1:24">
      <c r="A1570" s="4" t="s">
        <v>1051</v>
      </c>
      <c r="B1570" s="4" t="s">
        <v>1052</v>
      </c>
      <c r="D1570" s="4" t="s">
        <v>716</v>
      </c>
      <c r="E1570" s="4" t="s">
        <v>717</v>
      </c>
      <c r="M1570" s="4" t="s">
        <v>685</v>
      </c>
      <c r="N1570" s="4">
        <v>-71.631934706300001</v>
      </c>
      <c r="O1570" s="4">
        <v>3.7837177013700001</v>
      </c>
      <c r="P1570" s="4" t="s">
        <v>734</v>
      </c>
      <c r="Q1570" s="4" t="s">
        <v>735</v>
      </c>
      <c r="R1570" s="4" t="s">
        <v>730</v>
      </c>
      <c r="S1570" s="2">
        <v>46174.025814386572</v>
      </c>
      <c r="T1570" s="5">
        <v>1.9675925925925927E-7</v>
      </c>
      <c r="U1570" s="4">
        <v>8.3005426859017462E-5</v>
      </c>
      <c r="V1570" s="4" t="s">
        <v>1053</v>
      </c>
      <c r="W1570" s="4" t="s">
        <v>685</v>
      </c>
      <c r="X1570" s="6" t="s">
        <v>617</v>
      </c>
    </row>
    <row r="1571" spans="1:24">
      <c r="A1571" s="4" t="s">
        <v>1051</v>
      </c>
      <c r="B1571" s="4" t="s">
        <v>1052</v>
      </c>
      <c r="D1571" s="4" t="s">
        <v>716</v>
      </c>
      <c r="E1571" s="4" t="s">
        <v>717</v>
      </c>
      <c r="M1571" s="4" t="s">
        <v>762</v>
      </c>
      <c r="N1571" s="4">
        <v>-71.63129756393333</v>
      </c>
      <c r="O1571" s="4">
        <v>3.7835594278066664</v>
      </c>
      <c r="P1571" s="4" t="s">
        <v>734</v>
      </c>
      <c r="Q1571" s="4" t="s">
        <v>735</v>
      </c>
      <c r="R1571" s="4" t="s">
        <v>730</v>
      </c>
      <c r="S1571" s="2">
        <v>46174.025934189813</v>
      </c>
      <c r="T1571" s="5">
        <v>9.4074074074074071E-5</v>
      </c>
      <c r="U1571" s="4">
        <v>7.4884288012981415E-2</v>
      </c>
      <c r="V1571" s="4" t="s">
        <v>798</v>
      </c>
      <c r="W1571" s="4" t="s">
        <v>762</v>
      </c>
      <c r="X1571" s="6" t="s">
        <v>617</v>
      </c>
    </row>
    <row r="1572" spans="1:24">
      <c r="A1572" s="4" t="s">
        <v>1051</v>
      </c>
      <c r="B1572" s="4" t="s">
        <v>1052</v>
      </c>
      <c r="D1572" s="4" t="s">
        <v>716</v>
      </c>
      <c r="E1572" s="4" t="s">
        <v>717</v>
      </c>
      <c r="M1572" s="4" t="s">
        <v>762</v>
      </c>
      <c r="N1572" s="4">
        <v>-71.630165774000005</v>
      </c>
      <c r="O1572" s="4">
        <v>3.7831258986749998</v>
      </c>
      <c r="P1572" s="4" t="s">
        <v>734</v>
      </c>
      <c r="Q1572" s="4" t="s">
        <v>735</v>
      </c>
      <c r="R1572" s="4" t="s">
        <v>730</v>
      </c>
      <c r="S1572" s="2">
        <v>46174.026127951387</v>
      </c>
      <c r="T1572" s="5">
        <v>4.9710648148148146E-5</v>
      </c>
      <c r="U1572" s="4">
        <v>3.8961872458457947E-2</v>
      </c>
      <c r="V1572" s="4" t="s">
        <v>781</v>
      </c>
      <c r="W1572" s="4" t="s">
        <v>762</v>
      </c>
      <c r="X1572" s="6" t="s">
        <v>617</v>
      </c>
    </row>
    <row r="1573" spans="1:24">
      <c r="A1573" s="4" t="s">
        <v>1051</v>
      </c>
      <c r="B1573" s="4" t="s">
        <v>1052</v>
      </c>
      <c r="D1573" s="4" t="s">
        <v>716</v>
      </c>
      <c r="E1573" s="4" t="s">
        <v>717</v>
      </c>
      <c r="M1573" s="4" t="s">
        <v>645</v>
      </c>
      <c r="N1573" s="4">
        <v>-71.626402481900001</v>
      </c>
      <c r="O1573" s="4">
        <v>3.7809457707450003</v>
      </c>
      <c r="P1573" s="4" t="s">
        <v>739</v>
      </c>
      <c r="Q1573" s="4" t="s">
        <v>740</v>
      </c>
      <c r="R1573" s="4" t="s">
        <v>730</v>
      </c>
      <c r="S1573" s="2">
        <v>46174.027051886573</v>
      </c>
      <c r="T1573" s="5">
        <v>3.4320601851851851E-4</v>
      </c>
      <c r="U1573" s="4">
        <v>0.14615383744239807</v>
      </c>
      <c r="V1573" s="4" t="s">
        <v>721</v>
      </c>
      <c r="W1573" s="4" t="s">
        <v>645</v>
      </c>
      <c r="X1573" s="6" t="s">
        <v>617</v>
      </c>
    </row>
    <row r="1574" spans="1:24">
      <c r="A1574" s="4" t="s">
        <v>1051</v>
      </c>
      <c r="B1574" s="4" t="s">
        <v>1052</v>
      </c>
      <c r="D1574" s="4" t="s">
        <v>716</v>
      </c>
      <c r="E1574" s="4" t="s">
        <v>717</v>
      </c>
      <c r="M1574" s="4" t="s">
        <v>645</v>
      </c>
      <c r="N1574" s="4">
        <v>-71.624981042239995</v>
      </c>
      <c r="O1574" s="4">
        <v>3.7810644078239997</v>
      </c>
      <c r="P1574" s="4" t="s">
        <v>759</v>
      </c>
      <c r="Q1574" s="4" t="s">
        <v>760</v>
      </c>
      <c r="R1574" s="4" t="s">
        <v>730</v>
      </c>
      <c r="S1574" s="2">
        <v>46174.027426296299</v>
      </c>
      <c r="T1574" s="5">
        <v>9.1064814814814817E-5</v>
      </c>
      <c r="U1574" s="4">
        <v>2.9899155721068382E-2</v>
      </c>
      <c r="V1574" s="4" t="s">
        <v>725</v>
      </c>
      <c r="W1574" s="4" t="s">
        <v>645</v>
      </c>
      <c r="X1574" s="6" t="s">
        <v>617</v>
      </c>
    </row>
    <row r="1575" spans="1:24">
      <c r="A1575" s="4" t="s">
        <v>1051</v>
      </c>
      <c r="B1575" s="4" t="s">
        <v>1052</v>
      </c>
      <c r="D1575" s="4" t="s">
        <v>716</v>
      </c>
      <c r="E1575" s="4" t="s">
        <v>717</v>
      </c>
      <c r="M1575" s="4" t="s">
        <v>645</v>
      </c>
      <c r="N1575" s="4">
        <v>-71.624800139999991</v>
      </c>
      <c r="O1575" s="4">
        <v>3.7806581980000002</v>
      </c>
      <c r="P1575" s="4" t="s">
        <v>854</v>
      </c>
      <c r="Q1575" s="4" t="s">
        <v>727</v>
      </c>
      <c r="R1575" s="4" t="s">
        <v>720</v>
      </c>
      <c r="S1575" s="2">
        <v>46174.028106481484</v>
      </c>
      <c r="T1575" s="5">
        <v>3.0092592592592593E-5</v>
      </c>
      <c r="U1575" s="4">
        <v>6.9242985919117928E-3</v>
      </c>
      <c r="V1575" s="4" t="s">
        <v>724</v>
      </c>
      <c r="W1575" s="4" t="s">
        <v>645</v>
      </c>
      <c r="X1575" s="6" t="s">
        <v>617</v>
      </c>
    </row>
    <row r="1576" spans="1:24">
      <c r="A1576" s="4" t="s">
        <v>1051</v>
      </c>
      <c r="B1576" s="4" t="s">
        <v>1052</v>
      </c>
      <c r="D1576" s="4" t="s">
        <v>716</v>
      </c>
      <c r="E1576" s="4" t="s">
        <v>717</v>
      </c>
      <c r="M1576" s="4" t="s">
        <v>645</v>
      </c>
      <c r="N1576" s="4">
        <v>-71.624820975999995</v>
      </c>
      <c r="O1576" s="4">
        <v>3.7810367221066667</v>
      </c>
      <c r="P1576" s="4" t="s">
        <v>759</v>
      </c>
      <c r="Q1576" s="4" t="s">
        <v>760</v>
      </c>
      <c r="R1576" s="4" t="s">
        <v>730</v>
      </c>
      <c r="S1576" s="2">
        <v>46174.030933935188</v>
      </c>
      <c r="T1576" s="5">
        <v>2.3946759259259259E-5</v>
      </c>
      <c r="U1576" s="4">
        <v>7.3631801642477512E-3</v>
      </c>
      <c r="V1576" s="4" t="s">
        <v>864</v>
      </c>
      <c r="W1576" s="4" t="s">
        <v>645</v>
      </c>
      <c r="X1576" s="6" t="s">
        <v>617</v>
      </c>
    </row>
    <row r="1577" spans="1:24">
      <c r="A1577" s="4" t="s">
        <v>1051</v>
      </c>
      <c r="B1577" s="4" t="s">
        <v>1052</v>
      </c>
      <c r="D1577" s="4" t="s">
        <v>716</v>
      </c>
      <c r="E1577" s="4" t="s">
        <v>717</v>
      </c>
      <c r="M1577" s="4" t="s">
        <v>645</v>
      </c>
      <c r="N1577" s="4">
        <v>-71.625060006066676</v>
      </c>
      <c r="O1577" s="4">
        <v>3.7810607688499998</v>
      </c>
      <c r="P1577" s="4" t="s">
        <v>759</v>
      </c>
      <c r="Q1577" s="4" t="s">
        <v>760</v>
      </c>
      <c r="R1577" s="4" t="s">
        <v>730</v>
      </c>
      <c r="S1577" s="2">
        <v>46174.030995173613</v>
      </c>
      <c r="T1577" s="5">
        <v>1.2494212962962963E-4</v>
      </c>
      <c r="U1577" s="4">
        <v>6.7201092839241028E-2</v>
      </c>
      <c r="V1577" s="4" t="s">
        <v>783</v>
      </c>
      <c r="W1577" s="4" t="s">
        <v>645</v>
      </c>
      <c r="X1577" s="6" t="s">
        <v>617</v>
      </c>
    </row>
    <row r="1578" spans="1:24">
      <c r="A1578" s="4" t="s">
        <v>1051</v>
      </c>
      <c r="B1578" s="4" t="s">
        <v>1052</v>
      </c>
      <c r="D1578" s="4" t="s">
        <v>716</v>
      </c>
      <c r="E1578" s="4" t="s">
        <v>717</v>
      </c>
      <c r="M1578" s="4" t="s">
        <v>645</v>
      </c>
      <c r="N1578" s="4">
        <v>-71.62569049999999</v>
      </c>
      <c r="O1578" s="4">
        <v>3.7809541199999996</v>
      </c>
      <c r="P1578" s="4" t="s">
        <v>759</v>
      </c>
      <c r="Q1578" s="4" t="s">
        <v>760</v>
      </c>
      <c r="R1578" s="4" t="s">
        <v>730</v>
      </c>
      <c r="S1578" s="2">
        <v>46174.031134259261</v>
      </c>
      <c r="T1578" s="5">
        <v>1.5872685185185185E-4</v>
      </c>
      <c r="U1578" s="4">
        <v>5.7381603866815567E-2</v>
      </c>
      <c r="V1578" s="4" t="s">
        <v>741</v>
      </c>
      <c r="W1578" s="4" t="s">
        <v>645</v>
      </c>
      <c r="X1578" s="6" t="s">
        <v>617</v>
      </c>
    </row>
    <row r="1579" spans="1:24">
      <c r="A1579" s="4" t="s">
        <v>1051</v>
      </c>
      <c r="B1579" s="4" t="s">
        <v>1052</v>
      </c>
      <c r="D1579" s="4" t="s">
        <v>716</v>
      </c>
      <c r="E1579" s="4" t="s">
        <v>717</v>
      </c>
      <c r="M1579" s="4" t="s">
        <v>645</v>
      </c>
      <c r="N1579" s="4">
        <v>-71.626277950000002</v>
      </c>
      <c r="O1579" s="4">
        <v>3.7809428</v>
      </c>
      <c r="P1579" s="4" t="s">
        <v>770</v>
      </c>
      <c r="Q1579" s="4" t="s">
        <v>740</v>
      </c>
      <c r="R1579" s="4" t="s">
        <v>730</v>
      </c>
      <c r="S1579" s="2">
        <v>46174.031325231583</v>
      </c>
      <c r="T1579" s="5">
        <v>4.7071759259259262E-5</v>
      </c>
      <c r="U1579" s="4">
        <v>1.3404831290245056E-2</v>
      </c>
      <c r="V1579" s="4" t="s">
        <v>731</v>
      </c>
      <c r="W1579" s="4" t="s">
        <v>645</v>
      </c>
      <c r="X1579" s="6" t="s">
        <v>617</v>
      </c>
    </row>
    <row r="1580" spans="1:24">
      <c r="A1580" s="4" t="s">
        <v>1051</v>
      </c>
      <c r="B1580" s="4" t="s">
        <v>1052</v>
      </c>
      <c r="D1580" s="4" t="s">
        <v>716</v>
      </c>
      <c r="E1580" s="4" t="s">
        <v>717</v>
      </c>
      <c r="M1580" s="4" t="s">
        <v>762</v>
      </c>
      <c r="N1580" s="4">
        <v>-71.628431499142849</v>
      </c>
      <c r="O1580" s="4">
        <v>3.7813506669642853</v>
      </c>
      <c r="P1580" s="4" t="s">
        <v>734</v>
      </c>
      <c r="Q1580" s="4" t="s">
        <v>735</v>
      </c>
      <c r="R1580" s="4" t="s">
        <v>730</v>
      </c>
      <c r="S1580" s="2">
        <v>46174.031867881946</v>
      </c>
      <c r="T1580" s="5">
        <v>2.6174768518518517E-4</v>
      </c>
      <c r="U1580" s="4">
        <v>0.19307759404182434</v>
      </c>
      <c r="V1580" s="4" t="s">
        <v>781</v>
      </c>
      <c r="W1580" s="4" t="s">
        <v>762</v>
      </c>
      <c r="X1580" s="6" t="s">
        <v>617</v>
      </c>
    </row>
    <row r="1581" spans="1:24">
      <c r="A1581" s="4" t="s">
        <v>1051</v>
      </c>
      <c r="B1581" s="4" t="s">
        <v>1052</v>
      </c>
      <c r="D1581" s="4" t="s">
        <v>716</v>
      </c>
      <c r="E1581" s="4" t="s">
        <v>717</v>
      </c>
      <c r="M1581" s="4" t="s">
        <v>762</v>
      </c>
      <c r="N1581" s="4">
        <v>-71.630665604979995</v>
      </c>
      <c r="O1581" s="4">
        <v>3.783383888026</v>
      </c>
      <c r="P1581" s="4" t="s">
        <v>734</v>
      </c>
      <c r="Q1581" s="4" t="s">
        <v>735</v>
      </c>
      <c r="R1581" s="4" t="s">
        <v>730</v>
      </c>
      <c r="S1581" s="2">
        <v>46174.032403553239</v>
      </c>
      <c r="T1581" s="5">
        <v>8.0243055555555555E-5</v>
      </c>
      <c r="U1581" s="4">
        <v>5.9882417321205139E-2</v>
      </c>
      <c r="V1581" s="4" t="s">
        <v>781</v>
      </c>
      <c r="W1581" s="4" t="s">
        <v>762</v>
      </c>
      <c r="X1581" s="6" t="s">
        <v>617</v>
      </c>
    </row>
    <row r="1582" spans="1:24">
      <c r="A1582" s="4" t="s">
        <v>1051</v>
      </c>
      <c r="B1582" s="4" t="s">
        <v>1052</v>
      </c>
      <c r="D1582" s="4" t="s">
        <v>716</v>
      </c>
      <c r="E1582" s="4" t="s">
        <v>717</v>
      </c>
      <c r="M1582" s="4" t="s">
        <v>762</v>
      </c>
      <c r="N1582" s="4">
        <v>-71.632238582666673</v>
      </c>
      <c r="O1582" s="4">
        <v>3.7837484259999998</v>
      </c>
      <c r="P1582" s="4" t="s">
        <v>734</v>
      </c>
      <c r="Q1582" s="4" t="s">
        <v>735</v>
      </c>
      <c r="R1582" s="4" t="s">
        <v>730</v>
      </c>
      <c r="S1582" s="2">
        <v>46174.032700324075</v>
      </c>
      <c r="T1582" s="5">
        <v>6.2314814814814809E-5</v>
      </c>
      <c r="U1582" s="4">
        <v>4.8141118139028549E-2</v>
      </c>
      <c r="V1582" s="4" t="s">
        <v>781</v>
      </c>
      <c r="W1582" s="4" t="s">
        <v>762</v>
      </c>
      <c r="X1582" s="6" t="s">
        <v>617</v>
      </c>
    </row>
    <row r="1583" spans="1:24">
      <c r="A1583" s="4" t="s">
        <v>1051</v>
      </c>
      <c r="B1583" s="4" t="s">
        <v>1052</v>
      </c>
      <c r="D1583" s="4" t="s">
        <v>716</v>
      </c>
      <c r="E1583" s="4" t="s">
        <v>717</v>
      </c>
      <c r="M1583" s="4" t="s">
        <v>762</v>
      </c>
      <c r="N1583" s="4">
        <v>-71.634188819999991</v>
      </c>
      <c r="O1583" s="4">
        <v>3.7840919459999998</v>
      </c>
      <c r="P1583" s="4" t="s">
        <v>734</v>
      </c>
      <c r="Q1583" s="4" t="s">
        <v>735</v>
      </c>
      <c r="R1583" s="4" t="s">
        <v>730</v>
      </c>
      <c r="S1583" s="2">
        <v>46174.033013888889</v>
      </c>
      <c r="T1583" s="5">
        <v>4.4290509259259261E-4</v>
      </c>
      <c r="U1583" s="4">
        <v>0.32483693957328796</v>
      </c>
      <c r="V1583" s="4" t="s">
        <v>781</v>
      </c>
      <c r="W1583" s="4" t="s">
        <v>762</v>
      </c>
      <c r="X1583" s="6" t="s">
        <v>617</v>
      </c>
    </row>
    <row r="1584" spans="1:24">
      <c r="A1584" s="4" t="s">
        <v>1051</v>
      </c>
      <c r="B1584" s="4" t="s">
        <v>1052</v>
      </c>
      <c r="D1584" s="4" t="s">
        <v>716</v>
      </c>
      <c r="E1584" s="4" t="s">
        <v>717</v>
      </c>
      <c r="M1584" s="4" t="s">
        <v>645</v>
      </c>
      <c r="N1584" s="4">
        <v>-71.63505986057308</v>
      </c>
      <c r="O1584" s="4">
        <v>3.7842838391296154</v>
      </c>
      <c r="P1584" s="4" t="s">
        <v>718</v>
      </c>
      <c r="Q1584" s="4" t="s">
        <v>719</v>
      </c>
      <c r="R1584" s="4" t="s">
        <v>720</v>
      </c>
      <c r="S1584" s="2">
        <v>46174.033145520836</v>
      </c>
      <c r="T1584" s="5">
        <v>2.5152777777777776E-4</v>
      </c>
      <c r="U1584" s="4">
        <v>0.18276239931583405</v>
      </c>
      <c r="V1584" s="4" t="s">
        <v>781</v>
      </c>
      <c r="W1584" s="4" t="s">
        <v>645</v>
      </c>
      <c r="X1584" s="6" t="s">
        <v>617</v>
      </c>
    </row>
    <row r="1585" spans="1:24">
      <c r="A1585" s="4" t="s">
        <v>1051</v>
      </c>
      <c r="B1585" s="4" t="s">
        <v>1052</v>
      </c>
      <c r="D1585" s="4" t="s">
        <v>716</v>
      </c>
      <c r="E1585" s="4" t="s">
        <v>717</v>
      </c>
      <c r="M1585" s="4" t="s">
        <v>762</v>
      </c>
      <c r="N1585" s="4">
        <v>-71.637583054575003</v>
      </c>
      <c r="O1585" s="4">
        <v>3.7843566283649999</v>
      </c>
      <c r="P1585" s="4" t="s">
        <v>734</v>
      </c>
      <c r="Q1585" s="4" t="s">
        <v>735</v>
      </c>
      <c r="R1585" s="4" t="s">
        <v>730</v>
      </c>
      <c r="S1585" s="2">
        <v>46174.033531747686</v>
      </c>
      <c r="T1585" s="5">
        <v>2.8413194444444444E-4</v>
      </c>
      <c r="U1585" s="4">
        <v>0.22378149628639221</v>
      </c>
      <c r="V1585" s="4" t="s">
        <v>784</v>
      </c>
      <c r="W1585" s="4" t="s">
        <v>762</v>
      </c>
      <c r="X1585" s="6" t="s">
        <v>617</v>
      </c>
    </row>
    <row r="1586" spans="1:24">
      <c r="A1586" s="4" t="s">
        <v>1051</v>
      </c>
      <c r="B1586" s="4" t="s">
        <v>1052</v>
      </c>
      <c r="D1586" s="4" t="s">
        <v>716</v>
      </c>
      <c r="E1586" s="4" t="s">
        <v>717</v>
      </c>
      <c r="M1586" s="4" t="s">
        <v>762</v>
      </c>
      <c r="N1586" s="4">
        <v>-71.642675171199997</v>
      </c>
      <c r="O1586" s="4">
        <v>3.7844192481599999</v>
      </c>
      <c r="P1586" s="4" t="s">
        <v>734</v>
      </c>
      <c r="Q1586" s="4" t="s">
        <v>735</v>
      </c>
      <c r="R1586" s="4" t="s">
        <v>730</v>
      </c>
      <c r="S1586" s="2">
        <v>46174.034391539353</v>
      </c>
      <c r="T1586" s="5">
        <v>6.4479166666666664E-5</v>
      </c>
      <c r="U1586" s="4">
        <v>4.7364659607410431E-2</v>
      </c>
      <c r="V1586" s="4" t="s">
        <v>781</v>
      </c>
      <c r="W1586" s="4" t="s">
        <v>762</v>
      </c>
      <c r="X1586" s="6" t="s">
        <v>617</v>
      </c>
    </row>
    <row r="1587" spans="1:24">
      <c r="A1587" s="4" t="s">
        <v>1051</v>
      </c>
      <c r="B1587" s="4" t="s">
        <v>1052</v>
      </c>
      <c r="D1587" s="4" t="s">
        <v>716</v>
      </c>
      <c r="E1587" s="4" t="s">
        <v>717</v>
      </c>
      <c r="M1587" s="4" t="s">
        <v>762</v>
      </c>
      <c r="N1587" s="4">
        <v>-71.643886988799991</v>
      </c>
      <c r="O1587" s="4">
        <v>3.7824368836500004</v>
      </c>
      <c r="P1587" s="4" t="s">
        <v>734</v>
      </c>
      <c r="Q1587" s="4" t="s">
        <v>735</v>
      </c>
      <c r="R1587" s="4" t="s">
        <v>730</v>
      </c>
      <c r="S1587" s="2">
        <v>46174.034810960649</v>
      </c>
      <c r="T1587" s="5">
        <v>1.797800925925926E-4</v>
      </c>
      <c r="U1587" s="4">
        <v>0.13639150559902191</v>
      </c>
      <c r="V1587" s="4" t="s">
        <v>781</v>
      </c>
      <c r="W1587" s="4" t="s">
        <v>762</v>
      </c>
      <c r="X1587" s="6" t="s">
        <v>617</v>
      </c>
    </row>
    <row r="1588" spans="1:24">
      <c r="A1588" s="4" t="s">
        <v>1051</v>
      </c>
      <c r="B1588" s="4" t="s">
        <v>1052</v>
      </c>
      <c r="D1588" s="4" t="s">
        <v>716</v>
      </c>
      <c r="E1588" s="4" t="s">
        <v>717</v>
      </c>
      <c r="M1588" s="4" t="s">
        <v>685</v>
      </c>
      <c r="N1588" s="4">
        <v>-71.650492157520006</v>
      </c>
      <c r="O1588" s="4">
        <v>3.7736799666680003</v>
      </c>
      <c r="P1588" s="4" t="s">
        <v>1054</v>
      </c>
      <c r="Q1588" s="4" t="s">
        <v>735</v>
      </c>
      <c r="R1588" s="4" t="s">
        <v>730</v>
      </c>
      <c r="S1588" s="2">
        <v>46174.037159155094</v>
      </c>
      <c r="T1588" s="5">
        <v>1.3888888888888888E-7</v>
      </c>
      <c r="U1588" s="4">
        <v>6.5015658037737012E-5</v>
      </c>
      <c r="V1588" s="4" t="s">
        <v>1055</v>
      </c>
      <c r="W1588" s="4" t="s">
        <v>685</v>
      </c>
      <c r="X1588" s="6" t="s">
        <v>617</v>
      </c>
    </row>
    <row r="1589" spans="1:24">
      <c r="A1589" s="4" t="s">
        <v>1051</v>
      </c>
      <c r="B1589" s="4" t="s">
        <v>1052</v>
      </c>
      <c r="D1589" s="4" t="s">
        <v>716</v>
      </c>
      <c r="E1589" s="4" t="s">
        <v>717</v>
      </c>
      <c r="M1589" s="4" t="s">
        <v>762</v>
      </c>
      <c r="N1589" s="4">
        <v>-71.6475419354</v>
      </c>
      <c r="O1589" s="4">
        <v>3.7788899309500001</v>
      </c>
      <c r="P1589" s="4" t="s">
        <v>734</v>
      </c>
      <c r="Q1589" s="4" t="s">
        <v>735</v>
      </c>
      <c r="R1589" s="4" t="s">
        <v>730</v>
      </c>
      <c r="S1589" s="2">
        <v>46174.262808935186</v>
      </c>
      <c r="T1589" s="5">
        <v>1.2722222222222223E-4</v>
      </c>
      <c r="U1589" s="4">
        <v>0.10290048271417618</v>
      </c>
      <c r="V1589" s="4" t="s">
        <v>758</v>
      </c>
      <c r="W1589" s="4" t="s">
        <v>762</v>
      </c>
      <c r="X1589" s="6" t="s">
        <v>617</v>
      </c>
    </row>
    <row r="1590" spans="1:24">
      <c r="A1590" s="4" t="s">
        <v>1051</v>
      </c>
      <c r="B1590" s="4" t="s">
        <v>1052</v>
      </c>
      <c r="D1590" s="4" t="s">
        <v>716</v>
      </c>
      <c r="E1590" s="4" t="s">
        <v>717</v>
      </c>
      <c r="M1590" s="4" t="s">
        <v>757</v>
      </c>
      <c r="N1590" s="4">
        <v>-71.647364809999999</v>
      </c>
      <c r="O1590" s="4">
        <v>3.779093547</v>
      </c>
      <c r="P1590" s="4" t="s">
        <v>734</v>
      </c>
      <c r="Q1590" s="4" t="s">
        <v>735</v>
      </c>
      <c r="R1590" s="4" t="s">
        <v>730</v>
      </c>
      <c r="S1590" s="2">
        <v>46174.262843750003</v>
      </c>
      <c r="T1590" s="5">
        <v>1.5046296296296297E-5</v>
      </c>
      <c r="U1590" s="4">
        <v>1.3969643972814083E-2</v>
      </c>
      <c r="V1590" s="4" t="s">
        <v>758</v>
      </c>
      <c r="W1590" s="4" t="s">
        <v>757</v>
      </c>
      <c r="X1590" s="6" t="s">
        <v>617</v>
      </c>
    </row>
    <row r="1591" spans="1:24">
      <c r="A1591" s="4" t="s">
        <v>1051</v>
      </c>
      <c r="B1591" s="4" t="s">
        <v>1052</v>
      </c>
      <c r="D1591" s="4" t="s">
        <v>716</v>
      </c>
      <c r="E1591" s="4" t="s">
        <v>717</v>
      </c>
      <c r="M1591" s="4" t="s">
        <v>762</v>
      </c>
      <c r="N1591" s="4">
        <v>-71.646143146075005</v>
      </c>
      <c r="O1591" s="4">
        <v>3.7802402882725001</v>
      </c>
      <c r="P1591" s="4" t="s">
        <v>734</v>
      </c>
      <c r="Q1591" s="4" t="s">
        <v>735</v>
      </c>
      <c r="R1591" s="4" t="s">
        <v>730</v>
      </c>
      <c r="S1591" s="2">
        <v>46174.263099745367</v>
      </c>
      <c r="T1591" s="5">
        <v>4.8402777777777779E-5</v>
      </c>
      <c r="U1591" s="4">
        <v>3.3899538218975067E-2</v>
      </c>
      <c r="V1591" s="4" t="s">
        <v>781</v>
      </c>
      <c r="W1591" s="4" t="s">
        <v>762</v>
      </c>
      <c r="X1591" s="6" t="s">
        <v>617</v>
      </c>
    </row>
    <row r="1592" spans="1:24">
      <c r="A1592" s="4" t="s">
        <v>1051</v>
      </c>
      <c r="B1592" s="4" t="s">
        <v>1052</v>
      </c>
      <c r="D1592" s="4" t="s">
        <v>716</v>
      </c>
      <c r="E1592" s="4" t="s">
        <v>717</v>
      </c>
      <c r="M1592" s="4" t="s">
        <v>762</v>
      </c>
      <c r="N1592" s="4">
        <v>-71.639874800000001</v>
      </c>
      <c r="O1592" s="4">
        <v>3.7845571866666665</v>
      </c>
      <c r="P1592" s="4" t="s">
        <v>734</v>
      </c>
      <c r="Q1592" s="4" t="s">
        <v>735</v>
      </c>
      <c r="R1592" s="4" t="s">
        <v>730</v>
      </c>
      <c r="S1592" s="2">
        <v>46174.264884259261</v>
      </c>
      <c r="T1592" s="5">
        <v>3.0671306296296293E-4</v>
      </c>
      <c r="U1592" s="4">
        <v>0.24147224426269531</v>
      </c>
      <c r="V1592" s="4" t="s">
        <v>784</v>
      </c>
      <c r="W1592" s="4" t="s">
        <v>762</v>
      </c>
      <c r="X1592" s="6" t="s">
        <v>617</v>
      </c>
    </row>
    <row r="1593" spans="1:24">
      <c r="A1593" s="4" t="s">
        <v>1051</v>
      </c>
      <c r="B1593" s="4" t="s">
        <v>1052</v>
      </c>
      <c r="D1593" s="4" t="s">
        <v>716</v>
      </c>
      <c r="E1593" s="4" t="s">
        <v>717</v>
      </c>
      <c r="M1593" s="4" t="s">
        <v>645</v>
      </c>
      <c r="N1593" s="4">
        <v>-71.636698414714274</v>
      </c>
      <c r="O1593" s="4">
        <v>3.7842888559442858</v>
      </c>
      <c r="P1593" s="4" t="s">
        <v>718</v>
      </c>
      <c r="Q1593" s="4" t="s">
        <v>719</v>
      </c>
      <c r="R1593" s="4" t="s">
        <v>720</v>
      </c>
      <c r="S1593" s="2">
        <v>46174.265359097219</v>
      </c>
      <c r="T1593" s="5">
        <v>2.8276620370370369E-4</v>
      </c>
      <c r="U1593" s="4">
        <v>0.18418240547180176</v>
      </c>
      <c r="V1593" s="4" t="s">
        <v>783</v>
      </c>
      <c r="W1593" s="4" t="s">
        <v>645</v>
      </c>
      <c r="X1593" s="6" t="s">
        <v>617</v>
      </c>
    </row>
    <row r="1594" spans="1:24">
      <c r="A1594" s="4" t="s">
        <v>1051</v>
      </c>
      <c r="B1594" s="4" t="s">
        <v>1052</v>
      </c>
      <c r="D1594" s="4" t="s">
        <v>716</v>
      </c>
      <c r="E1594" s="4" t="s">
        <v>717</v>
      </c>
      <c r="M1594" s="4" t="s">
        <v>762</v>
      </c>
      <c r="N1594" s="4">
        <v>-71.633290099999996</v>
      </c>
      <c r="O1594" s="4">
        <v>3.7839410780000002</v>
      </c>
      <c r="P1594" s="4" t="s">
        <v>734</v>
      </c>
      <c r="Q1594" s="4" t="s">
        <v>735</v>
      </c>
      <c r="R1594" s="4" t="s">
        <v>730</v>
      </c>
      <c r="S1594" s="2">
        <v>46174.26592824074</v>
      </c>
      <c r="T1594" s="5">
        <v>3.5717592592592595E-5</v>
      </c>
      <c r="U1594" s="4">
        <v>2.6382490992546082E-2</v>
      </c>
      <c r="V1594" s="4" t="s">
        <v>781</v>
      </c>
      <c r="W1594" s="4" t="s">
        <v>762</v>
      </c>
      <c r="X1594" s="6" t="s">
        <v>617</v>
      </c>
    </row>
    <row r="1595" spans="1:24">
      <c r="A1595" s="4" t="s">
        <v>1051</v>
      </c>
      <c r="B1595" s="4" t="s">
        <v>1052</v>
      </c>
      <c r="D1595" s="4" t="s">
        <v>716</v>
      </c>
      <c r="E1595" s="4" t="s">
        <v>717</v>
      </c>
      <c r="M1595" s="4" t="s">
        <v>762</v>
      </c>
      <c r="N1595" s="4">
        <v>-71.632387800000004</v>
      </c>
      <c r="O1595" s="4">
        <v>3.78377374</v>
      </c>
      <c r="P1595" s="4" t="s">
        <v>734</v>
      </c>
      <c r="Q1595" s="4" t="s">
        <v>735</v>
      </c>
      <c r="R1595" s="4" t="s">
        <v>730</v>
      </c>
      <c r="S1595" s="2">
        <v>46174.266076388885</v>
      </c>
      <c r="T1595" s="5">
        <v>2.5624999999999999E-5</v>
      </c>
      <c r="U1595" s="4">
        <v>1.8286589533090591E-2</v>
      </c>
      <c r="V1595" s="4" t="s">
        <v>763</v>
      </c>
      <c r="W1595" s="4" t="s">
        <v>762</v>
      </c>
      <c r="X1595" s="6" t="s">
        <v>617</v>
      </c>
    </row>
    <row r="1596" spans="1:24">
      <c r="A1596" s="4" t="s">
        <v>1051</v>
      </c>
      <c r="B1596" s="4" t="s">
        <v>1052</v>
      </c>
      <c r="D1596" s="4" t="s">
        <v>716</v>
      </c>
      <c r="E1596" s="4" t="s">
        <v>717</v>
      </c>
      <c r="M1596" s="4" t="s">
        <v>762</v>
      </c>
      <c r="N1596" s="4">
        <v>-71.628801581199994</v>
      </c>
      <c r="O1596" s="4">
        <v>3.7818359040275</v>
      </c>
      <c r="P1596" s="4" t="s">
        <v>734</v>
      </c>
      <c r="Q1596" s="4" t="s">
        <v>735</v>
      </c>
      <c r="R1596" s="4" t="s">
        <v>730</v>
      </c>
      <c r="S1596" s="2">
        <v>46174.266926261575</v>
      </c>
      <c r="T1596" s="5">
        <v>1.3226851851851852E-4</v>
      </c>
      <c r="U1596" s="4">
        <v>9.8625831305980682E-2</v>
      </c>
      <c r="V1596" s="4" t="s">
        <v>784</v>
      </c>
      <c r="W1596" s="4" t="s">
        <v>762</v>
      </c>
      <c r="X1596" s="6" t="s">
        <v>617</v>
      </c>
    </row>
    <row r="1597" spans="1:24">
      <c r="A1597" s="4" t="s">
        <v>1051</v>
      </c>
      <c r="B1597" s="4" t="s">
        <v>1052</v>
      </c>
      <c r="D1597" s="4" t="s">
        <v>716</v>
      </c>
      <c r="E1597" s="4" t="s">
        <v>717</v>
      </c>
      <c r="M1597" s="4" t="s">
        <v>685</v>
      </c>
      <c r="N1597" s="4">
        <v>-71.627966202599993</v>
      </c>
      <c r="O1597" s="4">
        <v>3.7810783029200001</v>
      </c>
      <c r="P1597" s="4" t="s">
        <v>734</v>
      </c>
      <c r="Q1597" s="4" t="s">
        <v>735</v>
      </c>
      <c r="R1597" s="4" t="s">
        <v>730</v>
      </c>
      <c r="S1597" s="2">
        <v>46174.267154039349</v>
      </c>
      <c r="T1597" s="5">
        <v>3.0092592592592594E-7</v>
      </c>
      <c r="U1597" s="4">
        <v>4.7432346036657691E-5</v>
      </c>
      <c r="V1597" s="4" t="s">
        <v>1056</v>
      </c>
      <c r="W1597" s="4" t="s">
        <v>685</v>
      </c>
      <c r="X1597" s="6" t="s">
        <v>617</v>
      </c>
    </row>
    <row r="1598" spans="1:24">
      <c r="A1598" s="4" t="s">
        <v>1051</v>
      </c>
      <c r="B1598" s="4" t="s">
        <v>1052</v>
      </c>
      <c r="D1598" s="4" t="s">
        <v>716</v>
      </c>
      <c r="E1598" s="4" t="s">
        <v>717</v>
      </c>
      <c r="M1598" s="4" t="s">
        <v>645</v>
      </c>
      <c r="N1598" s="4">
        <v>-71.626456700999995</v>
      </c>
      <c r="O1598" s="4">
        <v>3.7808556219416665</v>
      </c>
      <c r="P1598" s="4" t="s">
        <v>729</v>
      </c>
      <c r="Q1598" s="4" t="s">
        <v>723</v>
      </c>
      <c r="R1598" s="4" t="s">
        <v>730</v>
      </c>
      <c r="S1598" s="2">
        <v>46174.267563136571</v>
      </c>
      <c r="T1598" s="5">
        <v>4.2685185185185188E-5</v>
      </c>
      <c r="U1598" s="4">
        <v>1.1657283641397953E-2</v>
      </c>
      <c r="V1598" s="4" t="s">
        <v>731</v>
      </c>
      <c r="W1598" s="4" t="s">
        <v>645</v>
      </c>
      <c r="X1598" s="6" t="s">
        <v>617</v>
      </c>
    </row>
    <row r="1599" spans="1:24">
      <c r="A1599" s="4" t="s">
        <v>1051</v>
      </c>
      <c r="B1599" s="4" t="s">
        <v>1052</v>
      </c>
      <c r="D1599" s="4" t="s">
        <v>716</v>
      </c>
      <c r="E1599" s="4" t="s">
        <v>717</v>
      </c>
      <c r="M1599" s="4" t="s">
        <v>645</v>
      </c>
      <c r="N1599" s="4">
        <v>-71.6264343</v>
      </c>
      <c r="O1599" s="4">
        <v>3.7806463199999998</v>
      </c>
      <c r="P1599" s="4" t="s">
        <v>722</v>
      </c>
      <c r="Q1599" s="4" t="s">
        <v>723</v>
      </c>
      <c r="R1599" s="4" t="s">
        <v>720</v>
      </c>
      <c r="S1599" s="2">
        <v>46174.26767361111</v>
      </c>
      <c r="T1599" s="5">
        <v>2.3148148148148149E-4</v>
      </c>
      <c r="U1599" s="4">
        <v>5.9641610831022263E-2</v>
      </c>
      <c r="V1599" s="4" t="s">
        <v>728</v>
      </c>
      <c r="W1599" s="4" t="s">
        <v>645</v>
      </c>
      <c r="X1599" s="6" t="s">
        <v>617</v>
      </c>
    </row>
    <row r="1600" spans="1:24">
      <c r="A1600" s="4" t="s">
        <v>1051</v>
      </c>
      <c r="B1600" s="4" t="s">
        <v>1052</v>
      </c>
      <c r="D1600" s="4" t="s">
        <v>716</v>
      </c>
      <c r="E1600" s="4" t="s">
        <v>717</v>
      </c>
      <c r="M1600" s="4" t="s">
        <v>645</v>
      </c>
      <c r="N1600" s="4">
        <v>-71.626632700000002</v>
      </c>
      <c r="O1600" s="4">
        <v>3.7801475500000001</v>
      </c>
      <c r="P1600" s="4" t="s">
        <v>726</v>
      </c>
      <c r="Q1600" s="4" t="s">
        <v>727</v>
      </c>
      <c r="R1600" s="4" t="s">
        <v>720</v>
      </c>
      <c r="S1600" s="2">
        <v>46174.267905092594</v>
      </c>
      <c r="T1600" s="5">
        <v>3.4143528518518516E-4</v>
      </c>
      <c r="U1600" s="4">
        <v>8.8123731315135956E-2</v>
      </c>
      <c r="V1600" s="4" t="s">
        <v>724</v>
      </c>
      <c r="W1600" s="4" t="s">
        <v>645</v>
      </c>
      <c r="X1600" s="6" t="s">
        <v>617</v>
      </c>
    </row>
    <row r="1601" spans="1:24">
      <c r="A1601" s="4" t="s">
        <v>1051</v>
      </c>
      <c r="B1601" s="4" t="s">
        <v>1052</v>
      </c>
      <c r="D1601" s="4" t="s">
        <v>716</v>
      </c>
      <c r="E1601" s="4" t="s">
        <v>717</v>
      </c>
      <c r="M1601" s="4" t="s">
        <v>645</v>
      </c>
      <c r="N1601" s="4">
        <v>-71.626142525000006</v>
      </c>
      <c r="O1601" s="4">
        <v>3.7792159924999997</v>
      </c>
      <c r="P1601" s="4" t="s">
        <v>726</v>
      </c>
      <c r="Q1601" s="4" t="s">
        <v>727</v>
      </c>
      <c r="R1601" s="4" t="s">
        <v>720</v>
      </c>
      <c r="S1601" s="2">
        <v>46174.268446180555</v>
      </c>
      <c r="T1601" s="5">
        <v>3.7615740740740744E-5</v>
      </c>
      <c r="U1601" s="4">
        <v>8.1352544948458672E-3</v>
      </c>
      <c r="V1601" s="4" t="s">
        <v>724</v>
      </c>
      <c r="W1601" s="4" t="s">
        <v>645</v>
      </c>
      <c r="X1601" s="6" t="s">
        <v>617</v>
      </c>
    </row>
    <row r="1602" spans="1:24">
      <c r="A1602" s="4" t="s">
        <v>1051</v>
      </c>
      <c r="B1602" s="4" t="s">
        <v>1052</v>
      </c>
      <c r="D1602" s="4" t="s">
        <v>716</v>
      </c>
      <c r="E1602" s="4" t="s">
        <v>717</v>
      </c>
      <c r="M1602" s="4" t="s">
        <v>645</v>
      </c>
      <c r="N1602" s="4">
        <v>-71.626561467354065</v>
      </c>
      <c r="O1602" s="4">
        <v>3.7799659647643242</v>
      </c>
      <c r="P1602" s="4" t="s">
        <v>726</v>
      </c>
      <c r="Q1602" s="4" t="s">
        <v>727</v>
      </c>
      <c r="R1602" s="4" t="s">
        <v>720</v>
      </c>
      <c r="S1602" s="2">
        <v>46174.281477627315</v>
      </c>
      <c r="T1602" s="5">
        <v>2.4112268518518517E-4</v>
      </c>
      <c r="U1602" s="4">
        <v>5.4327201098203659E-2</v>
      </c>
      <c r="V1602" s="4" t="s">
        <v>724</v>
      </c>
      <c r="W1602" s="4" t="s">
        <v>645</v>
      </c>
      <c r="X1602" s="6" t="s">
        <v>617</v>
      </c>
    </row>
    <row r="1603" spans="1:24">
      <c r="A1603" s="4" t="s">
        <v>1051</v>
      </c>
      <c r="B1603" s="4" t="s">
        <v>1052</v>
      </c>
      <c r="D1603" s="4" t="s">
        <v>716</v>
      </c>
      <c r="E1603" s="4" t="s">
        <v>717</v>
      </c>
      <c r="M1603" s="4" t="s">
        <v>614</v>
      </c>
      <c r="N1603" s="4">
        <v>-71.625709499999999</v>
      </c>
      <c r="O1603" s="4">
        <v>3.78074288</v>
      </c>
      <c r="P1603" s="4" t="s">
        <v>726</v>
      </c>
      <c r="Q1603" s="4" t="s">
        <v>727</v>
      </c>
      <c r="R1603" s="4" t="s">
        <v>720</v>
      </c>
      <c r="S1603" s="2">
        <v>46174.282442129632</v>
      </c>
      <c r="T1603" s="5">
        <v>5.2184143518518517E-3</v>
      </c>
      <c r="U1603" s="4">
        <v>8.7455462198704481E-4</v>
      </c>
      <c r="V1603" s="4" t="s">
        <v>616</v>
      </c>
      <c r="W1603" s="4" t="s">
        <v>614</v>
      </c>
      <c r="X1603" s="6" t="s">
        <v>617</v>
      </c>
    </row>
    <row r="1604" spans="1:24">
      <c r="A1604" s="4" t="s">
        <v>1051</v>
      </c>
      <c r="B1604" s="4" t="s">
        <v>1052</v>
      </c>
      <c r="D1604" s="4" t="s">
        <v>716</v>
      </c>
      <c r="E1604" s="4" t="s">
        <v>717</v>
      </c>
      <c r="M1604" s="4" t="s">
        <v>645</v>
      </c>
      <c r="N1604" s="4">
        <v>-71.635060059870966</v>
      </c>
      <c r="O1604" s="4">
        <v>3.7843043670580645</v>
      </c>
      <c r="P1604" s="4" t="s">
        <v>718</v>
      </c>
      <c r="Q1604" s="4" t="s">
        <v>719</v>
      </c>
      <c r="R1604" s="4" t="s">
        <v>720</v>
      </c>
      <c r="S1604" s="2">
        <v>46174.349402314816</v>
      </c>
      <c r="T1604" s="5">
        <v>3.0795138888888891E-4</v>
      </c>
      <c r="U1604" s="4">
        <v>0.18322007358074188</v>
      </c>
      <c r="V1604" s="4" t="s">
        <v>732</v>
      </c>
      <c r="W1604" s="4" t="s">
        <v>645</v>
      </c>
      <c r="X1604" s="6" t="s">
        <v>617</v>
      </c>
    </row>
    <row r="1605" spans="1:24">
      <c r="A1605" s="4" t="s">
        <v>1051</v>
      </c>
      <c r="B1605" s="4" t="s">
        <v>1052</v>
      </c>
      <c r="D1605" s="4" t="s">
        <v>716</v>
      </c>
      <c r="E1605" s="4" t="s">
        <v>717</v>
      </c>
      <c r="M1605" s="4" t="s">
        <v>762</v>
      </c>
      <c r="N1605" s="4">
        <v>-71.6378097423909</v>
      </c>
      <c r="O1605" s="4">
        <v>3.7843485682563633</v>
      </c>
      <c r="P1605" s="4" t="s">
        <v>734</v>
      </c>
      <c r="Q1605" s="4" t="s">
        <v>735</v>
      </c>
      <c r="R1605" s="4" t="s">
        <v>730</v>
      </c>
      <c r="S1605" s="2">
        <v>46174.349899687499</v>
      </c>
      <c r="T1605" s="5">
        <v>1.0320601851851852E-4</v>
      </c>
      <c r="U1605" s="4">
        <v>7.6056398451328278E-2</v>
      </c>
      <c r="V1605" s="4" t="s">
        <v>781</v>
      </c>
      <c r="W1605" s="4" t="s">
        <v>762</v>
      </c>
      <c r="X1605" s="6" t="s">
        <v>617</v>
      </c>
    </row>
    <row r="1606" spans="1:24">
      <c r="A1606" s="4" t="s">
        <v>1051</v>
      </c>
      <c r="B1606" s="4" t="s">
        <v>1052</v>
      </c>
      <c r="D1606" s="4" t="s">
        <v>716</v>
      </c>
      <c r="E1606" s="4" t="s">
        <v>717</v>
      </c>
      <c r="M1606" s="4" t="s">
        <v>762</v>
      </c>
      <c r="N1606" s="4">
        <v>-71.638713824999996</v>
      </c>
      <c r="O1606" s="4">
        <v>3.7843790624999998</v>
      </c>
      <c r="P1606" s="4" t="s">
        <v>734</v>
      </c>
      <c r="Q1606" s="4" t="s">
        <v>735</v>
      </c>
      <c r="R1606" s="4" t="s">
        <v>730</v>
      </c>
      <c r="S1606" s="2">
        <v>46174.350034722222</v>
      </c>
      <c r="T1606" s="5">
        <v>7.6388888888888887E-5</v>
      </c>
      <c r="U1606" s="4">
        <v>5.3530953824520111E-2</v>
      </c>
      <c r="V1606" s="4" t="s">
        <v>781</v>
      </c>
      <c r="W1606" s="4" t="s">
        <v>762</v>
      </c>
      <c r="X1606" s="6" t="s">
        <v>617</v>
      </c>
    </row>
    <row r="1607" spans="1:24">
      <c r="A1607" s="4" t="s">
        <v>1051</v>
      </c>
      <c r="B1607" s="4" t="s">
        <v>1052</v>
      </c>
      <c r="D1607" s="4" t="s">
        <v>716</v>
      </c>
      <c r="E1607" s="4" t="s">
        <v>717</v>
      </c>
      <c r="M1607" s="4" t="s">
        <v>614</v>
      </c>
      <c r="N1607" s="4">
        <v>-71.6498718</v>
      </c>
      <c r="O1607" s="4">
        <v>3.7531888499999999</v>
      </c>
      <c r="P1607" s="4" t="s">
        <v>795</v>
      </c>
      <c r="Q1607" s="4" t="s">
        <v>743</v>
      </c>
      <c r="R1607" s="4" t="s">
        <v>730</v>
      </c>
      <c r="S1607" s="2">
        <v>46174.362893518519</v>
      </c>
      <c r="T1607" s="5">
        <v>4.7681828703703705E-3</v>
      </c>
      <c r="U1607" s="4">
        <v>0</v>
      </c>
      <c r="V1607" s="4" t="s">
        <v>616</v>
      </c>
      <c r="W1607" s="4" t="s">
        <v>614</v>
      </c>
      <c r="X1607" s="6" t="s">
        <v>617</v>
      </c>
    </row>
    <row r="1608" spans="1:24">
      <c r="A1608" s="4" t="s">
        <v>1051</v>
      </c>
      <c r="B1608" s="4" t="s">
        <v>1052</v>
      </c>
      <c r="D1608" s="4" t="s">
        <v>716</v>
      </c>
      <c r="E1608" s="4" t="s">
        <v>717</v>
      </c>
      <c r="M1608" s="4" t="s">
        <v>614</v>
      </c>
      <c r="N1608" s="4">
        <v>-71.649864199999996</v>
      </c>
      <c r="O1608" s="4">
        <v>3.7531828900000002</v>
      </c>
      <c r="P1608" s="4" t="s">
        <v>795</v>
      </c>
      <c r="Q1608" s="4" t="s">
        <v>743</v>
      </c>
      <c r="R1608" s="4" t="s">
        <v>730</v>
      </c>
      <c r="S1608" s="2">
        <v>46174.381753506947</v>
      </c>
      <c r="T1608" s="5">
        <v>8.4085300925925924E-3</v>
      </c>
      <c r="U1608" s="4">
        <v>5.765942856669426E-3</v>
      </c>
      <c r="V1608" s="4" t="s">
        <v>616</v>
      </c>
      <c r="W1608" s="4" t="s">
        <v>614</v>
      </c>
      <c r="X1608" s="6" t="s">
        <v>617</v>
      </c>
    </row>
    <row r="1609" spans="1:24">
      <c r="A1609" s="4" t="s">
        <v>1051</v>
      </c>
      <c r="B1609" s="4" t="s">
        <v>1052</v>
      </c>
      <c r="D1609" s="4" t="s">
        <v>716</v>
      </c>
      <c r="E1609" s="4" t="s">
        <v>717</v>
      </c>
      <c r="M1609" s="4" t="s">
        <v>754</v>
      </c>
      <c r="N1609" s="4">
        <v>-71.649776424300001</v>
      </c>
      <c r="O1609" s="4">
        <v>3.7532583049200001</v>
      </c>
      <c r="P1609" s="4" t="s">
        <v>795</v>
      </c>
      <c r="Q1609" s="4" t="s">
        <v>743</v>
      </c>
      <c r="R1609" s="4" t="s">
        <v>730</v>
      </c>
      <c r="S1609" s="2">
        <v>46174.390403159719</v>
      </c>
      <c r="T1609" s="5">
        <v>1.6396990740740741E-4</v>
      </c>
      <c r="U1609" s="4">
        <v>5.2432127296924591E-2</v>
      </c>
      <c r="V1609" s="4" t="s">
        <v>1016</v>
      </c>
      <c r="W1609" s="4" t="s">
        <v>754</v>
      </c>
      <c r="X1609" s="6" t="s">
        <v>617</v>
      </c>
    </row>
    <row r="1610" spans="1:24">
      <c r="A1610" s="4" t="s">
        <v>1051</v>
      </c>
      <c r="B1610" s="4" t="s">
        <v>1052</v>
      </c>
      <c r="D1610" s="4" t="s">
        <v>716</v>
      </c>
      <c r="E1610" s="4" t="s">
        <v>717</v>
      </c>
      <c r="M1610" s="4" t="s">
        <v>754</v>
      </c>
      <c r="N1610" s="4">
        <v>-71.649318168975</v>
      </c>
      <c r="O1610" s="4">
        <v>3.7534570357399999</v>
      </c>
      <c r="P1610" s="4" t="s">
        <v>795</v>
      </c>
      <c r="Q1610" s="4" t="s">
        <v>743</v>
      </c>
      <c r="R1610" s="4" t="s">
        <v>730</v>
      </c>
      <c r="S1610" s="2">
        <v>46174.390866400463</v>
      </c>
      <c r="T1610" s="5">
        <v>5.9525462962962966E-5</v>
      </c>
      <c r="U1610" s="4">
        <v>1.5835147351026535E-2</v>
      </c>
      <c r="V1610" s="4" t="s">
        <v>790</v>
      </c>
      <c r="W1610" s="4" t="s">
        <v>754</v>
      </c>
      <c r="X1610" s="6" t="s">
        <v>617</v>
      </c>
    </row>
    <row r="1611" spans="1:24">
      <c r="A1611" s="4" t="s">
        <v>1051</v>
      </c>
      <c r="B1611" s="4" t="s">
        <v>1052</v>
      </c>
      <c r="D1611" s="4" t="s">
        <v>716</v>
      </c>
      <c r="E1611" s="4" t="s">
        <v>717</v>
      </c>
      <c r="M1611" s="4" t="s">
        <v>754</v>
      </c>
      <c r="N1611" s="4">
        <v>-71.649475074999998</v>
      </c>
      <c r="O1611" s="4">
        <v>3.7532467275000001</v>
      </c>
      <c r="P1611" s="4" t="s">
        <v>795</v>
      </c>
      <c r="Q1611" s="4" t="s">
        <v>743</v>
      </c>
      <c r="R1611" s="4" t="s">
        <v>730</v>
      </c>
      <c r="S1611" s="2">
        <v>46174.390986689818</v>
      </c>
      <c r="T1611" s="5">
        <v>1.2827546296296296E-4</v>
      </c>
      <c r="U1611" s="4">
        <v>4.630635678768158E-2</v>
      </c>
      <c r="V1611" s="4" t="s">
        <v>810</v>
      </c>
      <c r="W1611" s="4" t="s">
        <v>754</v>
      </c>
      <c r="X1611" s="6" t="s">
        <v>617</v>
      </c>
    </row>
    <row r="1612" spans="1:24">
      <c r="A1612" s="4" t="s">
        <v>1051</v>
      </c>
      <c r="B1612" s="4" t="s">
        <v>1052</v>
      </c>
      <c r="D1612" s="4" t="s">
        <v>716</v>
      </c>
      <c r="E1612" s="4" t="s">
        <v>717</v>
      </c>
      <c r="M1612" s="4" t="s">
        <v>754</v>
      </c>
      <c r="N1612" s="4">
        <v>-71.649864199999996</v>
      </c>
      <c r="O1612" s="4">
        <v>3.75317824</v>
      </c>
      <c r="P1612" s="4" t="s">
        <v>795</v>
      </c>
      <c r="Q1612" s="4" t="s">
        <v>743</v>
      </c>
      <c r="R1612" s="4" t="s">
        <v>730</v>
      </c>
      <c r="S1612" s="2">
        <v>46174.391134259262</v>
      </c>
      <c r="T1612" s="5">
        <v>1.7361211111111111E-5</v>
      </c>
      <c r="U1612" s="4">
        <v>3.734953235834837E-3</v>
      </c>
      <c r="V1612" s="4" t="s">
        <v>790</v>
      </c>
      <c r="W1612" s="4" t="s">
        <v>754</v>
      </c>
      <c r="X1612" s="6" t="s">
        <v>617</v>
      </c>
    </row>
    <row r="1613" spans="1:24">
      <c r="A1613" s="4" t="s">
        <v>1051</v>
      </c>
      <c r="B1613" s="4" t="s">
        <v>1052</v>
      </c>
      <c r="D1613" s="4" t="s">
        <v>716</v>
      </c>
      <c r="E1613" s="4" t="s">
        <v>717</v>
      </c>
      <c r="M1613" s="4" t="s">
        <v>762</v>
      </c>
      <c r="N1613" s="4">
        <v>-71.649649172799997</v>
      </c>
      <c r="O1613" s="4">
        <v>3.7763557107299999</v>
      </c>
      <c r="P1613" s="4" t="s">
        <v>786</v>
      </c>
      <c r="Q1613" s="4" t="s">
        <v>735</v>
      </c>
      <c r="R1613" s="4" t="s">
        <v>730</v>
      </c>
      <c r="S1613" s="2">
        <v>46174.433370162034</v>
      </c>
      <c r="T1613" s="5">
        <v>6.7337962962962959E-5</v>
      </c>
      <c r="U1613" s="4">
        <v>5.2441500127315521E-2</v>
      </c>
      <c r="V1613" s="4" t="s">
        <v>784</v>
      </c>
      <c r="W1613" s="4" t="s">
        <v>762</v>
      </c>
      <c r="X1613" s="6" t="s">
        <v>617</v>
      </c>
    </row>
    <row r="1614" spans="1:24">
      <c r="A1614" s="4" t="s">
        <v>1051</v>
      </c>
      <c r="B1614" s="4" t="s">
        <v>1052</v>
      </c>
      <c r="D1614" s="4" t="s">
        <v>716</v>
      </c>
      <c r="E1614" s="4" t="s">
        <v>717</v>
      </c>
      <c r="M1614" s="4" t="s">
        <v>762</v>
      </c>
      <c r="N1614" s="4">
        <v>-71.647561620000005</v>
      </c>
      <c r="O1614" s="4">
        <v>3.7788290980000001</v>
      </c>
      <c r="P1614" s="4" t="s">
        <v>734</v>
      </c>
      <c r="Q1614" s="4" t="s">
        <v>735</v>
      </c>
      <c r="R1614" s="4" t="s">
        <v>730</v>
      </c>
      <c r="S1614" s="2">
        <v>46174.434039351851</v>
      </c>
      <c r="T1614" s="5">
        <v>2.0061342592592592E-4</v>
      </c>
      <c r="U1614" s="4">
        <v>0.15072664618492126</v>
      </c>
      <c r="V1614" s="4" t="s">
        <v>781</v>
      </c>
      <c r="W1614" s="4" t="s">
        <v>762</v>
      </c>
      <c r="X1614" s="6" t="s">
        <v>617</v>
      </c>
    </row>
    <row r="1615" spans="1:24">
      <c r="A1615" s="4" t="s">
        <v>1051</v>
      </c>
      <c r="B1615" s="4" t="s">
        <v>1052</v>
      </c>
      <c r="D1615" s="4" t="s">
        <v>716</v>
      </c>
      <c r="E1615" s="4" t="s">
        <v>717</v>
      </c>
      <c r="M1615" s="4" t="s">
        <v>762</v>
      </c>
      <c r="N1615" s="4">
        <v>-71.646107981180009</v>
      </c>
      <c r="O1615" s="4">
        <v>3.7802748071980004</v>
      </c>
      <c r="P1615" s="4" t="s">
        <v>734</v>
      </c>
      <c r="Q1615" s="4" t="s">
        <v>735</v>
      </c>
      <c r="R1615" s="4" t="s">
        <v>730</v>
      </c>
      <c r="S1615" s="2">
        <v>46174.434347997689</v>
      </c>
      <c r="T1615" s="5">
        <v>5.7511574074074077E-5</v>
      </c>
      <c r="U1615" s="4">
        <v>4.0878567844629288E-2</v>
      </c>
      <c r="V1615" s="4" t="s">
        <v>781</v>
      </c>
      <c r="W1615" s="4" t="s">
        <v>762</v>
      </c>
      <c r="X1615" s="6" t="s">
        <v>617</v>
      </c>
    </row>
    <row r="1616" spans="1:24">
      <c r="A1616" s="4" t="s">
        <v>1051</v>
      </c>
      <c r="B1616" s="4" t="s">
        <v>1052</v>
      </c>
      <c r="D1616" s="4" t="s">
        <v>716</v>
      </c>
      <c r="E1616" s="4" t="s">
        <v>717</v>
      </c>
      <c r="M1616" s="4" t="s">
        <v>762</v>
      </c>
      <c r="N1616" s="4">
        <v>-71.64477285113999</v>
      </c>
      <c r="O1616" s="4">
        <v>3.7815077166440001</v>
      </c>
      <c r="P1616" s="4" t="s">
        <v>734</v>
      </c>
      <c r="Q1616" s="4" t="s">
        <v>735</v>
      </c>
      <c r="R1616" s="4" t="s">
        <v>730</v>
      </c>
      <c r="S1616" s="2">
        <v>46174.434737650467</v>
      </c>
      <c r="T1616" s="5">
        <v>7.1377314814814819E-5</v>
      </c>
      <c r="U1616" s="4">
        <v>5.0696507096290588E-2</v>
      </c>
      <c r="V1616" s="4" t="s">
        <v>763</v>
      </c>
      <c r="W1616" s="4" t="s">
        <v>762</v>
      </c>
      <c r="X1616" s="6" t="s">
        <v>617</v>
      </c>
    </row>
    <row r="1617" spans="1:24">
      <c r="A1617" s="4" t="s">
        <v>1051</v>
      </c>
      <c r="B1617" s="4" t="s">
        <v>1052</v>
      </c>
      <c r="D1617" s="4" t="s">
        <v>716</v>
      </c>
      <c r="E1617" s="4" t="s">
        <v>717</v>
      </c>
      <c r="M1617" s="4" t="s">
        <v>762</v>
      </c>
      <c r="N1617" s="4">
        <v>-71.643198253453846</v>
      </c>
      <c r="O1617" s="4">
        <v>3.7840333795315386</v>
      </c>
      <c r="P1617" s="4" t="s">
        <v>734</v>
      </c>
      <c r="Q1617" s="4" t="s">
        <v>735</v>
      </c>
      <c r="R1617" s="4" t="s">
        <v>730</v>
      </c>
      <c r="S1617" s="2">
        <v>46174.43530258102</v>
      </c>
      <c r="T1617" s="5">
        <v>6.7789351851851851E-5</v>
      </c>
      <c r="U1617" s="4">
        <v>4.7406021505594254E-2</v>
      </c>
      <c r="V1617" s="4" t="s">
        <v>763</v>
      </c>
      <c r="W1617" s="4" t="s">
        <v>762</v>
      </c>
      <c r="X1617" s="6" t="s">
        <v>617</v>
      </c>
    </row>
    <row r="1618" spans="1:24">
      <c r="A1618" s="4" t="s">
        <v>1051</v>
      </c>
      <c r="B1618" s="4" t="s">
        <v>1052</v>
      </c>
      <c r="D1618" s="4" t="s">
        <v>716</v>
      </c>
      <c r="E1618" s="4" t="s">
        <v>717</v>
      </c>
      <c r="M1618" s="4" t="s">
        <v>762</v>
      </c>
      <c r="N1618" s="4">
        <v>-71.640640266666665</v>
      </c>
      <c r="O1618" s="4">
        <v>3.7846415866666665</v>
      </c>
      <c r="P1618" s="4" t="s">
        <v>734</v>
      </c>
      <c r="Q1618" s="4" t="s">
        <v>735</v>
      </c>
      <c r="R1618" s="4" t="s">
        <v>730</v>
      </c>
      <c r="S1618" s="2">
        <v>46174.435752314814</v>
      </c>
      <c r="T1618" s="5">
        <v>3.9687500000000002E-5</v>
      </c>
      <c r="U1618" s="4">
        <v>2.7887504547834396E-2</v>
      </c>
      <c r="V1618" s="4" t="s">
        <v>763</v>
      </c>
      <c r="W1618" s="4" t="s">
        <v>762</v>
      </c>
      <c r="X1618" s="6" t="s">
        <v>617</v>
      </c>
    </row>
    <row r="1619" spans="1:24">
      <c r="A1619" s="4" t="s">
        <v>1051</v>
      </c>
      <c r="B1619" s="4" t="s">
        <v>1052</v>
      </c>
      <c r="D1619" s="4" t="s">
        <v>716</v>
      </c>
      <c r="E1619" s="4" t="s">
        <v>717</v>
      </c>
      <c r="M1619" s="4" t="s">
        <v>762</v>
      </c>
      <c r="N1619" s="4">
        <v>-71.63971715204616</v>
      </c>
      <c r="O1619" s="4">
        <v>3.7845473982784616</v>
      </c>
      <c r="P1619" s="4" t="s">
        <v>734</v>
      </c>
      <c r="Q1619" s="4" t="s">
        <v>735</v>
      </c>
      <c r="R1619" s="4" t="s">
        <v>730</v>
      </c>
      <c r="S1619" s="2">
        <v>46174.435899467593</v>
      </c>
      <c r="T1619" s="5">
        <v>2.8494212962962962E-4</v>
      </c>
      <c r="U1619" s="4">
        <v>0.22751016914844513</v>
      </c>
      <c r="V1619" s="4" t="s">
        <v>784</v>
      </c>
      <c r="W1619" s="4" t="s">
        <v>762</v>
      </c>
      <c r="X1619" s="6" t="s">
        <v>617</v>
      </c>
    </row>
    <row r="1620" spans="1:24">
      <c r="A1620" s="4" t="s">
        <v>1051</v>
      </c>
      <c r="B1620" s="4" t="s">
        <v>1052</v>
      </c>
      <c r="D1620" s="4" t="s">
        <v>716</v>
      </c>
      <c r="E1620" s="4" t="s">
        <v>717</v>
      </c>
      <c r="M1620" s="4" t="s">
        <v>645</v>
      </c>
      <c r="N1620" s="4">
        <v>-71.636698669336354</v>
      </c>
      <c r="O1620" s="4">
        <v>3.7843277719200001</v>
      </c>
      <c r="P1620" s="4" t="s">
        <v>718</v>
      </c>
      <c r="Q1620" s="4" t="s">
        <v>719</v>
      </c>
      <c r="R1620" s="4" t="s">
        <v>720</v>
      </c>
      <c r="S1620" s="2">
        <v>46174.436354293983</v>
      </c>
      <c r="T1620" s="5">
        <v>2.9814814814814813E-4</v>
      </c>
      <c r="U1620" s="4">
        <v>0.18426238000392914</v>
      </c>
      <c r="V1620" s="4" t="s">
        <v>783</v>
      </c>
      <c r="W1620" s="4" t="s">
        <v>645</v>
      </c>
      <c r="X1620" s="6" t="s">
        <v>617</v>
      </c>
    </row>
    <row r="1621" spans="1:24">
      <c r="A1621" s="4" t="s">
        <v>1051</v>
      </c>
      <c r="B1621" s="4" t="s">
        <v>1052</v>
      </c>
      <c r="D1621" s="4" t="s">
        <v>716</v>
      </c>
      <c r="E1621" s="4" t="s">
        <v>717</v>
      </c>
      <c r="M1621" s="4" t="s">
        <v>762</v>
      </c>
      <c r="N1621" s="4">
        <v>-71.633696</v>
      </c>
      <c r="O1621" s="4">
        <v>3.7839830920000002</v>
      </c>
      <c r="P1621" s="4" t="s">
        <v>734</v>
      </c>
      <c r="Q1621" s="4" t="s">
        <v>735</v>
      </c>
      <c r="R1621" s="4" t="s">
        <v>730</v>
      </c>
      <c r="S1621" s="2">
        <v>46174.436879629633</v>
      </c>
      <c r="T1621" s="5">
        <v>1.1111111111111112E-4</v>
      </c>
      <c r="U1621" s="4">
        <v>7.8060127794742584E-2</v>
      </c>
      <c r="V1621" s="4" t="s">
        <v>781</v>
      </c>
      <c r="W1621" s="4" t="s">
        <v>762</v>
      </c>
      <c r="X1621" s="6" t="s">
        <v>617</v>
      </c>
    </row>
    <row r="1622" spans="1:24">
      <c r="A1622" s="4" t="s">
        <v>1051</v>
      </c>
      <c r="B1622" s="4" t="s">
        <v>1052</v>
      </c>
      <c r="D1622" s="4" t="s">
        <v>716</v>
      </c>
      <c r="E1622" s="4" t="s">
        <v>717</v>
      </c>
      <c r="M1622" s="4" t="s">
        <v>762</v>
      </c>
      <c r="N1622" s="4">
        <v>-71.632559622700001</v>
      </c>
      <c r="O1622" s="4">
        <v>3.7838345232749999</v>
      </c>
      <c r="P1622" s="4" t="s">
        <v>734</v>
      </c>
      <c r="Q1622" s="4" t="s">
        <v>735</v>
      </c>
      <c r="R1622" s="4" t="s">
        <v>730</v>
      </c>
      <c r="S1622" s="2">
        <v>46174.437063495374</v>
      </c>
      <c r="T1622" s="5">
        <v>3.9131944444444446E-5</v>
      </c>
      <c r="U1622" s="4">
        <v>2.7074873447418213E-2</v>
      </c>
      <c r="V1622" s="4" t="s">
        <v>781</v>
      </c>
      <c r="W1622" s="4" t="s">
        <v>762</v>
      </c>
      <c r="X1622" s="6" t="s">
        <v>617</v>
      </c>
    </row>
    <row r="1623" spans="1:24">
      <c r="A1623" s="4" t="s">
        <v>1051</v>
      </c>
      <c r="B1623" s="4" t="s">
        <v>1052</v>
      </c>
      <c r="D1623" s="4" t="s">
        <v>716</v>
      </c>
      <c r="E1623" s="4" t="s">
        <v>717</v>
      </c>
      <c r="M1623" s="4" t="s">
        <v>762</v>
      </c>
      <c r="N1623" s="4">
        <v>-71.630935666666673</v>
      </c>
      <c r="O1623" s="4">
        <v>3.7834828699999998</v>
      </c>
      <c r="P1623" s="4" t="s">
        <v>734</v>
      </c>
      <c r="Q1623" s="4" t="s">
        <v>735</v>
      </c>
      <c r="R1623" s="4" t="s">
        <v>730</v>
      </c>
      <c r="S1623" s="2">
        <v>46174.437407407408</v>
      </c>
      <c r="T1623" s="5">
        <v>5.3240740740740744E-5</v>
      </c>
      <c r="U1623" s="4">
        <v>3.7417244166135788E-2</v>
      </c>
      <c r="V1623" s="4" t="s">
        <v>763</v>
      </c>
      <c r="W1623" s="4" t="s">
        <v>762</v>
      </c>
      <c r="X1623" s="6" t="s">
        <v>617</v>
      </c>
    </row>
    <row r="1624" spans="1:24">
      <c r="A1624" s="4" t="s">
        <v>1051</v>
      </c>
      <c r="B1624" s="4" t="s">
        <v>1052</v>
      </c>
      <c r="D1624" s="4" t="s">
        <v>716</v>
      </c>
      <c r="E1624" s="4" t="s">
        <v>717</v>
      </c>
      <c r="M1624" s="4" t="s">
        <v>762</v>
      </c>
      <c r="N1624" s="4">
        <v>-71.62995454</v>
      </c>
      <c r="O1624" s="4">
        <v>3.7829850679999999</v>
      </c>
      <c r="P1624" s="4" t="s">
        <v>734</v>
      </c>
      <c r="Q1624" s="4" t="s">
        <v>735</v>
      </c>
      <c r="R1624" s="4" t="s">
        <v>730</v>
      </c>
      <c r="S1624" s="2">
        <v>46174.437631944442</v>
      </c>
      <c r="T1624" s="5">
        <v>3.4837962962962964E-4</v>
      </c>
      <c r="U1624" s="4">
        <v>0.26441407203674316</v>
      </c>
      <c r="V1624" s="4" t="s">
        <v>781</v>
      </c>
      <c r="W1624" s="4" t="s">
        <v>762</v>
      </c>
      <c r="X1624" s="6" t="s">
        <v>617</v>
      </c>
    </row>
    <row r="1625" spans="1:24">
      <c r="A1625" s="4" t="s">
        <v>1051</v>
      </c>
      <c r="B1625" s="4" t="s">
        <v>1052</v>
      </c>
      <c r="D1625" s="4" t="s">
        <v>716</v>
      </c>
      <c r="E1625" s="4" t="s">
        <v>717</v>
      </c>
      <c r="M1625" s="4" t="s">
        <v>645</v>
      </c>
      <c r="N1625" s="4">
        <v>-71.626443464000005</v>
      </c>
      <c r="O1625" s="4">
        <v>3.780877644432</v>
      </c>
      <c r="P1625" s="4" t="s">
        <v>739</v>
      </c>
      <c r="Q1625" s="4" t="s">
        <v>740</v>
      </c>
      <c r="R1625" s="4" t="s">
        <v>730</v>
      </c>
      <c r="S1625" s="2">
        <v>46174.438433842595</v>
      </c>
      <c r="T1625" s="5">
        <v>3.6724537037037036E-5</v>
      </c>
      <c r="U1625" s="4">
        <v>1.1661798693239689E-2</v>
      </c>
      <c r="V1625" s="4" t="s">
        <v>771</v>
      </c>
      <c r="W1625" s="4" t="s">
        <v>645</v>
      </c>
      <c r="X1625" s="6" t="s">
        <v>617</v>
      </c>
    </row>
    <row r="1626" spans="1:24">
      <c r="A1626" s="4" t="s">
        <v>1051</v>
      </c>
      <c r="B1626" s="4" t="s">
        <v>1052</v>
      </c>
      <c r="D1626" s="4" t="s">
        <v>716</v>
      </c>
      <c r="E1626" s="4" t="s">
        <v>717</v>
      </c>
      <c r="M1626" s="4" t="s">
        <v>645</v>
      </c>
      <c r="N1626" s="4">
        <v>-71.626435458233331</v>
      </c>
      <c r="O1626" s="4">
        <v>3.780666139553333</v>
      </c>
      <c r="P1626" s="4" t="s">
        <v>722</v>
      </c>
      <c r="Q1626" s="4" t="s">
        <v>723</v>
      </c>
      <c r="R1626" s="4" t="s">
        <v>720</v>
      </c>
      <c r="S1626" s="2">
        <v>46174.438531747684</v>
      </c>
      <c r="T1626" s="5">
        <v>4.3430555555555556E-4</v>
      </c>
      <c r="U1626" s="4">
        <v>0.12113858759403229</v>
      </c>
      <c r="V1626" s="4" t="s">
        <v>731</v>
      </c>
      <c r="W1626" s="4" t="s">
        <v>645</v>
      </c>
      <c r="X1626" s="6" t="s">
        <v>617</v>
      </c>
    </row>
    <row r="1627" spans="1:24">
      <c r="A1627" s="4" t="s">
        <v>1051</v>
      </c>
      <c r="B1627" s="4" t="s">
        <v>1052</v>
      </c>
      <c r="D1627" s="4" t="s">
        <v>716</v>
      </c>
      <c r="E1627" s="4" t="s">
        <v>717</v>
      </c>
      <c r="M1627" s="4" t="s">
        <v>614</v>
      </c>
      <c r="N1627" s="4">
        <v>-71.626800500000002</v>
      </c>
      <c r="O1627" s="4">
        <v>3.7793672100000002</v>
      </c>
      <c r="P1627" s="4" t="s">
        <v>726</v>
      </c>
      <c r="Q1627" s="4" t="s">
        <v>727</v>
      </c>
      <c r="R1627" s="4" t="s">
        <v>720</v>
      </c>
      <c r="S1627" s="2">
        <v>46174.439444444448</v>
      </c>
      <c r="T1627" s="5">
        <v>4.9665856481481479E-3</v>
      </c>
      <c r="U1627" s="4">
        <v>1.292597851715982E-3</v>
      </c>
      <c r="V1627" s="4" t="s">
        <v>616</v>
      </c>
      <c r="W1627" s="4" t="s">
        <v>614</v>
      </c>
      <c r="X1627" s="6" t="s">
        <v>617</v>
      </c>
    </row>
    <row r="1628" spans="1:24">
      <c r="A1628" s="4" t="s">
        <v>1051</v>
      </c>
      <c r="B1628" s="4" t="s">
        <v>1052</v>
      </c>
      <c r="D1628" s="4" t="s">
        <v>716</v>
      </c>
      <c r="E1628" s="4" t="s">
        <v>717</v>
      </c>
      <c r="M1628" s="4" t="s">
        <v>645</v>
      </c>
      <c r="N1628" s="4">
        <v>-71.626580820000001</v>
      </c>
      <c r="O1628" s="4">
        <v>3.7795121680000001</v>
      </c>
      <c r="P1628" s="4" t="s">
        <v>726</v>
      </c>
      <c r="Q1628" s="4" t="s">
        <v>727</v>
      </c>
      <c r="R1628" s="4" t="s">
        <v>720</v>
      </c>
      <c r="S1628" s="2">
        <v>46174.488150462967</v>
      </c>
      <c r="T1628" s="5">
        <v>6.712962962962963E-5</v>
      </c>
      <c r="U1628" s="4">
        <v>1.6083290800452232E-2</v>
      </c>
      <c r="V1628" s="4" t="s">
        <v>724</v>
      </c>
      <c r="W1628" s="4" t="s">
        <v>645</v>
      </c>
      <c r="X1628" s="6" t="s">
        <v>617</v>
      </c>
    </row>
    <row r="1629" spans="1:24">
      <c r="A1629" s="4" t="s">
        <v>1051</v>
      </c>
      <c r="B1629" s="4" t="s">
        <v>1052</v>
      </c>
      <c r="D1629" s="4" t="s">
        <v>716</v>
      </c>
      <c r="E1629" s="4" t="s">
        <v>717</v>
      </c>
      <c r="M1629" s="4" t="s">
        <v>645</v>
      </c>
      <c r="N1629" s="4">
        <v>-71.626403800000006</v>
      </c>
      <c r="O1629" s="4">
        <v>3.78088069</v>
      </c>
      <c r="P1629" s="4" t="s">
        <v>739</v>
      </c>
      <c r="Q1629" s="4" t="s">
        <v>740</v>
      </c>
      <c r="R1629" s="4" t="s">
        <v>730</v>
      </c>
      <c r="S1629" s="2">
        <v>46174.489039351851</v>
      </c>
      <c r="T1629" s="5">
        <v>1.5937500000000001E-5</v>
      </c>
      <c r="U1629" s="4">
        <v>3.6319349892437458E-3</v>
      </c>
      <c r="V1629" s="4" t="s">
        <v>724</v>
      </c>
      <c r="W1629" s="4" t="s">
        <v>645</v>
      </c>
      <c r="X1629" s="6" t="s">
        <v>617</v>
      </c>
    </row>
    <row r="1630" spans="1:24">
      <c r="A1630" s="4" t="s">
        <v>1051</v>
      </c>
      <c r="B1630" s="4" t="s">
        <v>1052</v>
      </c>
      <c r="D1630" s="4" t="s">
        <v>716</v>
      </c>
      <c r="E1630" s="4" t="s">
        <v>717</v>
      </c>
      <c r="M1630" s="4" t="s">
        <v>645</v>
      </c>
      <c r="N1630" s="4">
        <v>-71.635059851039998</v>
      </c>
      <c r="O1630" s="4">
        <v>3.7842864650000001</v>
      </c>
      <c r="P1630" s="4" t="s">
        <v>718</v>
      </c>
      <c r="Q1630" s="4" t="s">
        <v>719</v>
      </c>
      <c r="R1630" s="4" t="s">
        <v>720</v>
      </c>
      <c r="S1630" s="2">
        <v>46174.491197152776</v>
      </c>
      <c r="T1630" s="5">
        <v>3.5674768518518521E-4</v>
      </c>
      <c r="U1630" s="4">
        <v>0.18386624753475189</v>
      </c>
      <c r="V1630" s="4" t="s">
        <v>789</v>
      </c>
      <c r="W1630" s="4" t="s">
        <v>645</v>
      </c>
      <c r="X1630" s="6" t="s">
        <v>617</v>
      </c>
    </row>
    <row r="1631" spans="1:24">
      <c r="A1631" s="4" t="s">
        <v>1051</v>
      </c>
      <c r="B1631" s="4" t="s">
        <v>1052</v>
      </c>
      <c r="D1631" s="4" t="s">
        <v>716</v>
      </c>
      <c r="E1631" s="4" t="s">
        <v>717</v>
      </c>
      <c r="M1631" s="4" t="s">
        <v>762</v>
      </c>
      <c r="N1631" s="4">
        <v>-71.638015749999994</v>
      </c>
      <c r="O1631" s="4">
        <v>3.7843359699999999</v>
      </c>
      <c r="P1631" s="4" t="s">
        <v>734</v>
      </c>
      <c r="Q1631" s="4" t="s">
        <v>735</v>
      </c>
      <c r="R1631" s="4" t="s">
        <v>730</v>
      </c>
      <c r="S1631" s="2">
        <v>46174.491788194544</v>
      </c>
      <c r="T1631" s="5">
        <v>2.3410879629629631E-4</v>
      </c>
      <c r="U1631" s="4">
        <v>0.17949581146240234</v>
      </c>
      <c r="V1631" s="4" t="s">
        <v>763</v>
      </c>
      <c r="W1631" s="4" t="s">
        <v>762</v>
      </c>
      <c r="X1631" s="6" t="s">
        <v>617</v>
      </c>
    </row>
    <row r="1632" spans="1:24">
      <c r="A1632" s="4" t="s">
        <v>1051</v>
      </c>
      <c r="B1632" s="4" t="s">
        <v>1052</v>
      </c>
      <c r="D1632" s="4" t="s">
        <v>716</v>
      </c>
      <c r="E1632" s="4" t="s">
        <v>717</v>
      </c>
      <c r="M1632" s="4" t="s">
        <v>762</v>
      </c>
      <c r="N1632" s="4">
        <v>-71.645972371949995</v>
      </c>
      <c r="O1632" s="4">
        <v>3.7804534529037501</v>
      </c>
      <c r="P1632" s="4" t="s">
        <v>734</v>
      </c>
      <c r="Q1632" s="4" t="s">
        <v>735</v>
      </c>
      <c r="R1632" s="4" t="s">
        <v>730</v>
      </c>
      <c r="S1632" s="2">
        <v>46174.493681840278</v>
      </c>
      <c r="T1632" s="5">
        <v>3.9224537037037036E-5</v>
      </c>
      <c r="U1632" s="4">
        <v>2.8667479753494263E-2</v>
      </c>
      <c r="V1632" s="4" t="s">
        <v>763</v>
      </c>
      <c r="W1632" s="4" t="s">
        <v>762</v>
      </c>
      <c r="X1632" s="6" t="s">
        <v>617</v>
      </c>
    </row>
    <row r="1633" spans="1:24">
      <c r="A1633" s="4" t="s">
        <v>1051</v>
      </c>
      <c r="B1633" s="4" t="s">
        <v>1052</v>
      </c>
      <c r="D1633" s="4" t="s">
        <v>716</v>
      </c>
      <c r="E1633" s="4" t="s">
        <v>717</v>
      </c>
      <c r="M1633" s="4" t="s">
        <v>685</v>
      </c>
      <c r="N1633" s="4">
        <v>-71.650226737599993</v>
      </c>
      <c r="O1633" s="4">
        <v>3.7750609385599998</v>
      </c>
      <c r="P1633" s="4" t="s">
        <v>786</v>
      </c>
      <c r="Q1633" s="4" t="s">
        <v>735</v>
      </c>
      <c r="R1633" s="4" t="s">
        <v>730</v>
      </c>
      <c r="S1633" s="2">
        <v>46174.579910740744</v>
      </c>
      <c r="T1633" s="5">
        <v>2.199074074074074E-7</v>
      </c>
      <c r="U1633" s="4">
        <v>6.0759088228223845E-5</v>
      </c>
      <c r="V1633" s="4" t="s">
        <v>1057</v>
      </c>
      <c r="W1633" s="4" t="s">
        <v>685</v>
      </c>
      <c r="X1633" s="6" t="s">
        <v>617</v>
      </c>
    </row>
    <row r="1634" spans="1:24">
      <c r="A1634" s="4" t="s">
        <v>1051</v>
      </c>
      <c r="B1634" s="4" t="s">
        <v>1052</v>
      </c>
      <c r="D1634" s="4" t="s">
        <v>716</v>
      </c>
      <c r="E1634" s="4" t="s">
        <v>717</v>
      </c>
      <c r="M1634" s="4" t="s">
        <v>762</v>
      </c>
      <c r="N1634" s="4">
        <v>-71.649539949999991</v>
      </c>
      <c r="O1634" s="4">
        <v>3.7764700649999998</v>
      </c>
      <c r="P1634" s="4" t="s">
        <v>786</v>
      </c>
      <c r="Q1634" s="4" t="s">
        <v>735</v>
      </c>
      <c r="R1634" s="4" t="s">
        <v>730</v>
      </c>
      <c r="S1634" s="2">
        <v>46174.580347222225</v>
      </c>
      <c r="T1634" s="5">
        <v>3.8935185185185185E-5</v>
      </c>
      <c r="U1634" s="4">
        <v>2.8333995491266251E-2</v>
      </c>
      <c r="V1634" s="4" t="s">
        <v>763</v>
      </c>
      <c r="W1634" s="4" t="s">
        <v>762</v>
      </c>
      <c r="X1634" s="6" t="s">
        <v>617</v>
      </c>
    </row>
    <row r="1635" spans="1:24">
      <c r="A1635" s="4" t="s">
        <v>1051</v>
      </c>
      <c r="B1635" s="4" t="s">
        <v>1052</v>
      </c>
      <c r="D1635" s="4" t="s">
        <v>716</v>
      </c>
      <c r="E1635" s="4" t="s">
        <v>717</v>
      </c>
      <c r="M1635" s="4" t="s">
        <v>762</v>
      </c>
      <c r="N1635" s="4">
        <v>-71.646222489039999</v>
      </c>
      <c r="O1635" s="4">
        <v>3.7801986609439999</v>
      </c>
      <c r="P1635" s="4" t="s">
        <v>734</v>
      </c>
      <c r="Q1635" s="4" t="s">
        <v>735</v>
      </c>
      <c r="R1635" s="4" t="s">
        <v>730</v>
      </c>
      <c r="S1635" s="2">
        <v>46174.581289861111</v>
      </c>
      <c r="T1635" s="5">
        <v>7.2719907407407412E-5</v>
      </c>
      <c r="U1635" s="4">
        <v>5.2887216210365295E-2</v>
      </c>
      <c r="V1635" s="4" t="s">
        <v>763</v>
      </c>
      <c r="W1635" s="4" t="s">
        <v>762</v>
      </c>
      <c r="X1635" s="6" t="s">
        <v>617</v>
      </c>
    </row>
    <row r="1636" spans="1:24">
      <c r="A1636" s="4" t="s">
        <v>1051</v>
      </c>
      <c r="B1636" s="4" t="s">
        <v>1052</v>
      </c>
      <c r="D1636" s="4" t="s">
        <v>716</v>
      </c>
      <c r="E1636" s="4" t="s">
        <v>717</v>
      </c>
      <c r="M1636" s="4" t="s">
        <v>762</v>
      </c>
      <c r="N1636" s="4">
        <v>-71.644808980000008</v>
      </c>
      <c r="O1636" s="4">
        <v>3.7815025819999999</v>
      </c>
      <c r="P1636" s="4" t="s">
        <v>734</v>
      </c>
      <c r="Q1636" s="4" t="s">
        <v>735</v>
      </c>
      <c r="R1636" s="4" t="s">
        <v>730</v>
      </c>
      <c r="S1636" s="2">
        <v>46174.581675925925</v>
      </c>
      <c r="T1636" s="5">
        <v>5.4398148148148151E-5</v>
      </c>
      <c r="U1636" s="4">
        <v>4.0234077721834183E-2</v>
      </c>
      <c r="V1636" s="4" t="s">
        <v>763</v>
      </c>
      <c r="W1636" s="4" t="s">
        <v>762</v>
      </c>
      <c r="X1636" s="6" t="s">
        <v>617</v>
      </c>
    </row>
    <row r="1637" spans="1:24">
      <c r="A1637" s="4" t="s">
        <v>1051</v>
      </c>
      <c r="B1637" s="4" t="s">
        <v>1052</v>
      </c>
      <c r="D1637" s="4" t="s">
        <v>716</v>
      </c>
      <c r="E1637" s="4" t="s">
        <v>717</v>
      </c>
      <c r="M1637" s="4" t="s">
        <v>762</v>
      </c>
      <c r="N1637" s="4">
        <v>-71.640922575000005</v>
      </c>
      <c r="O1637" s="4">
        <v>3.7846730375000002</v>
      </c>
      <c r="P1637" s="4" t="s">
        <v>734</v>
      </c>
      <c r="Q1637" s="4" t="s">
        <v>735</v>
      </c>
      <c r="R1637" s="4" t="s">
        <v>730</v>
      </c>
      <c r="S1637" s="2">
        <v>46174.58284722222</v>
      </c>
      <c r="T1637" s="5">
        <v>8.2071759259259259E-5</v>
      </c>
      <c r="U1637" s="4">
        <v>6.1792772263288498E-2</v>
      </c>
      <c r="V1637" s="4" t="s">
        <v>781</v>
      </c>
      <c r="W1637" s="4" t="s">
        <v>762</v>
      </c>
      <c r="X1637" s="6" t="s">
        <v>617</v>
      </c>
    </row>
    <row r="1638" spans="1:24">
      <c r="A1638" s="4" t="s">
        <v>1051</v>
      </c>
      <c r="B1638" s="4" t="s">
        <v>1052</v>
      </c>
      <c r="D1638" s="4" t="s">
        <v>716</v>
      </c>
      <c r="E1638" s="4" t="s">
        <v>717</v>
      </c>
      <c r="M1638" s="4" t="s">
        <v>762</v>
      </c>
      <c r="N1638" s="4">
        <v>-71.639567580000005</v>
      </c>
      <c r="O1638" s="4">
        <v>3.7845345020000001</v>
      </c>
      <c r="P1638" s="4" t="s">
        <v>734</v>
      </c>
      <c r="Q1638" s="4" t="s">
        <v>735</v>
      </c>
      <c r="R1638" s="4" t="s">
        <v>730</v>
      </c>
      <c r="S1638" s="2">
        <v>46174.583060185185</v>
      </c>
      <c r="T1638" s="5">
        <v>2.7645833333333331E-4</v>
      </c>
      <c r="U1638" s="4">
        <v>0.22319628298282623</v>
      </c>
      <c r="V1638" s="4" t="s">
        <v>784</v>
      </c>
      <c r="W1638" s="4" t="s">
        <v>762</v>
      </c>
      <c r="X1638" s="6" t="s">
        <v>617</v>
      </c>
    </row>
    <row r="1639" spans="1:24">
      <c r="A1639" s="4" t="s">
        <v>1051</v>
      </c>
      <c r="B1639" s="4" t="s">
        <v>1052</v>
      </c>
      <c r="D1639" s="4" t="s">
        <v>716</v>
      </c>
      <c r="E1639" s="4" t="s">
        <v>717</v>
      </c>
      <c r="M1639" s="4" t="s">
        <v>762</v>
      </c>
      <c r="N1639" s="4">
        <v>-71.637138366666676</v>
      </c>
      <c r="O1639" s="4">
        <v>3.7843494400000002</v>
      </c>
      <c r="P1639" s="4" t="s">
        <v>734</v>
      </c>
      <c r="Q1639" s="4" t="s">
        <v>735</v>
      </c>
      <c r="R1639" s="4" t="s">
        <v>730</v>
      </c>
      <c r="S1639" s="2">
        <v>46174.583402777775</v>
      </c>
      <c r="T1639" s="5">
        <v>3.2407407407407408E-5</v>
      </c>
      <c r="U1639" s="4">
        <v>2.3149775341153145E-2</v>
      </c>
      <c r="V1639" s="4" t="s">
        <v>763</v>
      </c>
      <c r="W1639" s="4" t="s">
        <v>762</v>
      </c>
      <c r="X1639" s="6" t="s">
        <v>617</v>
      </c>
    </row>
    <row r="1640" spans="1:24">
      <c r="A1640" s="4" t="s">
        <v>1051</v>
      </c>
      <c r="B1640" s="4" t="s">
        <v>1052</v>
      </c>
      <c r="D1640" s="4" t="s">
        <v>716</v>
      </c>
      <c r="E1640" s="4" t="s">
        <v>717</v>
      </c>
      <c r="M1640" s="4" t="s">
        <v>645</v>
      </c>
      <c r="N1640" s="4">
        <v>-71.636698405066667</v>
      </c>
      <c r="O1640" s="4">
        <v>3.7842847890933333</v>
      </c>
      <c r="P1640" s="4" t="s">
        <v>718</v>
      </c>
      <c r="Q1640" s="4" t="s">
        <v>719</v>
      </c>
      <c r="R1640" s="4" t="s">
        <v>720</v>
      </c>
      <c r="S1640" s="2">
        <v>46174.583474629631</v>
      </c>
      <c r="T1640" s="5">
        <v>2.9508101851851852E-4</v>
      </c>
      <c r="U1640" s="4">
        <v>0.18421156704425812</v>
      </c>
      <c r="V1640" s="4" t="s">
        <v>789</v>
      </c>
      <c r="W1640" s="4" t="s">
        <v>645</v>
      </c>
      <c r="X1640" s="6" t="s">
        <v>617</v>
      </c>
    </row>
    <row r="1641" spans="1:24">
      <c r="A1641" s="4" t="s">
        <v>1051</v>
      </c>
      <c r="B1641" s="4" t="s">
        <v>1052</v>
      </c>
      <c r="D1641" s="4" t="s">
        <v>716</v>
      </c>
      <c r="E1641" s="4" t="s">
        <v>717</v>
      </c>
      <c r="M1641" s="4" t="s">
        <v>762</v>
      </c>
      <c r="N1641" s="4">
        <v>-71.631019629666667</v>
      </c>
      <c r="O1641" s="4">
        <v>3.7835337319388889</v>
      </c>
      <c r="P1641" s="4" t="s">
        <v>734</v>
      </c>
      <c r="Q1641" s="4" t="s">
        <v>735</v>
      </c>
      <c r="R1641" s="4" t="s">
        <v>730</v>
      </c>
      <c r="S1641" s="2">
        <v>46174.584705381945</v>
      </c>
      <c r="T1641" s="5">
        <v>4.7106481481481481E-5</v>
      </c>
      <c r="U1641" s="4">
        <v>3.0460517853498459E-2</v>
      </c>
      <c r="V1641" s="4" t="s">
        <v>781</v>
      </c>
      <c r="W1641" s="4" t="s">
        <v>762</v>
      </c>
      <c r="X1641" s="6" t="s">
        <v>617</v>
      </c>
    </row>
    <row r="1642" spans="1:24">
      <c r="A1642" s="4" t="s">
        <v>1051</v>
      </c>
      <c r="B1642" s="4" t="s">
        <v>1052</v>
      </c>
      <c r="D1642" s="4" t="s">
        <v>716</v>
      </c>
      <c r="E1642" s="4" t="s">
        <v>717</v>
      </c>
      <c r="M1642" s="4" t="s">
        <v>762</v>
      </c>
      <c r="N1642" s="4">
        <v>-71.629465713769235</v>
      </c>
      <c r="O1642" s="4">
        <v>3.7825554860815385</v>
      </c>
      <c r="P1642" s="4" t="s">
        <v>734</v>
      </c>
      <c r="Q1642" s="4" t="s">
        <v>735</v>
      </c>
      <c r="R1642" s="4" t="s">
        <v>730</v>
      </c>
      <c r="S1642" s="2">
        <v>46174.585030868053</v>
      </c>
      <c r="T1642" s="5">
        <v>2.7005787037037037E-4</v>
      </c>
      <c r="U1642" s="4">
        <v>0.20740406215190887</v>
      </c>
      <c r="V1642" s="4" t="s">
        <v>781</v>
      </c>
      <c r="W1642" s="4" t="s">
        <v>762</v>
      </c>
      <c r="X1642" s="6" t="s">
        <v>617</v>
      </c>
    </row>
    <row r="1643" spans="1:24">
      <c r="A1643" s="4" t="s">
        <v>1051</v>
      </c>
      <c r="B1643" s="4" t="s">
        <v>1052</v>
      </c>
      <c r="D1643" s="4" t="s">
        <v>716</v>
      </c>
      <c r="E1643" s="4" t="s">
        <v>717</v>
      </c>
      <c r="M1643" s="4" t="s">
        <v>645</v>
      </c>
      <c r="N1643" s="4">
        <v>-71.626377982479994</v>
      </c>
      <c r="O1643" s="4">
        <v>3.7809865099480002</v>
      </c>
      <c r="P1643" s="4" t="s">
        <v>739</v>
      </c>
      <c r="Q1643" s="4" t="s">
        <v>740</v>
      </c>
      <c r="R1643" s="4" t="s">
        <v>730</v>
      </c>
      <c r="S1643" s="2">
        <v>46174.585709178238</v>
      </c>
      <c r="T1643" s="5">
        <v>2.9209490740740742E-4</v>
      </c>
      <c r="U1643" s="4">
        <v>0.13028468191623688</v>
      </c>
      <c r="V1643" s="4" t="s">
        <v>649</v>
      </c>
      <c r="W1643" s="4" t="s">
        <v>645</v>
      </c>
      <c r="X1643" s="6" t="s">
        <v>617</v>
      </c>
    </row>
    <row r="1644" spans="1:24">
      <c r="A1644" s="4" t="s">
        <v>1051</v>
      </c>
      <c r="B1644" s="4" t="s">
        <v>1052</v>
      </c>
      <c r="D1644" s="4" t="s">
        <v>716</v>
      </c>
      <c r="E1644" s="4" t="s">
        <v>717</v>
      </c>
      <c r="M1644" s="4" t="s">
        <v>645</v>
      </c>
      <c r="N1644" s="4">
        <v>-71.624905893499999</v>
      </c>
      <c r="O1644" s="4">
        <v>3.7810678468949996</v>
      </c>
      <c r="P1644" s="4" t="s">
        <v>759</v>
      </c>
      <c r="Q1644" s="4" t="s">
        <v>760</v>
      </c>
      <c r="R1644" s="4" t="s">
        <v>730</v>
      </c>
      <c r="S1644" s="2">
        <v>46174.58607445602</v>
      </c>
      <c r="T1644" s="5">
        <v>5.5949074074074073E-5</v>
      </c>
      <c r="U1644" s="4">
        <v>1.7676189541816711E-2</v>
      </c>
      <c r="V1644" s="4" t="s">
        <v>752</v>
      </c>
      <c r="W1644" s="4" t="s">
        <v>645</v>
      </c>
      <c r="X1644" s="6" t="s">
        <v>617</v>
      </c>
    </row>
    <row r="1645" spans="1:24">
      <c r="A1645" s="4" t="s">
        <v>1051</v>
      </c>
      <c r="B1645" s="4" t="s">
        <v>1052</v>
      </c>
      <c r="D1645" s="4" t="s">
        <v>716</v>
      </c>
      <c r="E1645" s="4" t="s">
        <v>717</v>
      </c>
      <c r="M1645" s="4" t="s">
        <v>645</v>
      </c>
      <c r="N1645" s="4">
        <v>-71.624804198980002</v>
      </c>
      <c r="O1645" s="4">
        <v>3.780805834248</v>
      </c>
      <c r="P1645" s="4" t="s">
        <v>854</v>
      </c>
      <c r="Q1645" s="4" t="s">
        <v>727</v>
      </c>
      <c r="R1645" s="4" t="s">
        <v>720</v>
      </c>
      <c r="S1645" s="2">
        <v>46174.586230706016</v>
      </c>
      <c r="T1645" s="5">
        <v>9.3368055555555549E-5</v>
      </c>
      <c r="U1645" s="4">
        <v>2.5224223732948303E-2</v>
      </c>
      <c r="V1645" s="4" t="s">
        <v>731</v>
      </c>
      <c r="W1645" s="4" t="s">
        <v>645</v>
      </c>
      <c r="X1645" s="6" t="s">
        <v>617</v>
      </c>
    </row>
    <row r="1646" spans="1:24">
      <c r="A1646" s="4" t="s">
        <v>1051</v>
      </c>
      <c r="B1646" s="4" t="s">
        <v>1052</v>
      </c>
      <c r="D1646" s="4" t="s">
        <v>716</v>
      </c>
      <c r="E1646" s="4" t="s">
        <v>717</v>
      </c>
      <c r="M1646" s="4" t="s">
        <v>614</v>
      </c>
      <c r="N1646" s="4">
        <v>-71.595298799999995</v>
      </c>
      <c r="O1646" s="4">
        <v>3.80682564</v>
      </c>
      <c r="P1646" s="4" t="s">
        <v>795</v>
      </c>
      <c r="Q1646" s="4" t="s">
        <v>743</v>
      </c>
      <c r="R1646" s="4" t="s">
        <v>730</v>
      </c>
      <c r="S1646" s="2">
        <v>46174.598101851851</v>
      </c>
      <c r="T1646" s="5">
        <v>7.7849305555555554E-3</v>
      </c>
      <c r="U1646" s="4">
        <v>7.8898832725826651E-5</v>
      </c>
      <c r="V1646" s="4" t="s">
        <v>616</v>
      </c>
      <c r="W1646" s="4" t="s">
        <v>614</v>
      </c>
      <c r="X1646" s="6" t="s">
        <v>617</v>
      </c>
    </row>
    <row r="1647" spans="1:24">
      <c r="A1647" s="4" t="s">
        <v>1051</v>
      </c>
      <c r="B1647" s="4" t="s">
        <v>1052</v>
      </c>
      <c r="D1647" s="4" t="s">
        <v>716</v>
      </c>
      <c r="E1647" s="4" t="s">
        <v>717</v>
      </c>
      <c r="M1647" s="4" t="s">
        <v>757</v>
      </c>
      <c r="N1647" s="4">
        <v>-71.604396825000009</v>
      </c>
      <c r="O1647" s="4">
        <v>3.7944983225</v>
      </c>
      <c r="P1647" s="4" t="s">
        <v>1058</v>
      </c>
      <c r="Q1647" s="4" t="s">
        <v>743</v>
      </c>
      <c r="R1647" s="4" t="s">
        <v>730</v>
      </c>
      <c r="S1647" s="2">
        <v>46174.613370949075</v>
      </c>
      <c r="T1647" s="5">
        <v>6.8483796296296291E-5</v>
      </c>
      <c r="U1647" s="4">
        <v>6.3333511352539063E-2</v>
      </c>
      <c r="V1647" s="4" t="s">
        <v>758</v>
      </c>
      <c r="W1647" s="4" t="s">
        <v>757</v>
      </c>
      <c r="X1647" s="6" t="s">
        <v>617</v>
      </c>
    </row>
    <row r="1648" spans="1:24">
      <c r="A1648" s="4" t="s">
        <v>1051</v>
      </c>
      <c r="B1648" s="4" t="s">
        <v>1052</v>
      </c>
      <c r="D1648" s="4" t="s">
        <v>716</v>
      </c>
      <c r="E1648" s="4" t="s">
        <v>717</v>
      </c>
      <c r="M1648" s="4" t="s">
        <v>645</v>
      </c>
      <c r="N1648" s="4">
        <v>-71.625435159760002</v>
      </c>
      <c r="O1648" s="4">
        <v>3.781043464488</v>
      </c>
      <c r="P1648" s="4" t="s">
        <v>759</v>
      </c>
      <c r="Q1648" s="4" t="s">
        <v>760</v>
      </c>
      <c r="R1648" s="4" t="s">
        <v>730</v>
      </c>
      <c r="S1648" s="2">
        <v>46174.617689305553</v>
      </c>
      <c r="T1648" s="5">
        <v>2.1849537037037036E-4</v>
      </c>
      <c r="U1648" s="4">
        <v>0.10447823256254196</v>
      </c>
      <c r="V1648" s="4" t="s">
        <v>789</v>
      </c>
      <c r="W1648" s="4" t="s">
        <v>645</v>
      </c>
      <c r="X1648" s="6" t="s">
        <v>617</v>
      </c>
    </row>
    <row r="1649" spans="1:24">
      <c r="A1649" s="4" t="s">
        <v>1051</v>
      </c>
      <c r="B1649" s="4" t="s">
        <v>1052</v>
      </c>
      <c r="D1649" s="4" t="s">
        <v>716</v>
      </c>
      <c r="E1649" s="4" t="s">
        <v>717</v>
      </c>
      <c r="M1649" s="4" t="s">
        <v>762</v>
      </c>
      <c r="N1649" s="4">
        <v>-71.628242506225007</v>
      </c>
      <c r="O1649" s="4">
        <v>3.78124258274</v>
      </c>
      <c r="P1649" s="4" t="s">
        <v>734</v>
      </c>
      <c r="Q1649" s="4" t="s">
        <v>735</v>
      </c>
      <c r="R1649" s="4" t="s">
        <v>730</v>
      </c>
      <c r="S1649" s="2">
        <v>46174.61828318287</v>
      </c>
      <c r="T1649" s="5">
        <v>3.4143528518518516E-4</v>
      </c>
      <c r="U1649" s="4">
        <v>0.2842068076133728</v>
      </c>
      <c r="V1649" s="4" t="s">
        <v>784</v>
      </c>
      <c r="W1649" s="4" t="s">
        <v>762</v>
      </c>
      <c r="X1649" s="6" t="s">
        <v>617</v>
      </c>
    </row>
    <row r="1650" spans="1:24">
      <c r="A1650" s="4" t="s">
        <v>1051</v>
      </c>
      <c r="B1650" s="4" t="s">
        <v>1052</v>
      </c>
      <c r="D1650" s="4" t="s">
        <v>716</v>
      </c>
      <c r="E1650" s="4" t="s">
        <v>717</v>
      </c>
      <c r="M1650" s="4" t="s">
        <v>762</v>
      </c>
      <c r="N1650" s="4">
        <v>-71.631207279999998</v>
      </c>
      <c r="O1650" s="4">
        <v>3.7835936539999997</v>
      </c>
      <c r="P1650" s="4" t="s">
        <v>734</v>
      </c>
      <c r="Q1650" s="4" t="s">
        <v>735</v>
      </c>
      <c r="R1650" s="4" t="s">
        <v>730</v>
      </c>
      <c r="S1650" s="2">
        <v>46174.61891203704</v>
      </c>
      <c r="T1650" s="5">
        <v>1.8518518518518518E-5</v>
      </c>
      <c r="U1650" s="4">
        <v>1.2724298052489758E-2</v>
      </c>
      <c r="V1650" s="4" t="s">
        <v>763</v>
      </c>
      <c r="W1650" s="4" t="s">
        <v>762</v>
      </c>
      <c r="X1650" s="6" t="s">
        <v>617</v>
      </c>
    </row>
    <row r="1651" spans="1:24">
      <c r="A1651" s="4" t="s">
        <v>1051</v>
      </c>
      <c r="B1651" s="4" t="s">
        <v>1052</v>
      </c>
      <c r="D1651" s="4" t="s">
        <v>716</v>
      </c>
      <c r="E1651" s="4" t="s">
        <v>717</v>
      </c>
      <c r="M1651" s="4" t="s">
        <v>762</v>
      </c>
      <c r="N1651" s="4">
        <v>-71.631642120000009</v>
      </c>
      <c r="O1651" s="4">
        <v>3.7836853060000002</v>
      </c>
      <c r="P1651" s="4" t="s">
        <v>734</v>
      </c>
      <c r="Q1651" s="4" t="s">
        <v>735</v>
      </c>
      <c r="R1651" s="4" t="s">
        <v>730</v>
      </c>
      <c r="S1651" s="2">
        <v>46174.618986111112</v>
      </c>
      <c r="T1651" s="5">
        <v>1.1574074074074073E-5</v>
      </c>
      <c r="U1651" s="4">
        <v>7.9112118110060692E-3</v>
      </c>
      <c r="V1651" s="4" t="s">
        <v>763</v>
      </c>
      <c r="W1651" s="4" t="s">
        <v>762</v>
      </c>
      <c r="X1651" s="6" t="s">
        <v>617</v>
      </c>
    </row>
    <row r="1652" spans="1:24">
      <c r="A1652" s="4" t="s">
        <v>1051</v>
      </c>
      <c r="B1652" s="4" t="s">
        <v>1052</v>
      </c>
      <c r="D1652" s="4" t="s">
        <v>716</v>
      </c>
      <c r="E1652" s="4" t="s">
        <v>717</v>
      </c>
      <c r="M1652" s="4" t="s">
        <v>645</v>
      </c>
      <c r="N1652" s="4">
        <v>-71.635059611111103</v>
      </c>
      <c r="O1652" s="4">
        <v>3.7842664282222223</v>
      </c>
      <c r="P1652" s="4" t="s">
        <v>718</v>
      </c>
      <c r="Q1652" s="4" t="s">
        <v>719</v>
      </c>
      <c r="R1652" s="4" t="s">
        <v>720</v>
      </c>
      <c r="S1652" s="2">
        <v>46174.619693333334</v>
      </c>
      <c r="T1652" s="5">
        <v>3.0502314814814812E-4</v>
      </c>
      <c r="U1652" s="4">
        <v>0.18376223742961884</v>
      </c>
      <c r="V1652" s="4" t="s">
        <v>789</v>
      </c>
      <c r="W1652" s="4" t="s">
        <v>645</v>
      </c>
      <c r="X1652" s="6" t="s">
        <v>617</v>
      </c>
    </row>
    <row r="1653" spans="1:24">
      <c r="A1653" s="4" t="s">
        <v>1051</v>
      </c>
      <c r="B1653" s="4" t="s">
        <v>1052</v>
      </c>
      <c r="D1653" s="4" t="s">
        <v>716</v>
      </c>
      <c r="E1653" s="4" t="s">
        <v>717</v>
      </c>
      <c r="M1653" s="4" t="s">
        <v>762</v>
      </c>
      <c r="N1653" s="4">
        <v>-71.637396091249997</v>
      </c>
      <c r="O1653" s="4">
        <v>3.7843899474850002</v>
      </c>
      <c r="P1653" s="4" t="s">
        <v>734</v>
      </c>
      <c r="Q1653" s="4" t="s">
        <v>735</v>
      </c>
      <c r="R1653" s="4" t="s">
        <v>730</v>
      </c>
      <c r="S1653" s="2">
        <v>46174.620111886572</v>
      </c>
      <c r="T1653" s="5">
        <v>3.5285879629629632E-4</v>
      </c>
      <c r="U1653" s="4">
        <v>0.29007294774055481</v>
      </c>
      <c r="V1653" s="4" t="s">
        <v>784</v>
      </c>
      <c r="W1653" s="4" t="s">
        <v>762</v>
      </c>
      <c r="X1653" s="6" t="s">
        <v>617</v>
      </c>
    </row>
    <row r="1654" spans="1:24">
      <c r="A1654" s="4" t="s">
        <v>1051</v>
      </c>
      <c r="B1654" s="4" t="s">
        <v>1052</v>
      </c>
      <c r="D1654" s="4" t="s">
        <v>716</v>
      </c>
      <c r="E1654" s="4" t="s">
        <v>717</v>
      </c>
      <c r="M1654" s="4" t="s">
        <v>762</v>
      </c>
      <c r="N1654" s="4">
        <v>-71.64049274173999</v>
      </c>
      <c r="O1654" s="4">
        <v>3.784653108124</v>
      </c>
      <c r="P1654" s="4" t="s">
        <v>734</v>
      </c>
      <c r="Q1654" s="4" t="s">
        <v>735</v>
      </c>
      <c r="R1654" s="4" t="s">
        <v>730</v>
      </c>
      <c r="S1654" s="2">
        <v>46174.62054783565</v>
      </c>
      <c r="T1654" s="5">
        <v>5.8981481481481478E-5</v>
      </c>
      <c r="U1654" s="4">
        <v>4.3635353446006775E-2</v>
      </c>
      <c r="V1654" s="4" t="s">
        <v>781</v>
      </c>
      <c r="W1654" s="4" t="s">
        <v>762</v>
      </c>
      <c r="X1654" s="6" t="s">
        <v>617</v>
      </c>
    </row>
    <row r="1655" spans="1:24">
      <c r="A1655" s="4" t="s">
        <v>1051</v>
      </c>
      <c r="B1655" s="4" t="s">
        <v>1052</v>
      </c>
      <c r="D1655" s="4" t="s">
        <v>716</v>
      </c>
      <c r="E1655" s="4" t="s">
        <v>717</v>
      </c>
      <c r="M1655" s="4" t="s">
        <v>762</v>
      </c>
      <c r="N1655" s="4">
        <v>-71.642261500000004</v>
      </c>
      <c r="O1655" s="4">
        <v>3.7846295850000002</v>
      </c>
      <c r="P1655" s="4" t="s">
        <v>734</v>
      </c>
      <c r="Q1655" s="4" t="s">
        <v>735</v>
      </c>
      <c r="R1655" s="4" t="s">
        <v>730</v>
      </c>
      <c r="S1655" s="2">
        <v>46174.62089699084</v>
      </c>
      <c r="T1655" s="5">
        <v>2.3437499999999999E-4</v>
      </c>
      <c r="U1655" s="4">
        <v>0.17888976633548737</v>
      </c>
      <c r="V1655" s="4" t="s">
        <v>781</v>
      </c>
      <c r="W1655" s="4" t="s">
        <v>762</v>
      </c>
      <c r="X1655" s="6" t="s">
        <v>617</v>
      </c>
    </row>
    <row r="1656" spans="1:24">
      <c r="A1656" s="4" t="s">
        <v>1051</v>
      </c>
      <c r="B1656" s="4" t="s">
        <v>1052</v>
      </c>
      <c r="D1656" s="4" t="s">
        <v>716</v>
      </c>
      <c r="E1656" s="4" t="s">
        <v>717</v>
      </c>
      <c r="M1656" s="4" t="s">
        <v>762</v>
      </c>
      <c r="N1656" s="4">
        <v>-71.644171159999999</v>
      </c>
      <c r="O1656" s="4">
        <v>3.782137112</v>
      </c>
      <c r="P1656" s="4" t="s">
        <v>734</v>
      </c>
      <c r="Q1656" s="4" t="s">
        <v>735</v>
      </c>
      <c r="R1656" s="4" t="s">
        <v>730</v>
      </c>
      <c r="S1656" s="2">
        <v>46174.621518518521</v>
      </c>
      <c r="T1656" s="5">
        <v>1.25E-4</v>
      </c>
      <c r="U1656" s="4">
        <v>9.6474796533584595E-2</v>
      </c>
      <c r="V1656" s="4" t="s">
        <v>781</v>
      </c>
      <c r="W1656" s="4" t="s">
        <v>762</v>
      </c>
      <c r="X1656" s="6" t="s">
        <v>617</v>
      </c>
    </row>
    <row r="1657" spans="1:24">
      <c r="A1657" s="4" t="s">
        <v>1051</v>
      </c>
      <c r="B1657" s="4" t="s">
        <v>1052</v>
      </c>
      <c r="D1657" s="4" t="s">
        <v>716</v>
      </c>
      <c r="E1657" s="4" t="s">
        <v>717</v>
      </c>
      <c r="M1657" s="4" t="s">
        <v>762</v>
      </c>
      <c r="N1657" s="4">
        <v>-71.645849200000001</v>
      </c>
      <c r="O1657" s="4">
        <v>3.7805547099999997</v>
      </c>
      <c r="P1657" s="4" t="s">
        <v>734</v>
      </c>
      <c r="Q1657" s="4" t="s">
        <v>735</v>
      </c>
      <c r="R1657" s="4" t="s">
        <v>730</v>
      </c>
      <c r="S1657" s="2">
        <v>46174.621958912037</v>
      </c>
      <c r="T1657" s="5">
        <v>8.5069444444444445E-5</v>
      </c>
      <c r="U1657" s="4">
        <v>6.4067564904689789E-2</v>
      </c>
      <c r="V1657" s="4" t="s">
        <v>781</v>
      </c>
      <c r="W1657" s="4" t="s">
        <v>762</v>
      </c>
      <c r="X1657" s="6" t="s">
        <v>617</v>
      </c>
    </row>
    <row r="1658" spans="1:24">
      <c r="A1658" s="4" t="s">
        <v>1051</v>
      </c>
      <c r="B1658" s="4" t="s">
        <v>1052</v>
      </c>
      <c r="D1658" s="4" t="s">
        <v>716</v>
      </c>
      <c r="E1658" s="4" t="s">
        <v>717</v>
      </c>
      <c r="M1658" s="4" t="s">
        <v>762</v>
      </c>
      <c r="N1658" s="4">
        <v>-71.646915449999995</v>
      </c>
      <c r="O1658" s="4">
        <v>3.779569865</v>
      </c>
      <c r="P1658" s="4" t="s">
        <v>734</v>
      </c>
      <c r="Q1658" s="4" t="s">
        <v>735</v>
      </c>
      <c r="R1658" s="4" t="s">
        <v>730</v>
      </c>
      <c r="S1658" s="2">
        <v>46174.622187499997</v>
      </c>
      <c r="T1658" s="5">
        <v>1.4219907407407408E-4</v>
      </c>
      <c r="U1658" s="4">
        <v>0.10895577818155289</v>
      </c>
      <c r="V1658" s="4" t="s">
        <v>781</v>
      </c>
      <c r="W1658" s="4" t="s">
        <v>762</v>
      </c>
      <c r="X1658" s="6" t="s">
        <v>617</v>
      </c>
    </row>
    <row r="1659" spans="1:24">
      <c r="A1659" s="4" t="s">
        <v>1051</v>
      </c>
      <c r="B1659" s="4" t="s">
        <v>1052</v>
      </c>
      <c r="D1659" s="4" t="s">
        <v>716</v>
      </c>
      <c r="E1659" s="4" t="s">
        <v>717</v>
      </c>
      <c r="M1659" s="4" t="s">
        <v>762</v>
      </c>
      <c r="N1659" s="4">
        <v>-71.647862743499999</v>
      </c>
      <c r="O1659" s="4">
        <v>3.77854234562</v>
      </c>
      <c r="P1659" s="4" t="s">
        <v>734</v>
      </c>
      <c r="Q1659" s="4" t="s">
        <v>735</v>
      </c>
      <c r="R1659" s="4" t="s">
        <v>730</v>
      </c>
      <c r="S1659" s="2">
        <v>46174.622404837966</v>
      </c>
      <c r="T1659" s="5">
        <v>5.658564814814815E-5</v>
      </c>
      <c r="U1659" s="4">
        <v>3.9634495973587036E-2</v>
      </c>
      <c r="V1659" s="4" t="s">
        <v>763</v>
      </c>
      <c r="W1659" s="4" t="s">
        <v>762</v>
      </c>
      <c r="X1659" s="6" t="s">
        <v>617</v>
      </c>
    </row>
    <row r="1660" spans="1:24">
      <c r="A1660" s="4" t="s">
        <v>1051</v>
      </c>
      <c r="B1660" s="4" t="s">
        <v>1052</v>
      </c>
      <c r="D1660" s="4" t="s">
        <v>716</v>
      </c>
      <c r="E1660" s="4" t="s">
        <v>717</v>
      </c>
      <c r="M1660" s="4" t="s">
        <v>685</v>
      </c>
      <c r="N1660" s="4">
        <v>-71.648424173440006</v>
      </c>
      <c r="O1660" s="4">
        <v>3.7778475401280001</v>
      </c>
      <c r="P1660" s="4" t="s">
        <v>734</v>
      </c>
      <c r="Q1660" s="4" t="s">
        <v>735</v>
      </c>
      <c r="R1660" s="4" t="s">
        <v>730</v>
      </c>
      <c r="S1660" s="2">
        <v>46174.622564907404</v>
      </c>
      <c r="T1660" s="5">
        <v>2.3148148148148148E-8</v>
      </c>
      <c r="U1660" s="4">
        <v>5.4197507779463194E-6</v>
      </c>
      <c r="V1660" s="4" t="s">
        <v>1059</v>
      </c>
      <c r="W1660" s="4" t="s">
        <v>685</v>
      </c>
      <c r="X1660" s="6" t="s">
        <v>617</v>
      </c>
    </row>
    <row r="1661" spans="1:24">
      <c r="A1661" s="4" t="s">
        <v>1051</v>
      </c>
      <c r="B1661" s="4" t="s">
        <v>1052</v>
      </c>
      <c r="D1661" s="4" t="s">
        <v>716</v>
      </c>
      <c r="E1661" s="4" t="s">
        <v>717</v>
      </c>
      <c r="M1661" s="4" t="s">
        <v>762</v>
      </c>
      <c r="N1661" s="4">
        <v>-71.64940554767999</v>
      </c>
      <c r="O1661" s="4">
        <v>3.7766802827520003</v>
      </c>
      <c r="P1661" s="4" t="s">
        <v>734</v>
      </c>
      <c r="Q1661" s="4" t="s">
        <v>735</v>
      </c>
      <c r="R1661" s="4" t="s">
        <v>730</v>
      </c>
      <c r="S1661" s="2">
        <v>46174.622921805552</v>
      </c>
      <c r="T1661" s="5">
        <v>1.4888888888888889E-4</v>
      </c>
      <c r="U1661" s="4">
        <v>0.11236201226711273</v>
      </c>
      <c r="V1661" s="4" t="s">
        <v>763</v>
      </c>
      <c r="W1661" s="4" t="s">
        <v>762</v>
      </c>
      <c r="X1661" s="6" t="s">
        <v>617</v>
      </c>
    </row>
    <row r="1662" spans="1:24">
      <c r="A1662" s="4" t="s">
        <v>1051</v>
      </c>
      <c r="B1662" s="4" t="s">
        <v>1052</v>
      </c>
      <c r="D1662" s="4" t="s">
        <v>716</v>
      </c>
      <c r="E1662" s="4" t="s">
        <v>717</v>
      </c>
      <c r="M1662" s="4" t="s">
        <v>614</v>
      </c>
      <c r="N1662" s="4">
        <v>-71.634872400000006</v>
      </c>
      <c r="O1662" s="4">
        <v>3.75527167</v>
      </c>
      <c r="P1662" s="4" t="s">
        <v>795</v>
      </c>
      <c r="Q1662" s="4" t="s">
        <v>743</v>
      </c>
      <c r="R1662" s="4" t="s">
        <v>730</v>
      </c>
      <c r="S1662" s="2">
        <v>46174.658391203702</v>
      </c>
      <c r="T1662" s="5">
        <v>9.7106481481481488E-3</v>
      </c>
      <c r="U1662" s="4">
        <v>0</v>
      </c>
      <c r="V1662" s="4" t="s">
        <v>616</v>
      </c>
      <c r="W1662" s="4" t="s">
        <v>614</v>
      </c>
      <c r="X1662" s="6" t="s">
        <v>617</v>
      </c>
    </row>
    <row r="1663" spans="1:24">
      <c r="A1663" s="4" t="s">
        <v>1051</v>
      </c>
      <c r="B1663" s="4" t="s">
        <v>1052</v>
      </c>
      <c r="D1663" s="4" t="s">
        <v>716</v>
      </c>
      <c r="E1663" s="4" t="s">
        <v>717</v>
      </c>
      <c r="M1663" s="4" t="s">
        <v>614</v>
      </c>
      <c r="N1663" s="4">
        <v>-71.634880100000004</v>
      </c>
      <c r="O1663" s="4">
        <v>3.7552743</v>
      </c>
      <c r="P1663" s="4" t="s">
        <v>795</v>
      </c>
      <c r="Q1663" s="4" t="s">
        <v>743</v>
      </c>
      <c r="R1663" s="4" t="s">
        <v>730</v>
      </c>
      <c r="S1663" s="2">
        <v>46174.678253958336</v>
      </c>
      <c r="T1663" s="5">
        <v>1.4095578703703704E-2</v>
      </c>
      <c r="U1663" s="4">
        <v>4.7383629716932774E-3</v>
      </c>
      <c r="V1663" s="4" t="s">
        <v>616</v>
      </c>
      <c r="W1663" s="4" t="s">
        <v>614</v>
      </c>
      <c r="X1663" s="6" t="s">
        <v>617</v>
      </c>
    </row>
    <row r="1664" spans="1:24">
      <c r="A1664" s="4" t="s">
        <v>1051</v>
      </c>
      <c r="B1664" s="4" t="s">
        <v>1052</v>
      </c>
      <c r="D1664" s="4" t="s">
        <v>716</v>
      </c>
      <c r="E1664" s="4" t="s">
        <v>717</v>
      </c>
      <c r="M1664" s="4" t="s">
        <v>685</v>
      </c>
      <c r="N1664" s="4">
        <v>-71.650194322900006</v>
      </c>
      <c r="O1664" s="4">
        <v>3.77507511095</v>
      </c>
      <c r="P1664" s="4" t="s">
        <v>786</v>
      </c>
      <c r="Q1664" s="4" t="s">
        <v>735</v>
      </c>
      <c r="R1664" s="4" t="s">
        <v>730</v>
      </c>
      <c r="S1664" s="2">
        <v>46174.698292013891</v>
      </c>
      <c r="T1664" s="5">
        <v>2.0833333333333333E-7</v>
      </c>
      <c r="U1664" s="4">
        <v>7.3077368142548949E-5</v>
      </c>
      <c r="V1664" s="4" t="s">
        <v>1060</v>
      </c>
      <c r="W1664" s="4" t="s">
        <v>685</v>
      </c>
      <c r="X1664" s="6" t="s">
        <v>617</v>
      </c>
    </row>
    <row r="1665" spans="1:24">
      <c r="A1665" s="4" t="s">
        <v>1051</v>
      </c>
      <c r="B1665" s="4" t="s">
        <v>1052</v>
      </c>
      <c r="D1665" s="4" t="s">
        <v>716</v>
      </c>
      <c r="E1665" s="4" t="s">
        <v>717</v>
      </c>
      <c r="M1665" s="4" t="s">
        <v>762</v>
      </c>
      <c r="N1665" s="4">
        <v>-71.649655699999997</v>
      </c>
      <c r="O1665" s="4">
        <v>3.7762400333333335</v>
      </c>
      <c r="P1665" s="4" t="s">
        <v>786</v>
      </c>
      <c r="Q1665" s="4" t="s">
        <v>735</v>
      </c>
      <c r="R1665" s="4" t="s">
        <v>730</v>
      </c>
      <c r="S1665" s="2">
        <v>46174.698599537034</v>
      </c>
      <c r="T1665" s="5">
        <v>3.4722222222222222E-5</v>
      </c>
      <c r="U1665" s="4">
        <v>2.4750038981437683E-2</v>
      </c>
      <c r="V1665" s="4" t="s">
        <v>763</v>
      </c>
      <c r="W1665" s="4" t="s">
        <v>762</v>
      </c>
      <c r="X1665" s="6" t="s">
        <v>617</v>
      </c>
    </row>
    <row r="1666" spans="1:24">
      <c r="A1666" s="4" t="s">
        <v>1051</v>
      </c>
      <c r="B1666" s="4" t="s">
        <v>1052</v>
      </c>
      <c r="D1666" s="4" t="s">
        <v>716</v>
      </c>
      <c r="E1666" s="4" t="s">
        <v>717</v>
      </c>
      <c r="M1666" s="4" t="s">
        <v>762</v>
      </c>
      <c r="N1666" s="4">
        <v>-71.647018421406656</v>
      </c>
      <c r="O1666" s="4">
        <v>3.7793961154866667</v>
      </c>
      <c r="P1666" s="4" t="s">
        <v>734</v>
      </c>
      <c r="Q1666" s="4" t="s">
        <v>735</v>
      </c>
      <c r="R1666" s="4" t="s">
        <v>730</v>
      </c>
      <c r="S1666" s="2">
        <v>46174.699512233798</v>
      </c>
      <c r="T1666" s="5">
        <v>4.1006944444444444E-5</v>
      </c>
      <c r="U1666" s="4">
        <v>2.8191655874252319E-2</v>
      </c>
      <c r="V1666" s="4" t="s">
        <v>763</v>
      </c>
      <c r="W1666" s="4" t="s">
        <v>762</v>
      </c>
      <c r="X1666" s="6" t="s">
        <v>617</v>
      </c>
    </row>
    <row r="1667" spans="1:24">
      <c r="A1667" s="4" t="s">
        <v>1051</v>
      </c>
      <c r="B1667" s="4" t="s">
        <v>1052</v>
      </c>
      <c r="D1667" s="4" t="s">
        <v>716</v>
      </c>
      <c r="E1667" s="4" t="s">
        <v>717</v>
      </c>
      <c r="M1667" s="4" t="s">
        <v>762</v>
      </c>
      <c r="N1667" s="4">
        <v>-71.646167800000001</v>
      </c>
      <c r="O1667" s="4">
        <v>3.7802155625</v>
      </c>
      <c r="P1667" s="4" t="s">
        <v>734</v>
      </c>
      <c r="Q1667" s="4" t="s">
        <v>735</v>
      </c>
      <c r="R1667" s="4" t="s">
        <v>730</v>
      </c>
      <c r="S1667" s="2">
        <v>46174.699707754633</v>
      </c>
      <c r="T1667" s="5">
        <v>8.6018518518518516E-5</v>
      </c>
      <c r="U1667" s="4">
        <v>6.4640037715435028E-2</v>
      </c>
      <c r="V1667" s="4" t="s">
        <v>781</v>
      </c>
      <c r="W1667" s="4" t="s">
        <v>762</v>
      </c>
      <c r="X1667" s="6" t="s">
        <v>617</v>
      </c>
    </row>
    <row r="1668" spans="1:24">
      <c r="A1668" s="4" t="s">
        <v>1051</v>
      </c>
      <c r="B1668" s="4" t="s">
        <v>1052</v>
      </c>
      <c r="D1668" s="4" t="s">
        <v>716</v>
      </c>
      <c r="E1668" s="4" t="s">
        <v>717</v>
      </c>
      <c r="M1668" s="4" t="s">
        <v>762</v>
      </c>
      <c r="N1668" s="4">
        <v>-71.643175799999995</v>
      </c>
      <c r="O1668" s="4">
        <v>3.7840582500000002</v>
      </c>
      <c r="P1668" s="4" t="s">
        <v>734</v>
      </c>
      <c r="Q1668" s="4" t="s">
        <v>735</v>
      </c>
      <c r="R1668" s="4" t="s">
        <v>730</v>
      </c>
      <c r="S1668" s="2">
        <v>46174.700810185182</v>
      </c>
      <c r="T1668" s="5">
        <v>4.6296296296296294E-5</v>
      </c>
      <c r="U1668" s="4">
        <v>3.209298849105835E-2</v>
      </c>
      <c r="V1668" s="4" t="s">
        <v>763</v>
      </c>
      <c r="W1668" s="4" t="s">
        <v>762</v>
      </c>
      <c r="X1668" s="6" t="s">
        <v>617</v>
      </c>
    </row>
    <row r="1669" spans="1:24">
      <c r="A1669" s="4" t="s">
        <v>1051</v>
      </c>
      <c r="B1669" s="4" t="s">
        <v>1052</v>
      </c>
      <c r="D1669" s="4" t="s">
        <v>716</v>
      </c>
      <c r="E1669" s="4" t="s">
        <v>717</v>
      </c>
      <c r="M1669" s="4" t="s">
        <v>762</v>
      </c>
      <c r="N1669" s="4">
        <v>-71.639729870085716</v>
      </c>
      <c r="O1669" s="4">
        <v>3.784535253654286</v>
      </c>
      <c r="P1669" s="4" t="s">
        <v>734</v>
      </c>
      <c r="Q1669" s="4" t="s">
        <v>735</v>
      </c>
      <c r="R1669" s="4" t="s">
        <v>730</v>
      </c>
      <c r="S1669" s="2">
        <v>46174.701426180553</v>
      </c>
      <c r="T1669" s="5">
        <v>1.5368055555555556E-4</v>
      </c>
      <c r="U1669" s="4">
        <v>0.11268774420022964</v>
      </c>
      <c r="V1669" s="4" t="s">
        <v>763</v>
      </c>
      <c r="W1669" s="4" t="s">
        <v>762</v>
      </c>
      <c r="X1669" s="6" t="s">
        <v>617</v>
      </c>
    </row>
    <row r="1670" spans="1:24">
      <c r="A1670" s="4" t="s">
        <v>1051</v>
      </c>
      <c r="B1670" s="4" t="s">
        <v>1052</v>
      </c>
      <c r="D1670" s="4" t="s">
        <v>716</v>
      </c>
      <c r="E1670" s="4" t="s">
        <v>717</v>
      </c>
      <c r="M1670" s="4" t="s">
        <v>762</v>
      </c>
      <c r="N1670" s="4">
        <v>-71.638164500000002</v>
      </c>
      <c r="O1670" s="4">
        <v>3.7843016350000003</v>
      </c>
      <c r="P1670" s="4" t="s">
        <v>734</v>
      </c>
      <c r="Q1670" s="4" t="s">
        <v>735</v>
      </c>
      <c r="R1670" s="4" t="s">
        <v>730</v>
      </c>
      <c r="S1670" s="2">
        <v>46174.701666666668</v>
      </c>
      <c r="T1670" s="5">
        <v>6.0185185185185187E-5</v>
      </c>
      <c r="U1670" s="4">
        <v>4.3793674558401108E-2</v>
      </c>
      <c r="V1670" s="4" t="s">
        <v>763</v>
      </c>
      <c r="W1670" s="4" t="s">
        <v>762</v>
      </c>
      <c r="X1670" s="6" t="s">
        <v>617</v>
      </c>
    </row>
    <row r="1671" spans="1:24">
      <c r="A1671" s="4" t="s">
        <v>1051</v>
      </c>
      <c r="B1671" s="4" t="s">
        <v>1052</v>
      </c>
      <c r="D1671" s="4" t="s">
        <v>716</v>
      </c>
      <c r="E1671" s="4" t="s">
        <v>717</v>
      </c>
      <c r="M1671" s="4" t="s">
        <v>645</v>
      </c>
      <c r="N1671" s="4">
        <v>-71.636698450035709</v>
      </c>
      <c r="O1671" s="4">
        <v>3.7842864624835717</v>
      </c>
      <c r="P1671" s="4" t="s">
        <v>718</v>
      </c>
      <c r="Q1671" s="4" t="s">
        <v>719</v>
      </c>
      <c r="R1671" s="4" t="s">
        <v>720</v>
      </c>
      <c r="S1671" s="2">
        <v>46174.701931446762</v>
      </c>
      <c r="T1671" s="5">
        <v>3.2322916666666665E-4</v>
      </c>
      <c r="U1671" s="4">
        <v>0.18428535759449005</v>
      </c>
      <c r="V1671" s="4" t="s">
        <v>751</v>
      </c>
      <c r="W1671" s="4" t="s">
        <v>645</v>
      </c>
      <c r="X1671" s="6" t="s">
        <v>617</v>
      </c>
    </row>
    <row r="1672" spans="1:24">
      <c r="A1672" s="4" t="s">
        <v>1051</v>
      </c>
      <c r="B1672" s="4" t="s">
        <v>1052</v>
      </c>
      <c r="D1672" s="4" t="s">
        <v>716</v>
      </c>
      <c r="E1672" s="4" t="s">
        <v>717</v>
      </c>
      <c r="M1672" s="4" t="s">
        <v>645</v>
      </c>
      <c r="N1672" s="4">
        <v>-71.626450683320002</v>
      </c>
      <c r="O1672" s="4">
        <v>3.7808656099119999</v>
      </c>
      <c r="P1672" s="4" t="s">
        <v>729</v>
      </c>
      <c r="Q1672" s="4" t="s">
        <v>723</v>
      </c>
      <c r="R1672" s="4" t="s">
        <v>730</v>
      </c>
      <c r="S1672" s="2">
        <v>46174.704273217591</v>
      </c>
      <c r="T1672" s="5">
        <v>3.2337962962962962E-5</v>
      </c>
      <c r="U1672" s="4">
        <v>9.5359589904546738E-3</v>
      </c>
      <c r="V1672" s="4" t="s">
        <v>731</v>
      </c>
      <c r="W1672" s="4" t="s">
        <v>645</v>
      </c>
      <c r="X1672" s="6" t="s">
        <v>617</v>
      </c>
    </row>
    <row r="1673" spans="1:24">
      <c r="A1673" s="4" t="s">
        <v>1051</v>
      </c>
      <c r="B1673" s="4" t="s">
        <v>1052</v>
      </c>
      <c r="D1673" s="4" t="s">
        <v>716</v>
      </c>
      <c r="E1673" s="4" t="s">
        <v>717</v>
      </c>
      <c r="M1673" s="4" t="s">
        <v>614</v>
      </c>
      <c r="N1673" s="4">
        <v>-71.626419100000007</v>
      </c>
      <c r="O1673" s="4">
        <v>3.7804048099999998</v>
      </c>
      <c r="P1673" s="4" t="s">
        <v>722</v>
      </c>
      <c r="Q1673" s="4" t="s">
        <v>723</v>
      </c>
      <c r="R1673" s="4" t="s">
        <v>720</v>
      </c>
      <c r="S1673" s="2">
        <v>46174.727731481478</v>
      </c>
      <c r="T1673" s="5">
        <v>5.7407407407407407E-3</v>
      </c>
      <c r="U1673" s="4">
        <v>0</v>
      </c>
      <c r="V1673" s="4" t="s">
        <v>616</v>
      </c>
      <c r="W1673" s="4" t="s">
        <v>614</v>
      </c>
      <c r="X1673" s="6" t="s">
        <v>617</v>
      </c>
    </row>
    <row r="1674" spans="1:24">
      <c r="A1674" s="4" t="s">
        <v>1051</v>
      </c>
      <c r="B1674" s="4" t="s">
        <v>1052</v>
      </c>
      <c r="D1674" s="4" t="s">
        <v>716</v>
      </c>
      <c r="E1674" s="4" t="s">
        <v>717</v>
      </c>
      <c r="M1674" s="4" t="s">
        <v>645</v>
      </c>
      <c r="N1674" s="4">
        <v>-71.626397043600008</v>
      </c>
      <c r="O1674" s="4">
        <v>3.7807526686599999</v>
      </c>
      <c r="P1674" s="4" t="s">
        <v>722</v>
      </c>
      <c r="Q1674" s="4" t="s">
        <v>723</v>
      </c>
      <c r="R1674" s="4" t="s">
        <v>720</v>
      </c>
      <c r="S1674" s="2">
        <v>46174.734255405092</v>
      </c>
      <c r="T1674" s="5">
        <v>4.2430555555555558E-5</v>
      </c>
      <c r="U1674" s="4">
        <v>1.0878822766244411E-2</v>
      </c>
      <c r="V1674" s="4" t="s">
        <v>724</v>
      </c>
      <c r="W1674" s="4" t="s">
        <v>645</v>
      </c>
      <c r="X1674" s="6" t="s">
        <v>617</v>
      </c>
    </row>
    <row r="1675" spans="1:24">
      <c r="A1675" s="4" t="s">
        <v>1051</v>
      </c>
      <c r="B1675" s="4" t="s">
        <v>1052</v>
      </c>
      <c r="D1675" s="4" t="s">
        <v>716</v>
      </c>
      <c r="E1675" s="4" t="s">
        <v>717</v>
      </c>
      <c r="M1675" s="4" t="s">
        <v>762</v>
      </c>
      <c r="N1675" s="4">
        <v>-71.628330250000005</v>
      </c>
      <c r="O1675" s="4">
        <v>3.7812449949999998</v>
      </c>
      <c r="P1675" s="4" t="s">
        <v>734</v>
      </c>
      <c r="Q1675" s="4" t="s">
        <v>735</v>
      </c>
      <c r="R1675" s="4" t="s">
        <v>730</v>
      </c>
      <c r="S1675" s="2">
        <v>46174.735063657507</v>
      </c>
      <c r="T1675" s="5">
        <v>2.3726861851851853E-4</v>
      </c>
      <c r="U1675" s="4">
        <v>0.17804498970508575</v>
      </c>
      <c r="V1675" s="4" t="s">
        <v>763</v>
      </c>
      <c r="W1675" s="4" t="s">
        <v>762</v>
      </c>
      <c r="X1675" s="6" t="s">
        <v>617</v>
      </c>
    </row>
    <row r="1676" spans="1:24">
      <c r="A1676" s="4" t="s">
        <v>1051</v>
      </c>
      <c r="B1676" s="4" t="s">
        <v>1052</v>
      </c>
      <c r="D1676" s="4" t="s">
        <v>716</v>
      </c>
      <c r="E1676" s="4" t="s">
        <v>717</v>
      </c>
      <c r="M1676" s="4" t="s">
        <v>762</v>
      </c>
      <c r="N1676" s="4">
        <v>-71.629798899999997</v>
      </c>
      <c r="O1676" s="4">
        <v>3.7828949700000001</v>
      </c>
      <c r="P1676" s="4" t="s">
        <v>734</v>
      </c>
      <c r="Q1676" s="4" t="s">
        <v>735</v>
      </c>
      <c r="R1676" s="4" t="s">
        <v>730</v>
      </c>
      <c r="S1676" s="2">
        <v>46174.735393518517</v>
      </c>
      <c r="T1676" s="5">
        <v>3.9861111111111113E-5</v>
      </c>
      <c r="U1676" s="4">
        <v>2.8556037694215775E-2</v>
      </c>
      <c r="V1676" s="4" t="s">
        <v>763</v>
      </c>
      <c r="W1676" s="4" t="s">
        <v>762</v>
      </c>
      <c r="X1676" s="6" t="s">
        <v>617</v>
      </c>
    </row>
    <row r="1677" spans="1:24">
      <c r="A1677" s="4" t="s">
        <v>1051</v>
      </c>
      <c r="B1677" s="4" t="s">
        <v>1052</v>
      </c>
      <c r="D1677" s="4" t="s">
        <v>716</v>
      </c>
      <c r="E1677" s="4" t="s">
        <v>717</v>
      </c>
      <c r="M1677" s="4" t="s">
        <v>762</v>
      </c>
      <c r="N1677" s="4">
        <v>-71.630667420439991</v>
      </c>
      <c r="O1677" s="4">
        <v>3.7833910848880001</v>
      </c>
      <c r="P1677" s="4" t="s">
        <v>734</v>
      </c>
      <c r="Q1677" s="4" t="s">
        <v>735</v>
      </c>
      <c r="R1677" s="4" t="s">
        <v>730</v>
      </c>
      <c r="S1677" s="2">
        <v>46174.735588495372</v>
      </c>
      <c r="T1677" s="5">
        <v>1.3488425925925926E-4</v>
      </c>
      <c r="U1677" s="4">
        <v>0.10074289888143539</v>
      </c>
      <c r="V1677" s="4" t="s">
        <v>781</v>
      </c>
      <c r="W1677" s="4" t="s">
        <v>762</v>
      </c>
      <c r="X1677" s="6" t="s">
        <v>617</v>
      </c>
    </row>
    <row r="1678" spans="1:24">
      <c r="A1678" s="4" t="s">
        <v>1051</v>
      </c>
      <c r="B1678" s="4" t="s">
        <v>1052</v>
      </c>
      <c r="D1678" s="4" t="s">
        <v>716</v>
      </c>
      <c r="E1678" s="4" t="s">
        <v>717</v>
      </c>
      <c r="M1678" s="4" t="s">
        <v>762</v>
      </c>
      <c r="N1678" s="4">
        <v>-71.632501179999991</v>
      </c>
      <c r="O1678" s="4">
        <v>3.7838015060000001</v>
      </c>
      <c r="P1678" s="4" t="s">
        <v>734</v>
      </c>
      <c r="Q1678" s="4" t="s">
        <v>735</v>
      </c>
      <c r="R1678" s="4" t="s">
        <v>730</v>
      </c>
      <c r="S1678" s="2">
        <v>46174.735912037038</v>
      </c>
      <c r="T1678" s="5">
        <v>1.7199074074074073E-5</v>
      </c>
      <c r="U1678" s="4">
        <v>1.2266203761100769E-2</v>
      </c>
      <c r="V1678" s="4" t="s">
        <v>763</v>
      </c>
      <c r="W1678" s="4" t="s">
        <v>762</v>
      </c>
      <c r="X1678" s="6" t="s">
        <v>617</v>
      </c>
    </row>
    <row r="1679" spans="1:24">
      <c r="A1679" s="4" t="s">
        <v>1051</v>
      </c>
      <c r="B1679" s="4" t="s">
        <v>1052</v>
      </c>
      <c r="D1679" s="4" t="s">
        <v>716</v>
      </c>
      <c r="E1679" s="4" t="s">
        <v>717</v>
      </c>
      <c r="M1679" s="4" t="s">
        <v>762</v>
      </c>
      <c r="N1679" s="4">
        <v>-71.633110951900008</v>
      </c>
      <c r="O1679" s="4">
        <v>3.7839011380999996</v>
      </c>
      <c r="P1679" s="4" t="s">
        <v>734</v>
      </c>
      <c r="Q1679" s="4" t="s">
        <v>735</v>
      </c>
      <c r="R1679" s="4" t="s">
        <v>730</v>
      </c>
      <c r="S1679" s="2">
        <v>46174.736024953701</v>
      </c>
      <c r="T1679" s="5">
        <v>2.2500000000000001E-5</v>
      </c>
      <c r="U1679" s="4">
        <v>1.6094984486699104E-2</v>
      </c>
      <c r="V1679" s="4" t="s">
        <v>763</v>
      </c>
      <c r="W1679" s="4" t="s">
        <v>762</v>
      </c>
      <c r="X1679" s="6" t="s">
        <v>617</v>
      </c>
    </row>
    <row r="1680" spans="1:24">
      <c r="A1680" s="4" t="s">
        <v>1051</v>
      </c>
      <c r="B1680" s="4" t="s">
        <v>1052</v>
      </c>
      <c r="D1680" s="4" t="s">
        <v>716</v>
      </c>
      <c r="E1680" s="4" t="s">
        <v>717</v>
      </c>
      <c r="M1680" s="4" t="s">
        <v>645</v>
      </c>
      <c r="N1680" s="4">
        <v>-71.635059716499995</v>
      </c>
      <c r="O1680" s="4">
        <v>3.7842735246000001</v>
      </c>
      <c r="P1680" s="4" t="s">
        <v>718</v>
      </c>
      <c r="Q1680" s="4" t="s">
        <v>719</v>
      </c>
      <c r="R1680" s="4" t="s">
        <v>720</v>
      </c>
      <c r="S1680" s="2">
        <v>46174.736357233793</v>
      </c>
      <c r="T1680" s="5">
        <v>2.9793981481481479E-4</v>
      </c>
      <c r="U1680" s="4">
        <v>0.18333369493484497</v>
      </c>
      <c r="V1680" s="4" t="s">
        <v>783</v>
      </c>
      <c r="W1680" s="4" t="s">
        <v>645</v>
      </c>
      <c r="X1680" s="6" t="s">
        <v>617</v>
      </c>
    </row>
    <row r="1681" spans="1:24">
      <c r="A1681" s="4" t="s">
        <v>1051</v>
      </c>
      <c r="B1681" s="4" t="s">
        <v>1052</v>
      </c>
      <c r="D1681" s="4" t="s">
        <v>716</v>
      </c>
      <c r="E1681" s="4" t="s">
        <v>717</v>
      </c>
      <c r="M1681" s="4" t="s">
        <v>762</v>
      </c>
      <c r="N1681" s="4">
        <v>-71.637658501200008</v>
      </c>
      <c r="O1681" s="4">
        <v>3.7843638340479999</v>
      </c>
      <c r="P1681" s="4" t="s">
        <v>734</v>
      </c>
      <c r="Q1681" s="4" t="s">
        <v>735</v>
      </c>
      <c r="R1681" s="4" t="s">
        <v>730</v>
      </c>
      <c r="S1681" s="2">
        <v>46174.736836064818</v>
      </c>
      <c r="T1681" s="5">
        <v>3.2167824074074076E-4</v>
      </c>
      <c r="U1681" s="4">
        <v>0.25000786781311035</v>
      </c>
      <c r="V1681" s="4" t="s">
        <v>781</v>
      </c>
      <c r="W1681" s="4" t="s">
        <v>762</v>
      </c>
      <c r="X1681" s="6" t="s">
        <v>617</v>
      </c>
    </row>
    <row r="1682" spans="1:24">
      <c r="A1682" s="4" t="s">
        <v>1051</v>
      </c>
      <c r="B1682" s="4" t="s">
        <v>1052</v>
      </c>
      <c r="D1682" s="4" t="s">
        <v>716</v>
      </c>
      <c r="E1682" s="4" t="s">
        <v>717</v>
      </c>
      <c r="M1682" s="4" t="s">
        <v>762</v>
      </c>
      <c r="N1682" s="4">
        <v>-71.640599910162493</v>
      </c>
      <c r="O1682" s="4">
        <v>3.78463785656625</v>
      </c>
      <c r="P1682" s="4" t="s">
        <v>734</v>
      </c>
      <c r="Q1682" s="4" t="s">
        <v>735</v>
      </c>
      <c r="R1682" s="4" t="s">
        <v>730</v>
      </c>
      <c r="S1682" s="2">
        <v>46174.737275127314</v>
      </c>
      <c r="T1682" s="5">
        <v>1.0913194444444444E-4</v>
      </c>
      <c r="U1682" s="4">
        <v>8.0856412649154663E-2</v>
      </c>
      <c r="V1682" s="4" t="s">
        <v>781</v>
      </c>
      <c r="W1682" s="4" t="s">
        <v>762</v>
      </c>
      <c r="X1682" s="6" t="s">
        <v>617</v>
      </c>
    </row>
    <row r="1683" spans="1:24">
      <c r="A1683" s="4" t="s">
        <v>1051</v>
      </c>
      <c r="B1683" s="4" t="s">
        <v>1052</v>
      </c>
      <c r="D1683" s="4" t="s">
        <v>716</v>
      </c>
      <c r="E1683" s="4" t="s">
        <v>717</v>
      </c>
      <c r="M1683" s="4" t="s">
        <v>762</v>
      </c>
      <c r="N1683" s="4">
        <v>-71.649759528571423</v>
      </c>
      <c r="O1683" s="4">
        <v>3.7761854099999996</v>
      </c>
      <c r="P1683" s="4" t="s">
        <v>786</v>
      </c>
      <c r="Q1683" s="4" t="s">
        <v>735</v>
      </c>
      <c r="R1683" s="4" t="s">
        <v>730</v>
      </c>
      <c r="S1683" s="2">
        <v>46174.739942129629</v>
      </c>
      <c r="T1683" s="5">
        <v>2.8113425925925927E-5</v>
      </c>
      <c r="U1683" s="4">
        <v>1.9411081448197365E-2</v>
      </c>
      <c r="V1683" s="4" t="s">
        <v>763</v>
      </c>
      <c r="W1683" s="4" t="s">
        <v>762</v>
      </c>
      <c r="X1683" s="6" t="s">
        <v>617</v>
      </c>
    </row>
    <row r="1684" spans="1:24">
      <c r="A1684" s="4" t="s">
        <v>1051</v>
      </c>
      <c r="B1684" s="4" t="s">
        <v>1052</v>
      </c>
      <c r="D1684" s="4" t="s">
        <v>716</v>
      </c>
      <c r="E1684" s="4" t="s">
        <v>717</v>
      </c>
      <c r="M1684" s="4" t="s">
        <v>762</v>
      </c>
      <c r="N1684" s="4">
        <v>-71.64795480091</v>
      </c>
      <c r="O1684" s="4">
        <v>3.7783680560659998</v>
      </c>
      <c r="P1684" s="4" t="s">
        <v>734</v>
      </c>
      <c r="Q1684" s="4" t="s">
        <v>735</v>
      </c>
      <c r="R1684" s="4" t="s">
        <v>730</v>
      </c>
      <c r="S1684" s="2">
        <v>46174.746763113428</v>
      </c>
      <c r="T1684" s="5">
        <v>1.6979166666666668E-5</v>
      </c>
      <c r="U1684" s="4">
        <v>1.1157657019793987E-2</v>
      </c>
      <c r="V1684" s="4" t="s">
        <v>763</v>
      </c>
      <c r="W1684" s="4" t="s">
        <v>762</v>
      </c>
      <c r="X1684" s="6" t="s">
        <v>617</v>
      </c>
    </row>
    <row r="1685" spans="1:24">
      <c r="A1685" s="4" t="s">
        <v>1051</v>
      </c>
      <c r="B1685" s="4" t="s">
        <v>1052</v>
      </c>
      <c r="D1685" s="4" t="s">
        <v>716</v>
      </c>
      <c r="E1685" s="4" t="s">
        <v>717</v>
      </c>
      <c r="M1685" s="4" t="s">
        <v>762</v>
      </c>
      <c r="N1685" s="4">
        <v>-71.647243500000002</v>
      </c>
      <c r="O1685" s="4">
        <v>3.77916038</v>
      </c>
      <c r="P1685" s="4" t="s">
        <v>734</v>
      </c>
      <c r="Q1685" s="4" t="s">
        <v>735</v>
      </c>
      <c r="R1685" s="4" t="s">
        <v>730</v>
      </c>
      <c r="S1685" s="2">
        <v>46174.746932870374</v>
      </c>
      <c r="T1685" s="5">
        <v>1.2070601851851851E-4</v>
      </c>
      <c r="U1685" s="4">
        <v>9.1228753328323364E-2</v>
      </c>
      <c r="V1685" s="4" t="s">
        <v>763</v>
      </c>
      <c r="W1685" s="4" t="s">
        <v>762</v>
      </c>
      <c r="X1685" s="6" t="s">
        <v>617</v>
      </c>
    </row>
    <row r="1686" spans="1:24">
      <c r="A1686" s="4" t="s">
        <v>1051</v>
      </c>
      <c r="B1686" s="4" t="s">
        <v>1052</v>
      </c>
      <c r="D1686" s="4" t="s">
        <v>716</v>
      </c>
      <c r="E1686" s="4" t="s">
        <v>717</v>
      </c>
      <c r="M1686" s="4" t="s">
        <v>762</v>
      </c>
      <c r="N1686" s="4">
        <v>-71.646211904050006</v>
      </c>
      <c r="O1686" s="4">
        <v>3.78016238935</v>
      </c>
      <c r="P1686" s="4" t="s">
        <v>734</v>
      </c>
      <c r="Q1686" s="4" t="s">
        <v>735</v>
      </c>
      <c r="R1686" s="4" t="s">
        <v>730</v>
      </c>
      <c r="S1686" s="2">
        <v>46174.747157743055</v>
      </c>
      <c r="T1686" s="5">
        <v>5.675925925925926E-5</v>
      </c>
      <c r="U1686" s="4">
        <v>4.074394702911377E-2</v>
      </c>
      <c r="V1686" s="4" t="s">
        <v>781</v>
      </c>
      <c r="W1686" s="4" t="s">
        <v>762</v>
      </c>
      <c r="X1686" s="6" t="s">
        <v>617</v>
      </c>
    </row>
    <row r="1687" spans="1:24">
      <c r="A1687" s="4" t="s">
        <v>1051</v>
      </c>
      <c r="B1687" s="4" t="s">
        <v>1052</v>
      </c>
      <c r="D1687" s="4" t="s">
        <v>716</v>
      </c>
      <c r="E1687" s="4" t="s">
        <v>717</v>
      </c>
      <c r="M1687" s="4" t="s">
        <v>762</v>
      </c>
      <c r="N1687" s="4">
        <v>-71.644627900000003</v>
      </c>
      <c r="O1687" s="4">
        <v>3.7816021466666667</v>
      </c>
      <c r="P1687" s="4" t="s">
        <v>734</v>
      </c>
      <c r="Q1687" s="4" t="s">
        <v>735</v>
      </c>
      <c r="R1687" s="4" t="s">
        <v>730</v>
      </c>
      <c r="S1687" s="2">
        <v>46174.747662037036</v>
      </c>
      <c r="T1687" s="5">
        <v>8.6805655555555552E-5</v>
      </c>
      <c r="U1687" s="4">
        <v>6.3078954815864563E-2</v>
      </c>
      <c r="V1687" s="4" t="s">
        <v>763</v>
      </c>
      <c r="W1687" s="4" t="s">
        <v>762</v>
      </c>
      <c r="X1687" s="6" t="s">
        <v>617</v>
      </c>
    </row>
    <row r="1688" spans="1:24">
      <c r="A1688" s="4" t="s">
        <v>1051</v>
      </c>
      <c r="B1688" s="4" t="s">
        <v>1052</v>
      </c>
      <c r="D1688" s="4" t="s">
        <v>716</v>
      </c>
      <c r="E1688" s="4" t="s">
        <v>717</v>
      </c>
      <c r="M1688" s="4" t="s">
        <v>762</v>
      </c>
      <c r="N1688" s="4">
        <v>-71.641099142857144</v>
      </c>
      <c r="O1688" s="4">
        <v>3.7846559471428569</v>
      </c>
      <c r="P1688" s="4" t="s">
        <v>734</v>
      </c>
      <c r="Q1688" s="4" t="s">
        <v>735</v>
      </c>
      <c r="R1688" s="4" t="s">
        <v>730</v>
      </c>
      <c r="S1688" s="2">
        <v>46174.748888888891</v>
      </c>
      <c r="T1688" s="5">
        <v>5.2083433333333337E-5</v>
      </c>
      <c r="U1688" s="4">
        <v>3.8278643041849136E-2</v>
      </c>
      <c r="V1688" s="4" t="s">
        <v>763</v>
      </c>
      <c r="W1688" s="4" t="s">
        <v>762</v>
      </c>
      <c r="X1688" s="6" t="s">
        <v>617</v>
      </c>
    </row>
    <row r="1689" spans="1:24">
      <c r="A1689" s="4" t="s">
        <v>1051</v>
      </c>
      <c r="B1689" s="4" t="s">
        <v>1052</v>
      </c>
      <c r="D1689" s="4" t="s">
        <v>716</v>
      </c>
      <c r="E1689" s="4" t="s">
        <v>717</v>
      </c>
      <c r="M1689" s="4" t="s">
        <v>762</v>
      </c>
      <c r="N1689" s="4">
        <v>-71.639900180600009</v>
      </c>
      <c r="O1689" s="4">
        <v>3.7845569965300001</v>
      </c>
      <c r="P1689" s="4" t="s">
        <v>734</v>
      </c>
      <c r="Q1689" s="4" t="s">
        <v>735</v>
      </c>
      <c r="R1689" s="4" t="s">
        <v>730</v>
      </c>
      <c r="S1689" s="2">
        <v>46174.74908050926</v>
      </c>
      <c r="T1689" s="5">
        <v>1.8743055555555557E-4</v>
      </c>
      <c r="U1689" s="4">
        <v>0.14481370151042938</v>
      </c>
      <c r="V1689" s="4" t="s">
        <v>781</v>
      </c>
      <c r="W1689" s="4" t="s">
        <v>762</v>
      </c>
      <c r="X1689" s="6" t="s">
        <v>617</v>
      </c>
    </row>
    <row r="1690" spans="1:24">
      <c r="A1690" s="4" t="s">
        <v>1051</v>
      </c>
      <c r="B1690" s="4" t="s">
        <v>1052</v>
      </c>
      <c r="D1690" s="4" t="s">
        <v>716</v>
      </c>
      <c r="E1690" s="4" t="s">
        <v>717</v>
      </c>
      <c r="M1690" s="4" t="s">
        <v>645</v>
      </c>
      <c r="N1690" s="4">
        <v>-71.636698499879998</v>
      </c>
      <c r="O1690" s="4">
        <v>3.784293513078</v>
      </c>
      <c r="P1690" s="4" t="s">
        <v>718</v>
      </c>
      <c r="Q1690" s="4" t="s">
        <v>719</v>
      </c>
      <c r="R1690" s="4" t="s">
        <v>720</v>
      </c>
      <c r="S1690" s="2">
        <v>46174.74963943287</v>
      </c>
      <c r="T1690" s="5">
        <v>3.8481481481481483E-4</v>
      </c>
      <c r="U1690" s="4">
        <v>0.18491466343402863</v>
      </c>
      <c r="V1690" s="4" t="s">
        <v>750</v>
      </c>
      <c r="W1690" s="4" t="s">
        <v>645</v>
      </c>
      <c r="X1690" s="6" t="s">
        <v>617</v>
      </c>
    </row>
    <row r="1691" spans="1:24">
      <c r="A1691" s="4" t="s">
        <v>1051</v>
      </c>
      <c r="B1691" s="4" t="s">
        <v>1052</v>
      </c>
      <c r="D1691" s="4" t="s">
        <v>716</v>
      </c>
      <c r="E1691" s="4" t="s">
        <v>717</v>
      </c>
      <c r="M1691" s="4" t="s">
        <v>762</v>
      </c>
      <c r="N1691" s="4">
        <v>-71.629313115530778</v>
      </c>
      <c r="O1691" s="4">
        <v>3.782392482356923</v>
      </c>
      <c r="P1691" s="4" t="s">
        <v>734</v>
      </c>
      <c r="Q1691" s="4" t="s">
        <v>735</v>
      </c>
      <c r="R1691" s="4" t="s">
        <v>730</v>
      </c>
      <c r="S1691" s="2">
        <v>46174.751431331017</v>
      </c>
      <c r="T1691" s="5">
        <v>2.121875E-4</v>
      </c>
      <c r="U1691" s="4">
        <v>0.1547386646270752</v>
      </c>
      <c r="V1691" s="4" t="s">
        <v>763</v>
      </c>
      <c r="W1691" s="4" t="s">
        <v>762</v>
      </c>
      <c r="X1691" s="6" t="s">
        <v>617</v>
      </c>
    </row>
    <row r="1692" spans="1:24">
      <c r="A1692" s="4" t="s">
        <v>1051</v>
      </c>
      <c r="B1692" s="4" t="s">
        <v>1052</v>
      </c>
      <c r="D1692" s="4" t="s">
        <v>716</v>
      </c>
      <c r="E1692" s="4" t="s">
        <v>717</v>
      </c>
      <c r="M1692" s="4" t="s">
        <v>645</v>
      </c>
      <c r="N1692" s="4">
        <v>-71.626441320040001</v>
      </c>
      <c r="O1692" s="4">
        <v>3.7808812220600001</v>
      </c>
      <c r="P1692" s="4" t="s">
        <v>739</v>
      </c>
      <c r="Q1692" s="4" t="s">
        <v>740</v>
      </c>
      <c r="R1692" s="4" t="s">
        <v>730</v>
      </c>
      <c r="S1692" s="2">
        <v>46174.752130659719</v>
      </c>
      <c r="T1692" s="5">
        <v>2.0011574074074074E-5</v>
      </c>
      <c r="U1692" s="4">
        <v>4.7395052388310432E-3</v>
      </c>
      <c r="V1692" s="4" t="s">
        <v>666</v>
      </c>
      <c r="W1692" s="4" t="s">
        <v>645</v>
      </c>
      <c r="X1692" s="6" t="s">
        <v>617</v>
      </c>
    </row>
    <row r="1693" spans="1:24">
      <c r="A1693" s="4" t="s">
        <v>1051</v>
      </c>
      <c r="B1693" s="4" t="s">
        <v>1052</v>
      </c>
      <c r="D1693" s="4" t="s">
        <v>716</v>
      </c>
      <c r="E1693" s="4" t="s">
        <v>717</v>
      </c>
      <c r="M1693" s="4" t="s">
        <v>645</v>
      </c>
      <c r="N1693" s="4">
        <v>-71.626319899999999</v>
      </c>
      <c r="O1693" s="4">
        <v>3.78057241</v>
      </c>
      <c r="P1693" s="4" t="s">
        <v>722</v>
      </c>
      <c r="Q1693" s="4" t="s">
        <v>723</v>
      </c>
      <c r="R1693" s="4" t="s">
        <v>720</v>
      </c>
      <c r="S1693" s="2">
        <v>46174.753032407411</v>
      </c>
      <c r="T1693" s="5">
        <v>1.273148148148148E-4</v>
      </c>
      <c r="U1693" s="4">
        <v>3.4455589950084686E-2</v>
      </c>
      <c r="V1693" s="4" t="s">
        <v>724</v>
      </c>
      <c r="W1693" s="4" t="s">
        <v>645</v>
      </c>
      <c r="X1693" s="6" t="s">
        <v>617</v>
      </c>
    </row>
    <row r="1694" spans="1:24">
      <c r="A1694" s="4" t="s">
        <v>1051</v>
      </c>
      <c r="B1694" s="4" t="s">
        <v>1052</v>
      </c>
      <c r="D1694" s="4" t="s">
        <v>716</v>
      </c>
      <c r="E1694" s="4" t="s">
        <v>717</v>
      </c>
      <c r="M1694" s="4" t="s">
        <v>645</v>
      </c>
      <c r="N1694" s="4">
        <v>-71.626430499999998</v>
      </c>
      <c r="O1694" s="4">
        <v>3.7808905849999999</v>
      </c>
      <c r="P1694" s="4" t="s">
        <v>739</v>
      </c>
      <c r="Q1694" s="4" t="s">
        <v>740</v>
      </c>
      <c r="R1694" s="4" t="s">
        <v>730</v>
      </c>
      <c r="S1694" s="2">
        <v>46174.781984953806</v>
      </c>
      <c r="T1694" s="5">
        <v>2.3726851851851852E-6</v>
      </c>
      <c r="U1694" s="4">
        <v>5.5725680431351066E-4</v>
      </c>
      <c r="V1694" s="4" t="s">
        <v>724</v>
      </c>
      <c r="W1694" s="4" t="s">
        <v>645</v>
      </c>
      <c r="X1694" s="6" t="s">
        <v>617</v>
      </c>
    </row>
    <row r="1695" spans="1:24">
      <c r="A1695" s="4" t="s">
        <v>1051</v>
      </c>
      <c r="B1695" s="4" t="s">
        <v>1052</v>
      </c>
      <c r="D1695" s="4" t="s">
        <v>716</v>
      </c>
      <c r="E1695" s="4" t="s">
        <v>717</v>
      </c>
      <c r="M1695" s="4" t="s">
        <v>645</v>
      </c>
      <c r="N1695" s="4">
        <v>-71.627885373971424</v>
      </c>
      <c r="O1695" s="4">
        <v>3.78079995018</v>
      </c>
      <c r="P1695" s="4" t="s">
        <v>834</v>
      </c>
      <c r="Q1695" s="4" t="s">
        <v>746</v>
      </c>
      <c r="R1695" s="4" t="s">
        <v>720</v>
      </c>
      <c r="S1695" s="2">
        <v>46174.782529560187</v>
      </c>
      <c r="T1695" s="5">
        <v>8.1207175925925924E-4</v>
      </c>
      <c r="U1695" s="4">
        <v>0.53460711240768433</v>
      </c>
      <c r="V1695" s="4" t="s">
        <v>783</v>
      </c>
      <c r="W1695" s="4" t="s">
        <v>645</v>
      </c>
      <c r="X1695" s="6" t="s">
        <v>617</v>
      </c>
    </row>
    <row r="1696" spans="1:24">
      <c r="A1696" s="4" t="s">
        <v>1051</v>
      </c>
      <c r="B1696" s="4" t="s">
        <v>1052</v>
      </c>
      <c r="D1696" s="4" t="s">
        <v>716</v>
      </c>
      <c r="E1696" s="4" t="s">
        <v>717</v>
      </c>
      <c r="M1696" s="4" t="s">
        <v>645</v>
      </c>
      <c r="N1696" s="4">
        <v>-71.629897657233329</v>
      </c>
      <c r="O1696" s="4">
        <v>3.7771398542766668</v>
      </c>
      <c r="P1696" s="4" t="s">
        <v>797</v>
      </c>
      <c r="Q1696" s="4" t="s">
        <v>746</v>
      </c>
      <c r="R1696" s="4" t="s">
        <v>720</v>
      </c>
      <c r="S1696" s="2">
        <v>46174.786912002317</v>
      </c>
      <c r="T1696" s="5">
        <v>8.0599537037037033E-4</v>
      </c>
      <c r="U1696" s="4">
        <v>0.535908043384552</v>
      </c>
      <c r="V1696" s="4" t="s">
        <v>784</v>
      </c>
      <c r="W1696" s="4" t="s">
        <v>645</v>
      </c>
      <c r="X1696" s="6" t="s">
        <v>617</v>
      </c>
    </row>
    <row r="1697" spans="1:24">
      <c r="A1697" s="4" t="s">
        <v>1051</v>
      </c>
      <c r="B1697" s="4" t="s">
        <v>1052</v>
      </c>
      <c r="D1697" s="4" t="s">
        <v>716</v>
      </c>
      <c r="E1697" s="4" t="s">
        <v>717</v>
      </c>
      <c r="M1697" s="4" t="s">
        <v>645</v>
      </c>
      <c r="N1697" s="4">
        <v>-71.626401527333329</v>
      </c>
      <c r="O1697" s="4">
        <v>3.7809473868499999</v>
      </c>
      <c r="P1697" s="4" t="s">
        <v>739</v>
      </c>
      <c r="Q1697" s="4" t="s">
        <v>740</v>
      </c>
      <c r="R1697" s="4" t="s">
        <v>730</v>
      </c>
      <c r="S1697" s="2">
        <v>46174.788088761576</v>
      </c>
      <c r="T1697" s="5">
        <v>1.9827546296296295E-4</v>
      </c>
      <c r="U1697" s="4">
        <v>8.0283567309379578E-2</v>
      </c>
      <c r="V1697" s="4" t="s">
        <v>738</v>
      </c>
      <c r="W1697" s="4" t="s">
        <v>645</v>
      </c>
      <c r="X1697" s="6" t="s">
        <v>617</v>
      </c>
    </row>
    <row r="1698" spans="1:24">
      <c r="A1698" s="4" t="s">
        <v>1051</v>
      </c>
      <c r="B1698" s="4" t="s">
        <v>1052</v>
      </c>
      <c r="D1698" s="4" t="s">
        <v>716</v>
      </c>
      <c r="E1698" s="4" t="s">
        <v>717</v>
      </c>
      <c r="M1698" s="4" t="s">
        <v>645</v>
      </c>
      <c r="N1698" s="4">
        <v>-71.625679000000005</v>
      </c>
      <c r="O1698" s="4">
        <v>3.78095603</v>
      </c>
      <c r="P1698" s="4" t="s">
        <v>759</v>
      </c>
      <c r="Q1698" s="4" t="s">
        <v>760</v>
      </c>
      <c r="R1698" s="4" t="s">
        <v>730</v>
      </c>
      <c r="S1698" s="2">
        <v>46174.788287037038</v>
      </c>
      <c r="T1698" s="5">
        <v>1.9684027777777777E-4</v>
      </c>
      <c r="U1698" s="4">
        <v>8.5776068270206451E-2</v>
      </c>
      <c r="V1698" s="4" t="s">
        <v>721</v>
      </c>
      <c r="W1698" s="4" t="s">
        <v>645</v>
      </c>
      <c r="X1698" s="6" t="s">
        <v>617</v>
      </c>
    </row>
    <row r="1699" spans="1:24">
      <c r="A1699" s="4" t="s">
        <v>1051</v>
      </c>
      <c r="B1699" s="4" t="s">
        <v>1052</v>
      </c>
      <c r="D1699" s="4" t="s">
        <v>716</v>
      </c>
      <c r="E1699" s="4" t="s">
        <v>717</v>
      </c>
      <c r="M1699" s="4" t="s">
        <v>757</v>
      </c>
      <c r="N1699" s="4">
        <v>-71.616399133333331</v>
      </c>
      <c r="O1699" s="4">
        <v>3.7833713699999998</v>
      </c>
      <c r="P1699" s="4" t="s">
        <v>742</v>
      </c>
      <c r="Q1699" s="4" t="s">
        <v>743</v>
      </c>
      <c r="R1699" s="4" t="s">
        <v>730</v>
      </c>
      <c r="S1699" s="2">
        <v>46174.790462962963</v>
      </c>
      <c r="T1699" s="5">
        <v>8.3333333333333331E-5</v>
      </c>
      <c r="U1699" s="4">
        <v>7.9501152038574219E-2</v>
      </c>
      <c r="V1699" s="4" t="s">
        <v>774</v>
      </c>
      <c r="W1699" s="4" t="s">
        <v>757</v>
      </c>
      <c r="X1699" s="6" t="s">
        <v>617</v>
      </c>
    </row>
    <row r="1700" spans="1:24">
      <c r="A1700" s="4" t="s">
        <v>1051</v>
      </c>
      <c r="B1700" s="4" t="s">
        <v>1052</v>
      </c>
      <c r="D1700" s="4" t="s">
        <v>716</v>
      </c>
      <c r="E1700" s="4" t="s">
        <v>717</v>
      </c>
      <c r="M1700" s="4" t="s">
        <v>757</v>
      </c>
      <c r="N1700" s="4">
        <v>-71.611899387500003</v>
      </c>
      <c r="O1700" s="4">
        <v>3.7866743237499998</v>
      </c>
      <c r="P1700" s="4" t="s">
        <v>795</v>
      </c>
      <c r="Q1700" s="4" t="s">
        <v>743</v>
      </c>
      <c r="R1700" s="4" t="s">
        <v>730</v>
      </c>
      <c r="S1700" s="2">
        <v>46174.791184895832</v>
      </c>
      <c r="T1700" s="5">
        <v>1.5190972222222222E-4</v>
      </c>
      <c r="U1700" s="4">
        <v>0.14971043169498444</v>
      </c>
      <c r="V1700" s="4" t="s">
        <v>774</v>
      </c>
      <c r="W1700" s="4" t="s">
        <v>757</v>
      </c>
      <c r="X1700" s="6" t="s">
        <v>617</v>
      </c>
    </row>
    <row r="1701" spans="1:24">
      <c r="A1701" s="4" t="s">
        <v>1051</v>
      </c>
      <c r="B1701" s="4" t="s">
        <v>1052</v>
      </c>
      <c r="D1701" s="4" t="s">
        <v>716</v>
      </c>
      <c r="E1701" s="4" t="s">
        <v>717</v>
      </c>
      <c r="M1701" s="4" t="s">
        <v>757</v>
      </c>
      <c r="N1701" s="4">
        <v>-71.610015900000008</v>
      </c>
      <c r="O1701" s="4">
        <v>3.78789759</v>
      </c>
      <c r="P1701" s="4" t="s">
        <v>795</v>
      </c>
      <c r="Q1701" s="4" t="s">
        <v>743</v>
      </c>
      <c r="R1701" s="4" t="s">
        <v>730</v>
      </c>
      <c r="S1701" s="2">
        <v>46174.791446759256</v>
      </c>
      <c r="T1701" s="5">
        <v>9.2592592592592588E-5</v>
      </c>
      <c r="U1701" s="4">
        <v>8.5796244442462921E-2</v>
      </c>
      <c r="V1701" s="4" t="s">
        <v>758</v>
      </c>
      <c r="W1701" s="4" t="s">
        <v>757</v>
      </c>
      <c r="X1701" s="6" t="s">
        <v>617</v>
      </c>
    </row>
    <row r="1702" spans="1:24">
      <c r="A1702" s="4" t="s">
        <v>1051</v>
      </c>
      <c r="B1702" s="4" t="s">
        <v>1052</v>
      </c>
      <c r="D1702" s="4" t="s">
        <v>716</v>
      </c>
      <c r="E1702" s="4" t="s">
        <v>717</v>
      </c>
      <c r="M1702" s="4" t="s">
        <v>757</v>
      </c>
      <c r="N1702" s="4">
        <v>-71.605388649999995</v>
      </c>
      <c r="O1702" s="4">
        <v>3.7935686100000003</v>
      </c>
      <c r="P1702" s="4" t="s">
        <v>1058</v>
      </c>
      <c r="Q1702" s="4" t="s">
        <v>743</v>
      </c>
      <c r="R1702" s="4" t="s">
        <v>730</v>
      </c>
      <c r="S1702" s="2">
        <v>46174.792384259257</v>
      </c>
      <c r="T1702" s="5">
        <v>1.7071759259259259E-4</v>
      </c>
      <c r="U1702" s="4">
        <v>0.16307908296585083</v>
      </c>
      <c r="V1702" s="4" t="s">
        <v>758</v>
      </c>
      <c r="W1702" s="4" t="s">
        <v>757</v>
      </c>
      <c r="X1702" s="6" t="s">
        <v>617</v>
      </c>
    </row>
    <row r="1703" spans="1:24">
      <c r="A1703" s="4" t="s">
        <v>1051</v>
      </c>
      <c r="B1703" s="4" t="s">
        <v>1052</v>
      </c>
      <c r="D1703" s="4" t="s">
        <v>716</v>
      </c>
      <c r="E1703" s="4" t="s">
        <v>717</v>
      </c>
      <c r="M1703" s="4" t="s">
        <v>757</v>
      </c>
      <c r="N1703" s="4">
        <v>-71.603324874999998</v>
      </c>
      <c r="O1703" s="4">
        <v>3.7962983875000003</v>
      </c>
      <c r="P1703" s="4" t="s">
        <v>1058</v>
      </c>
      <c r="Q1703" s="4" t="s">
        <v>743</v>
      </c>
      <c r="R1703" s="4" t="s">
        <v>730</v>
      </c>
      <c r="S1703" s="2">
        <v>46174.792815393521</v>
      </c>
      <c r="T1703" s="5">
        <v>4.6296296296296294E-5</v>
      </c>
      <c r="U1703" s="4">
        <v>4.35287244617939E-2</v>
      </c>
      <c r="V1703" s="4" t="s">
        <v>758</v>
      </c>
      <c r="W1703" s="4" t="s">
        <v>757</v>
      </c>
      <c r="X1703" s="6" t="s">
        <v>617</v>
      </c>
    </row>
    <row r="1704" spans="1:24">
      <c r="A1704" s="4" t="s">
        <v>1051</v>
      </c>
      <c r="B1704" s="4" t="s">
        <v>1052</v>
      </c>
      <c r="D1704" s="4" t="s">
        <v>716</v>
      </c>
      <c r="E1704" s="4" t="s">
        <v>717</v>
      </c>
      <c r="M1704" s="4" t="s">
        <v>614</v>
      </c>
      <c r="N1704" s="4">
        <v>-71.595474199999998</v>
      </c>
      <c r="O1704" s="4">
        <v>3.80686927</v>
      </c>
      <c r="P1704" s="4" t="s">
        <v>795</v>
      </c>
      <c r="Q1704" s="4" t="s">
        <v>743</v>
      </c>
      <c r="R1704" s="4" t="s">
        <v>730</v>
      </c>
      <c r="S1704" s="2">
        <v>46174.795347222222</v>
      </c>
      <c r="T1704" s="5">
        <v>4.1666666666666666E-3</v>
      </c>
      <c r="U1704" s="4">
        <v>0</v>
      </c>
      <c r="V1704" s="4" t="s">
        <v>616</v>
      </c>
      <c r="W1704" s="4" t="s">
        <v>614</v>
      </c>
      <c r="X1704" s="6" t="s">
        <v>617</v>
      </c>
    </row>
    <row r="1705" spans="1:24">
      <c r="A1705" s="4" t="s">
        <v>1051</v>
      </c>
      <c r="B1705" s="4" t="s">
        <v>1052</v>
      </c>
      <c r="D1705" s="4" t="s">
        <v>716</v>
      </c>
      <c r="E1705" s="4" t="s">
        <v>717</v>
      </c>
      <c r="M1705" s="4" t="s">
        <v>614</v>
      </c>
      <c r="N1705" s="4">
        <v>-71.595245399999996</v>
      </c>
      <c r="O1705" s="4">
        <v>3.8067975000000001</v>
      </c>
      <c r="P1705" s="4" t="s">
        <v>795</v>
      </c>
      <c r="Q1705" s="4" t="s">
        <v>743</v>
      </c>
      <c r="R1705" s="4" t="s">
        <v>730</v>
      </c>
      <c r="S1705" s="2">
        <v>46174.799988425926</v>
      </c>
      <c r="T1705" s="5">
        <v>1.7001724537037036E-2</v>
      </c>
      <c r="U1705" s="4">
        <v>0</v>
      </c>
      <c r="V1705" s="4" t="s">
        <v>616</v>
      </c>
      <c r="W1705" s="4" t="s">
        <v>614</v>
      </c>
      <c r="X1705" s="6" t="s">
        <v>617</v>
      </c>
    </row>
    <row r="1706" spans="1:24">
      <c r="A1706" s="4" t="s">
        <v>1051</v>
      </c>
      <c r="B1706" s="4" t="s">
        <v>1052</v>
      </c>
      <c r="D1706" s="4" t="s">
        <v>716</v>
      </c>
      <c r="E1706" s="4" t="s">
        <v>717</v>
      </c>
      <c r="M1706" s="4" t="s">
        <v>614</v>
      </c>
      <c r="N1706" s="4">
        <v>-71.595245399999996</v>
      </c>
      <c r="O1706" s="4">
        <v>3.8067991700000001</v>
      </c>
      <c r="P1706" s="4" t="s">
        <v>795</v>
      </c>
      <c r="Q1706" s="4" t="s">
        <v>743</v>
      </c>
      <c r="R1706" s="4" t="s">
        <v>730</v>
      </c>
      <c r="S1706" s="2">
        <v>46174.892895555553</v>
      </c>
      <c r="T1706" s="5">
        <v>8.4598495370370366E-3</v>
      </c>
      <c r="U1706" s="4">
        <v>3.5227721091359854E-3</v>
      </c>
      <c r="V1706" s="4" t="s">
        <v>616</v>
      </c>
      <c r="W1706" s="4" t="s">
        <v>614</v>
      </c>
      <c r="X1706" s="6" t="s">
        <v>617</v>
      </c>
    </row>
    <row r="1707" spans="1:24">
      <c r="A1707" s="4" t="s">
        <v>1051</v>
      </c>
      <c r="B1707" s="4" t="s">
        <v>1052</v>
      </c>
      <c r="D1707" s="4" t="s">
        <v>716</v>
      </c>
      <c r="E1707" s="4" t="s">
        <v>717</v>
      </c>
      <c r="M1707" s="4" t="s">
        <v>757</v>
      </c>
      <c r="N1707" s="4">
        <v>-71.596407614239993</v>
      </c>
      <c r="O1707" s="4">
        <v>3.8056041104679998</v>
      </c>
      <c r="P1707" s="4" t="s">
        <v>795</v>
      </c>
      <c r="Q1707" s="4" t="s">
        <v>743</v>
      </c>
      <c r="R1707" s="4" t="s">
        <v>730</v>
      </c>
      <c r="S1707" s="2">
        <v>46174.922397766204</v>
      </c>
      <c r="T1707" s="5">
        <v>3.857638888888889E-5</v>
      </c>
      <c r="U1707" s="4">
        <v>3.6571048200130463E-2</v>
      </c>
      <c r="V1707" s="4" t="s">
        <v>758</v>
      </c>
      <c r="W1707" s="4" t="s">
        <v>757</v>
      </c>
      <c r="X1707" s="6" t="s">
        <v>617</v>
      </c>
    </row>
    <row r="1708" spans="1:24">
      <c r="A1708" s="4" t="s">
        <v>1051</v>
      </c>
      <c r="B1708" s="4" t="s">
        <v>1052</v>
      </c>
      <c r="D1708" s="4" t="s">
        <v>716</v>
      </c>
      <c r="E1708" s="4" t="s">
        <v>717</v>
      </c>
      <c r="M1708" s="4" t="s">
        <v>757</v>
      </c>
      <c r="N1708" s="4">
        <v>-71.603315324999997</v>
      </c>
      <c r="O1708" s="4">
        <v>3.7963795675000003</v>
      </c>
      <c r="P1708" s="4" t="s">
        <v>1058</v>
      </c>
      <c r="Q1708" s="4" t="s">
        <v>743</v>
      </c>
      <c r="R1708" s="4" t="s">
        <v>730</v>
      </c>
      <c r="S1708" s="2">
        <v>46174.924415509362</v>
      </c>
      <c r="T1708" s="5">
        <v>1.9097232222222224E-4</v>
      </c>
      <c r="U1708" s="4">
        <v>0.18039454519748688</v>
      </c>
      <c r="V1708" s="4" t="s">
        <v>758</v>
      </c>
      <c r="W1708" s="4" t="s">
        <v>757</v>
      </c>
      <c r="X1708" s="6" t="s">
        <v>617</v>
      </c>
    </row>
    <row r="1709" spans="1:24">
      <c r="A1709" s="4" t="s">
        <v>1051</v>
      </c>
      <c r="B1709" s="4" t="s">
        <v>1052</v>
      </c>
      <c r="D1709" s="4" t="s">
        <v>716</v>
      </c>
      <c r="E1709" s="4" t="s">
        <v>717</v>
      </c>
      <c r="M1709" s="4" t="s">
        <v>757</v>
      </c>
      <c r="N1709" s="4">
        <v>-71.609169000000009</v>
      </c>
      <c r="O1709" s="4">
        <v>3.7884904150000001</v>
      </c>
      <c r="P1709" s="4" t="s">
        <v>795</v>
      </c>
      <c r="Q1709" s="4" t="s">
        <v>743</v>
      </c>
      <c r="R1709" s="4" t="s">
        <v>730</v>
      </c>
      <c r="S1709" s="2">
        <v>46174.925677083433</v>
      </c>
      <c r="T1709" s="5">
        <v>1.7939824814814815E-4</v>
      </c>
      <c r="U1709" s="4">
        <v>0.17581146955490112</v>
      </c>
      <c r="V1709" s="4" t="s">
        <v>758</v>
      </c>
      <c r="W1709" s="4" t="s">
        <v>757</v>
      </c>
      <c r="X1709" s="6" t="s">
        <v>617</v>
      </c>
    </row>
    <row r="1710" spans="1:24">
      <c r="A1710" s="4" t="s">
        <v>1051</v>
      </c>
      <c r="B1710" s="4" t="s">
        <v>1052</v>
      </c>
      <c r="D1710" s="4" t="s">
        <v>716</v>
      </c>
      <c r="E1710" s="4" t="s">
        <v>717</v>
      </c>
      <c r="M1710" s="4" t="s">
        <v>645</v>
      </c>
      <c r="N1710" s="4">
        <v>-71.624734305250001</v>
      </c>
      <c r="O1710" s="4">
        <v>3.7810757867850002</v>
      </c>
      <c r="P1710" s="4" t="s">
        <v>759</v>
      </c>
      <c r="Q1710" s="4" t="s">
        <v>760</v>
      </c>
      <c r="R1710" s="4" t="s">
        <v>730</v>
      </c>
      <c r="S1710" s="2">
        <v>46174.929044004632</v>
      </c>
      <c r="T1710" s="5">
        <v>5.2775462962962965E-4</v>
      </c>
      <c r="U1710" s="4">
        <v>0.17655317485332489</v>
      </c>
      <c r="V1710" s="4" t="s">
        <v>771</v>
      </c>
      <c r="W1710" s="4" t="s">
        <v>645</v>
      </c>
      <c r="X1710" s="6" t="s">
        <v>617</v>
      </c>
    </row>
    <row r="1711" spans="1:24">
      <c r="A1711" s="4" t="s">
        <v>1051</v>
      </c>
      <c r="B1711" s="4" t="s">
        <v>1052</v>
      </c>
      <c r="D1711" s="4" t="s">
        <v>716</v>
      </c>
      <c r="E1711" s="4" t="s">
        <v>717</v>
      </c>
      <c r="M1711" s="4" t="s">
        <v>645</v>
      </c>
      <c r="N1711" s="4">
        <v>-71.626187621283322</v>
      </c>
      <c r="O1711" s="4">
        <v>3.7809371954366666</v>
      </c>
      <c r="P1711" s="4" t="s">
        <v>770</v>
      </c>
      <c r="Q1711" s="4" t="s">
        <v>740</v>
      </c>
      <c r="R1711" s="4" t="s">
        <v>730</v>
      </c>
      <c r="S1711" s="2">
        <v>46174.977168206016</v>
      </c>
      <c r="T1711" s="5">
        <v>2.0447916666666667E-4</v>
      </c>
      <c r="U1711" s="4">
        <v>6.25300332903862E-2</v>
      </c>
      <c r="V1711" s="4" t="s">
        <v>752</v>
      </c>
      <c r="W1711" s="4" t="s">
        <v>645</v>
      </c>
      <c r="X1711" s="6" t="s">
        <v>617</v>
      </c>
    </row>
    <row r="1712" spans="1:24">
      <c r="A1712" s="4" t="s">
        <v>1051</v>
      </c>
      <c r="B1712" s="4" t="s">
        <v>1052</v>
      </c>
      <c r="D1712" s="4" t="s">
        <v>716</v>
      </c>
      <c r="E1712" s="4" t="s">
        <v>717</v>
      </c>
      <c r="M1712" s="4" t="s">
        <v>645</v>
      </c>
      <c r="N1712" s="4">
        <v>-71.625625600000006</v>
      </c>
      <c r="O1712" s="4">
        <v>3.7809751</v>
      </c>
      <c r="P1712" s="4" t="s">
        <v>759</v>
      </c>
      <c r="Q1712" s="4" t="s">
        <v>760</v>
      </c>
      <c r="R1712" s="4" t="s">
        <v>730</v>
      </c>
      <c r="S1712" s="2">
        <v>46174.977372685185</v>
      </c>
      <c r="T1712" s="5">
        <v>1.2388888888888888E-4</v>
      </c>
      <c r="U1712" s="4">
        <v>6.0771670192480087E-2</v>
      </c>
      <c r="V1712" s="4" t="s">
        <v>751</v>
      </c>
      <c r="W1712" s="4" t="s">
        <v>645</v>
      </c>
      <c r="X1712" s="6" t="s">
        <v>617</v>
      </c>
    </row>
    <row r="1713" spans="1:24">
      <c r="A1713" s="4" t="s">
        <v>1051</v>
      </c>
      <c r="B1713" s="4" t="s">
        <v>1052</v>
      </c>
      <c r="D1713" s="4" t="s">
        <v>716</v>
      </c>
      <c r="E1713" s="4" t="s">
        <v>717</v>
      </c>
      <c r="M1713" s="4" t="s">
        <v>645</v>
      </c>
      <c r="N1713" s="4">
        <v>-71.624756444319999</v>
      </c>
      <c r="O1713" s="4">
        <v>3.7810747666240001</v>
      </c>
      <c r="P1713" s="4" t="s">
        <v>759</v>
      </c>
      <c r="Q1713" s="4" t="s">
        <v>760</v>
      </c>
      <c r="R1713" s="4" t="s">
        <v>730</v>
      </c>
      <c r="S1713" s="2">
        <v>46174.977565231478</v>
      </c>
      <c r="T1713" s="5">
        <v>3.9965277777777777E-5</v>
      </c>
      <c r="U1713" s="4">
        <v>1.8540194258093834E-2</v>
      </c>
      <c r="V1713" s="4" t="s">
        <v>738</v>
      </c>
      <c r="W1713" s="4" t="s">
        <v>645</v>
      </c>
      <c r="X1713" s="6" t="s">
        <v>617</v>
      </c>
    </row>
    <row r="1714" spans="1:24">
      <c r="A1714" s="4" t="s">
        <v>1051</v>
      </c>
      <c r="B1714" s="4" t="s">
        <v>1052</v>
      </c>
      <c r="D1714" s="4" t="s">
        <v>716</v>
      </c>
      <c r="E1714" s="4" t="s">
        <v>717</v>
      </c>
      <c r="M1714" s="4" t="s">
        <v>674</v>
      </c>
      <c r="N1714" s="4">
        <v>-71.619712800000002</v>
      </c>
      <c r="O1714" s="4">
        <v>3.77046752</v>
      </c>
      <c r="P1714" s="4" t="s">
        <v>779</v>
      </c>
      <c r="Q1714" s="4" t="s">
        <v>743</v>
      </c>
      <c r="R1714" s="4" t="s">
        <v>730</v>
      </c>
      <c r="S1714" s="2">
        <v>46174.984629629631</v>
      </c>
      <c r="T1714" s="5">
        <v>0</v>
      </c>
      <c r="U1714" s="4">
        <v>0</v>
      </c>
      <c r="V1714" s="4" t="s">
        <v>944</v>
      </c>
      <c r="W1714" s="4" t="s">
        <v>674</v>
      </c>
      <c r="X1714" s="6" t="s">
        <v>617</v>
      </c>
    </row>
    <row r="1715" spans="1:24">
      <c r="A1715" s="4" t="s">
        <v>1051</v>
      </c>
      <c r="B1715" s="4" t="s">
        <v>1052</v>
      </c>
      <c r="D1715" s="4" t="s">
        <v>716</v>
      </c>
      <c r="E1715" s="4" t="s">
        <v>717</v>
      </c>
      <c r="M1715" s="4" t="s">
        <v>757</v>
      </c>
      <c r="N1715" s="4">
        <v>-71.613777150000004</v>
      </c>
      <c r="O1715" s="4">
        <v>3.764351725</v>
      </c>
      <c r="P1715" s="4" t="s">
        <v>779</v>
      </c>
      <c r="Q1715" s="4" t="s">
        <v>743</v>
      </c>
      <c r="R1715" s="4" t="s">
        <v>730</v>
      </c>
      <c r="S1715" s="2">
        <v>46174.985960648148</v>
      </c>
      <c r="T1715" s="5">
        <v>8.3912037037037031E-5</v>
      </c>
      <c r="U1715" s="4">
        <v>8.1098988652229309E-2</v>
      </c>
      <c r="V1715" s="4" t="s">
        <v>758</v>
      </c>
      <c r="W1715" s="4" t="s">
        <v>757</v>
      </c>
      <c r="X1715" s="6" t="s">
        <v>617</v>
      </c>
    </row>
    <row r="1716" spans="1:24">
      <c r="A1716" s="4" t="s">
        <v>1051</v>
      </c>
      <c r="B1716" s="4" t="s">
        <v>1052</v>
      </c>
      <c r="D1716" s="4" t="s">
        <v>716</v>
      </c>
      <c r="E1716" s="4" t="s">
        <v>717</v>
      </c>
      <c r="M1716" s="4" t="s">
        <v>757</v>
      </c>
      <c r="N1716" s="4">
        <v>-71.598904599999997</v>
      </c>
      <c r="O1716" s="4">
        <v>3.75056332625</v>
      </c>
      <c r="P1716" s="4" t="s">
        <v>776</v>
      </c>
      <c r="Q1716" s="4" t="s">
        <v>743</v>
      </c>
      <c r="R1716" s="4" t="s">
        <v>730</v>
      </c>
      <c r="S1716" s="2">
        <v>46174.989244791665</v>
      </c>
      <c r="T1716" s="5">
        <v>2.0254629629629629E-5</v>
      </c>
      <c r="U1716" s="4">
        <v>1.8774870783090591E-2</v>
      </c>
      <c r="V1716" s="4" t="s">
        <v>758</v>
      </c>
      <c r="W1716" s="4" t="s">
        <v>757</v>
      </c>
      <c r="X1716" s="6" t="s">
        <v>617</v>
      </c>
    </row>
    <row r="1717" spans="1:24">
      <c r="A1717" s="4" t="s">
        <v>1051</v>
      </c>
      <c r="B1717" s="4" t="s">
        <v>1052</v>
      </c>
      <c r="D1717" s="4" t="s">
        <v>716</v>
      </c>
      <c r="E1717" s="4" t="s">
        <v>717</v>
      </c>
      <c r="M1717" s="4" t="s">
        <v>757</v>
      </c>
      <c r="N1717" s="4">
        <v>-71.597914560166672</v>
      </c>
      <c r="O1717" s="4">
        <v>3.74991688255</v>
      </c>
      <c r="P1717" s="4" t="s">
        <v>776</v>
      </c>
      <c r="Q1717" s="4" t="s">
        <v>743</v>
      </c>
      <c r="R1717" s="4" t="s">
        <v>730</v>
      </c>
      <c r="S1717" s="2">
        <v>46174.989388229165</v>
      </c>
      <c r="T1717" s="5">
        <v>7.9363425925925923E-5</v>
      </c>
      <c r="U1717" s="4">
        <v>7.8276507556438446E-2</v>
      </c>
      <c r="V1717" s="4" t="s">
        <v>774</v>
      </c>
      <c r="W1717" s="4" t="s">
        <v>757</v>
      </c>
      <c r="X1717" s="6" t="s">
        <v>617</v>
      </c>
    </row>
    <row r="1718" spans="1:24">
      <c r="A1718" s="4" t="s">
        <v>1051</v>
      </c>
      <c r="B1718" s="4" t="s">
        <v>1052</v>
      </c>
      <c r="D1718" s="4" t="s">
        <v>716</v>
      </c>
      <c r="E1718" s="4" t="s">
        <v>717</v>
      </c>
      <c r="M1718" s="4" t="s">
        <v>757</v>
      </c>
      <c r="N1718" s="4">
        <v>-71.597154036375002</v>
      </c>
      <c r="O1718" s="4">
        <v>3.7486449356675</v>
      </c>
      <c r="P1718" s="4" t="s">
        <v>776</v>
      </c>
      <c r="Q1718" s="4" t="s">
        <v>743</v>
      </c>
      <c r="R1718" s="4" t="s">
        <v>730</v>
      </c>
      <c r="S1718" s="2">
        <v>46174.989564039352</v>
      </c>
      <c r="T1718" s="5">
        <v>2.7974537037037037E-5</v>
      </c>
      <c r="U1718" s="4">
        <v>2.5681329891085625E-2</v>
      </c>
      <c r="V1718" s="4" t="s">
        <v>758</v>
      </c>
      <c r="W1718" s="4" t="s">
        <v>757</v>
      </c>
      <c r="X1718" s="6" t="s">
        <v>617</v>
      </c>
    </row>
    <row r="1719" spans="1:24">
      <c r="A1719" s="4" t="s">
        <v>1051</v>
      </c>
      <c r="B1719" s="4" t="s">
        <v>1052</v>
      </c>
      <c r="D1719" s="4" t="s">
        <v>716</v>
      </c>
      <c r="E1719" s="4" t="s">
        <v>717</v>
      </c>
      <c r="M1719" s="4" t="s">
        <v>757</v>
      </c>
      <c r="N1719" s="4">
        <v>-71.594417574999994</v>
      </c>
      <c r="O1719" s="4">
        <v>3.7411262375000001</v>
      </c>
      <c r="P1719" s="4" t="s">
        <v>776</v>
      </c>
      <c r="Q1719" s="4" t="s">
        <v>743</v>
      </c>
      <c r="R1719" s="4" t="s">
        <v>730</v>
      </c>
      <c r="S1719" s="2">
        <v>46174.990703124997</v>
      </c>
      <c r="T1719" s="5">
        <v>3.5682870370370369E-5</v>
      </c>
      <c r="U1719" s="4">
        <v>3.2676458358764648E-2</v>
      </c>
      <c r="V1719" s="4" t="s">
        <v>758</v>
      </c>
      <c r="W1719" s="4" t="s">
        <v>757</v>
      </c>
      <c r="X1719" s="6" t="s">
        <v>617</v>
      </c>
    </row>
    <row r="1720" spans="1:24">
      <c r="A1720" s="4" t="s">
        <v>1051</v>
      </c>
      <c r="B1720" s="4" t="s">
        <v>1052</v>
      </c>
      <c r="D1720" s="4" t="s">
        <v>716</v>
      </c>
      <c r="E1720" s="4" t="s">
        <v>717</v>
      </c>
      <c r="M1720" s="4" t="s">
        <v>757</v>
      </c>
      <c r="N1720" s="4">
        <v>-71.595326783333334</v>
      </c>
      <c r="O1720" s="4">
        <v>3.7355546566666664</v>
      </c>
      <c r="P1720" s="4" t="s">
        <v>776</v>
      </c>
      <c r="Q1720" s="4" t="s">
        <v>743</v>
      </c>
      <c r="R1720" s="4" t="s">
        <v>730</v>
      </c>
      <c r="S1720" s="2">
        <v>46174.991521990843</v>
      </c>
      <c r="T1720" s="5">
        <v>1.4467592592592593E-5</v>
      </c>
      <c r="U1720" s="4">
        <v>1.3007260859012604E-2</v>
      </c>
      <c r="V1720" s="4" t="s">
        <v>758</v>
      </c>
      <c r="W1720" s="4" t="s">
        <v>757</v>
      </c>
      <c r="X1720" s="6" t="s">
        <v>617</v>
      </c>
    </row>
    <row r="1721" spans="1:24">
      <c r="A1721" s="4" t="s">
        <v>1051</v>
      </c>
      <c r="B1721" s="4" t="s">
        <v>1052</v>
      </c>
      <c r="D1721" s="4" t="s">
        <v>716</v>
      </c>
      <c r="E1721" s="4" t="s">
        <v>717</v>
      </c>
      <c r="M1721" s="4" t="s">
        <v>757</v>
      </c>
      <c r="N1721" s="4">
        <v>-71.593460057142849</v>
      </c>
      <c r="O1721" s="4">
        <v>3.7338367900000002</v>
      </c>
      <c r="P1721" s="4" t="s">
        <v>776</v>
      </c>
      <c r="Q1721" s="4" t="s">
        <v>743</v>
      </c>
      <c r="R1721" s="4" t="s">
        <v>730</v>
      </c>
      <c r="S1721" s="2">
        <v>46174.991932870369</v>
      </c>
      <c r="T1721" s="5">
        <v>2.2222222222222223E-4</v>
      </c>
      <c r="U1721" s="4">
        <v>0.22503040730953217</v>
      </c>
      <c r="V1721" s="4" t="s">
        <v>778</v>
      </c>
      <c r="W1721" s="4" t="s">
        <v>757</v>
      </c>
      <c r="X1721" s="6" t="s">
        <v>617</v>
      </c>
    </row>
    <row r="1722" spans="1:24">
      <c r="A1722" s="4" t="s">
        <v>1051</v>
      </c>
      <c r="B1722" s="4" t="s">
        <v>1052</v>
      </c>
      <c r="D1722" s="4" t="s">
        <v>716</v>
      </c>
      <c r="E1722" s="4" t="s">
        <v>717</v>
      </c>
      <c r="M1722" s="4" t="s">
        <v>757</v>
      </c>
      <c r="N1722" s="4">
        <v>-71.590105049999991</v>
      </c>
      <c r="O1722" s="4">
        <v>3.7313688999999997</v>
      </c>
      <c r="P1722" s="4" t="s">
        <v>776</v>
      </c>
      <c r="Q1722" s="4" t="s">
        <v>743</v>
      </c>
      <c r="R1722" s="4" t="s">
        <v>730</v>
      </c>
      <c r="S1722" s="2">
        <v>46174.992427662037</v>
      </c>
      <c r="T1722" s="5">
        <v>8.9699074074074073E-5</v>
      </c>
      <c r="U1722" s="4">
        <v>8.5854485630989075E-2</v>
      </c>
      <c r="V1722" s="4" t="s">
        <v>758</v>
      </c>
      <c r="W1722" s="4" t="s">
        <v>757</v>
      </c>
      <c r="X1722" s="6" t="s">
        <v>617</v>
      </c>
    </row>
    <row r="1723" spans="1:24">
      <c r="A1723" s="4" t="s">
        <v>1051</v>
      </c>
      <c r="B1723" s="4" t="s">
        <v>1052</v>
      </c>
      <c r="D1723" s="4" t="s">
        <v>716</v>
      </c>
      <c r="E1723" s="4" t="s">
        <v>717</v>
      </c>
      <c r="M1723" s="4" t="s">
        <v>757</v>
      </c>
      <c r="N1723" s="4">
        <v>-71.584457387536361</v>
      </c>
      <c r="O1723" s="4">
        <v>3.7272941437754543</v>
      </c>
      <c r="P1723" s="4" t="s">
        <v>776</v>
      </c>
      <c r="Q1723" s="4" t="s">
        <v>743</v>
      </c>
      <c r="R1723" s="4" t="s">
        <v>730</v>
      </c>
      <c r="S1723" s="2">
        <v>46174.993659340274</v>
      </c>
      <c r="T1723" s="5">
        <v>5.5937499999999998E-5</v>
      </c>
      <c r="U1723" s="4">
        <v>5.2662473171949387E-2</v>
      </c>
      <c r="V1723" s="4" t="s">
        <v>758</v>
      </c>
      <c r="W1723" s="4" t="s">
        <v>757</v>
      </c>
      <c r="X1723" s="6" t="s">
        <v>617</v>
      </c>
    </row>
    <row r="1724" spans="1:24">
      <c r="A1724" s="4" t="s">
        <v>1051</v>
      </c>
      <c r="B1724" s="4" t="s">
        <v>1052</v>
      </c>
      <c r="D1724" s="4" t="s">
        <v>716</v>
      </c>
      <c r="E1724" s="4" t="s">
        <v>717</v>
      </c>
      <c r="M1724" s="4" t="s">
        <v>614</v>
      </c>
      <c r="N1724" s="4">
        <v>-71.582122799999993</v>
      </c>
      <c r="O1724" s="4">
        <v>3.7263872600000001</v>
      </c>
      <c r="P1724" s="4" t="s">
        <v>776</v>
      </c>
      <c r="Q1724" s="4" t="s">
        <v>743</v>
      </c>
      <c r="R1724" s="4" t="s">
        <v>730</v>
      </c>
      <c r="S1724" s="2">
        <v>46174.994849537034</v>
      </c>
      <c r="T1724" s="5">
        <v>6.5624999999999998E-3</v>
      </c>
      <c r="U1724" s="4">
        <v>0</v>
      </c>
      <c r="V1724" s="4" t="s">
        <v>616</v>
      </c>
      <c r="W1724" s="4" t="s">
        <v>614</v>
      </c>
      <c r="X1724" s="6" t="s">
        <v>617</v>
      </c>
    </row>
    <row r="1725" spans="1:24">
      <c r="A1725" s="4" t="s">
        <v>1061</v>
      </c>
      <c r="B1725" s="4" t="s">
        <v>1062</v>
      </c>
      <c r="C1725" s="4" t="s">
        <v>1063</v>
      </c>
      <c r="D1725" s="4" t="s">
        <v>716</v>
      </c>
      <c r="E1725" s="4" t="s">
        <v>717</v>
      </c>
      <c r="M1725" s="4" t="s">
        <v>614</v>
      </c>
      <c r="N1725" s="4">
        <v>-71.626861599999998</v>
      </c>
      <c r="O1725" s="4">
        <v>3.6867656700000002</v>
      </c>
      <c r="P1725" s="4" t="s">
        <v>795</v>
      </c>
      <c r="Q1725" s="4" t="s">
        <v>743</v>
      </c>
      <c r="R1725" s="4" t="s">
        <v>730</v>
      </c>
      <c r="S1725" s="2">
        <v>46174.04179398148</v>
      </c>
      <c r="T1725" s="5">
        <v>9.0277777777777769E-3</v>
      </c>
      <c r="U1725" s="4">
        <v>0</v>
      </c>
      <c r="V1725" s="4" t="s">
        <v>616</v>
      </c>
      <c r="W1725" s="4" t="s">
        <v>614</v>
      </c>
      <c r="X1725" s="6" t="s">
        <v>617</v>
      </c>
    </row>
    <row r="1726" spans="1:24">
      <c r="A1726" s="4" t="s">
        <v>1061</v>
      </c>
      <c r="B1726" s="4" t="s">
        <v>1062</v>
      </c>
      <c r="C1726" s="4" t="s">
        <v>1063</v>
      </c>
      <c r="D1726" s="4" t="s">
        <v>716</v>
      </c>
      <c r="E1726" s="4" t="s">
        <v>717</v>
      </c>
      <c r="M1726" s="4" t="s">
        <v>754</v>
      </c>
      <c r="N1726" s="4">
        <v>-71.626876800000005</v>
      </c>
      <c r="O1726" s="4">
        <v>3.6867435</v>
      </c>
      <c r="P1726" s="4" t="s">
        <v>795</v>
      </c>
      <c r="Q1726" s="4" t="s">
        <v>743</v>
      </c>
      <c r="R1726" s="4" t="s">
        <v>730</v>
      </c>
      <c r="S1726" s="2">
        <v>46174.050868055558</v>
      </c>
      <c r="T1726" s="5">
        <v>8.6493055555555558E-5</v>
      </c>
      <c r="U1726" s="4">
        <v>2.7539094910025597E-2</v>
      </c>
      <c r="V1726" s="4" t="s">
        <v>820</v>
      </c>
      <c r="W1726" s="4" t="s">
        <v>754</v>
      </c>
      <c r="X1726" s="6" t="s">
        <v>617</v>
      </c>
    </row>
    <row r="1727" spans="1:24">
      <c r="A1727" s="4" t="s">
        <v>1061</v>
      </c>
      <c r="B1727" s="4" t="s">
        <v>1062</v>
      </c>
      <c r="C1727" s="4" t="s">
        <v>1063</v>
      </c>
      <c r="D1727" s="4" t="s">
        <v>716</v>
      </c>
      <c r="E1727" s="4" t="s">
        <v>717</v>
      </c>
      <c r="M1727" s="4" t="s">
        <v>614</v>
      </c>
      <c r="N1727" s="4">
        <v>-71.6231461</v>
      </c>
      <c r="O1727" s="4">
        <v>3.6825935799999998</v>
      </c>
      <c r="P1727" s="4" t="s">
        <v>795</v>
      </c>
      <c r="Q1727" s="4" t="s">
        <v>743</v>
      </c>
      <c r="R1727" s="4" t="s">
        <v>730</v>
      </c>
      <c r="S1727" s="2">
        <v>46174.052025462966</v>
      </c>
      <c r="T1727" s="5">
        <v>1.1122685185185185E-2</v>
      </c>
      <c r="U1727" s="4">
        <v>0</v>
      </c>
      <c r="V1727" s="4" t="s">
        <v>616</v>
      </c>
      <c r="W1727" s="4" t="s">
        <v>614</v>
      </c>
      <c r="X1727" s="6" t="s">
        <v>617</v>
      </c>
    </row>
    <row r="1728" spans="1:24">
      <c r="A1728" s="4" t="s">
        <v>1061</v>
      </c>
      <c r="B1728" s="4" t="s">
        <v>1062</v>
      </c>
      <c r="C1728" s="4" t="s">
        <v>1063</v>
      </c>
      <c r="D1728" s="4" t="s">
        <v>716</v>
      </c>
      <c r="E1728" s="4" t="s">
        <v>717</v>
      </c>
      <c r="M1728" s="4" t="s">
        <v>757</v>
      </c>
      <c r="N1728" s="4">
        <v>-71.633878699999997</v>
      </c>
      <c r="O1728" s="4">
        <v>3.6947884000000002</v>
      </c>
      <c r="P1728" s="4" t="s">
        <v>1064</v>
      </c>
      <c r="Q1728" s="4" t="s">
        <v>743</v>
      </c>
      <c r="R1728" s="4" t="s">
        <v>730</v>
      </c>
      <c r="S1728" s="2">
        <v>46174.102485532407</v>
      </c>
      <c r="T1728" s="5">
        <v>2.1412037037037036E-5</v>
      </c>
      <c r="U1728" s="4">
        <v>1.9647575914859772E-2</v>
      </c>
      <c r="V1728" s="4" t="s">
        <v>758</v>
      </c>
      <c r="W1728" s="4" t="s">
        <v>757</v>
      </c>
      <c r="X1728" s="6" t="s">
        <v>617</v>
      </c>
    </row>
    <row r="1729" spans="1:24">
      <c r="A1729" s="4" t="s">
        <v>1061</v>
      </c>
      <c r="B1729" s="4" t="s">
        <v>1062</v>
      </c>
      <c r="C1729" s="4" t="s">
        <v>1063</v>
      </c>
      <c r="D1729" s="4" t="s">
        <v>716</v>
      </c>
      <c r="E1729" s="4" t="s">
        <v>717</v>
      </c>
      <c r="M1729" s="4" t="s">
        <v>685</v>
      </c>
      <c r="N1729" s="4">
        <v>-71.634003739150003</v>
      </c>
      <c r="O1729" s="4">
        <v>3.695602863525</v>
      </c>
      <c r="P1729" s="4" t="s">
        <v>1064</v>
      </c>
      <c r="Q1729" s="4" t="s">
        <v>743</v>
      </c>
      <c r="R1729" s="4" t="s">
        <v>730</v>
      </c>
      <c r="S1729" s="2">
        <v>46174.102609108799</v>
      </c>
      <c r="T1729" s="5">
        <v>9.7222222222222218E-7</v>
      </c>
      <c r="U1729" s="4">
        <v>3.845023165922612E-4</v>
      </c>
      <c r="V1729" s="4" t="s">
        <v>1065</v>
      </c>
      <c r="W1729" s="4" t="s">
        <v>685</v>
      </c>
      <c r="X1729" s="6" t="s">
        <v>617</v>
      </c>
    </row>
    <row r="1730" spans="1:24">
      <c r="A1730" s="4" t="s">
        <v>1061</v>
      </c>
      <c r="B1730" s="4" t="s">
        <v>1062</v>
      </c>
      <c r="C1730" s="4" t="s">
        <v>1063</v>
      </c>
      <c r="D1730" s="4" t="s">
        <v>716</v>
      </c>
      <c r="E1730" s="4" t="s">
        <v>717</v>
      </c>
      <c r="M1730" s="4" t="s">
        <v>685</v>
      </c>
      <c r="N1730" s="4">
        <v>-71.634009166449999</v>
      </c>
      <c r="O1730" s="4">
        <v>3.695621622075</v>
      </c>
      <c r="P1730" s="4" t="s">
        <v>1064</v>
      </c>
      <c r="Q1730" s="4" t="s">
        <v>743</v>
      </c>
      <c r="R1730" s="4" t="s">
        <v>730</v>
      </c>
      <c r="S1730" s="2">
        <v>46174.102614594907</v>
      </c>
      <c r="T1730" s="5">
        <v>8.1018518518518515E-7</v>
      </c>
      <c r="U1730" s="4">
        <v>3.2041859230957925E-4</v>
      </c>
      <c r="V1730" s="4" t="s">
        <v>1066</v>
      </c>
      <c r="W1730" s="4" t="s">
        <v>685</v>
      </c>
      <c r="X1730" s="6" t="s">
        <v>617</v>
      </c>
    </row>
    <row r="1731" spans="1:24">
      <c r="A1731" s="4" t="s">
        <v>1061</v>
      </c>
      <c r="B1731" s="4" t="s">
        <v>1062</v>
      </c>
      <c r="C1731" s="4" t="s">
        <v>1063</v>
      </c>
      <c r="D1731" s="4" t="s">
        <v>716</v>
      </c>
      <c r="E1731" s="4" t="s">
        <v>717</v>
      </c>
      <c r="M1731" s="4" t="s">
        <v>685</v>
      </c>
      <c r="N1731" s="4">
        <v>-71.634015371949999</v>
      </c>
      <c r="O1731" s="4">
        <v>3.6956550998549997</v>
      </c>
      <c r="P1731" s="4" t="s">
        <v>1064</v>
      </c>
      <c r="Q1731" s="4" t="s">
        <v>743</v>
      </c>
      <c r="R1731" s="4" t="s">
        <v>730</v>
      </c>
      <c r="S1731" s="2">
        <v>46174.10262341435</v>
      </c>
      <c r="T1731" s="5">
        <v>2.3148148148148148E-8</v>
      </c>
      <c r="U1731" s="4">
        <v>1.0053234291262925E-5</v>
      </c>
      <c r="V1731" s="4" t="s">
        <v>1067</v>
      </c>
      <c r="W1731" s="4" t="s">
        <v>685</v>
      </c>
      <c r="X1731" s="6" t="s">
        <v>617</v>
      </c>
    </row>
    <row r="1732" spans="1:24">
      <c r="A1732" s="4" t="s">
        <v>1061</v>
      </c>
      <c r="B1732" s="4" t="s">
        <v>1062</v>
      </c>
      <c r="C1732" s="4" t="s">
        <v>1063</v>
      </c>
      <c r="D1732" s="4" t="s">
        <v>716</v>
      </c>
      <c r="E1732" s="4" t="s">
        <v>717</v>
      </c>
      <c r="M1732" s="4" t="s">
        <v>685</v>
      </c>
      <c r="N1732" s="4">
        <v>-71.66236014808571</v>
      </c>
      <c r="O1732" s="4">
        <v>3.725119306845714</v>
      </c>
      <c r="P1732" s="4" t="s">
        <v>1068</v>
      </c>
      <c r="Q1732" s="4" t="s">
        <v>743</v>
      </c>
      <c r="R1732" s="4" t="s">
        <v>730</v>
      </c>
      <c r="S1732" s="2">
        <v>46174.118058819447</v>
      </c>
      <c r="T1732" s="5">
        <v>4.9768518518518518E-7</v>
      </c>
      <c r="U1732" s="4">
        <v>1.6520591452717781E-4</v>
      </c>
      <c r="V1732" s="4" t="s">
        <v>1069</v>
      </c>
      <c r="W1732" s="4" t="s">
        <v>685</v>
      </c>
      <c r="X1732" s="6" t="s">
        <v>617</v>
      </c>
    </row>
    <row r="1733" spans="1:24">
      <c r="A1733" s="4" t="s">
        <v>1061</v>
      </c>
      <c r="B1733" s="4" t="s">
        <v>1062</v>
      </c>
      <c r="C1733" s="4" t="s">
        <v>1063</v>
      </c>
      <c r="D1733" s="4" t="s">
        <v>716</v>
      </c>
      <c r="E1733" s="4" t="s">
        <v>717</v>
      </c>
      <c r="M1733" s="4" t="s">
        <v>685</v>
      </c>
      <c r="N1733" s="4">
        <v>-71.662333924042855</v>
      </c>
      <c r="O1733" s="4">
        <v>3.725105263422857</v>
      </c>
      <c r="P1733" s="4" t="s">
        <v>1068</v>
      </c>
      <c r="Q1733" s="4" t="s">
        <v>743</v>
      </c>
      <c r="R1733" s="4" t="s">
        <v>730</v>
      </c>
      <c r="S1733" s="2">
        <v>46174.118068761571</v>
      </c>
      <c r="T1733" s="5">
        <v>3.7037037037037036E-7</v>
      </c>
      <c r="U1733" s="4">
        <v>1.22943936730735E-4</v>
      </c>
      <c r="V1733" s="4" t="s">
        <v>866</v>
      </c>
      <c r="W1733" s="4" t="s">
        <v>685</v>
      </c>
      <c r="X1733" s="6" t="s">
        <v>617</v>
      </c>
    </row>
    <row r="1734" spans="1:24">
      <c r="A1734" s="4" t="s">
        <v>1061</v>
      </c>
      <c r="B1734" s="4" t="s">
        <v>1062</v>
      </c>
      <c r="C1734" s="4" t="s">
        <v>1063</v>
      </c>
      <c r="D1734" s="4" t="s">
        <v>716</v>
      </c>
      <c r="E1734" s="4" t="s">
        <v>717</v>
      </c>
      <c r="M1734" s="4" t="s">
        <v>685</v>
      </c>
      <c r="N1734" s="4">
        <v>-71.654458700199996</v>
      </c>
      <c r="O1734" s="4">
        <v>3.7190756601000001</v>
      </c>
      <c r="P1734" s="4" t="s">
        <v>795</v>
      </c>
      <c r="Q1734" s="4" t="s">
        <v>743</v>
      </c>
      <c r="R1734" s="4" t="s">
        <v>730</v>
      </c>
      <c r="S1734" s="2">
        <v>46174.119725254626</v>
      </c>
      <c r="T1734" s="5">
        <v>2.4305555555555555E-7</v>
      </c>
      <c r="U1734" s="4">
        <v>6.5707507019396871E-5</v>
      </c>
      <c r="V1734" s="4" t="s">
        <v>1070</v>
      </c>
      <c r="W1734" s="4" t="s">
        <v>685</v>
      </c>
      <c r="X1734" s="6" t="s">
        <v>617</v>
      </c>
    </row>
    <row r="1735" spans="1:24">
      <c r="A1735" s="4" t="s">
        <v>1061</v>
      </c>
      <c r="B1735" s="4" t="s">
        <v>1062</v>
      </c>
      <c r="C1735" s="4" t="s">
        <v>1063</v>
      </c>
      <c r="D1735" s="4" t="s">
        <v>716</v>
      </c>
      <c r="E1735" s="4" t="s">
        <v>717</v>
      </c>
      <c r="M1735" s="4" t="s">
        <v>757</v>
      </c>
      <c r="N1735" s="4">
        <v>-71.657327061700002</v>
      </c>
      <c r="O1735" s="4">
        <v>3.722162947722</v>
      </c>
      <c r="P1735" s="4" t="s">
        <v>795</v>
      </c>
      <c r="Q1735" s="4" t="s">
        <v>743</v>
      </c>
      <c r="R1735" s="4" t="s">
        <v>730</v>
      </c>
      <c r="S1735" s="2">
        <v>46174.123323692133</v>
      </c>
      <c r="T1735" s="5">
        <v>2.4108796296296297E-5</v>
      </c>
      <c r="U1735" s="4">
        <v>2.1910170093178749E-2</v>
      </c>
      <c r="V1735" s="4" t="s">
        <v>758</v>
      </c>
      <c r="W1735" s="4" t="s">
        <v>757</v>
      </c>
      <c r="X1735" s="6" t="s">
        <v>617</v>
      </c>
    </row>
    <row r="1736" spans="1:24">
      <c r="A1736" s="4" t="s">
        <v>1061</v>
      </c>
      <c r="B1736" s="4" t="s">
        <v>1062</v>
      </c>
      <c r="C1736" s="4" t="s">
        <v>1063</v>
      </c>
      <c r="D1736" s="4" t="s">
        <v>716</v>
      </c>
      <c r="E1736" s="4" t="s">
        <v>717</v>
      </c>
      <c r="M1736" s="4" t="s">
        <v>685</v>
      </c>
      <c r="N1736" s="4">
        <v>-71.66087009040001</v>
      </c>
      <c r="O1736" s="4">
        <v>3.7247498396766665</v>
      </c>
      <c r="P1736" s="4" t="s">
        <v>1068</v>
      </c>
      <c r="Q1736" s="4" t="s">
        <v>743</v>
      </c>
      <c r="R1736" s="4" t="s">
        <v>730</v>
      </c>
      <c r="S1736" s="2">
        <v>46174.124018136572</v>
      </c>
      <c r="T1736" s="5">
        <v>1.2731481481481482E-7</v>
      </c>
      <c r="U1736" s="4">
        <v>8.8212305854540318E-5</v>
      </c>
      <c r="V1736" s="4" t="s">
        <v>1071</v>
      </c>
      <c r="W1736" s="4" t="s">
        <v>685</v>
      </c>
      <c r="X1736" s="6" t="s">
        <v>617</v>
      </c>
    </row>
    <row r="1737" spans="1:24">
      <c r="A1737" s="4" t="s">
        <v>1061</v>
      </c>
      <c r="B1737" s="4" t="s">
        <v>1062</v>
      </c>
      <c r="C1737" s="4" t="s">
        <v>1063</v>
      </c>
      <c r="D1737" s="4" t="s">
        <v>716</v>
      </c>
      <c r="E1737" s="4" t="s">
        <v>717</v>
      </c>
      <c r="M1737" s="4" t="s">
        <v>757</v>
      </c>
      <c r="N1737" s="4">
        <v>-71.671991375000005</v>
      </c>
      <c r="O1737" s="4">
        <v>3.7500469724999999</v>
      </c>
      <c r="P1737" s="4" t="s">
        <v>1072</v>
      </c>
      <c r="Q1737" s="4" t="s">
        <v>743</v>
      </c>
      <c r="R1737" s="4" t="s">
        <v>730</v>
      </c>
      <c r="S1737" s="2">
        <v>46174.128191550924</v>
      </c>
      <c r="T1737" s="5">
        <v>1.4467592592592593E-5</v>
      </c>
      <c r="U1737" s="4">
        <v>1.3736987486481667E-2</v>
      </c>
      <c r="V1737" s="4" t="s">
        <v>758</v>
      </c>
      <c r="W1737" s="4" t="s">
        <v>757</v>
      </c>
      <c r="X1737" s="6" t="s">
        <v>617</v>
      </c>
    </row>
    <row r="1738" spans="1:24">
      <c r="A1738" s="4" t="s">
        <v>1061</v>
      </c>
      <c r="B1738" s="4" t="s">
        <v>1062</v>
      </c>
      <c r="C1738" s="4" t="s">
        <v>1063</v>
      </c>
      <c r="D1738" s="4" t="s">
        <v>716</v>
      </c>
      <c r="E1738" s="4" t="s">
        <v>717</v>
      </c>
      <c r="M1738" s="4" t="s">
        <v>762</v>
      </c>
      <c r="N1738" s="4">
        <v>-71.662317222971424</v>
      </c>
      <c r="O1738" s="4">
        <v>3.7743446664857143</v>
      </c>
      <c r="P1738" s="4" t="s">
        <v>1033</v>
      </c>
      <c r="Q1738" s="4" t="s">
        <v>735</v>
      </c>
      <c r="R1738" s="4" t="s">
        <v>730</v>
      </c>
      <c r="S1738" s="2">
        <v>46174.133819259259</v>
      </c>
      <c r="T1738" s="5">
        <v>3.105324074074074E-5</v>
      </c>
      <c r="U1738" s="4">
        <v>2.3088885471224785E-2</v>
      </c>
      <c r="V1738" s="4" t="s">
        <v>781</v>
      </c>
      <c r="W1738" s="4" t="s">
        <v>762</v>
      </c>
      <c r="X1738" s="6" t="s">
        <v>617</v>
      </c>
    </row>
    <row r="1739" spans="1:24">
      <c r="A1739" s="4" t="s">
        <v>1061</v>
      </c>
      <c r="B1739" s="4" t="s">
        <v>1062</v>
      </c>
      <c r="C1739" s="4" t="s">
        <v>1063</v>
      </c>
      <c r="D1739" s="4" t="s">
        <v>716</v>
      </c>
      <c r="E1739" s="4" t="s">
        <v>717</v>
      </c>
      <c r="M1739" s="4" t="s">
        <v>614</v>
      </c>
      <c r="N1739" s="4">
        <v>-71.658462499999999</v>
      </c>
      <c r="O1739" s="4">
        <v>3.7752606900000001</v>
      </c>
      <c r="P1739" s="4" t="s">
        <v>1033</v>
      </c>
      <c r="Q1739" s="4" t="s">
        <v>735</v>
      </c>
      <c r="R1739" s="4" t="s">
        <v>730</v>
      </c>
      <c r="S1739" s="2">
        <v>46174.13484953704</v>
      </c>
      <c r="T1739" s="5">
        <v>3.9699074074074072E-3</v>
      </c>
      <c r="U1739" s="4">
        <v>1.8108960939571261E-3</v>
      </c>
      <c r="V1739" s="4" t="s">
        <v>616</v>
      </c>
      <c r="W1739" s="4" t="s">
        <v>614</v>
      </c>
      <c r="X1739" s="6" t="s">
        <v>617</v>
      </c>
    </row>
    <row r="1740" spans="1:24">
      <c r="A1740" s="4" t="s">
        <v>1061</v>
      </c>
      <c r="B1740" s="4" t="s">
        <v>1062</v>
      </c>
      <c r="C1740" s="4" t="s">
        <v>1063</v>
      </c>
      <c r="D1740" s="4" t="s">
        <v>716</v>
      </c>
      <c r="E1740" s="4" t="s">
        <v>717</v>
      </c>
      <c r="M1740" s="4" t="s">
        <v>762</v>
      </c>
      <c r="N1740" s="4">
        <v>-71.65469745</v>
      </c>
      <c r="O1740" s="4">
        <v>3.7725857500000002</v>
      </c>
      <c r="P1740" s="4" t="s">
        <v>785</v>
      </c>
      <c r="Q1740" s="4" t="s">
        <v>735</v>
      </c>
      <c r="R1740" s="4" t="s">
        <v>730</v>
      </c>
      <c r="S1740" s="2">
        <v>46174.139953703707</v>
      </c>
      <c r="T1740" s="5">
        <v>3.7037037037037037E-5</v>
      </c>
      <c r="U1740" s="4">
        <v>2.6460867375135422E-2</v>
      </c>
      <c r="V1740" s="4" t="s">
        <v>763</v>
      </c>
      <c r="W1740" s="4" t="s">
        <v>762</v>
      </c>
      <c r="X1740" s="6" t="s">
        <v>617</v>
      </c>
    </row>
    <row r="1741" spans="1:24">
      <c r="A1741" s="4" t="s">
        <v>1061</v>
      </c>
      <c r="B1741" s="4" t="s">
        <v>1062</v>
      </c>
      <c r="C1741" s="4" t="s">
        <v>1063</v>
      </c>
      <c r="D1741" s="4" t="s">
        <v>716</v>
      </c>
      <c r="E1741" s="4" t="s">
        <v>717</v>
      </c>
      <c r="M1741" s="4" t="s">
        <v>614</v>
      </c>
      <c r="N1741" s="4">
        <v>-71.625488300000001</v>
      </c>
      <c r="O1741" s="4">
        <v>3.7393016800000001</v>
      </c>
      <c r="P1741" s="4" t="s">
        <v>795</v>
      </c>
      <c r="Q1741" s="4" t="s">
        <v>743</v>
      </c>
      <c r="R1741" s="4" t="s">
        <v>730</v>
      </c>
      <c r="S1741" s="2">
        <v>46174.151018518518</v>
      </c>
      <c r="T1741" s="5">
        <v>5.7754629629629631E-3</v>
      </c>
      <c r="U1741" s="4">
        <v>0</v>
      </c>
      <c r="V1741" s="4" t="s">
        <v>616</v>
      </c>
      <c r="W1741" s="4" t="s">
        <v>614</v>
      </c>
      <c r="X1741" s="6" t="s">
        <v>617</v>
      </c>
    </row>
    <row r="1742" spans="1:24">
      <c r="A1742" s="4" t="s">
        <v>1061</v>
      </c>
      <c r="B1742" s="4" t="s">
        <v>1062</v>
      </c>
      <c r="C1742" s="4" t="s">
        <v>1063</v>
      </c>
      <c r="D1742" s="4" t="s">
        <v>716</v>
      </c>
      <c r="E1742" s="4" t="s">
        <v>717</v>
      </c>
      <c r="M1742" s="4" t="s">
        <v>757</v>
      </c>
      <c r="N1742" s="4">
        <v>-71.628481862499996</v>
      </c>
      <c r="O1742" s="4">
        <v>3.7426885925000004</v>
      </c>
      <c r="P1742" s="4" t="s">
        <v>795</v>
      </c>
      <c r="Q1742" s="4" t="s">
        <v>743</v>
      </c>
      <c r="R1742" s="4" t="s">
        <v>730</v>
      </c>
      <c r="S1742" s="2">
        <v>46174.158275462964</v>
      </c>
      <c r="T1742" s="5">
        <v>1.7361211111111111E-5</v>
      </c>
      <c r="U1742" s="4">
        <v>1.5314759686589241E-2</v>
      </c>
      <c r="V1742" s="4" t="s">
        <v>758</v>
      </c>
      <c r="W1742" s="4" t="s">
        <v>757</v>
      </c>
      <c r="X1742" s="6" t="s">
        <v>617</v>
      </c>
    </row>
    <row r="1743" spans="1:24">
      <c r="A1743" s="4" t="s">
        <v>1061</v>
      </c>
      <c r="B1743" s="4" t="s">
        <v>1062</v>
      </c>
      <c r="C1743" s="4" t="s">
        <v>1063</v>
      </c>
      <c r="D1743" s="4" t="s">
        <v>716</v>
      </c>
      <c r="E1743" s="4" t="s">
        <v>717</v>
      </c>
      <c r="M1743" s="4" t="s">
        <v>645</v>
      </c>
      <c r="N1743" s="4">
        <v>-71.636698603157896</v>
      </c>
      <c r="O1743" s="4">
        <v>3.7843127760631581</v>
      </c>
      <c r="P1743" s="4" t="s">
        <v>718</v>
      </c>
      <c r="Q1743" s="4" t="s">
        <v>719</v>
      </c>
      <c r="R1743" s="4" t="s">
        <v>720</v>
      </c>
      <c r="S1743" s="2">
        <v>46174.168143287039</v>
      </c>
      <c r="T1743" s="5">
        <v>2.6062500000000001E-4</v>
      </c>
      <c r="U1743" s="4">
        <v>0.18281574547290802</v>
      </c>
      <c r="V1743" s="4" t="s">
        <v>781</v>
      </c>
      <c r="W1743" s="4" t="s">
        <v>645</v>
      </c>
      <c r="X1743" s="6" t="s">
        <v>617</v>
      </c>
    </row>
    <row r="1744" spans="1:24">
      <c r="A1744" s="4" t="s">
        <v>1061</v>
      </c>
      <c r="B1744" s="4" t="s">
        <v>1062</v>
      </c>
      <c r="C1744" s="4" t="s">
        <v>1063</v>
      </c>
      <c r="D1744" s="4" t="s">
        <v>716</v>
      </c>
      <c r="E1744" s="4" t="s">
        <v>717</v>
      </c>
      <c r="M1744" s="4" t="s">
        <v>762</v>
      </c>
      <c r="N1744" s="4">
        <v>-71.635730774999999</v>
      </c>
      <c r="O1744" s="4">
        <v>3.784209545</v>
      </c>
      <c r="P1744" s="4" t="s">
        <v>718</v>
      </c>
      <c r="Q1744" s="4" t="s">
        <v>719</v>
      </c>
      <c r="R1744" s="4" t="s">
        <v>720</v>
      </c>
      <c r="S1744" s="2">
        <v>46174.168298611112</v>
      </c>
      <c r="T1744" s="5">
        <v>5.4560185185185186E-5</v>
      </c>
      <c r="U1744" s="4">
        <v>4.0628407150506973E-2</v>
      </c>
      <c r="V1744" s="4" t="s">
        <v>781</v>
      </c>
      <c r="W1744" s="4" t="s">
        <v>762</v>
      </c>
      <c r="X1744" s="6" t="s">
        <v>617</v>
      </c>
    </row>
    <row r="1745" spans="1:24">
      <c r="A1745" s="4" t="s">
        <v>1061</v>
      </c>
      <c r="B1745" s="4" t="s">
        <v>1062</v>
      </c>
      <c r="C1745" s="4" t="s">
        <v>1063</v>
      </c>
      <c r="D1745" s="4" t="s">
        <v>716</v>
      </c>
      <c r="E1745" s="4" t="s">
        <v>717</v>
      </c>
      <c r="M1745" s="4" t="s">
        <v>656</v>
      </c>
      <c r="N1745" s="4">
        <v>-71.634063699999999</v>
      </c>
      <c r="O1745" s="4">
        <v>3.7838149099999998</v>
      </c>
      <c r="P1745" s="4" t="s">
        <v>742</v>
      </c>
      <c r="Q1745" s="4" t="s">
        <v>743</v>
      </c>
      <c r="R1745" s="4" t="s">
        <v>730</v>
      </c>
      <c r="S1745" s="2">
        <v>46174.168587962966</v>
      </c>
      <c r="T1745" s="5">
        <v>4.3981481481481481E-4</v>
      </c>
      <c r="U1745" s="4">
        <v>0.28358736634254456</v>
      </c>
      <c r="V1745" s="4" t="s">
        <v>801</v>
      </c>
      <c r="W1745" s="4" t="s">
        <v>656</v>
      </c>
      <c r="X1745" s="6" t="s">
        <v>617</v>
      </c>
    </row>
    <row r="1746" spans="1:24">
      <c r="A1746" s="4" t="s">
        <v>1061</v>
      </c>
      <c r="B1746" s="4" t="s">
        <v>1062</v>
      </c>
      <c r="C1746" s="4" t="s">
        <v>1063</v>
      </c>
      <c r="D1746" s="4" t="s">
        <v>716</v>
      </c>
      <c r="E1746" s="4" t="s">
        <v>717</v>
      </c>
      <c r="M1746" s="4" t="s">
        <v>645</v>
      </c>
      <c r="N1746" s="4">
        <v>-71.634500519439996</v>
      </c>
      <c r="O1746" s="4">
        <v>3.7813690315519999</v>
      </c>
      <c r="P1746" s="4" t="s">
        <v>800</v>
      </c>
      <c r="Q1746" s="4" t="s">
        <v>746</v>
      </c>
      <c r="R1746" s="4" t="s">
        <v>720</v>
      </c>
      <c r="S1746" s="2">
        <v>46174.169097083337</v>
      </c>
      <c r="T1746" s="5">
        <v>4.584722222222222E-4</v>
      </c>
      <c r="U1746" s="4">
        <v>0.15019766986370087</v>
      </c>
      <c r="V1746" s="4" t="s">
        <v>752</v>
      </c>
      <c r="W1746" s="4" t="s">
        <v>645</v>
      </c>
      <c r="X1746" s="6" t="s">
        <v>617</v>
      </c>
    </row>
    <row r="1747" spans="1:24">
      <c r="A1747" s="4" t="s">
        <v>1061</v>
      </c>
      <c r="B1747" s="4" t="s">
        <v>1062</v>
      </c>
      <c r="C1747" s="4" t="s">
        <v>1063</v>
      </c>
      <c r="D1747" s="4" t="s">
        <v>716</v>
      </c>
      <c r="E1747" s="4" t="s">
        <v>717</v>
      </c>
      <c r="M1747" s="4" t="s">
        <v>645</v>
      </c>
      <c r="N1747" s="4">
        <v>-71.633956900000001</v>
      </c>
      <c r="O1747" s="4">
        <v>3.7811696499999998</v>
      </c>
      <c r="P1747" s="4" t="s">
        <v>800</v>
      </c>
      <c r="Q1747" s="4" t="s">
        <v>746</v>
      </c>
      <c r="R1747" s="4" t="s">
        <v>720</v>
      </c>
      <c r="S1747" s="2">
        <v>46174.206759259258</v>
      </c>
      <c r="T1747" s="5">
        <v>2.1605324074074075E-4</v>
      </c>
      <c r="U1747" s="4">
        <v>5.6173048913478851E-2</v>
      </c>
      <c r="V1747" s="4" t="s">
        <v>724</v>
      </c>
      <c r="W1747" s="4" t="s">
        <v>645</v>
      </c>
      <c r="X1747" s="6" t="s">
        <v>617</v>
      </c>
    </row>
    <row r="1748" spans="1:24">
      <c r="A1748" s="4" t="s">
        <v>1061</v>
      </c>
      <c r="B1748" s="4" t="s">
        <v>1062</v>
      </c>
      <c r="C1748" s="4" t="s">
        <v>1063</v>
      </c>
      <c r="D1748" s="4" t="s">
        <v>716</v>
      </c>
      <c r="E1748" s="4" t="s">
        <v>717</v>
      </c>
      <c r="M1748" s="4" t="s">
        <v>656</v>
      </c>
      <c r="N1748" s="4">
        <v>-71.634529099999995</v>
      </c>
      <c r="O1748" s="4">
        <v>3.7817392299999999</v>
      </c>
      <c r="P1748" s="4" t="s">
        <v>742</v>
      </c>
      <c r="Q1748" s="4" t="s">
        <v>743</v>
      </c>
      <c r="R1748" s="4" t="s">
        <v>730</v>
      </c>
      <c r="S1748" s="2">
        <v>46174.207187499997</v>
      </c>
      <c r="T1748" s="5">
        <v>6.2500000000000001E-4</v>
      </c>
      <c r="U1748" s="4">
        <v>0.29469990730285645</v>
      </c>
      <c r="V1748" s="4" t="s">
        <v>865</v>
      </c>
      <c r="W1748" s="4" t="s">
        <v>656</v>
      </c>
      <c r="X1748" s="6" t="s">
        <v>617</v>
      </c>
    </row>
    <row r="1749" spans="1:24">
      <c r="A1749" s="4" t="s">
        <v>1061</v>
      </c>
      <c r="B1749" s="4" t="s">
        <v>1062</v>
      </c>
      <c r="C1749" s="4" t="s">
        <v>1063</v>
      </c>
      <c r="D1749" s="4" t="s">
        <v>716</v>
      </c>
      <c r="E1749" s="4" t="s">
        <v>717</v>
      </c>
      <c r="M1749" s="4" t="s">
        <v>762</v>
      </c>
      <c r="N1749" s="4">
        <v>-71.639139752346665</v>
      </c>
      <c r="O1749" s="4">
        <v>3.7844425825500001</v>
      </c>
      <c r="P1749" s="4" t="s">
        <v>734</v>
      </c>
      <c r="Q1749" s="4" t="s">
        <v>735</v>
      </c>
      <c r="R1749" s="4" t="s">
        <v>730</v>
      </c>
      <c r="S1749" s="2">
        <v>46174.216211423613</v>
      </c>
      <c r="T1749" s="5">
        <v>1.7361111111111112E-4</v>
      </c>
      <c r="U1749" s="4">
        <v>0.13140201568603516</v>
      </c>
      <c r="V1749" s="4" t="s">
        <v>784</v>
      </c>
      <c r="W1749" s="4" t="s">
        <v>762</v>
      </c>
      <c r="X1749" s="6" t="s">
        <v>617</v>
      </c>
    </row>
    <row r="1750" spans="1:24">
      <c r="A1750" s="4" t="s">
        <v>1061</v>
      </c>
      <c r="B1750" s="4" t="s">
        <v>1062</v>
      </c>
      <c r="C1750" s="4" t="s">
        <v>1063</v>
      </c>
      <c r="D1750" s="4" t="s">
        <v>716</v>
      </c>
      <c r="E1750" s="4" t="s">
        <v>717</v>
      </c>
      <c r="M1750" s="4" t="s">
        <v>645</v>
      </c>
      <c r="N1750" s="4">
        <v>-71.636698608909086</v>
      </c>
      <c r="O1750" s="4">
        <v>3.7843189232690908</v>
      </c>
      <c r="P1750" s="4" t="s">
        <v>718</v>
      </c>
      <c r="Q1750" s="4" t="s">
        <v>719</v>
      </c>
      <c r="R1750" s="4" t="s">
        <v>720</v>
      </c>
      <c r="S1750" s="2">
        <v>46174.216593101854</v>
      </c>
      <c r="T1750" s="5">
        <v>2.9285879629629627E-4</v>
      </c>
      <c r="U1750" s="4">
        <v>0.18443521857261658</v>
      </c>
      <c r="V1750" s="4" t="s">
        <v>783</v>
      </c>
      <c r="W1750" s="4" t="s">
        <v>645</v>
      </c>
      <c r="X1750" s="6" t="s">
        <v>617</v>
      </c>
    </row>
    <row r="1751" spans="1:24">
      <c r="A1751" s="4" t="s">
        <v>1061</v>
      </c>
      <c r="B1751" s="4" t="s">
        <v>1062</v>
      </c>
      <c r="C1751" s="4" t="s">
        <v>1063</v>
      </c>
      <c r="D1751" s="4" t="s">
        <v>716</v>
      </c>
      <c r="E1751" s="4" t="s">
        <v>717</v>
      </c>
      <c r="M1751" s="4" t="s">
        <v>645</v>
      </c>
      <c r="N1751" s="4">
        <v>-71.6264474898</v>
      </c>
      <c r="O1751" s="4">
        <v>3.7808709362999999</v>
      </c>
      <c r="P1751" s="4" t="s">
        <v>729</v>
      </c>
      <c r="Q1751" s="4" t="s">
        <v>723</v>
      </c>
      <c r="R1751" s="4" t="s">
        <v>730</v>
      </c>
      <c r="S1751" s="2">
        <v>46174.218744282407</v>
      </c>
      <c r="T1751" s="5">
        <v>2.0601851851851853E-5</v>
      </c>
      <c r="U1751" s="4">
        <v>5.0906953401863575E-3</v>
      </c>
      <c r="V1751" s="4" t="s">
        <v>731</v>
      </c>
      <c r="W1751" s="4" t="s">
        <v>645</v>
      </c>
      <c r="X1751" s="6" t="s">
        <v>617</v>
      </c>
    </row>
    <row r="1752" spans="1:24">
      <c r="A1752" s="4" t="s">
        <v>1061</v>
      </c>
      <c r="B1752" s="4" t="s">
        <v>1062</v>
      </c>
      <c r="C1752" s="4" t="s">
        <v>1063</v>
      </c>
      <c r="D1752" s="4" t="s">
        <v>716</v>
      </c>
      <c r="E1752" s="4" t="s">
        <v>717</v>
      </c>
      <c r="M1752" s="4" t="s">
        <v>614</v>
      </c>
      <c r="N1752" s="4">
        <v>-71.6257248</v>
      </c>
      <c r="O1752" s="4">
        <v>3.7807595699999998</v>
      </c>
      <c r="P1752" s="4" t="s">
        <v>726</v>
      </c>
      <c r="Q1752" s="4" t="s">
        <v>727</v>
      </c>
      <c r="R1752" s="4" t="s">
        <v>720</v>
      </c>
      <c r="S1752" s="2">
        <v>46174.219652777778</v>
      </c>
      <c r="T1752" s="5">
        <v>5.4632407407407407E-3</v>
      </c>
      <c r="U1752" s="4">
        <v>1.8748926231637597E-3</v>
      </c>
      <c r="V1752" s="4" t="s">
        <v>616</v>
      </c>
      <c r="W1752" s="4" t="s">
        <v>614</v>
      </c>
      <c r="X1752" s="6" t="s">
        <v>617</v>
      </c>
    </row>
    <row r="1753" spans="1:24">
      <c r="A1753" s="4" t="s">
        <v>1061</v>
      </c>
      <c r="B1753" s="4" t="s">
        <v>1062</v>
      </c>
      <c r="C1753" s="4" t="s">
        <v>1063</v>
      </c>
      <c r="D1753" s="4" t="s">
        <v>716</v>
      </c>
      <c r="E1753" s="4" t="s">
        <v>717</v>
      </c>
      <c r="M1753" s="4" t="s">
        <v>656</v>
      </c>
      <c r="N1753" s="4">
        <v>-71.634002699999996</v>
      </c>
      <c r="O1753" s="4">
        <v>3.7838723700000001</v>
      </c>
      <c r="P1753" s="4" t="s">
        <v>734</v>
      </c>
      <c r="Q1753" s="4" t="s">
        <v>735</v>
      </c>
      <c r="R1753" s="4" t="s">
        <v>730</v>
      </c>
      <c r="S1753" s="2">
        <v>46174.261018518519</v>
      </c>
      <c r="T1753" s="5">
        <v>6.3657407407407413E-4</v>
      </c>
      <c r="U1753" s="4">
        <v>0.28986743092536926</v>
      </c>
      <c r="V1753" s="4" t="s">
        <v>865</v>
      </c>
      <c r="W1753" s="4" t="s">
        <v>656</v>
      </c>
      <c r="X1753" s="6" t="s">
        <v>617</v>
      </c>
    </row>
    <row r="1754" spans="1:24">
      <c r="A1754" s="4" t="s">
        <v>1061</v>
      </c>
      <c r="B1754" s="4" t="s">
        <v>1062</v>
      </c>
      <c r="C1754" s="4" t="s">
        <v>1063</v>
      </c>
      <c r="D1754" s="4" t="s">
        <v>716</v>
      </c>
      <c r="E1754" s="4" t="s">
        <v>717</v>
      </c>
      <c r="M1754" s="4" t="s">
        <v>645</v>
      </c>
      <c r="N1754" s="4">
        <v>-71.634506576746674</v>
      </c>
      <c r="O1754" s="4">
        <v>3.7813358004293334</v>
      </c>
      <c r="P1754" s="4" t="s">
        <v>800</v>
      </c>
      <c r="Q1754" s="4" t="s">
        <v>746</v>
      </c>
      <c r="R1754" s="4" t="s">
        <v>720</v>
      </c>
      <c r="S1754" s="2">
        <v>46174.261750509257</v>
      </c>
      <c r="T1754" s="5">
        <v>5.4260416666666671E-4</v>
      </c>
      <c r="U1754" s="4">
        <v>0.15743044018745422</v>
      </c>
      <c r="V1754" s="4" t="s">
        <v>666</v>
      </c>
      <c r="W1754" s="4" t="s">
        <v>645</v>
      </c>
      <c r="X1754" s="6" t="s">
        <v>617</v>
      </c>
    </row>
    <row r="1755" spans="1:24">
      <c r="A1755" s="4" t="s">
        <v>1061</v>
      </c>
      <c r="B1755" s="4" t="s">
        <v>1062</v>
      </c>
      <c r="C1755" s="4" t="s">
        <v>1063</v>
      </c>
      <c r="D1755" s="4" t="s">
        <v>716</v>
      </c>
      <c r="E1755" s="4" t="s">
        <v>717</v>
      </c>
      <c r="M1755" s="4" t="s">
        <v>645</v>
      </c>
      <c r="N1755" s="4">
        <v>-71.634300199999998</v>
      </c>
      <c r="O1755" s="4">
        <v>3.7812695500000002</v>
      </c>
      <c r="P1755" s="4" t="s">
        <v>800</v>
      </c>
      <c r="Q1755" s="4" t="s">
        <v>746</v>
      </c>
      <c r="R1755" s="4" t="s">
        <v>720</v>
      </c>
      <c r="S1755" s="2">
        <v>46174.34498361111</v>
      </c>
      <c r="T1755" s="5">
        <v>8.714120370370371E-5</v>
      </c>
      <c r="U1755" s="4">
        <v>2.4821512401103973E-2</v>
      </c>
      <c r="V1755" s="4" t="s">
        <v>728</v>
      </c>
      <c r="W1755" s="4" t="s">
        <v>645</v>
      </c>
      <c r="X1755" s="6" t="s">
        <v>617</v>
      </c>
    </row>
    <row r="1756" spans="1:24">
      <c r="A1756" s="4" t="s">
        <v>1061</v>
      </c>
      <c r="B1756" s="4" t="s">
        <v>1062</v>
      </c>
      <c r="C1756" s="4" t="s">
        <v>1063</v>
      </c>
      <c r="D1756" s="4" t="s">
        <v>716</v>
      </c>
      <c r="E1756" s="4" t="s">
        <v>717</v>
      </c>
      <c r="M1756" s="4" t="s">
        <v>656</v>
      </c>
      <c r="N1756" s="4">
        <v>-71.634584764107686</v>
      </c>
      <c r="O1756" s="4">
        <v>3.7814907147238461</v>
      </c>
      <c r="P1756" s="4" t="s">
        <v>742</v>
      </c>
      <c r="Q1756" s="4" t="s">
        <v>743</v>
      </c>
      <c r="R1756" s="4" t="s">
        <v>730</v>
      </c>
      <c r="S1756" s="2">
        <v>46174.345155474541</v>
      </c>
      <c r="T1756" s="5">
        <v>5.621180555555555E-4</v>
      </c>
      <c r="U1756" s="4">
        <v>0.29233595728874207</v>
      </c>
      <c r="V1756" s="4" t="s">
        <v>829</v>
      </c>
      <c r="W1756" s="4" t="s">
        <v>656</v>
      </c>
      <c r="X1756" s="6" t="s">
        <v>617</v>
      </c>
    </row>
    <row r="1757" spans="1:24">
      <c r="A1757" s="4" t="s">
        <v>1061</v>
      </c>
      <c r="B1757" s="4" t="s">
        <v>1062</v>
      </c>
      <c r="C1757" s="4" t="s">
        <v>1063</v>
      </c>
      <c r="D1757" s="4" t="s">
        <v>716</v>
      </c>
      <c r="E1757" s="4" t="s">
        <v>717</v>
      </c>
      <c r="M1757" s="4" t="s">
        <v>645</v>
      </c>
      <c r="N1757" s="4">
        <v>-71.63505907470001</v>
      </c>
      <c r="O1757" s="4">
        <v>3.7842158600707694</v>
      </c>
      <c r="P1757" s="4" t="s">
        <v>718</v>
      </c>
      <c r="Q1757" s="4" t="s">
        <v>719</v>
      </c>
      <c r="R1757" s="4" t="s">
        <v>720</v>
      </c>
      <c r="S1757" s="2">
        <v>46174.346003495368</v>
      </c>
      <c r="T1757" s="5">
        <v>2.899074074074074E-4</v>
      </c>
      <c r="U1757" s="4">
        <v>0.18345679342746735</v>
      </c>
      <c r="V1757" s="4" t="s">
        <v>789</v>
      </c>
      <c r="W1757" s="4" t="s">
        <v>645</v>
      </c>
      <c r="X1757" s="6" t="s">
        <v>617</v>
      </c>
    </row>
    <row r="1758" spans="1:24">
      <c r="A1758" s="4" t="s">
        <v>1061</v>
      </c>
      <c r="B1758" s="4" t="s">
        <v>1062</v>
      </c>
      <c r="C1758" s="4" t="s">
        <v>1063</v>
      </c>
      <c r="D1758" s="4" t="s">
        <v>716</v>
      </c>
      <c r="E1758" s="4" t="s">
        <v>717</v>
      </c>
      <c r="M1758" s="4" t="s">
        <v>754</v>
      </c>
      <c r="N1758" s="4">
        <v>-71.639335594275011</v>
      </c>
      <c r="O1758" s="4">
        <v>3.7065273999100001</v>
      </c>
      <c r="P1758" s="4" t="s">
        <v>1073</v>
      </c>
      <c r="Q1758" s="4" t="s">
        <v>743</v>
      </c>
      <c r="R1758" s="4" t="s">
        <v>730</v>
      </c>
      <c r="S1758" s="2">
        <v>46174.370540127318</v>
      </c>
      <c r="T1758" s="5">
        <v>3.2025462962962962E-5</v>
      </c>
      <c r="U1758" s="4">
        <v>9.5915189012885094E-3</v>
      </c>
      <c r="V1758" s="4" t="s">
        <v>790</v>
      </c>
      <c r="W1758" s="4" t="s">
        <v>754</v>
      </c>
      <c r="X1758" s="6" t="s">
        <v>617</v>
      </c>
    </row>
    <row r="1759" spans="1:24">
      <c r="A1759" s="4" t="s">
        <v>1061</v>
      </c>
      <c r="B1759" s="4" t="s">
        <v>1062</v>
      </c>
      <c r="C1759" s="4" t="s">
        <v>1063</v>
      </c>
      <c r="D1759" s="4" t="s">
        <v>716</v>
      </c>
      <c r="E1759" s="4" t="s">
        <v>717</v>
      </c>
      <c r="M1759" s="4" t="s">
        <v>614</v>
      </c>
      <c r="N1759" s="4">
        <v>-71.637832599999996</v>
      </c>
      <c r="O1759" s="4">
        <v>3.7125120200000001</v>
      </c>
      <c r="P1759" s="4" t="s">
        <v>1073</v>
      </c>
      <c r="Q1759" s="4" t="s">
        <v>743</v>
      </c>
      <c r="R1759" s="4" t="s">
        <v>730</v>
      </c>
      <c r="S1759" s="2">
        <v>46174.372002314813</v>
      </c>
      <c r="T1759" s="5">
        <v>8.1018518518518514E-3</v>
      </c>
      <c r="U1759" s="4">
        <v>0</v>
      </c>
      <c r="V1759" s="4" t="s">
        <v>616</v>
      </c>
      <c r="W1759" s="4" t="s">
        <v>614</v>
      </c>
      <c r="X1759" s="6" t="s">
        <v>617</v>
      </c>
    </row>
    <row r="1760" spans="1:24">
      <c r="A1760" s="4" t="s">
        <v>1061</v>
      </c>
      <c r="B1760" s="4" t="s">
        <v>1062</v>
      </c>
      <c r="C1760" s="4" t="s">
        <v>1063</v>
      </c>
      <c r="D1760" s="4" t="s">
        <v>716</v>
      </c>
      <c r="E1760" s="4" t="s">
        <v>717</v>
      </c>
      <c r="M1760" s="4" t="s">
        <v>754</v>
      </c>
      <c r="N1760" s="4">
        <v>-71.613305639999993</v>
      </c>
      <c r="O1760" s="4">
        <v>3.6927975160000002</v>
      </c>
      <c r="P1760" s="4" t="s">
        <v>795</v>
      </c>
      <c r="Q1760" s="4" t="s">
        <v>743</v>
      </c>
      <c r="R1760" s="4" t="s">
        <v>730</v>
      </c>
      <c r="S1760" s="2">
        <v>46174.451905092596</v>
      </c>
      <c r="T1760" s="5">
        <v>4.8608796296296296E-4</v>
      </c>
      <c r="U1760" s="4">
        <v>0.22257652878761292</v>
      </c>
      <c r="V1760" s="4" t="s">
        <v>1074</v>
      </c>
      <c r="W1760" s="4" t="s">
        <v>754</v>
      </c>
      <c r="X1760" s="6" t="s">
        <v>617</v>
      </c>
    </row>
    <row r="1761" spans="1:24">
      <c r="A1761" s="4" t="s">
        <v>1061</v>
      </c>
      <c r="B1761" s="4" t="s">
        <v>1062</v>
      </c>
      <c r="C1761" s="4" t="s">
        <v>1063</v>
      </c>
      <c r="D1761" s="4" t="s">
        <v>716</v>
      </c>
      <c r="E1761" s="4" t="s">
        <v>717</v>
      </c>
      <c r="M1761" s="4" t="s">
        <v>754</v>
      </c>
      <c r="N1761" s="4">
        <v>-71.61921689345715</v>
      </c>
      <c r="O1761" s="4">
        <v>3.6997930203814287</v>
      </c>
      <c r="P1761" s="4" t="s">
        <v>795</v>
      </c>
      <c r="Q1761" s="4" t="s">
        <v>743</v>
      </c>
      <c r="R1761" s="4" t="s">
        <v>730</v>
      </c>
      <c r="S1761" s="2">
        <v>46174.468568668985</v>
      </c>
      <c r="T1761" s="5">
        <v>9.1087962962962967E-5</v>
      </c>
      <c r="U1761" s="4">
        <v>2.3495674133300781E-2</v>
      </c>
      <c r="V1761" s="4" t="s">
        <v>810</v>
      </c>
      <c r="W1761" s="4" t="s">
        <v>754</v>
      </c>
      <c r="X1761" s="6" t="s">
        <v>617</v>
      </c>
    </row>
    <row r="1762" spans="1:24">
      <c r="A1762" s="4" t="s">
        <v>1061</v>
      </c>
      <c r="B1762" s="4" t="s">
        <v>1062</v>
      </c>
      <c r="C1762" s="4" t="s">
        <v>1063</v>
      </c>
      <c r="D1762" s="4" t="s">
        <v>716</v>
      </c>
      <c r="E1762" s="4" t="s">
        <v>717</v>
      </c>
      <c r="M1762" s="4" t="s">
        <v>757</v>
      </c>
      <c r="N1762" s="4">
        <v>-71.622938277327265</v>
      </c>
      <c r="O1762" s="4">
        <v>3.7067013854590907</v>
      </c>
      <c r="P1762" s="4" t="s">
        <v>795</v>
      </c>
      <c r="Q1762" s="4" t="s">
        <v>743</v>
      </c>
      <c r="R1762" s="4" t="s">
        <v>730</v>
      </c>
      <c r="S1762" s="2">
        <v>46174.470166122686</v>
      </c>
      <c r="T1762" s="5">
        <v>1.9062499999999999E-5</v>
      </c>
      <c r="U1762" s="4">
        <v>1.617191918194294E-2</v>
      </c>
      <c r="V1762" s="4" t="s">
        <v>758</v>
      </c>
      <c r="W1762" s="4" t="s">
        <v>757</v>
      </c>
      <c r="X1762" s="6" t="s">
        <v>617</v>
      </c>
    </row>
    <row r="1763" spans="1:24">
      <c r="A1763" s="4" t="s">
        <v>1061</v>
      </c>
      <c r="B1763" s="4" t="s">
        <v>1062</v>
      </c>
      <c r="C1763" s="4" t="s">
        <v>1063</v>
      </c>
      <c r="D1763" s="4" t="s">
        <v>716</v>
      </c>
      <c r="E1763" s="4" t="s">
        <v>717</v>
      </c>
      <c r="M1763" s="4" t="s">
        <v>757</v>
      </c>
      <c r="N1763" s="4">
        <v>-71.630132672885722</v>
      </c>
      <c r="O1763" s="4">
        <v>3.7159449452085713</v>
      </c>
      <c r="P1763" s="4" t="s">
        <v>795</v>
      </c>
      <c r="Q1763" s="4" t="s">
        <v>743</v>
      </c>
      <c r="R1763" s="4" t="s">
        <v>730</v>
      </c>
      <c r="S1763" s="2">
        <v>46174.472007141201</v>
      </c>
      <c r="T1763" s="5">
        <v>2.1215277777777779E-5</v>
      </c>
      <c r="U1763" s="4">
        <v>1.9385270774364471E-2</v>
      </c>
      <c r="V1763" s="4" t="s">
        <v>758</v>
      </c>
      <c r="W1763" s="4" t="s">
        <v>757</v>
      </c>
      <c r="X1763" s="6" t="s">
        <v>617</v>
      </c>
    </row>
    <row r="1764" spans="1:24">
      <c r="A1764" s="4" t="s">
        <v>1061</v>
      </c>
      <c r="B1764" s="4" t="s">
        <v>1062</v>
      </c>
      <c r="C1764" s="4" t="s">
        <v>1063</v>
      </c>
      <c r="D1764" s="4" t="s">
        <v>716</v>
      </c>
      <c r="E1764" s="4" t="s">
        <v>717</v>
      </c>
      <c r="M1764" s="4" t="s">
        <v>757</v>
      </c>
      <c r="N1764" s="4">
        <v>-71.640688550000007</v>
      </c>
      <c r="O1764" s="4">
        <v>3.7250908216666665</v>
      </c>
      <c r="P1764" s="4" t="s">
        <v>795</v>
      </c>
      <c r="Q1764" s="4" t="s">
        <v>743</v>
      </c>
      <c r="R1764" s="4" t="s">
        <v>730</v>
      </c>
      <c r="S1764" s="2">
        <v>46174.478408564915</v>
      </c>
      <c r="T1764" s="5">
        <v>9.6412037037037036E-6</v>
      </c>
      <c r="U1764" s="4">
        <v>8.5446136072278023E-3</v>
      </c>
      <c r="V1764" s="4" t="s">
        <v>758</v>
      </c>
      <c r="W1764" s="4" t="s">
        <v>757</v>
      </c>
      <c r="X1764" s="6" t="s">
        <v>617</v>
      </c>
    </row>
    <row r="1765" spans="1:24">
      <c r="A1765" s="4" t="s">
        <v>1061</v>
      </c>
      <c r="B1765" s="4" t="s">
        <v>1062</v>
      </c>
      <c r="C1765" s="4" t="s">
        <v>1063</v>
      </c>
      <c r="D1765" s="4" t="s">
        <v>716</v>
      </c>
      <c r="E1765" s="4" t="s">
        <v>717</v>
      </c>
      <c r="M1765" s="4" t="s">
        <v>614</v>
      </c>
      <c r="N1765" s="4">
        <v>-71.644996599999999</v>
      </c>
      <c r="O1765" s="4">
        <v>3.7197368100000001</v>
      </c>
      <c r="P1765" s="4" t="s">
        <v>795</v>
      </c>
      <c r="Q1765" s="4" t="s">
        <v>743</v>
      </c>
      <c r="R1765" s="4" t="s">
        <v>730</v>
      </c>
      <c r="S1765" s="2">
        <v>46174.479849537034</v>
      </c>
      <c r="T1765" s="5">
        <v>6.9328703703703705E-3</v>
      </c>
      <c r="U1765" s="4">
        <v>7.8898832725826651E-5</v>
      </c>
      <c r="V1765" s="4" t="s">
        <v>616</v>
      </c>
      <c r="W1765" s="4" t="s">
        <v>614</v>
      </c>
      <c r="X1765" s="6" t="s">
        <v>617</v>
      </c>
    </row>
    <row r="1766" spans="1:24">
      <c r="A1766" s="4" t="s">
        <v>1061</v>
      </c>
      <c r="B1766" s="4" t="s">
        <v>1062</v>
      </c>
      <c r="C1766" s="4" t="s">
        <v>1063</v>
      </c>
      <c r="D1766" s="4" t="s">
        <v>716</v>
      </c>
      <c r="E1766" s="4" t="s">
        <v>717</v>
      </c>
      <c r="M1766" s="4" t="s">
        <v>754</v>
      </c>
      <c r="N1766" s="4">
        <v>-71.645118700000012</v>
      </c>
      <c r="O1766" s="4">
        <v>3.71978521</v>
      </c>
      <c r="P1766" s="4" t="s">
        <v>795</v>
      </c>
      <c r="Q1766" s="4" t="s">
        <v>743</v>
      </c>
      <c r="R1766" s="4" t="s">
        <v>730</v>
      </c>
      <c r="S1766" s="2">
        <v>46174.48715277778</v>
      </c>
      <c r="T1766" s="5">
        <v>4.615740740740741E-5</v>
      </c>
      <c r="U1766" s="4">
        <v>1.1340665630996227E-2</v>
      </c>
      <c r="V1766" s="4" t="s">
        <v>791</v>
      </c>
      <c r="W1766" s="4" t="s">
        <v>754</v>
      </c>
      <c r="X1766" s="6" t="s">
        <v>617</v>
      </c>
    </row>
    <row r="1767" spans="1:24">
      <c r="A1767" s="4" t="s">
        <v>1061</v>
      </c>
      <c r="B1767" s="4" t="s">
        <v>1062</v>
      </c>
      <c r="C1767" s="4" t="s">
        <v>1063</v>
      </c>
      <c r="D1767" s="4" t="s">
        <v>716</v>
      </c>
      <c r="E1767" s="4" t="s">
        <v>717</v>
      </c>
      <c r="M1767" s="4" t="s">
        <v>757</v>
      </c>
      <c r="N1767" s="4">
        <v>-71.641136134739995</v>
      </c>
      <c r="O1767" s="4">
        <v>3.7324819836100001</v>
      </c>
      <c r="P1767" s="4" t="s">
        <v>795</v>
      </c>
      <c r="Q1767" s="4" t="s">
        <v>743</v>
      </c>
      <c r="R1767" s="4" t="s">
        <v>730</v>
      </c>
      <c r="S1767" s="2">
        <v>46174.491402395834</v>
      </c>
      <c r="T1767" s="5">
        <v>2.7002314814814815E-5</v>
      </c>
      <c r="U1767" s="4">
        <v>2.5871308520436287E-2</v>
      </c>
      <c r="V1767" s="4" t="s">
        <v>758</v>
      </c>
      <c r="W1767" s="4" t="s">
        <v>757</v>
      </c>
      <c r="X1767" s="6" t="s">
        <v>617</v>
      </c>
    </row>
    <row r="1768" spans="1:24">
      <c r="A1768" s="4" t="s">
        <v>1061</v>
      </c>
      <c r="B1768" s="4" t="s">
        <v>1062</v>
      </c>
      <c r="C1768" s="4" t="s">
        <v>1063</v>
      </c>
      <c r="D1768" s="4" t="s">
        <v>716</v>
      </c>
      <c r="E1768" s="4" t="s">
        <v>717</v>
      </c>
      <c r="M1768" s="4" t="s">
        <v>754</v>
      </c>
      <c r="N1768" s="4">
        <v>-71.639237009257144</v>
      </c>
      <c r="O1768" s="4">
        <v>3.750164893714286</v>
      </c>
      <c r="P1768" s="4" t="s">
        <v>795</v>
      </c>
      <c r="Q1768" s="4" t="s">
        <v>743</v>
      </c>
      <c r="R1768" s="4" t="s">
        <v>730</v>
      </c>
      <c r="S1768" s="2">
        <v>46174.508823425924</v>
      </c>
      <c r="T1768" s="5">
        <v>5.3888888888888889E-5</v>
      </c>
      <c r="U1768" s="4">
        <v>1.7255021259188652E-2</v>
      </c>
      <c r="V1768" s="4" t="s">
        <v>823</v>
      </c>
      <c r="W1768" s="4" t="s">
        <v>754</v>
      </c>
      <c r="X1768" s="6" t="s">
        <v>617</v>
      </c>
    </row>
    <row r="1769" spans="1:24">
      <c r="A1769" s="4" t="s">
        <v>1061</v>
      </c>
      <c r="B1769" s="4" t="s">
        <v>1062</v>
      </c>
      <c r="C1769" s="4" t="s">
        <v>1063</v>
      </c>
      <c r="D1769" s="4" t="s">
        <v>716</v>
      </c>
      <c r="E1769" s="4" t="s">
        <v>717</v>
      </c>
      <c r="M1769" s="4" t="s">
        <v>754</v>
      </c>
      <c r="N1769" s="4">
        <v>-71.639274599999993</v>
      </c>
      <c r="O1769" s="4">
        <v>3.7499923700000002</v>
      </c>
      <c r="P1769" s="4" t="s">
        <v>795</v>
      </c>
      <c r="Q1769" s="4" t="s">
        <v>743</v>
      </c>
      <c r="R1769" s="4" t="s">
        <v>730</v>
      </c>
      <c r="S1769" s="2">
        <v>46174.519357638994</v>
      </c>
      <c r="T1769" s="5">
        <v>7.0081018518518515E-5</v>
      </c>
      <c r="U1769" s="4">
        <v>2.0283518359065056E-2</v>
      </c>
      <c r="V1769" s="4" t="s">
        <v>791</v>
      </c>
      <c r="W1769" s="4" t="s">
        <v>754</v>
      </c>
      <c r="X1769" s="6" t="s">
        <v>617</v>
      </c>
    </row>
    <row r="1770" spans="1:24">
      <c r="A1770" s="4" t="s">
        <v>1061</v>
      </c>
      <c r="B1770" s="4" t="s">
        <v>1062</v>
      </c>
      <c r="C1770" s="4" t="s">
        <v>1063</v>
      </c>
      <c r="D1770" s="4" t="s">
        <v>716</v>
      </c>
      <c r="E1770" s="4" t="s">
        <v>717</v>
      </c>
      <c r="M1770" s="4" t="s">
        <v>685</v>
      </c>
      <c r="N1770" s="4">
        <v>-71.64845711385</v>
      </c>
      <c r="O1770" s="4">
        <v>3.7777584483700002</v>
      </c>
      <c r="P1770" s="4" t="s">
        <v>734</v>
      </c>
      <c r="Q1770" s="4" t="s">
        <v>735</v>
      </c>
      <c r="R1770" s="4" t="s">
        <v>730</v>
      </c>
      <c r="S1770" s="2">
        <v>46174.526322766207</v>
      </c>
      <c r="T1770" s="5">
        <v>1.2731481481481482E-7</v>
      </c>
      <c r="U1770" s="4">
        <v>2.4542485334677622E-5</v>
      </c>
      <c r="V1770" s="4" t="s">
        <v>1075</v>
      </c>
      <c r="W1770" s="4" t="s">
        <v>685</v>
      </c>
      <c r="X1770" s="6" t="s">
        <v>617</v>
      </c>
    </row>
    <row r="1771" spans="1:24">
      <c r="A1771" s="4" t="s">
        <v>1061</v>
      </c>
      <c r="B1771" s="4" t="s">
        <v>1062</v>
      </c>
      <c r="C1771" s="4" t="s">
        <v>1063</v>
      </c>
      <c r="D1771" s="4" t="s">
        <v>716</v>
      </c>
      <c r="E1771" s="4" t="s">
        <v>717</v>
      </c>
      <c r="M1771" s="4" t="s">
        <v>685</v>
      </c>
      <c r="N1771" s="4">
        <v>-71.645247674700002</v>
      </c>
      <c r="O1771" s="4">
        <v>3.7810855565099999</v>
      </c>
      <c r="P1771" s="4" t="s">
        <v>734</v>
      </c>
      <c r="Q1771" s="4" t="s">
        <v>735</v>
      </c>
      <c r="R1771" s="4" t="s">
        <v>730</v>
      </c>
      <c r="S1771" s="2">
        <v>46174.527376921294</v>
      </c>
      <c r="T1771" s="5">
        <v>1.5625000000000001E-6</v>
      </c>
      <c r="U1771" s="4">
        <v>5.5945891654118896E-4</v>
      </c>
      <c r="V1771" s="4" t="s">
        <v>1076</v>
      </c>
      <c r="W1771" s="4" t="s">
        <v>685</v>
      </c>
      <c r="X1771" s="6" t="s">
        <v>617</v>
      </c>
    </row>
    <row r="1772" spans="1:24">
      <c r="A1772" s="4" t="s">
        <v>1061</v>
      </c>
      <c r="B1772" s="4" t="s">
        <v>1062</v>
      </c>
      <c r="C1772" s="4" t="s">
        <v>1063</v>
      </c>
      <c r="D1772" s="4" t="s">
        <v>716</v>
      </c>
      <c r="E1772" s="4" t="s">
        <v>717</v>
      </c>
      <c r="M1772" s="4" t="s">
        <v>645</v>
      </c>
      <c r="N1772" s="4">
        <v>-71.636698366095231</v>
      </c>
      <c r="O1772" s="4">
        <v>3.7842708480761904</v>
      </c>
      <c r="P1772" s="4" t="s">
        <v>718</v>
      </c>
      <c r="Q1772" s="4" t="s">
        <v>719</v>
      </c>
      <c r="R1772" s="4" t="s">
        <v>720</v>
      </c>
      <c r="S1772" s="2">
        <v>46174.529640162036</v>
      </c>
      <c r="T1772" s="5">
        <v>3.8990740740740739E-4</v>
      </c>
      <c r="U1772" s="4">
        <v>0.18407177925109863</v>
      </c>
      <c r="V1772" s="4" t="s">
        <v>750</v>
      </c>
      <c r="W1772" s="4" t="s">
        <v>645</v>
      </c>
      <c r="X1772" s="6" t="s">
        <v>617</v>
      </c>
    </row>
    <row r="1773" spans="1:24">
      <c r="A1773" s="4" t="s">
        <v>1061</v>
      </c>
      <c r="B1773" s="4" t="s">
        <v>1062</v>
      </c>
      <c r="C1773" s="4" t="s">
        <v>1063</v>
      </c>
      <c r="D1773" s="4" t="s">
        <v>716</v>
      </c>
      <c r="E1773" s="4" t="s">
        <v>717</v>
      </c>
      <c r="M1773" s="4" t="s">
        <v>656</v>
      </c>
      <c r="N1773" s="4">
        <v>-71.633995100000007</v>
      </c>
      <c r="O1773" s="4">
        <v>3.7837607900000001</v>
      </c>
      <c r="P1773" s="4" t="s">
        <v>742</v>
      </c>
      <c r="Q1773" s="4" t="s">
        <v>743</v>
      </c>
      <c r="R1773" s="4" t="s">
        <v>730</v>
      </c>
      <c r="S1773" s="2">
        <v>46174.530277777776</v>
      </c>
      <c r="T1773" s="5">
        <v>5.6712962962962967E-4</v>
      </c>
      <c r="U1773" s="4">
        <v>0.26625606417655945</v>
      </c>
      <c r="V1773" s="4" t="s">
        <v>855</v>
      </c>
      <c r="W1773" s="4" t="s">
        <v>656</v>
      </c>
      <c r="X1773" s="6" t="s">
        <v>617</v>
      </c>
    </row>
    <row r="1774" spans="1:24">
      <c r="A1774" s="4" t="s">
        <v>1061</v>
      </c>
      <c r="B1774" s="4" t="s">
        <v>1062</v>
      </c>
      <c r="C1774" s="4" t="s">
        <v>1063</v>
      </c>
      <c r="D1774" s="4" t="s">
        <v>716</v>
      </c>
      <c r="E1774" s="4" t="s">
        <v>717</v>
      </c>
      <c r="M1774" s="4" t="s">
        <v>645</v>
      </c>
      <c r="N1774" s="4">
        <v>-71.634508527150004</v>
      </c>
      <c r="O1774" s="4">
        <v>3.7813252164789999</v>
      </c>
      <c r="P1774" s="4" t="s">
        <v>800</v>
      </c>
      <c r="Q1774" s="4" t="s">
        <v>746</v>
      </c>
      <c r="R1774" s="4" t="s">
        <v>720</v>
      </c>
      <c r="S1774" s="2">
        <v>46174.530985335645</v>
      </c>
      <c r="T1774" s="5">
        <v>3.3182870370370369E-5</v>
      </c>
      <c r="U1774" s="4">
        <v>6.5884366631507874E-3</v>
      </c>
      <c r="V1774" s="4" t="s">
        <v>724</v>
      </c>
      <c r="W1774" s="4" t="s">
        <v>645</v>
      </c>
      <c r="X1774" s="6" t="s">
        <v>617</v>
      </c>
    </row>
    <row r="1775" spans="1:24">
      <c r="A1775" s="4" t="s">
        <v>1061</v>
      </c>
      <c r="B1775" s="4" t="s">
        <v>1062</v>
      </c>
      <c r="C1775" s="4" t="s">
        <v>1063</v>
      </c>
      <c r="D1775" s="4" t="s">
        <v>716</v>
      </c>
      <c r="E1775" s="4" t="s">
        <v>717</v>
      </c>
      <c r="M1775" s="4" t="s">
        <v>754</v>
      </c>
      <c r="N1775" s="4">
        <v>-71.634341742580006</v>
      </c>
      <c r="O1775" s="4">
        <v>3.78109921199</v>
      </c>
      <c r="P1775" s="4" t="s">
        <v>800</v>
      </c>
      <c r="Q1775" s="4" t="s">
        <v>746</v>
      </c>
      <c r="R1775" s="4" t="s">
        <v>720</v>
      </c>
      <c r="S1775" s="2">
        <v>46174.531922581016</v>
      </c>
      <c r="T1775" s="5">
        <v>5.8576388888888888E-5</v>
      </c>
      <c r="U1775" s="4">
        <v>2.1658355370163918E-2</v>
      </c>
      <c r="V1775" s="4" t="s">
        <v>1016</v>
      </c>
      <c r="W1775" s="4" t="s">
        <v>754</v>
      </c>
      <c r="X1775" s="6" t="s">
        <v>617</v>
      </c>
    </row>
    <row r="1776" spans="1:24">
      <c r="A1776" s="4" t="s">
        <v>1061</v>
      </c>
      <c r="B1776" s="4" t="s">
        <v>1062</v>
      </c>
      <c r="C1776" s="4" t="s">
        <v>1063</v>
      </c>
      <c r="D1776" s="4" t="s">
        <v>716</v>
      </c>
      <c r="E1776" s="4" t="s">
        <v>717</v>
      </c>
      <c r="M1776" s="4" t="s">
        <v>645</v>
      </c>
      <c r="N1776" s="4">
        <v>-71.634341742580006</v>
      </c>
      <c r="O1776" s="4">
        <v>3.78109921199</v>
      </c>
      <c r="P1776" s="4" t="s">
        <v>800</v>
      </c>
      <c r="Q1776" s="4" t="s">
        <v>746</v>
      </c>
      <c r="R1776" s="4" t="s">
        <v>720</v>
      </c>
      <c r="S1776" s="2">
        <v>46174.531922581016</v>
      </c>
      <c r="T1776" s="5">
        <v>8.5034722222222225E-5</v>
      </c>
      <c r="U1776" s="4">
        <v>3.3392477780580521E-2</v>
      </c>
      <c r="V1776" s="4" t="s">
        <v>752</v>
      </c>
      <c r="W1776" s="4" t="s">
        <v>645</v>
      </c>
      <c r="X1776" s="6" t="s">
        <v>617</v>
      </c>
    </row>
    <row r="1777" spans="1:24">
      <c r="A1777" s="4" t="s">
        <v>1061</v>
      </c>
      <c r="B1777" s="4" t="s">
        <v>1062</v>
      </c>
      <c r="C1777" s="4" t="s">
        <v>1063</v>
      </c>
      <c r="D1777" s="4" t="s">
        <v>716</v>
      </c>
      <c r="E1777" s="4" t="s">
        <v>717</v>
      </c>
      <c r="M1777" s="4" t="s">
        <v>656</v>
      </c>
      <c r="N1777" s="4">
        <v>-71.634605399999998</v>
      </c>
      <c r="O1777" s="4">
        <v>3.7815344299999998</v>
      </c>
      <c r="P1777" s="4" t="s">
        <v>742</v>
      </c>
      <c r="Q1777" s="4" t="s">
        <v>743</v>
      </c>
      <c r="R1777" s="4" t="s">
        <v>730</v>
      </c>
      <c r="S1777" s="2">
        <v>46174.532071759262</v>
      </c>
      <c r="T1777" s="5">
        <v>5.3240740740740744E-4</v>
      </c>
      <c r="U1777" s="4">
        <v>0.32816281914710999</v>
      </c>
      <c r="V1777" s="4" t="s">
        <v>799</v>
      </c>
      <c r="W1777" s="4" t="s">
        <v>656</v>
      </c>
      <c r="X1777" s="6" t="s">
        <v>617</v>
      </c>
    </row>
    <row r="1778" spans="1:24">
      <c r="A1778" s="4" t="s">
        <v>1061</v>
      </c>
      <c r="B1778" s="4" t="s">
        <v>1062</v>
      </c>
      <c r="C1778" s="4" t="s">
        <v>1063</v>
      </c>
      <c r="D1778" s="4" t="s">
        <v>716</v>
      </c>
      <c r="E1778" s="4" t="s">
        <v>717</v>
      </c>
      <c r="M1778" s="4" t="s">
        <v>762</v>
      </c>
      <c r="N1778" s="4">
        <v>-71.633177200000006</v>
      </c>
      <c r="O1778" s="4">
        <v>3.7839174300000002</v>
      </c>
      <c r="P1778" s="4" t="s">
        <v>734</v>
      </c>
      <c r="Q1778" s="4" t="s">
        <v>735</v>
      </c>
      <c r="R1778" s="4" t="s">
        <v>730</v>
      </c>
      <c r="S1778" s="2">
        <v>46174.532699074072</v>
      </c>
      <c r="T1778" s="5">
        <v>1.5694444444444446E-5</v>
      </c>
      <c r="U1778" s="4">
        <v>1.056627556681633E-2</v>
      </c>
      <c r="V1778" s="4" t="s">
        <v>763</v>
      </c>
      <c r="W1778" s="4" t="s">
        <v>762</v>
      </c>
      <c r="X1778" s="6" t="s">
        <v>617</v>
      </c>
    </row>
    <row r="1779" spans="1:24">
      <c r="A1779" s="4" t="s">
        <v>1061</v>
      </c>
      <c r="B1779" s="4" t="s">
        <v>1062</v>
      </c>
      <c r="C1779" s="4" t="s">
        <v>1063</v>
      </c>
      <c r="D1779" s="4" t="s">
        <v>716</v>
      </c>
      <c r="E1779" s="4" t="s">
        <v>717</v>
      </c>
      <c r="M1779" s="4" t="s">
        <v>762</v>
      </c>
      <c r="N1779" s="4">
        <v>-71.632553080600005</v>
      </c>
      <c r="O1779" s="4">
        <v>3.7838446545699997</v>
      </c>
      <c r="P1779" s="4" t="s">
        <v>734</v>
      </c>
      <c r="Q1779" s="4" t="s">
        <v>735</v>
      </c>
      <c r="R1779" s="4" t="s">
        <v>730</v>
      </c>
      <c r="S1779" s="2">
        <v>46174.532807361109</v>
      </c>
      <c r="T1779" s="5">
        <v>5.1435185185185184E-5</v>
      </c>
      <c r="U1779" s="4">
        <v>3.741806373000145E-2</v>
      </c>
      <c r="V1779" s="4" t="s">
        <v>763</v>
      </c>
      <c r="W1779" s="4" t="s">
        <v>762</v>
      </c>
      <c r="X1779" s="6" t="s">
        <v>617</v>
      </c>
    </row>
    <row r="1780" spans="1:24">
      <c r="A1780" s="4" t="s">
        <v>1061</v>
      </c>
      <c r="B1780" s="4" t="s">
        <v>1062</v>
      </c>
      <c r="C1780" s="4" t="s">
        <v>1063</v>
      </c>
      <c r="D1780" s="4" t="s">
        <v>716</v>
      </c>
      <c r="E1780" s="4" t="s">
        <v>717</v>
      </c>
      <c r="M1780" s="4" t="s">
        <v>762</v>
      </c>
      <c r="N1780" s="4">
        <v>-71.629578600000002</v>
      </c>
      <c r="O1780" s="4">
        <v>3.7827053349999997</v>
      </c>
      <c r="P1780" s="4" t="s">
        <v>734</v>
      </c>
      <c r="Q1780" s="4" t="s">
        <v>735</v>
      </c>
      <c r="R1780" s="4" t="s">
        <v>730</v>
      </c>
      <c r="S1780" s="2">
        <v>46174.533433159719</v>
      </c>
      <c r="T1780" s="5">
        <v>2.8377314814814812E-4</v>
      </c>
      <c r="U1780" s="4">
        <v>0.23891815543174744</v>
      </c>
      <c r="V1780" s="4" t="s">
        <v>780</v>
      </c>
      <c r="W1780" s="4" t="s">
        <v>762</v>
      </c>
      <c r="X1780" s="6" t="s">
        <v>617</v>
      </c>
    </row>
    <row r="1781" spans="1:24">
      <c r="A1781" s="4" t="s">
        <v>1061</v>
      </c>
      <c r="B1781" s="4" t="s">
        <v>1062</v>
      </c>
      <c r="C1781" s="4" t="s">
        <v>1063</v>
      </c>
      <c r="D1781" s="4" t="s">
        <v>716</v>
      </c>
      <c r="E1781" s="4" t="s">
        <v>717</v>
      </c>
      <c r="M1781" s="4" t="s">
        <v>645</v>
      </c>
      <c r="N1781" s="4">
        <v>-71.626452800799996</v>
      </c>
      <c r="O1781" s="4">
        <v>3.7808621219149998</v>
      </c>
      <c r="P1781" s="4" t="s">
        <v>729</v>
      </c>
      <c r="Q1781" s="4" t="s">
        <v>723</v>
      </c>
      <c r="R1781" s="4" t="s">
        <v>730</v>
      </c>
      <c r="S1781" s="2">
        <v>46174.534146458333</v>
      </c>
      <c r="T1781" s="5">
        <v>4.1701388888888891E-5</v>
      </c>
      <c r="U1781" s="4">
        <v>1.0391369462013245E-2</v>
      </c>
      <c r="V1781" s="4" t="s">
        <v>771</v>
      </c>
      <c r="W1781" s="4" t="s">
        <v>645</v>
      </c>
      <c r="X1781" s="6" t="s">
        <v>617</v>
      </c>
    </row>
    <row r="1782" spans="1:24">
      <c r="A1782" s="4" t="s">
        <v>1061</v>
      </c>
      <c r="B1782" s="4" t="s">
        <v>1062</v>
      </c>
      <c r="C1782" s="4" t="s">
        <v>1063</v>
      </c>
      <c r="D1782" s="4" t="s">
        <v>716</v>
      </c>
      <c r="E1782" s="4" t="s">
        <v>717</v>
      </c>
      <c r="M1782" s="4" t="s">
        <v>645</v>
      </c>
      <c r="N1782" s="4">
        <v>-71.626255</v>
      </c>
      <c r="O1782" s="4">
        <v>3.7806361900000001</v>
      </c>
      <c r="P1782" s="4" t="s">
        <v>722</v>
      </c>
      <c r="Q1782" s="4" t="s">
        <v>723</v>
      </c>
      <c r="R1782" s="4" t="s">
        <v>720</v>
      </c>
      <c r="S1782" s="2">
        <v>46174.53434027778</v>
      </c>
      <c r="T1782" s="5">
        <v>1.0706018518518519E-4</v>
      </c>
      <c r="U1782" s="4">
        <v>2.5641538202762604E-2</v>
      </c>
      <c r="V1782" s="4" t="s">
        <v>728</v>
      </c>
      <c r="W1782" s="4" t="s">
        <v>645</v>
      </c>
      <c r="X1782" s="6" t="s">
        <v>617</v>
      </c>
    </row>
    <row r="1783" spans="1:24">
      <c r="A1783" s="4" t="s">
        <v>1061</v>
      </c>
      <c r="B1783" s="4" t="s">
        <v>1062</v>
      </c>
      <c r="C1783" s="4" t="s">
        <v>1063</v>
      </c>
      <c r="D1783" s="4" t="s">
        <v>716</v>
      </c>
      <c r="E1783" s="4" t="s">
        <v>717</v>
      </c>
      <c r="M1783" s="4" t="s">
        <v>762</v>
      </c>
      <c r="N1783" s="4">
        <v>-71.628314950000004</v>
      </c>
      <c r="O1783" s="4">
        <v>3.7812870150000002</v>
      </c>
      <c r="P1783" s="4" t="s">
        <v>734</v>
      </c>
      <c r="Q1783" s="4" t="s">
        <v>735</v>
      </c>
      <c r="R1783" s="4" t="s">
        <v>730</v>
      </c>
      <c r="S1783" s="2">
        <v>46174.587783564915</v>
      </c>
      <c r="T1783" s="5">
        <v>9.3750000000000002E-5</v>
      </c>
      <c r="U1783" s="4">
        <v>6.9835729897022247E-2</v>
      </c>
      <c r="V1783" s="4" t="s">
        <v>781</v>
      </c>
      <c r="W1783" s="4" t="s">
        <v>762</v>
      </c>
      <c r="X1783" s="6" t="s">
        <v>617</v>
      </c>
    </row>
    <row r="1784" spans="1:24">
      <c r="A1784" s="4" t="s">
        <v>1061</v>
      </c>
      <c r="B1784" s="4" t="s">
        <v>1062</v>
      </c>
      <c r="C1784" s="4" t="s">
        <v>1063</v>
      </c>
      <c r="D1784" s="4" t="s">
        <v>716</v>
      </c>
      <c r="E1784" s="4" t="s">
        <v>717</v>
      </c>
      <c r="M1784" s="4" t="s">
        <v>656</v>
      </c>
      <c r="N1784" s="4">
        <v>-71.633987399999995</v>
      </c>
      <c r="O1784" s="4">
        <v>3.78394794</v>
      </c>
      <c r="P1784" s="4" t="s">
        <v>734</v>
      </c>
      <c r="Q1784" s="4" t="s">
        <v>735</v>
      </c>
      <c r="R1784" s="4" t="s">
        <v>730</v>
      </c>
      <c r="S1784" s="2">
        <v>46174.589733796296</v>
      </c>
      <c r="T1784" s="5">
        <v>7.5231481481481482E-4</v>
      </c>
      <c r="U1784" s="4">
        <v>0.30223432183265686</v>
      </c>
      <c r="V1784" s="4" t="s">
        <v>862</v>
      </c>
      <c r="W1784" s="4" t="s">
        <v>656</v>
      </c>
      <c r="X1784" s="6" t="s">
        <v>617</v>
      </c>
    </row>
    <row r="1785" spans="1:24">
      <c r="A1785" s="4" t="s">
        <v>1061</v>
      </c>
      <c r="B1785" s="4" t="s">
        <v>1062</v>
      </c>
      <c r="C1785" s="4" t="s">
        <v>1063</v>
      </c>
      <c r="D1785" s="4" t="s">
        <v>716</v>
      </c>
      <c r="E1785" s="4" t="s">
        <v>717</v>
      </c>
      <c r="M1785" s="4" t="s">
        <v>645</v>
      </c>
      <c r="N1785" s="4">
        <v>-71.634496580000004</v>
      </c>
      <c r="O1785" s="4">
        <v>3.7813906989333335</v>
      </c>
      <c r="P1785" s="4" t="s">
        <v>800</v>
      </c>
      <c r="Q1785" s="4" t="s">
        <v>746</v>
      </c>
      <c r="R1785" s="4" t="s">
        <v>720</v>
      </c>
      <c r="S1785" s="2">
        <v>46174.590571296299</v>
      </c>
      <c r="T1785" s="5">
        <v>5.9189814814814814E-4</v>
      </c>
      <c r="U1785" s="4">
        <v>0.16982689499855042</v>
      </c>
      <c r="V1785" s="4" t="s">
        <v>731</v>
      </c>
      <c r="W1785" s="4" t="s">
        <v>645</v>
      </c>
      <c r="X1785" s="6" t="s">
        <v>617</v>
      </c>
    </row>
    <row r="1786" spans="1:24">
      <c r="A1786" s="4" t="s">
        <v>1061</v>
      </c>
      <c r="B1786" s="4" t="s">
        <v>1062</v>
      </c>
      <c r="C1786" s="4" t="s">
        <v>1063</v>
      </c>
      <c r="D1786" s="4" t="s">
        <v>716</v>
      </c>
      <c r="E1786" s="4" t="s">
        <v>717</v>
      </c>
      <c r="M1786" s="4" t="s">
        <v>645</v>
      </c>
      <c r="N1786" s="4">
        <v>-71.633270276559998</v>
      </c>
      <c r="O1786" s="4">
        <v>3.7809642688920002</v>
      </c>
      <c r="P1786" s="4" t="s">
        <v>800</v>
      </c>
      <c r="Q1786" s="4" t="s">
        <v>746</v>
      </c>
      <c r="R1786" s="4" t="s">
        <v>720</v>
      </c>
      <c r="S1786" s="2">
        <v>46174.627946423614</v>
      </c>
      <c r="T1786" s="5">
        <v>2.9511574074074075E-4</v>
      </c>
      <c r="U1786" s="4">
        <v>7.796371728181839E-2</v>
      </c>
      <c r="V1786" s="4" t="s">
        <v>728</v>
      </c>
      <c r="W1786" s="4" t="s">
        <v>645</v>
      </c>
      <c r="X1786" s="6" t="s">
        <v>617</v>
      </c>
    </row>
    <row r="1787" spans="1:24">
      <c r="A1787" s="4" t="s">
        <v>1061</v>
      </c>
      <c r="B1787" s="4" t="s">
        <v>1062</v>
      </c>
      <c r="C1787" s="4" t="s">
        <v>1063</v>
      </c>
      <c r="D1787" s="4" t="s">
        <v>716</v>
      </c>
      <c r="E1787" s="4" t="s">
        <v>717</v>
      </c>
      <c r="M1787" s="4" t="s">
        <v>754</v>
      </c>
      <c r="N1787" s="4">
        <v>-71.633270276559998</v>
      </c>
      <c r="O1787" s="4">
        <v>3.7809642688920002</v>
      </c>
      <c r="P1787" s="4" t="s">
        <v>800</v>
      </c>
      <c r="Q1787" s="4" t="s">
        <v>746</v>
      </c>
      <c r="R1787" s="4" t="s">
        <v>720</v>
      </c>
      <c r="S1787" s="2">
        <v>46174.627946423614</v>
      </c>
      <c r="T1787" s="5">
        <v>2.9511574074074075E-4</v>
      </c>
      <c r="U1787" s="4">
        <v>7.796371728181839E-2</v>
      </c>
      <c r="V1787" s="4" t="s">
        <v>790</v>
      </c>
      <c r="W1787" s="4" t="s">
        <v>754</v>
      </c>
      <c r="X1787" s="6" t="s">
        <v>617</v>
      </c>
    </row>
    <row r="1788" spans="1:24">
      <c r="A1788" s="4" t="s">
        <v>1061</v>
      </c>
      <c r="B1788" s="4" t="s">
        <v>1062</v>
      </c>
      <c r="C1788" s="4" t="s">
        <v>1063</v>
      </c>
      <c r="D1788" s="4" t="s">
        <v>716</v>
      </c>
      <c r="E1788" s="4" t="s">
        <v>717</v>
      </c>
      <c r="M1788" s="4" t="s">
        <v>656</v>
      </c>
      <c r="N1788" s="4">
        <v>-71.634596220000006</v>
      </c>
      <c r="O1788" s="4">
        <v>3.7815779959999998</v>
      </c>
      <c r="P1788" s="4" t="s">
        <v>742</v>
      </c>
      <c r="Q1788" s="4" t="s">
        <v>743</v>
      </c>
      <c r="R1788" s="4" t="s">
        <v>730</v>
      </c>
      <c r="S1788" s="2">
        <v>46174.647481481479</v>
      </c>
      <c r="T1788" s="5">
        <v>8.9814814814814813E-4</v>
      </c>
      <c r="U1788" s="4">
        <v>0.29672738909721375</v>
      </c>
      <c r="V1788" s="4" t="s">
        <v>1077</v>
      </c>
      <c r="W1788" s="4" t="s">
        <v>656</v>
      </c>
      <c r="X1788" s="6" t="s">
        <v>617</v>
      </c>
    </row>
    <row r="1789" spans="1:24">
      <c r="A1789" s="4" t="s">
        <v>1061</v>
      </c>
      <c r="B1789" s="4" t="s">
        <v>1062</v>
      </c>
      <c r="C1789" s="4" t="s">
        <v>1063</v>
      </c>
      <c r="D1789" s="4" t="s">
        <v>716</v>
      </c>
      <c r="E1789" s="4" t="s">
        <v>717</v>
      </c>
      <c r="M1789" s="4" t="s">
        <v>754</v>
      </c>
      <c r="N1789" s="4">
        <v>-71.634289539999997</v>
      </c>
      <c r="O1789" s="4">
        <v>3.789363576</v>
      </c>
      <c r="P1789" s="4" t="s">
        <v>795</v>
      </c>
      <c r="Q1789" s="4" t="s">
        <v>743</v>
      </c>
      <c r="R1789" s="4" t="s">
        <v>730</v>
      </c>
      <c r="S1789" s="2">
        <v>46174.6735625</v>
      </c>
      <c r="T1789" s="5">
        <v>3.9606481481481482E-5</v>
      </c>
      <c r="U1789" s="4">
        <v>6.1849495396018028E-3</v>
      </c>
      <c r="V1789" s="4" t="s">
        <v>790</v>
      </c>
      <c r="W1789" s="4" t="s">
        <v>754</v>
      </c>
      <c r="X1789" s="6" t="s">
        <v>617</v>
      </c>
    </row>
    <row r="1790" spans="1:24">
      <c r="A1790" s="4" t="s">
        <v>1061</v>
      </c>
      <c r="B1790" s="4" t="s">
        <v>1062</v>
      </c>
      <c r="C1790" s="4" t="s">
        <v>1063</v>
      </c>
      <c r="D1790" s="4" t="s">
        <v>716</v>
      </c>
      <c r="E1790" s="4" t="s">
        <v>717</v>
      </c>
      <c r="M1790" s="4" t="s">
        <v>754</v>
      </c>
      <c r="N1790" s="4">
        <v>-71.63418320000001</v>
      </c>
      <c r="O1790" s="4">
        <v>3.7891573933333333</v>
      </c>
      <c r="P1790" s="4" t="s">
        <v>795</v>
      </c>
      <c r="Q1790" s="4" t="s">
        <v>743</v>
      </c>
      <c r="R1790" s="4" t="s">
        <v>730</v>
      </c>
      <c r="S1790" s="2">
        <v>46174.673761574071</v>
      </c>
      <c r="T1790" s="5">
        <v>1.3839236111111112E-3</v>
      </c>
      <c r="U1790" s="4">
        <v>0.5422050952911377</v>
      </c>
      <c r="V1790" s="4" t="s">
        <v>821</v>
      </c>
      <c r="W1790" s="4" t="s">
        <v>754</v>
      </c>
      <c r="X1790" s="6" t="s">
        <v>617</v>
      </c>
    </row>
    <row r="1791" spans="1:24">
      <c r="A1791" s="4" t="s">
        <v>1061</v>
      </c>
      <c r="B1791" s="4" t="s">
        <v>1062</v>
      </c>
      <c r="C1791" s="4" t="s">
        <v>1063</v>
      </c>
      <c r="D1791" s="4" t="s">
        <v>716</v>
      </c>
      <c r="E1791" s="4" t="s">
        <v>717</v>
      </c>
      <c r="M1791" s="4" t="s">
        <v>754</v>
      </c>
      <c r="N1791" s="4">
        <v>-71.634376493899993</v>
      </c>
      <c r="O1791" s="4">
        <v>3.7841780895779999</v>
      </c>
      <c r="P1791" s="4" t="s">
        <v>734</v>
      </c>
      <c r="Q1791" s="4" t="s">
        <v>735</v>
      </c>
      <c r="R1791" s="4" t="s">
        <v>730</v>
      </c>
      <c r="S1791" s="2">
        <v>46174.675354942126</v>
      </c>
      <c r="T1791" s="5">
        <v>2.469097222222222E-4</v>
      </c>
      <c r="U1791" s="4">
        <v>7.1791678667068481E-2</v>
      </c>
      <c r="V1791" s="4" t="s">
        <v>823</v>
      </c>
      <c r="W1791" s="4" t="s">
        <v>754</v>
      </c>
      <c r="X1791" s="6" t="s">
        <v>617</v>
      </c>
    </row>
    <row r="1792" spans="1:24">
      <c r="A1792" s="4" t="s">
        <v>1061</v>
      </c>
      <c r="B1792" s="4" t="s">
        <v>1062</v>
      </c>
      <c r="C1792" s="4" t="s">
        <v>1063</v>
      </c>
      <c r="D1792" s="4" t="s">
        <v>716</v>
      </c>
      <c r="E1792" s="4" t="s">
        <v>717</v>
      </c>
      <c r="M1792" s="4" t="s">
        <v>656</v>
      </c>
      <c r="N1792" s="4">
        <v>-71.634017900000003</v>
      </c>
      <c r="O1792" s="4">
        <v>3.78381729</v>
      </c>
      <c r="P1792" s="4" t="s">
        <v>742</v>
      </c>
      <c r="Q1792" s="4" t="s">
        <v>743</v>
      </c>
      <c r="R1792" s="4" t="s">
        <v>730</v>
      </c>
      <c r="S1792" s="2">
        <v>46174.675543981481</v>
      </c>
      <c r="T1792" s="5">
        <v>9.0586805555555559E-4</v>
      </c>
      <c r="U1792" s="4">
        <v>0.28446048498153687</v>
      </c>
      <c r="V1792" s="4" t="s">
        <v>1077</v>
      </c>
      <c r="W1792" s="4" t="s">
        <v>656</v>
      </c>
      <c r="X1792" s="6" t="s">
        <v>617</v>
      </c>
    </row>
    <row r="1793" spans="1:24">
      <c r="A1793" s="4" t="s">
        <v>1061</v>
      </c>
      <c r="B1793" s="4" t="s">
        <v>1062</v>
      </c>
      <c r="C1793" s="4" t="s">
        <v>1063</v>
      </c>
      <c r="D1793" s="4" t="s">
        <v>716</v>
      </c>
      <c r="E1793" s="4" t="s">
        <v>717</v>
      </c>
      <c r="M1793" s="4" t="s">
        <v>754</v>
      </c>
      <c r="N1793" s="4">
        <v>-71.633972200000002</v>
      </c>
      <c r="O1793" s="4">
        <v>3.7836899800000001</v>
      </c>
      <c r="P1793" s="4" t="s">
        <v>742</v>
      </c>
      <c r="Q1793" s="4" t="s">
        <v>743</v>
      </c>
      <c r="R1793" s="4" t="s">
        <v>730</v>
      </c>
      <c r="S1793" s="2">
        <v>46174.67560185185</v>
      </c>
      <c r="T1793" s="5">
        <v>7.6774305555555558E-4</v>
      </c>
      <c r="U1793" s="4">
        <v>0.25102570652961731</v>
      </c>
      <c r="V1793" s="4" t="s">
        <v>823</v>
      </c>
      <c r="W1793" s="4" t="s">
        <v>754</v>
      </c>
      <c r="X1793" s="6" t="s">
        <v>617</v>
      </c>
    </row>
    <row r="1794" spans="1:24">
      <c r="A1794" s="4" t="s">
        <v>1061</v>
      </c>
      <c r="B1794" s="4" t="s">
        <v>1062</v>
      </c>
      <c r="C1794" s="4" t="s">
        <v>1063</v>
      </c>
      <c r="D1794" s="4" t="s">
        <v>716</v>
      </c>
      <c r="E1794" s="4" t="s">
        <v>717</v>
      </c>
      <c r="M1794" s="4" t="s">
        <v>614</v>
      </c>
      <c r="N1794" s="4">
        <v>-71.633972200000002</v>
      </c>
      <c r="O1794" s="4">
        <v>3.78134441</v>
      </c>
      <c r="P1794" s="4" t="s">
        <v>800</v>
      </c>
      <c r="Q1794" s="4" t="s">
        <v>746</v>
      </c>
      <c r="R1794" s="4" t="s">
        <v>720</v>
      </c>
      <c r="S1794" s="2">
        <v>46174.698671342594</v>
      </c>
      <c r="T1794" s="5">
        <v>5.0902314814814812E-3</v>
      </c>
      <c r="U1794" s="4">
        <v>4.2938673868775368E-3</v>
      </c>
      <c r="V1794" s="4" t="s">
        <v>616</v>
      </c>
      <c r="W1794" s="4" t="s">
        <v>614</v>
      </c>
      <c r="X1794" s="6" t="s">
        <v>617</v>
      </c>
    </row>
    <row r="1795" spans="1:24">
      <c r="A1795" s="4" t="s">
        <v>1061</v>
      </c>
      <c r="B1795" s="4" t="s">
        <v>1062</v>
      </c>
      <c r="C1795" s="4" t="s">
        <v>1063</v>
      </c>
      <c r="D1795" s="4" t="s">
        <v>716</v>
      </c>
      <c r="E1795" s="4" t="s">
        <v>717</v>
      </c>
      <c r="M1795" s="4" t="s">
        <v>754</v>
      </c>
      <c r="N1795" s="4">
        <v>-71.633783387500003</v>
      </c>
      <c r="O1795" s="4">
        <v>3.7812541400000002</v>
      </c>
      <c r="P1795" s="4" t="s">
        <v>800</v>
      </c>
      <c r="Q1795" s="4" t="s">
        <v>746</v>
      </c>
      <c r="R1795" s="4" t="s">
        <v>720</v>
      </c>
      <c r="S1795" s="2">
        <v>46174.718655960649</v>
      </c>
      <c r="T1795" s="5">
        <v>9.1145833333333337E-5</v>
      </c>
      <c r="U1795" s="4">
        <v>3.367922455072403E-2</v>
      </c>
      <c r="V1795" s="4" t="s">
        <v>1016</v>
      </c>
      <c r="W1795" s="4" t="s">
        <v>754</v>
      </c>
      <c r="X1795" s="6" t="s">
        <v>617</v>
      </c>
    </row>
    <row r="1796" spans="1:24">
      <c r="A1796" s="4" t="s">
        <v>1061</v>
      </c>
      <c r="B1796" s="4" t="s">
        <v>1062</v>
      </c>
      <c r="C1796" s="4" t="s">
        <v>1063</v>
      </c>
      <c r="D1796" s="4" t="s">
        <v>716</v>
      </c>
      <c r="E1796" s="4" t="s">
        <v>717</v>
      </c>
      <c r="M1796" s="4" t="s">
        <v>645</v>
      </c>
      <c r="N1796" s="4">
        <v>-71.633783387500003</v>
      </c>
      <c r="O1796" s="4">
        <v>3.7812541400000002</v>
      </c>
      <c r="P1796" s="4" t="s">
        <v>800</v>
      </c>
      <c r="Q1796" s="4" t="s">
        <v>746</v>
      </c>
      <c r="R1796" s="4" t="s">
        <v>720</v>
      </c>
      <c r="S1796" s="2">
        <v>46174.718655960649</v>
      </c>
      <c r="T1796" s="5">
        <v>9.1145833333333337E-5</v>
      </c>
      <c r="U1796" s="4">
        <v>3.367922455072403E-2</v>
      </c>
      <c r="V1796" s="4" t="s">
        <v>752</v>
      </c>
      <c r="W1796" s="4" t="s">
        <v>645</v>
      </c>
      <c r="X1796" s="6" t="s">
        <v>617</v>
      </c>
    </row>
    <row r="1797" spans="1:24">
      <c r="A1797" s="4" t="s">
        <v>1061</v>
      </c>
      <c r="B1797" s="4" t="s">
        <v>1062</v>
      </c>
      <c r="C1797" s="4" t="s">
        <v>1063</v>
      </c>
      <c r="D1797" s="4" t="s">
        <v>716</v>
      </c>
      <c r="E1797" s="4" t="s">
        <v>717</v>
      </c>
      <c r="M1797" s="4" t="s">
        <v>754</v>
      </c>
      <c r="N1797" s="4">
        <v>-71.634171462500007</v>
      </c>
      <c r="O1797" s="4">
        <v>3.7812431487500002</v>
      </c>
      <c r="P1797" s="4" t="s">
        <v>800</v>
      </c>
      <c r="Q1797" s="4" t="s">
        <v>746</v>
      </c>
      <c r="R1797" s="4" t="s">
        <v>720</v>
      </c>
      <c r="S1797" s="2">
        <v>46174.719283854167</v>
      </c>
      <c r="T1797" s="5">
        <v>1.3170138888888888E-4</v>
      </c>
      <c r="U1797" s="4">
        <v>4.4947393238544464E-2</v>
      </c>
      <c r="V1797" s="4" t="s">
        <v>823</v>
      </c>
      <c r="W1797" s="4" t="s">
        <v>754</v>
      </c>
      <c r="X1797" s="6" t="s">
        <v>617</v>
      </c>
    </row>
    <row r="1798" spans="1:24">
      <c r="A1798" s="4" t="s">
        <v>1061</v>
      </c>
      <c r="B1798" s="4" t="s">
        <v>1062</v>
      </c>
      <c r="C1798" s="4" t="s">
        <v>1063</v>
      </c>
      <c r="D1798" s="4" t="s">
        <v>716</v>
      </c>
      <c r="E1798" s="4" t="s">
        <v>717</v>
      </c>
      <c r="M1798" s="4" t="s">
        <v>645</v>
      </c>
      <c r="N1798" s="4">
        <v>-71.634171462500007</v>
      </c>
      <c r="O1798" s="4">
        <v>3.7812431487500002</v>
      </c>
      <c r="P1798" s="4" t="s">
        <v>800</v>
      </c>
      <c r="Q1798" s="4" t="s">
        <v>746</v>
      </c>
      <c r="R1798" s="4" t="s">
        <v>720</v>
      </c>
      <c r="S1798" s="2">
        <v>46174.719283854167</v>
      </c>
      <c r="T1798" s="5">
        <v>1.1635416666666666E-4</v>
      </c>
      <c r="U1798" s="4">
        <v>3.9800271391868591E-2</v>
      </c>
      <c r="V1798" s="4" t="s">
        <v>771</v>
      </c>
      <c r="W1798" s="4" t="s">
        <v>645</v>
      </c>
      <c r="X1798" s="6" t="s">
        <v>617</v>
      </c>
    </row>
    <row r="1799" spans="1:24">
      <c r="A1799" s="4" t="s">
        <v>1061</v>
      </c>
      <c r="B1799" s="4" t="s">
        <v>1062</v>
      </c>
      <c r="C1799" s="4" t="s">
        <v>1063</v>
      </c>
      <c r="D1799" s="4" t="s">
        <v>716</v>
      </c>
      <c r="E1799" s="4" t="s">
        <v>717</v>
      </c>
      <c r="M1799" s="4" t="s">
        <v>656</v>
      </c>
      <c r="N1799" s="4">
        <v>-71.634582499999993</v>
      </c>
      <c r="O1799" s="4">
        <v>3.7814989099999998</v>
      </c>
      <c r="P1799" s="4" t="s">
        <v>742</v>
      </c>
      <c r="Q1799" s="4" t="s">
        <v>743</v>
      </c>
      <c r="R1799" s="4" t="s">
        <v>730</v>
      </c>
      <c r="S1799" s="2">
        <v>46174.719456018516</v>
      </c>
      <c r="T1799" s="5">
        <v>4.861111111111111E-4</v>
      </c>
      <c r="U1799" s="4">
        <v>0.29617038369178772</v>
      </c>
      <c r="V1799" s="4" t="s">
        <v>801</v>
      </c>
      <c r="W1799" s="4" t="s">
        <v>656</v>
      </c>
      <c r="X1799" s="6" t="s">
        <v>617</v>
      </c>
    </row>
    <row r="1800" spans="1:24">
      <c r="A1800" s="4" t="s">
        <v>1061</v>
      </c>
      <c r="B1800" s="4" t="s">
        <v>1062</v>
      </c>
      <c r="C1800" s="4" t="s">
        <v>1063</v>
      </c>
      <c r="D1800" s="4" t="s">
        <v>716</v>
      </c>
      <c r="E1800" s="4" t="s">
        <v>717</v>
      </c>
      <c r="M1800" s="4" t="s">
        <v>645</v>
      </c>
      <c r="N1800" s="4">
        <v>-71.635059480945458</v>
      </c>
      <c r="O1800" s="4">
        <v>3.7842504169027271</v>
      </c>
      <c r="P1800" s="4" t="s">
        <v>718</v>
      </c>
      <c r="Q1800" s="4" t="s">
        <v>719</v>
      </c>
      <c r="R1800" s="4" t="s">
        <v>720</v>
      </c>
      <c r="S1800" s="2">
        <v>46174.720137997683</v>
      </c>
      <c r="T1800" s="5">
        <v>2.688425925925926E-4</v>
      </c>
      <c r="U1800" s="4">
        <v>0.1839371919631958</v>
      </c>
      <c r="V1800" s="4" t="s">
        <v>763</v>
      </c>
      <c r="W1800" s="4" t="s">
        <v>645</v>
      </c>
      <c r="X1800" s="6" t="s">
        <v>617</v>
      </c>
    </row>
    <row r="1801" spans="1:24">
      <c r="A1801" s="4" t="s">
        <v>1061</v>
      </c>
      <c r="B1801" s="4" t="s">
        <v>1062</v>
      </c>
      <c r="C1801" s="4" t="s">
        <v>1063</v>
      </c>
      <c r="D1801" s="4" t="s">
        <v>716</v>
      </c>
      <c r="E1801" s="4" t="s">
        <v>717</v>
      </c>
      <c r="M1801" s="4" t="s">
        <v>762</v>
      </c>
      <c r="N1801" s="4">
        <v>-71.636278742582348</v>
      </c>
      <c r="O1801" s="4">
        <v>3.7844152452782351</v>
      </c>
      <c r="P1801" s="4" t="s">
        <v>718</v>
      </c>
      <c r="Q1801" s="4" t="s">
        <v>719</v>
      </c>
      <c r="R1801" s="4" t="s">
        <v>720</v>
      </c>
      <c r="S1801" s="2">
        <v>46174.720339502317</v>
      </c>
      <c r="T1801" s="5">
        <v>9.7997685185185191E-5</v>
      </c>
      <c r="U1801" s="4">
        <v>6.8269290030002594E-2</v>
      </c>
      <c r="V1801" s="4" t="s">
        <v>763</v>
      </c>
      <c r="W1801" s="4" t="s">
        <v>762</v>
      </c>
      <c r="X1801" s="6" t="s">
        <v>617</v>
      </c>
    </row>
    <row r="1802" spans="1:24">
      <c r="A1802" s="4" t="s">
        <v>1061</v>
      </c>
      <c r="B1802" s="4" t="s">
        <v>1062</v>
      </c>
      <c r="C1802" s="4" t="s">
        <v>1063</v>
      </c>
      <c r="D1802" s="4" t="s">
        <v>716</v>
      </c>
      <c r="E1802" s="4" t="s">
        <v>717</v>
      </c>
      <c r="M1802" s="4" t="s">
        <v>762</v>
      </c>
      <c r="N1802" s="4">
        <v>-71.638605766666657</v>
      </c>
      <c r="O1802" s="4">
        <v>3.7843158233333334</v>
      </c>
      <c r="P1802" s="4" t="s">
        <v>734</v>
      </c>
      <c r="Q1802" s="4" t="s">
        <v>735</v>
      </c>
      <c r="R1802" s="4" t="s">
        <v>730</v>
      </c>
      <c r="S1802" s="2">
        <v>46174.720763888887</v>
      </c>
      <c r="T1802" s="5">
        <v>1.8353009259259258E-4</v>
      </c>
      <c r="U1802" s="4">
        <v>0.13888730108737946</v>
      </c>
      <c r="V1802" s="4" t="s">
        <v>781</v>
      </c>
      <c r="W1802" s="4" t="s">
        <v>762</v>
      </c>
      <c r="X1802" s="6" t="s">
        <v>617</v>
      </c>
    </row>
    <row r="1803" spans="1:24">
      <c r="A1803" s="4" t="s">
        <v>1061</v>
      </c>
      <c r="B1803" s="4" t="s">
        <v>1062</v>
      </c>
      <c r="C1803" s="4" t="s">
        <v>1063</v>
      </c>
      <c r="D1803" s="4" t="s">
        <v>716</v>
      </c>
      <c r="E1803" s="4" t="s">
        <v>717</v>
      </c>
      <c r="M1803" s="4" t="s">
        <v>762</v>
      </c>
      <c r="N1803" s="4">
        <v>-71.640489891919998</v>
      </c>
      <c r="O1803" s="4">
        <v>3.7846527087639998</v>
      </c>
      <c r="P1803" s="4" t="s">
        <v>734</v>
      </c>
      <c r="Q1803" s="4" t="s">
        <v>735</v>
      </c>
      <c r="R1803" s="4" t="s">
        <v>730</v>
      </c>
      <c r="S1803" s="2">
        <v>46174.721056550923</v>
      </c>
      <c r="T1803" s="5">
        <v>2.3692129629629631E-5</v>
      </c>
      <c r="U1803" s="4">
        <v>1.6704956069588661E-2</v>
      </c>
      <c r="V1803" s="4" t="s">
        <v>763</v>
      </c>
      <c r="W1803" s="4" t="s">
        <v>762</v>
      </c>
      <c r="X1803" s="6" t="s">
        <v>617</v>
      </c>
    </row>
    <row r="1804" spans="1:24">
      <c r="A1804" s="4" t="s">
        <v>1061</v>
      </c>
      <c r="B1804" s="4" t="s">
        <v>1062</v>
      </c>
      <c r="C1804" s="4" t="s">
        <v>1063</v>
      </c>
      <c r="D1804" s="4" t="s">
        <v>716</v>
      </c>
      <c r="E1804" s="4" t="s">
        <v>717</v>
      </c>
      <c r="M1804" s="4" t="s">
        <v>645</v>
      </c>
      <c r="N1804" s="4">
        <v>-71.636698390394116</v>
      </c>
      <c r="O1804" s="4">
        <v>3.7842755805952941</v>
      </c>
      <c r="P1804" s="4" t="s">
        <v>718</v>
      </c>
      <c r="Q1804" s="4" t="s">
        <v>719</v>
      </c>
      <c r="R1804" s="4" t="s">
        <v>720</v>
      </c>
      <c r="S1804" s="2">
        <v>46174.726101354165</v>
      </c>
      <c r="T1804" s="5">
        <v>3.4900462962962961E-4</v>
      </c>
      <c r="U1804" s="4">
        <v>0.1845305860042572</v>
      </c>
      <c r="V1804" s="4" t="s">
        <v>751</v>
      </c>
      <c r="W1804" s="4" t="s">
        <v>645</v>
      </c>
      <c r="X1804" s="6" t="s">
        <v>617</v>
      </c>
    </row>
    <row r="1805" spans="1:24">
      <c r="A1805" s="4" t="s">
        <v>1061</v>
      </c>
      <c r="B1805" s="4" t="s">
        <v>1062</v>
      </c>
      <c r="C1805" s="4" t="s">
        <v>1063</v>
      </c>
      <c r="D1805" s="4" t="s">
        <v>716</v>
      </c>
      <c r="E1805" s="4" t="s">
        <v>717</v>
      </c>
      <c r="M1805" s="4" t="s">
        <v>645</v>
      </c>
      <c r="N1805" s="4">
        <v>-71.626453372019995</v>
      </c>
      <c r="O1805" s="4">
        <v>3.7808611383040001</v>
      </c>
      <c r="P1805" s="4" t="s">
        <v>729</v>
      </c>
      <c r="Q1805" s="4" t="s">
        <v>723</v>
      </c>
      <c r="R1805" s="4" t="s">
        <v>730</v>
      </c>
      <c r="S1805" s="2">
        <v>46174.728914571759</v>
      </c>
      <c r="T1805" s="5">
        <v>2.0613425925925925E-5</v>
      </c>
      <c r="U1805" s="4">
        <v>4.910551942884922E-3</v>
      </c>
      <c r="V1805" s="4" t="s">
        <v>731</v>
      </c>
      <c r="W1805" s="4" t="s">
        <v>645</v>
      </c>
      <c r="X1805" s="6" t="s">
        <v>617</v>
      </c>
    </row>
    <row r="1806" spans="1:24">
      <c r="A1806" s="4" t="s">
        <v>1061</v>
      </c>
      <c r="B1806" s="4" t="s">
        <v>1062</v>
      </c>
      <c r="C1806" s="4" t="s">
        <v>1063</v>
      </c>
      <c r="D1806" s="4" t="s">
        <v>716</v>
      </c>
      <c r="E1806" s="4" t="s">
        <v>717</v>
      </c>
      <c r="M1806" s="4" t="s">
        <v>645</v>
      </c>
      <c r="N1806" s="4">
        <v>-71.62617947999999</v>
      </c>
      <c r="O1806" s="4">
        <v>3.7806176659999999</v>
      </c>
      <c r="P1806" s="4" t="s">
        <v>722</v>
      </c>
      <c r="Q1806" s="4" t="s">
        <v>723</v>
      </c>
      <c r="R1806" s="4" t="s">
        <v>720</v>
      </c>
      <c r="S1806" s="2">
        <v>46174.729523148148</v>
      </c>
      <c r="T1806" s="5">
        <v>1.1309027777777778E-4</v>
      </c>
      <c r="U1806" s="4">
        <v>2.6162400841712952E-2</v>
      </c>
      <c r="V1806" s="4" t="s">
        <v>728</v>
      </c>
      <c r="W1806" s="4" t="s">
        <v>645</v>
      </c>
      <c r="X1806" s="6" t="s">
        <v>617</v>
      </c>
    </row>
    <row r="1807" spans="1:24">
      <c r="A1807" s="4" t="s">
        <v>1061</v>
      </c>
      <c r="B1807" s="4" t="s">
        <v>1062</v>
      </c>
      <c r="C1807" s="4" t="s">
        <v>1063</v>
      </c>
      <c r="D1807" s="4" t="s">
        <v>716</v>
      </c>
      <c r="E1807" s="4" t="s">
        <v>717</v>
      </c>
      <c r="M1807" s="4" t="s">
        <v>656</v>
      </c>
      <c r="N1807" s="4">
        <v>-71.633903500000002</v>
      </c>
      <c r="O1807" s="4">
        <v>3.7840011100000002</v>
      </c>
      <c r="P1807" s="4" t="s">
        <v>734</v>
      </c>
      <c r="Q1807" s="4" t="s">
        <v>735</v>
      </c>
      <c r="R1807" s="4" t="s">
        <v>730</v>
      </c>
      <c r="S1807" s="2">
        <v>46174.757916666669</v>
      </c>
      <c r="T1807" s="5">
        <v>2.2474537037037038E-4</v>
      </c>
      <c r="U1807" s="4">
        <v>6.0350358486175537E-2</v>
      </c>
      <c r="V1807" s="4" t="s">
        <v>1078</v>
      </c>
      <c r="W1807" s="4" t="s">
        <v>656</v>
      </c>
      <c r="X1807" s="6" t="s">
        <v>617</v>
      </c>
    </row>
    <row r="1808" spans="1:24">
      <c r="A1808" s="4" t="s">
        <v>1061</v>
      </c>
      <c r="B1808" s="4" t="s">
        <v>1062</v>
      </c>
      <c r="C1808" s="4" t="s">
        <v>1063</v>
      </c>
      <c r="D1808" s="4" t="s">
        <v>716</v>
      </c>
      <c r="E1808" s="4" t="s">
        <v>717</v>
      </c>
      <c r="M1808" s="4" t="s">
        <v>656</v>
      </c>
      <c r="N1808" s="4">
        <v>-71.633883699999998</v>
      </c>
      <c r="O1808" s="4">
        <v>3.7833712079999997</v>
      </c>
      <c r="P1808" s="4" t="s">
        <v>742</v>
      </c>
      <c r="Q1808" s="4" t="s">
        <v>743</v>
      </c>
      <c r="R1808" s="4" t="s">
        <v>730</v>
      </c>
      <c r="S1808" s="2">
        <v>46174.758328703705</v>
      </c>
      <c r="T1808" s="5">
        <v>5.3703703703703704E-4</v>
      </c>
      <c r="U1808" s="4">
        <v>0.20608831942081451</v>
      </c>
      <c r="V1808" s="4" t="s">
        <v>861</v>
      </c>
      <c r="W1808" s="4" t="s">
        <v>656</v>
      </c>
      <c r="X1808" s="6" t="s">
        <v>617</v>
      </c>
    </row>
    <row r="1809" spans="1:24">
      <c r="A1809" s="4" t="s">
        <v>1061</v>
      </c>
      <c r="B1809" s="4" t="s">
        <v>1062</v>
      </c>
      <c r="C1809" s="4" t="s">
        <v>1063</v>
      </c>
      <c r="D1809" s="4" t="s">
        <v>716</v>
      </c>
      <c r="E1809" s="4" t="s">
        <v>717</v>
      </c>
      <c r="M1809" s="4" t="s">
        <v>645</v>
      </c>
      <c r="N1809" s="4">
        <v>-71.634499290555553</v>
      </c>
      <c r="O1809" s="4">
        <v>3.7813759115566667</v>
      </c>
      <c r="P1809" s="4" t="s">
        <v>800</v>
      </c>
      <c r="Q1809" s="4" t="s">
        <v>746</v>
      </c>
      <c r="R1809" s="4" t="s">
        <v>720</v>
      </c>
      <c r="S1809" s="2">
        <v>46174.759035798612</v>
      </c>
      <c r="T1809" s="5">
        <v>2.003125E-4</v>
      </c>
      <c r="U1809" s="4">
        <v>5.3714968264102936E-2</v>
      </c>
      <c r="V1809" s="4" t="s">
        <v>731</v>
      </c>
      <c r="W1809" s="4" t="s">
        <v>645</v>
      </c>
      <c r="X1809" s="6" t="s">
        <v>617</v>
      </c>
    </row>
    <row r="1810" spans="1:24">
      <c r="A1810" s="4" t="s">
        <v>1061</v>
      </c>
      <c r="B1810" s="4" t="s">
        <v>1062</v>
      </c>
      <c r="C1810" s="4" t="s">
        <v>1063</v>
      </c>
      <c r="D1810" s="4" t="s">
        <v>716</v>
      </c>
      <c r="E1810" s="4" t="s">
        <v>717</v>
      </c>
      <c r="M1810" s="4" t="s">
        <v>645</v>
      </c>
      <c r="N1810" s="4">
        <v>-71.634063699999999</v>
      </c>
      <c r="O1810" s="4">
        <v>3.7812109</v>
      </c>
      <c r="P1810" s="4" t="s">
        <v>800</v>
      </c>
      <c r="Q1810" s="4" t="s">
        <v>746</v>
      </c>
      <c r="R1810" s="4" t="s">
        <v>720</v>
      </c>
      <c r="S1810" s="2">
        <v>46174.759236111109</v>
      </c>
      <c r="T1810" s="5">
        <v>3.0960648148148151E-4</v>
      </c>
      <c r="U1810" s="4">
        <v>7.651451975107193E-2</v>
      </c>
      <c r="V1810" s="4" t="s">
        <v>724</v>
      </c>
      <c r="W1810" s="4" t="s">
        <v>645</v>
      </c>
      <c r="X1810" s="6" t="s">
        <v>617</v>
      </c>
    </row>
    <row r="1811" spans="1:24">
      <c r="A1811" s="4" t="s">
        <v>1061</v>
      </c>
      <c r="B1811" s="4" t="s">
        <v>1062</v>
      </c>
      <c r="C1811" s="4" t="s">
        <v>1063</v>
      </c>
      <c r="D1811" s="4" t="s">
        <v>716</v>
      </c>
      <c r="E1811" s="4" t="s">
        <v>717</v>
      </c>
      <c r="M1811" s="4" t="s">
        <v>645</v>
      </c>
      <c r="N1811" s="4">
        <v>-71.633259620000004</v>
      </c>
      <c r="O1811" s="4">
        <v>3.7809059659999997</v>
      </c>
      <c r="P1811" s="4" t="s">
        <v>800</v>
      </c>
      <c r="Q1811" s="4" t="s">
        <v>746</v>
      </c>
      <c r="R1811" s="4" t="s">
        <v>720</v>
      </c>
      <c r="S1811" s="2">
        <v>46174.831925925922</v>
      </c>
      <c r="T1811" s="5">
        <v>1.0798611111111111E-5</v>
      </c>
      <c r="U1811" s="4">
        <v>2.3180046118795872E-3</v>
      </c>
      <c r="V1811" s="4" t="s">
        <v>724</v>
      </c>
      <c r="W1811" s="4" t="s">
        <v>645</v>
      </c>
      <c r="X1811" s="6" t="s">
        <v>617</v>
      </c>
    </row>
    <row r="1812" spans="1:24">
      <c r="A1812" s="4" t="s">
        <v>1061</v>
      </c>
      <c r="B1812" s="4" t="s">
        <v>1062</v>
      </c>
      <c r="C1812" s="4" t="s">
        <v>1063</v>
      </c>
      <c r="D1812" s="4" t="s">
        <v>716</v>
      </c>
      <c r="E1812" s="4" t="s">
        <v>717</v>
      </c>
      <c r="M1812" s="4" t="s">
        <v>645</v>
      </c>
      <c r="N1812" s="4">
        <v>-71.633552600000002</v>
      </c>
      <c r="O1812" s="4">
        <v>3.7810339900000001</v>
      </c>
      <c r="P1812" s="4" t="s">
        <v>800</v>
      </c>
      <c r="Q1812" s="4" t="s">
        <v>746</v>
      </c>
      <c r="R1812" s="4" t="s">
        <v>720</v>
      </c>
      <c r="S1812" s="2">
        <v>46174.832071759258</v>
      </c>
      <c r="T1812" s="5">
        <v>1.6898148148148149E-4</v>
      </c>
      <c r="U1812" s="4">
        <v>3.7960220128297806E-2</v>
      </c>
      <c r="V1812" s="4" t="s">
        <v>724</v>
      </c>
      <c r="W1812" s="4" t="s">
        <v>645</v>
      </c>
      <c r="X1812" s="6" t="s">
        <v>617</v>
      </c>
    </row>
    <row r="1813" spans="1:24">
      <c r="A1813" s="4" t="s">
        <v>1061</v>
      </c>
      <c r="B1813" s="4" t="s">
        <v>1062</v>
      </c>
      <c r="C1813" s="4" t="s">
        <v>1063</v>
      </c>
      <c r="D1813" s="4" t="s">
        <v>716</v>
      </c>
      <c r="E1813" s="4" t="s">
        <v>717</v>
      </c>
      <c r="M1813" s="4" t="s">
        <v>656</v>
      </c>
      <c r="N1813" s="4">
        <v>-71.634590338943738</v>
      </c>
      <c r="O1813" s="4">
        <v>3.7814856138999997</v>
      </c>
      <c r="P1813" s="4" t="s">
        <v>742</v>
      </c>
      <c r="Q1813" s="4" t="s">
        <v>743</v>
      </c>
      <c r="R1813" s="4" t="s">
        <v>730</v>
      </c>
      <c r="S1813" s="2">
        <v>46174.832982766202</v>
      </c>
      <c r="T1813" s="5">
        <v>7.5565972222222224E-4</v>
      </c>
      <c r="U1813" s="4">
        <v>0.32024544477462769</v>
      </c>
      <c r="V1813" s="4" t="s">
        <v>865</v>
      </c>
      <c r="W1813" s="4" t="s">
        <v>656</v>
      </c>
      <c r="X1813" s="6" t="s">
        <v>617</v>
      </c>
    </row>
    <row r="1814" spans="1:24">
      <c r="A1814" s="4" t="s">
        <v>1061</v>
      </c>
      <c r="B1814" s="4" t="s">
        <v>1062</v>
      </c>
      <c r="C1814" s="4" t="s">
        <v>1063</v>
      </c>
      <c r="D1814" s="4" t="s">
        <v>716</v>
      </c>
      <c r="E1814" s="4" t="s">
        <v>717</v>
      </c>
      <c r="M1814" s="4" t="s">
        <v>645</v>
      </c>
      <c r="N1814" s="4">
        <v>-71.62640025204999</v>
      </c>
      <c r="O1814" s="4">
        <v>3.7809494823533334</v>
      </c>
      <c r="P1814" s="4" t="s">
        <v>739</v>
      </c>
      <c r="Q1814" s="4" t="s">
        <v>740</v>
      </c>
      <c r="R1814" s="4" t="s">
        <v>730</v>
      </c>
      <c r="S1814" s="2">
        <v>46174.83563765046</v>
      </c>
      <c r="T1814" s="5">
        <v>3.9023148148148147E-4</v>
      </c>
      <c r="U1814" s="4">
        <v>0.15137162804603577</v>
      </c>
      <c r="V1814" s="4" t="s">
        <v>721</v>
      </c>
      <c r="W1814" s="4" t="s">
        <v>645</v>
      </c>
      <c r="X1814" s="6" t="s">
        <v>617</v>
      </c>
    </row>
    <row r="1815" spans="1:24">
      <c r="A1815" s="4" t="s">
        <v>1061</v>
      </c>
      <c r="B1815" s="4" t="s">
        <v>1062</v>
      </c>
      <c r="C1815" s="4" t="s">
        <v>1063</v>
      </c>
      <c r="D1815" s="4" t="s">
        <v>716</v>
      </c>
      <c r="E1815" s="4" t="s">
        <v>717</v>
      </c>
      <c r="M1815" s="4" t="s">
        <v>614</v>
      </c>
      <c r="N1815" s="4">
        <v>-71.548988300000005</v>
      </c>
      <c r="O1815" s="4">
        <v>3.7826943399999999</v>
      </c>
      <c r="P1815" s="4" t="s">
        <v>742</v>
      </c>
      <c r="Q1815" s="4" t="s">
        <v>743</v>
      </c>
      <c r="R1815" s="4" t="s">
        <v>730</v>
      </c>
      <c r="S1815" s="2">
        <v>46174.852743055555</v>
      </c>
      <c r="T1815" s="5">
        <v>1.3622685185185186E-2</v>
      </c>
      <c r="U1815" s="4">
        <v>0</v>
      </c>
      <c r="V1815" s="4" t="s">
        <v>616</v>
      </c>
      <c r="W1815" s="4" t="s">
        <v>614</v>
      </c>
      <c r="X1815" s="6" t="s">
        <v>617</v>
      </c>
    </row>
    <row r="1816" spans="1:24">
      <c r="A1816" s="4" t="s">
        <v>1061</v>
      </c>
      <c r="B1816" s="4" t="s">
        <v>1062</v>
      </c>
      <c r="C1816" s="4" t="s">
        <v>1063</v>
      </c>
      <c r="D1816" s="4" t="s">
        <v>716</v>
      </c>
      <c r="E1816" s="4" t="s">
        <v>717</v>
      </c>
      <c r="M1816" s="4" t="s">
        <v>645</v>
      </c>
      <c r="N1816" s="4">
        <v>-71.534805300000002</v>
      </c>
      <c r="O1816" s="4">
        <v>3.8027799099999999</v>
      </c>
      <c r="P1816" s="4" t="s">
        <v>749</v>
      </c>
      <c r="Q1816" s="4" t="s">
        <v>746</v>
      </c>
      <c r="R1816" s="4" t="s">
        <v>720</v>
      </c>
      <c r="S1816" s="2">
        <v>46174.956799768617</v>
      </c>
      <c r="T1816" s="5">
        <v>1.9097232222222224E-4</v>
      </c>
      <c r="U1816" s="4">
        <v>5.2619542926549911E-2</v>
      </c>
      <c r="V1816" s="4" t="s">
        <v>731</v>
      </c>
      <c r="W1816" s="4" t="s">
        <v>645</v>
      </c>
      <c r="X1816" s="6" t="s">
        <v>617</v>
      </c>
    </row>
    <row r="1817" spans="1:24">
      <c r="A1817" s="4" t="s">
        <v>1061</v>
      </c>
      <c r="B1817" s="4" t="s">
        <v>1062</v>
      </c>
      <c r="C1817" s="4" t="s">
        <v>1063</v>
      </c>
      <c r="D1817" s="4" t="s">
        <v>716</v>
      </c>
      <c r="E1817" s="4" t="s">
        <v>717</v>
      </c>
      <c r="M1817" s="4" t="s">
        <v>645</v>
      </c>
      <c r="N1817" s="4">
        <v>-71.534683200000003</v>
      </c>
      <c r="O1817" s="4">
        <v>3.8032283800000002</v>
      </c>
      <c r="P1817" s="4" t="s">
        <v>749</v>
      </c>
      <c r="Q1817" s="4" t="s">
        <v>746</v>
      </c>
      <c r="R1817" s="4" t="s">
        <v>720</v>
      </c>
      <c r="S1817" s="2">
        <v>46174.956990740742</v>
      </c>
      <c r="T1817" s="5">
        <v>2.6388888888888886E-4</v>
      </c>
      <c r="U1817" s="4">
        <v>7.5186803936958313E-2</v>
      </c>
      <c r="V1817" s="4" t="s">
        <v>731</v>
      </c>
      <c r="W1817" s="4" t="s">
        <v>645</v>
      </c>
      <c r="X1817" s="6" t="s">
        <v>617</v>
      </c>
    </row>
    <row r="1818" spans="1:24">
      <c r="A1818" s="4" t="s">
        <v>1061</v>
      </c>
      <c r="B1818" s="4" t="s">
        <v>1062</v>
      </c>
      <c r="C1818" s="4" t="s">
        <v>1063</v>
      </c>
      <c r="D1818" s="4" t="s">
        <v>716</v>
      </c>
      <c r="E1818" s="4" t="s">
        <v>717</v>
      </c>
      <c r="M1818" s="4" t="s">
        <v>645</v>
      </c>
      <c r="N1818" s="4">
        <v>-71.535049400000005</v>
      </c>
      <c r="O1818" s="4">
        <v>3.8044192799999998</v>
      </c>
      <c r="P1818" s="4" t="s">
        <v>745</v>
      </c>
      <c r="Q1818" s="4" t="s">
        <v>746</v>
      </c>
      <c r="R1818" s="4" t="s">
        <v>720</v>
      </c>
      <c r="S1818" s="2">
        <v>46174.95752314815</v>
      </c>
      <c r="T1818" s="5">
        <v>2.199074074074074E-4</v>
      </c>
      <c r="U1818" s="4">
        <v>5.2646968513727188E-2</v>
      </c>
      <c r="V1818" s="4" t="s">
        <v>724</v>
      </c>
      <c r="W1818" s="4" t="s">
        <v>645</v>
      </c>
      <c r="X1818" s="6" t="s">
        <v>617</v>
      </c>
    </row>
    <row r="1819" spans="1:24">
      <c r="A1819" s="4" t="s">
        <v>1061</v>
      </c>
      <c r="B1819" s="4" t="s">
        <v>1062</v>
      </c>
      <c r="C1819" s="4" t="s">
        <v>1063</v>
      </c>
      <c r="D1819" s="4" t="s">
        <v>716</v>
      </c>
      <c r="E1819" s="4" t="s">
        <v>717</v>
      </c>
      <c r="M1819" s="4" t="s">
        <v>645</v>
      </c>
      <c r="N1819" s="4">
        <v>-71.53354075</v>
      </c>
      <c r="O1819" s="4">
        <v>3.8055967649999998</v>
      </c>
      <c r="P1819" s="4" t="s">
        <v>749</v>
      </c>
      <c r="Q1819" s="4" t="s">
        <v>746</v>
      </c>
      <c r="R1819" s="4" t="s">
        <v>720</v>
      </c>
      <c r="S1819" s="2">
        <v>46174.958431713065</v>
      </c>
      <c r="T1819" s="5">
        <v>1.3888888888888889E-4</v>
      </c>
      <c r="U1819" s="4">
        <v>3.4764420241117477E-2</v>
      </c>
      <c r="V1819" s="4" t="s">
        <v>724</v>
      </c>
      <c r="W1819" s="4" t="s">
        <v>645</v>
      </c>
      <c r="X1819" s="6" t="s">
        <v>617</v>
      </c>
    </row>
    <row r="1820" spans="1:24">
      <c r="A1820" s="4" t="s">
        <v>1061</v>
      </c>
      <c r="B1820" s="4" t="s">
        <v>1062</v>
      </c>
      <c r="C1820" s="4" t="s">
        <v>1063</v>
      </c>
      <c r="D1820" s="4" t="s">
        <v>716</v>
      </c>
      <c r="E1820" s="4" t="s">
        <v>717</v>
      </c>
      <c r="M1820" s="4" t="s">
        <v>645</v>
      </c>
      <c r="N1820" s="4">
        <v>-71.53234864096251</v>
      </c>
      <c r="O1820" s="4">
        <v>3.80599593719875</v>
      </c>
      <c r="P1820" s="4" t="s">
        <v>749</v>
      </c>
      <c r="Q1820" s="4" t="s">
        <v>746</v>
      </c>
      <c r="R1820" s="4" t="s">
        <v>720</v>
      </c>
      <c r="S1820" s="2">
        <v>46174.959089502314</v>
      </c>
      <c r="T1820" s="5">
        <v>2.6234953703703701E-4</v>
      </c>
      <c r="U1820" s="4">
        <v>6.2284190207719803E-2</v>
      </c>
      <c r="V1820" s="4" t="s">
        <v>728</v>
      </c>
      <c r="W1820" s="4" t="s">
        <v>645</v>
      </c>
      <c r="X1820" s="6" t="s">
        <v>617</v>
      </c>
    </row>
    <row r="1821" spans="1:24">
      <c r="A1821" s="4" t="s">
        <v>1061</v>
      </c>
      <c r="B1821" s="4" t="s">
        <v>1062</v>
      </c>
      <c r="C1821" s="4" t="s">
        <v>1063</v>
      </c>
      <c r="D1821" s="4" t="s">
        <v>716</v>
      </c>
      <c r="E1821" s="4" t="s">
        <v>717</v>
      </c>
      <c r="M1821" s="4" t="s">
        <v>645</v>
      </c>
      <c r="N1821" s="4">
        <v>-71.531837499999995</v>
      </c>
      <c r="O1821" s="4">
        <v>3.8062252999999999</v>
      </c>
      <c r="P1821" s="4" t="s">
        <v>749</v>
      </c>
      <c r="Q1821" s="4" t="s">
        <v>746</v>
      </c>
      <c r="R1821" s="4" t="s">
        <v>720</v>
      </c>
      <c r="S1821" s="2">
        <v>46174.959351851852</v>
      </c>
      <c r="T1821" s="5">
        <v>7.6388888888888893E-4</v>
      </c>
      <c r="U1821" s="4">
        <v>0.20076324045658112</v>
      </c>
      <c r="V1821" s="4" t="s">
        <v>728</v>
      </c>
      <c r="W1821" s="4" t="s">
        <v>645</v>
      </c>
      <c r="X1821" s="6" t="s">
        <v>617</v>
      </c>
    </row>
    <row r="1822" spans="1:24">
      <c r="A1822" s="4" t="s">
        <v>1061</v>
      </c>
      <c r="B1822" s="4" t="s">
        <v>1062</v>
      </c>
      <c r="C1822" s="4" t="s">
        <v>1063</v>
      </c>
      <c r="D1822" s="4" t="s">
        <v>716</v>
      </c>
      <c r="E1822" s="4" t="s">
        <v>717</v>
      </c>
      <c r="M1822" s="4" t="s">
        <v>645</v>
      </c>
      <c r="N1822" s="4">
        <v>-71.530611694834377</v>
      </c>
      <c r="O1822" s="4">
        <v>3.8039530061162501</v>
      </c>
      <c r="P1822" s="4" t="s">
        <v>747</v>
      </c>
      <c r="Q1822" s="4" t="s">
        <v>746</v>
      </c>
      <c r="R1822" s="4" t="s">
        <v>720</v>
      </c>
      <c r="S1822" s="2">
        <v>46174.960493831015</v>
      </c>
      <c r="T1822" s="5">
        <v>4.0431712962962963E-4</v>
      </c>
      <c r="U1822" s="4">
        <v>0.10719262808561325</v>
      </c>
      <c r="V1822" s="4" t="s">
        <v>666</v>
      </c>
      <c r="W1822" s="4" t="s">
        <v>645</v>
      </c>
      <c r="X1822" s="6" t="s">
        <v>617</v>
      </c>
    </row>
    <row r="1823" spans="1:24">
      <c r="A1823" s="4" t="s">
        <v>1061</v>
      </c>
      <c r="B1823" s="4" t="s">
        <v>1062</v>
      </c>
      <c r="C1823" s="4" t="s">
        <v>1063</v>
      </c>
      <c r="D1823" s="4" t="s">
        <v>716</v>
      </c>
      <c r="E1823" s="4" t="s">
        <v>717</v>
      </c>
      <c r="M1823" s="4" t="s">
        <v>645</v>
      </c>
      <c r="N1823" s="4">
        <v>-71.530413300000006</v>
      </c>
      <c r="O1823" s="4">
        <v>3.8036953599999999</v>
      </c>
      <c r="P1823" s="4" t="s">
        <v>747</v>
      </c>
      <c r="Q1823" s="4" t="s">
        <v>746</v>
      </c>
      <c r="R1823" s="4" t="s">
        <v>720</v>
      </c>
      <c r="S1823" s="2">
        <v>46174.984849537039</v>
      </c>
      <c r="T1823" s="5">
        <v>1.1188657407407408E-4</v>
      </c>
      <c r="U1823" s="4">
        <v>2.4836026132106781E-2</v>
      </c>
      <c r="V1823" s="4" t="s">
        <v>724</v>
      </c>
      <c r="W1823" s="4" t="s">
        <v>645</v>
      </c>
      <c r="X1823" s="6" t="s">
        <v>617</v>
      </c>
    </row>
    <row r="1824" spans="1:24">
      <c r="A1824" s="4" t="s">
        <v>1061</v>
      </c>
      <c r="B1824" s="4" t="s">
        <v>1062</v>
      </c>
      <c r="C1824" s="4" t="s">
        <v>1063</v>
      </c>
      <c r="D1824" s="4" t="s">
        <v>716</v>
      </c>
      <c r="E1824" s="4" t="s">
        <v>717</v>
      </c>
      <c r="M1824" s="4" t="s">
        <v>645</v>
      </c>
      <c r="N1824" s="4">
        <v>-71.5310822</v>
      </c>
      <c r="O1824" s="4">
        <v>3.8048450900000002</v>
      </c>
      <c r="P1824" s="4" t="s">
        <v>747</v>
      </c>
      <c r="Q1824" s="4" t="s">
        <v>746</v>
      </c>
      <c r="R1824" s="4" t="s">
        <v>720</v>
      </c>
      <c r="S1824" s="2">
        <v>46174.985532407409</v>
      </c>
      <c r="T1824" s="5">
        <v>5.9027777777777778E-4</v>
      </c>
      <c r="U1824" s="4">
        <v>0.17678062617778778</v>
      </c>
      <c r="V1824" s="4" t="s">
        <v>771</v>
      </c>
      <c r="W1824" s="4" t="s">
        <v>645</v>
      </c>
      <c r="X1824" s="6" t="s">
        <v>617</v>
      </c>
    </row>
    <row r="1825" spans="1:24">
      <c r="A1825" s="4" t="s">
        <v>1061</v>
      </c>
      <c r="B1825" s="4" t="s">
        <v>1062</v>
      </c>
      <c r="C1825" s="4" t="s">
        <v>1063</v>
      </c>
      <c r="D1825" s="4" t="s">
        <v>716</v>
      </c>
      <c r="E1825" s="4" t="s">
        <v>717</v>
      </c>
      <c r="M1825" s="4" t="s">
        <v>645</v>
      </c>
      <c r="N1825" s="4">
        <v>-71.531806900000007</v>
      </c>
      <c r="O1825" s="4">
        <v>3.8062377000000001</v>
      </c>
      <c r="P1825" s="4" t="s">
        <v>749</v>
      </c>
      <c r="Q1825" s="4" t="s">
        <v>746</v>
      </c>
      <c r="R1825" s="4" t="s">
        <v>720</v>
      </c>
      <c r="S1825" s="2">
        <v>46174.986122685186</v>
      </c>
      <c r="T1825" s="5">
        <v>9.6064814814814819E-4</v>
      </c>
      <c r="U1825" s="4">
        <v>0.27181044220924377</v>
      </c>
      <c r="V1825" s="4" t="s">
        <v>666</v>
      </c>
      <c r="W1825" s="4" t="s">
        <v>645</v>
      </c>
      <c r="X1825" s="6" t="s">
        <v>617</v>
      </c>
    </row>
    <row r="1826" spans="1:24">
      <c r="A1826" s="4" t="s">
        <v>1061</v>
      </c>
      <c r="B1826" s="4" t="s">
        <v>1062</v>
      </c>
      <c r="C1826" s="4" t="s">
        <v>1063</v>
      </c>
      <c r="D1826" s="4" t="s">
        <v>716</v>
      </c>
      <c r="E1826" s="4" t="s">
        <v>717</v>
      </c>
      <c r="M1826" s="4" t="s">
        <v>645</v>
      </c>
      <c r="N1826" s="4">
        <v>-71.534024060000007</v>
      </c>
      <c r="O1826" s="4">
        <v>3.8047858219999999</v>
      </c>
      <c r="P1826" s="4" t="s">
        <v>749</v>
      </c>
      <c r="Q1826" s="4" t="s">
        <v>746</v>
      </c>
      <c r="R1826" s="4" t="s">
        <v>720</v>
      </c>
      <c r="S1826" s="2">
        <v>46174.987479166666</v>
      </c>
      <c r="T1826" s="5">
        <v>1.4814814814814815E-4</v>
      </c>
      <c r="U1826" s="4">
        <v>3.9253376424312592E-2</v>
      </c>
      <c r="V1826" s="4" t="s">
        <v>731</v>
      </c>
      <c r="W1826" s="4" t="s">
        <v>645</v>
      </c>
      <c r="X1826" s="6" t="s">
        <v>617</v>
      </c>
    </row>
    <row r="1827" spans="1:24">
      <c r="A1827" s="4" t="s">
        <v>1061</v>
      </c>
      <c r="B1827" s="4" t="s">
        <v>1062</v>
      </c>
      <c r="C1827" s="4" t="s">
        <v>1063</v>
      </c>
      <c r="D1827" s="4" t="s">
        <v>716</v>
      </c>
      <c r="E1827" s="4" t="s">
        <v>717</v>
      </c>
      <c r="M1827" s="4" t="s">
        <v>645</v>
      </c>
      <c r="N1827" s="4">
        <v>-71.533760049999998</v>
      </c>
      <c r="O1827" s="4">
        <v>3.8043864924999999</v>
      </c>
      <c r="P1827" s="4" t="s">
        <v>745</v>
      </c>
      <c r="Q1827" s="4" t="s">
        <v>746</v>
      </c>
      <c r="R1827" s="4" t="s">
        <v>720</v>
      </c>
      <c r="S1827" s="2">
        <v>46174.987685185188</v>
      </c>
      <c r="T1827" s="5">
        <v>2.8935285185185187E-5</v>
      </c>
      <c r="U1827" s="4">
        <v>6.5388539806008339E-3</v>
      </c>
      <c r="V1827" s="4" t="s">
        <v>724</v>
      </c>
      <c r="W1827" s="4" t="s">
        <v>645</v>
      </c>
      <c r="X1827" s="6" t="s">
        <v>617</v>
      </c>
    </row>
    <row r="1828" spans="1:24">
      <c r="A1828" s="4" t="s">
        <v>1079</v>
      </c>
      <c r="B1828" s="4" t="s">
        <v>1080</v>
      </c>
      <c r="C1828" s="4" t="s">
        <v>1081</v>
      </c>
      <c r="D1828" s="4" t="s">
        <v>716</v>
      </c>
      <c r="E1828" s="4" t="s">
        <v>717</v>
      </c>
      <c r="M1828" s="4" t="s">
        <v>645</v>
      </c>
      <c r="N1828" s="4">
        <v>-71.625307604228567</v>
      </c>
      <c r="O1828" s="4">
        <v>3.7810493451657141</v>
      </c>
      <c r="P1828" s="4" t="s">
        <v>759</v>
      </c>
      <c r="Q1828" s="4" t="s">
        <v>760</v>
      </c>
      <c r="R1828" s="4" t="s">
        <v>730</v>
      </c>
      <c r="S1828" s="2">
        <v>46174.197831574071</v>
      </c>
      <c r="T1828" s="5">
        <v>2.4258101851851852E-4</v>
      </c>
      <c r="U1828" s="4">
        <v>0.12039940059185028</v>
      </c>
      <c r="V1828" s="4" t="s">
        <v>732</v>
      </c>
      <c r="W1828" s="4" t="s">
        <v>645</v>
      </c>
      <c r="X1828" s="6" t="s">
        <v>617</v>
      </c>
    </row>
    <row r="1829" spans="1:24">
      <c r="A1829" s="4" t="s">
        <v>1079</v>
      </c>
      <c r="B1829" s="4" t="s">
        <v>1080</v>
      </c>
      <c r="C1829" s="4" t="s">
        <v>1081</v>
      </c>
      <c r="D1829" s="4" t="s">
        <v>716</v>
      </c>
      <c r="E1829" s="4" t="s">
        <v>717</v>
      </c>
      <c r="M1829" s="4" t="s">
        <v>762</v>
      </c>
      <c r="N1829" s="4">
        <v>-71.629317164650004</v>
      </c>
      <c r="O1829" s="4">
        <v>3.782456184555</v>
      </c>
      <c r="P1829" s="4" t="s">
        <v>734</v>
      </c>
      <c r="Q1829" s="4" t="s">
        <v>735</v>
      </c>
      <c r="R1829" s="4" t="s">
        <v>730</v>
      </c>
      <c r="S1829" s="2">
        <v>46174.198708668984</v>
      </c>
      <c r="T1829" s="5">
        <v>1.4971064814814814E-4</v>
      </c>
      <c r="U1829" s="4">
        <v>0.11459910124540329</v>
      </c>
      <c r="V1829" s="4" t="s">
        <v>781</v>
      </c>
      <c r="W1829" s="4" t="s">
        <v>762</v>
      </c>
      <c r="X1829" s="6" t="s">
        <v>617</v>
      </c>
    </row>
    <row r="1830" spans="1:24">
      <c r="A1830" s="4" t="s">
        <v>1079</v>
      </c>
      <c r="B1830" s="4" t="s">
        <v>1080</v>
      </c>
      <c r="C1830" s="4" t="s">
        <v>1081</v>
      </c>
      <c r="D1830" s="4" t="s">
        <v>716</v>
      </c>
      <c r="E1830" s="4" t="s">
        <v>717</v>
      </c>
      <c r="M1830" s="4" t="s">
        <v>762</v>
      </c>
      <c r="N1830" s="4">
        <v>-71.631351499999994</v>
      </c>
      <c r="O1830" s="4">
        <v>3.7835798250000003</v>
      </c>
      <c r="P1830" s="4" t="s">
        <v>734</v>
      </c>
      <c r="Q1830" s="4" t="s">
        <v>735</v>
      </c>
      <c r="R1830" s="4" t="s">
        <v>730</v>
      </c>
      <c r="S1830" s="2">
        <v>46174.199091435286</v>
      </c>
      <c r="T1830" s="5">
        <v>6.8796296296296292E-5</v>
      </c>
      <c r="U1830" s="4">
        <v>4.7665979713201523E-2</v>
      </c>
      <c r="V1830" s="4" t="s">
        <v>763</v>
      </c>
      <c r="W1830" s="4" t="s">
        <v>762</v>
      </c>
      <c r="X1830" s="6" t="s">
        <v>617</v>
      </c>
    </row>
    <row r="1831" spans="1:24">
      <c r="A1831" s="4" t="s">
        <v>1079</v>
      </c>
      <c r="B1831" s="4" t="s">
        <v>1080</v>
      </c>
      <c r="C1831" s="4" t="s">
        <v>1081</v>
      </c>
      <c r="D1831" s="4" t="s">
        <v>716</v>
      </c>
      <c r="E1831" s="4" t="s">
        <v>717</v>
      </c>
      <c r="M1831" s="4" t="s">
        <v>762</v>
      </c>
      <c r="N1831" s="4">
        <v>-71.632293689066671</v>
      </c>
      <c r="O1831" s="4">
        <v>3.7837561738866667</v>
      </c>
      <c r="P1831" s="4" t="s">
        <v>734</v>
      </c>
      <c r="Q1831" s="4" t="s">
        <v>735</v>
      </c>
      <c r="R1831" s="4" t="s">
        <v>730</v>
      </c>
      <c r="S1831" s="2">
        <v>46174.19925189815</v>
      </c>
      <c r="T1831" s="5">
        <v>6.8541666666666661E-5</v>
      </c>
      <c r="U1831" s="4">
        <v>5.035669356584549E-2</v>
      </c>
      <c r="V1831" s="4" t="s">
        <v>781</v>
      </c>
      <c r="W1831" s="4" t="s">
        <v>762</v>
      </c>
      <c r="X1831" s="6" t="s">
        <v>617</v>
      </c>
    </row>
    <row r="1832" spans="1:24">
      <c r="A1832" s="4" t="s">
        <v>1079</v>
      </c>
      <c r="B1832" s="4" t="s">
        <v>1080</v>
      </c>
      <c r="C1832" s="4" t="s">
        <v>1081</v>
      </c>
      <c r="D1832" s="4" t="s">
        <v>716</v>
      </c>
      <c r="E1832" s="4" t="s">
        <v>717</v>
      </c>
      <c r="M1832" s="4" t="s">
        <v>762</v>
      </c>
      <c r="N1832" s="4">
        <v>-71.633099841739991</v>
      </c>
      <c r="O1832" s="4">
        <v>3.7838811849980001</v>
      </c>
      <c r="P1832" s="4" t="s">
        <v>734</v>
      </c>
      <c r="Q1832" s="4" t="s">
        <v>735</v>
      </c>
      <c r="R1832" s="4" t="s">
        <v>730</v>
      </c>
      <c r="S1832" s="2">
        <v>46174.199378854166</v>
      </c>
      <c r="T1832" s="5">
        <v>9.8655092592592588E-4</v>
      </c>
      <c r="U1832" s="4">
        <v>0.76584106683731079</v>
      </c>
      <c r="V1832" s="4" t="s">
        <v>781</v>
      </c>
      <c r="W1832" s="4" t="s">
        <v>762</v>
      </c>
      <c r="X1832" s="6" t="s">
        <v>617</v>
      </c>
    </row>
    <row r="1833" spans="1:24">
      <c r="A1833" s="4" t="s">
        <v>1079</v>
      </c>
      <c r="B1833" s="4" t="s">
        <v>1080</v>
      </c>
      <c r="C1833" s="4" t="s">
        <v>1081</v>
      </c>
      <c r="D1833" s="4" t="s">
        <v>716</v>
      </c>
      <c r="E1833" s="4" t="s">
        <v>717</v>
      </c>
      <c r="M1833" s="4" t="s">
        <v>645</v>
      </c>
      <c r="N1833" s="4">
        <v>-71.63505935812401</v>
      </c>
      <c r="O1833" s="4">
        <v>3.7842371623303999</v>
      </c>
      <c r="P1833" s="4" t="s">
        <v>718</v>
      </c>
      <c r="Q1833" s="4" t="s">
        <v>719</v>
      </c>
      <c r="R1833" s="4" t="s">
        <v>720</v>
      </c>
      <c r="S1833" s="2">
        <v>46174.199667696761</v>
      </c>
      <c r="T1833" s="5">
        <v>2.4061342592592594E-4</v>
      </c>
      <c r="U1833" s="4">
        <v>0.18380694091320038</v>
      </c>
      <c r="V1833" s="4" t="s">
        <v>808</v>
      </c>
      <c r="W1833" s="4" t="s">
        <v>645</v>
      </c>
      <c r="X1833" s="6" t="s">
        <v>617</v>
      </c>
    </row>
    <row r="1834" spans="1:24">
      <c r="A1834" s="4" t="s">
        <v>1079</v>
      </c>
      <c r="B1834" s="4" t="s">
        <v>1080</v>
      </c>
      <c r="C1834" s="4" t="s">
        <v>1081</v>
      </c>
      <c r="D1834" s="4" t="s">
        <v>716</v>
      </c>
      <c r="E1834" s="4" t="s">
        <v>717</v>
      </c>
      <c r="M1834" s="4" t="s">
        <v>762</v>
      </c>
      <c r="N1834" s="4">
        <v>-71.642463699999993</v>
      </c>
      <c r="O1834" s="4">
        <v>3.7845418899999999</v>
      </c>
      <c r="P1834" s="4" t="s">
        <v>734</v>
      </c>
      <c r="Q1834" s="4" t="s">
        <v>735</v>
      </c>
      <c r="R1834" s="4" t="s">
        <v>730</v>
      </c>
      <c r="S1834" s="2">
        <v>46174.200803240739</v>
      </c>
      <c r="T1834" s="5">
        <v>1.9791666666666666E-4</v>
      </c>
      <c r="U1834" s="4">
        <v>0.14202013611793518</v>
      </c>
      <c r="V1834" s="4" t="s">
        <v>763</v>
      </c>
      <c r="W1834" s="4" t="s">
        <v>762</v>
      </c>
      <c r="X1834" s="6" t="s">
        <v>617</v>
      </c>
    </row>
    <row r="1835" spans="1:24">
      <c r="A1835" s="4" t="s">
        <v>1079</v>
      </c>
      <c r="B1835" s="4" t="s">
        <v>1080</v>
      </c>
      <c r="C1835" s="4" t="s">
        <v>1081</v>
      </c>
      <c r="D1835" s="4" t="s">
        <v>716</v>
      </c>
      <c r="E1835" s="4" t="s">
        <v>717</v>
      </c>
      <c r="M1835" s="4" t="s">
        <v>762</v>
      </c>
      <c r="N1835" s="4">
        <v>-71.644332899999995</v>
      </c>
      <c r="O1835" s="4">
        <v>3.78189778</v>
      </c>
      <c r="P1835" s="4" t="s">
        <v>734</v>
      </c>
      <c r="Q1835" s="4" t="s">
        <v>735</v>
      </c>
      <c r="R1835" s="4" t="s">
        <v>730</v>
      </c>
      <c r="S1835" s="2">
        <v>46174.212268518517</v>
      </c>
      <c r="T1835" s="5">
        <v>3.4722222222222222E-5</v>
      </c>
      <c r="U1835" s="4">
        <v>2.6179609820246696E-2</v>
      </c>
      <c r="V1835" s="4" t="s">
        <v>763</v>
      </c>
      <c r="W1835" s="4" t="s">
        <v>762</v>
      </c>
      <c r="X1835" s="6" t="s">
        <v>617</v>
      </c>
    </row>
    <row r="1836" spans="1:24">
      <c r="A1836" s="4" t="s">
        <v>1079</v>
      </c>
      <c r="B1836" s="4" t="s">
        <v>1080</v>
      </c>
      <c r="C1836" s="4" t="s">
        <v>1081</v>
      </c>
      <c r="D1836" s="4" t="s">
        <v>716</v>
      </c>
      <c r="E1836" s="4" t="s">
        <v>717</v>
      </c>
      <c r="M1836" s="4" t="s">
        <v>645</v>
      </c>
      <c r="N1836" s="4">
        <v>-71.636698483460719</v>
      </c>
      <c r="O1836" s="4">
        <v>3.784293853630357</v>
      </c>
      <c r="P1836" s="4" t="s">
        <v>718</v>
      </c>
      <c r="Q1836" s="4" t="s">
        <v>719</v>
      </c>
      <c r="R1836" s="4" t="s">
        <v>720</v>
      </c>
      <c r="S1836" s="2">
        <v>46174.216087372683</v>
      </c>
      <c r="T1836" s="5">
        <v>3.5331018518518518E-4</v>
      </c>
      <c r="U1836" s="4">
        <v>0.18246108293533325</v>
      </c>
      <c r="V1836" s="4" t="s">
        <v>750</v>
      </c>
      <c r="W1836" s="4" t="s">
        <v>645</v>
      </c>
      <c r="X1836" s="6" t="s">
        <v>617</v>
      </c>
    </row>
    <row r="1837" spans="1:24">
      <c r="A1837" s="4" t="s">
        <v>1079</v>
      </c>
      <c r="B1837" s="4" t="s">
        <v>1080</v>
      </c>
      <c r="C1837" s="4" t="s">
        <v>1081</v>
      </c>
      <c r="D1837" s="4" t="s">
        <v>716</v>
      </c>
      <c r="E1837" s="4" t="s">
        <v>717</v>
      </c>
      <c r="M1837" s="4" t="s">
        <v>645</v>
      </c>
      <c r="N1837" s="4">
        <v>-71.626480562533331</v>
      </c>
      <c r="O1837" s="4">
        <v>3.78081596606</v>
      </c>
      <c r="P1837" s="4" t="s">
        <v>729</v>
      </c>
      <c r="Q1837" s="4" t="s">
        <v>723</v>
      </c>
      <c r="R1837" s="4" t="s">
        <v>730</v>
      </c>
      <c r="S1837" s="2">
        <v>46174.218656342593</v>
      </c>
      <c r="T1837" s="5">
        <v>2.4212962962962961E-5</v>
      </c>
      <c r="U1837" s="4">
        <v>5.4169045761227608E-3</v>
      </c>
      <c r="V1837" s="4" t="s">
        <v>724</v>
      </c>
      <c r="W1837" s="4" t="s">
        <v>645</v>
      </c>
      <c r="X1837" s="6" t="s">
        <v>617</v>
      </c>
    </row>
    <row r="1838" spans="1:24">
      <c r="A1838" s="4" t="s">
        <v>1079</v>
      </c>
      <c r="B1838" s="4" t="s">
        <v>1080</v>
      </c>
      <c r="C1838" s="4" t="s">
        <v>1081</v>
      </c>
      <c r="D1838" s="4" t="s">
        <v>716</v>
      </c>
      <c r="E1838" s="4" t="s">
        <v>717</v>
      </c>
      <c r="M1838" s="4" t="s">
        <v>645</v>
      </c>
      <c r="N1838" s="4">
        <v>-71.626092925000009</v>
      </c>
      <c r="O1838" s="4">
        <v>3.7806282025</v>
      </c>
      <c r="P1838" s="4" t="s">
        <v>722</v>
      </c>
      <c r="Q1838" s="4" t="s">
        <v>723</v>
      </c>
      <c r="R1838" s="4" t="s">
        <v>720</v>
      </c>
      <c r="S1838" s="2">
        <v>46174.219036458337</v>
      </c>
      <c r="T1838" s="5">
        <v>9.1631944444444448E-5</v>
      </c>
      <c r="U1838" s="4">
        <v>2.229965478181839E-2</v>
      </c>
      <c r="V1838" s="4" t="s">
        <v>724</v>
      </c>
      <c r="W1838" s="4" t="s">
        <v>645</v>
      </c>
      <c r="X1838" s="6" t="s">
        <v>617</v>
      </c>
    </row>
    <row r="1839" spans="1:24">
      <c r="A1839" s="4" t="s">
        <v>1079</v>
      </c>
      <c r="B1839" s="4" t="s">
        <v>1080</v>
      </c>
      <c r="C1839" s="4" t="s">
        <v>1081</v>
      </c>
      <c r="D1839" s="4" t="s">
        <v>716</v>
      </c>
      <c r="E1839" s="4" t="s">
        <v>717</v>
      </c>
      <c r="M1839" s="4" t="s">
        <v>656</v>
      </c>
      <c r="N1839" s="4">
        <v>-71.633979800000006</v>
      </c>
      <c r="O1839" s="4">
        <v>3.7839551</v>
      </c>
      <c r="P1839" s="4" t="s">
        <v>734</v>
      </c>
      <c r="Q1839" s="4" t="s">
        <v>735</v>
      </c>
      <c r="R1839" s="4" t="s">
        <v>730</v>
      </c>
      <c r="S1839" s="2">
        <v>46174.261435185188</v>
      </c>
      <c r="T1839" s="5">
        <v>5.2083333333333333E-4</v>
      </c>
      <c r="U1839" s="4">
        <v>0.27345570921897888</v>
      </c>
      <c r="V1839" s="4" t="s">
        <v>855</v>
      </c>
      <c r="W1839" s="4" t="s">
        <v>656</v>
      </c>
      <c r="X1839" s="6" t="s">
        <v>617</v>
      </c>
    </row>
    <row r="1840" spans="1:24">
      <c r="A1840" s="4" t="s">
        <v>1079</v>
      </c>
      <c r="B1840" s="4" t="s">
        <v>1080</v>
      </c>
      <c r="C1840" s="4" t="s">
        <v>1081</v>
      </c>
      <c r="D1840" s="4" t="s">
        <v>716</v>
      </c>
      <c r="E1840" s="4" t="s">
        <v>717</v>
      </c>
      <c r="M1840" s="4" t="s">
        <v>645</v>
      </c>
      <c r="N1840" s="4">
        <v>-71.633728000000005</v>
      </c>
      <c r="O1840" s="4">
        <v>3.7812941100000002</v>
      </c>
      <c r="P1840" s="4" t="s">
        <v>800</v>
      </c>
      <c r="Q1840" s="4" t="s">
        <v>746</v>
      </c>
      <c r="R1840" s="4" t="s">
        <v>720</v>
      </c>
      <c r="S1840" s="2">
        <v>46174.263113425928</v>
      </c>
      <c r="T1840" s="5">
        <v>1.5046296296296297E-4</v>
      </c>
      <c r="U1840" s="4">
        <v>3.6867890506982803E-2</v>
      </c>
      <c r="V1840" s="4" t="s">
        <v>724</v>
      </c>
      <c r="W1840" s="4" t="s">
        <v>645</v>
      </c>
      <c r="X1840" s="6" t="s">
        <v>617</v>
      </c>
    </row>
    <row r="1841" spans="1:24">
      <c r="A1841" s="4" t="s">
        <v>1079</v>
      </c>
      <c r="B1841" s="4" t="s">
        <v>1080</v>
      </c>
      <c r="C1841" s="4" t="s">
        <v>1081</v>
      </c>
      <c r="D1841" s="4" t="s">
        <v>716</v>
      </c>
      <c r="E1841" s="4" t="s">
        <v>717</v>
      </c>
      <c r="M1841" s="4" t="s">
        <v>645</v>
      </c>
      <c r="N1841" s="4">
        <v>-71.633743300000006</v>
      </c>
      <c r="O1841" s="4">
        <v>3.7811548699999999</v>
      </c>
      <c r="P1841" s="4" t="s">
        <v>800</v>
      </c>
      <c r="Q1841" s="4" t="s">
        <v>746</v>
      </c>
      <c r="R1841" s="4" t="s">
        <v>720</v>
      </c>
      <c r="S1841" s="2">
        <v>46174.266932870371</v>
      </c>
      <c r="T1841" s="5">
        <v>3.5416666666666669E-4</v>
      </c>
      <c r="U1841" s="4">
        <v>8.3773218095302582E-2</v>
      </c>
      <c r="V1841" s="4" t="s">
        <v>728</v>
      </c>
      <c r="W1841" s="4" t="s">
        <v>645</v>
      </c>
      <c r="X1841" s="6" t="s">
        <v>617</v>
      </c>
    </row>
    <row r="1842" spans="1:24">
      <c r="A1842" s="4" t="s">
        <v>1079</v>
      </c>
      <c r="B1842" s="4" t="s">
        <v>1080</v>
      </c>
      <c r="C1842" s="4" t="s">
        <v>1081</v>
      </c>
      <c r="D1842" s="4" t="s">
        <v>716</v>
      </c>
      <c r="E1842" s="4" t="s">
        <v>717</v>
      </c>
      <c r="M1842" s="4" t="s">
        <v>656</v>
      </c>
      <c r="N1842" s="4">
        <v>-71.634498600000001</v>
      </c>
      <c r="O1842" s="4">
        <v>3.7817919299999998</v>
      </c>
      <c r="P1842" s="4" t="s">
        <v>742</v>
      </c>
      <c r="Q1842" s="4" t="s">
        <v>743</v>
      </c>
      <c r="R1842" s="4" t="s">
        <v>730</v>
      </c>
      <c r="S1842" s="2">
        <v>46174.267511574071</v>
      </c>
      <c r="T1842" s="5">
        <v>5.8333333333333338E-4</v>
      </c>
      <c r="U1842" s="4">
        <v>0.26661598682403564</v>
      </c>
      <c r="V1842" s="4" t="s">
        <v>855</v>
      </c>
      <c r="W1842" s="4" t="s">
        <v>656</v>
      </c>
      <c r="X1842" s="6" t="s">
        <v>617</v>
      </c>
    </row>
    <row r="1843" spans="1:24">
      <c r="A1843" s="4" t="s">
        <v>1079</v>
      </c>
      <c r="B1843" s="4" t="s">
        <v>1080</v>
      </c>
      <c r="C1843" s="4" t="s">
        <v>1081</v>
      </c>
      <c r="D1843" s="4" t="s">
        <v>716</v>
      </c>
      <c r="E1843" s="4" t="s">
        <v>717</v>
      </c>
      <c r="M1843" s="4" t="s">
        <v>645</v>
      </c>
      <c r="N1843" s="4">
        <v>-71.635059895310519</v>
      </c>
      <c r="O1843" s="4">
        <v>3.7842905268752633</v>
      </c>
      <c r="P1843" s="4" t="s">
        <v>718</v>
      </c>
      <c r="Q1843" s="4" t="s">
        <v>719</v>
      </c>
      <c r="R1843" s="4" t="s">
        <v>720</v>
      </c>
      <c r="S1843" s="2">
        <v>46174.268381238428</v>
      </c>
      <c r="T1843" s="5">
        <v>3.7498842592592591E-4</v>
      </c>
      <c r="U1843" s="4">
        <v>0.18358376622200012</v>
      </c>
      <c r="V1843" s="4" t="s">
        <v>721</v>
      </c>
      <c r="W1843" s="4" t="s">
        <v>645</v>
      </c>
      <c r="X1843" s="6" t="s">
        <v>617</v>
      </c>
    </row>
    <row r="1844" spans="1:24">
      <c r="A1844" s="4" t="s">
        <v>1079</v>
      </c>
      <c r="B1844" s="4" t="s">
        <v>1080</v>
      </c>
      <c r="C1844" s="4" t="s">
        <v>1081</v>
      </c>
      <c r="D1844" s="4" t="s">
        <v>716</v>
      </c>
      <c r="E1844" s="4" t="s">
        <v>717</v>
      </c>
      <c r="M1844" s="4" t="s">
        <v>614</v>
      </c>
      <c r="N1844" s="4">
        <v>-71.643241900000007</v>
      </c>
      <c r="O1844" s="4">
        <v>3.7821111699999999</v>
      </c>
      <c r="P1844" s="4" t="s">
        <v>734</v>
      </c>
      <c r="Q1844" s="4" t="s">
        <v>735</v>
      </c>
      <c r="R1844" s="4" t="s">
        <v>730</v>
      </c>
      <c r="S1844" s="2">
        <v>46174.272800925923</v>
      </c>
      <c r="T1844" s="5">
        <v>4.3287037037037035E-3</v>
      </c>
      <c r="U1844" s="4">
        <v>0</v>
      </c>
      <c r="V1844" s="4" t="s">
        <v>616</v>
      </c>
      <c r="W1844" s="4" t="s">
        <v>614</v>
      </c>
      <c r="X1844" s="6" t="s">
        <v>617</v>
      </c>
    </row>
    <row r="1845" spans="1:24">
      <c r="A1845" s="4" t="s">
        <v>1079</v>
      </c>
      <c r="B1845" s="4" t="s">
        <v>1080</v>
      </c>
      <c r="C1845" s="4" t="s">
        <v>1081</v>
      </c>
      <c r="D1845" s="4" t="s">
        <v>716</v>
      </c>
      <c r="E1845" s="4" t="s">
        <v>717</v>
      </c>
      <c r="M1845" s="4" t="s">
        <v>645</v>
      </c>
      <c r="N1845" s="4">
        <v>-71.636698381327776</v>
      </c>
      <c r="O1845" s="4">
        <v>3.7842740120866667</v>
      </c>
      <c r="P1845" s="4" t="s">
        <v>718</v>
      </c>
      <c r="Q1845" s="4" t="s">
        <v>719</v>
      </c>
      <c r="R1845" s="4" t="s">
        <v>720</v>
      </c>
      <c r="S1845" s="2">
        <v>46174.27971584491</v>
      </c>
      <c r="T1845" s="5">
        <v>3.328935185185185E-4</v>
      </c>
      <c r="U1845" s="4">
        <v>0.18402376770973206</v>
      </c>
      <c r="V1845" s="4" t="s">
        <v>751</v>
      </c>
      <c r="W1845" s="4" t="s">
        <v>645</v>
      </c>
      <c r="X1845" s="6" t="s">
        <v>617</v>
      </c>
    </row>
    <row r="1846" spans="1:24">
      <c r="A1846" s="4" t="s">
        <v>1079</v>
      </c>
      <c r="B1846" s="4" t="s">
        <v>1080</v>
      </c>
      <c r="C1846" s="4" t="s">
        <v>1081</v>
      </c>
      <c r="D1846" s="4" t="s">
        <v>716</v>
      </c>
      <c r="E1846" s="4" t="s">
        <v>717</v>
      </c>
      <c r="M1846" s="4" t="s">
        <v>656</v>
      </c>
      <c r="N1846" s="4">
        <v>-71.634040799999994</v>
      </c>
      <c r="O1846" s="4">
        <v>3.7837607900000001</v>
      </c>
      <c r="P1846" s="4" t="s">
        <v>742</v>
      </c>
      <c r="Q1846" s="4" t="s">
        <v>743</v>
      </c>
      <c r="R1846" s="4" t="s">
        <v>730</v>
      </c>
      <c r="S1846" s="2">
        <v>46174.280324074076</v>
      </c>
      <c r="T1846" s="5">
        <v>5.4398148148148144E-4</v>
      </c>
      <c r="U1846" s="4">
        <v>0.27379956841468811</v>
      </c>
      <c r="V1846" s="4" t="s">
        <v>865</v>
      </c>
      <c r="W1846" s="4" t="s">
        <v>656</v>
      </c>
      <c r="X1846" s="6" t="s">
        <v>617</v>
      </c>
    </row>
    <row r="1847" spans="1:24">
      <c r="A1847" s="4" t="s">
        <v>1079</v>
      </c>
      <c r="B1847" s="4" t="s">
        <v>1080</v>
      </c>
      <c r="C1847" s="4" t="s">
        <v>1081</v>
      </c>
      <c r="D1847" s="4" t="s">
        <v>716</v>
      </c>
      <c r="E1847" s="4" t="s">
        <v>717</v>
      </c>
      <c r="M1847" s="4" t="s">
        <v>645</v>
      </c>
      <c r="N1847" s="4">
        <v>-71.634494116553853</v>
      </c>
      <c r="O1847" s="4">
        <v>3.7814043417292309</v>
      </c>
      <c r="P1847" s="4" t="s">
        <v>800</v>
      </c>
      <c r="Q1847" s="4" t="s">
        <v>746</v>
      </c>
      <c r="R1847" s="4" t="s">
        <v>720</v>
      </c>
      <c r="S1847" s="2">
        <v>46174.280963333331</v>
      </c>
      <c r="T1847" s="5">
        <v>6.1074074074074069E-4</v>
      </c>
      <c r="U1847" s="4">
        <v>0.17585296928882599</v>
      </c>
      <c r="V1847" s="4" t="s">
        <v>666</v>
      </c>
      <c r="W1847" s="4" t="s">
        <v>645</v>
      </c>
      <c r="X1847" s="6" t="s">
        <v>617</v>
      </c>
    </row>
    <row r="1848" spans="1:24">
      <c r="A1848" s="4" t="s">
        <v>1079</v>
      </c>
      <c r="B1848" s="4" t="s">
        <v>1080</v>
      </c>
      <c r="C1848" s="4" t="s">
        <v>1081</v>
      </c>
      <c r="D1848" s="4" t="s">
        <v>716</v>
      </c>
      <c r="E1848" s="4" t="s">
        <v>717</v>
      </c>
      <c r="M1848" s="4" t="s">
        <v>656</v>
      </c>
      <c r="N1848" s="4">
        <v>-71.634595509999997</v>
      </c>
      <c r="O1848" s="4">
        <v>3.7815096715000003</v>
      </c>
      <c r="P1848" s="4" t="s">
        <v>742</v>
      </c>
      <c r="Q1848" s="4" t="s">
        <v>743</v>
      </c>
      <c r="R1848" s="4" t="s">
        <v>730</v>
      </c>
      <c r="S1848" s="2">
        <v>46174.321914351851</v>
      </c>
      <c r="T1848" s="5">
        <v>7.8564814814814816E-4</v>
      </c>
      <c r="U1848" s="4">
        <v>0.29166612029075623</v>
      </c>
      <c r="V1848" s="4" t="s">
        <v>862</v>
      </c>
      <c r="W1848" s="4" t="s">
        <v>656</v>
      </c>
      <c r="X1848" s="6" t="s">
        <v>617</v>
      </c>
    </row>
    <row r="1849" spans="1:24">
      <c r="A1849" s="4" t="s">
        <v>1079</v>
      </c>
      <c r="B1849" s="4" t="s">
        <v>1080</v>
      </c>
      <c r="C1849" s="4" t="s">
        <v>1081</v>
      </c>
      <c r="D1849" s="4" t="s">
        <v>716</v>
      </c>
      <c r="E1849" s="4" t="s">
        <v>717</v>
      </c>
      <c r="M1849" s="4" t="s">
        <v>645</v>
      </c>
      <c r="N1849" s="4">
        <v>-71.635059782133339</v>
      </c>
      <c r="O1849" s="4">
        <v>3.7842796933866665</v>
      </c>
      <c r="P1849" s="4" t="s">
        <v>718</v>
      </c>
      <c r="Q1849" s="4" t="s">
        <v>719</v>
      </c>
      <c r="R1849" s="4" t="s">
        <v>720</v>
      </c>
      <c r="S1849" s="2">
        <v>46174.322985462961</v>
      </c>
      <c r="T1849" s="5">
        <v>3.3563657407407408E-4</v>
      </c>
      <c r="U1849" s="4">
        <v>0.1834721714258194</v>
      </c>
      <c r="V1849" s="4" t="s">
        <v>732</v>
      </c>
      <c r="W1849" s="4" t="s">
        <v>645</v>
      </c>
      <c r="X1849" s="6" t="s">
        <v>617</v>
      </c>
    </row>
    <row r="1850" spans="1:24">
      <c r="A1850" s="4" t="s">
        <v>1079</v>
      </c>
      <c r="B1850" s="4" t="s">
        <v>1080</v>
      </c>
      <c r="C1850" s="4" t="s">
        <v>1081</v>
      </c>
      <c r="D1850" s="4" t="s">
        <v>716</v>
      </c>
      <c r="E1850" s="4" t="s">
        <v>717</v>
      </c>
      <c r="M1850" s="4" t="s">
        <v>762</v>
      </c>
      <c r="N1850" s="4">
        <v>-71.662259236833336</v>
      </c>
      <c r="O1850" s="4">
        <v>3.7743813115833333</v>
      </c>
      <c r="P1850" s="4" t="s">
        <v>1033</v>
      </c>
      <c r="Q1850" s="4" t="s">
        <v>735</v>
      </c>
      <c r="R1850" s="4" t="s">
        <v>730</v>
      </c>
      <c r="S1850" s="2">
        <v>46174.33226221065</v>
      </c>
      <c r="T1850" s="5">
        <v>1.0543981481481482E-5</v>
      </c>
      <c r="U1850" s="4">
        <v>7.1456246078014374E-3</v>
      </c>
      <c r="V1850" s="4" t="s">
        <v>763</v>
      </c>
      <c r="W1850" s="4" t="s">
        <v>762</v>
      </c>
      <c r="X1850" s="6" t="s">
        <v>617</v>
      </c>
    </row>
    <row r="1851" spans="1:24">
      <c r="A1851" s="4" t="s">
        <v>1079</v>
      </c>
      <c r="B1851" s="4" t="s">
        <v>1080</v>
      </c>
      <c r="C1851" s="4" t="s">
        <v>1081</v>
      </c>
      <c r="D1851" s="4" t="s">
        <v>716</v>
      </c>
      <c r="E1851" s="4" t="s">
        <v>717</v>
      </c>
      <c r="M1851" s="4" t="s">
        <v>754</v>
      </c>
      <c r="N1851" s="4">
        <v>-71.676810204100008</v>
      </c>
      <c r="O1851" s="4">
        <v>3.7678814389199999</v>
      </c>
      <c r="P1851" s="4" t="s">
        <v>1072</v>
      </c>
      <c r="Q1851" s="4" t="s">
        <v>743</v>
      </c>
      <c r="R1851" s="4" t="s">
        <v>730</v>
      </c>
      <c r="S1851" s="2">
        <v>46174.3351453125</v>
      </c>
      <c r="T1851" s="5">
        <v>1.287037037037037E-5</v>
      </c>
      <c r="U1851" s="4">
        <v>4.0691872127354145E-3</v>
      </c>
      <c r="V1851" s="4" t="s">
        <v>823</v>
      </c>
      <c r="W1851" s="4" t="s">
        <v>754</v>
      </c>
      <c r="X1851" s="6" t="s">
        <v>617</v>
      </c>
    </row>
    <row r="1852" spans="1:24">
      <c r="A1852" s="4" t="s">
        <v>1079</v>
      </c>
      <c r="B1852" s="4" t="s">
        <v>1080</v>
      </c>
      <c r="C1852" s="4" t="s">
        <v>1081</v>
      </c>
      <c r="D1852" s="4" t="s">
        <v>716</v>
      </c>
      <c r="E1852" s="4" t="s">
        <v>717</v>
      </c>
      <c r="M1852" s="4" t="s">
        <v>614</v>
      </c>
      <c r="N1852" s="4">
        <v>-71.628517200000005</v>
      </c>
      <c r="O1852" s="4">
        <v>3.6926176499999999</v>
      </c>
      <c r="P1852" s="4" t="s">
        <v>1064</v>
      </c>
      <c r="Q1852" s="4" t="s">
        <v>743</v>
      </c>
      <c r="R1852" s="4" t="s">
        <v>730</v>
      </c>
      <c r="S1852" s="2">
        <v>46174.373136574075</v>
      </c>
      <c r="T1852" s="5">
        <v>4.6412037037037038E-3</v>
      </c>
      <c r="U1852" s="4">
        <v>0</v>
      </c>
      <c r="V1852" s="4" t="s">
        <v>616</v>
      </c>
      <c r="W1852" s="4" t="s">
        <v>614</v>
      </c>
      <c r="X1852" s="6" t="s">
        <v>617</v>
      </c>
    </row>
    <row r="1853" spans="1:24">
      <c r="A1853" s="4" t="s">
        <v>1079</v>
      </c>
      <c r="B1853" s="4" t="s">
        <v>1080</v>
      </c>
      <c r="C1853" s="4" t="s">
        <v>1081</v>
      </c>
      <c r="D1853" s="4" t="s">
        <v>716</v>
      </c>
      <c r="E1853" s="4" t="s">
        <v>717</v>
      </c>
      <c r="M1853" s="4" t="s">
        <v>614</v>
      </c>
      <c r="N1853" s="4">
        <v>-71.637390100000005</v>
      </c>
      <c r="O1853" s="4">
        <v>3.6836206900000001</v>
      </c>
      <c r="P1853" s="4" t="s">
        <v>1064</v>
      </c>
      <c r="Q1853" s="4" t="s">
        <v>743</v>
      </c>
      <c r="R1853" s="4" t="s">
        <v>730</v>
      </c>
      <c r="S1853" s="2">
        <v>46174.381377314814</v>
      </c>
      <c r="T1853" s="5">
        <v>7.766203703703704E-3</v>
      </c>
      <c r="U1853" s="4">
        <v>0</v>
      </c>
      <c r="V1853" s="4" t="s">
        <v>616</v>
      </c>
      <c r="W1853" s="4" t="s">
        <v>614</v>
      </c>
      <c r="X1853" s="6" t="s">
        <v>617</v>
      </c>
    </row>
    <row r="1854" spans="1:24">
      <c r="A1854" s="4" t="s">
        <v>1079</v>
      </c>
      <c r="B1854" s="4" t="s">
        <v>1080</v>
      </c>
      <c r="C1854" s="4" t="s">
        <v>1081</v>
      </c>
      <c r="D1854" s="4" t="s">
        <v>716</v>
      </c>
      <c r="E1854" s="4" t="s">
        <v>717</v>
      </c>
      <c r="M1854" s="4" t="s">
        <v>685</v>
      </c>
      <c r="N1854" s="4">
        <v>-71.644227523333342</v>
      </c>
      <c r="O1854" s="4">
        <v>3.7051600504</v>
      </c>
      <c r="P1854" s="4" t="s">
        <v>1082</v>
      </c>
      <c r="Q1854" s="4" t="s">
        <v>743</v>
      </c>
      <c r="R1854" s="4" t="s">
        <v>730</v>
      </c>
      <c r="S1854" s="2">
        <v>46174.427377662039</v>
      </c>
      <c r="T1854" s="5">
        <v>2.8935185185185185E-7</v>
      </c>
      <c r="U1854" s="4">
        <v>7.5872718298342079E-5</v>
      </c>
      <c r="V1854" s="4" t="s">
        <v>1083</v>
      </c>
      <c r="W1854" s="4" t="s">
        <v>685</v>
      </c>
      <c r="X1854" s="6" t="s">
        <v>617</v>
      </c>
    </row>
    <row r="1855" spans="1:24">
      <c r="A1855" s="4" t="s">
        <v>1079</v>
      </c>
      <c r="B1855" s="4" t="s">
        <v>1080</v>
      </c>
      <c r="C1855" s="4" t="s">
        <v>1081</v>
      </c>
      <c r="D1855" s="4" t="s">
        <v>716</v>
      </c>
      <c r="E1855" s="4" t="s">
        <v>717</v>
      </c>
      <c r="M1855" s="4" t="s">
        <v>614</v>
      </c>
      <c r="N1855" s="4">
        <v>-71.643646200000006</v>
      </c>
      <c r="O1855" s="4">
        <v>3.7057664400000001</v>
      </c>
      <c r="P1855" s="4" t="s">
        <v>1082</v>
      </c>
      <c r="Q1855" s="4" t="s">
        <v>743</v>
      </c>
      <c r="R1855" s="4" t="s">
        <v>730</v>
      </c>
      <c r="S1855" s="2">
        <v>46174.428831018522</v>
      </c>
      <c r="T1855" s="5">
        <v>5.7407407407407407E-3</v>
      </c>
      <c r="U1855" s="4">
        <v>0</v>
      </c>
      <c r="V1855" s="4" t="s">
        <v>616</v>
      </c>
      <c r="W1855" s="4" t="s">
        <v>614</v>
      </c>
      <c r="X1855" s="6" t="s">
        <v>617</v>
      </c>
    </row>
    <row r="1856" spans="1:24">
      <c r="A1856" s="4" t="s">
        <v>1079</v>
      </c>
      <c r="B1856" s="4" t="s">
        <v>1080</v>
      </c>
      <c r="C1856" s="4" t="s">
        <v>1081</v>
      </c>
      <c r="D1856" s="4" t="s">
        <v>716</v>
      </c>
      <c r="E1856" s="4" t="s">
        <v>717</v>
      </c>
      <c r="M1856" s="4" t="s">
        <v>614</v>
      </c>
      <c r="N1856" s="4">
        <v>-71.645225499999995</v>
      </c>
      <c r="O1856" s="4">
        <v>3.6937832799999999</v>
      </c>
      <c r="P1856" s="4" t="s">
        <v>1084</v>
      </c>
      <c r="Q1856" s="4" t="s">
        <v>743</v>
      </c>
      <c r="R1856" s="4" t="s">
        <v>730</v>
      </c>
      <c r="S1856" s="2">
        <v>46174.453506944446</v>
      </c>
      <c r="T1856" s="5">
        <v>4.1319444444444442E-3</v>
      </c>
      <c r="U1856" s="4">
        <v>0</v>
      </c>
      <c r="V1856" s="4" t="s">
        <v>616</v>
      </c>
      <c r="W1856" s="4" t="s">
        <v>614</v>
      </c>
      <c r="X1856" s="6" t="s">
        <v>617</v>
      </c>
    </row>
    <row r="1857" spans="1:24">
      <c r="A1857" s="4" t="s">
        <v>1079</v>
      </c>
      <c r="B1857" s="4" t="s">
        <v>1080</v>
      </c>
      <c r="C1857" s="4" t="s">
        <v>1081</v>
      </c>
      <c r="D1857" s="4" t="s">
        <v>716</v>
      </c>
      <c r="E1857" s="4" t="s">
        <v>717</v>
      </c>
      <c r="M1857" s="4" t="s">
        <v>685</v>
      </c>
      <c r="N1857" s="4">
        <v>-71.660907162000001</v>
      </c>
      <c r="O1857" s="4">
        <v>3.7247578857399999</v>
      </c>
      <c r="P1857" s="4" t="s">
        <v>1068</v>
      </c>
      <c r="Q1857" s="4" t="s">
        <v>743</v>
      </c>
      <c r="R1857" s="4" t="s">
        <v>730</v>
      </c>
      <c r="S1857" s="2">
        <v>46174.48181125</v>
      </c>
      <c r="T1857" s="5">
        <v>5.0925925925925927E-7</v>
      </c>
      <c r="U1857" s="4">
        <v>2.5366098270751536E-4</v>
      </c>
      <c r="V1857" s="4" t="s">
        <v>1085</v>
      </c>
      <c r="W1857" s="4" t="s">
        <v>685</v>
      </c>
      <c r="X1857" s="6" t="s">
        <v>617</v>
      </c>
    </row>
    <row r="1858" spans="1:24">
      <c r="A1858" s="4" t="s">
        <v>1079</v>
      </c>
      <c r="B1858" s="4" t="s">
        <v>1080</v>
      </c>
      <c r="C1858" s="4" t="s">
        <v>1081</v>
      </c>
      <c r="D1858" s="4" t="s">
        <v>716</v>
      </c>
      <c r="E1858" s="4" t="s">
        <v>717</v>
      </c>
      <c r="M1858" s="4" t="s">
        <v>757</v>
      </c>
      <c r="N1858" s="4">
        <v>-71.658521633333336</v>
      </c>
      <c r="O1858" s="4">
        <v>3.7259308474999999</v>
      </c>
      <c r="P1858" s="4" t="s">
        <v>1068</v>
      </c>
      <c r="Q1858" s="4" t="s">
        <v>743</v>
      </c>
      <c r="R1858" s="4" t="s">
        <v>730</v>
      </c>
      <c r="S1858" s="2">
        <v>46174.497311921295</v>
      </c>
      <c r="T1858" s="5">
        <v>2.0254629629629629E-5</v>
      </c>
      <c r="U1858" s="4">
        <v>1.8465865403413773E-2</v>
      </c>
      <c r="V1858" s="4" t="s">
        <v>758</v>
      </c>
      <c r="W1858" s="4" t="s">
        <v>757</v>
      </c>
      <c r="X1858" s="6" t="s">
        <v>617</v>
      </c>
    </row>
    <row r="1859" spans="1:24">
      <c r="A1859" s="4" t="s">
        <v>1079</v>
      </c>
      <c r="B1859" s="4" t="s">
        <v>1080</v>
      </c>
      <c r="C1859" s="4" t="s">
        <v>1081</v>
      </c>
      <c r="D1859" s="4" t="s">
        <v>716</v>
      </c>
      <c r="E1859" s="4" t="s">
        <v>717</v>
      </c>
      <c r="M1859" s="4" t="s">
        <v>625</v>
      </c>
      <c r="N1859" s="4">
        <v>-71.659210200000004</v>
      </c>
      <c r="O1859" s="4">
        <v>3.7255692499999999</v>
      </c>
      <c r="P1859" s="4" t="s">
        <v>1068</v>
      </c>
      <c r="Q1859" s="4" t="s">
        <v>743</v>
      </c>
      <c r="R1859" s="4" t="s">
        <v>730</v>
      </c>
      <c r="S1859" s="2">
        <v>46174.497407407405</v>
      </c>
      <c r="T1859" s="5">
        <v>0</v>
      </c>
      <c r="U1859" s="4">
        <v>0</v>
      </c>
      <c r="V1859" s="4" t="s">
        <v>1032</v>
      </c>
      <c r="W1859" s="4" t="s">
        <v>625</v>
      </c>
      <c r="X1859" s="6" t="s">
        <v>617</v>
      </c>
    </row>
    <row r="1860" spans="1:24">
      <c r="A1860" s="4" t="s">
        <v>1079</v>
      </c>
      <c r="B1860" s="4" t="s">
        <v>1080</v>
      </c>
      <c r="C1860" s="4" t="s">
        <v>1081</v>
      </c>
      <c r="D1860" s="4" t="s">
        <v>716</v>
      </c>
      <c r="E1860" s="4" t="s">
        <v>717</v>
      </c>
      <c r="M1860" s="4" t="s">
        <v>757</v>
      </c>
      <c r="N1860" s="4">
        <v>-71.662918163849994</v>
      </c>
      <c r="O1860" s="4">
        <v>3.72542096799625</v>
      </c>
      <c r="P1860" s="4" t="s">
        <v>1072</v>
      </c>
      <c r="Q1860" s="4" t="s">
        <v>743</v>
      </c>
      <c r="R1860" s="4" t="s">
        <v>730</v>
      </c>
      <c r="S1860" s="2">
        <v>46174.498028553244</v>
      </c>
      <c r="T1860" s="5">
        <v>1.4659722222222222E-4</v>
      </c>
      <c r="U1860" s="4">
        <v>0.14254829287528992</v>
      </c>
      <c r="V1860" s="4" t="s">
        <v>774</v>
      </c>
      <c r="W1860" s="4" t="s">
        <v>757</v>
      </c>
      <c r="X1860" s="6" t="s">
        <v>617</v>
      </c>
    </row>
    <row r="1861" spans="1:24">
      <c r="A1861" s="4" t="s">
        <v>1079</v>
      </c>
      <c r="B1861" s="4" t="s">
        <v>1080</v>
      </c>
      <c r="C1861" s="4" t="s">
        <v>1081</v>
      </c>
      <c r="D1861" s="4" t="s">
        <v>716</v>
      </c>
      <c r="E1861" s="4" t="s">
        <v>717</v>
      </c>
      <c r="M1861" s="4" t="s">
        <v>757</v>
      </c>
      <c r="N1861" s="4">
        <v>-71.663982349999998</v>
      </c>
      <c r="O1861" s="4">
        <v>3.7265733450000003</v>
      </c>
      <c r="P1861" s="4" t="s">
        <v>1072</v>
      </c>
      <c r="Q1861" s="4" t="s">
        <v>743</v>
      </c>
      <c r="R1861" s="4" t="s">
        <v>730</v>
      </c>
      <c r="S1861" s="2">
        <v>46174.498223379735</v>
      </c>
      <c r="T1861" s="5">
        <v>4.9189814814814815E-5</v>
      </c>
      <c r="U1861" s="4">
        <v>4.5539509505033493E-2</v>
      </c>
      <c r="V1861" s="4" t="s">
        <v>758</v>
      </c>
      <c r="W1861" s="4" t="s">
        <v>757</v>
      </c>
      <c r="X1861" s="6" t="s">
        <v>617</v>
      </c>
    </row>
    <row r="1862" spans="1:24">
      <c r="A1862" s="4" t="s">
        <v>1079</v>
      </c>
      <c r="B1862" s="4" t="s">
        <v>1080</v>
      </c>
      <c r="C1862" s="4" t="s">
        <v>1081</v>
      </c>
      <c r="D1862" s="4" t="s">
        <v>716</v>
      </c>
      <c r="E1862" s="4" t="s">
        <v>717</v>
      </c>
      <c r="M1862" s="4" t="s">
        <v>757</v>
      </c>
      <c r="N1862" s="4">
        <v>-71.664135000000002</v>
      </c>
      <c r="O1862" s="4">
        <v>3.7279502724999998</v>
      </c>
      <c r="P1862" s="4" t="s">
        <v>1072</v>
      </c>
      <c r="Q1862" s="4" t="s">
        <v>743</v>
      </c>
      <c r="R1862" s="4" t="s">
        <v>730</v>
      </c>
      <c r="S1862" s="2">
        <v>46174.498394097223</v>
      </c>
      <c r="T1862" s="5">
        <v>3.5682870370370369E-5</v>
      </c>
      <c r="U1862" s="4">
        <v>3.3534877002239227E-2</v>
      </c>
      <c r="V1862" s="4" t="s">
        <v>758</v>
      </c>
      <c r="W1862" s="4" t="s">
        <v>757</v>
      </c>
      <c r="X1862" s="6" t="s">
        <v>617</v>
      </c>
    </row>
    <row r="1863" spans="1:24">
      <c r="A1863" s="4" t="s">
        <v>1079</v>
      </c>
      <c r="B1863" s="4" t="s">
        <v>1080</v>
      </c>
      <c r="C1863" s="4" t="s">
        <v>1081</v>
      </c>
      <c r="D1863" s="4" t="s">
        <v>716</v>
      </c>
      <c r="E1863" s="4" t="s">
        <v>717</v>
      </c>
      <c r="M1863" s="4" t="s">
        <v>757</v>
      </c>
      <c r="N1863" s="4">
        <v>-71.664956387519993</v>
      </c>
      <c r="O1863" s="4">
        <v>3.7290255488740001</v>
      </c>
      <c r="P1863" s="4" t="s">
        <v>1072</v>
      </c>
      <c r="Q1863" s="4" t="s">
        <v>743</v>
      </c>
      <c r="R1863" s="4" t="s">
        <v>730</v>
      </c>
      <c r="S1863" s="2">
        <v>46174.49855517361</v>
      </c>
      <c r="T1863" s="5">
        <v>4.4363425925925926E-5</v>
      </c>
      <c r="U1863" s="4">
        <v>4.1348934173583984E-2</v>
      </c>
      <c r="V1863" s="4" t="s">
        <v>758</v>
      </c>
      <c r="W1863" s="4" t="s">
        <v>757</v>
      </c>
      <c r="X1863" s="6" t="s">
        <v>617</v>
      </c>
    </row>
    <row r="1864" spans="1:24">
      <c r="A1864" s="4" t="s">
        <v>1079</v>
      </c>
      <c r="B1864" s="4" t="s">
        <v>1080</v>
      </c>
      <c r="C1864" s="4" t="s">
        <v>1081</v>
      </c>
      <c r="D1864" s="4" t="s">
        <v>716</v>
      </c>
      <c r="E1864" s="4" t="s">
        <v>717</v>
      </c>
      <c r="M1864" s="4" t="s">
        <v>757</v>
      </c>
      <c r="N1864" s="4">
        <v>-71.666047266833331</v>
      </c>
      <c r="O1864" s="4">
        <v>3.7305376165666666</v>
      </c>
      <c r="P1864" s="4" t="s">
        <v>1072</v>
      </c>
      <c r="Q1864" s="4" t="s">
        <v>743</v>
      </c>
      <c r="R1864" s="4" t="s">
        <v>730</v>
      </c>
      <c r="S1864" s="2">
        <v>46174.498778113426</v>
      </c>
      <c r="T1864" s="5">
        <v>2.4387731481481482E-4</v>
      </c>
      <c r="U1864" s="4">
        <v>0.23155805468559265</v>
      </c>
      <c r="V1864" s="4" t="s">
        <v>774</v>
      </c>
      <c r="W1864" s="4" t="s">
        <v>757</v>
      </c>
      <c r="X1864" s="6" t="s">
        <v>617</v>
      </c>
    </row>
    <row r="1865" spans="1:24">
      <c r="A1865" s="4" t="s">
        <v>1079</v>
      </c>
      <c r="B1865" s="4" t="s">
        <v>1080</v>
      </c>
      <c r="C1865" s="4" t="s">
        <v>1081</v>
      </c>
      <c r="D1865" s="4" t="s">
        <v>716</v>
      </c>
      <c r="E1865" s="4" t="s">
        <v>717</v>
      </c>
      <c r="M1865" s="4" t="s">
        <v>757</v>
      </c>
      <c r="N1865" s="4">
        <v>-71.668090837790004</v>
      </c>
      <c r="O1865" s="4">
        <v>3.7351962456109997</v>
      </c>
      <c r="P1865" s="4" t="s">
        <v>1072</v>
      </c>
      <c r="Q1865" s="4" t="s">
        <v>743</v>
      </c>
      <c r="R1865" s="4" t="s">
        <v>730</v>
      </c>
      <c r="S1865" s="2">
        <v>46174.499390428238</v>
      </c>
      <c r="T1865" s="5">
        <v>1.4082175925925926E-4</v>
      </c>
      <c r="U1865" s="4">
        <v>0.13302163779735565</v>
      </c>
      <c r="V1865" s="4" t="s">
        <v>758</v>
      </c>
      <c r="W1865" s="4" t="s">
        <v>757</v>
      </c>
      <c r="X1865" s="6" t="s">
        <v>617</v>
      </c>
    </row>
    <row r="1866" spans="1:24">
      <c r="A1866" s="4" t="s">
        <v>1079</v>
      </c>
      <c r="B1866" s="4" t="s">
        <v>1080</v>
      </c>
      <c r="C1866" s="4" t="s">
        <v>1081</v>
      </c>
      <c r="D1866" s="4" t="s">
        <v>716</v>
      </c>
      <c r="E1866" s="4" t="s">
        <v>717</v>
      </c>
      <c r="M1866" s="4" t="s">
        <v>757</v>
      </c>
      <c r="N1866" s="4">
        <v>-71.669353450000003</v>
      </c>
      <c r="O1866" s="4">
        <v>3.7373204199999996</v>
      </c>
      <c r="P1866" s="4" t="s">
        <v>1072</v>
      </c>
      <c r="Q1866" s="4" t="s">
        <v>743</v>
      </c>
      <c r="R1866" s="4" t="s">
        <v>730</v>
      </c>
      <c r="S1866" s="2">
        <v>46174.499681713067</v>
      </c>
      <c r="T1866" s="5">
        <v>1.3310195185185187E-4</v>
      </c>
      <c r="U1866" s="4">
        <v>0.12665280699729919</v>
      </c>
      <c r="V1866" s="4" t="s">
        <v>758</v>
      </c>
      <c r="W1866" s="4" t="s">
        <v>757</v>
      </c>
      <c r="X1866" s="6" t="s">
        <v>617</v>
      </c>
    </row>
    <row r="1867" spans="1:24">
      <c r="A1867" s="4" t="s">
        <v>1079</v>
      </c>
      <c r="B1867" s="4" t="s">
        <v>1080</v>
      </c>
      <c r="C1867" s="4" t="s">
        <v>1081</v>
      </c>
      <c r="D1867" s="4" t="s">
        <v>716</v>
      </c>
      <c r="E1867" s="4" t="s">
        <v>717</v>
      </c>
      <c r="M1867" s="4" t="s">
        <v>757</v>
      </c>
      <c r="N1867" s="4">
        <v>-71.677096349999999</v>
      </c>
      <c r="O1867" s="4">
        <v>3.7674870187499998</v>
      </c>
      <c r="P1867" s="4" t="s">
        <v>1072</v>
      </c>
      <c r="Q1867" s="4" t="s">
        <v>743</v>
      </c>
      <c r="R1867" s="4" t="s">
        <v>730</v>
      </c>
      <c r="S1867" s="2">
        <v>46174.504589120472</v>
      </c>
      <c r="T1867" s="5">
        <v>5.2083433333333337E-5</v>
      </c>
      <c r="U1867" s="4">
        <v>4.9685977399349213E-2</v>
      </c>
      <c r="V1867" s="4" t="s">
        <v>758</v>
      </c>
      <c r="W1867" s="4" t="s">
        <v>757</v>
      </c>
      <c r="X1867" s="6" t="s">
        <v>617</v>
      </c>
    </row>
    <row r="1868" spans="1:24">
      <c r="A1868" s="4" t="s">
        <v>1079</v>
      </c>
      <c r="B1868" s="4" t="s">
        <v>1080</v>
      </c>
      <c r="C1868" s="4" t="s">
        <v>1081</v>
      </c>
      <c r="D1868" s="4" t="s">
        <v>716</v>
      </c>
      <c r="E1868" s="4" t="s">
        <v>717</v>
      </c>
      <c r="M1868" s="4" t="s">
        <v>762</v>
      </c>
      <c r="N1868" s="4">
        <v>-71.662324337999991</v>
      </c>
      <c r="O1868" s="4">
        <v>3.7743778191800001</v>
      </c>
      <c r="P1868" s="4" t="s">
        <v>1033</v>
      </c>
      <c r="Q1868" s="4" t="s">
        <v>735</v>
      </c>
      <c r="R1868" s="4" t="s">
        <v>730</v>
      </c>
      <c r="S1868" s="2">
        <v>46174.507089861108</v>
      </c>
      <c r="T1868" s="5">
        <v>5.0462962962962959E-6</v>
      </c>
      <c r="U1868" s="4">
        <v>3.8662315346300602E-3</v>
      </c>
      <c r="V1868" s="4" t="s">
        <v>827</v>
      </c>
      <c r="W1868" s="4" t="s">
        <v>762</v>
      </c>
      <c r="X1868" s="6" t="s">
        <v>617</v>
      </c>
    </row>
    <row r="1869" spans="1:24">
      <c r="A1869" s="4" t="s">
        <v>1079</v>
      </c>
      <c r="B1869" s="4" t="s">
        <v>1080</v>
      </c>
      <c r="C1869" s="4" t="s">
        <v>1081</v>
      </c>
      <c r="D1869" s="4" t="s">
        <v>716</v>
      </c>
      <c r="E1869" s="4" t="s">
        <v>717</v>
      </c>
      <c r="M1869" s="4" t="s">
        <v>685</v>
      </c>
      <c r="N1869" s="4">
        <v>-71.659994185049996</v>
      </c>
      <c r="O1869" s="4">
        <v>3.7749676187199999</v>
      </c>
      <c r="P1869" s="4" t="s">
        <v>1033</v>
      </c>
      <c r="Q1869" s="4" t="s">
        <v>735</v>
      </c>
      <c r="R1869" s="4" t="s">
        <v>730</v>
      </c>
      <c r="S1869" s="2">
        <v>46174.507741099536</v>
      </c>
      <c r="T1869" s="5">
        <v>2.5462962962962963E-7</v>
      </c>
      <c r="U1869" s="4">
        <v>3.573928916011937E-5</v>
      </c>
      <c r="V1869" s="4" t="s">
        <v>1086</v>
      </c>
      <c r="W1869" s="4" t="s">
        <v>685</v>
      </c>
      <c r="X1869" s="6" t="s">
        <v>617</v>
      </c>
    </row>
    <row r="1870" spans="1:24">
      <c r="A1870" s="4" t="s">
        <v>1079</v>
      </c>
      <c r="B1870" s="4" t="s">
        <v>1080</v>
      </c>
      <c r="C1870" s="4" t="s">
        <v>1081</v>
      </c>
      <c r="D1870" s="4" t="s">
        <v>716</v>
      </c>
      <c r="E1870" s="4" t="s">
        <v>717</v>
      </c>
      <c r="M1870" s="4" t="s">
        <v>685</v>
      </c>
      <c r="N1870" s="4">
        <v>-71.648508108260003</v>
      </c>
      <c r="O1870" s="4">
        <v>3.7776795799420002</v>
      </c>
      <c r="P1870" s="4" t="s">
        <v>734</v>
      </c>
      <c r="Q1870" s="4" t="s">
        <v>735</v>
      </c>
      <c r="R1870" s="4" t="s">
        <v>730</v>
      </c>
      <c r="S1870" s="2">
        <v>46174.51318947917</v>
      </c>
      <c r="T1870" s="5">
        <v>3.8194444444444445E-7</v>
      </c>
      <c r="U1870" s="4">
        <v>1.4200445730239153E-4</v>
      </c>
      <c r="V1870" s="4" t="s">
        <v>1087</v>
      </c>
      <c r="W1870" s="4" t="s">
        <v>685</v>
      </c>
      <c r="X1870" s="6" t="s">
        <v>617</v>
      </c>
    </row>
    <row r="1871" spans="1:24">
      <c r="A1871" s="4" t="s">
        <v>1079</v>
      </c>
      <c r="B1871" s="4" t="s">
        <v>1080</v>
      </c>
      <c r="C1871" s="4" t="s">
        <v>1081</v>
      </c>
      <c r="D1871" s="4" t="s">
        <v>716</v>
      </c>
      <c r="E1871" s="4" t="s">
        <v>717</v>
      </c>
      <c r="M1871" s="4" t="s">
        <v>762</v>
      </c>
      <c r="N1871" s="4">
        <v>-71.647464172200003</v>
      </c>
      <c r="O1871" s="4">
        <v>3.778938752892</v>
      </c>
      <c r="P1871" s="4" t="s">
        <v>734</v>
      </c>
      <c r="Q1871" s="4" t="s">
        <v>735</v>
      </c>
      <c r="R1871" s="4" t="s">
        <v>730</v>
      </c>
      <c r="S1871" s="2">
        <v>46174.51353340278</v>
      </c>
      <c r="T1871" s="5">
        <v>1.031712962962963E-4</v>
      </c>
      <c r="U1871" s="4">
        <v>7.6022550463676453E-2</v>
      </c>
      <c r="V1871" s="4" t="s">
        <v>763</v>
      </c>
      <c r="W1871" s="4" t="s">
        <v>762</v>
      </c>
      <c r="X1871" s="6" t="s">
        <v>617</v>
      </c>
    </row>
    <row r="1872" spans="1:24">
      <c r="A1872" s="4" t="s">
        <v>1079</v>
      </c>
      <c r="B1872" s="4" t="s">
        <v>1080</v>
      </c>
      <c r="C1872" s="4" t="s">
        <v>1081</v>
      </c>
      <c r="D1872" s="4" t="s">
        <v>716</v>
      </c>
      <c r="E1872" s="4" t="s">
        <v>717</v>
      </c>
      <c r="M1872" s="4" t="s">
        <v>762</v>
      </c>
      <c r="N1872" s="4">
        <v>-71.639145775640003</v>
      </c>
      <c r="O1872" s="4">
        <v>3.7844456378719999</v>
      </c>
      <c r="P1872" s="4" t="s">
        <v>734</v>
      </c>
      <c r="Q1872" s="4" t="s">
        <v>735</v>
      </c>
      <c r="R1872" s="4" t="s">
        <v>730</v>
      </c>
      <c r="S1872" s="2">
        <v>46174.516382453701</v>
      </c>
      <c r="T1872" s="5">
        <v>3.1199074074074072E-4</v>
      </c>
      <c r="U1872" s="4">
        <v>0.2664787769317627</v>
      </c>
      <c r="V1872" s="4" t="s">
        <v>778</v>
      </c>
      <c r="W1872" s="4" t="s">
        <v>762</v>
      </c>
      <c r="X1872" s="6" t="s">
        <v>617</v>
      </c>
    </row>
    <row r="1873" spans="1:24">
      <c r="A1873" s="4" t="s">
        <v>1079</v>
      </c>
      <c r="B1873" s="4" t="s">
        <v>1080</v>
      </c>
      <c r="C1873" s="4" t="s">
        <v>1081</v>
      </c>
      <c r="D1873" s="4" t="s">
        <v>716</v>
      </c>
      <c r="E1873" s="4" t="s">
        <v>717</v>
      </c>
      <c r="M1873" s="4" t="s">
        <v>757</v>
      </c>
      <c r="N1873" s="4">
        <v>-71.638075426966665</v>
      </c>
      <c r="O1873" s="4">
        <v>3.7843496993066665</v>
      </c>
      <c r="P1873" s="4" t="s">
        <v>734</v>
      </c>
      <c r="Q1873" s="4" t="s">
        <v>735</v>
      </c>
      <c r="R1873" s="4" t="s">
        <v>730</v>
      </c>
      <c r="S1873" s="2">
        <v>46174.516538298609</v>
      </c>
      <c r="T1873" s="5">
        <v>8.6701388888888887E-5</v>
      </c>
      <c r="U1873" s="4">
        <v>8.5418835282325745E-2</v>
      </c>
      <c r="V1873" s="4" t="s">
        <v>778</v>
      </c>
      <c r="W1873" s="4" t="s">
        <v>757</v>
      </c>
      <c r="X1873" s="6" t="s">
        <v>617</v>
      </c>
    </row>
    <row r="1874" spans="1:24">
      <c r="A1874" s="4" t="s">
        <v>1079</v>
      </c>
      <c r="B1874" s="4" t="s">
        <v>1080</v>
      </c>
      <c r="C1874" s="4" t="s">
        <v>1081</v>
      </c>
      <c r="D1874" s="4" t="s">
        <v>716</v>
      </c>
      <c r="E1874" s="4" t="s">
        <v>717</v>
      </c>
      <c r="M1874" s="4" t="s">
        <v>645</v>
      </c>
      <c r="N1874" s="4">
        <v>-71.636698800799991</v>
      </c>
      <c r="O1874" s="4">
        <v>3.7843579218199999</v>
      </c>
      <c r="P1874" s="4" t="s">
        <v>718</v>
      </c>
      <c r="Q1874" s="4" t="s">
        <v>719</v>
      </c>
      <c r="R1874" s="4" t="s">
        <v>720</v>
      </c>
      <c r="S1874" s="2">
        <v>46174.516702152781</v>
      </c>
      <c r="T1874" s="5">
        <v>2.3027777777777779E-4</v>
      </c>
      <c r="U1874" s="4">
        <v>0.18296585977077484</v>
      </c>
      <c r="V1874" s="4" t="s">
        <v>780</v>
      </c>
      <c r="W1874" s="4" t="s">
        <v>645</v>
      </c>
      <c r="X1874" s="6" t="s">
        <v>617</v>
      </c>
    </row>
    <row r="1875" spans="1:24">
      <c r="A1875" s="4" t="s">
        <v>1079</v>
      </c>
      <c r="B1875" s="4" t="s">
        <v>1080</v>
      </c>
      <c r="C1875" s="4" t="s">
        <v>1081</v>
      </c>
      <c r="D1875" s="4" t="s">
        <v>716</v>
      </c>
      <c r="E1875" s="4" t="s">
        <v>717</v>
      </c>
      <c r="M1875" s="4" t="s">
        <v>762</v>
      </c>
      <c r="N1875" s="4">
        <v>-71.636596699999998</v>
      </c>
      <c r="O1875" s="4">
        <v>3.7843401449999998</v>
      </c>
      <c r="P1875" s="4" t="s">
        <v>718</v>
      </c>
      <c r="Q1875" s="4" t="s">
        <v>719</v>
      </c>
      <c r="R1875" s="4" t="s">
        <v>720</v>
      </c>
      <c r="S1875" s="2">
        <v>46174.516718750099</v>
      </c>
      <c r="T1875" s="5">
        <v>4.8567129629629627E-4</v>
      </c>
      <c r="U1875" s="4">
        <v>0.40515249967575073</v>
      </c>
      <c r="V1875" s="4" t="s">
        <v>778</v>
      </c>
      <c r="W1875" s="4" t="s">
        <v>762</v>
      </c>
      <c r="X1875" s="6" t="s">
        <v>617</v>
      </c>
    </row>
    <row r="1876" spans="1:24">
      <c r="A1876" s="4" t="s">
        <v>1079</v>
      </c>
      <c r="B1876" s="4" t="s">
        <v>1080</v>
      </c>
      <c r="C1876" s="4" t="s">
        <v>1081</v>
      </c>
      <c r="D1876" s="4" t="s">
        <v>716</v>
      </c>
      <c r="E1876" s="4" t="s">
        <v>717</v>
      </c>
      <c r="M1876" s="4" t="s">
        <v>757</v>
      </c>
      <c r="N1876" s="4">
        <v>-71.634158513066666</v>
      </c>
      <c r="O1876" s="4">
        <v>3.7840667016933334</v>
      </c>
      <c r="P1876" s="4" t="s">
        <v>734</v>
      </c>
      <c r="Q1876" s="4" t="s">
        <v>735</v>
      </c>
      <c r="R1876" s="4" t="s">
        <v>730</v>
      </c>
      <c r="S1876" s="2">
        <v>46174.517051921299</v>
      </c>
      <c r="T1876" s="5">
        <v>4.1203703703703705E-5</v>
      </c>
      <c r="U1876" s="4">
        <v>3.984706848859787E-2</v>
      </c>
      <c r="V1876" s="4" t="s">
        <v>778</v>
      </c>
      <c r="W1876" s="4" t="s">
        <v>757</v>
      </c>
      <c r="X1876" s="6" t="s">
        <v>617</v>
      </c>
    </row>
    <row r="1877" spans="1:24">
      <c r="A1877" s="4" t="s">
        <v>1079</v>
      </c>
      <c r="B1877" s="4" t="s">
        <v>1080</v>
      </c>
      <c r="C1877" s="4" t="s">
        <v>1081</v>
      </c>
      <c r="D1877" s="4" t="s">
        <v>716</v>
      </c>
      <c r="E1877" s="4" t="s">
        <v>717</v>
      </c>
      <c r="M1877" s="4" t="s">
        <v>762</v>
      </c>
      <c r="N1877" s="4">
        <v>-71.632614149999995</v>
      </c>
      <c r="O1877" s="4">
        <v>3.78382452</v>
      </c>
      <c r="P1877" s="4" t="s">
        <v>734</v>
      </c>
      <c r="Q1877" s="4" t="s">
        <v>735</v>
      </c>
      <c r="R1877" s="4" t="s">
        <v>730</v>
      </c>
      <c r="S1877" s="2">
        <v>46174.517274305661</v>
      </c>
      <c r="T1877" s="5">
        <v>6.6134259259259258E-5</v>
      </c>
      <c r="U1877" s="4">
        <v>5.0727915018796921E-2</v>
      </c>
      <c r="V1877" s="4" t="s">
        <v>784</v>
      </c>
      <c r="W1877" s="4" t="s">
        <v>762</v>
      </c>
      <c r="X1877" s="6" t="s">
        <v>617</v>
      </c>
    </row>
    <row r="1878" spans="1:24">
      <c r="A1878" s="4" t="s">
        <v>1079</v>
      </c>
      <c r="B1878" s="4" t="s">
        <v>1080</v>
      </c>
      <c r="C1878" s="4" t="s">
        <v>1081</v>
      </c>
      <c r="D1878" s="4" t="s">
        <v>716</v>
      </c>
      <c r="E1878" s="4" t="s">
        <v>717</v>
      </c>
      <c r="M1878" s="4" t="s">
        <v>762</v>
      </c>
      <c r="N1878" s="4">
        <v>-71.631081541260002</v>
      </c>
      <c r="O1878" s="4">
        <v>3.7835453537600001</v>
      </c>
      <c r="P1878" s="4" t="s">
        <v>734</v>
      </c>
      <c r="Q1878" s="4" t="s">
        <v>735</v>
      </c>
      <c r="R1878" s="4" t="s">
        <v>730</v>
      </c>
      <c r="S1878" s="2">
        <v>46174.517568761577</v>
      </c>
      <c r="T1878" s="5">
        <v>9.6435185185185187E-5</v>
      </c>
      <c r="U1878" s="4">
        <v>7.8943416476249695E-2</v>
      </c>
      <c r="V1878" s="4" t="s">
        <v>780</v>
      </c>
      <c r="W1878" s="4" t="s">
        <v>762</v>
      </c>
      <c r="X1878" s="6" t="s">
        <v>617</v>
      </c>
    </row>
    <row r="1879" spans="1:24">
      <c r="A1879" s="4" t="s">
        <v>1079</v>
      </c>
      <c r="B1879" s="4" t="s">
        <v>1080</v>
      </c>
      <c r="C1879" s="4" t="s">
        <v>1081</v>
      </c>
      <c r="D1879" s="4" t="s">
        <v>716</v>
      </c>
      <c r="E1879" s="4" t="s">
        <v>717</v>
      </c>
      <c r="M1879" s="4" t="s">
        <v>762</v>
      </c>
      <c r="N1879" s="4">
        <v>-71.630202426549999</v>
      </c>
      <c r="O1879" s="4">
        <v>3.7831730536700001</v>
      </c>
      <c r="P1879" s="4" t="s">
        <v>734</v>
      </c>
      <c r="Q1879" s="4" t="s">
        <v>735</v>
      </c>
      <c r="R1879" s="4" t="s">
        <v>730</v>
      </c>
      <c r="S1879" s="2">
        <v>46174.51770704861</v>
      </c>
      <c r="T1879" s="5">
        <v>3.5043981481481482E-4</v>
      </c>
      <c r="U1879" s="4">
        <v>0.31466418504714966</v>
      </c>
      <c r="V1879" s="4" t="s">
        <v>758</v>
      </c>
      <c r="W1879" s="4" t="s">
        <v>762</v>
      </c>
      <c r="X1879" s="6" t="s">
        <v>617</v>
      </c>
    </row>
    <row r="1880" spans="1:24">
      <c r="A1880" s="4" t="s">
        <v>1079</v>
      </c>
      <c r="B1880" s="4" t="s">
        <v>1080</v>
      </c>
      <c r="C1880" s="4" t="s">
        <v>1081</v>
      </c>
      <c r="D1880" s="4" t="s">
        <v>716</v>
      </c>
      <c r="E1880" s="4" t="s">
        <v>717</v>
      </c>
      <c r="M1880" s="4" t="s">
        <v>757</v>
      </c>
      <c r="N1880" s="4">
        <v>-71.629054999999994</v>
      </c>
      <c r="O1880" s="4">
        <v>3.782096385</v>
      </c>
      <c r="P1880" s="4" t="s">
        <v>734</v>
      </c>
      <c r="Q1880" s="4" t="s">
        <v>735</v>
      </c>
      <c r="R1880" s="4" t="s">
        <v>730</v>
      </c>
      <c r="S1880" s="2">
        <v>46174.517899305654</v>
      </c>
      <c r="T1880" s="5">
        <v>7.1377314814814819E-5</v>
      </c>
      <c r="U1880" s="4">
        <v>6.6688723862171173E-2</v>
      </c>
      <c r="V1880" s="4" t="s">
        <v>758</v>
      </c>
      <c r="W1880" s="4" t="s">
        <v>757</v>
      </c>
      <c r="X1880" s="6" t="s">
        <v>617</v>
      </c>
    </row>
    <row r="1881" spans="1:24">
      <c r="A1881" s="4" t="s">
        <v>1079</v>
      </c>
      <c r="B1881" s="4" t="s">
        <v>1080</v>
      </c>
      <c r="C1881" s="4" t="s">
        <v>1081</v>
      </c>
      <c r="D1881" s="4" t="s">
        <v>716</v>
      </c>
      <c r="E1881" s="4" t="s">
        <v>717</v>
      </c>
      <c r="M1881" s="4" t="s">
        <v>762</v>
      </c>
      <c r="N1881" s="4">
        <v>-71.627384939999999</v>
      </c>
      <c r="O1881" s="4">
        <v>3.7810073360000001</v>
      </c>
      <c r="P1881" s="4" t="s">
        <v>802</v>
      </c>
      <c r="Q1881" s="4" t="s">
        <v>803</v>
      </c>
      <c r="R1881" s="4" t="s">
        <v>730</v>
      </c>
      <c r="S1881" s="2">
        <v>46174.518217592595</v>
      </c>
      <c r="T1881" s="5">
        <v>3.857638888888889E-5</v>
      </c>
      <c r="U1881" s="4">
        <v>2.7885697782039642E-2</v>
      </c>
      <c r="V1881" s="4" t="s">
        <v>763</v>
      </c>
      <c r="W1881" s="4" t="s">
        <v>762</v>
      </c>
      <c r="X1881" s="6" t="s">
        <v>617</v>
      </c>
    </row>
    <row r="1882" spans="1:24">
      <c r="A1882" s="4" t="s">
        <v>1079</v>
      </c>
      <c r="B1882" s="4" t="s">
        <v>1080</v>
      </c>
      <c r="C1882" s="4" t="s">
        <v>1081</v>
      </c>
      <c r="D1882" s="4" t="s">
        <v>716</v>
      </c>
      <c r="E1882" s="4" t="s">
        <v>717</v>
      </c>
      <c r="M1882" s="4" t="s">
        <v>645</v>
      </c>
      <c r="N1882" s="4">
        <v>-71.626474999400003</v>
      </c>
      <c r="O1882" s="4">
        <v>3.7808251888899997</v>
      </c>
      <c r="P1882" s="4" t="s">
        <v>729</v>
      </c>
      <c r="Q1882" s="4" t="s">
        <v>723</v>
      </c>
      <c r="R1882" s="4" t="s">
        <v>730</v>
      </c>
      <c r="S1882" s="2">
        <v>46174.518435810183</v>
      </c>
      <c r="T1882" s="5">
        <v>8.2708333333333329E-5</v>
      </c>
      <c r="U1882" s="4">
        <v>2.2167511284351349E-2</v>
      </c>
      <c r="V1882" s="4" t="s">
        <v>728</v>
      </c>
      <c r="W1882" s="4" t="s">
        <v>645</v>
      </c>
      <c r="X1882" s="6" t="s">
        <v>617</v>
      </c>
    </row>
    <row r="1883" spans="1:24">
      <c r="A1883" s="4" t="s">
        <v>1079</v>
      </c>
      <c r="B1883" s="4" t="s">
        <v>1080</v>
      </c>
      <c r="C1883" s="4" t="s">
        <v>1081</v>
      </c>
      <c r="D1883" s="4" t="s">
        <v>716</v>
      </c>
      <c r="E1883" s="4" t="s">
        <v>717</v>
      </c>
      <c r="M1883" s="4" t="s">
        <v>645</v>
      </c>
      <c r="N1883" s="4">
        <v>-71.626411399999995</v>
      </c>
      <c r="O1883" s="4">
        <v>3.7806360699999999</v>
      </c>
      <c r="P1883" s="4" t="s">
        <v>722</v>
      </c>
      <c r="Q1883" s="4" t="s">
        <v>723</v>
      </c>
      <c r="R1883" s="4" t="s">
        <v>720</v>
      </c>
      <c r="S1883" s="2">
        <v>46174.518518518518</v>
      </c>
      <c r="T1883" s="5">
        <v>3.0092592592592595E-4</v>
      </c>
      <c r="U1883" s="4">
        <v>7.9869017004966736E-2</v>
      </c>
      <c r="V1883" s="4" t="s">
        <v>728</v>
      </c>
      <c r="W1883" s="4" t="s">
        <v>645</v>
      </c>
      <c r="X1883" s="6" t="s">
        <v>617</v>
      </c>
    </row>
    <row r="1884" spans="1:24">
      <c r="A1884" s="4" t="s">
        <v>1079</v>
      </c>
      <c r="B1884" s="4" t="s">
        <v>1080</v>
      </c>
      <c r="C1884" s="4" t="s">
        <v>1081</v>
      </c>
      <c r="D1884" s="4" t="s">
        <v>716</v>
      </c>
      <c r="E1884" s="4" t="s">
        <v>717</v>
      </c>
      <c r="M1884" s="4" t="s">
        <v>656</v>
      </c>
      <c r="N1884" s="4">
        <v>-71.633941699999994</v>
      </c>
      <c r="O1884" s="4">
        <v>3.7839465099999998</v>
      </c>
      <c r="P1884" s="4" t="s">
        <v>734</v>
      </c>
      <c r="Q1884" s="4" t="s">
        <v>735</v>
      </c>
      <c r="R1884" s="4" t="s">
        <v>730</v>
      </c>
      <c r="S1884" s="2">
        <v>46174.569537037038</v>
      </c>
      <c r="T1884" s="5">
        <v>1.9675925925925924E-3</v>
      </c>
      <c r="U1884" s="4">
        <v>1.0654145479202271</v>
      </c>
      <c r="V1884" s="4" t="s">
        <v>829</v>
      </c>
      <c r="W1884" s="4" t="s">
        <v>656</v>
      </c>
      <c r="X1884" s="6" t="s">
        <v>617</v>
      </c>
    </row>
    <row r="1885" spans="1:24">
      <c r="A1885" s="4" t="s">
        <v>1079</v>
      </c>
      <c r="B1885" s="4" t="s">
        <v>1080</v>
      </c>
      <c r="C1885" s="4" t="s">
        <v>1081</v>
      </c>
      <c r="D1885" s="4" t="s">
        <v>716</v>
      </c>
      <c r="E1885" s="4" t="s">
        <v>717</v>
      </c>
      <c r="M1885" s="4" t="s">
        <v>614</v>
      </c>
      <c r="N1885" s="4">
        <v>-71.634704600000006</v>
      </c>
      <c r="O1885" s="4">
        <v>3.77215481</v>
      </c>
      <c r="P1885" s="4" t="s">
        <v>795</v>
      </c>
      <c r="Q1885" s="4" t="s">
        <v>743</v>
      </c>
      <c r="R1885" s="4" t="s">
        <v>730</v>
      </c>
      <c r="S1885" s="2">
        <v>46174.579907407409</v>
      </c>
      <c r="T1885" s="5">
        <v>4.386574074074074E-3</v>
      </c>
      <c r="U1885" s="4">
        <v>0</v>
      </c>
      <c r="V1885" s="4" t="s">
        <v>616</v>
      </c>
      <c r="W1885" s="4" t="s">
        <v>614</v>
      </c>
      <c r="X1885" s="6" t="s">
        <v>617</v>
      </c>
    </row>
    <row r="1886" spans="1:24">
      <c r="A1886" s="4" t="s">
        <v>1079</v>
      </c>
      <c r="B1886" s="4" t="s">
        <v>1080</v>
      </c>
      <c r="C1886" s="4" t="s">
        <v>1081</v>
      </c>
      <c r="D1886" s="4" t="s">
        <v>716</v>
      </c>
      <c r="E1886" s="4" t="s">
        <v>717</v>
      </c>
      <c r="M1886" s="4" t="s">
        <v>656</v>
      </c>
      <c r="N1886" s="4">
        <v>-71.635986299999999</v>
      </c>
      <c r="O1886" s="4">
        <v>3.77504325</v>
      </c>
      <c r="P1886" s="4" t="s">
        <v>795</v>
      </c>
      <c r="Q1886" s="4" t="s">
        <v>743</v>
      </c>
      <c r="R1886" s="4" t="s">
        <v>730</v>
      </c>
      <c r="S1886" s="2">
        <v>46174.585416666669</v>
      </c>
      <c r="T1886" s="5">
        <v>1.736111111111111E-3</v>
      </c>
      <c r="U1886" s="4">
        <v>1.1011337041854858</v>
      </c>
      <c r="V1886" s="4" t="s">
        <v>799</v>
      </c>
      <c r="W1886" s="4" t="s">
        <v>656</v>
      </c>
      <c r="X1886" s="6" t="s">
        <v>617</v>
      </c>
    </row>
    <row r="1887" spans="1:24">
      <c r="A1887" s="4" t="s">
        <v>1079</v>
      </c>
      <c r="B1887" s="4" t="s">
        <v>1080</v>
      </c>
      <c r="C1887" s="4" t="s">
        <v>1081</v>
      </c>
      <c r="D1887" s="4" t="s">
        <v>716</v>
      </c>
      <c r="E1887" s="4" t="s">
        <v>717</v>
      </c>
      <c r="M1887" s="4" t="s">
        <v>645</v>
      </c>
      <c r="N1887" s="4">
        <v>-71.635059631679994</v>
      </c>
      <c r="O1887" s="4">
        <v>3.7842666462106669</v>
      </c>
      <c r="P1887" s="4" t="s">
        <v>718</v>
      </c>
      <c r="Q1887" s="4" t="s">
        <v>719</v>
      </c>
      <c r="R1887" s="4" t="s">
        <v>720</v>
      </c>
      <c r="S1887" s="2">
        <v>46174.587295393518</v>
      </c>
      <c r="T1887" s="5">
        <v>3.5571759259259259E-4</v>
      </c>
      <c r="U1887" s="4">
        <v>0.18396936357021332</v>
      </c>
      <c r="V1887" s="4" t="s">
        <v>750</v>
      </c>
      <c r="W1887" s="4" t="s">
        <v>645</v>
      </c>
      <c r="X1887" s="6" t="s">
        <v>617</v>
      </c>
    </row>
    <row r="1888" spans="1:24">
      <c r="A1888" s="4" t="s">
        <v>1079</v>
      </c>
      <c r="B1888" s="4" t="s">
        <v>1080</v>
      </c>
      <c r="C1888" s="4" t="s">
        <v>1081</v>
      </c>
      <c r="D1888" s="4" t="s">
        <v>716</v>
      </c>
      <c r="E1888" s="4" t="s">
        <v>717</v>
      </c>
      <c r="M1888" s="4" t="s">
        <v>762</v>
      </c>
      <c r="N1888" s="4">
        <v>-71.638157680000006</v>
      </c>
      <c r="O1888" s="4">
        <v>3.7843589799999999</v>
      </c>
      <c r="P1888" s="4" t="s">
        <v>734</v>
      </c>
      <c r="Q1888" s="4" t="s">
        <v>735</v>
      </c>
      <c r="R1888" s="4" t="s">
        <v>730</v>
      </c>
      <c r="S1888" s="2">
        <v>46174.587907407411</v>
      </c>
      <c r="T1888" s="5">
        <v>1.7129629629629629E-4</v>
      </c>
      <c r="U1888" s="4">
        <v>0.12771596014499664</v>
      </c>
      <c r="V1888" s="4" t="s">
        <v>781</v>
      </c>
      <c r="W1888" s="4" t="s">
        <v>762</v>
      </c>
      <c r="X1888" s="6" t="s">
        <v>617</v>
      </c>
    </row>
    <row r="1889" spans="1:24">
      <c r="A1889" s="4" t="s">
        <v>1079</v>
      </c>
      <c r="B1889" s="4" t="s">
        <v>1080</v>
      </c>
      <c r="C1889" s="4" t="s">
        <v>1081</v>
      </c>
      <c r="D1889" s="4" t="s">
        <v>716</v>
      </c>
      <c r="E1889" s="4" t="s">
        <v>717</v>
      </c>
      <c r="M1889" s="4" t="s">
        <v>614</v>
      </c>
      <c r="N1889" s="4">
        <v>-71.650512699999993</v>
      </c>
      <c r="O1889" s="4">
        <v>3.7371628299999999</v>
      </c>
      <c r="P1889" s="4" t="s">
        <v>795</v>
      </c>
      <c r="Q1889" s="4" t="s">
        <v>743</v>
      </c>
      <c r="R1889" s="4" t="s">
        <v>730</v>
      </c>
      <c r="S1889" s="2">
        <v>46174.610567129632</v>
      </c>
      <c r="T1889" s="5">
        <v>3.4837962962962965E-3</v>
      </c>
      <c r="U1889" s="4">
        <v>0</v>
      </c>
      <c r="V1889" s="4" t="s">
        <v>616</v>
      </c>
      <c r="W1889" s="4" t="s">
        <v>614</v>
      </c>
      <c r="X1889" s="6" t="s">
        <v>617</v>
      </c>
    </row>
    <row r="1890" spans="1:24">
      <c r="A1890" s="4" t="s">
        <v>1079</v>
      </c>
      <c r="B1890" s="4" t="s">
        <v>1080</v>
      </c>
      <c r="C1890" s="4" t="s">
        <v>1081</v>
      </c>
      <c r="D1890" s="4" t="s">
        <v>716</v>
      </c>
      <c r="E1890" s="4" t="s">
        <v>717</v>
      </c>
      <c r="M1890" s="4" t="s">
        <v>757</v>
      </c>
      <c r="N1890" s="4">
        <v>-71.652687099999994</v>
      </c>
      <c r="O1890" s="4">
        <v>3.7379134874999997</v>
      </c>
      <c r="P1890" s="4" t="s">
        <v>795</v>
      </c>
      <c r="Q1890" s="4" t="s">
        <v>743</v>
      </c>
      <c r="R1890" s="4" t="s">
        <v>730</v>
      </c>
      <c r="S1890" s="2">
        <v>46174.614803240744</v>
      </c>
      <c r="T1890" s="5">
        <v>1.0416666666666667E-4</v>
      </c>
      <c r="U1890" s="4">
        <v>9.6251673996448517E-2</v>
      </c>
      <c r="V1890" s="4" t="s">
        <v>758</v>
      </c>
      <c r="W1890" s="4" t="s">
        <v>757</v>
      </c>
      <c r="X1890" s="6" t="s">
        <v>617</v>
      </c>
    </row>
    <row r="1891" spans="1:24">
      <c r="A1891" s="4" t="s">
        <v>1079</v>
      </c>
      <c r="B1891" s="4" t="s">
        <v>1080</v>
      </c>
      <c r="C1891" s="4" t="s">
        <v>1081</v>
      </c>
      <c r="D1891" s="4" t="s">
        <v>716</v>
      </c>
      <c r="E1891" s="4" t="s">
        <v>717</v>
      </c>
      <c r="M1891" s="4" t="s">
        <v>685</v>
      </c>
      <c r="N1891" s="4">
        <v>-71.649946166859991</v>
      </c>
      <c r="O1891" s="4">
        <v>3.7597863212519997</v>
      </c>
      <c r="P1891" s="4" t="s">
        <v>1088</v>
      </c>
      <c r="Q1891" s="4" t="s">
        <v>743</v>
      </c>
      <c r="R1891" s="4" t="s">
        <v>730</v>
      </c>
      <c r="S1891" s="2">
        <v>46174.62937790509</v>
      </c>
      <c r="T1891" s="5">
        <v>5.5555555555555552E-7</v>
      </c>
      <c r="U1891" s="4">
        <v>2.1023752924520522E-4</v>
      </c>
      <c r="V1891" s="4" t="s">
        <v>1089</v>
      </c>
      <c r="W1891" s="4" t="s">
        <v>685</v>
      </c>
      <c r="X1891" s="6" t="s">
        <v>617</v>
      </c>
    </row>
    <row r="1892" spans="1:24">
      <c r="A1892" s="4" t="s">
        <v>1079</v>
      </c>
      <c r="B1892" s="4" t="s">
        <v>1080</v>
      </c>
      <c r="C1892" s="4" t="s">
        <v>1081</v>
      </c>
      <c r="D1892" s="4" t="s">
        <v>716</v>
      </c>
      <c r="E1892" s="4" t="s">
        <v>717</v>
      </c>
      <c r="M1892" s="4" t="s">
        <v>685</v>
      </c>
      <c r="N1892" s="4">
        <v>-71.649918362799994</v>
      </c>
      <c r="O1892" s="4">
        <v>3.7597937949599998</v>
      </c>
      <c r="P1892" s="4" t="s">
        <v>1088</v>
      </c>
      <c r="Q1892" s="4" t="s">
        <v>743</v>
      </c>
      <c r="R1892" s="4" t="s">
        <v>730</v>
      </c>
      <c r="S1892" s="2">
        <v>46174.629386342589</v>
      </c>
      <c r="T1892" s="5">
        <v>2.3148148148148148E-7</v>
      </c>
      <c r="U1892" s="4">
        <v>8.7598964455537498E-5</v>
      </c>
      <c r="V1892" s="4" t="s">
        <v>1090</v>
      </c>
      <c r="W1892" s="4" t="s">
        <v>685</v>
      </c>
      <c r="X1892" s="6" t="s">
        <v>617</v>
      </c>
    </row>
    <row r="1893" spans="1:24">
      <c r="A1893" s="4" t="s">
        <v>1079</v>
      </c>
      <c r="B1893" s="4" t="s">
        <v>1080</v>
      </c>
      <c r="C1893" s="4" t="s">
        <v>1081</v>
      </c>
      <c r="D1893" s="4" t="s">
        <v>716</v>
      </c>
      <c r="E1893" s="4" t="s">
        <v>717</v>
      </c>
      <c r="M1893" s="4" t="s">
        <v>685</v>
      </c>
      <c r="N1893" s="4">
        <v>-71.657103945899991</v>
      </c>
      <c r="O1893" s="4">
        <v>3.76565842678</v>
      </c>
      <c r="P1893" s="4" t="s">
        <v>1088</v>
      </c>
      <c r="Q1893" s="4" t="s">
        <v>743</v>
      </c>
      <c r="R1893" s="4" t="s">
        <v>730</v>
      </c>
      <c r="S1893" s="2">
        <v>46174.636162523151</v>
      </c>
      <c r="T1893" s="5">
        <v>9.2592592592592591E-8</v>
      </c>
      <c r="U1893" s="4">
        <v>1.6529302229173481E-5</v>
      </c>
      <c r="V1893" s="4" t="s">
        <v>1091</v>
      </c>
      <c r="W1893" s="4" t="s">
        <v>685</v>
      </c>
      <c r="X1893" s="6" t="s">
        <v>617</v>
      </c>
    </row>
    <row r="1894" spans="1:24">
      <c r="A1894" s="4" t="s">
        <v>1079</v>
      </c>
      <c r="B1894" s="4" t="s">
        <v>1080</v>
      </c>
      <c r="C1894" s="4" t="s">
        <v>1081</v>
      </c>
      <c r="D1894" s="4" t="s">
        <v>716</v>
      </c>
      <c r="E1894" s="4" t="s">
        <v>717</v>
      </c>
      <c r="M1894" s="4" t="s">
        <v>614</v>
      </c>
      <c r="N1894" s="4">
        <v>-71.657005299999994</v>
      </c>
      <c r="O1894" s="4">
        <v>3.7461307000000001</v>
      </c>
      <c r="P1894" s="4" t="s">
        <v>795</v>
      </c>
      <c r="Q1894" s="4" t="s">
        <v>743</v>
      </c>
      <c r="R1894" s="4" t="s">
        <v>730</v>
      </c>
      <c r="S1894" s="2">
        <v>46174.653831018521</v>
      </c>
      <c r="T1894" s="5">
        <v>3.4953703703703705E-3</v>
      </c>
      <c r="U1894" s="4">
        <v>0</v>
      </c>
      <c r="V1894" s="4" t="s">
        <v>616</v>
      </c>
      <c r="W1894" s="4" t="s">
        <v>614</v>
      </c>
      <c r="X1894" s="6" t="s">
        <v>617</v>
      </c>
    </row>
    <row r="1895" spans="1:24">
      <c r="A1895" s="4" t="s">
        <v>1079</v>
      </c>
      <c r="B1895" s="4" t="s">
        <v>1080</v>
      </c>
      <c r="C1895" s="4" t="s">
        <v>1081</v>
      </c>
      <c r="D1895" s="4" t="s">
        <v>716</v>
      </c>
      <c r="E1895" s="4" t="s">
        <v>717</v>
      </c>
      <c r="M1895" s="4" t="s">
        <v>757</v>
      </c>
      <c r="N1895" s="4">
        <v>-71.658889812500007</v>
      </c>
      <c r="O1895" s="4">
        <v>3.7635127637499997</v>
      </c>
      <c r="P1895" s="4" t="s">
        <v>795</v>
      </c>
      <c r="Q1895" s="4" t="s">
        <v>743</v>
      </c>
      <c r="R1895" s="4" t="s">
        <v>730</v>
      </c>
      <c r="S1895" s="2">
        <v>46174.665280671295</v>
      </c>
      <c r="T1895" s="5">
        <v>5.2083433333333337E-5</v>
      </c>
      <c r="U1895" s="4">
        <v>4.8715643584728241E-2</v>
      </c>
      <c r="V1895" s="4" t="s">
        <v>758</v>
      </c>
      <c r="W1895" s="4" t="s">
        <v>757</v>
      </c>
      <c r="X1895" s="6" t="s">
        <v>617</v>
      </c>
    </row>
    <row r="1896" spans="1:24">
      <c r="A1896" s="4" t="s">
        <v>1079</v>
      </c>
      <c r="B1896" s="4" t="s">
        <v>1080</v>
      </c>
      <c r="C1896" s="4" t="s">
        <v>1081</v>
      </c>
      <c r="D1896" s="4" t="s">
        <v>716</v>
      </c>
      <c r="E1896" s="4" t="s">
        <v>717</v>
      </c>
      <c r="M1896" s="4" t="s">
        <v>757</v>
      </c>
      <c r="N1896" s="4">
        <v>-71.656814550000007</v>
      </c>
      <c r="O1896" s="4">
        <v>3.7666951449999999</v>
      </c>
      <c r="P1896" s="4" t="s">
        <v>1088</v>
      </c>
      <c r="Q1896" s="4" t="s">
        <v>743</v>
      </c>
      <c r="R1896" s="4" t="s">
        <v>730</v>
      </c>
      <c r="S1896" s="2">
        <v>46174.665850694546</v>
      </c>
      <c r="T1896" s="5">
        <v>2.6331018518518516E-4</v>
      </c>
      <c r="U1896" s="4">
        <v>0.24547749757766724</v>
      </c>
      <c r="V1896" s="4" t="s">
        <v>758</v>
      </c>
      <c r="W1896" s="4" t="s">
        <v>757</v>
      </c>
      <c r="X1896" s="6" t="s">
        <v>617</v>
      </c>
    </row>
    <row r="1897" spans="1:24">
      <c r="A1897" s="4" t="s">
        <v>1079</v>
      </c>
      <c r="B1897" s="4" t="s">
        <v>1080</v>
      </c>
      <c r="C1897" s="4" t="s">
        <v>1081</v>
      </c>
      <c r="D1897" s="4" t="s">
        <v>716</v>
      </c>
      <c r="E1897" s="4" t="s">
        <v>717</v>
      </c>
      <c r="M1897" s="4" t="s">
        <v>757</v>
      </c>
      <c r="N1897" s="4">
        <v>-71.660613977699995</v>
      </c>
      <c r="O1897" s="4">
        <v>3.7709108718223079</v>
      </c>
      <c r="P1897" s="4" t="s">
        <v>1088</v>
      </c>
      <c r="Q1897" s="4" t="s">
        <v>743</v>
      </c>
      <c r="R1897" s="4" t="s">
        <v>730</v>
      </c>
      <c r="S1897" s="2">
        <v>46174.666589502318</v>
      </c>
      <c r="T1897" s="5">
        <v>1.0803240740740741E-4</v>
      </c>
      <c r="U1897" s="4">
        <v>0.10362815856933594</v>
      </c>
      <c r="V1897" s="4" t="s">
        <v>774</v>
      </c>
      <c r="W1897" s="4" t="s">
        <v>757</v>
      </c>
      <c r="X1897" s="6" t="s">
        <v>617</v>
      </c>
    </row>
    <row r="1898" spans="1:24">
      <c r="A1898" s="4" t="s">
        <v>1079</v>
      </c>
      <c r="B1898" s="4" t="s">
        <v>1080</v>
      </c>
      <c r="C1898" s="4" t="s">
        <v>1081</v>
      </c>
      <c r="D1898" s="4" t="s">
        <v>716</v>
      </c>
      <c r="E1898" s="4" t="s">
        <v>717</v>
      </c>
      <c r="M1898" s="4" t="s">
        <v>762</v>
      </c>
      <c r="N1898" s="4">
        <v>-71.662317330999997</v>
      </c>
      <c r="O1898" s="4">
        <v>3.7743453948599996</v>
      </c>
      <c r="P1898" s="4" t="s">
        <v>1033</v>
      </c>
      <c r="Q1898" s="4" t="s">
        <v>735</v>
      </c>
      <c r="R1898" s="4" t="s">
        <v>730</v>
      </c>
      <c r="S1898" s="2">
        <v>46174.667258344911</v>
      </c>
      <c r="T1898" s="5">
        <v>2.8449074074074075E-5</v>
      </c>
      <c r="U1898" s="4">
        <v>2.0468462258577347E-2</v>
      </c>
      <c r="V1898" s="4" t="s">
        <v>844</v>
      </c>
      <c r="W1898" s="4" t="s">
        <v>762</v>
      </c>
      <c r="X1898" s="6" t="s">
        <v>617</v>
      </c>
    </row>
    <row r="1899" spans="1:24">
      <c r="A1899" s="4" t="s">
        <v>1079</v>
      </c>
      <c r="B1899" s="4" t="s">
        <v>1080</v>
      </c>
      <c r="C1899" s="4" t="s">
        <v>1081</v>
      </c>
      <c r="D1899" s="4" t="s">
        <v>716</v>
      </c>
      <c r="E1899" s="4" t="s">
        <v>717</v>
      </c>
      <c r="M1899" s="4" t="s">
        <v>762</v>
      </c>
      <c r="N1899" s="4">
        <v>-71.661224340000004</v>
      </c>
      <c r="O1899" s="4">
        <v>3.7744977940000002</v>
      </c>
      <c r="P1899" s="4" t="s">
        <v>1033</v>
      </c>
      <c r="Q1899" s="4" t="s">
        <v>735</v>
      </c>
      <c r="R1899" s="4" t="s">
        <v>730</v>
      </c>
      <c r="S1899" s="2">
        <v>46174.667502314813</v>
      </c>
      <c r="T1899" s="5">
        <v>1.388888888888889E-5</v>
      </c>
      <c r="U1899" s="4">
        <v>9.6814688295125961E-3</v>
      </c>
      <c r="V1899" s="4" t="s">
        <v>763</v>
      </c>
      <c r="W1899" s="4" t="s">
        <v>762</v>
      </c>
      <c r="X1899" s="6" t="s">
        <v>617</v>
      </c>
    </row>
    <row r="1900" spans="1:24">
      <c r="A1900" s="4" t="s">
        <v>1079</v>
      </c>
      <c r="B1900" s="4" t="s">
        <v>1080</v>
      </c>
      <c r="C1900" s="4" t="s">
        <v>1081</v>
      </c>
      <c r="D1900" s="4" t="s">
        <v>716</v>
      </c>
      <c r="E1900" s="4" t="s">
        <v>717</v>
      </c>
      <c r="M1900" s="4" t="s">
        <v>762</v>
      </c>
      <c r="N1900" s="4">
        <v>-71.660171479400006</v>
      </c>
      <c r="O1900" s="4">
        <v>3.774909824841</v>
      </c>
      <c r="P1900" s="4" t="s">
        <v>1033</v>
      </c>
      <c r="Q1900" s="4" t="s">
        <v>735</v>
      </c>
      <c r="R1900" s="4" t="s">
        <v>730</v>
      </c>
      <c r="S1900" s="2">
        <v>46174.667716053242</v>
      </c>
      <c r="T1900" s="5">
        <v>6.6354166666666669E-5</v>
      </c>
      <c r="U1900" s="4">
        <v>4.6838894486427307E-2</v>
      </c>
      <c r="V1900" s="4" t="s">
        <v>781</v>
      </c>
      <c r="W1900" s="4" t="s">
        <v>762</v>
      </c>
      <c r="X1900" s="6" t="s">
        <v>617</v>
      </c>
    </row>
    <row r="1901" spans="1:24">
      <c r="A1901" s="4" t="s">
        <v>1079</v>
      </c>
      <c r="B1901" s="4" t="s">
        <v>1080</v>
      </c>
      <c r="C1901" s="4" t="s">
        <v>1081</v>
      </c>
      <c r="D1901" s="4" t="s">
        <v>716</v>
      </c>
      <c r="E1901" s="4" t="s">
        <v>717</v>
      </c>
      <c r="M1901" s="4" t="s">
        <v>762</v>
      </c>
      <c r="N1901" s="4">
        <v>-71.654602019999999</v>
      </c>
      <c r="O1901" s="4">
        <v>3.7725424260000002</v>
      </c>
      <c r="P1901" s="4" t="s">
        <v>785</v>
      </c>
      <c r="Q1901" s="4" t="s">
        <v>735</v>
      </c>
      <c r="R1901" s="4" t="s">
        <v>730</v>
      </c>
      <c r="S1901" s="2">
        <v>46174.669326388888</v>
      </c>
      <c r="T1901" s="5">
        <v>4.4756944444444447E-5</v>
      </c>
      <c r="U1901" s="4">
        <v>3.3434849232435226E-2</v>
      </c>
      <c r="V1901" s="4" t="s">
        <v>763</v>
      </c>
      <c r="W1901" s="4" t="s">
        <v>762</v>
      </c>
      <c r="X1901" s="6" t="s">
        <v>617</v>
      </c>
    </row>
    <row r="1902" spans="1:24">
      <c r="A1902" s="4" t="s">
        <v>1079</v>
      </c>
      <c r="B1902" s="4" t="s">
        <v>1080</v>
      </c>
      <c r="C1902" s="4" t="s">
        <v>1081</v>
      </c>
      <c r="D1902" s="4" t="s">
        <v>716</v>
      </c>
      <c r="E1902" s="4" t="s">
        <v>717</v>
      </c>
      <c r="M1902" s="4" t="s">
        <v>762</v>
      </c>
      <c r="N1902" s="4">
        <v>-71.653562278750002</v>
      </c>
      <c r="O1902" s="4">
        <v>3.7721579728000001</v>
      </c>
      <c r="P1902" s="4" t="s">
        <v>734</v>
      </c>
      <c r="Q1902" s="4" t="s">
        <v>735</v>
      </c>
      <c r="R1902" s="4" t="s">
        <v>730</v>
      </c>
      <c r="S1902" s="2">
        <v>46174.669505625003</v>
      </c>
      <c r="T1902" s="5">
        <v>1.2111111111111112E-4</v>
      </c>
      <c r="U1902" s="4">
        <v>0.10286609083414078</v>
      </c>
      <c r="V1902" s="4" t="s">
        <v>798</v>
      </c>
      <c r="W1902" s="4" t="s">
        <v>762</v>
      </c>
      <c r="X1902" s="6" t="s">
        <v>617</v>
      </c>
    </row>
    <row r="1903" spans="1:24">
      <c r="A1903" s="4" t="s">
        <v>1079</v>
      </c>
      <c r="B1903" s="4" t="s">
        <v>1080</v>
      </c>
      <c r="C1903" s="4" t="s">
        <v>1081</v>
      </c>
      <c r="D1903" s="4" t="s">
        <v>716</v>
      </c>
      <c r="E1903" s="4" t="s">
        <v>717</v>
      </c>
      <c r="M1903" s="4" t="s">
        <v>762</v>
      </c>
      <c r="N1903" s="4">
        <v>-71.652465799999987</v>
      </c>
      <c r="O1903" s="4">
        <v>3.7721691100000001</v>
      </c>
      <c r="P1903" s="4" t="s">
        <v>734</v>
      </c>
      <c r="Q1903" s="4" t="s">
        <v>735</v>
      </c>
      <c r="R1903" s="4" t="s">
        <v>730</v>
      </c>
      <c r="S1903" s="2">
        <v>46174.669652777775</v>
      </c>
      <c r="T1903" s="5">
        <v>2.8113425925925927E-5</v>
      </c>
      <c r="U1903" s="4">
        <v>2.009410597383976E-2</v>
      </c>
      <c r="V1903" s="4" t="s">
        <v>763</v>
      </c>
      <c r="W1903" s="4" t="s">
        <v>762</v>
      </c>
      <c r="X1903" s="6" t="s">
        <v>617</v>
      </c>
    </row>
    <row r="1904" spans="1:24">
      <c r="A1904" s="4" t="s">
        <v>1079</v>
      </c>
      <c r="B1904" s="4" t="s">
        <v>1080</v>
      </c>
      <c r="C1904" s="4" t="s">
        <v>1081</v>
      </c>
      <c r="D1904" s="4" t="s">
        <v>716</v>
      </c>
      <c r="E1904" s="4" t="s">
        <v>717</v>
      </c>
      <c r="M1904" s="4" t="s">
        <v>762</v>
      </c>
      <c r="N1904" s="4">
        <v>-71.649850093416674</v>
      </c>
      <c r="O1904" s="4">
        <v>3.775869395725</v>
      </c>
      <c r="P1904" s="4" t="s">
        <v>786</v>
      </c>
      <c r="Q1904" s="4" t="s">
        <v>735</v>
      </c>
      <c r="R1904" s="4" t="s">
        <v>730</v>
      </c>
      <c r="S1904" s="2">
        <v>46174.671314988424</v>
      </c>
      <c r="T1904" s="5">
        <v>1.8964120370370369E-4</v>
      </c>
      <c r="U1904" s="4">
        <v>0.14549227058887482</v>
      </c>
      <c r="V1904" s="4" t="s">
        <v>781</v>
      </c>
      <c r="W1904" s="4" t="s">
        <v>762</v>
      </c>
      <c r="X1904" s="6" t="s">
        <v>617</v>
      </c>
    </row>
    <row r="1905" spans="1:24">
      <c r="A1905" s="4" t="s">
        <v>1079</v>
      </c>
      <c r="B1905" s="4" t="s">
        <v>1080</v>
      </c>
      <c r="C1905" s="4" t="s">
        <v>1081</v>
      </c>
      <c r="D1905" s="4" t="s">
        <v>716</v>
      </c>
      <c r="E1905" s="4" t="s">
        <v>717</v>
      </c>
      <c r="M1905" s="4" t="s">
        <v>762</v>
      </c>
      <c r="N1905" s="4">
        <v>-71.648213335400001</v>
      </c>
      <c r="O1905" s="4">
        <v>3.7780346358200001</v>
      </c>
      <c r="P1905" s="4" t="s">
        <v>734</v>
      </c>
      <c r="Q1905" s="4" t="s">
        <v>735</v>
      </c>
      <c r="R1905" s="4" t="s">
        <v>730</v>
      </c>
      <c r="S1905" s="2">
        <v>46174.671813564812</v>
      </c>
      <c r="T1905" s="5">
        <v>9.1192129629629625E-5</v>
      </c>
      <c r="U1905" s="4">
        <v>7.3310650885105133E-2</v>
      </c>
      <c r="V1905" s="4" t="s">
        <v>784</v>
      </c>
      <c r="W1905" s="4" t="s">
        <v>762</v>
      </c>
      <c r="X1905" s="6" t="s">
        <v>617</v>
      </c>
    </row>
    <row r="1906" spans="1:24">
      <c r="A1906" s="4" t="s">
        <v>1079</v>
      </c>
      <c r="B1906" s="4" t="s">
        <v>1080</v>
      </c>
      <c r="C1906" s="4" t="s">
        <v>1081</v>
      </c>
      <c r="D1906" s="4" t="s">
        <v>716</v>
      </c>
      <c r="E1906" s="4" t="s">
        <v>717</v>
      </c>
      <c r="M1906" s="4" t="s">
        <v>762</v>
      </c>
      <c r="N1906" s="4">
        <v>-71.647319799999991</v>
      </c>
      <c r="O1906" s="4">
        <v>3.779105425</v>
      </c>
      <c r="P1906" s="4" t="s">
        <v>734</v>
      </c>
      <c r="Q1906" s="4" t="s">
        <v>735</v>
      </c>
      <c r="R1906" s="4" t="s">
        <v>730</v>
      </c>
      <c r="S1906" s="2">
        <v>46174.672025462962</v>
      </c>
      <c r="T1906" s="5">
        <v>1.550925925925926E-4</v>
      </c>
      <c r="U1906" s="4">
        <v>0.11866039782762527</v>
      </c>
      <c r="V1906" s="4" t="s">
        <v>781</v>
      </c>
      <c r="W1906" s="4" t="s">
        <v>762</v>
      </c>
      <c r="X1906" s="6" t="s">
        <v>617</v>
      </c>
    </row>
    <row r="1907" spans="1:24">
      <c r="A1907" s="4" t="s">
        <v>1079</v>
      </c>
      <c r="B1907" s="4" t="s">
        <v>1080</v>
      </c>
      <c r="C1907" s="4" t="s">
        <v>1081</v>
      </c>
      <c r="D1907" s="4" t="s">
        <v>716</v>
      </c>
      <c r="E1907" s="4" t="s">
        <v>717</v>
      </c>
      <c r="M1907" s="4" t="s">
        <v>762</v>
      </c>
      <c r="N1907" s="4">
        <v>-71.646418226975001</v>
      </c>
      <c r="O1907" s="4">
        <v>3.7799833384874999</v>
      </c>
      <c r="P1907" s="4" t="s">
        <v>734</v>
      </c>
      <c r="Q1907" s="4" t="s">
        <v>735</v>
      </c>
      <c r="R1907" s="4" t="s">
        <v>730</v>
      </c>
      <c r="S1907" s="2">
        <v>46174.672209363423</v>
      </c>
      <c r="T1907" s="5">
        <v>1.4145833333333333E-4</v>
      </c>
      <c r="U1907" s="4">
        <v>0.11785893142223358</v>
      </c>
      <c r="V1907" s="4" t="s">
        <v>780</v>
      </c>
      <c r="W1907" s="4" t="s">
        <v>762</v>
      </c>
      <c r="X1907" s="6" t="s">
        <v>617</v>
      </c>
    </row>
    <row r="1908" spans="1:24">
      <c r="A1908" s="4" t="s">
        <v>1079</v>
      </c>
      <c r="B1908" s="4" t="s">
        <v>1080</v>
      </c>
      <c r="C1908" s="4" t="s">
        <v>1081</v>
      </c>
      <c r="D1908" s="4" t="s">
        <v>716</v>
      </c>
      <c r="E1908" s="4" t="s">
        <v>717</v>
      </c>
      <c r="M1908" s="4" t="s">
        <v>762</v>
      </c>
      <c r="N1908" s="4">
        <v>-71.645023045999991</v>
      </c>
      <c r="O1908" s="4">
        <v>3.78129365708</v>
      </c>
      <c r="P1908" s="4" t="s">
        <v>734</v>
      </c>
      <c r="Q1908" s="4" t="s">
        <v>735</v>
      </c>
      <c r="R1908" s="4" t="s">
        <v>730</v>
      </c>
      <c r="S1908" s="2">
        <v>46174.672507361109</v>
      </c>
      <c r="T1908" s="5">
        <v>2.4200231481481482E-4</v>
      </c>
      <c r="U1908" s="4">
        <v>0.20104937255382538</v>
      </c>
      <c r="V1908" s="4" t="s">
        <v>780</v>
      </c>
      <c r="W1908" s="4" t="s">
        <v>762</v>
      </c>
      <c r="X1908" s="6" t="s">
        <v>617</v>
      </c>
    </row>
    <row r="1909" spans="1:24">
      <c r="A1909" s="4" t="s">
        <v>1079</v>
      </c>
      <c r="B1909" s="4" t="s">
        <v>1080</v>
      </c>
      <c r="C1909" s="4" t="s">
        <v>1081</v>
      </c>
      <c r="D1909" s="4" t="s">
        <v>716</v>
      </c>
      <c r="E1909" s="4" t="s">
        <v>717</v>
      </c>
      <c r="M1909" s="4" t="s">
        <v>762</v>
      </c>
      <c r="N1909" s="4">
        <v>-71.643180839999999</v>
      </c>
      <c r="O1909" s="4">
        <v>3.784062622</v>
      </c>
      <c r="P1909" s="4" t="s">
        <v>734</v>
      </c>
      <c r="Q1909" s="4" t="s">
        <v>735</v>
      </c>
      <c r="R1909" s="4" t="s">
        <v>730</v>
      </c>
      <c r="S1909" s="2">
        <v>46174.673055555555</v>
      </c>
      <c r="T1909" s="5">
        <v>2.0543981481481482E-4</v>
      </c>
      <c r="U1909" s="4">
        <v>0.16010801494121552</v>
      </c>
      <c r="V1909" s="4" t="s">
        <v>781</v>
      </c>
      <c r="W1909" s="4" t="s">
        <v>762</v>
      </c>
      <c r="X1909" s="6" t="s">
        <v>617</v>
      </c>
    </row>
    <row r="1910" spans="1:24">
      <c r="A1910" s="4" t="s">
        <v>1079</v>
      </c>
      <c r="B1910" s="4" t="s">
        <v>1080</v>
      </c>
      <c r="C1910" s="4" t="s">
        <v>1081</v>
      </c>
      <c r="D1910" s="4" t="s">
        <v>716</v>
      </c>
      <c r="E1910" s="4" t="s">
        <v>717</v>
      </c>
      <c r="M1910" s="4" t="s">
        <v>762</v>
      </c>
      <c r="N1910" s="4">
        <v>-71.641143774928565</v>
      </c>
      <c r="O1910" s="4">
        <v>3.7846817942485713</v>
      </c>
      <c r="P1910" s="4" t="s">
        <v>734</v>
      </c>
      <c r="Q1910" s="4" t="s">
        <v>735</v>
      </c>
      <c r="R1910" s="4" t="s">
        <v>730</v>
      </c>
      <c r="S1910" s="2">
        <v>46174.67338734954</v>
      </c>
      <c r="T1910" s="5">
        <v>6.172453703703704E-5</v>
      </c>
      <c r="U1910" s="4">
        <v>4.5302342623472214E-2</v>
      </c>
      <c r="V1910" s="4" t="s">
        <v>763</v>
      </c>
      <c r="W1910" s="4" t="s">
        <v>762</v>
      </c>
      <c r="X1910" s="6" t="s">
        <v>617</v>
      </c>
    </row>
    <row r="1911" spans="1:24">
      <c r="A1911" s="4" t="s">
        <v>1079</v>
      </c>
      <c r="B1911" s="4" t="s">
        <v>1080</v>
      </c>
      <c r="C1911" s="4" t="s">
        <v>1081</v>
      </c>
      <c r="D1911" s="4" t="s">
        <v>716</v>
      </c>
      <c r="E1911" s="4" t="s">
        <v>717</v>
      </c>
      <c r="M1911" s="4" t="s">
        <v>762</v>
      </c>
      <c r="N1911" s="4">
        <v>-71.639974805839998</v>
      </c>
      <c r="O1911" s="4">
        <v>3.784574247728</v>
      </c>
      <c r="P1911" s="4" t="s">
        <v>734</v>
      </c>
      <c r="Q1911" s="4" t="s">
        <v>735</v>
      </c>
      <c r="R1911" s="4" t="s">
        <v>730</v>
      </c>
      <c r="S1911" s="2">
        <v>46174.673567384256</v>
      </c>
      <c r="T1911" s="5">
        <v>6.1664351851851854E-4</v>
      </c>
      <c r="U1911" s="4">
        <v>0.50001543760299683</v>
      </c>
      <c r="V1911" s="4" t="s">
        <v>798</v>
      </c>
      <c r="W1911" s="4" t="s">
        <v>762</v>
      </c>
      <c r="X1911" s="6" t="s">
        <v>617</v>
      </c>
    </row>
    <row r="1912" spans="1:24">
      <c r="A1912" s="4" t="s">
        <v>1079</v>
      </c>
      <c r="B1912" s="4" t="s">
        <v>1080</v>
      </c>
      <c r="C1912" s="4" t="s">
        <v>1081</v>
      </c>
      <c r="D1912" s="4" t="s">
        <v>716</v>
      </c>
      <c r="E1912" s="4" t="s">
        <v>717</v>
      </c>
      <c r="M1912" s="4" t="s">
        <v>645</v>
      </c>
      <c r="N1912" s="4">
        <v>-71.636698522490917</v>
      </c>
      <c r="O1912" s="4">
        <v>3.7843099287863637</v>
      </c>
      <c r="P1912" s="4" t="s">
        <v>718</v>
      </c>
      <c r="Q1912" s="4" t="s">
        <v>719</v>
      </c>
      <c r="R1912" s="4" t="s">
        <v>720</v>
      </c>
      <c r="S1912" s="2">
        <v>46174.674004039349</v>
      </c>
      <c r="T1912" s="5">
        <v>2.4668981481481482E-4</v>
      </c>
      <c r="U1912" s="4">
        <v>0.18271937966346741</v>
      </c>
      <c r="V1912" s="4" t="s">
        <v>808</v>
      </c>
      <c r="W1912" s="4" t="s">
        <v>645</v>
      </c>
      <c r="X1912" s="6" t="s">
        <v>617</v>
      </c>
    </row>
    <row r="1913" spans="1:24">
      <c r="A1913" s="4" t="s">
        <v>1079</v>
      </c>
      <c r="B1913" s="4" t="s">
        <v>1080</v>
      </c>
      <c r="C1913" s="4" t="s">
        <v>1081</v>
      </c>
      <c r="D1913" s="4" t="s">
        <v>716</v>
      </c>
      <c r="E1913" s="4" t="s">
        <v>717</v>
      </c>
      <c r="M1913" s="4" t="s">
        <v>762</v>
      </c>
      <c r="N1913" s="4">
        <v>-71.634429949999998</v>
      </c>
      <c r="O1913" s="4">
        <v>3.7840433099999999</v>
      </c>
      <c r="P1913" s="4" t="s">
        <v>734</v>
      </c>
      <c r="Q1913" s="4" t="s">
        <v>735</v>
      </c>
      <c r="R1913" s="4" t="s">
        <v>730</v>
      </c>
      <c r="S1913" s="2">
        <v>46174.674346064916</v>
      </c>
      <c r="T1913" s="5">
        <v>4.4363425925925926E-5</v>
      </c>
      <c r="U1913" s="4">
        <v>3.2945763319730759E-2</v>
      </c>
      <c r="V1913" s="4" t="s">
        <v>763</v>
      </c>
      <c r="W1913" s="4" t="s">
        <v>762</v>
      </c>
      <c r="X1913" s="6" t="s">
        <v>617</v>
      </c>
    </row>
    <row r="1914" spans="1:24">
      <c r="A1914" s="4" t="s">
        <v>1079</v>
      </c>
      <c r="B1914" s="4" t="s">
        <v>1080</v>
      </c>
      <c r="C1914" s="4" t="s">
        <v>1081</v>
      </c>
      <c r="D1914" s="4" t="s">
        <v>716</v>
      </c>
      <c r="E1914" s="4" t="s">
        <v>717</v>
      </c>
      <c r="M1914" s="4" t="s">
        <v>656</v>
      </c>
      <c r="N1914" s="4">
        <v>-71.634063699999999</v>
      </c>
      <c r="O1914" s="4">
        <v>3.78375196</v>
      </c>
      <c r="P1914" s="4" t="s">
        <v>742</v>
      </c>
      <c r="Q1914" s="4" t="s">
        <v>743</v>
      </c>
      <c r="R1914" s="4" t="s">
        <v>730</v>
      </c>
      <c r="S1914" s="2">
        <v>46174.674421296295</v>
      </c>
      <c r="T1914" s="5">
        <v>3.9351851851851852E-4</v>
      </c>
      <c r="U1914" s="4">
        <v>0.28150439262390137</v>
      </c>
      <c r="V1914" s="4" t="s">
        <v>811</v>
      </c>
      <c r="W1914" s="4" t="s">
        <v>656</v>
      </c>
      <c r="X1914" s="6" t="s">
        <v>617</v>
      </c>
    </row>
    <row r="1915" spans="1:24">
      <c r="A1915" s="4" t="s">
        <v>1079</v>
      </c>
      <c r="B1915" s="4" t="s">
        <v>1080</v>
      </c>
      <c r="C1915" s="4" t="s">
        <v>1081</v>
      </c>
      <c r="D1915" s="4" t="s">
        <v>716</v>
      </c>
      <c r="E1915" s="4" t="s">
        <v>717</v>
      </c>
      <c r="M1915" s="4" t="s">
        <v>645</v>
      </c>
      <c r="N1915" s="4">
        <v>-71.63449387915999</v>
      </c>
      <c r="O1915" s="4">
        <v>3.781405553156</v>
      </c>
      <c r="P1915" s="4" t="s">
        <v>800</v>
      </c>
      <c r="Q1915" s="4" t="s">
        <v>746</v>
      </c>
      <c r="R1915" s="4" t="s">
        <v>720</v>
      </c>
      <c r="S1915" s="2">
        <v>46174.674873356482</v>
      </c>
      <c r="T1915" s="5">
        <v>1.4078703703703703E-4</v>
      </c>
      <c r="U1915" s="4">
        <v>4.8321172595024109E-2</v>
      </c>
      <c r="V1915" s="4" t="s">
        <v>725</v>
      </c>
      <c r="W1915" s="4" t="s">
        <v>645</v>
      </c>
      <c r="X1915" s="6" t="s">
        <v>617</v>
      </c>
    </row>
    <row r="1916" spans="1:24">
      <c r="A1916" s="4" t="s">
        <v>1079</v>
      </c>
      <c r="B1916" s="4" t="s">
        <v>1080</v>
      </c>
      <c r="C1916" s="4" t="s">
        <v>1081</v>
      </c>
      <c r="D1916" s="4" t="s">
        <v>716</v>
      </c>
      <c r="E1916" s="4" t="s">
        <v>717</v>
      </c>
      <c r="M1916" s="4" t="s">
        <v>614</v>
      </c>
      <c r="N1916" s="4">
        <v>-71.633949299999998</v>
      </c>
      <c r="O1916" s="4">
        <v>3.7813544299999999</v>
      </c>
      <c r="P1916" s="4" t="s">
        <v>800</v>
      </c>
      <c r="Q1916" s="4" t="s">
        <v>746</v>
      </c>
      <c r="R1916" s="4" t="s">
        <v>720</v>
      </c>
      <c r="S1916" s="2">
        <v>46174.678622685184</v>
      </c>
      <c r="T1916" s="5">
        <v>5.3819444444444444E-3</v>
      </c>
      <c r="U1916" s="4">
        <v>0</v>
      </c>
      <c r="V1916" s="4" t="s">
        <v>616</v>
      </c>
      <c r="W1916" s="4" t="s">
        <v>614</v>
      </c>
      <c r="X1916" s="6" t="s">
        <v>617</v>
      </c>
    </row>
    <row r="1917" spans="1:24">
      <c r="A1917" s="4" t="s">
        <v>1079</v>
      </c>
      <c r="B1917" s="4" t="s">
        <v>1080</v>
      </c>
      <c r="C1917" s="4" t="s">
        <v>1081</v>
      </c>
      <c r="D1917" s="4" t="s">
        <v>716</v>
      </c>
      <c r="E1917" s="4" t="s">
        <v>717</v>
      </c>
      <c r="M1917" s="4" t="s">
        <v>645</v>
      </c>
      <c r="N1917" s="4">
        <v>-71.633682300000004</v>
      </c>
      <c r="O1917" s="4">
        <v>3.7812416600000001</v>
      </c>
      <c r="P1917" s="4" t="s">
        <v>800</v>
      </c>
      <c r="Q1917" s="4" t="s">
        <v>746</v>
      </c>
      <c r="R1917" s="4" t="s">
        <v>720</v>
      </c>
      <c r="S1917" s="2">
        <v>46174.690717592595</v>
      </c>
      <c r="T1917" s="5">
        <v>2.9596064814814817E-4</v>
      </c>
      <c r="U1917" s="4">
        <v>7.7099300920963287E-2</v>
      </c>
      <c r="V1917" s="4" t="s">
        <v>731</v>
      </c>
      <c r="W1917" s="4" t="s">
        <v>645</v>
      </c>
      <c r="X1917" s="6" t="s">
        <v>617</v>
      </c>
    </row>
    <row r="1918" spans="1:24">
      <c r="A1918" s="4" t="s">
        <v>1079</v>
      </c>
      <c r="B1918" s="4" t="s">
        <v>1080</v>
      </c>
      <c r="C1918" s="4" t="s">
        <v>1081</v>
      </c>
      <c r="D1918" s="4" t="s">
        <v>716</v>
      </c>
      <c r="E1918" s="4" t="s">
        <v>717</v>
      </c>
      <c r="M1918" s="4" t="s">
        <v>614</v>
      </c>
      <c r="N1918" s="4">
        <v>-71.632926900000001</v>
      </c>
      <c r="O1918" s="4">
        <v>3.78082633</v>
      </c>
      <c r="P1918" s="4" t="s">
        <v>800</v>
      </c>
      <c r="Q1918" s="4" t="s">
        <v>746</v>
      </c>
      <c r="R1918" s="4" t="s">
        <v>720</v>
      </c>
      <c r="S1918" s="2">
        <v>46174.69122685185</v>
      </c>
      <c r="T1918" s="5">
        <v>5.7407407407407407E-3</v>
      </c>
      <c r="U1918" s="4">
        <v>0</v>
      </c>
      <c r="V1918" s="4" t="s">
        <v>616</v>
      </c>
      <c r="W1918" s="4" t="s">
        <v>614</v>
      </c>
      <c r="X1918" s="6" t="s">
        <v>617</v>
      </c>
    </row>
    <row r="1919" spans="1:24">
      <c r="A1919" s="4" t="s">
        <v>1079</v>
      </c>
      <c r="B1919" s="4" t="s">
        <v>1080</v>
      </c>
      <c r="C1919" s="4" t="s">
        <v>1081</v>
      </c>
      <c r="D1919" s="4" t="s">
        <v>716</v>
      </c>
      <c r="E1919" s="4" t="s">
        <v>717</v>
      </c>
      <c r="M1919" s="4" t="s">
        <v>645</v>
      </c>
      <c r="N1919" s="4">
        <v>-71.633171099999998</v>
      </c>
      <c r="O1919" s="4">
        <v>3.7809023900000001</v>
      </c>
      <c r="P1919" s="4" t="s">
        <v>800</v>
      </c>
      <c r="Q1919" s="4" t="s">
        <v>746</v>
      </c>
      <c r="R1919" s="4" t="s">
        <v>720</v>
      </c>
      <c r="S1919" s="2">
        <v>46174.697164351855</v>
      </c>
      <c r="T1919" s="5">
        <v>6.0055555555555556E-4</v>
      </c>
      <c r="U1919" s="4">
        <v>0.15691131353378296</v>
      </c>
      <c r="V1919" s="4" t="s">
        <v>728</v>
      </c>
      <c r="W1919" s="4" t="s">
        <v>645</v>
      </c>
      <c r="X1919" s="6" t="s">
        <v>617</v>
      </c>
    </row>
    <row r="1920" spans="1:24">
      <c r="A1920" s="4" t="s">
        <v>1079</v>
      </c>
      <c r="B1920" s="4" t="s">
        <v>1080</v>
      </c>
      <c r="C1920" s="4" t="s">
        <v>1081</v>
      </c>
      <c r="D1920" s="4" t="s">
        <v>716</v>
      </c>
      <c r="E1920" s="4" t="s">
        <v>717</v>
      </c>
      <c r="M1920" s="4" t="s">
        <v>656</v>
      </c>
      <c r="N1920" s="4">
        <v>-71.634544399999996</v>
      </c>
      <c r="O1920" s="4">
        <v>3.7817432900000001</v>
      </c>
      <c r="P1920" s="4" t="s">
        <v>742</v>
      </c>
      <c r="Q1920" s="4" t="s">
        <v>743</v>
      </c>
      <c r="R1920" s="4" t="s">
        <v>730</v>
      </c>
      <c r="S1920" s="2">
        <v>46174.697905092595</v>
      </c>
      <c r="T1920" s="5">
        <v>4.2824074074074075E-4</v>
      </c>
      <c r="U1920" s="4">
        <v>0.26120075583457947</v>
      </c>
      <c r="V1920" s="4" t="s">
        <v>833</v>
      </c>
      <c r="W1920" s="4" t="s">
        <v>656</v>
      </c>
      <c r="X1920" s="6" t="s">
        <v>617</v>
      </c>
    </row>
    <row r="1921" spans="1:24">
      <c r="A1921" s="4" t="s">
        <v>1079</v>
      </c>
      <c r="B1921" s="4" t="s">
        <v>1080</v>
      </c>
      <c r="C1921" s="4" t="s">
        <v>1081</v>
      </c>
      <c r="D1921" s="4" t="s">
        <v>716</v>
      </c>
      <c r="E1921" s="4" t="s">
        <v>717</v>
      </c>
      <c r="M1921" s="4" t="s">
        <v>645</v>
      </c>
      <c r="N1921" s="4">
        <v>-71.635059619999993</v>
      </c>
      <c r="O1921" s="4">
        <v>3.7842634973333333</v>
      </c>
      <c r="P1921" s="4" t="s">
        <v>718</v>
      </c>
      <c r="Q1921" s="4" t="s">
        <v>719</v>
      </c>
      <c r="R1921" s="4" t="s">
        <v>720</v>
      </c>
      <c r="S1921" s="2">
        <v>46174.698541666665</v>
      </c>
      <c r="T1921" s="5">
        <v>2.805439814814815E-4</v>
      </c>
      <c r="U1921" s="4">
        <v>0.18389974534511566</v>
      </c>
      <c r="V1921" s="4" t="s">
        <v>789</v>
      </c>
      <c r="W1921" s="4" t="s">
        <v>645</v>
      </c>
      <c r="X1921" s="6" t="s">
        <v>617</v>
      </c>
    </row>
    <row r="1922" spans="1:24">
      <c r="A1922" s="4" t="s">
        <v>1079</v>
      </c>
      <c r="B1922" s="4" t="s">
        <v>1080</v>
      </c>
      <c r="C1922" s="4" t="s">
        <v>1081</v>
      </c>
      <c r="D1922" s="4" t="s">
        <v>716</v>
      </c>
      <c r="E1922" s="4" t="s">
        <v>717</v>
      </c>
      <c r="M1922" s="4" t="s">
        <v>614</v>
      </c>
      <c r="N1922" s="4">
        <v>-71.644073500000005</v>
      </c>
      <c r="O1922" s="4">
        <v>3.7807872300000001</v>
      </c>
      <c r="P1922" s="4" t="s">
        <v>742</v>
      </c>
      <c r="Q1922" s="4" t="s">
        <v>743</v>
      </c>
      <c r="R1922" s="4" t="s">
        <v>730</v>
      </c>
      <c r="S1922" s="2">
        <v>46174.700787037036</v>
      </c>
      <c r="T1922" s="5">
        <v>1.0324074074074074E-2</v>
      </c>
      <c r="U1922" s="4">
        <v>0</v>
      </c>
      <c r="V1922" s="4" t="s">
        <v>616</v>
      </c>
      <c r="W1922" s="4" t="s">
        <v>614</v>
      </c>
      <c r="X1922" s="6" t="s">
        <v>617</v>
      </c>
    </row>
    <row r="1923" spans="1:24">
      <c r="A1923" s="4" t="s">
        <v>1079</v>
      </c>
      <c r="B1923" s="4" t="s">
        <v>1080</v>
      </c>
      <c r="C1923" s="4" t="s">
        <v>1081</v>
      </c>
      <c r="D1923" s="4" t="s">
        <v>716</v>
      </c>
      <c r="E1923" s="4" t="s">
        <v>717</v>
      </c>
      <c r="M1923" s="4" t="s">
        <v>645</v>
      </c>
      <c r="N1923" s="4">
        <v>-71.636698626688002</v>
      </c>
      <c r="O1923" s="4">
        <v>3.7843179115328001</v>
      </c>
      <c r="P1923" s="4" t="s">
        <v>718</v>
      </c>
      <c r="Q1923" s="4" t="s">
        <v>719</v>
      </c>
      <c r="R1923" s="4" t="s">
        <v>720</v>
      </c>
      <c r="S1923" s="2">
        <v>46174.716344629633</v>
      </c>
      <c r="T1923" s="5">
        <v>3.3922453703703702E-4</v>
      </c>
      <c r="U1923" s="4">
        <v>0.18320493400096893</v>
      </c>
      <c r="V1923" s="4" t="s">
        <v>761</v>
      </c>
      <c r="W1923" s="4" t="s">
        <v>645</v>
      </c>
      <c r="X1923" s="6" t="s">
        <v>617</v>
      </c>
    </row>
    <row r="1924" spans="1:24">
      <c r="A1924" s="4" t="s">
        <v>1079</v>
      </c>
      <c r="B1924" s="4" t="s">
        <v>1080</v>
      </c>
      <c r="C1924" s="4" t="s">
        <v>1081</v>
      </c>
      <c r="D1924" s="4" t="s">
        <v>716</v>
      </c>
      <c r="E1924" s="4" t="s">
        <v>717</v>
      </c>
      <c r="M1924" s="4" t="s">
        <v>645</v>
      </c>
      <c r="N1924" s="4">
        <v>-71.626474507933338</v>
      </c>
      <c r="O1924" s="4">
        <v>3.78082601354</v>
      </c>
      <c r="P1924" s="4" t="s">
        <v>729</v>
      </c>
      <c r="Q1924" s="4" t="s">
        <v>723</v>
      </c>
      <c r="R1924" s="4" t="s">
        <v>730</v>
      </c>
      <c r="S1924" s="2">
        <v>46174.718874212966</v>
      </c>
      <c r="T1924" s="5">
        <v>1.4675925925925926E-5</v>
      </c>
      <c r="U1924" s="4">
        <v>3.233801107853651E-3</v>
      </c>
      <c r="V1924" s="4" t="s">
        <v>724</v>
      </c>
      <c r="W1924" s="4" t="s">
        <v>645</v>
      </c>
      <c r="X1924" s="6" t="s">
        <v>617</v>
      </c>
    </row>
    <row r="1925" spans="1:24">
      <c r="A1925" s="4" t="s">
        <v>1079</v>
      </c>
      <c r="B1925" s="4" t="s">
        <v>1080</v>
      </c>
      <c r="C1925" s="4" t="s">
        <v>1081</v>
      </c>
      <c r="D1925" s="4" t="s">
        <v>716</v>
      </c>
      <c r="E1925" s="4" t="s">
        <v>717</v>
      </c>
      <c r="M1925" s="4" t="s">
        <v>645</v>
      </c>
      <c r="N1925" s="4">
        <v>-71.626033825000007</v>
      </c>
      <c r="O1925" s="4">
        <v>3.780603825</v>
      </c>
      <c r="P1925" s="4" t="s">
        <v>722</v>
      </c>
      <c r="Q1925" s="4" t="s">
        <v>723</v>
      </c>
      <c r="R1925" s="4" t="s">
        <v>720</v>
      </c>
      <c r="S1925" s="2">
        <v>46174.719369213068</v>
      </c>
      <c r="T1925" s="5">
        <v>1.0416666666666667E-4</v>
      </c>
      <c r="U1925" s="4">
        <v>2.4345716461539268E-2</v>
      </c>
      <c r="V1925" s="4" t="s">
        <v>724</v>
      </c>
      <c r="W1925" s="4" t="s">
        <v>645</v>
      </c>
      <c r="X1925" s="6" t="s">
        <v>617</v>
      </c>
    </row>
    <row r="1926" spans="1:24">
      <c r="A1926" s="4" t="s">
        <v>1079</v>
      </c>
      <c r="B1926" s="4" t="s">
        <v>1080</v>
      </c>
      <c r="C1926" s="4" t="s">
        <v>1081</v>
      </c>
      <c r="D1926" s="4" t="s">
        <v>716</v>
      </c>
      <c r="E1926" s="4" t="s">
        <v>717</v>
      </c>
      <c r="M1926" s="4" t="s">
        <v>645</v>
      </c>
      <c r="N1926" s="4">
        <v>-71.635060079921956</v>
      </c>
      <c r="O1926" s="4">
        <v>3.784308887140488</v>
      </c>
      <c r="P1926" s="4" t="s">
        <v>718</v>
      </c>
      <c r="Q1926" s="4" t="s">
        <v>719</v>
      </c>
      <c r="R1926" s="4" t="s">
        <v>720</v>
      </c>
      <c r="S1926" s="2">
        <v>46174.757730972226</v>
      </c>
      <c r="T1926" s="5">
        <v>3.394560185185185E-4</v>
      </c>
      <c r="U1926" s="4">
        <v>0.18308284878730774</v>
      </c>
      <c r="V1926" s="4" t="s">
        <v>649</v>
      </c>
      <c r="W1926" s="4" t="s">
        <v>645</v>
      </c>
      <c r="X1926" s="6" t="s">
        <v>617</v>
      </c>
    </row>
    <row r="1927" spans="1:24">
      <c r="A1927" s="4" t="s">
        <v>1079</v>
      </c>
      <c r="B1927" s="4" t="s">
        <v>1080</v>
      </c>
      <c r="C1927" s="4" t="s">
        <v>1081</v>
      </c>
      <c r="D1927" s="4" t="s">
        <v>716</v>
      </c>
      <c r="E1927" s="4" t="s">
        <v>717</v>
      </c>
      <c r="M1927" s="4" t="s">
        <v>645</v>
      </c>
      <c r="N1927" s="4">
        <v>-71.636698322560008</v>
      </c>
      <c r="O1927" s="4">
        <v>3.7842664004446664</v>
      </c>
      <c r="P1927" s="4" t="s">
        <v>718</v>
      </c>
      <c r="Q1927" s="4" t="s">
        <v>719</v>
      </c>
      <c r="R1927" s="4" t="s">
        <v>720</v>
      </c>
      <c r="S1927" s="2">
        <v>46174.773591631943</v>
      </c>
      <c r="T1927" s="5">
        <v>3.843865740740741E-4</v>
      </c>
      <c r="U1927" s="4">
        <v>0.18395073711872101</v>
      </c>
      <c r="V1927" s="4" t="s">
        <v>750</v>
      </c>
      <c r="W1927" s="4" t="s">
        <v>645</v>
      </c>
      <c r="X1927" s="6" t="s">
        <v>617</v>
      </c>
    </row>
    <row r="1928" spans="1:24">
      <c r="A1928" s="4" t="s">
        <v>1079</v>
      </c>
      <c r="B1928" s="4" t="s">
        <v>1080</v>
      </c>
      <c r="C1928" s="4" t="s">
        <v>1081</v>
      </c>
      <c r="D1928" s="4" t="s">
        <v>716</v>
      </c>
      <c r="E1928" s="4" t="s">
        <v>717</v>
      </c>
      <c r="M1928" s="4" t="s">
        <v>645</v>
      </c>
      <c r="N1928" s="4">
        <v>-71.626408483920002</v>
      </c>
      <c r="O1928" s="4">
        <v>3.7809357995849999</v>
      </c>
      <c r="P1928" s="4" t="s">
        <v>739</v>
      </c>
      <c r="Q1928" s="4" t="s">
        <v>740</v>
      </c>
      <c r="R1928" s="4" t="s">
        <v>730</v>
      </c>
      <c r="S1928" s="2">
        <v>46174.776775590275</v>
      </c>
      <c r="T1928" s="5">
        <v>4.4457175925925925E-4</v>
      </c>
      <c r="U1928" s="4">
        <v>0.15052372217178345</v>
      </c>
      <c r="V1928" s="4" t="s">
        <v>725</v>
      </c>
      <c r="W1928" s="4" t="s">
        <v>645</v>
      </c>
      <c r="X1928" s="6" t="s">
        <v>617</v>
      </c>
    </row>
    <row r="1929" spans="1:24">
      <c r="A1929" s="4" t="s">
        <v>1079</v>
      </c>
      <c r="B1929" s="4" t="s">
        <v>1080</v>
      </c>
      <c r="C1929" s="4" t="s">
        <v>1081</v>
      </c>
      <c r="D1929" s="4" t="s">
        <v>716</v>
      </c>
      <c r="E1929" s="4" t="s">
        <v>717</v>
      </c>
      <c r="M1929" s="4" t="s">
        <v>614</v>
      </c>
      <c r="N1929" s="4">
        <v>-71.621032700000001</v>
      </c>
      <c r="O1929" s="4">
        <v>3.7726783799999999</v>
      </c>
      <c r="P1929" s="4" t="s">
        <v>804</v>
      </c>
      <c r="Q1929" s="4" t="s">
        <v>743</v>
      </c>
      <c r="R1929" s="4" t="s">
        <v>730</v>
      </c>
      <c r="S1929" s="2">
        <v>46174.809687499997</v>
      </c>
      <c r="T1929" s="5">
        <v>1.0266203703703704E-2</v>
      </c>
      <c r="U1929" s="4">
        <v>0</v>
      </c>
      <c r="V1929" s="4" t="s">
        <v>616</v>
      </c>
      <c r="W1929" s="4" t="s">
        <v>614</v>
      </c>
      <c r="X1929" s="6" t="s">
        <v>617</v>
      </c>
    </row>
    <row r="1930" spans="1:24">
      <c r="A1930" s="4" t="s">
        <v>1079</v>
      </c>
      <c r="B1930" s="4" t="s">
        <v>1080</v>
      </c>
      <c r="C1930" s="4" t="s">
        <v>1081</v>
      </c>
      <c r="D1930" s="4" t="s">
        <v>716</v>
      </c>
      <c r="E1930" s="4" t="s">
        <v>717</v>
      </c>
      <c r="M1930" s="4" t="s">
        <v>685</v>
      </c>
      <c r="N1930" s="4">
        <v>-71.604342191374997</v>
      </c>
      <c r="O1930" s="4">
        <v>3.7851763774074998</v>
      </c>
      <c r="P1930" s="4" t="s">
        <v>868</v>
      </c>
      <c r="Q1930" s="4" t="s">
        <v>743</v>
      </c>
      <c r="R1930" s="4" t="s">
        <v>730</v>
      </c>
      <c r="S1930" s="2">
        <v>46174.830143738429</v>
      </c>
      <c r="T1930" s="5">
        <v>1.3310185185185185E-6</v>
      </c>
      <c r="U1930" s="4">
        <v>7.2386965621262789E-4</v>
      </c>
      <c r="V1930" s="4" t="s">
        <v>1092</v>
      </c>
      <c r="W1930" s="4" t="s">
        <v>685</v>
      </c>
      <c r="X1930" s="6" t="s">
        <v>617</v>
      </c>
    </row>
    <row r="1931" spans="1:24">
      <c r="A1931" s="4" t="s">
        <v>1079</v>
      </c>
      <c r="B1931" s="4" t="s">
        <v>1080</v>
      </c>
      <c r="C1931" s="4" t="s">
        <v>1081</v>
      </c>
      <c r="D1931" s="4" t="s">
        <v>716</v>
      </c>
      <c r="E1931" s="4" t="s">
        <v>717</v>
      </c>
      <c r="M1931" s="4" t="s">
        <v>685</v>
      </c>
      <c r="N1931" s="4">
        <v>-71.604313015399995</v>
      </c>
      <c r="O1931" s="4">
        <v>3.7852000620899999</v>
      </c>
      <c r="P1931" s="4" t="s">
        <v>868</v>
      </c>
      <c r="Q1931" s="4" t="s">
        <v>743</v>
      </c>
      <c r="R1931" s="4" t="s">
        <v>730</v>
      </c>
      <c r="S1931" s="2">
        <v>46174.830151527778</v>
      </c>
      <c r="T1931" s="5">
        <v>6.5972222222222221E-7</v>
      </c>
      <c r="U1931" s="4">
        <v>3.1826546182855964E-4</v>
      </c>
      <c r="V1931" s="4" t="s">
        <v>1093</v>
      </c>
      <c r="W1931" s="4" t="s">
        <v>685</v>
      </c>
      <c r="X1931" s="6" t="s">
        <v>617</v>
      </c>
    </row>
    <row r="1932" spans="1:24">
      <c r="A1932" s="4" t="s">
        <v>1079</v>
      </c>
      <c r="B1932" s="4" t="s">
        <v>1080</v>
      </c>
      <c r="C1932" s="4" t="s">
        <v>1081</v>
      </c>
      <c r="D1932" s="4" t="s">
        <v>716</v>
      </c>
      <c r="E1932" s="4" t="s">
        <v>717</v>
      </c>
      <c r="M1932" s="4" t="s">
        <v>685</v>
      </c>
      <c r="N1932" s="4">
        <v>-71.604341563399998</v>
      </c>
      <c r="O1932" s="4">
        <v>3.78520139908</v>
      </c>
      <c r="P1932" s="4" t="s">
        <v>868</v>
      </c>
      <c r="Q1932" s="4" t="s">
        <v>743</v>
      </c>
      <c r="R1932" s="4" t="s">
        <v>730</v>
      </c>
      <c r="S1932" s="2">
        <v>46174.843383449072</v>
      </c>
      <c r="T1932" s="5">
        <v>1.6087962962962962E-6</v>
      </c>
      <c r="U1932" s="4">
        <v>5.6239537661895156E-4</v>
      </c>
      <c r="V1932" s="4" t="s">
        <v>1094</v>
      </c>
      <c r="W1932" s="4" t="s">
        <v>685</v>
      </c>
      <c r="X1932" s="6" t="s">
        <v>617</v>
      </c>
    </row>
    <row r="1933" spans="1:24">
      <c r="A1933" s="4" t="s">
        <v>1079</v>
      </c>
      <c r="B1933" s="4" t="s">
        <v>1080</v>
      </c>
      <c r="C1933" s="4" t="s">
        <v>1081</v>
      </c>
      <c r="D1933" s="4" t="s">
        <v>716</v>
      </c>
      <c r="E1933" s="4" t="s">
        <v>717</v>
      </c>
      <c r="M1933" s="4" t="s">
        <v>614</v>
      </c>
      <c r="N1933" s="4">
        <v>-71.609954799999997</v>
      </c>
      <c r="O1933" s="4">
        <v>3.7699959299999999</v>
      </c>
      <c r="P1933" s="4" t="s">
        <v>795</v>
      </c>
      <c r="Q1933" s="4" t="s">
        <v>743</v>
      </c>
      <c r="R1933" s="4" t="s">
        <v>730</v>
      </c>
      <c r="S1933" s="2">
        <v>46174.852465277778</v>
      </c>
      <c r="T1933" s="5">
        <v>3.4837962962962965E-3</v>
      </c>
      <c r="U1933" s="4">
        <v>0</v>
      </c>
      <c r="V1933" s="4" t="s">
        <v>616</v>
      </c>
      <c r="W1933" s="4" t="s">
        <v>614</v>
      </c>
      <c r="X1933" s="6" t="s">
        <v>617</v>
      </c>
    </row>
    <row r="1934" spans="1:24">
      <c r="A1934" s="4" t="s">
        <v>1079</v>
      </c>
      <c r="B1934" s="4" t="s">
        <v>1080</v>
      </c>
      <c r="C1934" s="4" t="s">
        <v>1081</v>
      </c>
      <c r="D1934" s="4" t="s">
        <v>716</v>
      </c>
      <c r="E1934" s="4" t="s">
        <v>717</v>
      </c>
      <c r="M1934" s="4" t="s">
        <v>614</v>
      </c>
      <c r="N1934" s="4">
        <v>-71.595352199999994</v>
      </c>
      <c r="O1934" s="4">
        <v>3.7816054800000001</v>
      </c>
      <c r="P1934" s="4" t="s">
        <v>1095</v>
      </c>
      <c r="Q1934" s="4" t="s">
        <v>743</v>
      </c>
      <c r="R1934" s="4" t="s">
        <v>730</v>
      </c>
      <c r="S1934" s="2">
        <v>46174.860636574071</v>
      </c>
      <c r="T1934" s="5">
        <v>6.8865740740740745E-3</v>
      </c>
      <c r="U1934" s="4">
        <v>0</v>
      </c>
      <c r="V1934" s="4" t="s">
        <v>616</v>
      </c>
      <c r="W1934" s="4" t="s">
        <v>614</v>
      </c>
      <c r="X1934" s="6" t="s">
        <v>617</v>
      </c>
    </row>
    <row r="1935" spans="1:24">
      <c r="A1935" s="4" t="s">
        <v>1079</v>
      </c>
      <c r="B1935" s="4" t="s">
        <v>1080</v>
      </c>
      <c r="C1935" s="4" t="s">
        <v>1081</v>
      </c>
      <c r="D1935" s="4" t="s">
        <v>716</v>
      </c>
      <c r="E1935" s="4" t="s">
        <v>717</v>
      </c>
      <c r="M1935" s="4" t="s">
        <v>614</v>
      </c>
      <c r="N1935" s="4">
        <v>-71.5556488</v>
      </c>
      <c r="O1935" s="4">
        <v>3.7462024700000001</v>
      </c>
      <c r="P1935" s="4" t="s">
        <v>1046</v>
      </c>
      <c r="Q1935" s="4" t="s">
        <v>743</v>
      </c>
      <c r="R1935" s="4" t="s">
        <v>730</v>
      </c>
      <c r="S1935" s="2">
        <v>46174.916446759256</v>
      </c>
      <c r="T1935" s="5">
        <v>4.6412037037037038E-3</v>
      </c>
      <c r="U1935" s="4">
        <v>0</v>
      </c>
      <c r="V1935" s="4" t="s">
        <v>616</v>
      </c>
      <c r="W1935" s="4" t="s">
        <v>614</v>
      </c>
      <c r="X1935" s="6" t="s">
        <v>617</v>
      </c>
    </row>
    <row r="1936" spans="1:24">
      <c r="A1936" s="4" t="s">
        <v>1079</v>
      </c>
      <c r="B1936" s="4" t="s">
        <v>1080</v>
      </c>
      <c r="C1936" s="4" t="s">
        <v>1081</v>
      </c>
      <c r="D1936" s="4" t="s">
        <v>716</v>
      </c>
      <c r="E1936" s="4" t="s">
        <v>717</v>
      </c>
      <c r="M1936" s="4" t="s">
        <v>685</v>
      </c>
      <c r="N1936" s="4">
        <v>-71.542657133999995</v>
      </c>
      <c r="O1936" s="4">
        <v>3.7415068522400001</v>
      </c>
      <c r="P1936" s="4" t="s">
        <v>1096</v>
      </c>
      <c r="Q1936" s="4" t="s">
        <v>743</v>
      </c>
      <c r="R1936" s="4" t="s">
        <v>730</v>
      </c>
      <c r="S1936" s="2">
        <v>46174.927390925928</v>
      </c>
      <c r="T1936" s="5">
        <v>8.1018518518518515E-8</v>
      </c>
      <c r="U1936" s="4">
        <v>2.8451542675611563E-5</v>
      </c>
      <c r="V1936" s="4" t="s">
        <v>782</v>
      </c>
      <c r="W1936" s="4" t="s">
        <v>685</v>
      </c>
      <c r="X1936" s="6" t="s">
        <v>617</v>
      </c>
    </row>
    <row r="1937" spans="1:24">
      <c r="A1937" s="4" t="s">
        <v>1079</v>
      </c>
      <c r="B1937" s="4" t="s">
        <v>1080</v>
      </c>
      <c r="C1937" s="4" t="s">
        <v>1081</v>
      </c>
      <c r="D1937" s="4" t="s">
        <v>716</v>
      </c>
      <c r="E1937" s="4" t="s">
        <v>717</v>
      </c>
      <c r="M1937" s="4" t="s">
        <v>614</v>
      </c>
      <c r="N1937" s="4">
        <v>-71.5390625</v>
      </c>
      <c r="O1937" s="4">
        <v>3.73199368</v>
      </c>
      <c r="P1937" s="4" t="s">
        <v>1096</v>
      </c>
      <c r="Q1937" s="4" t="s">
        <v>743</v>
      </c>
      <c r="R1937" s="4" t="s">
        <v>730</v>
      </c>
      <c r="S1937" s="2">
        <v>46174.930439814816</v>
      </c>
      <c r="T1937" s="5">
        <v>4.2361111111111115E-3</v>
      </c>
      <c r="U1937" s="4">
        <v>5.3340056183515117E-5</v>
      </c>
      <c r="V1937" s="4" t="s">
        <v>616</v>
      </c>
      <c r="W1937" s="4" t="s">
        <v>614</v>
      </c>
      <c r="X1937" s="6" t="s">
        <v>617</v>
      </c>
    </row>
    <row r="1938" spans="1:24">
      <c r="A1938" s="4" t="s">
        <v>1079</v>
      </c>
      <c r="B1938" s="4" t="s">
        <v>1080</v>
      </c>
      <c r="C1938" s="4" t="s">
        <v>1081</v>
      </c>
      <c r="D1938" s="4" t="s">
        <v>716</v>
      </c>
      <c r="E1938" s="4" t="s">
        <v>717</v>
      </c>
      <c r="M1938" s="4" t="s">
        <v>614</v>
      </c>
      <c r="N1938" s="4">
        <v>-71.539360000000002</v>
      </c>
      <c r="O1938" s="4">
        <v>3.7317128199999998</v>
      </c>
      <c r="P1938" s="4" t="s">
        <v>1096</v>
      </c>
      <c r="Q1938" s="4" t="s">
        <v>743</v>
      </c>
      <c r="R1938" s="4" t="s">
        <v>730</v>
      </c>
      <c r="S1938" s="2">
        <v>46174.937141203707</v>
      </c>
      <c r="T1938" s="5">
        <v>3.6111111111111109E-3</v>
      </c>
      <c r="U1938" s="4">
        <v>0</v>
      </c>
      <c r="V1938" s="4" t="s">
        <v>616</v>
      </c>
      <c r="W1938" s="4" t="s">
        <v>614</v>
      </c>
      <c r="X1938" s="6" t="s">
        <v>617</v>
      </c>
    </row>
    <row r="1939" spans="1:24">
      <c r="A1939" s="4" t="s">
        <v>1079</v>
      </c>
      <c r="B1939" s="4" t="s">
        <v>1080</v>
      </c>
      <c r="C1939" s="4" t="s">
        <v>1081</v>
      </c>
      <c r="D1939" s="4" t="s">
        <v>716</v>
      </c>
      <c r="E1939" s="4" t="s">
        <v>717</v>
      </c>
      <c r="M1939" s="4" t="s">
        <v>614</v>
      </c>
      <c r="N1939" s="4">
        <v>-71.548812900000001</v>
      </c>
      <c r="O1939" s="4">
        <v>3.7338108999999999</v>
      </c>
      <c r="P1939" s="4" t="s">
        <v>795</v>
      </c>
      <c r="Q1939" s="4" t="s">
        <v>743</v>
      </c>
      <c r="R1939" s="4" t="s">
        <v>730</v>
      </c>
      <c r="S1939" s="2">
        <v>46174.957777777781</v>
      </c>
      <c r="T1939" s="5">
        <v>3.5532407407407409E-3</v>
      </c>
      <c r="U1939" s="4">
        <v>0</v>
      </c>
      <c r="V1939" s="4" t="s">
        <v>616</v>
      </c>
      <c r="W1939" s="4" t="s">
        <v>614</v>
      </c>
      <c r="X1939" s="6" t="s">
        <v>617</v>
      </c>
    </row>
    <row r="1940" spans="1:24">
      <c r="A1940" s="4" t="s">
        <v>1079</v>
      </c>
      <c r="B1940" s="4" t="s">
        <v>1080</v>
      </c>
      <c r="C1940" s="4" t="s">
        <v>1081</v>
      </c>
      <c r="D1940" s="4" t="s">
        <v>716</v>
      </c>
      <c r="E1940" s="4" t="s">
        <v>717</v>
      </c>
      <c r="M1940" s="4" t="s">
        <v>614</v>
      </c>
      <c r="N1940" s="4">
        <v>-71.571472200000002</v>
      </c>
      <c r="O1940" s="4">
        <v>3.7331457100000001</v>
      </c>
      <c r="P1940" s="4" t="s">
        <v>776</v>
      </c>
      <c r="Q1940" s="4" t="s">
        <v>743</v>
      </c>
      <c r="R1940" s="4" t="s">
        <v>730</v>
      </c>
      <c r="S1940" s="2">
        <v>46174.979930555557</v>
      </c>
      <c r="T1940" s="5">
        <v>4.6412037037037038E-3</v>
      </c>
      <c r="U1940" s="4">
        <v>0</v>
      </c>
      <c r="V1940" s="4" t="s">
        <v>616</v>
      </c>
      <c r="W1940" s="4" t="s">
        <v>614</v>
      </c>
      <c r="X1940" s="6" t="s">
        <v>617</v>
      </c>
    </row>
    <row r="1941" spans="1:24">
      <c r="A1941" s="4" t="s">
        <v>1079</v>
      </c>
      <c r="B1941" s="4" t="s">
        <v>1080</v>
      </c>
      <c r="C1941" s="4" t="s">
        <v>1081</v>
      </c>
      <c r="D1941" s="4" t="s">
        <v>716</v>
      </c>
      <c r="E1941" s="4" t="s">
        <v>717</v>
      </c>
      <c r="M1941" s="4" t="s">
        <v>757</v>
      </c>
      <c r="N1941" s="4">
        <v>-71.549132025199995</v>
      </c>
      <c r="O1941" s="4">
        <v>3.7532665524336366</v>
      </c>
      <c r="P1941" s="4" t="s">
        <v>909</v>
      </c>
      <c r="Q1941" s="4" t="s">
        <v>743</v>
      </c>
      <c r="R1941" s="4" t="s">
        <v>730</v>
      </c>
      <c r="S1941" s="2">
        <v>46174.994747303244</v>
      </c>
      <c r="T1941" s="5">
        <v>2.7002314814814815E-5</v>
      </c>
      <c r="U1941" s="4">
        <v>2.4153947830200195E-2</v>
      </c>
      <c r="V1941" s="4" t="s">
        <v>758</v>
      </c>
      <c r="W1941" s="4" t="s">
        <v>757</v>
      </c>
      <c r="X1941" s="6" t="s">
        <v>617</v>
      </c>
    </row>
  </sheetData>
  <pageMargins left="0.75" right="0.75" top="1" bottom="1" header="0.51180555555555496" footer="0.51180555555555496"/>
  <pageSetup firstPageNumber="0" fitToHeight="10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J1943"/>
  <sheetViews>
    <sheetView showGridLines="0" zoomScaleNormal="100" workbookViewId="0">
      <pane ySplit="13" topLeftCell="A14" activePane="bottomLeft" state="frozen"/>
      <selection activeCell="I1" sqref="I1"/>
      <selection pane="bottomLeft"/>
    </sheetView>
  </sheetViews>
  <sheetFormatPr defaultColWidth="9.140625" defaultRowHeight="16.5"/>
  <cols>
    <col min="1" max="2" width="25.85546875" style="7" customWidth="1"/>
    <col min="3" max="4" width="22.85546875" style="7" customWidth="1"/>
    <col min="5" max="5" width="29.42578125" style="7" customWidth="1"/>
    <col min="6" max="6" width="22.42578125" style="7" customWidth="1"/>
    <col min="7" max="7" width="17.140625" style="7" customWidth="1"/>
    <col min="8" max="8" width="38.140625" style="7" customWidth="1"/>
    <col min="9" max="9" width="28.42578125" style="8" customWidth="1"/>
    <col min="10" max="10" width="13.140625" style="9" customWidth="1"/>
    <col min="11" max="11" width="18.140625" style="10" customWidth="1"/>
    <col min="12" max="12" width="16.42578125" style="11" customWidth="1"/>
    <col min="13" max="13" width="16.140625" style="12" customWidth="1"/>
    <col min="14" max="14" width="51.85546875" style="12" hidden="1" customWidth="1"/>
    <col min="15" max="15" width="51.85546875" style="8" customWidth="1"/>
    <col min="16" max="16" width="40.42578125" style="7" customWidth="1"/>
    <col min="17" max="1024" width="9.140625" style="7"/>
  </cols>
  <sheetData>
    <row r="1" spans="1:16" s="14" customFormat="1" ht="25.5" customHeight="1">
      <c r="A1" s="13" t="s">
        <v>250</v>
      </c>
      <c r="C1" s="15">
        <f>Data!B2</f>
        <v>46175.845932222219</v>
      </c>
      <c r="H1" s="15"/>
      <c r="J1" s="15"/>
      <c r="K1" s="16"/>
      <c r="L1" s="17"/>
    </row>
    <row r="2" spans="1:16" s="7" customFormat="1" ht="25.5" customHeight="1">
      <c r="A2" s="18" t="str">
        <f>Data!B1</f>
        <v>MAGNEX GROUP</v>
      </c>
      <c r="H2" s="8"/>
      <c r="I2" s="8"/>
      <c r="J2" s="8"/>
      <c r="K2" s="12"/>
      <c r="L2" s="19"/>
    </row>
    <row r="3" spans="1:16" s="20" customFormat="1" ht="17.45" customHeight="1">
      <c r="A3" s="7"/>
      <c r="I3" s="21"/>
      <c r="J3" s="22"/>
      <c r="K3" s="23"/>
      <c r="L3" s="24"/>
      <c r="M3" s="25"/>
      <c r="N3" s="25"/>
      <c r="O3" s="21"/>
    </row>
    <row r="4" spans="1:16" ht="17.45" customHeight="1">
      <c r="A4" s="70" t="s">
        <v>180</v>
      </c>
      <c r="B4" s="70"/>
      <c r="C4" s="27"/>
      <c r="D4" s="27"/>
      <c r="E4" s="27"/>
      <c r="F4" s="27"/>
      <c r="G4" s="27"/>
    </row>
    <row r="5" spans="1:16" ht="17.45" customHeight="1">
      <c r="A5" s="28" t="s">
        <v>277</v>
      </c>
      <c r="B5" s="29">
        <f>Data!B3</f>
        <v>46174</v>
      </c>
      <c r="C5" s="27"/>
      <c r="D5" s="27"/>
      <c r="E5" s="27"/>
      <c r="F5" s="27"/>
      <c r="G5" s="27"/>
    </row>
    <row r="6" spans="1:16" ht="17.45" customHeight="1">
      <c r="A6" s="28" t="s">
        <v>288</v>
      </c>
      <c r="B6" s="29">
        <f>Data!B4</f>
        <v>46174.999988425923</v>
      </c>
      <c r="C6" s="27"/>
      <c r="D6" s="27"/>
      <c r="E6" s="27"/>
      <c r="F6" s="27"/>
      <c r="G6" s="27"/>
    </row>
    <row r="7" spans="1:16" ht="17.45" customHeight="1">
      <c r="A7" s="28" t="s">
        <v>369</v>
      </c>
      <c r="B7" s="30">
        <f>B6-B5</f>
        <v>0.99998842592322035</v>
      </c>
      <c r="C7" s="27"/>
      <c r="D7" s="27"/>
      <c r="E7" s="27"/>
      <c r="F7" s="27"/>
      <c r="G7" s="27"/>
    </row>
    <row r="8" spans="1:16" ht="17.45" customHeight="1">
      <c r="A8" s="31"/>
      <c r="B8" s="32"/>
      <c r="C8" s="27"/>
      <c r="D8" s="27"/>
      <c r="E8" s="27"/>
      <c r="F8" s="27"/>
      <c r="G8" s="27"/>
    </row>
    <row r="9" spans="1:16" ht="17.45" customHeight="1">
      <c r="A9" s="26" t="s">
        <v>323</v>
      </c>
      <c r="B9" s="29" t="str">
        <f>Data!B5</f>
        <v>America/Bogota</v>
      </c>
      <c r="C9" s="33"/>
      <c r="D9" s="33"/>
      <c r="E9" s="33"/>
      <c r="F9" s="33"/>
      <c r="G9" s="33"/>
    </row>
    <row r="10" spans="1:16" ht="17.45" customHeight="1">
      <c r="A10" s="26" t="s">
        <v>300</v>
      </c>
      <c r="B10" s="29" t="str">
        <f>Data!B6</f>
        <v>km</v>
      </c>
      <c r="C10" s="27"/>
      <c r="D10" s="27"/>
      <c r="E10" s="27"/>
      <c r="F10" s="27"/>
      <c r="G10" s="27"/>
    </row>
    <row r="11" spans="1:16" ht="17.45" customHeight="1">
      <c r="A11" s="26" t="s">
        <v>313</v>
      </c>
      <c r="B11" s="29" t="str">
        <f>Data!B7</f>
        <v>km/h</v>
      </c>
      <c r="C11" s="27"/>
      <c r="D11" s="27"/>
      <c r="E11" s="27"/>
      <c r="F11" s="27"/>
      <c r="G11" s="27"/>
    </row>
    <row r="12" spans="1:16" ht="17.45" customHeight="1">
      <c r="A12" s="20"/>
    </row>
    <row r="13" spans="1:16" s="40" customFormat="1" ht="17.45" customHeight="1">
      <c r="A13" s="34" t="s">
        <v>70</v>
      </c>
      <c r="B13" s="34" t="s">
        <v>106</v>
      </c>
      <c r="C13" s="34" t="s">
        <v>81</v>
      </c>
      <c r="D13" s="34" t="s">
        <v>93</v>
      </c>
      <c r="E13" s="34" t="s">
        <v>119</v>
      </c>
      <c r="F13" s="34" t="s">
        <v>132</v>
      </c>
      <c r="G13" s="34" t="s">
        <v>145</v>
      </c>
      <c r="H13" s="34" t="s">
        <v>156</v>
      </c>
      <c r="I13" s="35" t="s">
        <v>168</v>
      </c>
      <c r="J13" s="36" t="s">
        <v>180</v>
      </c>
      <c r="K13" s="37" t="s">
        <v>187</v>
      </c>
      <c r="L13" s="38" t="s">
        <v>200</v>
      </c>
      <c r="M13" s="39" t="s">
        <v>213</v>
      </c>
      <c r="N13" s="39" t="s">
        <v>226</v>
      </c>
      <c r="O13" s="35" t="s">
        <v>238</v>
      </c>
      <c r="P13" s="35" t="s">
        <v>361</v>
      </c>
    </row>
    <row r="14" spans="1:16">
      <c r="A14" s="41" t="str">
        <f>Data!A12</f>
        <v>NPV257</v>
      </c>
      <c r="B14" s="41" t="str">
        <f>Data!D12</f>
        <v>Vehicle, Diesel, ENE 6234 OPEX SOT-SOC</v>
      </c>
      <c r="C14" s="41" t="str">
        <f>Data!F12</f>
        <v>Andres Felipe</v>
      </c>
      <c r="D14" s="41" t="str">
        <f>Data!G12</f>
        <v>Micolta</v>
      </c>
      <c r="E14" s="41" t="str">
        <f>Data!H12</f>
        <v>andres.micolta@magnexgroup.com</v>
      </c>
      <c r="F14" s="41" t="str">
        <f>Data!K12</f>
        <v>ENEL</v>
      </c>
      <c r="G14" s="33" t="str">
        <f>Data!M12</f>
        <v>Tiempo en ralentí</v>
      </c>
      <c r="H14" s="41" t="str">
        <f>Data!P12</f>
        <v>San Pedro de Jagua - Medina #1-09, Medina, Cundinamarca, Colombia</v>
      </c>
      <c r="I14" s="42">
        <f>Data!Q12</f>
        <v>0</v>
      </c>
      <c r="J14" s="43">
        <f>Data!S12</f>
        <v>46174.25824880787</v>
      </c>
      <c r="K14" s="44">
        <f>Data!S12</f>
        <v>46174.25824880787</v>
      </c>
      <c r="L14" s="45">
        <f>Data!T12</f>
        <v>4.5984143518518518E-3</v>
      </c>
      <c r="M14" s="46">
        <f>Data!U12</f>
        <v>6.5716234967112541E-3</v>
      </c>
      <c r="N14" s="46" t="str">
        <f>CONCATENATE(Data!W12," (",Data!V12,")")</f>
        <v>Tiempo en ralentí (Ignición: 1.00)</v>
      </c>
      <c r="O14" s="42" t="str">
        <f>IF(Data!V12&lt;&gt;"",N14,Data!W12)</f>
        <v>Tiempo en ralentí (Ignición: 1.00)</v>
      </c>
      <c r="P14" s="47" t="str">
        <f>Data!X12</f>
        <v>Válido</v>
      </c>
    </row>
    <row r="15" spans="1:16">
      <c r="A15" s="41" t="str">
        <f>Data!A13</f>
        <v>NPV257</v>
      </c>
      <c r="B15" s="41" t="str">
        <f>Data!D13</f>
        <v>Vehicle, Diesel, ENE 6234 OPEX SOT-SOC</v>
      </c>
      <c r="C15" s="41" t="str">
        <f>Data!F13</f>
        <v>Jose Yezith</v>
      </c>
      <c r="D15" s="41" t="str">
        <f>Data!G13</f>
        <v>Córdoba Leon</v>
      </c>
      <c r="E15" s="41" t="str">
        <f>Data!H13</f>
        <v>yezith.spj@hotmail.com</v>
      </c>
      <c r="F15" s="41" t="str">
        <f>Data!K13</f>
        <v>ENE 6234 OPEX SOT-SOC</v>
      </c>
      <c r="G15" s="33" t="str">
        <f>Data!M13</f>
        <v>Tiempo en ralentí</v>
      </c>
      <c r="H15" s="41" t="str">
        <f>Data!P13</f>
        <v>San Pedro Jagua, Cundinamarca, Colombia</v>
      </c>
      <c r="I15" s="42">
        <f>Data!Q13</f>
        <v>0</v>
      </c>
      <c r="J15" s="43">
        <f>Data!S13</f>
        <v>46174.526979166665</v>
      </c>
      <c r="K15" s="44">
        <f>Data!S13</f>
        <v>46174.526979166665</v>
      </c>
      <c r="L15" s="45">
        <f>Data!T13</f>
        <v>1.1441099537037038E-2</v>
      </c>
      <c r="M15" s="46">
        <f>Data!U13</f>
        <v>5.2228802815079689E-5</v>
      </c>
      <c r="N15" s="46" t="str">
        <f>CONCATENATE(Data!W13," (",Data!V13,")")</f>
        <v>Tiempo en ralentí (Ignición: 1.00)</v>
      </c>
      <c r="O15" s="42" t="str">
        <f>IF(Data!V13&lt;&gt;"",N15,Data!W13)</f>
        <v>Tiempo en ralentí (Ignición: 1.00)</v>
      </c>
      <c r="P15" s="47" t="str">
        <f>Data!X13</f>
        <v>Válido</v>
      </c>
    </row>
    <row r="16" spans="1:16">
      <c r="A16" s="41" t="str">
        <f>Data!A14</f>
        <v>NPV257</v>
      </c>
      <c r="B16" s="41" t="str">
        <f>Data!D14</f>
        <v>Vehicle, Diesel, ENE 6234 OPEX SOT-SOC</v>
      </c>
      <c r="C16" s="41" t="str">
        <f>Data!F14</f>
        <v>Jose Yezith</v>
      </c>
      <c r="D16" s="41" t="str">
        <f>Data!G14</f>
        <v>Córdoba Leon</v>
      </c>
      <c r="E16" s="41" t="str">
        <f>Data!H14</f>
        <v>yezith.spj@hotmail.com</v>
      </c>
      <c r="F16" s="41" t="str">
        <f>Data!K14</f>
        <v>ENE 6234 OPEX SOT-SOC</v>
      </c>
      <c r="G16" s="33" t="str">
        <f>Data!M14</f>
        <v>Tiempo en ralentí</v>
      </c>
      <c r="H16" s="41" t="str">
        <f>Data!P14</f>
        <v>San Pedro Jagua, Cundinamarca, Colombia</v>
      </c>
      <c r="I16" s="42">
        <f>Data!Q14</f>
        <v>0</v>
      </c>
      <c r="J16" s="43">
        <f>Data!S14</f>
        <v>46174.574421296296</v>
      </c>
      <c r="K16" s="44">
        <f>Data!S14</f>
        <v>46174.574421296296</v>
      </c>
      <c r="L16" s="45">
        <f>Data!T14</f>
        <v>8.7037037037037031E-3</v>
      </c>
      <c r="M16" s="46">
        <f>Data!U14</f>
        <v>0</v>
      </c>
      <c r="N16" s="46" t="str">
        <f>CONCATENATE(Data!W14," (",Data!V14,")")</f>
        <v>Tiempo en ralentí (Ignición: 1.00)</v>
      </c>
      <c r="O16" s="42" t="str">
        <f>IF(Data!V14&lt;&gt;"",N16,Data!W14)</f>
        <v>Tiempo en ralentí (Ignición: 1.00)</v>
      </c>
      <c r="P16" s="47" t="str">
        <f>Data!X14</f>
        <v>Válido</v>
      </c>
    </row>
    <row r="17" spans="1:16">
      <c r="A17" s="41" t="str">
        <f>Data!A15</f>
        <v>NPV257</v>
      </c>
      <c r="B17" s="41" t="str">
        <f>Data!D15</f>
        <v>Vehicle, Diesel, ENE 6234 OPEX SOT-SOC</v>
      </c>
      <c r="C17" s="41" t="str">
        <f>Data!F15</f>
        <v>Jose Yezith</v>
      </c>
      <c r="D17" s="41" t="str">
        <f>Data!G15</f>
        <v>Córdoba Leon</v>
      </c>
      <c r="E17" s="41" t="str">
        <f>Data!H15</f>
        <v>yezith.spj@hotmail.com</v>
      </c>
      <c r="F17" s="41" t="str">
        <f>Data!K15</f>
        <v>ENE 6234 OPEX SOT-SOC</v>
      </c>
      <c r="G17" s="33" t="str">
        <f>Data!M15</f>
        <v>Tiempo en ralentí</v>
      </c>
      <c r="H17" s="41" t="str">
        <f>Data!P15</f>
        <v>Paratebueno, Cundinamarca, Colombia</v>
      </c>
      <c r="I17" s="42">
        <f>Data!Q15</f>
        <v>0</v>
      </c>
      <c r="J17" s="43">
        <f>Data!S15</f>
        <v>46174.589050925926</v>
      </c>
      <c r="K17" s="44">
        <f>Data!S15</f>
        <v>46174.589050925926</v>
      </c>
      <c r="L17" s="45">
        <f>Data!T15</f>
        <v>7.8472222222222224E-3</v>
      </c>
      <c r="M17" s="46">
        <f>Data!U15</f>
        <v>0</v>
      </c>
      <c r="N17" s="46" t="str">
        <f>CONCATENATE(Data!W15," (",Data!V15,")")</f>
        <v>Tiempo en ralentí (Ignición: 1.00)</v>
      </c>
      <c r="O17" s="42" t="str">
        <f>IF(Data!V15&lt;&gt;"",N17,Data!W15)</f>
        <v>Tiempo en ralentí (Ignición: 1.00)</v>
      </c>
      <c r="P17" s="47" t="str">
        <f>Data!X15</f>
        <v>Válido</v>
      </c>
    </row>
    <row r="18" spans="1:16">
      <c r="A18" s="41" t="str">
        <f>Data!A16</f>
        <v>NPV257</v>
      </c>
      <c r="B18" s="41" t="str">
        <f>Data!D16</f>
        <v>Vehicle, Diesel, ENE 6234 OPEX SOT-SOC</v>
      </c>
      <c r="C18" s="41" t="str">
        <f>Data!F16</f>
        <v>Jose Yezith</v>
      </c>
      <c r="D18" s="41" t="str">
        <f>Data!G16</f>
        <v>Córdoba Leon</v>
      </c>
      <c r="E18" s="41" t="str">
        <f>Data!H16</f>
        <v>yezith.spj@hotmail.com</v>
      </c>
      <c r="F18" s="41" t="str">
        <f>Data!K16</f>
        <v>ENE 6234 OPEX SOT-SOC</v>
      </c>
      <c r="G18" s="33" t="str">
        <f>Data!M16</f>
        <v>Frenado brusco (nuevo)</v>
      </c>
      <c r="H18" s="41" t="str">
        <f>Data!P16</f>
        <v>San Pedro de Jagua - Medina, Medina, Cundinamarca, Colombia</v>
      </c>
      <c r="I18" s="42">
        <f>Data!Q16</f>
        <v>0</v>
      </c>
      <c r="J18" s="43">
        <f>Data!S16</f>
        <v>46174.740983796299</v>
      </c>
      <c r="K18" s="44">
        <f>Data!S16</f>
        <v>46174.740983796299</v>
      </c>
      <c r="L18" s="45">
        <f>Data!T16</f>
        <v>0</v>
      </c>
      <c r="M18" s="46">
        <f>Data!U16</f>
        <v>0</v>
      </c>
      <c r="N18" s="46" t="str">
        <f>CONCATENATE(Data!W16," (",Data!V16,")")</f>
        <v>Frenado brusco (nuevo) (Clase de vehículo para métricas de seguridad: Otra clase (no estandarizada), Velocidad máxima: 14 kmh,  Ignición: 1)</v>
      </c>
      <c r="O18" s="42" t="str">
        <f>IF(Data!V16&lt;&gt;"",N18,Data!W16)</f>
        <v>Frenado brusco (nuevo) (Clase de vehículo para métricas de seguridad: Otra clase (no estandarizada), Velocidad máxima: 14 kmh,  Ignición: 1)</v>
      </c>
      <c r="P18" s="47" t="str">
        <f>Data!X16</f>
        <v>Válido</v>
      </c>
    </row>
    <row r="19" spans="1:16">
      <c r="A19" s="41" t="str">
        <f>Data!A17</f>
        <v>NPV257</v>
      </c>
      <c r="B19" s="41" t="str">
        <f>Data!D17</f>
        <v>Vehicle, Diesel, ENE 6234 OPEX SOT-SOC</v>
      </c>
      <c r="C19" s="41" t="str">
        <f>Data!F17</f>
        <v>Jose Yezith</v>
      </c>
      <c r="D19" s="41" t="str">
        <f>Data!G17</f>
        <v>Córdoba Leon</v>
      </c>
      <c r="E19" s="41" t="str">
        <f>Data!H17</f>
        <v>yezith.spj@hotmail.com</v>
      </c>
      <c r="F19" s="41" t="str">
        <f>Data!K17</f>
        <v>ENE 6234 OPEX SOT-SOC</v>
      </c>
      <c r="G19" s="33" t="str">
        <f>Data!M17</f>
        <v>Frenado brusco (nuevo)</v>
      </c>
      <c r="H19" s="41" t="str">
        <f>Data!P17</f>
        <v>San Pedro de Jagua - Medina, Medina, Cundinamarca, Colombia</v>
      </c>
      <c r="I19" s="42">
        <f>Data!Q17</f>
        <v>0</v>
      </c>
      <c r="J19" s="43">
        <f>Data!S17</f>
        <v>46174.741956018515</v>
      </c>
      <c r="K19" s="44">
        <f>Data!S17</f>
        <v>46174.741956018515</v>
      </c>
      <c r="L19" s="45">
        <f>Data!T17</f>
        <v>1.1574074074074073E-5</v>
      </c>
      <c r="M19" s="46">
        <f>Data!U17</f>
        <v>8.6521878838539124E-3</v>
      </c>
      <c r="N19" s="46" t="str">
        <f>CONCATENATE(Data!W17," (",Data!V17,")")</f>
        <v>Frenado brusco (nuevo) (Clase de vehículo para métricas de seguridad: Otra clase (no estandarizada), Velocidad máxima: 8 kmh,  Ignición: 1)</v>
      </c>
      <c r="O19" s="42" t="str">
        <f>IF(Data!V17&lt;&gt;"",N19,Data!W17)</f>
        <v>Frenado brusco (nuevo) (Clase de vehículo para métricas de seguridad: Otra clase (no estandarizada), Velocidad máxima: 8 kmh,  Ignición: 1)</v>
      </c>
      <c r="P19" s="47" t="str">
        <f>Data!X17</f>
        <v>Válido</v>
      </c>
    </row>
    <row r="20" spans="1:16">
      <c r="A20" s="41" t="str">
        <f>Data!A18</f>
        <v>NPV257</v>
      </c>
      <c r="B20" s="41" t="str">
        <f>Data!D18</f>
        <v>Vehicle, Diesel, ENE 6234 OPEX SOT-SOC</v>
      </c>
      <c r="C20" s="41" t="str">
        <f>Data!F18</f>
        <v>Jose Yezith</v>
      </c>
      <c r="D20" s="41" t="str">
        <f>Data!G18</f>
        <v>Córdoba Leon</v>
      </c>
      <c r="E20" s="41" t="str">
        <f>Data!H18</f>
        <v>yezith.spj@hotmail.com</v>
      </c>
      <c r="F20" s="41" t="str">
        <f>Data!K18</f>
        <v>ENE 6234 OPEX SOT-SOC</v>
      </c>
      <c r="G20" s="33" t="str">
        <f>Data!M18</f>
        <v>Tiempo en ralentí</v>
      </c>
      <c r="H20" s="41" t="str">
        <f>Data!P18</f>
        <v>San Pedro de Jagua - Medina #3-87, Medina, Cundinamarca, Colombia</v>
      </c>
      <c r="I20" s="42">
        <f>Data!Q18</f>
        <v>0</v>
      </c>
      <c r="J20" s="43">
        <f>Data!S18</f>
        <v>46174.746215277781</v>
      </c>
      <c r="K20" s="44">
        <f>Data!S18</f>
        <v>46174.746215277781</v>
      </c>
      <c r="L20" s="45">
        <f>Data!T18</f>
        <v>5.37037037037037E-3</v>
      </c>
      <c r="M20" s="46">
        <f>Data!U18</f>
        <v>0</v>
      </c>
      <c r="N20" s="46" t="str">
        <f>CONCATENATE(Data!W18," (",Data!V18,")")</f>
        <v>Tiempo en ralentí (Ignición: 1.00)</v>
      </c>
      <c r="O20" s="42" t="str">
        <f>IF(Data!V18&lt;&gt;"",N20,Data!W18)</f>
        <v>Tiempo en ralentí (Ignición: 1.00)</v>
      </c>
      <c r="P20" s="47" t="str">
        <f>Data!X18</f>
        <v>Válido</v>
      </c>
    </row>
    <row r="21" spans="1:16">
      <c r="A21" s="41" t="str">
        <f>Data!A19</f>
        <v>NPV257</v>
      </c>
      <c r="B21" s="41" t="str">
        <f>Data!D19</f>
        <v>Vehicle, Diesel, ENE 6234 OPEX SOT-SOC</v>
      </c>
      <c r="C21" s="41" t="str">
        <f>Data!F19</f>
        <v>Jose Yezith</v>
      </c>
      <c r="D21" s="41" t="str">
        <f>Data!G19</f>
        <v>Córdoba Leon</v>
      </c>
      <c r="E21" s="41" t="str">
        <f>Data!H19</f>
        <v>yezith.spj@hotmail.com</v>
      </c>
      <c r="F21" s="41" t="str">
        <f>Data!K19</f>
        <v>ENE 6234 OPEX SOT-SOC</v>
      </c>
      <c r="G21" s="33" t="str">
        <f>Data!M19</f>
        <v>Tiempo en ralentí</v>
      </c>
      <c r="H21" s="41" t="str">
        <f>Data!P19</f>
        <v>San Pedro de Jagua - Medina, Medina, Cundinamarca, Colombia</v>
      </c>
      <c r="I21" s="42">
        <f>Data!Q19</f>
        <v>0</v>
      </c>
      <c r="J21" s="43">
        <f>Data!S19</f>
        <v>46174.871307870373</v>
      </c>
      <c r="K21" s="44">
        <f>Data!S19</f>
        <v>46174.871307870373</v>
      </c>
      <c r="L21" s="45">
        <f>Data!T19</f>
        <v>1.0204479166666667E-2</v>
      </c>
      <c r="M21" s="46">
        <f>Data!U19</f>
        <v>0</v>
      </c>
      <c r="N21" s="46" t="str">
        <f>CONCATENATE(Data!W19," (",Data!V19,")")</f>
        <v>Tiempo en ralentí (Ignición: 1.00)</v>
      </c>
      <c r="O21" s="42" t="str">
        <f>IF(Data!V19&lt;&gt;"",N21,Data!W19)</f>
        <v>Tiempo en ralentí (Ignición: 1.00)</v>
      </c>
      <c r="P21" s="47" t="str">
        <f>Data!X19</f>
        <v>Válido</v>
      </c>
    </row>
    <row r="22" spans="1:16">
      <c r="A22" s="41" t="str">
        <f>Data!A20</f>
        <v>NPY484</v>
      </c>
      <c r="B22" s="41" t="str">
        <f>Data!D20</f>
        <v>Vehicle, Diesel, Cabinas</v>
      </c>
      <c r="C22" s="41">
        <f>Data!F20</f>
        <v>0</v>
      </c>
      <c r="D22" s="41">
        <f>Data!G20</f>
        <v>0</v>
      </c>
      <c r="E22" s="41">
        <f>Data!H20</f>
        <v>0</v>
      </c>
      <c r="F22" s="41">
        <f>Data!K20</f>
        <v>0</v>
      </c>
      <c r="G22" s="33" t="str">
        <f>Data!M20</f>
        <v>Engine Fault Exception</v>
      </c>
      <c r="H22" s="41" t="str">
        <f>Data!P20</f>
        <v>Equipo liviano - Cerrejón, Cerrejon Cerca 1: taller liviano, Maicao, La Guajira, Colombia</v>
      </c>
      <c r="I22" s="42" t="str">
        <f>Data!Q20</f>
        <v>Cliente, Vel Max 60 Km/h</v>
      </c>
      <c r="J22" s="43">
        <f>Data!S20</f>
        <v>46174.292129629626</v>
      </c>
      <c r="K22" s="44">
        <f>Data!S20</f>
        <v>46174.292129629626</v>
      </c>
      <c r="L22" s="45">
        <f>Data!T20</f>
        <v>0</v>
      </c>
      <c r="M22" s="46">
        <f>Data!U20</f>
        <v>0</v>
      </c>
      <c r="N22" s="46" t="str">
        <f>CONCATENATE(Data!W20," (",Data!V20,")")</f>
        <v>Engine Fault Exception (Fallo de dispositivo telemático: Se eliminó toda la energía y se reinició el dispositivo)</v>
      </c>
      <c r="O22" s="42" t="str">
        <f>IF(Data!V20&lt;&gt;"",N22,Data!W20)</f>
        <v>Engine Fault Exception (Fallo de dispositivo telemático: Se eliminó toda la energía y se reinició el dispositivo)</v>
      </c>
      <c r="P22" s="47" t="str">
        <f>Data!X20</f>
        <v>Válido</v>
      </c>
    </row>
    <row r="23" spans="1:16">
      <c r="A23" s="41" t="str">
        <f>Data!A21</f>
        <v>NPY484</v>
      </c>
      <c r="B23" s="41" t="str">
        <f>Data!D21</f>
        <v>Vehicle, Diesel, Cabinas</v>
      </c>
      <c r="C23" s="41">
        <f>Data!F21</f>
        <v>0</v>
      </c>
      <c r="D23" s="41">
        <f>Data!G21</f>
        <v>0</v>
      </c>
      <c r="E23" s="41">
        <f>Data!H21</f>
        <v>0</v>
      </c>
      <c r="F23" s="41">
        <f>Data!K21</f>
        <v>0</v>
      </c>
      <c r="G23" s="33" t="str">
        <f>Data!M21</f>
        <v>Tiempo en ralentí</v>
      </c>
      <c r="H23" s="41" t="str">
        <f>Data!P21</f>
        <v>Equipo liviano - Cerrejón, Cerrejon Cerca 1: taller liviano, Maicao, La Guajira, Colombia</v>
      </c>
      <c r="I23" s="42" t="str">
        <f>Data!Q21</f>
        <v>Cliente, Vel Max 60 Km/h</v>
      </c>
      <c r="J23" s="43">
        <f>Data!S21</f>
        <v>46174.293229166666</v>
      </c>
      <c r="K23" s="44">
        <f>Data!S21</f>
        <v>46174.293229166666</v>
      </c>
      <c r="L23" s="45">
        <f>Data!T21</f>
        <v>1.0335648148148148E-2</v>
      </c>
      <c r="M23" s="46">
        <f>Data!U21</f>
        <v>2.469366230070591E-2</v>
      </c>
      <c r="N23" s="46" t="str">
        <f>CONCATENATE(Data!W21," (",Data!V21,")")</f>
        <v>Tiempo en ralentí (Ignición: 1.00)</v>
      </c>
      <c r="O23" s="42" t="str">
        <f>IF(Data!V21&lt;&gt;"",N23,Data!W21)</f>
        <v>Tiempo en ralentí (Ignición: 1.00)</v>
      </c>
      <c r="P23" s="47" t="str">
        <f>Data!X21</f>
        <v>Válido</v>
      </c>
    </row>
    <row r="24" spans="1:16">
      <c r="A24" s="41" t="str">
        <f>Data!A22</f>
        <v>NPY484</v>
      </c>
      <c r="B24" s="41" t="str">
        <f>Data!D22</f>
        <v>Vehicle, Diesel, Cabinas</v>
      </c>
      <c r="C24" s="41">
        <f>Data!F22</f>
        <v>0</v>
      </c>
      <c r="D24" s="41">
        <f>Data!G22</f>
        <v>0</v>
      </c>
      <c r="E24" s="41">
        <f>Data!H22</f>
        <v>0</v>
      </c>
      <c r="F24" s="41">
        <f>Data!K22</f>
        <v>0</v>
      </c>
      <c r="G24" s="33" t="str">
        <f>Data!M22</f>
        <v>Engine Fault Exception</v>
      </c>
      <c r="H24" s="41" t="str">
        <f>Data!P22</f>
        <v>Cerrejon Cerca 1, Coexito - indutrónica - Cerrejón: 49M9+5C, Maicao, La Guajira, Colombia</v>
      </c>
      <c r="I24" s="42" t="str">
        <f>Data!Q22</f>
        <v>Vel Max 60 Km/h, Cliente</v>
      </c>
      <c r="J24" s="43">
        <f>Data!S22</f>
        <v>46174.663854166669</v>
      </c>
      <c r="K24" s="44">
        <f>Data!S22</f>
        <v>46174.663854166669</v>
      </c>
      <c r="L24" s="45">
        <f>Data!T22</f>
        <v>0</v>
      </c>
      <c r="M24" s="46">
        <f>Data!U22</f>
        <v>0</v>
      </c>
      <c r="N24" s="46" t="str">
        <f>CONCATENATE(Data!W22," (",Data!V22,")")</f>
        <v>Engine Fault Exception (Fallo de dispositivo telemático: Se eliminó toda la energía y se reinició el dispositivo)</v>
      </c>
      <c r="O24" s="42" t="str">
        <f>IF(Data!V22&lt;&gt;"",N24,Data!W22)</f>
        <v>Engine Fault Exception (Fallo de dispositivo telemático: Se eliminó toda la energía y se reinició el dispositivo)</v>
      </c>
      <c r="P24" s="47" t="str">
        <f>Data!X22</f>
        <v>Válido</v>
      </c>
    </row>
    <row r="25" spans="1:16">
      <c r="A25" s="41" t="str">
        <f>Data!A23</f>
        <v>NPY484</v>
      </c>
      <c r="B25" s="41" t="str">
        <f>Data!D23</f>
        <v>Vehicle, Diesel, Cabinas</v>
      </c>
      <c r="C25" s="41">
        <f>Data!F23</f>
        <v>0</v>
      </c>
      <c r="D25" s="41">
        <f>Data!G23</f>
        <v>0</v>
      </c>
      <c r="E25" s="41">
        <f>Data!H23</f>
        <v>0</v>
      </c>
      <c r="F25" s="41">
        <f>Data!K23</f>
        <v>0</v>
      </c>
      <c r="G25" s="33" t="str">
        <f>Data!M23</f>
        <v>Exceso Velocidad 60 Km/h</v>
      </c>
      <c r="H25" s="41" t="str">
        <f>Data!P23</f>
        <v>Cerrejon Cerca 1: A Taller de Equipo Liviano, Maicao, La Guajira, Colombia</v>
      </c>
      <c r="I25" s="42" t="str">
        <f>Data!Q23</f>
        <v>Vel Max 60 Km/h</v>
      </c>
      <c r="J25" s="43">
        <f>Data!S23</f>
        <v>46174.718159722222</v>
      </c>
      <c r="K25" s="44">
        <f>Data!S23</f>
        <v>46174.718159722222</v>
      </c>
      <c r="L25" s="45">
        <f>Data!T23</f>
        <v>1.3310195185185187E-4</v>
      </c>
      <c r="M25" s="46">
        <f>Data!U23</f>
        <v>0.19335001707077026</v>
      </c>
      <c r="N25" s="46" t="str">
        <f>CONCATENATE(Data!W23," (",Data!V23,")")</f>
        <v>Exceso Velocidad 60 Km/h (Velocidad máxima: 61 kmh)</v>
      </c>
      <c r="O25" s="42" t="str">
        <f>IF(Data!V23&lt;&gt;"",N25,Data!W23)</f>
        <v>Exceso Velocidad 60 Km/h (Velocidad máxima: 61 kmh)</v>
      </c>
      <c r="P25" s="47" t="str">
        <f>Data!X23</f>
        <v>Válido</v>
      </c>
    </row>
    <row r="26" spans="1:16">
      <c r="A26" s="41" t="str">
        <f>Data!A24</f>
        <v>NPY484</v>
      </c>
      <c r="B26" s="41" t="str">
        <f>Data!D24</f>
        <v>Vehicle, Diesel, Cabinas</v>
      </c>
      <c r="C26" s="41">
        <f>Data!F24</f>
        <v>0</v>
      </c>
      <c r="D26" s="41">
        <f>Data!G24</f>
        <v>0</v>
      </c>
      <c r="E26" s="41">
        <f>Data!H24</f>
        <v>0</v>
      </c>
      <c r="F26" s="41">
        <f>Data!K24</f>
        <v>0</v>
      </c>
      <c r="G26" s="33" t="str">
        <f>Data!M24</f>
        <v>Exceso Velocidad 10 Km/h</v>
      </c>
      <c r="H26" s="41" t="str">
        <f>Data!P24</f>
        <v>Papa 1 -Cerrejon, Cerrejon Cerca 1, Acceso Garita P1: Cra. 2, Maicao, La Guajira, Colombia</v>
      </c>
      <c r="I26" s="42" t="str">
        <f>Data!Q24</f>
        <v>Vel Max 10 Km/h, Vel Max 60 Km/h, Cliente</v>
      </c>
      <c r="J26" s="43">
        <f>Data!S24</f>
        <v>46174.720660752311</v>
      </c>
      <c r="K26" s="44">
        <f>Data!S24</f>
        <v>46174.720660752311</v>
      </c>
      <c r="L26" s="45">
        <f>Data!T24</f>
        <v>1.378587962962963E-4</v>
      </c>
      <c r="M26" s="46">
        <f>Data!U24</f>
        <v>6.5561726689338684E-2</v>
      </c>
      <c r="N26" s="46" t="str">
        <f>CONCATENATE(Data!W24," (",Data!V24,")")</f>
        <v>Exceso Velocidad 10 Km/h (Velocidad máxima: 23 kmh)</v>
      </c>
      <c r="O26" s="42" t="str">
        <f>IF(Data!V24&lt;&gt;"",N26,Data!W24)</f>
        <v>Exceso Velocidad 10 Km/h (Velocidad máxima: 23 kmh)</v>
      </c>
      <c r="P26" s="47" t="str">
        <f>Data!X24</f>
        <v>Válido</v>
      </c>
    </row>
    <row r="27" spans="1:16">
      <c r="A27" s="41" t="str">
        <f>Data!A25</f>
        <v>NPY672</v>
      </c>
      <c r="B27" s="41" t="str">
        <f>Data!D25</f>
        <v>Vehicle, Diesel, GMA CENTRO</v>
      </c>
      <c r="C27" s="41">
        <f>Data!F25</f>
        <v>0</v>
      </c>
      <c r="D27" s="41">
        <f>Data!G25</f>
        <v>0</v>
      </c>
      <c r="E27" s="41">
        <f>Data!H25</f>
        <v>0</v>
      </c>
      <c r="F27" s="41">
        <f>Data!K25</f>
        <v>0</v>
      </c>
      <c r="G27" s="33" t="str">
        <f>Data!M25</f>
        <v>Engine Fault Exception</v>
      </c>
      <c r="H27" s="41" t="str">
        <f>Data!P25</f>
        <v>Cra. 22 #76-20, Barrancabermeja, Santander, Colombia</v>
      </c>
      <c r="I27" s="42">
        <f>Data!Q25</f>
        <v>0</v>
      </c>
      <c r="J27" s="43">
        <f>Data!S25</f>
        <v>46174.324097222219</v>
      </c>
      <c r="K27" s="44">
        <f>Data!S25</f>
        <v>46174.324097222219</v>
      </c>
      <c r="L27" s="45">
        <f>Data!T25</f>
        <v>0</v>
      </c>
      <c r="M27" s="46">
        <f>Data!U25</f>
        <v>0</v>
      </c>
      <c r="N27" s="46" t="str">
        <f>CONCATENATE(Data!W25," (",Data!V25,")")</f>
        <v>Engine Fault Exception (Fallo de dispositivo telemático: El dispositivo telemático está desconectado)</v>
      </c>
      <c r="O27" s="42" t="str">
        <f>IF(Data!V25&lt;&gt;"",N27,Data!W25)</f>
        <v>Engine Fault Exception (Fallo de dispositivo telemático: El dispositivo telemático está desconectado)</v>
      </c>
      <c r="P27" s="47" t="str">
        <f>Data!X25</f>
        <v>Válido</v>
      </c>
    </row>
    <row r="28" spans="1:16">
      <c r="A28" s="41" t="str">
        <f>Data!A26</f>
        <v>NPY672</v>
      </c>
      <c r="B28" s="41" t="str">
        <f>Data!D26</f>
        <v>Vehicle, Diesel, GMA CENTRO</v>
      </c>
      <c r="C28" s="41">
        <f>Data!F26</f>
        <v>0</v>
      </c>
      <c r="D28" s="41">
        <f>Data!G26</f>
        <v>0</v>
      </c>
      <c r="E28" s="41">
        <f>Data!H26</f>
        <v>0</v>
      </c>
      <c r="F28" s="41">
        <f>Data!K26</f>
        <v>0</v>
      </c>
      <c r="G28" s="33" t="str">
        <f>Data!M26</f>
        <v>Engine Fault Exception</v>
      </c>
      <c r="H28" s="41" t="str">
        <f>Data!P26</f>
        <v>Cra. 22 #76-20, Barrancabermeja, Santander, Colombia</v>
      </c>
      <c r="I28" s="42">
        <f>Data!Q26</f>
        <v>0</v>
      </c>
      <c r="J28" s="43">
        <f>Data!S26</f>
        <v>46174.324502314812</v>
      </c>
      <c r="K28" s="44">
        <f>Data!S26</f>
        <v>46174.324502314812</v>
      </c>
      <c r="L28" s="45">
        <f>Data!T26</f>
        <v>0</v>
      </c>
      <c r="M28" s="46">
        <f>Data!U26</f>
        <v>0</v>
      </c>
      <c r="N28" s="46" t="str">
        <f>CONCATENATE(Data!W26," (",Data!V26,")")</f>
        <v>Engine Fault Exception (Fallo de dispositivo telemático: Se eliminó toda la energía y se reinició el dispositivo)</v>
      </c>
      <c r="O28" s="42" t="str">
        <f>IF(Data!V26&lt;&gt;"",N28,Data!W26)</f>
        <v>Engine Fault Exception (Fallo de dispositivo telemático: Se eliminó toda la energía y se reinició el dispositivo)</v>
      </c>
      <c r="P28" s="47" t="str">
        <f>Data!X26</f>
        <v>Válido</v>
      </c>
    </row>
    <row r="29" spans="1:16">
      <c r="A29" s="41" t="str">
        <f>Data!A27</f>
        <v>NPY672</v>
      </c>
      <c r="B29" s="41" t="str">
        <f>Data!D27</f>
        <v>Vehicle, Diesel, GMA CENTRO</v>
      </c>
      <c r="C29" s="41">
        <f>Data!F27</f>
        <v>0</v>
      </c>
      <c r="D29" s="41">
        <f>Data!G27</f>
        <v>0</v>
      </c>
      <c r="E29" s="41">
        <f>Data!H27</f>
        <v>0</v>
      </c>
      <c r="F29" s="41">
        <f>Data!K27</f>
        <v>0</v>
      </c>
      <c r="G29" s="33" t="str">
        <f>Data!M27</f>
        <v>Exceso de velocidad (nuevo)</v>
      </c>
      <c r="H29" s="41" t="str">
        <f>Data!P27</f>
        <v>Tv. 29 # 63-31, Barrancabermeja, Santander, Colombia</v>
      </c>
      <c r="I29" s="42">
        <f>Data!Q27</f>
        <v>0</v>
      </c>
      <c r="J29" s="43">
        <f>Data!S27</f>
        <v>46174.331199849534</v>
      </c>
      <c r="K29" s="44">
        <f>Data!S27</f>
        <v>46174.331199849534</v>
      </c>
      <c r="L29" s="45">
        <f>Data!T27</f>
        <v>9.9340277777777784E-5</v>
      </c>
      <c r="M29" s="46">
        <f>Data!U27</f>
        <v>9.3072600662708282E-2</v>
      </c>
      <c r="N29" s="46" t="str">
        <f>CONCATENATE(Data!W27," (",Data!V27,")")</f>
        <v>Exceso de velocidad (nuevo) (Velocidad máxima: 42 kmh (Velocidad máxima en carretera: 30 kmh))</v>
      </c>
      <c r="O29" s="42" t="str">
        <f>IF(Data!V27&lt;&gt;"",N29,Data!W27)</f>
        <v>Exceso de velocidad (nuevo) (Velocidad máxima: 42 kmh (Velocidad máxima en carretera: 30 kmh))</v>
      </c>
      <c r="P29" s="47" t="str">
        <f>Data!X27</f>
        <v>Válido</v>
      </c>
    </row>
    <row r="30" spans="1:16">
      <c r="A30" s="41" t="str">
        <f>Data!A28</f>
        <v>NPY672</v>
      </c>
      <c r="B30" s="41" t="str">
        <f>Data!D28</f>
        <v>Vehicle, Diesel, GMA CENTRO</v>
      </c>
      <c r="C30" s="41">
        <f>Data!F28</f>
        <v>0</v>
      </c>
      <c r="D30" s="41">
        <f>Data!G28</f>
        <v>0</v>
      </c>
      <c r="E30" s="41">
        <f>Data!H28</f>
        <v>0</v>
      </c>
      <c r="F30" s="41">
        <f>Data!K28</f>
        <v>0</v>
      </c>
      <c r="G30" s="33" t="str">
        <f>Data!M28</f>
        <v>Engine Fault Exception</v>
      </c>
      <c r="H30" s="41" t="str">
        <f>Data!P28</f>
        <v>Tv. 29 #612, Barrancabermeja, Santander, Colombia</v>
      </c>
      <c r="I30" s="42">
        <f>Data!Q28</f>
        <v>0</v>
      </c>
      <c r="J30" s="43">
        <f>Data!S28</f>
        <v>46174.371261574073</v>
      </c>
      <c r="K30" s="44">
        <f>Data!S28</f>
        <v>46174.371261574073</v>
      </c>
      <c r="L30" s="45">
        <f>Data!T28</f>
        <v>0</v>
      </c>
      <c r="M30" s="46">
        <f>Data!U28</f>
        <v>0</v>
      </c>
      <c r="N30" s="46" t="str">
        <f>CONCATENATE(Data!W28," (",Data!V28,")")</f>
        <v>Engine Fault Exception (Fallo de dispositivo telemático: Se eliminó toda la energía y se reinició el dispositivo)</v>
      </c>
      <c r="O30" s="42" t="str">
        <f>IF(Data!V28&lt;&gt;"",N30,Data!W28)</f>
        <v>Engine Fault Exception (Fallo de dispositivo telemático: Se eliminó toda la energía y se reinició el dispositivo)</v>
      </c>
      <c r="P30" s="47" t="str">
        <f>Data!X28</f>
        <v>Válido</v>
      </c>
    </row>
    <row r="31" spans="1:16">
      <c r="A31" s="41" t="str">
        <f>Data!A29</f>
        <v>NPY672</v>
      </c>
      <c r="B31" s="41" t="str">
        <f>Data!D29</f>
        <v>Vehicle, Diesel, GMA CENTRO</v>
      </c>
      <c r="C31" s="41">
        <f>Data!F29</f>
        <v>0</v>
      </c>
      <c r="D31" s="41">
        <f>Data!G29</f>
        <v>0</v>
      </c>
      <c r="E31" s="41">
        <f>Data!H29</f>
        <v>0</v>
      </c>
      <c r="F31" s="41">
        <f>Data!K29</f>
        <v>0</v>
      </c>
      <c r="G31" s="33" t="str">
        <f>Data!M29</f>
        <v>Exceso de velocidad (nuevo)</v>
      </c>
      <c r="H31" s="41" t="str">
        <f>Data!P29</f>
        <v>CI. 60 # 35-95, Barrancabermeja, Santander, Colombia</v>
      </c>
      <c r="I31" s="42">
        <f>Data!Q29</f>
        <v>0</v>
      </c>
      <c r="J31" s="43">
        <f>Data!S29</f>
        <v>46174.415160590281</v>
      </c>
      <c r="K31" s="44">
        <f>Data!S29</f>
        <v>46174.415160590281</v>
      </c>
      <c r="L31" s="45">
        <f>Data!T29</f>
        <v>1.0666666666666667E-4</v>
      </c>
      <c r="M31" s="46">
        <f>Data!U29</f>
        <v>9.6195898950099945E-2</v>
      </c>
      <c r="N31" s="46" t="str">
        <f>CONCATENATE(Data!W29," (",Data!V29,")")</f>
        <v>Exceso de velocidad (nuevo) (Velocidad máxima: 41 kmh (Velocidad máxima en carretera: 30 kmh))</v>
      </c>
      <c r="O31" s="42" t="str">
        <f>IF(Data!V29&lt;&gt;"",N31,Data!W29)</f>
        <v>Exceso de velocidad (nuevo) (Velocidad máxima: 41 kmh (Velocidad máxima en carretera: 30 kmh))</v>
      </c>
      <c r="P31" s="47" t="str">
        <f>Data!X29</f>
        <v>Válido</v>
      </c>
    </row>
    <row r="32" spans="1:16">
      <c r="A32" s="41" t="str">
        <f>Data!A30</f>
        <v>NPY672</v>
      </c>
      <c r="B32" s="41" t="str">
        <f>Data!D30</f>
        <v>Vehicle, Diesel, GMA CENTRO</v>
      </c>
      <c r="C32" s="41">
        <f>Data!F30</f>
        <v>0</v>
      </c>
      <c r="D32" s="41">
        <f>Data!G30</f>
        <v>0</v>
      </c>
      <c r="E32" s="41">
        <f>Data!H30</f>
        <v>0</v>
      </c>
      <c r="F32" s="41">
        <f>Data!K30</f>
        <v>0</v>
      </c>
      <c r="G32" s="33" t="str">
        <f>Data!M30</f>
        <v>Exceso Velocidad 10 Km/h</v>
      </c>
      <c r="H32" s="41" t="str">
        <f>Data!P30</f>
        <v>BODEGA BARRANCA: Cra. 30 #24, Barrancabermeja, Santander, Colombia</v>
      </c>
      <c r="I32" s="42" t="str">
        <f>Data!Q30</f>
        <v>Vel Max 10 Km/h</v>
      </c>
      <c r="J32" s="43">
        <f>Data!S30</f>
        <v>46174.419490011576</v>
      </c>
      <c r="K32" s="44">
        <f>Data!S30</f>
        <v>46174.419490011576</v>
      </c>
      <c r="L32" s="45">
        <f>Data!T30</f>
        <v>7.2916666666666664E-7</v>
      </c>
      <c r="M32" s="46">
        <f>Data!U30</f>
        <v>2.0554753427859396E-4</v>
      </c>
      <c r="N32" s="46" t="str">
        <f>CONCATENATE(Data!W30," (",Data!V30,")")</f>
        <v>Exceso Velocidad 10 Km/h (Velocidad máxima: 10 kmh)</v>
      </c>
      <c r="O32" s="42" t="str">
        <f>IF(Data!V30&lt;&gt;"",N32,Data!W30)</f>
        <v>Exceso Velocidad 10 Km/h (Velocidad máxima: 10 kmh)</v>
      </c>
      <c r="P32" s="47" t="str">
        <f>Data!X30</f>
        <v>Válido</v>
      </c>
    </row>
    <row r="33" spans="1:16">
      <c r="A33" s="41" t="str">
        <f>Data!A31</f>
        <v>NPY672</v>
      </c>
      <c r="B33" s="41" t="str">
        <f>Data!D31</f>
        <v>Vehicle, Diesel, GMA CENTRO</v>
      </c>
      <c r="C33" s="41">
        <f>Data!F31</f>
        <v>0</v>
      </c>
      <c r="D33" s="41">
        <f>Data!G31</f>
        <v>0</v>
      </c>
      <c r="E33" s="41">
        <f>Data!H31</f>
        <v>0</v>
      </c>
      <c r="F33" s="41">
        <f>Data!K31</f>
        <v>0</v>
      </c>
      <c r="G33" s="33" t="str">
        <f>Data!M31</f>
        <v>Exceso Velocidad 10 Km/h</v>
      </c>
      <c r="H33" s="41" t="str">
        <f>Data!P31</f>
        <v>BODEGA BARRANCA: Cra. 30 # 75-135, Barrancabermeja, Santander, Colombia</v>
      </c>
      <c r="I33" s="42" t="str">
        <f>Data!Q31</f>
        <v>Vel Max 10 Km/h</v>
      </c>
      <c r="J33" s="43">
        <f>Data!S31</f>
        <v>46174.420496030092</v>
      </c>
      <c r="K33" s="44">
        <f>Data!S31</f>
        <v>46174.420496030092</v>
      </c>
      <c r="L33" s="45">
        <f>Data!T31</f>
        <v>1.8497685185185186E-4</v>
      </c>
      <c r="M33" s="46">
        <f>Data!U31</f>
        <v>5.6960124522447586E-2</v>
      </c>
      <c r="N33" s="46" t="str">
        <f>CONCATENATE(Data!W31," (",Data!V31,")")</f>
        <v>Exceso Velocidad 10 Km/h (Velocidad máxima: 14 kmh)</v>
      </c>
      <c r="O33" s="42" t="str">
        <f>IF(Data!V31&lt;&gt;"",N33,Data!W31)</f>
        <v>Exceso Velocidad 10 Km/h (Velocidad máxima: 14 kmh)</v>
      </c>
      <c r="P33" s="47" t="str">
        <f>Data!X31</f>
        <v>Válido</v>
      </c>
    </row>
    <row r="34" spans="1:16">
      <c r="A34" s="41" t="str">
        <f>Data!A32</f>
        <v>NPY672</v>
      </c>
      <c r="B34" s="41" t="str">
        <f>Data!D32</f>
        <v>Vehicle, Diesel, GMA CENTRO</v>
      </c>
      <c r="C34" s="41">
        <f>Data!F32</f>
        <v>0</v>
      </c>
      <c r="D34" s="41">
        <f>Data!G32</f>
        <v>0</v>
      </c>
      <c r="E34" s="41">
        <f>Data!H32</f>
        <v>0</v>
      </c>
      <c r="F34" s="41">
        <f>Data!K32</f>
        <v>0</v>
      </c>
      <c r="G34" s="33" t="str">
        <f>Data!M32</f>
        <v>Exceso de velocidad (nuevo)</v>
      </c>
      <c r="H34" s="41" t="str">
        <f>Data!P32</f>
        <v>Cra. 31 #63-03, Barrancabermeja, Santander, Colombia</v>
      </c>
      <c r="I34" s="42">
        <f>Data!Q32</f>
        <v>0</v>
      </c>
      <c r="J34" s="43">
        <f>Data!S32</f>
        <v>46174.571700497683</v>
      </c>
      <c r="K34" s="44">
        <f>Data!S32</f>
        <v>46174.571700497683</v>
      </c>
      <c r="L34" s="45">
        <f>Data!T32</f>
        <v>1.9833333333333332E-4</v>
      </c>
      <c r="M34" s="46">
        <f>Data!U32</f>
        <v>0.1778407096862793</v>
      </c>
      <c r="N34" s="46" t="str">
        <f>CONCATENATE(Data!W32," (",Data!V32,")")</f>
        <v>Exceso de velocidad (nuevo) (Velocidad máxima: 39 kmh (Velocidad máxima en carretera: 30 kmh))</v>
      </c>
      <c r="O34" s="42" t="str">
        <f>IF(Data!V32&lt;&gt;"",N34,Data!W32)</f>
        <v>Exceso de velocidad (nuevo) (Velocidad máxima: 39 kmh (Velocidad máxima en carretera: 30 kmh))</v>
      </c>
      <c r="P34" s="47" t="str">
        <f>Data!X32</f>
        <v>Válido</v>
      </c>
    </row>
    <row r="35" spans="1:16">
      <c r="A35" s="41" t="str">
        <f>Data!A33</f>
        <v>NPY672</v>
      </c>
      <c r="B35" s="41" t="str">
        <f>Data!D33</f>
        <v>Vehicle, Diesel, GMA CENTRO</v>
      </c>
      <c r="C35" s="41">
        <f>Data!F33</f>
        <v>0</v>
      </c>
      <c r="D35" s="41">
        <f>Data!G33</f>
        <v>0</v>
      </c>
      <c r="E35" s="41">
        <f>Data!H33</f>
        <v>0</v>
      </c>
      <c r="F35" s="41">
        <f>Data!K33</f>
        <v>0</v>
      </c>
      <c r="G35" s="33" t="str">
        <f>Data!M33</f>
        <v>Exceso de velocidad (nuevo)</v>
      </c>
      <c r="H35" s="41" t="str">
        <f>Data!P33</f>
        <v>Cra. 61 # 42D-42, Barrancabermeja, Santander, Colombia</v>
      </c>
      <c r="I35" s="42">
        <f>Data!Q33</f>
        <v>0</v>
      </c>
      <c r="J35" s="43">
        <f>Data!S33</f>
        <v>46174.59161747685</v>
      </c>
      <c r="K35" s="44">
        <f>Data!S33</f>
        <v>46174.59161747685</v>
      </c>
      <c r="L35" s="45">
        <f>Data!T33</f>
        <v>9.4039351851851852E-5</v>
      </c>
      <c r="M35" s="46">
        <f>Data!U33</f>
        <v>8.7702341377735138E-2</v>
      </c>
      <c r="N35" s="46" t="str">
        <f>CONCATENATE(Data!W33," (",Data!V33,")")</f>
        <v>Exceso de velocidad (nuevo) (Velocidad máxima: 41 kmh (Velocidad máxima en carretera: 30 kmh))</v>
      </c>
      <c r="O35" s="42" t="str">
        <f>IF(Data!V33&lt;&gt;"",N35,Data!W33)</f>
        <v>Exceso de velocidad (nuevo) (Velocidad máxima: 41 kmh (Velocidad máxima en carretera: 30 kmh))</v>
      </c>
      <c r="P35" s="47" t="str">
        <f>Data!X33</f>
        <v>Válido</v>
      </c>
    </row>
    <row r="36" spans="1:16">
      <c r="A36" s="41" t="str">
        <f>Data!A34</f>
        <v>NPY672</v>
      </c>
      <c r="B36" s="41" t="str">
        <f>Data!D34</f>
        <v>Vehicle, Diesel, GMA CENTRO</v>
      </c>
      <c r="C36" s="41">
        <f>Data!F34</f>
        <v>0</v>
      </c>
      <c r="D36" s="41">
        <f>Data!G34</f>
        <v>0</v>
      </c>
      <c r="E36" s="41">
        <f>Data!H34</f>
        <v>0</v>
      </c>
      <c r="F36" s="41">
        <f>Data!K34</f>
        <v>0</v>
      </c>
      <c r="G36" s="33" t="str">
        <f>Data!M34</f>
        <v>Tiempo en ralentí</v>
      </c>
      <c r="H36" s="41" t="str">
        <f>Data!P34</f>
        <v>45, San Alberto, Cesar, Colombia</v>
      </c>
      <c r="I36" s="42">
        <f>Data!Q34</f>
        <v>0</v>
      </c>
      <c r="J36" s="43">
        <f>Data!S34</f>
        <v>46174.720509259256</v>
      </c>
      <c r="K36" s="44">
        <f>Data!S34</f>
        <v>46174.720509259256</v>
      </c>
      <c r="L36" s="45">
        <f>Data!T34</f>
        <v>3.5756597222222223E-3</v>
      </c>
      <c r="M36" s="46">
        <f>Data!U34</f>
        <v>0</v>
      </c>
      <c r="N36" s="46" t="str">
        <f>CONCATENATE(Data!W34," (",Data!V34,")")</f>
        <v>Tiempo en ralentí (Ignición: 1.00)</v>
      </c>
      <c r="O36" s="42" t="str">
        <f>IF(Data!V34&lt;&gt;"",N36,Data!W34)</f>
        <v>Tiempo en ralentí (Ignición: 1.00)</v>
      </c>
      <c r="P36" s="47" t="str">
        <f>Data!X34</f>
        <v>Válido</v>
      </c>
    </row>
    <row r="37" spans="1:16">
      <c r="A37" s="41" t="str">
        <f>Data!A35</f>
        <v>NPY672</v>
      </c>
      <c r="B37" s="41" t="str">
        <f>Data!D35</f>
        <v>Vehicle, Diesel, GMA CENTRO</v>
      </c>
      <c r="C37" s="41">
        <f>Data!F35</f>
        <v>0</v>
      </c>
      <c r="D37" s="41">
        <f>Data!G35</f>
        <v>0</v>
      </c>
      <c r="E37" s="41">
        <f>Data!H35</f>
        <v>0</v>
      </c>
      <c r="F37" s="41">
        <f>Data!K35</f>
        <v>0</v>
      </c>
      <c r="G37" s="33" t="str">
        <f>Data!M35</f>
        <v>Frenado brusco (nuevo)</v>
      </c>
      <c r="H37" s="41" t="str">
        <f>Data!P35</f>
        <v>45, San Alberto, Cesar, Colombia</v>
      </c>
      <c r="I37" s="42">
        <f>Data!Q35</f>
        <v>0</v>
      </c>
      <c r="J37" s="43">
        <f>Data!S35</f>
        <v>46174.733796296299</v>
      </c>
      <c r="K37" s="44">
        <f>Data!S35</f>
        <v>46174.733796296299</v>
      </c>
      <c r="L37" s="45">
        <f>Data!T35</f>
        <v>0</v>
      </c>
      <c r="M37" s="46">
        <f>Data!U35</f>
        <v>0</v>
      </c>
      <c r="N37" s="46" t="str">
        <f>CONCATENATE(Data!W35," (",Data!V35,")")</f>
        <v>Frenado brusco (nuevo) (Clase de vehículo para métricas de seguridad: Otra clase (no estandarizada), Velocidad máxima: 28 kmh,  Ignición: 1)</v>
      </c>
      <c r="O37" s="42" t="str">
        <f>IF(Data!V35&lt;&gt;"",N37,Data!W35)</f>
        <v>Frenado brusco (nuevo) (Clase de vehículo para métricas de seguridad: Otra clase (no estandarizada), Velocidad máxima: 28 kmh,  Ignición: 1)</v>
      </c>
      <c r="P37" s="47" t="str">
        <f>Data!X35</f>
        <v>Válido</v>
      </c>
    </row>
    <row r="38" spans="1:16">
      <c r="A38" s="41" t="str">
        <f>Data!A36</f>
        <v>NPY686</v>
      </c>
      <c r="B38" s="41" t="str">
        <f>Data!D36</f>
        <v>Vehicle, Diesel, GMA CENTRO</v>
      </c>
      <c r="C38" s="41">
        <f>Data!F36</f>
        <v>0</v>
      </c>
      <c r="D38" s="41">
        <f>Data!G36</f>
        <v>0</v>
      </c>
      <c r="E38" s="41">
        <f>Data!H36</f>
        <v>0</v>
      </c>
      <c r="F38" s="41">
        <f>Data!K36</f>
        <v>0</v>
      </c>
      <c r="G38" s="33" t="str">
        <f>Data!M36</f>
        <v>Giro brusco (nuevo)</v>
      </c>
      <c r="H38" s="41" t="str">
        <f>Data!P36</f>
        <v>Cl. 49 # 25-91, Barrancabermeja, Santander, Colombia</v>
      </c>
      <c r="I38" s="42">
        <f>Data!Q36</f>
        <v>0</v>
      </c>
      <c r="J38" s="43">
        <f>Data!S36</f>
        <v>46174.273553240739</v>
      </c>
      <c r="K38" s="44">
        <f>Data!S36</f>
        <v>46174.273553240739</v>
      </c>
      <c r="L38" s="45">
        <f>Data!T36</f>
        <v>0</v>
      </c>
      <c r="M38" s="46">
        <f>Data!U36</f>
        <v>0</v>
      </c>
      <c r="N38" s="46" t="str">
        <f>CONCATENATE(Data!W36," (",Data!V36,")")</f>
        <v>Giro brusco (nuevo) (Clase de vehículo para métricas de seguridad: Otra clase (no estandarizada), Velocidad máxima: 22 kmh,  Ignición: 1)</v>
      </c>
      <c r="O38" s="42" t="str">
        <f>IF(Data!V36&lt;&gt;"",N38,Data!W36)</f>
        <v>Giro brusco (nuevo) (Clase de vehículo para métricas de seguridad: Otra clase (no estandarizada), Velocidad máxima: 22 kmh,  Ignición: 1)</v>
      </c>
      <c r="P38" s="47" t="str">
        <f>Data!X36</f>
        <v>Válido</v>
      </c>
    </row>
    <row r="39" spans="1:16">
      <c r="A39" s="41" t="str">
        <f>Data!A37</f>
        <v>NPY686</v>
      </c>
      <c r="B39" s="41" t="str">
        <f>Data!D37</f>
        <v>Vehicle, Diesel, GMA CENTRO</v>
      </c>
      <c r="C39" s="41">
        <f>Data!F37</f>
        <v>0</v>
      </c>
      <c r="D39" s="41">
        <f>Data!G37</f>
        <v>0</v>
      </c>
      <c r="E39" s="41">
        <f>Data!H37</f>
        <v>0</v>
      </c>
      <c r="F39" s="41">
        <f>Data!K37</f>
        <v>0</v>
      </c>
      <c r="G39" s="33" t="str">
        <f>Data!M37</f>
        <v>Exceso de velocidad (nuevo)</v>
      </c>
      <c r="H39" s="41" t="str">
        <f>Data!P37</f>
        <v>Cl. 36 # 35-25, Barrancabermeja, Santander, Colombia</v>
      </c>
      <c r="I39" s="42">
        <f>Data!Q37</f>
        <v>0</v>
      </c>
      <c r="J39" s="43">
        <f>Data!S37</f>
        <v>46174.275995370372</v>
      </c>
      <c r="K39" s="44">
        <f>Data!S37</f>
        <v>46174.275995370372</v>
      </c>
      <c r="L39" s="45">
        <f>Data!T37</f>
        <v>1.9675925925925926E-4</v>
      </c>
      <c r="M39" s="46">
        <f>Data!U37</f>
        <v>0.37499135732650757</v>
      </c>
      <c r="N39" s="46" t="str">
        <f>CONCATENATE(Data!W37," (",Data!V37,")")</f>
        <v>Exceso de velocidad (nuevo) (Velocidad máxima: 88 kmh (Velocidad máxima en carretera: 60 kmh))</v>
      </c>
      <c r="O39" s="42" t="str">
        <f>IF(Data!V37&lt;&gt;"",N39,Data!W37)</f>
        <v>Exceso de velocidad (nuevo) (Velocidad máxima: 88 kmh (Velocidad máxima en carretera: 60 kmh))</v>
      </c>
      <c r="P39" s="47" t="str">
        <f>Data!X37</f>
        <v>Válido</v>
      </c>
    </row>
    <row r="40" spans="1:16">
      <c r="A40" s="41" t="str">
        <f>Data!A38</f>
        <v>NPY686</v>
      </c>
      <c r="B40" s="41" t="str">
        <f>Data!D38</f>
        <v>Vehicle, Diesel, GMA CENTRO</v>
      </c>
      <c r="C40" s="41">
        <f>Data!F38</f>
        <v>0</v>
      </c>
      <c r="D40" s="41">
        <f>Data!G38</f>
        <v>0</v>
      </c>
      <c r="E40" s="41">
        <f>Data!H38</f>
        <v>0</v>
      </c>
      <c r="F40" s="41">
        <f>Data!K38</f>
        <v>0</v>
      </c>
      <c r="G40" s="33" t="str">
        <f>Data!M38</f>
        <v>Exceso de velocidad (nuevo)</v>
      </c>
      <c r="H40" s="41" t="str">
        <f>Data!P38</f>
        <v>Cl. 37 # 54-41, Barrancabermeja, Santander, Colombia</v>
      </c>
      <c r="I40" s="42">
        <f>Data!Q38</f>
        <v>0</v>
      </c>
      <c r="J40" s="43">
        <f>Data!S38</f>
        <v>46174.277390694442</v>
      </c>
      <c r="K40" s="44">
        <f>Data!S38</f>
        <v>46174.277390694442</v>
      </c>
      <c r="L40" s="45">
        <f>Data!T38</f>
        <v>8.6157407407407407E-5</v>
      </c>
      <c r="M40" s="46">
        <f>Data!U38</f>
        <v>0.16537246108055115</v>
      </c>
      <c r="N40" s="46" t="str">
        <f>CONCATENATE(Data!W38," (",Data!V38,")")</f>
        <v>Exceso de velocidad (nuevo) (Velocidad máxima: 83 kmh (Velocidad máxima en carretera: 30 kmh))</v>
      </c>
      <c r="O40" s="42" t="str">
        <f>IF(Data!V38&lt;&gt;"",N40,Data!W38)</f>
        <v>Exceso de velocidad (nuevo) (Velocidad máxima: 83 kmh (Velocidad máxima en carretera: 30 kmh))</v>
      </c>
      <c r="P40" s="47" t="str">
        <f>Data!X38</f>
        <v>Válido</v>
      </c>
    </row>
    <row r="41" spans="1:16">
      <c r="A41" s="41" t="str">
        <f>Data!A39</f>
        <v>NPY686</v>
      </c>
      <c r="B41" s="41" t="str">
        <f>Data!D39</f>
        <v>Vehicle, Diesel, GMA CENTRO</v>
      </c>
      <c r="C41" s="41">
        <f>Data!F39</f>
        <v>0</v>
      </c>
      <c r="D41" s="41">
        <f>Data!G39</f>
        <v>0</v>
      </c>
      <c r="E41" s="41">
        <f>Data!H39</f>
        <v>0</v>
      </c>
      <c r="F41" s="41">
        <f>Data!K39</f>
        <v>0</v>
      </c>
      <c r="G41" s="33" t="str">
        <f>Data!M39</f>
        <v>Exceso de velocidad (nuevo)</v>
      </c>
      <c r="H41" s="41" t="str">
        <f>Data!P39</f>
        <v>Cl. 37 # 62-63, Barrancabermeja, Santander, Colombia</v>
      </c>
      <c r="I41" s="42">
        <f>Data!Q39</f>
        <v>0</v>
      </c>
      <c r="J41" s="43">
        <f>Data!S39</f>
        <v>46174.277777777781</v>
      </c>
      <c r="K41" s="44">
        <f>Data!S39</f>
        <v>46174.277777777781</v>
      </c>
      <c r="L41" s="45">
        <f>Data!T39</f>
        <v>5.6327546296296301E-4</v>
      </c>
      <c r="M41" s="46">
        <f>Data!U39</f>
        <v>0.83146542310714722</v>
      </c>
      <c r="N41" s="46" t="str">
        <f>CONCATENATE(Data!W39," (",Data!V39,")")</f>
        <v>Exceso de velocidad (nuevo) (Velocidad máxima: 100 kmh (Velocidad máxima en carretera: 60 kmh))</v>
      </c>
      <c r="O41" s="42" t="str">
        <f>IF(Data!V39&lt;&gt;"",N41,Data!W39)</f>
        <v>Exceso de velocidad (nuevo) (Velocidad máxima: 100 kmh (Velocidad máxima en carretera: 60 kmh))</v>
      </c>
      <c r="P41" s="47" t="str">
        <f>Data!X39</f>
        <v>Válido</v>
      </c>
    </row>
    <row r="42" spans="1:16">
      <c r="A42" s="41" t="str">
        <f>Data!A40</f>
        <v>NPY686</v>
      </c>
      <c r="B42" s="41" t="str">
        <f>Data!D40</f>
        <v>Vehicle, Diesel, GMA CENTRO</v>
      </c>
      <c r="C42" s="41">
        <f>Data!F40</f>
        <v>0</v>
      </c>
      <c r="D42" s="41">
        <f>Data!G40</f>
        <v>0</v>
      </c>
      <c r="E42" s="41">
        <f>Data!H40</f>
        <v>0</v>
      </c>
      <c r="F42" s="41">
        <f>Data!K40</f>
        <v>0</v>
      </c>
      <c r="G42" s="33" t="str">
        <f>Data!M40</f>
        <v>Giro brusco (nuevo)</v>
      </c>
      <c r="H42" s="41" t="str">
        <f>Data!P40</f>
        <v>Cl. 37 # 64-29, Barrancabermeja, Santander, Colombia</v>
      </c>
      <c r="I42" s="42">
        <f>Data!Q40</f>
        <v>0</v>
      </c>
      <c r="J42" s="43">
        <f>Data!S40</f>
        <v>46174.277939814812</v>
      </c>
      <c r="K42" s="44">
        <f>Data!S40</f>
        <v>46174.277939814812</v>
      </c>
      <c r="L42" s="45">
        <f>Data!T40</f>
        <v>0</v>
      </c>
      <c r="M42" s="46">
        <f>Data!U40</f>
        <v>0</v>
      </c>
      <c r="N42" s="46" t="str">
        <f>CONCATENATE(Data!W40," (",Data!V40,")")</f>
        <v>Giro brusco (nuevo) (Clase de vehículo para métricas de seguridad: Otra clase (no estandarizada), Velocidad máxima: 43 kmh,  Ignición: 1)</v>
      </c>
      <c r="O42" s="42" t="str">
        <f>IF(Data!V40&lt;&gt;"",N42,Data!W40)</f>
        <v>Giro brusco (nuevo) (Clase de vehículo para métricas de seguridad: Otra clase (no estandarizada), Velocidad máxima: 43 kmh,  Ignición: 1)</v>
      </c>
      <c r="P42" s="47" t="str">
        <f>Data!X40</f>
        <v>Válido</v>
      </c>
    </row>
    <row r="43" spans="1:16">
      <c r="A43" s="41" t="str">
        <f>Data!A41</f>
        <v>NPY686</v>
      </c>
      <c r="B43" s="41" t="str">
        <f>Data!D41</f>
        <v>Vehicle, Diesel, GMA CENTRO</v>
      </c>
      <c r="C43" s="41">
        <f>Data!F41</f>
        <v>0</v>
      </c>
      <c r="D43" s="41">
        <f>Data!G41</f>
        <v>0</v>
      </c>
      <c r="E43" s="41">
        <f>Data!H41</f>
        <v>0</v>
      </c>
      <c r="F43" s="41">
        <f>Data!K41</f>
        <v>0</v>
      </c>
      <c r="G43" s="33" t="str">
        <f>Data!M41</f>
        <v>Giro brusco</v>
      </c>
      <c r="H43" s="41" t="str">
        <f>Data!P41</f>
        <v>Barrancabermeja-Troncal Magdalena, Barrancabermeja, Santander, Colombia</v>
      </c>
      <c r="I43" s="42">
        <f>Data!Q41</f>
        <v>0</v>
      </c>
      <c r="J43" s="43">
        <f>Data!S41</f>
        <v>46174.278384317127</v>
      </c>
      <c r="K43" s="44">
        <f>Data!S41</f>
        <v>46174.278384317127</v>
      </c>
      <c r="L43" s="45">
        <f>Data!T41</f>
        <v>1.2627314814814814E-5</v>
      </c>
      <c r="M43" s="46">
        <f>Data!U41</f>
        <v>2.2239429876208305E-2</v>
      </c>
      <c r="N43" s="46" t="str">
        <f>CONCATENATE(Data!W41," (",Data!V41,")")</f>
        <v>Giro brusco (Velocidad máxima: 76 kmh Aceleración de lado a lado: 0.52 g-force, Ignición: 1.00)</v>
      </c>
      <c r="O43" s="42" t="str">
        <f>IF(Data!V41&lt;&gt;"",N43,Data!W41)</f>
        <v>Giro brusco (Velocidad máxima: 76 kmh Aceleración de lado a lado: 0.52 g-force, Ignición: 1.00)</v>
      </c>
      <c r="P43" s="47" t="str">
        <f>Data!X41</f>
        <v>Válido</v>
      </c>
    </row>
    <row r="44" spans="1:16">
      <c r="A44" s="41" t="str">
        <f>Data!A42</f>
        <v>NPY686</v>
      </c>
      <c r="B44" s="41" t="str">
        <f>Data!D42</f>
        <v>Vehicle, Diesel, GMA CENTRO</v>
      </c>
      <c r="C44" s="41">
        <f>Data!F42</f>
        <v>0</v>
      </c>
      <c r="D44" s="41">
        <f>Data!G42</f>
        <v>0</v>
      </c>
      <c r="E44" s="41">
        <f>Data!H42</f>
        <v>0</v>
      </c>
      <c r="F44" s="41">
        <f>Data!K42</f>
        <v>0</v>
      </c>
      <c r="G44" s="33" t="str">
        <f>Data!M42</f>
        <v>Giro brusco (nuevo)</v>
      </c>
      <c r="H44" s="41" t="str">
        <f>Data!P42</f>
        <v>Barrancabermeja-Troncal Magdalena, Barrancabermeja, Santander, Colombia</v>
      </c>
      <c r="I44" s="42">
        <f>Data!Q42</f>
        <v>0</v>
      </c>
      <c r="J44" s="43">
        <f>Data!S42</f>
        <v>46174.278414351851</v>
      </c>
      <c r="K44" s="44">
        <f>Data!S42</f>
        <v>46174.278414351851</v>
      </c>
      <c r="L44" s="45">
        <f>Data!T42</f>
        <v>0</v>
      </c>
      <c r="M44" s="46">
        <f>Data!U42</f>
        <v>0</v>
      </c>
      <c r="N44" s="46" t="str">
        <f>CONCATENATE(Data!W42," (",Data!V42,")")</f>
        <v>Giro brusco (nuevo) (Clase de vehículo para métricas de seguridad: Otra clase (no estandarizada), Velocidad máxima: 73 kmh,  Ignición: 1)</v>
      </c>
      <c r="O44" s="42" t="str">
        <f>IF(Data!V42&lt;&gt;"",N44,Data!W42)</f>
        <v>Giro brusco (nuevo) (Clase de vehículo para métricas de seguridad: Otra clase (no estandarizada), Velocidad máxima: 73 kmh,  Ignición: 1)</v>
      </c>
      <c r="P44" s="47" t="str">
        <f>Data!X42</f>
        <v>Válido</v>
      </c>
    </row>
    <row r="45" spans="1:16">
      <c r="A45" s="41" t="str">
        <f>Data!A43</f>
        <v>NPY686</v>
      </c>
      <c r="B45" s="41" t="str">
        <f>Data!D43</f>
        <v>Vehicle, Diesel, GMA CENTRO</v>
      </c>
      <c r="C45" s="41">
        <f>Data!F43</f>
        <v>0</v>
      </c>
      <c r="D45" s="41">
        <f>Data!G43</f>
        <v>0</v>
      </c>
      <c r="E45" s="41">
        <f>Data!H43</f>
        <v>0</v>
      </c>
      <c r="F45" s="41">
        <f>Data!K43</f>
        <v>0</v>
      </c>
      <c r="G45" s="33" t="str">
        <f>Data!M43</f>
        <v>Exceso de velocidad (nuevo)</v>
      </c>
      <c r="H45" s="41" t="str">
        <f>Data!P43</f>
        <v>Barrancabermeja-Troncal Magdalena, Barrancabermeja, Santander, Colombia</v>
      </c>
      <c r="I45" s="42">
        <f>Data!Q43</f>
        <v>0</v>
      </c>
      <c r="J45" s="43">
        <f>Data!S43</f>
        <v>46174.278425925928</v>
      </c>
      <c r="K45" s="44">
        <f>Data!S43</f>
        <v>46174.278425925928</v>
      </c>
      <c r="L45" s="45">
        <f>Data!T43</f>
        <v>1.0206018518518519E-4</v>
      </c>
      <c r="M45" s="46">
        <f>Data!U43</f>
        <v>0.18297208845615387</v>
      </c>
      <c r="N45" s="46" t="str">
        <f>CONCATENATE(Data!W43," (",Data!V43,")")</f>
        <v>Exceso de velocidad (nuevo) (Velocidad máxima: 77 kmh (Velocidad máxima en carretera: 60 kmh))</v>
      </c>
      <c r="O45" s="42" t="str">
        <f>IF(Data!V43&lt;&gt;"",N45,Data!W43)</f>
        <v>Exceso de velocidad (nuevo) (Velocidad máxima: 77 kmh (Velocidad máxima en carretera: 60 kmh))</v>
      </c>
      <c r="P45" s="47" t="str">
        <f>Data!X43</f>
        <v>Válido</v>
      </c>
    </row>
    <row r="46" spans="1:16">
      <c r="A46" s="41" t="str">
        <f>Data!A44</f>
        <v>NPY686</v>
      </c>
      <c r="B46" s="41" t="str">
        <f>Data!D44</f>
        <v>Vehicle, Diesel, GMA CENTRO</v>
      </c>
      <c r="C46" s="41">
        <f>Data!F44</f>
        <v>0</v>
      </c>
      <c r="D46" s="41">
        <f>Data!G44</f>
        <v>0</v>
      </c>
      <c r="E46" s="41">
        <f>Data!H44</f>
        <v>0</v>
      </c>
      <c r="F46" s="41">
        <f>Data!K44</f>
        <v>0</v>
      </c>
      <c r="G46" s="33" t="str">
        <f>Data!M44</f>
        <v>Giro brusco</v>
      </c>
      <c r="H46" s="41" t="str">
        <f>Data!P44</f>
        <v>Barrancabermeja-Troncal Magdalena, Barrancabermeja, Santander, Colombia</v>
      </c>
      <c r="I46" s="42">
        <f>Data!Q44</f>
        <v>0</v>
      </c>
      <c r="J46" s="43">
        <f>Data!S44</f>
        <v>46174.27843658565</v>
      </c>
      <c r="K46" s="44">
        <f>Data!S44</f>
        <v>46174.27843658565</v>
      </c>
      <c r="L46" s="45">
        <f>Data!T44</f>
        <v>2.1238425925925926E-5</v>
      </c>
      <c r="M46" s="46">
        <f>Data!U44</f>
        <v>3.8444988429546356E-2</v>
      </c>
      <c r="N46" s="46" t="str">
        <f>CONCATENATE(Data!W44," (",Data!V44,")")</f>
        <v>Giro brusco (Velocidad máxima: 77 kmh Aceleración de lado a lado: -0.55 g-force, Ignición: 1.00)</v>
      </c>
      <c r="O46" s="42" t="str">
        <f>IF(Data!V44&lt;&gt;"",N46,Data!W44)</f>
        <v>Giro brusco (Velocidad máxima: 77 kmh Aceleración de lado a lado: -0.55 g-force, Ignición: 1.00)</v>
      </c>
      <c r="P46" s="47" t="str">
        <f>Data!X44</f>
        <v>Válido</v>
      </c>
    </row>
    <row r="47" spans="1:16">
      <c r="A47" s="41" t="str">
        <f>Data!A45</f>
        <v>NPY686</v>
      </c>
      <c r="B47" s="41" t="str">
        <f>Data!D45</f>
        <v>Vehicle, Diesel, GMA CENTRO</v>
      </c>
      <c r="C47" s="41">
        <f>Data!F45</f>
        <v>0</v>
      </c>
      <c r="D47" s="41">
        <f>Data!G45</f>
        <v>0</v>
      </c>
      <c r="E47" s="41">
        <f>Data!H45</f>
        <v>0</v>
      </c>
      <c r="F47" s="41">
        <f>Data!K45</f>
        <v>0</v>
      </c>
      <c r="G47" s="33" t="str">
        <f>Data!M45</f>
        <v>Giro brusco (nuevo)</v>
      </c>
      <c r="H47" s="41" t="str">
        <f>Data!P45</f>
        <v>Barrancabermeja-Troncal Magdalena, Barrancabermeja, Santander, Colombia</v>
      </c>
      <c r="I47" s="42">
        <f>Data!Q45</f>
        <v>0</v>
      </c>
      <c r="J47" s="43">
        <f>Data!S45</f>
        <v>46174.278773148151</v>
      </c>
      <c r="K47" s="44">
        <f>Data!S45</f>
        <v>46174.278773148151</v>
      </c>
      <c r="L47" s="45">
        <f>Data!T45</f>
        <v>0</v>
      </c>
      <c r="M47" s="46">
        <f>Data!U45</f>
        <v>0</v>
      </c>
      <c r="N47" s="46" t="str">
        <f>CONCATENATE(Data!W45," (",Data!V45,")")</f>
        <v>Giro brusco (nuevo) (Clase de vehículo para métricas de seguridad: Otra clase (no estandarizada), Velocidad máxima: 71 kmh,  Ignición: 1)</v>
      </c>
      <c r="O47" s="42" t="str">
        <f>IF(Data!V45&lt;&gt;"",N47,Data!W45)</f>
        <v>Giro brusco (nuevo) (Clase de vehículo para métricas de seguridad: Otra clase (no estandarizada), Velocidad máxima: 71 kmh,  Ignición: 1)</v>
      </c>
      <c r="P47" s="47" t="str">
        <f>Data!X45</f>
        <v>Válido</v>
      </c>
    </row>
    <row r="48" spans="1:16">
      <c r="A48" s="41" t="str">
        <f>Data!A46</f>
        <v>NPY686</v>
      </c>
      <c r="B48" s="41" t="str">
        <f>Data!D46</f>
        <v>Vehicle, Diesel, GMA CENTRO</v>
      </c>
      <c r="C48" s="41">
        <f>Data!F46</f>
        <v>0</v>
      </c>
      <c r="D48" s="41">
        <f>Data!G46</f>
        <v>0</v>
      </c>
      <c r="E48" s="41">
        <f>Data!H46</f>
        <v>0</v>
      </c>
      <c r="F48" s="41">
        <f>Data!K46</f>
        <v>0</v>
      </c>
      <c r="G48" s="33" t="str">
        <f>Data!M46</f>
        <v>Exceso de velocidad (nuevo)</v>
      </c>
      <c r="H48" s="41" t="str">
        <f>Data!P46</f>
        <v>Barrancabermeja-Troncal Magdalena #3164, Barrancabermeja, Santander, Colombia</v>
      </c>
      <c r="I48" s="42">
        <f>Data!Q46</f>
        <v>0</v>
      </c>
      <c r="J48" s="43">
        <f>Data!S46</f>
        <v>46174.281738043981</v>
      </c>
      <c r="K48" s="44">
        <f>Data!S46</f>
        <v>46174.281738043981</v>
      </c>
      <c r="L48" s="45">
        <f>Data!T46</f>
        <v>1.022337962962963E-4</v>
      </c>
      <c r="M48" s="46">
        <f>Data!U46</f>
        <v>9.4803698360919952E-2</v>
      </c>
      <c r="N48" s="46" t="str">
        <f>CONCATENATE(Data!W46," (",Data!V46,")")</f>
        <v>Exceso de velocidad (nuevo) (Velocidad máxima: 37 kmh (Velocidad máxima en carretera: 30 kmh))</v>
      </c>
      <c r="O48" s="42" t="str">
        <f>IF(Data!V46&lt;&gt;"",N48,Data!W46)</f>
        <v>Exceso de velocidad (nuevo) (Velocidad máxima: 37 kmh (Velocidad máxima en carretera: 30 kmh))</v>
      </c>
      <c r="P48" s="47" t="str">
        <f>Data!X46</f>
        <v>Válido</v>
      </c>
    </row>
    <row r="49" spans="1:16">
      <c r="A49" s="41" t="str">
        <f>Data!A47</f>
        <v>NPY686</v>
      </c>
      <c r="B49" s="41" t="str">
        <f>Data!D47</f>
        <v>Vehicle, Diesel, GMA CENTRO</v>
      </c>
      <c r="C49" s="41">
        <f>Data!F47</f>
        <v>0</v>
      </c>
      <c r="D49" s="41">
        <f>Data!G47</f>
        <v>0</v>
      </c>
      <c r="E49" s="41">
        <f>Data!H47</f>
        <v>0</v>
      </c>
      <c r="F49" s="41">
        <f>Data!K47</f>
        <v>0</v>
      </c>
      <c r="G49" s="33" t="str">
        <f>Data!M47</f>
        <v>Exceso de velocidad (nuevo)</v>
      </c>
      <c r="H49" s="41" t="str">
        <f>Data!P47</f>
        <v>Barrancabermeja-Troncal Magdalena, Barrancabermeja, Santander, Colombia</v>
      </c>
      <c r="I49" s="42">
        <f>Data!Q47</f>
        <v>0</v>
      </c>
      <c r="J49" s="43">
        <f>Data!S47</f>
        <v>46174.284120370372</v>
      </c>
      <c r="K49" s="44">
        <f>Data!S47</f>
        <v>46174.284120370372</v>
      </c>
      <c r="L49" s="45">
        <f>Data!T47</f>
        <v>4.43287037037037E-3</v>
      </c>
      <c r="M49" s="46">
        <f>Data!U47</f>
        <v>5.691164493560791</v>
      </c>
      <c r="N49" s="46" t="str">
        <f>CONCATENATE(Data!W47," (",Data!V47,")")</f>
        <v>Exceso de velocidad (nuevo) (Velocidad máxima: 74 kmh (Velocidad máxima en carretera: 30 kmh))</v>
      </c>
      <c r="O49" s="42" t="str">
        <f>IF(Data!V47&lt;&gt;"",N49,Data!W47)</f>
        <v>Exceso de velocidad (nuevo) (Velocidad máxima: 74 kmh (Velocidad máxima en carretera: 30 kmh))</v>
      </c>
      <c r="P49" s="47" t="str">
        <f>Data!X47</f>
        <v>Válido</v>
      </c>
    </row>
    <row r="50" spans="1:16">
      <c r="A50" s="41" t="str">
        <f>Data!A48</f>
        <v>NPY686</v>
      </c>
      <c r="B50" s="41" t="str">
        <f>Data!D48</f>
        <v>Vehicle, Diesel, GMA CENTRO</v>
      </c>
      <c r="C50" s="41">
        <f>Data!F48</f>
        <v>0</v>
      </c>
      <c r="D50" s="41">
        <f>Data!G48</f>
        <v>0</v>
      </c>
      <c r="E50" s="41">
        <f>Data!H48</f>
        <v>0</v>
      </c>
      <c r="F50" s="41">
        <f>Data!K48</f>
        <v>0</v>
      </c>
      <c r="G50" s="33" t="str">
        <f>Data!M48</f>
        <v>Exceso de velocidad (nuevo)</v>
      </c>
      <c r="H50" s="41" t="str">
        <f>Data!P48</f>
        <v>Rotonda, Barrancabermeja, Santander, Colombia</v>
      </c>
      <c r="I50" s="42">
        <f>Data!Q48</f>
        <v>0</v>
      </c>
      <c r="J50" s="43">
        <f>Data!S48</f>
        <v>46174.290752314817</v>
      </c>
      <c r="K50" s="44">
        <f>Data!S48</f>
        <v>46174.290752314817</v>
      </c>
      <c r="L50" s="45">
        <f>Data!T48</f>
        <v>7.5231581481481481E-5</v>
      </c>
      <c r="M50" s="46">
        <f>Data!U48</f>
        <v>6.847042590379715E-2</v>
      </c>
      <c r="N50" s="46" t="str">
        <f>CONCATENATE(Data!W48," (",Data!V48,")")</f>
        <v>Exceso de velocidad (nuevo) (Velocidad máxima: 39 kmh (Velocidad máxima en carretera: 30 kmh))</v>
      </c>
      <c r="O50" s="42" t="str">
        <f>IF(Data!V48&lt;&gt;"",N50,Data!W48)</f>
        <v>Exceso de velocidad (nuevo) (Velocidad máxima: 39 kmh (Velocidad máxima en carretera: 30 kmh))</v>
      </c>
      <c r="P50" s="47" t="str">
        <f>Data!X48</f>
        <v>Válido</v>
      </c>
    </row>
    <row r="51" spans="1:16">
      <c r="A51" s="41" t="str">
        <f>Data!A49</f>
        <v>NPY686</v>
      </c>
      <c r="B51" s="41" t="str">
        <f>Data!D49</f>
        <v>Vehicle, Diesel, GMA CENTRO</v>
      </c>
      <c r="C51" s="41">
        <f>Data!F49</f>
        <v>0</v>
      </c>
      <c r="D51" s="41">
        <f>Data!G49</f>
        <v>0</v>
      </c>
      <c r="E51" s="41">
        <f>Data!H49</f>
        <v>0</v>
      </c>
      <c r="F51" s="41">
        <f>Data!K49</f>
        <v>0</v>
      </c>
      <c r="G51" s="33" t="str">
        <f>Data!M49</f>
        <v>Tiempo en ralentí</v>
      </c>
      <c r="H51" s="41" t="str">
        <f>Data!P49</f>
        <v>W6MQ+8Q, Barrancabermeja, Santander, Colombia</v>
      </c>
      <c r="I51" s="42">
        <f>Data!Q49</f>
        <v>0</v>
      </c>
      <c r="J51" s="43">
        <f>Data!S49</f>
        <v>46174.513935185183</v>
      </c>
      <c r="K51" s="44">
        <f>Data!S49</f>
        <v>46174.513935185183</v>
      </c>
      <c r="L51" s="45">
        <f>Data!T49</f>
        <v>4.8406828703703702E-3</v>
      </c>
      <c r="M51" s="46">
        <f>Data!U49</f>
        <v>0</v>
      </c>
      <c r="N51" s="46" t="str">
        <f>CONCATENATE(Data!W49," (",Data!V49,")")</f>
        <v>Tiempo en ralentí (Ignición: 1.00)</v>
      </c>
      <c r="O51" s="42" t="str">
        <f>IF(Data!V49&lt;&gt;"",N51,Data!W49)</f>
        <v>Tiempo en ralentí (Ignición: 1.00)</v>
      </c>
      <c r="P51" s="47" t="str">
        <f>Data!X49</f>
        <v>Válido</v>
      </c>
    </row>
    <row r="52" spans="1:16">
      <c r="A52" s="41" t="str">
        <f>Data!A50</f>
        <v>NPY686</v>
      </c>
      <c r="B52" s="41" t="str">
        <f>Data!D50</f>
        <v>Vehicle, Diesel, GMA CENTRO</v>
      </c>
      <c r="C52" s="41">
        <f>Data!F50</f>
        <v>0</v>
      </c>
      <c r="D52" s="41">
        <f>Data!G50</f>
        <v>0</v>
      </c>
      <c r="E52" s="41">
        <f>Data!H50</f>
        <v>0</v>
      </c>
      <c r="F52" s="41">
        <f>Data!K50</f>
        <v>0</v>
      </c>
      <c r="G52" s="33" t="str">
        <f>Data!M50</f>
        <v>Exceso de velocidad (nuevo)</v>
      </c>
      <c r="H52" s="41" t="str">
        <f>Data!P50</f>
        <v>X67G+G6, Barrancabermeja, Santander, Colombia</v>
      </c>
      <c r="I52" s="42">
        <f>Data!Q50</f>
        <v>0</v>
      </c>
      <c r="J52" s="43">
        <f>Data!S50</f>
        <v>46174.703333333331</v>
      </c>
      <c r="K52" s="44">
        <f>Data!S50</f>
        <v>46174.703333333331</v>
      </c>
      <c r="L52" s="45">
        <f>Data!T50</f>
        <v>3.1684027777777778E-3</v>
      </c>
      <c r="M52" s="46">
        <f>Data!U50</f>
        <v>3.7818548679351807</v>
      </c>
      <c r="N52" s="46" t="str">
        <f>CONCATENATE(Data!W50," (",Data!V50,")")</f>
        <v>Exceso de velocidad (nuevo) (Velocidad máxima: 59 kmh (Velocidad máxima en carretera: 30 kmh))</v>
      </c>
      <c r="O52" s="42" t="str">
        <f>IF(Data!V50&lt;&gt;"",N52,Data!W50)</f>
        <v>Exceso de velocidad (nuevo) (Velocidad máxima: 59 kmh (Velocidad máxima en carretera: 30 kmh))</v>
      </c>
      <c r="P52" s="47" t="str">
        <f>Data!X50</f>
        <v>Válido</v>
      </c>
    </row>
    <row r="53" spans="1:16">
      <c r="A53" s="41" t="str">
        <f>Data!A51</f>
        <v>NPY686</v>
      </c>
      <c r="B53" s="41" t="str">
        <f>Data!D51</f>
        <v>Vehicle, Diesel, GMA CENTRO</v>
      </c>
      <c r="C53" s="41">
        <f>Data!F51</f>
        <v>0</v>
      </c>
      <c r="D53" s="41">
        <f>Data!G51</f>
        <v>0</v>
      </c>
      <c r="E53" s="41">
        <f>Data!H51</f>
        <v>0</v>
      </c>
      <c r="F53" s="41">
        <f>Data!K51</f>
        <v>0</v>
      </c>
      <c r="G53" s="33" t="str">
        <f>Data!M51</f>
        <v>Exceso de velocidad (nuevo)</v>
      </c>
      <c r="H53" s="41" t="str">
        <f>Data!P51</f>
        <v>Barrancabermeja-Troncal Magdalena, Barrancabermeja, Santander, Colombia</v>
      </c>
      <c r="I53" s="42">
        <f>Data!Q51</f>
        <v>0</v>
      </c>
      <c r="J53" s="43">
        <f>Data!S51</f>
        <v>46174.706520057873</v>
      </c>
      <c r="K53" s="44">
        <f>Data!S51</f>
        <v>46174.706520057873</v>
      </c>
      <c r="L53" s="45">
        <f>Data!T51</f>
        <v>1.3503472222222223E-4</v>
      </c>
      <c r="M53" s="46">
        <f>Data!U51</f>
        <v>0.1405646800994873</v>
      </c>
      <c r="N53" s="46" t="str">
        <f>CONCATENATE(Data!W51," (",Data!V51,")")</f>
        <v>Exceso de velocidad (nuevo) (Velocidad máxima: 46 kmh (Velocidad máxima en carretera: 30 kmh))</v>
      </c>
      <c r="O53" s="42" t="str">
        <f>IF(Data!V51&lt;&gt;"",N53,Data!W51)</f>
        <v>Exceso de velocidad (nuevo) (Velocidad máxima: 46 kmh (Velocidad máxima en carretera: 30 kmh))</v>
      </c>
      <c r="P53" s="47" t="str">
        <f>Data!X51</f>
        <v>Válido</v>
      </c>
    </row>
    <row r="54" spans="1:16">
      <c r="A54" s="41" t="str">
        <f>Data!A52</f>
        <v>NPY686</v>
      </c>
      <c r="B54" s="41" t="str">
        <f>Data!D52</f>
        <v>Vehicle, Diesel, GMA CENTRO</v>
      </c>
      <c r="C54" s="41">
        <f>Data!F52</f>
        <v>0</v>
      </c>
      <c r="D54" s="41">
        <f>Data!G52</f>
        <v>0</v>
      </c>
      <c r="E54" s="41">
        <f>Data!H52</f>
        <v>0</v>
      </c>
      <c r="F54" s="41">
        <f>Data!K52</f>
        <v>0</v>
      </c>
      <c r="G54" s="33" t="str">
        <f>Data!M52</f>
        <v>Exceso de velocidad (nuevo)</v>
      </c>
      <c r="H54" s="41" t="str">
        <f>Data!P52</f>
        <v>Barrancabermeja-Troncal Magdalena, Barrancabermeja, Santander, Colombia</v>
      </c>
      <c r="I54" s="42">
        <f>Data!Q52</f>
        <v>0</v>
      </c>
      <c r="J54" s="43">
        <f>Data!S52</f>
        <v>46174.706685960649</v>
      </c>
      <c r="K54" s="44">
        <f>Data!S52</f>
        <v>46174.706685960649</v>
      </c>
      <c r="L54" s="45">
        <f>Data!T52</f>
        <v>1.323298611111111E-3</v>
      </c>
      <c r="M54" s="46">
        <f>Data!U52</f>
        <v>1.6439336538314819</v>
      </c>
      <c r="N54" s="46" t="str">
        <f>CONCATENATE(Data!W52," (",Data!V52,")")</f>
        <v>Exceso de velocidad (nuevo) (Velocidad máxima: 57 kmh (Velocidad máxima en carretera: 30 kmh))</v>
      </c>
      <c r="O54" s="42" t="str">
        <f>IF(Data!V52&lt;&gt;"",N54,Data!W52)</f>
        <v>Exceso de velocidad (nuevo) (Velocidad máxima: 57 kmh (Velocidad máxima en carretera: 30 kmh))</v>
      </c>
      <c r="P54" s="47" t="str">
        <f>Data!X52</f>
        <v>Válido</v>
      </c>
    </row>
    <row r="55" spans="1:16">
      <c r="A55" s="41" t="str">
        <f>Data!A53</f>
        <v>NPY686</v>
      </c>
      <c r="B55" s="41" t="str">
        <f>Data!D53</f>
        <v>Vehicle, Diesel, GMA CENTRO</v>
      </c>
      <c r="C55" s="41">
        <f>Data!F53</f>
        <v>0</v>
      </c>
      <c r="D55" s="41">
        <f>Data!G53</f>
        <v>0</v>
      </c>
      <c r="E55" s="41">
        <f>Data!H53</f>
        <v>0</v>
      </c>
      <c r="F55" s="41">
        <f>Data!K53</f>
        <v>0</v>
      </c>
      <c r="G55" s="33" t="str">
        <f>Data!M53</f>
        <v>Tiempo en ralentí</v>
      </c>
      <c r="H55" s="41" t="str">
        <f>Data!P53</f>
        <v>Cl. 51 # 15-70, Barrancabermeja, Santander, Colombia</v>
      </c>
      <c r="I55" s="42">
        <f>Data!Q53</f>
        <v>0</v>
      </c>
      <c r="J55" s="43">
        <f>Data!S53</f>
        <v>46174.744108796294</v>
      </c>
      <c r="K55" s="44">
        <f>Data!S53</f>
        <v>46174.744108796294</v>
      </c>
      <c r="L55" s="45">
        <f>Data!T53</f>
        <v>9.2013888888888892E-3</v>
      </c>
      <c r="M55" s="46">
        <f>Data!U53</f>
        <v>0</v>
      </c>
      <c r="N55" s="46" t="str">
        <f>CONCATENATE(Data!W53," (",Data!V53,")")</f>
        <v>Tiempo en ralentí (Ignición: 1.00)</v>
      </c>
      <c r="O55" s="42" t="str">
        <f>IF(Data!V53&lt;&gt;"",N55,Data!W53)</f>
        <v>Tiempo en ralentí (Ignición: 1.00)</v>
      </c>
      <c r="P55" s="47" t="str">
        <f>Data!X53</f>
        <v>Válido</v>
      </c>
    </row>
    <row r="56" spans="1:16">
      <c r="A56" s="41" t="str">
        <f>Data!A54</f>
        <v>NPY798</v>
      </c>
      <c r="B56" s="41" t="str">
        <f>Data!D54</f>
        <v>Vehicle, Diesel, ENE 6053 Zona III CAPEX SOT-SOC</v>
      </c>
      <c r="C56" s="41">
        <f>Data!F54</f>
        <v>0</v>
      </c>
      <c r="D56" s="41">
        <f>Data!G54</f>
        <v>0</v>
      </c>
      <c r="E56" s="41">
        <f>Data!H54</f>
        <v>0</v>
      </c>
      <c r="F56" s="41">
        <f>Data!K54</f>
        <v>0</v>
      </c>
      <c r="G56" s="33" t="str">
        <f>Data!M54</f>
        <v>Exceso de velocidad (nuevo)</v>
      </c>
      <c r="H56" s="41" t="str">
        <f>Data!P54</f>
        <v>Av. de los Comuneros #1500, Bogotá, Colombia</v>
      </c>
      <c r="I56" s="42">
        <f>Data!Q54</f>
        <v>0</v>
      </c>
      <c r="J56" s="43">
        <f>Data!S54</f>
        <v>46174.660462962966</v>
      </c>
      <c r="K56" s="44">
        <f>Data!S54</f>
        <v>46174.660462962966</v>
      </c>
      <c r="L56" s="45">
        <f>Data!T54</f>
        <v>2.199074074074074E-4</v>
      </c>
      <c r="M56" s="46">
        <f>Data!U54</f>
        <v>0.2348802387714386</v>
      </c>
      <c r="N56" s="46" t="str">
        <f>CONCATENATE(Data!W54," (",Data!V54,")")</f>
        <v>Exceso de velocidad (nuevo) (Velocidad máxima: 48 kmh (Velocidad máxima en carretera: 30 kmh))</v>
      </c>
      <c r="O56" s="42" t="str">
        <f>IF(Data!V54&lt;&gt;"",N56,Data!W54)</f>
        <v>Exceso de velocidad (nuevo) (Velocidad máxima: 48 kmh (Velocidad máxima en carretera: 30 kmh))</v>
      </c>
      <c r="P56" s="47" t="str">
        <f>Data!X54</f>
        <v>Válido</v>
      </c>
    </row>
    <row r="57" spans="1:16">
      <c r="A57" s="41" t="str">
        <f>Data!A55</f>
        <v>NPY798</v>
      </c>
      <c r="B57" s="41" t="str">
        <f>Data!D55</f>
        <v>Vehicle, Diesel, ENE 6053 Zona III CAPEX SOT-SOC</v>
      </c>
      <c r="C57" s="41">
        <f>Data!F55</f>
        <v>0</v>
      </c>
      <c r="D57" s="41">
        <f>Data!G55</f>
        <v>0</v>
      </c>
      <c r="E57" s="41">
        <f>Data!H55</f>
        <v>0</v>
      </c>
      <c r="F57" s="41">
        <f>Data!K55</f>
        <v>0</v>
      </c>
      <c r="G57" s="33" t="str">
        <f>Data!M55</f>
        <v>Tiempo en ralentí</v>
      </c>
      <c r="H57" s="41" t="str">
        <f>Data!P55</f>
        <v>Cl. 1d Bis # 4-43, Santa Fé, Bogotá, D.C., Bogotá, Bogotá, D.C., Colombia</v>
      </c>
      <c r="I57" s="42">
        <f>Data!Q55</f>
        <v>0</v>
      </c>
      <c r="J57" s="43">
        <f>Data!S55</f>
        <v>46174.663842592592</v>
      </c>
      <c r="K57" s="44">
        <f>Data!S55</f>
        <v>46174.663842592592</v>
      </c>
      <c r="L57" s="45">
        <f>Data!T55</f>
        <v>1.3194444444444444E-2</v>
      </c>
      <c r="M57" s="46">
        <f>Data!U55</f>
        <v>0</v>
      </c>
      <c r="N57" s="46" t="str">
        <f>CONCATENATE(Data!W55," (",Data!V55,")")</f>
        <v>Tiempo en ralentí (Ignición: 1.00)</v>
      </c>
      <c r="O57" s="42" t="str">
        <f>IF(Data!V55&lt;&gt;"",N57,Data!W55)</f>
        <v>Tiempo en ralentí (Ignición: 1.00)</v>
      </c>
      <c r="P57" s="47" t="str">
        <f>Data!X55</f>
        <v>Válido</v>
      </c>
    </row>
    <row r="58" spans="1:16">
      <c r="A58" s="41" t="str">
        <f>Data!A56</f>
        <v>NPY798</v>
      </c>
      <c r="B58" s="41" t="str">
        <f>Data!D56</f>
        <v>Vehicle, Diesel, ENE 6053 Zona III CAPEX SOT-SOC</v>
      </c>
      <c r="C58" s="41">
        <f>Data!F56</f>
        <v>0</v>
      </c>
      <c r="D58" s="41">
        <f>Data!G56</f>
        <v>0</v>
      </c>
      <c r="E58" s="41">
        <f>Data!H56</f>
        <v>0</v>
      </c>
      <c r="F58" s="41">
        <f>Data!K56</f>
        <v>0</v>
      </c>
      <c r="G58" s="33" t="str">
        <f>Data!M56</f>
        <v>Exceso de velocidad (nuevo)</v>
      </c>
      <c r="H58" s="41" t="str">
        <f>Data!P56</f>
        <v>Cra. 9 # 6A-34, La Candelaria, Bogotá, D.C., Bogotá, Bogotá, D.C., Colombia</v>
      </c>
      <c r="I58" s="42">
        <f>Data!Q56</f>
        <v>0</v>
      </c>
      <c r="J58" s="43">
        <f>Data!S56</f>
        <v>46174.699548611112</v>
      </c>
      <c r="K58" s="44">
        <f>Data!S56</f>
        <v>46174.699548611112</v>
      </c>
      <c r="L58" s="45">
        <f>Data!T56</f>
        <v>1.0684027777777778E-4</v>
      </c>
      <c r="M58" s="46">
        <f>Data!U56</f>
        <v>0.12300074100494385</v>
      </c>
      <c r="N58" s="46" t="str">
        <f>CONCATENATE(Data!W56," (",Data!V56,")")</f>
        <v>Exceso de velocidad (nuevo) (Velocidad máxima: 53 kmh (Velocidad máxima en carretera: 30 kmh))</v>
      </c>
      <c r="O58" s="42" t="str">
        <f>IF(Data!V56&lt;&gt;"",N58,Data!W56)</f>
        <v>Exceso de velocidad (nuevo) (Velocidad máxima: 53 kmh (Velocidad máxima en carretera: 30 kmh))</v>
      </c>
      <c r="P58" s="47" t="str">
        <f>Data!X56</f>
        <v>Válido</v>
      </c>
    </row>
    <row r="59" spans="1:16">
      <c r="A59" s="41" t="str">
        <f>Data!A57</f>
        <v>NPY798</v>
      </c>
      <c r="B59" s="41" t="str">
        <f>Data!D57</f>
        <v>Vehicle, Diesel, ENE 6053 Zona III CAPEX SOT-SOC</v>
      </c>
      <c r="C59" s="41">
        <f>Data!F57</f>
        <v>0</v>
      </c>
      <c r="D59" s="41">
        <f>Data!G57</f>
        <v>0</v>
      </c>
      <c r="E59" s="41">
        <f>Data!H57</f>
        <v>0</v>
      </c>
      <c r="F59" s="41">
        <f>Data!K57</f>
        <v>0</v>
      </c>
      <c r="G59" s="33" t="str">
        <f>Data!M57</f>
        <v>Tiempo en ralentí</v>
      </c>
      <c r="H59" s="41" t="str">
        <f>Data!P57</f>
        <v>Cl. 11 #19A-33, Bogotá, Colombia</v>
      </c>
      <c r="I59" s="42">
        <f>Data!Q57</f>
        <v>0</v>
      </c>
      <c r="J59" s="43">
        <f>Data!S57</f>
        <v>46174.779629629629</v>
      </c>
      <c r="K59" s="44">
        <f>Data!S57</f>
        <v>46174.779629629629</v>
      </c>
      <c r="L59" s="45">
        <f>Data!T57</f>
        <v>1.5983796296296298E-2</v>
      </c>
      <c r="M59" s="46">
        <f>Data!U57</f>
        <v>3.1781781581230462E-4</v>
      </c>
      <c r="N59" s="46" t="str">
        <f>CONCATENATE(Data!W57," (",Data!V57,")")</f>
        <v>Tiempo en ralentí (Ignición: 1.00)</v>
      </c>
      <c r="O59" s="42" t="str">
        <f>IF(Data!V57&lt;&gt;"",N59,Data!W57)</f>
        <v>Tiempo en ralentí (Ignición: 1.00)</v>
      </c>
      <c r="P59" s="47" t="str">
        <f>Data!X57</f>
        <v>Válido</v>
      </c>
    </row>
    <row r="60" spans="1:16">
      <c r="A60" s="41" t="str">
        <f>Data!A58</f>
        <v>NPY798</v>
      </c>
      <c r="B60" s="41" t="str">
        <f>Data!D58</f>
        <v>Vehicle, Diesel, ENE 6053 Zona III CAPEX SOT-SOC</v>
      </c>
      <c r="C60" s="41">
        <f>Data!F58</f>
        <v>0</v>
      </c>
      <c r="D60" s="41">
        <f>Data!G58</f>
        <v>0</v>
      </c>
      <c r="E60" s="41">
        <f>Data!H58</f>
        <v>0</v>
      </c>
      <c r="F60" s="41">
        <f>Data!K58</f>
        <v>0</v>
      </c>
      <c r="G60" s="33" t="str">
        <f>Data!M58</f>
        <v>Exceso de velocidad (nuevo)</v>
      </c>
      <c r="H60" s="41" t="str">
        <f>Data!P58</f>
        <v>Kr 13 #25-16, Bogotá, Colombia</v>
      </c>
      <c r="I60" s="42">
        <f>Data!Q58</f>
        <v>0</v>
      </c>
      <c r="J60" s="43">
        <f>Data!S58</f>
        <v>46174.81108796296</v>
      </c>
      <c r="K60" s="44">
        <f>Data!S58</f>
        <v>46174.81108796296</v>
      </c>
      <c r="L60" s="45">
        <f>Data!T58</f>
        <v>1.0416666666666667E-4</v>
      </c>
      <c r="M60" s="46">
        <f>Data!U58</f>
        <v>8.088432252407074E-2</v>
      </c>
      <c r="N60" s="46" t="str">
        <f>CONCATENATE(Data!W58," (",Data!V58,")")</f>
        <v>Exceso de velocidad (nuevo) (Velocidad máxima: 37 kmh (Velocidad máxima en carretera: 30 kmh))</v>
      </c>
      <c r="O60" s="42" t="str">
        <f>IF(Data!V58&lt;&gt;"",N60,Data!W58)</f>
        <v>Exceso de velocidad (nuevo) (Velocidad máxima: 37 kmh (Velocidad máxima en carretera: 30 kmh))</v>
      </c>
      <c r="P60" s="47" t="str">
        <f>Data!X58</f>
        <v>Válido</v>
      </c>
    </row>
    <row r="61" spans="1:16">
      <c r="A61" s="41" t="str">
        <f>Data!A59</f>
        <v>NPY798</v>
      </c>
      <c r="B61" s="41" t="str">
        <f>Data!D59</f>
        <v>Vehicle, Diesel, ENE 6053 Zona III CAPEX SOT-SOC</v>
      </c>
      <c r="C61" s="41">
        <f>Data!F59</f>
        <v>0</v>
      </c>
      <c r="D61" s="41">
        <f>Data!G59</f>
        <v>0</v>
      </c>
      <c r="E61" s="41">
        <f>Data!H59</f>
        <v>0</v>
      </c>
      <c r="F61" s="41">
        <f>Data!K59</f>
        <v>0</v>
      </c>
      <c r="G61" s="33" t="str">
        <f>Data!M59</f>
        <v>Tiempo en ralentí</v>
      </c>
      <c r="H61" s="41" t="str">
        <f>Data!P59</f>
        <v>Cra. 7 #26, La Candelaria, Bogotá, Colombia</v>
      </c>
      <c r="I61" s="42">
        <f>Data!Q59</f>
        <v>0</v>
      </c>
      <c r="J61" s="43">
        <f>Data!S59</f>
        <v>46174.814513888887</v>
      </c>
      <c r="K61" s="44">
        <f>Data!S59</f>
        <v>46174.814513888887</v>
      </c>
      <c r="L61" s="45">
        <f>Data!T59</f>
        <v>3.3101851851851855E-2</v>
      </c>
      <c r="M61" s="46">
        <f>Data!U59</f>
        <v>0</v>
      </c>
      <c r="N61" s="46" t="str">
        <f>CONCATENATE(Data!W59," (",Data!V59,")")</f>
        <v>Tiempo en ralentí (Ignición: 1.00)</v>
      </c>
      <c r="O61" s="42" t="str">
        <f>IF(Data!V59&lt;&gt;"",N61,Data!W59)</f>
        <v>Tiempo en ralentí (Ignición: 1.00)</v>
      </c>
      <c r="P61" s="47" t="str">
        <f>Data!X59</f>
        <v>Válido</v>
      </c>
    </row>
    <row r="62" spans="1:16">
      <c r="A62" s="41" t="str">
        <f>Data!A60</f>
        <v>PKU060</v>
      </c>
      <c r="B62" s="41" t="str">
        <f>Data!D60</f>
        <v>Vehicle, Diesel, Frontera Energy Col 2679</v>
      </c>
      <c r="C62" s="41">
        <f>Data!F60</f>
        <v>0</v>
      </c>
      <c r="D62" s="41">
        <f>Data!G60</f>
        <v>0</v>
      </c>
      <c r="E62" s="41">
        <f>Data!H60</f>
        <v>0</v>
      </c>
      <c r="F62" s="41">
        <f>Data!K60</f>
        <v>0</v>
      </c>
      <c r="G62" s="33" t="str">
        <f>Data!M60</f>
        <v>Exceso Velocidad 10 Km/h</v>
      </c>
      <c r="H62" s="41" t="str">
        <f>Data!P60</f>
        <v>ECOPETROL RUBIALES- Quifa - CAÑO SUR, Puerto Triunfo - Estacion Policia, PUESTRO CONTROL QUIFA: Puerto Gaitan - Rubiales, Puerto Gaitán, Meta, Colombia</v>
      </c>
      <c r="I62" s="42" t="str">
        <f>Data!Q60</f>
        <v>Cliente, Vel Max 40 Km/h, Vel Max 30 Km/h, Vel Max 10 Km/h</v>
      </c>
      <c r="J62" s="43">
        <f>Data!S60</f>
        <v>46174.264926388889</v>
      </c>
      <c r="K62" s="44">
        <f>Data!S60</f>
        <v>46174.264926388889</v>
      </c>
      <c r="L62" s="45">
        <f>Data!T60</f>
        <v>3.7057870370370369E-4</v>
      </c>
      <c r="M62" s="46">
        <f>Data!U60</f>
        <v>0.18355429172515869</v>
      </c>
      <c r="N62" s="46" t="str">
        <f>CONCATENATE(Data!W60," (",Data!V60,")")</f>
        <v>Exceso Velocidad 10 Km/h (Velocidad máxima: 20 kmh)</v>
      </c>
      <c r="O62" s="42" t="str">
        <f>IF(Data!V60&lt;&gt;"",N62,Data!W60)</f>
        <v>Exceso Velocidad 10 Km/h (Velocidad máxima: 20 kmh)</v>
      </c>
      <c r="P62" s="47" t="str">
        <f>Data!X60</f>
        <v>Válido</v>
      </c>
    </row>
    <row r="63" spans="1:16">
      <c r="A63" s="41" t="str">
        <f>Data!A61</f>
        <v>PKU060</v>
      </c>
      <c r="B63" s="41" t="str">
        <f>Data!D61</f>
        <v>Vehicle, Diesel, Frontera Energy Col 2679</v>
      </c>
      <c r="C63" s="41">
        <f>Data!F61</f>
        <v>0</v>
      </c>
      <c r="D63" s="41">
        <f>Data!G61</f>
        <v>0</v>
      </c>
      <c r="E63" s="41">
        <f>Data!H61</f>
        <v>0</v>
      </c>
      <c r="F63" s="41">
        <f>Data!K61</f>
        <v>0</v>
      </c>
      <c r="G63" s="33" t="str">
        <f>Data!M61</f>
        <v>Exceso Velocidad 10 Km/h</v>
      </c>
      <c r="H63" s="41" t="str">
        <f>Data!P61</f>
        <v>CAMPAMENTO QUIFA, ECOPETROL RUBIALES- Quifa - CAÑO SUR, Puerto Gaitan - Rubiales, Puerto Gaitán, Meta, Colombia, Campamento Quifa - CMA: Ent. CAMPAMENTO, Puerto Gaitán, Meta, Colombia</v>
      </c>
      <c r="I63" s="42" t="str">
        <f>Data!Q61</f>
        <v>Vel Max 10 Km/h, Cliente, Vel Max 40 Km/h, Centro de servicios del proveedor</v>
      </c>
      <c r="J63" s="43">
        <f>Data!S61</f>
        <v>46174.267611400464</v>
      </c>
      <c r="K63" s="44">
        <f>Data!S61</f>
        <v>46174.267611400464</v>
      </c>
      <c r="L63" s="45">
        <f>Data!T61</f>
        <v>5.0636574074074073E-5</v>
      </c>
      <c r="M63" s="46">
        <f>Data!U61</f>
        <v>1.3679411262273788E-2</v>
      </c>
      <c r="N63" s="46" t="str">
        <f>CONCATENATE(Data!W61," (",Data!V61,")")</f>
        <v>Exceso Velocidad 10 Km/h (Velocidad máxima: 11 kmh)</v>
      </c>
      <c r="O63" s="42" t="str">
        <f>IF(Data!V61&lt;&gt;"",N63,Data!W61)</f>
        <v>Exceso Velocidad 10 Km/h (Velocidad máxima: 11 kmh)</v>
      </c>
      <c r="P63" s="47" t="str">
        <f>Data!X61</f>
        <v>Válido</v>
      </c>
    </row>
    <row r="64" spans="1:16">
      <c r="A64" s="41" t="str">
        <f>Data!A62</f>
        <v>PKU060</v>
      </c>
      <c r="B64" s="41" t="str">
        <f>Data!D62</f>
        <v>Vehicle, Diesel, Frontera Energy Col 2679</v>
      </c>
      <c r="C64" s="41">
        <f>Data!F62</f>
        <v>0</v>
      </c>
      <c r="D64" s="41">
        <f>Data!G62</f>
        <v>0</v>
      </c>
      <c r="E64" s="41">
        <f>Data!H62</f>
        <v>0</v>
      </c>
      <c r="F64" s="41">
        <f>Data!K62</f>
        <v>0</v>
      </c>
      <c r="G64" s="33" t="str">
        <f>Data!M62</f>
        <v>Exceso Velocidad 10 Km/h</v>
      </c>
      <c r="H64" s="41" t="str">
        <f>Data!P62</f>
        <v>CAMPAMENTO QUIFA, ECOPETROL RUBIALES- Quifa - CAÑO SUR, Puerto Gaitan - Rubiales, Puerto Gaitán, Meta, Colombia, Campamento Quifa - CMA: Ent. CAMPAMENTO, Puerto Gaitán, Meta, Colombia</v>
      </c>
      <c r="I64" s="42" t="str">
        <f>Data!Q62</f>
        <v>Vel Max 10 Km/h, Cliente, Vel Max 40 Km/h, Centro de servicios del proveedor</v>
      </c>
      <c r="J64" s="43">
        <f>Data!S62</f>
        <v>46174.26766203704</v>
      </c>
      <c r="K64" s="44">
        <f>Data!S62</f>
        <v>46174.26766203704</v>
      </c>
      <c r="L64" s="45">
        <f>Data!T62</f>
        <v>3.5494212962962964E-4</v>
      </c>
      <c r="M64" s="46">
        <f>Data!U62</f>
        <v>0.11819932609796524</v>
      </c>
      <c r="N64" s="46" t="str">
        <f>CONCATENATE(Data!W62," (",Data!V62,")")</f>
        <v>Exceso Velocidad 10 Km/h (Velocidad máxima: 16 kmh)</v>
      </c>
      <c r="O64" s="42" t="str">
        <f>IF(Data!V62&lt;&gt;"",N64,Data!W62)</f>
        <v>Exceso Velocidad 10 Km/h (Velocidad máxima: 16 kmh)</v>
      </c>
      <c r="P64" s="47" t="str">
        <f>Data!X62</f>
        <v>Válido</v>
      </c>
    </row>
    <row r="65" spans="1:16">
      <c r="A65" s="41" t="str">
        <f>Data!A63</f>
        <v>PKU060</v>
      </c>
      <c r="B65" s="41" t="str">
        <f>Data!D63</f>
        <v>Vehicle, Diesel, Frontera Energy Col 2679</v>
      </c>
      <c r="C65" s="41">
        <f>Data!F63</f>
        <v>0</v>
      </c>
      <c r="D65" s="41">
        <f>Data!G63</f>
        <v>0</v>
      </c>
      <c r="E65" s="41">
        <f>Data!H63</f>
        <v>0</v>
      </c>
      <c r="F65" s="41">
        <f>Data!K63</f>
        <v>0</v>
      </c>
      <c r="G65" s="33" t="str">
        <f>Data!M63</f>
        <v>Tiempo en ralentí</v>
      </c>
      <c r="H65" s="41" t="str">
        <f>Data!P63</f>
        <v>CAMPAMENTO QUIFA, ECOPETROL RUBIALES- Quifa - CAÑO SUR, Campamento Quifa - CMA: Ent. CAMPAMENTO, Puerto Gaitán, Meta, Colombia</v>
      </c>
      <c r="I65" s="42" t="str">
        <f>Data!Q63</f>
        <v>Vel Max 10 Km/h, Cliente, Vel Max 40 Km/h</v>
      </c>
      <c r="J65" s="43">
        <f>Data!S63</f>
        <v>46174.292384259257</v>
      </c>
      <c r="K65" s="44">
        <f>Data!S63</f>
        <v>46174.292384259257</v>
      </c>
      <c r="L65" s="45">
        <f>Data!T63</f>
        <v>6.1689814814814819E-3</v>
      </c>
      <c r="M65" s="46">
        <f>Data!U63</f>
        <v>0</v>
      </c>
      <c r="N65" s="46" t="str">
        <f>CONCATENATE(Data!W63," (",Data!V63,")")</f>
        <v>Tiempo en ralentí (Ignición: 1.00)</v>
      </c>
      <c r="O65" s="42" t="str">
        <f>IF(Data!V63&lt;&gt;"",N65,Data!W63)</f>
        <v>Tiempo en ralentí (Ignición: 1.00)</v>
      </c>
      <c r="P65" s="47" t="str">
        <f>Data!X63</f>
        <v>Válido</v>
      </c>
    </row>
    <row r="66" spans="1:16">
      <c r="A66" s="41" t="str">
        <f>Data!A64</f>
        <v>PKU060</v>
      </c>
      <c r="B66" s="41" t="str">
        <f>Data!D64</f>
        <v>Vehicle, Diesel, Frontera Energy Col 2679</v>
      </c>
      <c r="C66" s="41">
        <f>Data!F64</f>
        <v>0</v>
      </c>
      <c r="D66" s="41">
        <f>Data!G64</f>
        <v>0</v>
      </c>
      <c r="E66" s="41">
        <f>Data!H64</f>
        <v>0</v>
      </c>
      <c r="F66" s="41">
        <f>Data!K64</f>
        <v>0</v>
      </c>
      <c r="G66" s="33" t="str">
        <f>Data!M64</f>
        <v>Exceso Velocidad 10 Km/h</v>
      </c>
      <c r="H66" s="41" t="str">
        <f>Data!P64</f>
        <v>CAMPAMENTO QUIFA, ECOPETROL RUBIALES- Quifa - CAÑO SUR, Campamento Quifa - CMA: Ent. CAMPAMENTO, Puerto Gaitán, Meta, Colombia</v>
      </c>
      <c r="I66" s="42" t="str">
        <f>Data!Q64</f>
        <v>Vel Max 10 Km/h, Cliente, Vel Max 40 Km/h</v>
      </c>
      <c r="J66" s="43">
        <f>Data!S64</f>
        <v>46174.298819444448</v>
      </c>
      <c r="K66" s="44">
        <f>Data!S64</f>
        <v>46174.298819444448</v>
      </c>
      <c r="L66" s="45">
        <f>Data!T64</f>
        <v>4.1666666666666669E-4</v>
      </c>
      <c r="M66" s="46">
        <f>Data!U64</f>
        <v>0.1068144291639328</v>
      </c>
      <c r="N66" s="46" t="str">
        <f>CONCATENATE(Data!W64," (",Data!V64,")")</f>
        <v>Exceso Velocidad 10 Km/h (Velocidad máxima: 12 kmh)</v>
      </c>
      <c r="O66" s="42" t="str">
        <f>IF(Data!V64&lt;&gt;"",N66,Data!W64)</f>
        <v>Exceso Velocidad 10 Km/h (Velocidad máxima: 12 kmh)</v>
      </c>
      <c r="P66" s="47" t="str">
        <f>Data!X64</f>
        <v>Válido</v>
      </c>
    </row>
    <row r="67" spans="1:16">
      <c r="A67" s="41" t="str">
        <f>Data!A65</f>
        <v>PKU060</v>
      </c>
      <c r="B67" s="41" t="str">
        <f>Data!D65</f>
        <v>Vehicle, Diesel, Frontera Energy Col 2679</v>
      </c>
      <c r="C67" s="41">
        <f>Data!F65</f>
        <v>0</v>
      </c>
      <c r="D67" s="41">
        <f>Data!G65</f>
        <v>0</v>
      </c>
      <c r="E67" s="41">
        <f>Data!H65</f>
        <v>0</v>
      </c>
      <c r="F67" s="41">
        <f>Data!K65</f>
        <v>0</v>
      </c>
      <c r="G67" s="33" t="str">
        <f>Data!M65</f>
        <v>Exceso Velocidad 10 Km/h</v>
      </c>
      <c r="H67" s="41" t="str">
        <f>Data!P65</f>
        <v>CAMPAMENTO QUIFA, ECOPETROL RUBIALES- Quifa - CAÑO SUR, Puerto Gaitan - Rubiales, Puerto Gaitán, Meta, Colombia: Ent. CAMPAMENTO, Puerto Gaitán, Meta, Colombia</v>
      </c>
      <c r="I67" s="42" t="str">
        <f>Data!Q65</f>
        <v>Vel Max 10 Km/h, Cliente, Vel Max 40 Km/h, Centro de servicios del proveedor</v>
      </c>
      <c r="J67" s="43">
        <f>Data!S65</f>
        <v>46174.299328703702</v>
      </c>
      <c r="K67" s="44">
        <f>Data!S65</f>
        <v>46174.299328703702</v>
      </c>
      <c r="L67" s="45">
        <f>Data!T65</f>
        <v>1.795138888888889E-5</v>
      </c>
      <c r="M67" s="46">
        <f>Data!U65</f>
        <v>5.2476390264928341E-3</v>
      </c>
      <c r="N67" s="46" t="str">
        <f>CONCATENATE(Data!W65," (",Data!V65,")")</f>
        <v>Exceso Velocidad 10 Km/h (Velocidad máxima: 13 kmh)</v>
      </c>
      <c r="O67" s="42" t="str">
        <f>IF(Data!V65&lt;&gt;"",N67,Data!W65)</f>
        <v>Exceso Velocidad 10 Km/h (Velocidad máxima: 13 kmh)</v>
      </c>
      <c r="P67" s="47" t="str">
        <f>Data!X65</f>
        <v>Válido</v>
      </c>
    </row>
    <row r="68" spans="1:16">
      <c r="A68" s="41" t="str">
        <f>Data!A66</f>
        <v>PKU060</v>
      </c>
      <c r="B68" s="41" t="str">
        <f>Data!D66</f>
        <v>Vehicle, Diesel, Frontera Energy Col 2679</v>
      </c>
      <c r="C68" s="41">
        <f>Data!F66</f>
        <v>0</v>
      </c>
      <c r="D68" s="41">
        <f>Data!G66</f>
        <v>0</v>
      </c>
      <c r="E68" s="41">
        <f>Data!H66</f>
        <v>0</v>
      </c>
      <c r="F68" s="41">
        <f>Data!K66</f>
        <v>0</v>
      </c>
      <c r="G68" s="33" t="str">
        <f>Data!M66</f>
        <v>Exceso Velocidad 10 Km/h</v>
      </c>
      <c r="H68" s="41" t="str">
        <f>Data!P66</f>
        <v>ECOPETROL RUBIALES- Quifa - CAÑO SUR, Puerto Triunfo - Estacion Policia, PUESTRO CONTROL QUIFA: Puerto Gaitan - Rubiales, Puerto Gaitán, Meta, Colombia</v>
      </c>
      <c r="I68" s="42" t="str">
        <f>Data!Q66</f>
        <v>Cliente, Vel Max 40 Km/h, Vel Max 30 Km/h, Vel Max 10 Km/h</v>
      </c>
      <c r="J68" s="43">
        <f>Data!S66</f>
        <v>46174.301177199071</v>
      </c>
      <c r="K68" s="44">
        <f>Data!S66</f>
        <v>46174.301177199071</v>
      </c>
      <c r="L68" s="45">
        <f>Data!T66</f>
        <v>3.1686342592592595E-4</v>
      </c>
      <c r="M68" s="46">
        <f>Data!U66</f>
        <v>0.18358427286148071</v>
      </c>
      <c r="N68" s="46" t="str">
        <f>CONCATENATE(Data!W66," (",Data!V66,")")</f>
        <v>Exceso Velocidad 10 Km/h (Velocidad máxima: 25 kmh)</v>
      </c>
      <c r="O68" s="42" t="str">
        <f>IF(Data!V66&lt;&gt;"",N68,Data!W66)</f>
        <v>Exceso Velocidad 10 Km/h (Velocidad máxima: 25 kmh)</v>
      </c>
      <c r="P68" s="47" t="str">
        <f>Data!X66</f>
        <v>Válido</v>
      </c>
    </row>
    <row r="69" spans="1:16">
      <c r="A69" s="41" t="str">
        <f>Data!A67</f>
        <v>PKU060</v>
      </c>
      <c r="B69" s="41" t="str">
        <f>Data!D67</f>
        <v>Vehicle, Diesel, Frontera Energy Col 2679</v>
      </c>
      <c r="C69" s="41">
        <f>Data!F67</f>
        <v>0</v>
      </c>
      <c r="D69" s="41">
        <f>Data!G67</f>
        <v>0</v>
      </c>
      <c r="E69" s="41">
        <f>Data!H67</f>
        <v>0</v>
      </c>
      <c r="F69" s="41">
        <f>Data!K67</f>
        <v>0</v>
      </c>
      <c r="G69" s="33" t="str">
        <f>Data!M67</f>
        <v>Aceleración brusca</v>
      </c>
      <c r="H69" s="41" t="str">
        <f>Data!P67</f>
        <v>ECOPETROL RUBIALES- Quifa - CAÑO SUR, Puerto Triunfo - Estacion Policia: Puerto Gaitan - Rubiales, Puerto Gaitán, Meta, Colombia</v>
      </c>
      <c r="I69" s="42" t="str">
        <f>Data!Q67</f>
        <v>Cliente, Vel Max 40 Km/h, Vel Max 30 Km/h</v>
      </c>
      <c r="J69" s="43">
        <f>Data!S67</f>
        <v>46174.304515428237</v>
      </c>
      <c r="K69" s="44">
        <f>Data!S67</f>
        <v>46174.304515428237</v>
      </c>
      <c r="L69" s="45">
        <f>Data!T67</f>
        <v>8.1018518518518515E-8</v>
      </c>
      <c r="M69" s="46">
        <f>Data!U67</f>
        <v>1.4320127775135916E-5</v>
      </c>
      <c r="N69" s="46" t="str">
        <f>CONCATENATE(Data!W67," (",Data!V67,")")</f>
        <v>Aceleración brusca (Velocidad máxima: 8 kmh Aceleración hacia delante o frenado: 0.44 g-force, Ignición: 1.00)</v>
      </c>
      <c r="O69" s="42" t="str">
        <f>IF(Data!V67&lt;&gt;"",N69,Data!W67)</f>
        <v>Aceleración brusca (Velocidad máxima: 8 kmh Aceleración hacia delante o frenado: 0.44 g-force, Ignición: 1.00)</v>
      </c>
      <c r="P69" s="47" t="str">
        <f>Data!X67</f>
        <v>Válido</v>
      </c>
    </row>
    <row r="70" spans="1:16">
      <c r="A70" s="41" t="str">
        <f>Data!A68</f>
        <v>PKU060</v>
      </c>
      <c r="B70" s="41" t="str">
        <f>Data!D68</f>
        <v>Vehicle, Diesel, Frontera Energy Col 2679</v>
      </c>
      <c r="C70" s="41">
        <f>Data!F68</f>
        <v>0</v>
      </c>
      <c r="D70" s="41">
        <f>Data!G68</f>
        <v>0</v>
      </c>
      <c r="E70" s="41">
        <f>Data!H68</f>
        <v>0</v>
      </c>
      <c r="F70" s="41">
        <f>Data!K68</f>
        <v>0</v>
      </c>
      <c r="G70" s="33" t="str">
        <f>Data!M68</f>
        <v>Giro brusco</v>
      </c>
      <c r="H70" s="41" t="str">
        <f>Data!P68</f>
        <v>ECOPETROL RUBIALES- Quifa - CAÑO SUR, Puerto Triunfo - Estacion Policia: Puerto Gaitan - Rubiales, Puerto Gaitán, Meta, Colombia</v>
      </c>
      <c r="I70" s="42" t="str">
        <f>Data!Q68</f>
        <v>Cliente, Vel Max 40 Km/h, Vel Max 30 Km/h</v>
      </c>
      <c r="J70" s="43">
        <f>Data!S68</f>
        <v>46174.316537939812</v>
      </c>
      <c r="K70" s="44">
        <f>Data!S68</f>
        <v>46174.316537939812</v>
      </c>
      <c r="L70" s="45">
        <f>Data!T68</f>
        <v>2.3148148148148148E-8</v>
      </c>
      <c r="M70" s="46">
        <f>Data!U68</f>
        <v>9.5031637101783417E-6</v>
      </c>
      <c r="N70" s="46" t="str">
        <f>CONCATENATE(Data!W68," (",Data!V68,")")</f>
        <v>Giro brusco (Velocidad máxima: 18 kmh Aceleración de lado a lado: -0.47 g-force, Ignición: 1.00)</v>
      </c>
      <c r="O70" s="42" t="str">
        <f>IF(Data!V68&lt;&gt;"",N70,Data!W68)</f>
        <v>Giro brusco (Velocidad máxima: 18 kmh Aceleración de lado a lado: -0.47 g-force, Ignición: 1.00)</v>
      </c>
      <c r="P70" s="47" t="str">
        <f>Data!X68</f>
        <v>Válido</v>
      </c>
    </row>
    <row r="71" spans="1:16">
      <c r="A71" s="41" t="str">
        <f>Data!A69</f>
        <v>PKU060</v>
      </c>
      <c r="B71" s="41" t="str">
        <f>Data!D69</f>
        <v>Vehicle, Diesel, Frontera Energy Col 2679</v>
      </c>
      <c r="C71" s="41">
        <f>Data!F69</f>
        <v>0</v>
      </c>
      <c r="D71" s="41">
        <f>Data!G69</f>
        <v>0</v>
      </c>
      <c r="E71" s="41">
        <f>Data!H69</f>
        <v>0</v>
      </c>
      <c r="F71" s="41">
        <f>Data!K69</f>
        <v>0</v>
      </c>
      <c r="G71" s="33" t="str">
        <f>Data!M69</f>
        <v>Exceso Velocidad 10 Km/h</v>
      </c>
      <c r="H71" s="41" t="str">
        <f>Data!P69</f>
        <v>ECOPETROL RUBIALES- Quifa - CAÑO SUR, Puerto Triunfo - Estacion Policia, PUESTRO CONTROL QUIFA: Puerto Gaitan - Rubiales, Puerto Gaitán, Meta, Colombia</v>
      </c>
      <c r="I71" s="42" t="str">
        <f>Data!Q69</f>
        <v>Cliente, Vel Max 40 Km/h, Vel Max 30 Km/h, Vel Max 10 Km/h</v>
      </c>
      <c r="J71" s="43">
        <f>Data!S69</f>
        <v>46174.318608125002</v>
      </c>
      <c r="K71" s="44">
        <f>Data!S69</f>
        <v>46174.318608125002</v>
      </c>
      <c r="L71" s="45">
        <f>Data!T69</f>
        <v>3.7914351851851851E-4</v>
      </c>
      <c r="M71" s="46">
        <f>Data!U69</f>
        <v>0.18388620018959045</v>
      </c>
      <c r="N71" s="46" t="str">
        <f>CONCATENATE(Data!W69," (",Data!V69,")")</f>
        <v>Exceso Velocidad 10 Km/h (Velocidad máxima: 22 kmh)</v>
      </c>
      <c r="O71" s="42" t="str">
        <f>IF(Data!V69&lt;&gt;"",N71,Data!W69)</f>
        <v>Exceso Velocidad 10 Km/h (Velocidad máxima: 22 kmh)</v>
      </c>
      <c r="P71" s="47" t="str">
        <f>Data!X69</f>
        <v>Válido</v>
      </c>
    </row>
    <row r="72" spans="1:16">
      <c r="A72" s="41" t="str">
        <f>Data!A70</f>
        <v>PKU060</v>
      </c>
      <c r="B72" s="41" t="str">
        <f>Data!D70</f>
        <v>Vehicle, Diesel, Frontera Energy Col 2679</v>
      </c>
      <c r="C72" s="41">
        <f>Data!F70</f>
        <v>0</v>
      </c>
      <c r="D72" s="41">
        <f>Data!G70</f>
        <v>0</v>
      </c>
      <c r="E72" s="41">
        <f>Data!H70</f>
        <v>0</v>
      </c>
      <c r="F72" s="41">
        <f>Data!K70</f>
        <v>0</v>
      </c>
      <c r="G72" s="33" t="str">
        <f>Data!M70</f>
        <v>Exceso Velocidad 10 Km/h</v>
      </c>
      <c r="H72" s="41" t="str">
        <f>Data!P70</f>
        <v>CAMPAMENTO QUIFA, ECOPETROL RUBIALES- Quifa - CAÑO SUR, Puerto Gaitan - Rubiales, Puerto Gaitán, Meta, Colombia, Puerto Triunfo - Estacion Policia: Ent. CAMPAMENTO, Puerto Gaitán, Meta, Colombia</v>
      </c>
      <c r="I72" s="42" t="str">
        <f>Data!Q70</f>
        <v>Vel Max 10 Km/h, Cliente, Vel Max 40 Km/h, Centro de servicios del proveedor, Vel Max 30 Km/h</v>
      </c>
      <c r="J72" s="43">
        <f>Data!S70</f>
        <v>46174.320980520832</v>
      </c>
      <c r="K72" s="44">
        <f>Data!S70</f>
        <v>46174.320980520832</v>
      </c>
      <c r="L72" s="45">
        <f>Data!T70</f>
        <v>2.6177083333333331E-4</v>
      </c>
      <c r="M72" s="46">
        <f>Data!U70</f>
        <v>0.10585183650255203</v>
      </c>
      <c r="N72" s="46" t="str">
        <f>CONCATENATE(Data!W70," (",Data!V70,")")</f>
        <v>Exceso Velocidad 10 Km/h (Velocidad máxima: 18 kmh)</v>
      </c>
      <c r="O72" s="42" t="str">
        <f>IF(Data!V70&lt;&gt;"",N72,Data!W70)</f>
        <v>Exceso Velocidad 10 Km/h (Velocidad máxima: 18 kmh)</v>
      </c>
      <c r="P72" s="47" t="str">
        <f>Data!X70</f>
        <v>Válido</v>
      </c>
    </row>
    <row r="73" spans="1:16">
      <c r="A73" s="41" t="str">
        <f>Data!A71</f>
        <v>PKU060</v>
      </c>
      <c r="B73" s="41" t="str">
        <f>Data!D71</f>
        <v>Vehicle, Diesel, Frontera Energy Col 2679</v>
      </c>
      <c r="C73" s="41">
        <f>Data!F71</f>
        <v>0</v>
      </c>
      <c r="D73" s="41">
        <f>Data!G71</f>
        <v>0</v>
      </c>
      <c r="E73" s="41">
        <f>Data!H71</f>
        <v>0</v>
      </c>
      <c r="F73" s="41">
        <f>Data!K71</f>
        <v>0</v>
      </c>
      <c r="G73" s="33" t="str">
        <f>Data!M71</f>
        <v>Frenado brusco (nuevo)</v>
      </c>
      <c r="H73" s="41" t="str">
        <f>Data!P71</f>
        <v>ECOPETROL RUBIALES- Quifa - CAÑO SUR: Puerto Gaitan - Rubiales, Puerto Gaitán, Meta, Colombia</v>
      </c>
      <c r="I73" s="42" t="str">
        <f>Data!Q71</f>
        <v>Cliente, Vel Max 40 Km/h</v>
      </c>
      <c r="J73" s="43">
        <f>Data!S71</f>
        <v>46174.333194444444</v>
      </c>
      <c r="K73" s="44">
        <f>Data!S71</f>
        <v>46174.333194444444</v>
      </c>
      <c r="L73" s="45">
        <f>Data!T71</f>
        <v>0</v>
      </c>
      <c r="M73" s="46">
        <f>Data!U71</f>
        <v>0</v>
      </c>
      <c r="N73" s="46" t="str">
        <f>CONCATENATE(Data!W71," (",Data!V71,")")</f>
        <v>Frenado brusco (nuevo) (Clase de vehículo para métricas de seguridad: Otra clase (no estandarizada), Velocidad máxima: 21 kmh,  Ignición: 1)</v>
      </c>
      <c r="O73" s="42" t="str">
        <f>IF(Data!V71&lt;&gt;"",N73,Data!W71)</f>
        <v>Frenado brusco (nuevo) (Clase de vehículo para métricas de seguridad: Otra clase (no estandarizada), Velocidad máxima: 21 kmh,  Ignición: 1)</v>
      </c>
      <c r="P73" s="47" t="str">
        <f>Data!X71</f>
        <v>Válido</v>
      </c>
    </row>
    <row r="74" spans="1:16">
      <c r="A74" s="41" t="str">
        <f>Data!A72</f>
        <v>PKU060</v>
      </c>
      <c r="B74" s="41" t="str">
        <f>Data!D72</f>
        <v>Vehicle, Diesel, Frontera Energy Col 2679</v>
      </c>
      <c r="C74" s="41">
        <f>Data!F72</f>
        <v>0</v>
      </c>
      <c r="D74" s="41">
        <f>Data!G72</f>
        <v>0</v>
      </c>
      <c r="E74" s="41">
        <f>Data!H72</f>
        <v>0</v>
      </c>
      <c r="F74" s="41">
        <f>Data!K72</f>
        <v>0</v>
      </c>
      <c r="G74" s="33" t="str">
        <f>Data!M72</f>
        <v>Exceso Velocidad 10 Km/h</v>
      </c>
      <c r="H74" s="41" t="str">
        <f>Data!P72</f>
        <v>ECOPETROL RUBIALES- Quifa - CAÑO SUR, BATERIA 4: Rb 4 324 126 129 195 14 325 316 143 217 1 26 523 256 28, Meta, 502057, Colombia</v>
      </c>
      <c r="I74" s="42" t="str">
        <f>Data!Q72</f>
        <v>Cliente, Vel Max 40 Km/h, Vel Max 10 Km/h</v>
      </c>
      <c r="J74" s="43">
        <f>Data!S72</f>
        <v>46174.341922916668</v>
      </c>
      <c r="K74" s="44">
        <f>Data!S72</f>
        <v>46174.341922916668</v>
      </c>
      <c r="L74" s="45">
        <f>Data!T72</f>
        <v>1.5516203703703703E-3</v>
      </c>
      <c r="M74" s="46">
        <f>Data!U72</f>
        <v>0.51166272163391113</v>
      </c>
      <c r="N74" s="46" t="str">
        <f>CONCATENATE(Data!W72," (",Data!V72,")")</f>
        <v>Exceso Velocidad 10 Km/h (Velocidad máxima: 18 kmh)</v>
      </c>
      <c r="O74" s="42" t="str">
        <f>IF(Data!V72&lt;&gt;"",N74,Data!W72)</f>
        <v>Exceso Velocidad 10 Km/h (Velocidad máxima: 18 kmh)</v>
      </c>
      <c r="P74" s="47" t="str">
        <f>Data!X72</f>
        <v>Válido</v>
      </c>
    </row>
    <row r="75" spans="1:16">
      <c r="A75" s="41" t="str">
        <f>Data!A73</f>
        <v>PKU060</v>
      </c>
      <c r="B75" s="41" t="str">
        <f>Data!D73</f>
        <v>Vehicle, Diesel, Frontera Energy Col 2679</v>
      </c>
      <c r="C75" s="41">
        <f>Data!F73</f>
        <v>0</v>
      </c>
      <c r="D75" s="41">
        <f>Data!G73</f>
        <v>0</v>
      </c>
      <c r="E75" s="41">
        <f>Data!H73</f>
        <v>0</v>
      </c>
      <c r="F75" s="41">
        <f>Data!K73</f>
        <v>0</v>
      </c>
      <c r="G75" s="33" t="str">
        <f>Data!M73</f>
        <v>Exceso Velocidad 10 Km/h</v>
      </c>
      <c r="H75" s="41" t="str">
        <f>Data!P73</f>
        <v>ECOPETROL RUBIALES- Quifa - CAÑO SUR, BATERIA 4: Rb 4 324 126 129 195 14 325 316 143 217 1 26 523 256 28, Meta, 502057, Colombia</v>
      </c>
      <c r="I75" s="42" t="str">
        <f>Data!Q73</f>
        <v>Cliente, Vel Max 40 Km/h, Vel Max 10 Km/h</v>
      </c>
      <c r="J75" s="43">
        <f>Data!S73</f>
        <v>46174.343503634256</v>
      </c>
      <c r="K75" s="44">
        <f>Data!S73</f>
        <v>46174.343503634256</v>
      </c>
      <c r="L75" s="45">
        <f>Data!T73</f>
        <v>1.6149999999999999E-3</v>
      </c>
      <c r="M75" s="46">
        <f>Data!U73</f>
        <v>0.5166437029838562</v>
      </c>
      <c r="N75" s="46" t="str">
        <f>CONCATENATE(Data!W73," (",Data!V73,")")</f>
        <v>Exceso Velocidad 10 Km/h (Velocidad máxima: 16 kmh)</v>
      </c>
      <c r="O75" s="42" t="str">
        <f>IF(Data!V73&lt;&gt;"",N75,Data!W73)</f>
        <v>Exceso Velocidad 10 Km/h (Velocidad máxima: 16 kmh)</v>
      </c>
      <c r="P75" s="47" t="str">
        <f>Data!X73</f>
        <v>Válido</v>
      </c>
    </row>
    <row r="76" spans="1:16">
      <c r="A76" s="41" t="str">
        <f>Data!A74</f>
        <v>PKU060</v>
      </c>
      <c r="B76" s="41" t="str">
        <f>Data!D74</f>
        <v>Vehicle, Diesel, Frontera Energy Col 2679</v>
      </c>
      <c r="C76" s="41">
        <f>Data!F74</f>
        <v>0</v>
      </c>
      <c r="D76" s="41">
        <f>Data!G74</f>
        <v>0</v>
      </c>
      <c r="E76" s="41">
        <f>Data!H74</f>
        <v>0</v>
      </c>
      <c r="F76" s="41">
        <f>Data!K74</f>
        <v>0</v>
      </c>
      <c r="G76" s="33" t="str">
        <f>Data!M74</f>
        <v>Exceso Velocidad 10 Km/h</v>
      </c>
      <c r="H76" s="41" t="str">
        <f>Data!P74</f>
        <v>ECOPETROL RUBIALES- Quifa - CAÑO SUR, BATERIA 4: Rb 4, Puerto Gaitán, Meta, Colombia</v>
      </c>
      <c r="I76" s="42" t="str">
        <f>Data!Q74</f>
        <v>Cliente, Vel Max 40 Km/h, Vel Max 10 Km/h</v>
      </c>
      <c r="J76" s="43">
        <f>Data!S74</f>
        <v>46174.435399305657</v>
      </c>
      <c r="K76" s="44">
        <f>Data!S74</f>
        <v>46174.435399305657</v>
      </c>
      <c r="L76" s="45">
        <f>Data!T74</f>
        <v>2.0254629629629629E-5</v>
      </c>
      <c r="M76" s="46">
        <f>Data!U74</f>
        <v>4.5306063257157803E-3</v>
      </c>
      <c r="N76" s="46" t="str">
        <f>CONCATENATE(Data!W74," (",Data!V74,")")</f>
        <v>Exceso Velocidad 10 Km/h (Velocidad máxima: 11 kmh)</v>
      </c>
      <c r="O76" s="42" t="str">
        <f>IF(Data!V74&lt;&gt;"",N76,Data!W74)</f>
        <v>Exceso Velocidad 10 Km/h (Velocidad máxima: 11 kmh)</v>
      </c>
      <c r="P76" s="47" t="str">
        <f>Data!X74</f>
        <v>Válido</v>
      </c>
    </row>
    <row r="77" spans="1:16">
      <c r="A77" s="41" t="str">
        <f>Data!A75</f>
        <v>PKU060</v>
      </c>
      <c r="B77" s="41" t="str">
        <f>Data!D75</f>
        <v>Vehicle, Diesel, Frontera Energy Col 2679</v>
      </c>
      <c r="C77" s="41">
        <f>Data!F75</f>
        <v>0</v>
      </c>
      <c r="D77" s="41">
        <f>Data!G75</f>
        <v>0</v>
      </c>
      <c r="E77" s="41">
        <f>Data!H75</f>
        <v>0</v>
      </c>
      <c r="F77" s="41">
        <f>Data!K75</f>
        <v>0</v>
      </c>
      <c r="G77" s="33" t="str">
        <f>Data!M75</f>
        <v>Exceso Velocidad 10 Km/h</v>
      </c>
      <c r="H77" s="41" t="str">
        <f>Data!P75</f>
        <v>ECOPETROL RUBIALES- Quifa - CAÑO SUR, BATERIA 4: Rb 4, Puerto Gaitán, Meta, Colombia</v>
      </c>
      <c r="I77" s="42" t="str">
        <f>Data!Q75</f>
        <v>Cliente, Vel Max 40 Km/h, Vel Max 10 Km/h</v>
      </c>
      <c r="J77" s="43">
        <f>Data!S75</f>
        <v>46174.435752314814</v>
      </c>
      <c r="K77" s="44">
        <f>Data!S75</f>
        <v>46174.435752314814</v>
      </c>
      <c r="L77" s="45">
        <f>Data!T75</f>
        <v>4.9189814814814815E-5</v>
      </c>
      <c r="M77" s="46">
        <f>Data!U75</f>
        <v>9.4486996531486511E-3</v>
      </c>
      <c r="N77" s="46" t="str">
        <f>CONCATENATE(Data!W75," (",Data!V75,")")</f>
        <v>Exceso Velocidad 10 Km/h (Velocidad máxima: 13 kmh)</v>
      </c>
      <c r="O77" s="42" t="str">
        <f>IF(Data!V75&lt;&gt;"",N77,Data!W75)</f>
        <v>Exceso Velocidad 10 Km/h (Velocidad máxima: 13 kmh)</v>
      </c>
      <c r="P77" s="47" t="str">
        <f>Data!X75</f>
        <v>Válido</v>
      </c>
    </row>
    <row r="78" spans="1:16">
      <c r="A78" s="41" t="str">
        <f>Data!A76</f>
        <v>PKU060</v>
      </c>
      <c r="B78" s="41" t="str">
        <f>Data!D76</f>
        <v>Vehicle, Diesel, Frontera Energy Col 2679</v>
      </c>
      <c r="C78" s="41">
        <f>Data!F76</f>
        <v>0</v>
      </c>
      <c r="D78" s="41">
        <f>Data!G76</f>
        <v>0</v>
      </c>
      <c r="E78" s="41">
        <f>Data!H76</f>
        <v>0</v>
      </c>
      <c r="F78" s="41">
        <f>Data!K76</f>
        <v>0</v>
      </c>
      <c r="G78" s="33" t="str">
        <f>Data!M76</f>
        <v>Exceso Velocidad 10 Km/h</v>
      </c>
      <c r="H78" s="41" t="str">
        <f>Data!P76</f>
        <v>ECOPETROL RUBIALES- Quifa - CAÑO SUR, BATERIA 4: Vía Sin Nombre, Puerto Gaitán, Meta, Colombia</v>
      </c>
      <c r="I78" s="42" t="str">
        <f>Data!Q76</f>
        <v>Cliente, Vel Max 40 Km/h, Vel Max 10 Km/h</v>
      </c>
      <c r="J78" s="43">
        <f>Data!S76</f>
        <v>46174.435873842696</v>
      </c>
      <c r="K78" s="44">
        <f>Data!S76</f>
        <v>46174.435873842696</v>
      </c>
      <c r="L78" s="45">
        <f>Data!T76</f>
        <v>2.1215277777777779E-5</v>
      </c>
      <c r="M78" s="46">
        <f>Data!U76</f>
        <v>4.9832682125270367E-3</v>
      </c>
      <c r="N78" s="46" t="str">
        <f>CONCATENATE(Data!W76," (",Data!V76,")")</f>
        <v>Exceso Velocidad 10 Km/h (Velocidad máxima: 11 kmh)</v>
      </c>
      <c r="O78" s="42" t="str">
        <f>IF(Data!V76&lt;&gt;"",N78,Data!W76)</f>
        <v>Exceso Velocidad 10 Km/h (Velocidad máxima: 11 kmh)</v>
      </c>
      <c r="P78" s="47" t="str">
        <f>Data!X76</f>
        <v>Válido</v>
      </c>
    </row>
    <row r="79" spans="1:16">
      <c r="A79" s="41" t="str">
        <f>Data!A77</f>
        <v>PKU060</v>
      </c>
      <c r="B79" s="41" t="str">
        <f>Data!D77</f>
        <v>Vehicle, Diesel, Frontera Energy Col 2679</v>
      </c>
      <c r="C79" s="41">
        <f>Data!F77</f>
        <v>0</v>
      </c>
      <c r="D79" s="41">
        <f>Data!G77</f>
        <v>0</v>
      </c>
      <c r="E79" s="41">
        <f>Data!H77</f>
        <v>0</v>
      </c>
      <c r="F79" s="41">
        <f>Data!K77</f>
        <v>0</v>
      </c>
      <c r="G79" s="33" t="str">
        <f>Data!M77</f>
        <v>Exceso Velocidad 10 Km/h</v>
      </c>
      <c r="H79" s="41" t="str">
        <f>Data!P77</f>
        <v>ECOPETROL RUBIALES- Quifa - CAÑO SUR, BATERIA 4: Vía Sin Nombre, Puerto Gaitán, Meta, Colombia</v>
      </c>
      <c r="I79" s="42" t="str">
        <f>Data!Q77</f>
        <v>Cliente, Vel Max 40 Km/h, Vel Max 10 Km/h</v>
      </c>
      <c r="J79" s="43">
        <f>Data!S77</f>
        <v>46174.435995370368</v>
      </c>
      <c r="K79" s="44">
        <f>Data!S77</f>
        <v>46174.435995370368</v>
      </c>
      <c r="L79" s="45">
        <f>Data!T77</f>
        <v>3.0092592592592595E-4</v>
      </c>
      <c r="M79" s="46">
        <f>Data!U77</f>
        <v>7.5384125113487244E-2</v>
      </c>
      <c r="N79" s="46" t="str">
        <f>CONCATENATE(Data!W77," (",Data!V77,")")</f>
        <v>Exceso Velocidad 10 Km/h (Velocidad máxima: 11 kmh)</v>
      </c>
      <c r="O79" s="42" t="str">
        <f>IF(Data!V77&lt;&gt;"",N79,Data!W77)</f>
        <v>Exceso Velocidad 10 Km/h (Velocidad máxima: 11 kmh)</v>
      </c>
      <c r="P79" s="47" t="str">
        <f>Data!X77</f>
        <v>Válido</v>
      </c>
    </row>
    <row r="80" spans="1:16">
      <c r="A80" s="41" t="str">
        <f>Data!A78</f>
        <v>PKU060</v>
      </c>
      <c r="B80" s="41" t="str">
        <f>Data!D78</f>
        <v>Vehicle, Diesel, Frontera Energy Col 2679</v>
      </c>
      <c r="C80" s="41">
        <f>Data!F78</f>
        <v>0</v>
      </c>
      <c r="D80" s="41">
        <f>Data!G78</f>
        <v>0</v>
      </c>
      <c r="E80" s="41">
        <f>Data!H78</f>
        <v>0</v>
      </c>
      <c r="F80" s="41">
        <f>Data!K78</f>
        <v>0</v>
      </c>
      <c r="G80" s="33" t="str">
        <f>Data!M78</f>
        <v>Tiempo en ralentí</v>
      </c>
      <c r="H80" s="41" t="str">
        <f>Data!P78</f>
        <v>ECOPETROL RUBIALES- Quifa - CAÑO SUR, BATERIA 4: Vía Sin Nombre, Puerto Gaitán, Meta, Colombia</v>
      </c>
      <c r="I80" s="42" t="str">
        <f>Data!Q78</f>
        <v>Cliente, Vel Max 40 Km/h, Vel Max 10 Km/h</v>
      </c>
      <c r="J80" s="43">
        <f>Data!S78</f>
        <v>46174.436863425923</v>
      </c>
      <c r="K80" s="44">
        <f>Data!S78</f>
        <v>46174.436863425923</v>
      </c>
      <c r="L80" s="45">
        <f>Data!T78</f>
        <v>3.2094907407407405E-2</v>
      </c>
      <c r="M80" s="46">
        <f>Data!U78</f>
        <v>0</v>
      </c>
      <c r="N80" s="46" t="str">
        <f>CONCATENATE(Data!W78," (",Data!V78,")")</f>
        <v>Tiempo en ralentí (Ignición: 1.00)</v>
      </c>
      <c r="O80" s="42" t="str">
        <f>IF(Data!V78&lt;&gt;"",N80,Data!W78)</f>
        <v>Tiempo en ralentí (Ignición: 1.00)</v>
      </c>
      <c r="P80" s="47" t="str">
        <f>Data!X78</f>
        <v>Válido</v>
      </c>
    </row>
    <row r="81" spans="1:16">
      <c r="A81" s="41" t="str">
        <f>Data!A79</f>
        <v>PKU060</v>
      </c>
      <c r="B81" s="41" t="str">
        <f>Data!D79</f>
        <v>Vehicle, Diesel, Frontera Energy Col 2679</v>
      </c>
      <c r="C81" s="41">
        <f>Data!F79</f>
        <v>0</v>
      </c>
      <c r="D81" s="41">
        <f>Data!G79</f>
        <v>0</v>
      </c>
      <c r="E81" s="41">
        <f>Data!H79</f>
        <v>0</v>
      </c>
      <c r="F81" s="41">
        <f>Data!K79</f>
        <v>0</v>
      </c>
      <c r="G81" s="33" t="str">
        <f>Data!M79</f>
        <v>Exceso Velocidad 10 Km/h</v>
      </c>
      <c r="H81" s="41" t="str">
        <f>Data!P79</f>
        <v>ECOPETROL RUBIALES- Quifa - CAÑO SUR, BATERIA 4: Vía Sin Nombre, Puerto Gaitán, Meta, Colombia</v>
      </c>
      <c r="I81" s="42" t="str">
        <f>Data!Q79</f>
        <v>Cliente, Vel Max 40 Km/h, Vel Max 10 Km/h</v>
      </c>
      <c r="J81" s="43">
        <f>Data!S79</f>
        <v>46174.469797453807</v>
      </c>
      <c r="K81" s="44">
        <f>Data!S79</f>
        <v>46174.469797453807</v>
      </c>
      <c r="L81" s="45">
        <f>Data!T79</f>
        <v>3.1002314814814814E-4</v>
      </c>
      <c r="M81" s="46">
        <f>Data!U79</f>
        <v>8.8347762823104858E-2</v>
      </c>
      <c r="N81" s="46" t="str">
        <f>CONCATENATE(Data!W79," (",Data!V79,")")</f>
        <v>Exceso Velocidad 10 Km/h (Velocidad máxima: 13 kmh)</v>
      </c>
      <c r="O81" s="42" t="str">
        <f>IF(Data!V79&lt;&gt;"",N81,Data!W79)</f>
        <v>Exceso Velocidad 10 Km/h (Velocidad máxima: 13 kmh)</v>
      </c>
      <c r="P81" s="47" t="str">
        <f>Data!X79</f>
        <v>Válido</v>
      </c>
    </row>
    <row r="82" spans="1:16">
      <c r="A82" s="41" t="str">
        <f>Data!A80</f>
        <v>PKU060</v>
      </c>
      <c r="B82" s="41" t="str">
        <f>Data!D80</f>
        <v>Vehicle, Diesel, Frontera Energy Col 2679</v>
      </c>
      <c r="C82" s="41">
        <f>Data!F80</f>
        <v>0</v>
      </c>
      <c r="D82" s="41">
        <f>Data!G80</f>
        <v>0</v>
      </c>
      <c r="E82" s="41">
        <f>Data!H80</f>
        <v>0</v>
      </c>
      <c r="F82" s="41">
        <f>Data!K80</f>
        <v>0</v>
      </c>
      <c r="G82" s="33" t="str">
        <f>Data!M80</f>
        <v>Exceso Velocidad 10 Km/h</v>
      </c>
      <c r="H82" s="41" t="str">
        <f>Data!P80</f>
        <v>ECOPETROL RUBIALES- Quifa - CAÑO SUR, BATERIA 4: Vía Sin Nombre, Puerto Gaitán, Meta, Colombia</v>
      </c>
      <c r="I82" s="42" t="str">
        <f>Data!Q80</f>
        <v>Cliente, Vel Max 40 Km/h, Vel Max 10 Km/h</v>
      </c>
      <c r="J82" s="43">
        <f>Data!S80</f>
        <v>46174.470196759263</v>
      </c>
      <c r="K82" s="44">
        <f>Data!S80</f>
        <v>46174.470196759263</v>
      </c>
      <c r="L82" s="45">
        <f>Data!T80</f>
        <v>6.9444444444444444E-5</v>
      </c>
      <c r="M82" s="46">
        <f>Data!U80</f>
        <v>1.7473626881837845E-2</v>
      </c>
      <c r="N82" s="46" t="str">
        <f>CONCATENATE(Data!W80," (",Data!V80,")")</f>
        <v>Exceso Velocidad 10 Km/h (Velocidad máxima: 12 kmh)</v>
      </c>
      <c r="O82" s="42" t="str">
        <f>IF(Data!V80&lt;&gt;"",N82,Data!W80)</f>
        <v>Exceso Velocidad 10 Km/h (Velocidad máxima: 12 kmh)</v>
      </c>
      <c r="P82" s="47" t="str">
        <f>Data!X80</f>
        <v>Válido</v>
      </c>
    </row>
    <row r="83" spans="1:16">
      <c r="A83" s="41" t="str">
        <f>Data!A81</f>
        <v>PKU060</v>
      </c>
      <c r="B83" s="41" t="str">
        <f>Data!D81</f>
        <v>Vehicle, Diesel, Frontera Energy Col 2679</v>
      </c>
      <c r="C83" s="41">
        <f>Data!F81</f>
        <v>0</v>
      </c>
      <c r="D83" s="41">
        <f>Data!G81</f>
        <v>0</v>
      </c>
      <c r="E83" s="41">
        <f>Data!H81</f>
        <v>0</v>
      </c>
      <c r="F83" s="41">
        <f>Data!K81</f>
        <v>0</v>
      </c>
      <c r="G83" s="33" t="str">
        <f>Data!M81</f>
        <v>Exceso Velocidad 10 Km/h</v>
      </c>
      <c r="H83" s="41" t="str">
        <f>Data!P81</f>
        <v>ECOPETROL RUBIALES- Quifa - CAÑO SUR, BATERIA 4: Rb 4, Puerto Gaitán, Meta, Colombia</v>
      </c>
      <c r="I83" s="42" t="str">
        <f>Data!Q81</f>
        <v>Cliente, Vel Max 40 Km/h, Vel Max 10 Km/h</v>
      </c>
      <c r="J83" s="43">
        <f>Data!S81</f>
        <v>46174.47284722222</v>
      </c>
      <c r="K83" s="44">
        <f>Data!S81</f>
        <v>46174.47284722222</v>
      </c>
      <c r="L83" s="45">
        <f>Data!T81</f>
        <v>3.2118055555555556E-4</v>
      </c>
      <c r="M83" s="46">
        <f>Data!U81</f>
        <v>8.322848379611969E-2</v>
      </c>
      <c r="N83" s="46" t="str">
        <f>CONCATENATE(Data!W81," (",Data!V81,")")</f>
        <v>Exceso Velocidad 10 Km/h (Velocidad máxima: 13 kmh)</v>
      </c>
      <c r="O83" s="42" t="str">
        <f>IF(Data!V81&lt;&gt;"",N83,Data!W81)</f>
        <v>Exceso Velocidad 10 Km/h (Velocidad máxima: 13 kmh)</v>
      </c>
      <c r="P83" s="47" t="str">
        <f>Data!X81</f>
        <v>Válido</v>
      </c>
    </row>
    <row r="84" spans="1:16">
      <c r="A84" s="41" t="str">
        <f>Data!A82</f>
        <v>PKU060</v>
      </c>
      <c r="B84" s="41" t="str">
        <f>Data!D82</f>
        <v>Vehicle, Diesel, Frontera Energy Col 2679</v>
      </c>
      <c r="C84" s="41">
        <f>Data!F82</f>
        <v>0</v>
      </c>
      <c r="D84" s="41">
        <f>Data!G82</f>
        <v>0</v>
      </c>
      <c r="E84" s="41">
        <f>Data!H82</f>
        <v>0</v>
      </c>
      <c r="F84" s="41">
        <f>Data!K82</f>
        <v>0</v>
      </c>
      <c r="G84" s="33" t="str">
        <f>Data!M82</f>
        <v>Exceso Velocidad 10 Km/h</v>
      </c>
      <c r="H84" s="41" t="str">
        <f>Data!P82</f>
        <v>ECOPETROL RUBIALES- Quifa - CAÑO SUR, BATERIA 4: Rb 4, Puerto Gaitán, Meta, Colombia</v>
      </c>
      <c r="I84" s="42" t="str">
        <f>Data!Q82</f>
        <v>Cliente, Vel Max 40 Km/h, Vel Max 10 Km/h</v>
      </c>
      <c r="J84" s="43">
        <f>Data!S82</f>
        <v>46174.473229166666</v>
      </c>
      <c r="K84" s="44">
        <f>Data!S82</f>
        <v>46174.473229166666</v>
      </c>
      <c r="L84" s="45">
        <f>Data!T82</f>
        <v>3.9351851851851852E-4</v>
      </c>
      <c r="M84" s="46">
        <f>Data!U82</f>
        <v>9.5633745193481445E-2</v>
      </c>
      <c r="N84" s="46" t="str">
        <f>CONCATENATE(Data!W82," (",Data!V82,")")</f>
        <v>Exceso Velocidad 10 Km/h (Velocidad máxima: 12 kmh)</v>
      </c>
      <c r="O84" s="42" t="str">
        <f>IF(Data!V82&lt;&gt;"",N84,Data!W82)</f>
        <v>Exceso Velocidad 10 Km/h (Velocidad máxima: 12 kmh)</v>
      </c>
      <c r="P84" s="47" t="str">
        <f>Data!X82</f>
        <v>Válido</v>
      </c>
    </row>
    <row r="85" spans="1:16">
      <c r="A85" s="41" t="str">
        <f>Data!A83</f>
        <v>PKU060</v>
      </c>
      <c r="B85" s="41" t="str">
        <f>Data!D83</f>
        <v>Vehicle, Diesel, Frontera Energy Col 2679</v>
      </c>
      <c r="C85" s="41">
        <f>Data!F83</f>
        <v>0</v>
      </c>
      <c r="D85" s="41">
        <f>Data!G83</f>
        <v>0</v>
      </c>
      <c r="E85" s="41">
        <f>Data!H83</f>
        <v>0</v>
      </c>
      <c r="F85" s="41">
        <f>Data!K83</f>
        <v>0</v>
      </c>
      <c r="G85" s="33" t="str">
        <f>Data!M83</f>
        <v>Exceso Velocidad 10 Km/h</v>
      </c>
      <c r="H85" s="41" t="str">
        <f>Data!P83</f>
        <v>ECOPETROL RUBIALES- Quifa - CAÑO SUR, BATERIA 4: Rb 4, Puerto Gaitán, Meta, Colombia</v>
      </c>
      <c r="I85" s="42" t="str">
        <f>Data!Q83</f>
        <v>Cliente, Vel Max 40 Km/h, Vel Max 10 Km/h</v>
      </c>
      <c r="J85" s="43">
        <f>Data!S83</f>
        <v>46174.473865740743</v>
      </c>
      <c r="K85" s="44">
        <f>Data!S83</f>
        <v>46174.473865740743</v>
      </c>
      <c r="L85" s="45">
        <f>Data!T83</f>
        <v>6.4814814814814813E-4</v>
      </c>
      <c r="M85" s="46">
        <f>Data!U83</f>
        <v>0.17257057130336761</v>
      </c>
      <c r="N85" s="46" t="str">
        <f>CONCATENATE(Data!W83," (",Data!V83,")")</f>
        <v>Exceso Velocidad 10 Km/h (Velocidad máxima: 12 kmh)</v>
      </c>
      <c r="O85" s="42" t="str">
        <f>IF(Data!V83&lt;&gt;"",N85,Data!W83)</f>
        <v>Exceso Velocidad 10 Km/h (Velocidad máxima: 12 kmh)</v>
      </c>
      <c r="P85" s="47" t="str">
        <f>Data!X83</f>
        <v>Válido</v>
      </c>
    </row>
    <row r="86" spans="1:16">
      <c r="A86" s="41" t="str">
        <f>Data!A84</f>
        <v>PKU060</v>
      </c>
      <c r="B86" s="41" t="str">
        <f>Data!D84</f>
        <v>Vehicle, Diesel, Frontera Energy Col 2679</v>
      </c>
      <c r="C86" s="41">
        <f>Data!F84</f>
        <v>0</v>
      </c>
      <c r="D86" s="41">
        <f>Data!G84</f>
        <v>0</v>
      </c>
      <c r="E86" s="41">
        <f>Data!H84</f>
        <v>0</v>
      </c>
      <c r="F86" s="41">
        <f>Data!K84</f>
        <v>0</v>
      </c>
      <c r="G86" s="33" t="str">
        <f>Data!M84</f>
        <v>Exceso Velocidad 10 Km/h</v>
      </c>
      <c r="H86" s="41" t="str">
        <f>Data!P84</f>
        <v>ECOPETROL RUBIALES- Quifa - CAÑO SUR, BATERIA 4: Rb 4 324 126 129 195 14 325 316 143 217 1 26 523 256 28, Puerto Gaitán, Meta, Colombia</v>
      </c>
      <c r="I86" s="42" t="str">
        <f>Data!Q84</f>
        <v>Cliente, Vel Max 40 Km/h, Vel Max 10 Km/h</v>
      </c>
      <c r="J86" s="43">
        <f>Data!S84</f>
        <v>46174.475465277777</v>
      </c>
      <c r="K86" s="44">
        <f>Data!S84</f>
        <v>46174.475465277777</v>
      </c>
      <c r="L86" s="45">
        <f>Data!T84</f>
        <v>1.3448148148148147E-3</v>
      </c>
      <c r="M86" s="46">
        <f>Data!U84</f>
        <v>0.37788048386573792</v>
      </c>
      <c r="N86" s="46" t="str">
        <f>CONCATENATE(Data!W84," (",Data!V84,")")</f>
        <v>Exceso Velocidad 10 Km/h (Velocidad máxima: 14 kmh)</v>
      </c>
      <c r="O86" s="42" t="str">
        <f>IF(Data!V84&lt;&gt;"",N86,Data!W84)</f>
        <v>Exceso Velocidad 10 Km/h (Velocidad máxima: 14 kmh)</v>
      </c>
      <c r="P86" s="47" t="str">
        <f>Data!X84</f>
        <v>Válido</v>
      </c>
    </row>
    <row r="87" spans="1:16">
      <c r="A87" s="41" t="str">
        <f>Data!A85</f>
        <v>PKU060</v>
      </c>
      <c r="B87" s="41" t="str">
        <f>Data!D85</f>
        <v>Vehicle, Diesel, Frontera Energy Col 2679</v>
      </c>
      <c r="C87" s="41">
        <f>Data!F85</f>
        <v>0</v>
      </c>
      <c r="D87" s="41">
        <f>Data!G85</f>
        <v>0</v>
      </c>
      <c r="E87" s="41">
        <f>Data!H85</f>
        <v>0</v>
      </c>
      <c r="F87" s="41">
        <f>Data!K85</f>
        <v>0</v>
      </c>
      <c r="G87" s="33" t="str">
        <f>Data!M85</f>
        <v>Exceso Velocidad 10 Km/h</v>
      </c>
      <c r="H87" s="41" t="str">
        <f>Data!P85</f>
        <v>ECOPETROL RUBIALES- Quifa - CAÑO SUR, BATERIA 4: Rb 4 324 126 129 195 14 325 316 143 217 1 26 523 256 28, Meta, 502057, Colombia</v>
      </c>
      <c r="I87" s="42" t="str">
        <f>Data!Q85</f>
        <v>Cliente, Vel Max 40 Km/h, Vel Max 10 Km/h</v>
      </c>
      <c r="J87" s="43">
        <f>Data!S85</f>
        <v>46174.490335648145</v>
      </c>
      <c r="K87" s="44">
        <f>Data!S85</f>
        <v>46174.490335648145</v>
      </c>
      <c r="L87" s="45">
        <f>Data!T85</f>
        <v>5.2083333333333333E-4</v>
      </c>
      <c r="M87" s="46">
        <f>Data!U85</f>
        <v>0.13499197363853455</v>
      </c>
      <c r="N87" s="46" t="str">
        <f>CONCATENATE(Data!W85," (",Data!V85,")")</f>
        <v>Exceso Velocidad 10 Km/h (Velocidad máxima: 12 kmh)</v>
      </c>
      <c r="O87" s="42" t="str">
        <f>IF(Data!V85&lt;&gt;"",N87,Data!W85)</f>
        <v>Exceso Velocidad 10 Km/h (Velocidad máxima: 12 kmh)</v>
      </c>
      <c r="P87" s="47" t="str">
        <f>Data!X85</f>
        <v>Válido</v>
      </c>
    </row>
    <row r="88" spans="1:16">
      <c r="A88" s="41" t="str">
        <f>Data!A86</f>
        <v>PKU060</v>
      </c>
      <c r="B88" s="41" t="str">
        <f>Data!D86</f>
        <v>Vehicle, Diesel, Frontera Energy Col 2679</v>
      </c>
      <c r="C88" s="41">
        <f>Data!F86</f>
        <v>0</v>
      </c>
      <c r="D88" s="41">
        <f>Data!G86</f>
        <v>0</v>
      </c>
      <c r="E88" s="41">
        <f>Data!H86</f>
        <v>0</v>
      </c>
      <c r="F88" s="41">
        <f>Data!K86</f>
        <v>0</v>
      </c>
      <c r="G88" s="33" t="str">
        <f>Data!M86</f>
        <v>Exceso Velocidad 10 Km/h</v>
      </c>
      <c r="H88" s="41" t="str">
        <f>Data!P86</f>
        <v>ECOPETROL RUBIALES- Quifa - CAÑO SUR, BATERIA 4: Rb 4 324 126 129 195 14 325 316 143 217 1 26 523 256 28, Puerto Gaitán, Meta, Colombia</v>
      </c>
      <c r="I88" s="42" t="str">
        <f>Data!Q86</f>
        <v>Cliente, Vel Max 40 Km/h, Vel Max 10 Km/h</v>
      </c>
      <c r="J88" s="43">
        <f>Data!S86</f>
        <v>46174.49113425926</v>
      </c>
      <c r="K88" s="44">
        <f>Data!S86</f>
        <v>46174.49113425926</v>
      </c>
      <c r="L88" s="45">
        <f>Data!T86</f>
        <v>2.6041676666666664E-4</v>
      </c>
      <c r="M88" s="46">
        <f>Data!U86</f>
        <v>7.1353599429130554E-2</v>
      </c>
      <c r="N88" s="46" t="str">
        <f>CONCATENATE(Data!W86," (",Data!V86,")")</f>
        <v>Exceso Velocidad 10 Km/h (Velocidad máxima: 12 kmh)</v>
      </c>
      <c r="O88" s="42" t="str">
        <f>IF(Data!V86&lt;&gt;"",N88,Data!W86)</f>
        <v>Exceso Velocidad 10 Km/h (Velocidad máxima: 12 kmh)</v>
      </c>
      <c r="P88" s="47" t="str">
        <f>Data!X86</f>
        <v>Válido</v>
      </c>
    </row>
    <row r="89" spans="1:16">
      <c r="A89" s="41" t="str">
        <f>Data!A87</f>
        <v>PKU060</v>
      </c>
      <c r="B89" s="41" t="str">
        <f>Data!D87</f>
        <v>Vehicle, Diesel, Frontera Energy Col 2679</v>
      </c>
      <c r="C89" s="41">
        <f>Data!F87</f>
        <v>0</v>
      </c>
      <c r="D89" s="41">
        <f>Data!G87</f>
        <v>0</v>
      </c>
      <c r="E89" s="41">
        <f>Data!H87</f>
        <v>0</v>
      </c>
      <c r="F89" s="41">
        <f>Data!K87</f>
        <v>0</v>
      </c>
      <c r="G89" s="33" t="str">
        <f>Data!M87</f>
        <v>Exceso Velocidad 10 Km/h</v>
      </c>
      <c r="H89" s="41" t="str">
        <f>Data!P87</f>
        <v>ECOPETROL RUBIALES- Quifa - CAÑO SUR, BATERIA 4: Rb 4 324 126 129 195 14 325 316 143 217 1 26 523 256 28, Puerto Gaitán, Meta, Colombia</v>
      </c>
      <c r="I89" s="42" t="str">
        <f>Data!Q87</f>
        <v>Cliente, Vel Max 40 Km/h, Vel Max 10 Km/h</v>
      </c>
      <c r="J89" s="43">
        <f>Data!S87</f>
        <v>46174.491535497684</v>
      </c>
      <c r="K89" s="44">
        <f>Data!S87</f>
        <v>46174.491535497684</v>
      </c>
      <c r="L89" s="45">
        <f>Data!T87</f>
        <v>3.2214120370370372E-4</v>
      </c>
      <c r="M89" s="46">
        <f>Data!U87</f>
        <v>9.4795040786266327E-2</v>
      </c>
      <c r="N89" s="46" t="str">
        <f>CONCATENATE(Data!W87," (",Data!V87,")")</f>
        <v>Exceso Velocidad 10 Km/h (Velocidad máxima: 14 kmh)</v>
      </c>
      <c r="O89" s="42" t="str">
        <f>IF(Data!V87&lt;&gt;"",N89,Data!W87)</f>
        <v>Exceso Velocidad 10 Km/h (Velocidad máxima: 14 kmh)</v>
      </c>
      <c r="P89" s="47" t="str">
        <f>Data!X87</f>
        <v>Válido</v>
      </c>
    </row>
    <row r="90" spans="1:16">
      <c r="A90" s="41" t="str">
        <f>Data!A88</f>
        <v>PKU060</v>
      </c>
      <c r="B90" s="41" t="str">
        <f>Data!D88</f>
        <v>Vehicle, Diesel, Frontera Energy Col 2679</v>
      </c>
      <c r="C90" s="41">
        <f>Data!F88</f>
        <v>0</v>
      </c>
      <c r="D90" s="41">
        <f>Data!G88</f>
        <v>0</v>
      </c>
      <c r="E90" s="41">
        <f>Data!H88</f>
        <v>0</v>
      </c>
      <c r="F90" s="41">
        <f>Data!K88</f>
        <v>0</v>
      </c>
      <c r="G90" s="33" t="str">
        <f>Data!M88</f>
        <v>Exceso Velocidad 10 Km/h</v>
      </c>
      <c r="H90" s="41" t="str">
        <f>Data!P88</f>
        <v>ECOPETROL RUBIALES- Quifa - CAÑO SUR, BATERIA 4: Rb 4 324 126 129 195 14 325 316 143 217 1 26 523 256 28, Meta, 502057, Colombia</v>
      </c>
      <c r="I90" s="42" t="str">
        <f>Data!Q88</f>
        <v>Cliente, Vel Max 40 Km/h, Vel Max 10 Km/h</v>
      </c>
      <c r="J90" s="43">
        <f>Data!S88</f>
        <v>46174.491901041663</v>
      </c>
      <c r="K90" s="44">
        <f>Data!S88</f>
        <v>46174.491901041663</v>
      </c>
      <c r="L90" s="45">
        <f>Data!T88</f>
        <v>1.9386574074074073E-4</v>
      </c>
      <c r="M90" s="46">
        <f>Data!U88</f>
        <v>4.8936162143945694E-2</v>
      </c>
      <c r="N90" s="46" t="str">
        <f>CONCATENATE(Data!W88," (",Data!V88,")")</f>
        <v>Exceso Velocidad 10 Km/h (Velocidad máxima: 11 kmh)</v>
      </c>
      <c r="O90" s="42" t="str">
        <f>IF(Data!V88&lt;&gt;"",N90,Data!W88)</f>
        <v>Exceso Velocidad 10 Km/h (Velocidad máxima: 11 kmh)</v>
      </c>
      <c r="P90" s="47" t="str">
        <f>Data!X88</f>
        <v>Válido</v>
      </c>
    </row>
    <row r="91" spans="1:16">
      <c r="A91" s="41" t="str">
        <f>Data!A89</f>
        <v>PKU060</v>
      </c>
      <c r="B91" s="41" t="str">
        <f>Data!D89</f>
        <v>Vehicle, Diesel, Frontera Energy Col 2679</v>
      </c>
      <c r="C91" s="41">
        <f>Data!F89</f>
        <v>0</v>
      </c>
      <c r="D91" s="41">
        <f>Data!G89</f>
        <v>0</v>
      </c>
      <c r="E91" s="41">
        <f>Data!H89</f>
        <v>0</v>
      </c>
      <c r="F91" s="41">
        <f>Data!K89</f>
        <v>0</v>
      </c>
      <c r="G91" s="33" t="str">
        <f>Data!M89</f>
        <v>Exceso Velocidad 10 Km/h</v>
      </c>
      <c r="H91" s="41" t="str">
        <f>Data!P89</f>
        <v>ECOPETROL RUBIALES- Quifa - CAÑO SUR, BATERIA 4: Rb 4 324 126 129 195 14 325 316 143 217 1 26 523 256 28, Puerto Gaitán, Meta, Colombia</v>
      </c>
      <c r="I91" s="42" t="str">
        <f>Data!Q89</f>
        <v>Cliente, Vel Max 40 Km/h, Vel Max 10 Km/h</v>
      </c>
      <c r="J91" s="43">
        <f>Data!S89</f>
        <v>46174.492094907408</v>
      </c>
      <c r="K91" s="44">
        <f>Data!S89</f>
        <v>46174.492094907408</v>
      </c>
      <c r="L91" s="45">
        <f>Data!T89</f>
        <v>1.1243055555555556E-4</v>
      </c>
      <c r="M91" s="46">
        <f>Data!U89</f>
        <v>2.6549603790044785E-2</v>
      </c>
      <c r="N91" s="46" t="str">
        <f>CONCATENATE(Data!W89," (",Data!V89,")")</f>
        <v>Exceso Velocidad 10 Km/h (Velocidad máxima: 11 kmh)</v>
      </c>
      <c r="O91" s="42" t="str">
        <f>IF(Data!V89&lt;&gt;"",N91,Data!W89)</f>
        <v>Exceso Velocidad 10 Km/h (Velocidad máxima: 11 kmh)</v>
      </c>
      <c r="P91" s="47" t="str">
        <f>Data!X89</f>
        <v>Válido</v>
      </c>
    </row>
    <row r="92" spans="1:16">
      <c r="A92" s="41" t="str">
        <f>Data!A90</f>
        <v>PKU060</v>
      </c>
      <c r="B92" s="41" t="str">
        <f>Data!D90</f>
        <v>Vehicle, Diesel, Frontera Energy Col 2679</v>
      </c>
      <c r="C92" s="41">
        <f>Data!F90</f>
        <v>0</v>
      </c>
      <c r="D92" s="41">
        <f>Data!G90</f>
        <v>0</v>
      </c>
      <c r="E92" s="41">
        <f>Data!H90</f>
        <v>0</v>
      </c>
      <c r="F92" s="41">
        <f>Data!K90</f>
        <v>0</v>
      </c>
      <c r="G92" s="33" t="str">
        <f>Data!M90</f>
        <v>Exceso Velocidad 10 Km/h</v>
      </c>
      <c r="H92" s="41" t="str">
        <f>Data!P90</f>
        <v>ECOPETROL RUBIALES- Quifa - CAÑO SUR, BATERIA 4: Rb 4 324 126 129 195 14 325 316 143 217 1 26 523 256 28, Meta, 502057, Colombia</v>
      </c>
      <c r="I92" s="42" t="str">
        <f>Data!Q90</f>
        <v>Cliente, Vel Max 40 Km/h, Vel Max 10 Km/h</v>
      </c>
      <c r="J92" s="43">
        <f>Data!S90</f>
        <v>46174.49253703704</v>
      </c>
      <c r="K92" s="44">
        <f>Data!S90</f>
        <v>46174.49253703704</v>
      </c>
      <c r="L92" s="45">
        <f>Data!T90</f>
        <v>1.4814814814814815E-4</v>
      </c>
      <c r="M92" s="46">
        <f>Data!U90</f>
        <v>3.3927489072084427E-2</v>
      </c>
      <c r="N92" s="46" t="str">
        <f>CONCATENATE(Data!W90," (",Data!V90,")")</f>
        <v>Exceso Velocidad 10 Km/h (Velocidad máxima: 12 kmh)</v>
      </c>
      <c r="O92" s="42" t="str">
        <f>IF(Data!V90&lt;&gt;"",N92,Data!W90)</f>
        <v>Exceso Velocidad 10 Km/h (Velocidad máxima: 12 kmh)</v>
      </c>
      <c r="P92" s="47" t="str">
        <f>Data!X90</f>
        <v>Válido</v>
      </c>
    </row>
    <row r="93" spans="1:16">
      <c r="A93" s="41" t="str">
        <f>Data!A91</f>
        <v>PKU060</v>
      </c>
      <c r="B93" s="41" t="str">
        <f>Data!D91</f>
        <v>Vehicle, Diesel, Frontera Energy Col 2679</v>
      </c>
      <c r="C93" s="41">
        <f>Data!F91</f>
        <v>0</v>
      </c>
      <c r="D93" s="41">
        <f>Data!G91</f>
        <v>0</v>
      </c>
      <c r="E93" s="41">
        <f>Data!H91</f>
        <v>0</v>
      </c>
      <c r="F93" s="41">
        <f>Data!K91</f>
        <v>0</v>
      </c>
      <c r="G93" s="33" t="str">
        <f>Data!M91</f>
        <v>Exceso Velocidad 10 Km/h</v>
      </c>
      <c r="H93" s="41" t="str">
        <f>Data!P91</f>
        <v>ECOPETROL RUBIALES- Quifa - CAÑO SUR, BATERIA 4: Rb 4, Puerto Gaitán, Meta, Colombia</v>
      </c>
      <c r="I93" s="42" t="str">
        <f>Data!Q91</f>
        <v>Cliente, Vel Max 40 Km/h, Vel Max 10 Km/h</v>
      </c>
      <c r="J93" s="43">
        <f>Data!S91</f>
        <v>46174.492847222224</v>
      </c>
      <c r="K93" s="44">
        <f>Data!S91</f>
        <v>46174.492847222224</v>
      </c>
      <c r="L93" s="45">
        <f>Data!T91</f>
        <v>1.1053241740740741E-3</v>
      </c>
      <c r="M93" s="46">
        <f>Data!U91</f>
        <v>0.28936365246772766</v>
      </c>
      <c r="N93" s="46" t="str">
        <f>CONCATENATE(Data!W91," (",Data!V91,")")</f>
        <v>Exceso Velocidad 10 Km/h (Velocidad máxima: 12 kmh)</v>
      </c>
      <c r="O93" s="42" t="str">
        <f>IF(Data!V91&lt;&gt;"",N93,Data!W91)</f>
        <v>Exceso Velocidad 10 Km/h (Velocidad máxima: 12 kmh)</v>
      </c>
      <c r="P93" s="47" t="str">
        <f>Data!X91</f>
        <v>Válido</v>
      </c>
    </row>
    <row r="94" spans="1:16">
      <c r="A94" s="41" t="str">
        <f>Data!A92</f>
        <v>PKU060</v>
      </c>
      <c r="B94" s="41" t="str">
        <f>Data!D92</f>
        <v>Vehicle, Diesel, Frontera Energy Col 2679</v>
      </c>
      <c r="C94" s="41">
        <f>Data!F92</f>
        <v>0</v>
      </c>
      <c r="D94" s="41">
        <f>Data!G92</f>
        <v>0</v>
      </c>
      <c r="E94" s="41">
        <f>Data!H92</f>
        <v>0</v>
      </c>
      <c r="F94" s="41">
        <f>Data!K92</f>
        <v>0</v>
      </c>
      <c r="G94" s="33" t="str">
        <f>Data!M92</f>
        <v>Exceso Velocidad 10 Km/h</v>
      </c>
      <c r="H94" s="41" t="str">
        <f>Data!P92</f>
        <v>ECOPETROL RUBIALES- Quifa - CAÑO SUR, BATERIA 4: Rb 4, Puerto Gaitán, Meta, Colombia</v>
      </c>
      <c r="I94" s="42" t="str">
        <f>Data!Q92</f>
        <v>Cliente, Vel Max 40 Km/h, Vel Max 10 Km/h</v>
      </c>
      <c r="J94" s="43">
        <f>Data!S92</f>
        <v>46174.494137731584</v>
      </c>
      <c r="K94" s="44">
        <f>Data!S92</f>
        <v>46174.494137731584</v>
      </c>
      <c r="L94" s="45">
        <f>Data!T92</f>
        <v>3.6458343333333333E-4</v>
      </c>
      <c r="M94" s="46">
        <f>Data!U92</f>
        <v>8.8210344314575195E-2</v>
      </c>
      <c r="N94" s="46" t="str">
        <f>CONCATENATE(Data!W92," (",Data!V92,")")</f>
        <v>Exceso Velocidad 10 Km/h (Velocidad máxima: 11 kmh)</v>
      </c>
      <c r="O94" s="42" t="str">
        <f>IF(Data!V92&lt;&gt;"",N94,Data!W92)</f>
        <v>Exceso Velocidad 10 Km/h (Velocidad máxima: 11 kmh)</v>
      </c>
      <c r="P94" s="47" t="str">
        <f>Data!X92</f>
        <v>Válido</v>
      </c>
    </row>
    <row r="95" spans="1:16">
      <c r="A95" s="41" t="str">
        <f>Data!A93</f>
        <v>PKU060</v>
      </c>
      <c r="B95" s="41" t="str">
        <f>Data!D93</f>
        <v>Vehicle, Diesel, Frontera Energy Col 2679</v>
      </c>
      <c r="C95" s="41">
        <f>Data!F93</f>
        <v>0</v>
      </c>
      <c r="D95" s="41">
        <f>Data!G93</f>
        <v>0</v>
      </c>
      <c r="E95" s="41">
        <f>Data!H93</f>
        <v>0</v>
      </c>
      <c r="F95" s="41">
        <f>Data!K93</f>
        <v>0</v>
      </c>
      <c r="G95" s="33" t="str">
        <f>Data!M93</f>
        <v>Exceso Velocidad 10 Km/h</v>
      </c>
      <c r="H95" s="41" t="str">
        <f>Data!P93</f>
        <v>ECOPETROL RUBIALES- Quifa - CAÑO SUR, BATERIA 4: Rb 4, Puerto Gaitán, Meta, Colombia</v>
      </c>
      <c r="I95" s="42" t="str">
        <f>Data!Q93</f>
        <v>Cliente, Vel Max 40 Km/h, Vel Max 10 Km/h</v>
      </c>
      <c r="J95" s="43">
        <f>Data!S93</f>
        <v>46174.498297696759</v>
      </c>
      <c r="K95" s="44">
        <f>Data!S93</f>
        <v>46174.498297696759</v>
      </c>
      <c r="L95" s="45">
        <f>Data!T93</f>
        <v>7.2118055555555561E-5</v>
      </c>
      <c r="M95" s="46">
        <f>Data!U93</f>
        <v>1.529239397495985E-2</v>
      </c>
      <c r="N95" s="46" t="str">
        <f>CONCATENATE(Data!W93," (",Data!V93,")")</f>
        <v>Exceso Velocidad 10 Km/h (Velocidad máxima: 11 kmh)</v>
      </c>
      <c r="O95" s="42" t="str">
        <f>IF(Data!V93&lt;&gt;"",N95,Data!W93)</f>
        <v>Exceso Velocidad 10 Km/h (Velocidad máxima: 11 kmh)</v>
      </c>
      <c r="P95" s="47" t="str">
        <f>Data!X93</f>
        <v>Válido</v>
      </c>
    </row>
    <row r="96" spans="1:16">
      <c r="A96" s="41" t="str">
        <f>Data!A94</f>
        <v>PKU060</v>
      </c>
      <c r="B96" s="41" t="str">
        <f>Data!D94</f>
        <v>Vehicle, Diesel, Frontera Energy Col 2679</v>
      </c>
      <c r="C96" s="41">
        <f>Data!F94</f>
        <v>0</v>
      </c>
      <c r="D96" s="41">
        <f>Data!G94</f>
        <v>0</v>
      </c>
      <c r="E96" s="41">
        <f>Data!H94</f>
        <v>0</v>
      </c>
      <c r="F96" s="41">
        <f>Data!K94</f>
        <v>0</v>
      </c>
      <c r="G96" s="33" t="str">
        <f>Data!M94</f>
        <v>Exceso Velocidad 10 Km/h</v>
      </c>
      <c r="H96" s="41" t="str">
        <f>Data!P94</f>
        <v>ECOPETROL RUBIALES- Quifa - CAÑO SUR, BATERIA 4: Rb 4, Puerto Gaitán, Meta, Colombia</v>
      </c>
      <c r="I96" s="42" t="str">
        <f>Data!Q94</f>
        <v>Cliente, Vel Max 40 Km/h, Vel Max 10 Km/h</v>
      </c>
      <c r="J96" s="43">
        <f>Data!S94</f>
        <v>46174.498559027881</v>
      </c>
      <c r="K96" s="44">
        <f>Data!S94</f>
        <v>46174.498559027881</v>
      </c>
      <c r="L96" s="45">
        <f>Data!T94</f>
        <v>6.9444444444444444E-5</v>
      </c>
      <c r="M96" s="46">
        <f>Data!U94</f>
        <v>1.7692528665065765E-2</v>
      </c>
      <c r="N96" s="46" t="str">
        <f>CONCATENATE(Data!W94," (",Data!V94,")")</f>
        <v>Exceso Velocidad 10 Km/h (Velocidad máxima: 12 kmh)</v>
      </c>
      <c r="O96" s="42" t="str">
        <f>IF(Data!V94&lt;&gt;"",N96,Data!W94)</f>
        <v>Exceso Velocidad 10 Km/h (Velocidad máxima: 12 kmh)</v>
      </c>
      <c r="P96" s="47" t="str">
        <f>Data!X94</f>
        <v>Válido</v>
      </c>
    </row>
    <row r="97" spans="1:16">
      <c r="A97" s="41" t="str">
        <f>Data!A95</f>
        <v>PKU060</v>
      </c>
      <c r="B97" s="41" t="str">
        <f>Data!D95</f>
        <v>Vehicle, Diesel, Frontera Energy Col 2679</v>
      </c>
      <c r="C97" s="41">
        <f>Data!F95</f>
        <v>0</v>
      </c>
      <c r="D97" s="41">
        <f>Data!G95</f>
        <v>0</v>
      </c>
      <c r="E97" s="41">
        <f>Data!H95</f>
        <v>0</v>
      </c>
      <c r="F97" s="41">
        <f>Data!K95</f>
        <v>0</v>
      </c>
      <c r="G97" s="33" t="str">
        <f>Data!M95</f>
        <v>Exceso Velocidad 10 Km/h</v>
      </c>
      <c r="H97" s="41" t="str">
        <f>Data!P95</f>
        <v>ECOPETROL RUBIALES- Quifa - CAÑO SUR, BATERIA 4: Rb 4, Puerto Gaitán, Meta, Colombia</v>
      </c>
      <c r="I97" s="42" t="str">
        <f>Data!Q95</f>
        <v>Cliente, Vel Max 40 Km/h, Vel Max 10 Km/h</v>
      </c>
      <c r="J97" s="43">
        <f>Data!S95</f>
        <v>46174.498692129629</v>
      </c>
      <c r="K97" s="44">
        <f>Data!S95</f>
        <v>46174.498692129629</v>
      </c>
      <c r="L97" s="45">
        <f>Data!T95</f>
        <v>1E-3</v>
      </c>
      <c r="M97" s="46">
        <f>Data!U95</f>
        <v>0.38972482085227966</v>
      </c>
      <c r="N97" s="46" t="str">
        <f>CONCATENATE(Data!W95," (",Data!V95,")")</f>
        <v>Exceso Velocidad 10 Km/h (Velocidad máxima: 24 kmh)</v>
      </c>
      <c r="O97" s="42" t="str">
        <f>IF(Data!V95&lt;&gt;"",N97,Data!W95)</f>
        <v>Exceso Velocidad 10 Km/h (Velocidad máxima: 24 kmh)</v>
      </c>
      <c r="P97" s="47" t="str">
        <f>Data!X95</f>
        <v>Válido</v>
      </c>
    </row>
    <row r="98" spans="1:16">
      <c r="A98" s="41" t="str">
        <f>Data!A96</f>
        <v>PKU060</v>
      </c>
      <c r="B98" s="41" t="str">
        <f>Data!D96</f>
        <v>Vehicle, Diesel, Frontera Energy Col 2679</v>
      </c>
      <c r="C98" s="41">
        <f>Data!F96</f>
        <v>0</v>
      </c>
      <c r="D98" s="41">
        <f>Data!G96</f>
        <v>0</v>
      </c>
      <c r="E98" s="41">
        <f>Data!H96</f>
        <v>0</v>
      </c>
      <c r="F98" s="41">
        <f>Data!K96</f>
        <v>0</v>
      </c>
      <c r="G98" s="33" t="str">
        <f>Data!M96</f>
        <v>Exceso Velocidad 10 Km/h</v>
      </c>
      <c r="H98" s="41" t="str">
        <f>Data!P96</f>
        <v>ECOPETROL RUBIALES- Quifa - CAÑO SUR, BATERIA 4: Rb 4 324 126 129 195 14 325 316 143 217 1 26 523 256 28, Meta, 502057, Colombia</v>
      </c>
      <c r="I98" s="42" t="str">
        <f>Data!Q96</f>
        <v>Cliente, Vel Max 40 Km/h, Vel Max 10 Km/h</v>
      </c>
      <c r="J98" s="43">
        <f>Data!S96</f>
        <v>46174.499807094908</v>
      </c>
      <c r="K98" s="44">
        <f>Data!S96</f>
        <v>46174.499807094908</v>
      </c>
      <c r="L98" s="45">
        <f>Data!T96</f>
        <v>1.4660879629629629E-4</v>
      </c>
      <c r="M98" s="46">
        <f>Data!U96</f>
        <v>3.9317920804023743E-2</v>
      </c>
      <c r="N98" s="46" t="str">
        <f>CONCATENATE(Data!W96," (",Data!V96,")")</f>
        <v>Exceso Velocidad 10 Km/h (Velocidad máxima: 14 kmh)</v>
      </c>
      <c r="O98" s="42" t="str">
        <f>IF(Data!V96&lt;&gt;"",N98,Data!W96)</f>
        <v>Exceso Velocidad 10 Km/h (Velocidad máxima: 14 kmh)</v>
      </c>
      <c r="P98" s="47" t="str">
        <f>Data!X96</f>
        <v>Válido</v>
      </c>
    </row>
    <row r="99" spans="1:16">
      <c r="A99" s="41" t="str">
        <f>Data!A97</f>
        <v>PKU060</v>
      </c>
      <c r="B99" s="41" t="str">
        <f>Data!D97</f>
        <v>Vehicle, Diesel, Frontera Energy Col 2679</v>
      </c>
      <c r="C99" s="41">
        <f>Data!F97</f>
        <v>0</v>
      </c>
      <c r="D99" s="41">
        <f>Data!G97</f>
        <v>0</v>
      </c>
      <c r="E99" s="41">
        <f>Data!H97</f>
        <v>0</v>
      </c>
      <c r="F99" s="41">
        <f>Data!K97</f>
        <v>0</v>
      </c>
      <c r="G99" s="33" t="str">
        <f>Data!M97</f>
        <v>Exceso Velocidad 10 Km/h</v>
      </c>
      <c r="H99" s="41" t="str">
        <f>Data!P97</f>
        <v>ECOPETROL RUBIALES- Quifa - CAÑO SUR, BATERIA 4: Rb 4 324 126 129 195 14 325 316 143 217 1 26 523 256 28, Puerto Gaitán, Meta, Colombia</v>
      </c>
      <c r="I99" s="42" t="str">
        <f>Data!Q97</f>
        <v>Cliente, Vel Max 40 Km/h, Vel Max 10 Km/h</v>
      </c>
      <c r="J99" s="43">
        <f>Data!S97</f>
        <v>46174.4999537037</v>
      </c>
      <c r="K99" s="44">
        <f>Data!S97</f>
        <v>46174.4999537037</v>
      </c>
      <c r="L99" s="45">
        <f>Data!T97</f>
        <v>1.1633680555555555E-3</v>
      </c>
      <c r="M99" s="46">
        <f>Data!U97</f>
        <v>0.47662156820297241</v>
      </c>
      <c r="N99" s="46" t="str">
        <f>CONCATENATE(Data!W97," (",Data!V97,")")</f>
        <v>Exceso Velocidad 10 Km/h (Velocidad máxima: 26 kmh)</v>
      </c>
      <c r="O99" s="42" t="str">
        <f>IF(Data!V97&lt;&gt;"",N99,Data!W97)</f>
        <v>Exceso Velocidad 10 Km/h (Velocidad máxima: 26 kmh)</v>
      </c>
      <c r="P99" s="47" t="str">
        <f>Data!X97</f>
        <v>Válido</v>
      </c>
    </row>
    <row r="100" spans="1:16">
      <c r="A100" s="41" t="str">
        <f>Data!A98</f>
        <v>PKU060</v>
      </c>
      <c r="B100" s="41" t="str">
        <f>Data!D98</f>
        <v>Vehicle, Diesel, Frontera Energy Col 2679</v>
      </c>
      <c r="C100" s="41">
        <f>Data!F98</f>
        <v>0</v>
      </c>
      <c r="D100" s="41">
        <f>Data!G98</f>
        <v>0</v>
      </c>
      <c r="E100" s="41">
        <f>Data!H98</f>
        <v>0</v>
      </c>
      <c r="F100" s="41">
        <f>Data!K98</f>
        <v>0</v>
      </c>
      <c r="G100" s="33" t="str">
        <f>Data!M98</f>
        <v>Exceso Velocidad 10 Km/h</v>
      </c>
      <c r="H100" s="41" t="str">
        <f>Data!P98</f>
        <v>ECOPETROL RUBIALES- Quifa - CAÑO SUR, BATERIA 4: Rb 4 324 126 129 195 14 325 316 143 217 1 26 523 256 28, Meta, 502057, Colombia</v>
      </c>
      <c r="I100" s="42" t="str">
        <f>Data!Q98</f>
        <v>Cliente, Vel Max 40 Km/h, Vel Max 10 Km/h</v>
      </c>
      <c r="J100" s="43">
        <f>Data!S98</f>
        <v>46174.51914246528</v>
      </c>
      <c r="K100" s="44">
        <f>Data!S98</f>
        <v>46174.51914246528</v>
      </c>
      <c r="L100" s="45">
        <f>Data!T98</f>
        <v>1.3706481481481482E-3</v>
      </c>
      <c r="M100" s="46">
        <f>Data!U98</f>
        <v>0.42304325103759766</v>
      </c>
      <c r="N100" s="46" t="str">
        <f>CONCATENATE(Data!W98," (",Data!V98,")")</f>
        <v>Exceso Velocidad 10 Km/h (Velocidad máxima: 17 kmh)</v>
      </c>
      <c r="O100" s="42" t="str">
        <f>IF(Data!V98&lt;&gt;"",N100,Data!W98)</f>
        <v>Exceso Velocidad 10 Km/h (Velocidad máxima: 17 kmh)</v>
      </c>
      <c r="P100" s="47" t="str">
        <f>Data!X98</f>
        <v>Válido</v>
      </c>
    </row>
    <row r="101" spans="1:16">
      <c r="A101" s="41" t="str">
        <f>Data!A99</f>
        <v>PKU060</v>
      </c>
      <c r="B101" s="41" t="str">
        <f>Data!D99</f>
        <v>Vehicle, Diesel, Frontera Energy Col 2679</v>
      </c>
      <c r="C101" s="41">
        <f>Data!F99</f>
        <v>0</v>
      </c>
      <c r="D101" s="41">
        <f>Data!G99</f>
        <v>0</v>
      </c>
      <c r="E101" s="41">
        <f>Data!H99</f>
        <v>0</v>
      </c>
      <c r="F101" s="41">
        <f>Data!K99</f>
        <v>0</v>
      </c>
      <c r="G101" s="33" t="str">
        <f>Data!M99</f>
        <v>Exceso Velocidad 10 Km/h</v>
      </c>
      <c r="H101" s="41" t="str">
        <f>Data!P99</f>
        <v>ECOPETROL RUBIALES- Quifa - CAÑO SUR, BATERIA 4: Rb 4 324 126 129 195 14 325 316 143 217 1 26 523 256 28, Meta, 502057, Colombia</v>
      </c>
      <c r="I101" s="42" t="str">
        <f>Data!Q99</f>
        <v>Cliente, Vel Max 40 Km/h, Vel Max 10 Km/h</v>
      </c>
      <c r="J101" s="43">
        <f>Data!S99</f>
        <v>46174.52065972222</v>
      </c>
      <c r="K101" s="44">
        <f>Data!S99</f>
        <v>46174.52065972222</v>
      </c>
      <c r="L101" s="45">
        <f>Data!T99</f>
        <v>1.1458333333333333E-3</v>
      </c>
      <c r="M101" s="46">
        <f>Data!U99</f>
        <v>0.3373546302318573</v>
      </c>
      <c r="N101" s="46" t="str">
        <f>CONCATENATE(Data!W99," (",Data!V99,")")</f>
        <v>Exceso Velocidad 10 Km/h (Velocidad máxima: 14 kmh)</v>
      </c>
      <c r="O101" s="42" t="str">
        <f>IF(Data!V99&lt;&gt;"",N101,Data!W99)</f>
        <v>Exceso Velocidad 10 Km/h (Velocidad máxima: 14 kmh)</v>
      </c>
      <c r="P101" s="47" t="str">
        <f>Data!X99</f>
        <v>Válido</v>
      </c>
    </row>
    <row r="102" spans="1:16">
      <c r="A102" s="41" t="str">
        <f>Data!A100</f>
        <v>PKU060</v>
      </c>
      <c r="B102" s="41" t="str">
        <f>Data!D100</f>
        <v>Vehicle, Diesel, Frontera Energy Col 2679</v>
      </c>
      <c r="C102" s="41">
        <f>Data!F100</f>
        <v>0</v>
      </c>
      <c r="D102" s="41">
        <f>Data!G100</f>
        <v>0</v>
      </c>
      <c r="E102" s="41">
        <f>Data!H100</f>
        <v>0</v>
      </c>
      <c r="F102" s="41">
        <f>Data!K100</f>
        <v>0</v>
      </c>
      <c r="G102" s="33" t="str">
        <f>Data!M100</f>
        <v>Exceso Velocidad 10 Km/h</v>
      </c>
      <c r="H102" s="41" t="str">
        <f>Data!P100</f>
        <v>ECOPETROL RUBIALES- Quifa - CAÑO SUR, BATERIA 4: Vía Sin Nombre, Puerto Gaitán, Meta, Colombia</v>
      </c>
      <c r="I102" s="42" t="str">
        <f>Data!Q100</f>
        <v>Cliente, Vel Max 40 Km/h, Vel Max 10 Km/h</v>
      </c>
      <c r="J102" s="43">
        <f>Data!S100</f>
        <v>46174.521805555552</v>
      </c>
      <c r="K102" s="44">
        <f>Data!S100</f>
        <v>46174.521805555552</v>
      </c>
      <c r="L102" s="45">
        <f>Data!T100</f>
        <v>3.5879629629629629E-4</v>
      </c>
      <c r="M102" s="46">
        <f>Data!U100</f>
        <v>8.8975057005882263E-2</v>
      </c>
      <c r="N102" s="46" t="str">
        <f>CONCATENATE(Data!W100," (",Data!V100,")")</f>
        <v>Exceso Velocidad 10 Km/h (Velocidad máxima: 12 kmh)</v>
      </c>
      <c r="O102" s="42" t="str">
        <f>IF(Data!V100&lt;&gt;"",N102,Data!W100)</f>
        <v>Exceso Velocidad 10 Km/h (Velocidad máxima: 12 kmh)</v>
      </c>
      <c r="P102" s="47" t="str">
        <f>Data!X100</f>
        <v>Válido</v>
      </c>
    </row>
    <row r="103" spans="1:16">
      <c r="A103" s="41" t="str">
        <f>Data!A101</f>
        <v>PKU060</v>
      </c>
      <c r="B103" s="41" t="str">
        <f>Data!D101</f>
        <v>Vehicle, Diesel, Frontera Energy Col 2679</v>
      </c>
      <c r="C103" s="41">
        <f>Data!F101</f>
        <v>0</v>
      </c>
      <c r="D103" s="41">
        <f>Data!G101</f>
        <v>0</v>
      </c>
      <c r="E103" s="41">
        <f>Data!H101</f>
        <v>0</v>
      </c>
      <c r="F103" s="41">
        <f>Data!K101</f>
        <v>0</v>
      </c>
      <c r="G103" s="33" t="str">
        <f>Data!M101</f>
        <v>Exceso Velocidad 10 Km/h</v>
      </c>
      <c r="H103" s="41" t="str">
        <f>Data!P101</f>
        <v>ECOPETROL RUBIALES- Quifa - CAÑO SUR, BATERIA 4: Rb 4, Puerto Gaitán, Meta, Colombia</v>
      </c>
      <c r="I103" s="42" t="str">
        <f>Data!Q101</f>
        <v>Cliente, Vel Max 40 Km/h, Vel Max 10 Km/h</v>
      </c>
      <c r="J103" s="43">
        <f>Data!S101</f>
        <v>46174.522164351853</v>
      </c>
      <c r="K103" s="44">
        <f>Data!S101</f>
        <v>46174.522164351853</v>
      </c>
      <c r="L103" s="45">
        <f>Data!T101</f>
        <v>3.5300935925925922E-4</v>
      </c>
      <c r="M103" s="46">
        <f>Data!U101</f>
        <v>8.7675504386425018E-2</v>
      </c>
      <c r="N103" s="46" t="str">
        <f>CONCATENATE(Data!W101," (",Data!V101,")")</f>
        <v>Exceso Velocidad 10 Km/h (Velocidad máxima: 11 kmh)</v>
      </c>
      <c r="O103" s="42" t="str">
        <f>IF(Data!V101&lt;&gt;"",N103,Data!W101)</f>
        <v>Exceso Velocidad 10 Km/h (Velocidad máxima: 11 kmh)</v>
      </c>
      <c r="P103" s="47" t="str">
        <f>Data!X101</f>
        <v>Válido</v>
      </c>
    </row>
    <row r="104" spans="1:16">
      <c r="A104" s="41" t="str">
        <f>Data!A102</f>
        <v>PKU060</v>
      </c>
      <c r="B104" s="41" t="str">
        <f>Data!D102</f>
        <v>Vehicle, Diesel, Frontera Energy Col 2679</v>
      </c>
      <c r="C104" s="41">
        <f>Data!F102</f>
        <v>0</v>
      </c>
      <c r="D104" s="41">
        <f>Data!G102</f>
        <v>0</v>
      </c>
      <c r="E104" s="41">
        <f>Data!H102</f>
        <v>0</v>
      </c>
      <c r="F104" s="41">
        <f>Data!K102</f>
        <v>0</v>
      </c>
      <c r="G104" s="33" t="str">
        <f>Data!M102</f>
        <v>Exceso Velocidad 10 Km/h</v>
      </c>
      <c r="H104" s="41" t="str">
        <f>Data!P102</f>
        <v>ECOPETROL RUBIALES- Quifa - CAÑO SUR, BATERIA 4: Rb 4, Puerto Gaitán, Meta, Colombia</v>
      </c>
      <c r="I104" s="42" t="str">
        <f>Data!Q102</f>
        <v>Cliente, Vel Max 40 Km/h, Vel Max 10 Km/h</v>
      </c>
      <c r="J104" s="43">
        <f>Data!S102</f>
        <v>46174.547092592591</v>
      </c>
      <c r="K104" s="44">
        <f>Data!S102</f>
        <v>46174.547092592591</v>
      </c>
      <c r="L104" s="45">
        <f>Data!T102</f>
        <v>7.5462962962962962E-4</v>
      </c>
      <c r="M104" s="46">
        <f>Data!U102</f>
        <v>0.20581527054309845</v>
      </c>
      <c r="N104" s="46" t="str">
        <f>CONCATENATE(Data!W102," (",Data!V102,")")</f>
        <v>Exceso Velocidad 10 Km/h (Velocidad máxima: 13 kmh)</v>
      </c>
      <c r="O104" s="42" t="str">
        <f>IF(Data!V102&lt;&gt;"",N104,Data!W102)</f>
        <v>Exceso Velocidad 10 Km/h (Velocidad máxima: 13 kmh)</v>
      </c>
      <c r="P104" s="47" t="str">
        <f>Data!X102</f>
        <v>Válido</v>
      </c>
    </row>
    <row r="105" spans="1:16">
      <c r="A105" s="41" t="str">
        <f>Data!A103</f>
        <v>PKU060</v>
      </c>
      <c r="B105" s="41" t="str">
        <f>Data!D103</f>
        <v>Vehicle, Diesel, Frontera Energy Col 2679</v>
      </c>
      <c r="C105" s="41">
        <f>Data!F103</f>
        <v>0</v>
      </c>
      <c r="D105" s="41">
        <f>Data!G103</f>
        <v>0</v>
      </c>
      <c r="E105" s="41">
        <f>Data!H103</f>
        <v>0</v>
      </c>
      <c r="F105" s="41">
        <f>Data!K103</f>
        <v>0</v>
      </c>
      <c r="G105" s="33" t="str">
        <f>Data!M103</f>
        <v>Exceso Velocidad 10 Km/h</v>
      </c>
      <c r="H105" s="41" t="str">
        <f>Data!P103</f>
        <v>ECOPETROL RUBIALES- Quifa - CAÑO SUR, BATERIA 4: Rb 4, Puerto Gaitán, Meta, Colombia</v>
      </c>
      <c r="I105" s="42" t="str">
        <f>Data!Q103</f>
        <v>Cliente, Vel Max 40 Km/h, Vel Max 10 Km/h</v>
      </c>
      <c r="J105" s="43">
        <f>Data!S103</f>
        <v>46174.550150462965</v>
      </c>
      <c r="K105" s="44">
        <f>Data!S103</f>
        <v>46174.550150462965</v>
      </c>
      <c r="L105" s="45">
        <f>Data!T103</f>
        <v>1.0416666666666667E-4</v>
      </c>
      <c r="M105" s="46">
        <f>Data!U103</f>
        <v>2.7107713744044304E-2</v>
      </c>
      <c r="N105" s="46" t="str">
        <f>CONCATENATE(Data!W103," (",Data!V103,")")</f>
        <v>Exceso Velocidad 10 Km/h (Velocidad máxima: 12 kmh)</v>
      </c>
      <c r="O105" s="42" t="str">
        <f>IF(Data!V103&lt;&gt;"",N105,Data!W103)</f>
        <v>Exceso Velocidad 10 Km/h (Velocidad máxima: 12 kmh)</v>
      </c>
      <c r="P105" s="47" t="str">
        <f>Data!X103</f>
        <v>Válido</v>
      </c>
    </row>
    <row r="106" spans="1:16">
      <c r="A106" s="41" t="str">
        <f>Data!A104</f>
        <v>PKU060</v>
      </c>
      <c r="B106" s="41" t="str">
        <f>Data!D104</f>
        <v>Vehicle, Diesel, Frontera Energy Col 2679</v>
      </c>
      <c r="C106" s="41">
        <f>Data!F104</f>
        <v>0</v>
      </c>
      <c r="D106" s="41">
        <f>Data!G104</f>
        <v>0</v>
      </c>
      <c r="E106" s="41">
        <f>Data!H104</f>
        <v>0</v>
      </c>
      <c r="F106" s="41">
        <f>Data!K104</f>
        <v>0</v>
      </c>
      <c r="G106" s="33" t="str">
        <f>Data!M104</f>
        <v>Exceso Velocidad 10 Km/h</v>
      </c>
      <c r="H106" s="41" t="str">
        <f>Data!P104</f>
        <v>ECOPETROL RUBIALES- Quifa - CAÑO SUR, BATERIA 4: Rb 4 324 126 129 195 14 325 316 143 217 1 26 523 256 28, Puerto Gaitán, Meta, Colombia</v>
      </c>
      <c r="I106" s="42" t="str">
        <f>Data!Q104</f>
        <v>Cliente, Vel Max 40 Km/h, Vel Max 10 Km/h</v>
      </c>
      <c r="J106" s="43">
        <f>Data!S104</f>
        <v>46174.550254629627</v>
      </c>
      <c r="K106" s="44">
        <f>Data!S104</f>
        <v>46174.550254629627</v>
      </c>
      <c r="L106" s="45">
        <f>Data!T104</f>
        <v>1.4274305555555554E-4</v>
      </c>
      <c r="M106" s="46">
        <f>Data!U104</f>
        <v>3.6279886960983276E-2</v>
      </c>
      <c r="N106" s="46" t="str">
        <f>CONCATENATE(Data!W104," (",Data!V104,")")</f>
        <v>Exceso Velocidad 10 Km/h (Velocidad máxima: 11 kmh)</v>
      </c>
      <c r="O106" s="42" t="str">
        <f>IF(Data!V104&lt;&gt;"",N106,Data!W104)</f>
        <v>Exceso Velocidad 10 Km/h (Velocidad máxima: 11 kmh)</v>
      </c>
      <c r="P106" s="47" t="str">
        <f>Data!X104</f>
        <v>Válido</v>
      </c>
    </row>
    <row r="107" spans="1:16">
      <c r="A107" s="41" t="str">
        <f>Data!A105</f>
        <v>PKU060</v>
      </c>
      <c r="B107" s="41" t="str">
        <f>Data!D105</f>
        <v>Vehicle, Diesel, Frontera Energy Col 2679</v>
      </c>
      <c r="C107" s="41">
        <f>Data!F105</f>
        <v>0</v>
      </c>
      <c r="D107" s="41">
        <f>Data!G105</f>
        <v>0</v>
      </c>
      <c r="E107" s="41">
        <f>Data!H105</f>
        <v>0</v>
      </c>
      <c r="F107" s="41">
        <f>Data!K105</f>
        <v>0</v>
      </c>
      <c r="G107" s="33" t="str">
        <f>Data!M105</f>
        <v>Exceso Velocidad 10 Km/h</v>
      </c>
      <c r="H107" s="41" t="str">
        <f>Data!P105</f>
        <v>ECOPETROL RUBIALES- Quifa - CAÑO SUR, BATERIA 4: Rb 4 324 126 129 195 14 325 316 143 217 1 26 523 256 28, Meta, 502057, Colombia</v>
      </c>
      <c r="I107" s="42" t="str">
        <f>Data!Q105</f>
        <v>Cliente, Vel Max 40 Km/h, Vel Max 10 Km/h</v>
      </c>
      <c r="J107" s="43">
        <f>Data!S105</f>
        <v>46174.550810185188</v>
      </c>
      <c r="K107" s="44">
        <f>Data!S105</f>
        <v>46174.550810185188</v>
      </c>
      <c r="L107" s="45">
        <f>Data!T105</f>
        <v>4.8738425925925924E-4</v>
      </c>
      <c r="M107" s="46">
        <f>Data!U105</f>
        <v>0.12689173221588135</v>
      </c>
      <c r="N107" s="46" t="str">
        <f>CONCATENATE(Data!W105," (",Data!V105,")")</f>
        <v>Exceso Velocidad 10 Km/h (Velocidad máxima: 12 kmh)</v>
      </c>
      <c r="O107" s="42" t="str">
        <f>IF(Data!V105&lt;&gt;"",N107,Data!W105)</f>
        <v>Exceso Velocidad 10 Km/h (Velocidad máxima: 12 kmh)</v>
      </c>
      <c r="P107" s="47" t="str">
        <f>Data!X105</f>
        <v>Válido</v>
      </c>
    </row>
    <row r="108" spans="1:16">
      <c r="A108" s="41" t="str">
        <f>Data!A106</f>
        <v>PKU060</v>
      </c>
      <c r="B108" s="41" t="str">
        <f>Data!D106</f>
        <v>Vehicle, Diesel, Frontera Energy Col 2679</v>
      </c>
      <c r="C108" s="41">
        <f>Data!F106</f>
        <v>0</v>
      </c>
      <c r="D108" s="41">
        <f>Data!G106</f>
        <v>0</v>
      </c>
      <c r="E108" s="41">
        <f>Data!H106</f>
        <v>0</v>
      </c>
      <c r="F108" s="41">
        <f>Data!K106</f>
        <v>0</v>
      </c>
      <c r="G108" s="33" t="str">
        <f>Data!M106</f>
        <v>Exceso Velocidad 10 Km/h</v>
      </c>
      <c r="H108" s="41" t="str">
        <f>Data!P106</f>
        <v>ECOPETROL RUBIALES- Quifa - CAÑO SUR, BATERIA 4: Rb 4 324 126 129 195 14 325 316 143 217 1 26 523 256 28, Meta, 502057, Colombia</v>
      </c>
      <c r="I108" s="42" t="str">
        <f>Data!Q106</f>
        <v>Cliente, Vel Max 40 Km/h, Vel Max 10 Km/h</v>
      </c>
      <c r="J108" s="43">
        <f>Data!S106</f>
        <v>46174.551420300922</v>
      </c>
      <c r="K108" s="44">
        <f>Data!S106</f>
        <v>46174.551420300922</v>
      </c>
      <c r="L108" s="45">
        <f>Data!T106</f>
        <v>4.9606481481481481E-5</v>
      </c>
      <c r="M108" s="46">
        <f>Data!U106</f>
        <v>1.2051924131810665E-2</v>
      </c>
      <c r="N108" s="46" t="str">
        <f>CONCATENATE(Data!W106," (",Data!V106,")")</f>
        <v>Exceso Velocidad 10 Km/h (Velocidad máxima: 14 kmh)</v>
      </c>
      <c r="O108" s="42" t="str">
        <f>IF(Data!V106&lt;&gt;"",N108,Data!W106)</f>
        <v>Exceso Velocidad 10 Km/h (Velocidad máxima: 14 kmh)</v>
      </c>
      <c r="P108" s="47" t="str">
        <f>Data!X106</f>
        <v>Válido</v>
      </c>
    </row>
    <row r="109" spans="1:16">
      <c r="A109" s="41" t="str">
        <f>Data!A107</f>
        <v>PKU060</v>
      </c>
      <c r="B109" s="41" t="str">
        <f>Data!D107</f>
        <v>Vehicle, Diesel, Frontera Energy Col 2679</v>
      </c>
      <c r="C109" s="41">
        <f>Data!F107</f>
        <v>0</v>
      </c>
      <c r="D109" s="41">
        <f>Data!G107</f>
        <v>0</v>
      </c>
      <c r="E109" s="41">
        <f>Data!H107</f>
        <v>0</v>
      </c>
      <c r="F109" s="41">
        <f>Data!K107</f>
        <v>0</v>
      </c>
      <c r="G109" s="33" t="str">
        <f>Data!M107</f>
        <v>Exceso Velocidad 10 Km/h</v>
      </c>
      <c r="H109" s="41" t="str">
        <f>Data!P107</f>
        <v>ECOPETROL RUBIALES- Quifa - CAÑO SUR, BATERIA 4: Rb 4 324 126 129 195 14 325 316 143 217 1 26 523 256 28, Meta, 502057, Colombia</v>
      </c>
      <c r="I109" s="42" t="str">
        <f>Data!Q107</f>
        <v>Cliente, Vel Max 40 Km/h, Vel Max 10 Km/h</v>
      </c>
      <c r="J109" s="43">
        <f>Data!S107</f>
        <v>46174.551550925928</v>
      </c>
      <c r="K109" s="44">
        <f>Data!S107</f>
        <v>46174.551550925928</v>
      </c>
      <c r="L109" s="45">
        <f>Data!T107</f>
        <v>2.0543981481481482E-4</v>
      </c>
      <c r="M109" s="46">
        <f>Data!U107</f>
        <v>5.0240051001310349E-2</v>
      </c>
      <c r="N109" s="46" t="str">
        <f>CONCATENATE(Data!W107," (",Data!V107,")")</f>
        <v>Exceso Velocidad 10 Km/h (Velocidad máxima: 11 kmh)</v>
      </c>
      <c r="O109" s="42" t="str">
        <f>IF(Data!V107&lt;&gt;"",N109,Data!W107)</f>
        <v>Exceso Velocidad 10 Km/h (Velocidad máxima: 11 kmh)</v>
      </c>
      <c r="P109" s="47" t="str">
        <f>Data!X107</f>
        <v>Válido</v>
      </c>
    </row>
    <row r="110" spans="1:16">
      <c r="A110" s="41" t="str">
        <f>Data!A108</f>
        <v>PKU060</v>
      </c>
      <c r="B110" s="41" t="str">
        <f>Data!D108</f>
        <v>Vehicle, Diesel, Frontera Energy Col 2679</v>
      </c>
      <c r="C110" s="41">
        <f>Data!F108</f>
        <v>0</v>
      </c>
      <c r="D110" s="41">
        <f>Data!G108</f>
        <v>0</v>
      </c>
      <c r="E110" s="41">
        <f>Data!H108</f>
        <v>0</v>
      </c>
      <c r="F110" s="41">
        <f>Data!K108</f>
        <v>0</v>
      </c>
      <c r="G110" s="33" t="str">
        <f>Data!M108</f>
        <v>Exceso Velocidad 10 Km/h</v>
      </c>
      <c r="H110" s="41" t="str">
        <f>Data!P108</f>
        <v>ECOPETROL RUBIALES- Quifa - CAÑO SUR, BATERIA 4: Rb 4, Puerto Gaitán, Meta, Colombia</v>
      </c>
      <c r="I110" s="42" t="str">
        <f>Data!Q108</f>
        <v>Cliente, Vel Max 40 Km/h, Vel Max 10 Km/h</v>
      </c>
      <c r="J110" s="43">
        <f>Data!S108</f>
        <v>46174.645254629628</v>
      </c>
      <c r="K110" s="44">
        <f>Data!S108</f>
        <v>46174.645254629628</v>
      </c>
      <c r="L110" s="45">
        <f>Data!T108</f>
        <v>2.0833333333333335E-4</v>
      </c>
      <c r="M110" s="46">
        <f>Data!U108</f>
        <v>4.0991872549057007E-2</v>
      </c>
      <c r="N110" s="46" t="str">
        <f>CONCATENATE(Data!W108," (",Data!V108,")")</f>
        <v>Exceso Velocidad 10 Km/h (Velocidad máxima: 12 kmh)</v>
      </c>
      <c r="O110" s="42" t="str">
        <f>IF(Data!V108&lt;&gt;"",N110,Data!W108)</f>
        <v>Exceso Velocidad 10 Km/h (Velocidad máxima: 12 kmh)</v>
      </c>
      <c r="P110" s="47" t="str">
        <f>Data!X108</f>
        <v>Válido</v>
      </c>
    </row>
    <row r="111" spans="1:16">
      <c r="A111" s="41" t="str">
        <f>Data!A109</f>
        <v>PKU060</v>
      </c>
      <c r="B111" s="41" t="str">
        <f>Data!D109</f>
        <v>Vehicle, Diesel, Frontera Energy Col 2679</v>
      </c>
      <c r="C111" s="41">
        <f>Data!F109</f>
        <v>0</v>
      </c>
      <c r="D111" s="41">
        <f>Data!G109</f>
        <v>0</v>
      </c>
      <c r="E111" s="41">
        <f>Data!H109</f>
        <v>0</v>
      </c>
      <c r="F111" s="41">
        <f>Data!K109</f>
        <v>0</v>
      </c>
      <c r="G111" s="33" t="str">
        <f>Data!M109</f>
        <v>Exceso Velocidad 10 Km/h</v>
      </c>
      <c r="H111" s="41" t="str">
        <f>Data!P109</f>
        <v>ECOPETROL RUBIALES- Quifa - CAÑO SUR, BATERIA 4: Vía Sin Nombre, Puerto Gaitán, Meta, Colombia</v>
      </c>
      <c r="I111" s="42" t="str">
        <f>Data!Q109</f>
        <v>Cliente, Vel Max 40 Km/h, Vel Max 10 Km/h</v>
      </c>
      <c r="J111" s="43">
        <f>Data!S109</f>
        <v>46174.679100138892</v>
      </c>
      <c r="K111" s="44">
        <f>Data!S109</f>
        <v>46174.679100138892</v>
      </c>
      <c r="L111" s="45">
        <f>Data!T109</f>
        <v>5.109953703703704E-5</v>
      </c>
      <c r="M111" s="46">
        <f>Data!U109</f>
        <v>1.1292950250208378E-2</v>
      </c>
      <c r="N111" s="46" t="str">
        <f>CONCATENATE(Data!W109," (",Data!V109,")")</f>
        <v>Exceso Velocidad 10 Km/h (Velocidad máxima: 11 kmh)</v>
      </c>
      <c r="O111" s="42" t="str">
        <f>IF(Data!V109&lt;&gt;"",N111,Data!W109)</f>
        <v>Exceso Velocidad 10 Km/h (Velocidad máxima: 11 kmh)</v>
      </c>
      <c r="P111" s="47" t="str">
        <f>Data!X109</f>
        <v>Válido</v>
      </c>
    </row>
    <row r="112" spans="1:16">
      <c r="A112" s="41" t="str">
        <f>Data!A110</f>
        <v>PKU060</v>
      </c>
      <c r="B112" s="41" t="str">
        <f>Data!D110</f>
        <v>Vehicle, Diesel, Frontera Energy Col 2679</v>
      </c>
      <c r="C112" s="41">
        <f>Data!F110</f>
        <v>0</v>
      </c>
      <c r="D112" s="41">
        <f>Data!G110</f>
        <v>0</v>
      </c>
      <c r="E112" s="41">
        <f>Data!H110</f>
        <v>0</v>
      </c>
      <c r="F112" s="41">
        <f>Data!K110</f>
        <v>0</v>
      </c>
      <c r="G112" s="33" t="str">
        <f>Data!M110</f>
        <v>Giro brusco</v>
      </c>
      <c r="H112" s="41" t="str">
        <f>Data!P110</f>
        <v>ECOPETROL RUBIALES- Quifa - CAÑO SUR, BATERIA 4: Rb 4, Puerto Gaitán, Meta, Colombia</v>
      </c>
      <c r="I112" s="42" t="str">
        <f>Data!Q110</f>
        <v>Cliente, Vel Max 40 Km/h, Vel Max 10 Km/h</v>
      </c>
      <c r="J112" s="43">
        <f>Data!S110</f>
        <v>46174.679304328703</v>
      </c>
      <c r="K112" s="44">
        <f>Data!S110</f>
        <v>46174.679304328703</v>
      </c>
      <c r="L112" s="45">
        <f>Data!T110</f>
        <v>1.3541666666666667E-6</v>
      </c>
      <c r="M112" s="46">
        <f>Data!U110</f>
        <v>2.088816836476326E-4</v>
      </c>
      <c r="N112" s="46" t="str">
        <f>CONCATENATE(Data!W110," (",Data!V110,")")</f>
        <v>Giro brusco (Velocidad máxima: 4 kmh Aceleración de lado a lado: -0.57 g-force, Ignición: 1.00)</v>
      </c>
      <c r="O112" s="42" t="str">
        <f>IF(Data!V110&lt;&gt;"",N112,Data!W110)</f>
        <v>Giro brusco (Velocidad máxima: 4 kmh Aceleración de lado a lado: -0.57 g-force, Ignición: 1.00)</v>
      </c>
      <c r="P112" s="47" t="str">
        <f>Data!X110</f>
        <v>Válido</v>
      </c>
    </row>
    <row r="113" spans="1:16">
      <c r="A113" s="41" t="str">
        <f>Data!A111</f>
        <v>PKU060</v>
      </c>
      <c r="B113" s="41" t="str">
        <f>Data!D111</f>
        <v>Vehicle, Diesel, Frontera Energy Col 2679</v>
      </c>
      <c r="C113" s="41">
        <f>Data!F111</f>
        <v>0</v>
      </c>
      <c r="D113" s="41">
        <f>Data!G111</f>
        <v>0</v>
      </c>
      <c r="E113" s="41">
        <f>Data!H111</f>
        <v>0</v>
      </c>
      <c r="F113" s="41">
        <f>Data!K111</f>
        <v>0</v>
      </c>
      <c r="G113" s="33" t="str">
        <f>Data!M111</f>
        <v>Exceso Velocidad 10 Km/h</v>
      </c>
      <c r="H113" s="41" t="str">
        <f>Data!P111</f>
        <v>ECOPETROL RUBIALES- Quifa - CAÑO SUR, BATERIA 4: Rb 4, Puerto Gaitán, Meta, Colombia</v>
      </c>
      <c r="I113" s="42" t="str">
        <f>Data!Q111</f>
        <v>Cliente, Vel Max 40 Km/h, Vel Max 10 Km/h</v>
      </c>
      <c r="J113" s="43">
        <f>Data!S111</f>
        <v>46174.679359085647</v>
      </c>
      <c r="K113" s="44">
        <f>Data!S111</f>
        <v>46174.679359085647</v>
      </c>
      <c r="L113" s="45">
        <f>Data!T111</f>
        <v>3.9062500000000001E-5</v>
      </c>
      <c r="M113" s="46">
        <f>Data!U111</f>
        <v>1.0381230153143406E-2</v>
      </c>
      <c r="N113" s="46" t="str">
        <f>CONCATENATE(Data!W111," (",Data!V111,")")</f>
        <v>Exceso Velocidad 10 Km/h (Velocidad máxima: 11 kmh)</v>
      </c>
      <c r="O113" s="42" t="str">
        <f>IF(Data!V111&lt;&gt;"",N113,Data!W111)</f>
        <v>Exceso Velocidad 10 Km/h (Velocidad máxima: 11 kmh)</v>
      </c>
      <c r="P113" s="47" t="str">
        <f>Data!X111</f>
        <v>Válido</v>
      </c>
    </row>
    <row r="114" spans="1:16">
      <c r="A114" s="41" t="str">
        <f>Data!A112</f>
        <v>PKU060</v>
      </c>
      <c r="B114" s="41" t="str">
        <f>Data!D112</f>
        <v>Vehicle, Diesel, Frontera Energy Col 2679</v>
      </c>
      <c r="C114" s="41">
        <f>Data!F112</f>
        <v>0</v>
      </c>
      <c r="D114" s="41">
        <f>Data!G112</f>
        <v>0</v>
      </c>
      <c r="E114" s="41">
        <f>Data!H112</f>
        <v>0</v>
      </c>
      <c r="F114" s="41">
        <f>Data!K112</f>
        <v>0</v>
      </c>
      <c r="G114" s="33" t="str">
        <f>Data!M112</f>
        <v>Exceso Velocidad 10 Km/h</v>
      </c>
      <c r="H114" s="41" t="str">
        <f>Data!P112</f>
        <v>ECOPETROL RUBIALES- Quifa - CAÑO SUR, BATERIA 4: Rb 4, Puerto Gaitán, Meta, Colombia</v>
      </c>
      <c r="I114" s="42" t="str">
        <f>Data!Q112</f>
        <v>Cliente, Vel Max 40 Km/h, Vel Max 10 Km/h</v>
      </c>
      <c r="J114" s="43">
        <f>Data!S112</f>
        <v>46174.679467592592</v>
      </c>
      <c r="K114" s="44">
        <f>Data!S112</f>
        <v>46174.679467592592</v>
      </c>
      <c r="L114" s="45">
        <f>Data!T112</f>
        <v>2.1215277777777779E-5</v>
      </c>
      <c r="M114" s="46">
        <f>Data!U112</f>
        <v>4.0662712417542934E-3</v>
      </c>
      <c r="N114" s="46" t="str">
        <f>CONCATENATE(Data!W112," (",Data!V112,")")</f>
        <v>Exceso Velocidad 10 Km/h (Velocidad máxima: 11 kmh)</v>
      </c>
      <c r="O114" s="42" t="str">
        <f>IF(Data!V112&lt;&gt;"",N114,Data!W112)</f>
        <v>Exceso Velocidad 10 Km/h (Velocidad máxima: 11 kmh)</v>
      </c>
      <c r="P114" s="47" t="str">
        <f>Data!X112</f>
        <v>Válido</v>
      </c>
    </row>
    <row r="115" spans="1:16">
      <c r="A115" s="41" t="str">
        <f>Data!A113</f>
        <v>PKU060</v>
      </c>
      <c r="B115" s="41" t="str">
        <f>Data!D113</f>
        <v>Vehicle, Diesel, Frontera Energy Col 2679</v>
      </c>
      <c r="C115" s="41">
        <f>Data!F113</f>
        <v>0</v>
      </c>
      <c r="D115" s="41">
        <f>Data!G113</f>
        <v>0</v>
      </c>
      <c r="E115" s="41">
        <f>Data!H113</f>
        <v>0</v>
      </c>
      <c r="F115" s="41">
        <f>Data!K113</f>
        <v>0</v>
      </c>
      <c r="G115" s="33" t="str">
        <f>Data!M113</f>
        <v>Exceso Velocidad 10 Km/h</v>
      </c>
      <c r="H115" s="41" t="str">
        <f>Data!P113</f>
        <v>ECOPETROL RUBIALES- Quifa - CAÑO SUR, BATERIA 4: Vía Sin Nombre, Puerto Gaitán, Meta, Colombia</v>
      </c>
      <c r="I115" s="42" t="str">
        <f>Data!Q113</f>
        <v>Cliente, Vel Max 40 Km/h, Vel Max 10 Km/h</v>
      </c>
      <c r="J115" s="43">
        <f>Data!S113</f>
        <v>46174.679681713067</v>
      </c>
      <c r="K115" s="44">
        <f>Data!S113</f>
        <v>46174.679681713067</v>
      </c>
      <c r="L115" s="45">
        <f>Data!T113</f>
        <v>4.9575231481481486E-4</v>
      </c>
      <c r="M115" s="46">
        <f>Data!U113</f>
        <v>0.12583039700984955</v>
      </c>
      <c r="N115" s="46" t="str">
        <f>CONCATENATE(Data!W113," (",Data!V113,")")</f>
        <v>Exceso Velocidad 10 Km/h (Velocidad máxima: 12 kmh)</v>
      </c>
      <c r="O115" s="42" t="str">
        <f>IF(Data!V113&lt;&gt;"",N115,Data!W113)</f>
        <v>Exceso Velocidad 10 Km/h (Velocidad máxima: 12 kmh)</v>
      </c>
      <c r="P115" s="47" t="str">
        <f>Data!X113</f>
        <v>Válido</v>
      </c>
    </row>
    <row r="116" spans="1:16">
      <c r="A116" s="41" t="str">
        <f>Data!A114</f>
        <v>PKU060</v>
      </c>
      <c r="B116" s="41" t="str">
        <f>Data!D114</f>
        <v>Vehicle, Diesel, Frontera Energy Col 2679</v>
      </c>
      <c r="C116" s="41">
        <f>Data!F114</f>
        <v>0</v>
      </c>
      <c r="D116" s="41">
        <f>Data!G114</f>
        <v>0</v>
      </c>
      <c r="E116" s="41">
        <f>Data!H114</f>
        <v>0</v>
      </c>
      <c r="F116" s="41">
        <f>Data!K114</f>
        <v>0</v>
      </c>
      <c r="G116" s="33" t="str">
        <f>Data!M114</f>
        <v>Exceso Velocidad 10 Km/h</v>
      </c>
      <c r="H116" s="41" t="str">
        <f>Data!P114</f>
        <v>ECOPETROL RUBIALES- Quifa - CAÑO SUR, BATERIA 4: Vía Sin Nombre, Puerto Gaitán, Meta, Colombia</v>
      </c>
      <c r="I116" s="42" t="str">
        <f>Data!Q114</f>
        <v>Cliente, Vel Max 40 Km/h, Vel Max 10 Km/h</v>
      </c>
      <c r="J116" s="43">
        <f>Data!S114</f>
        <v>46174.682245370372</v>
      </c>
      <c r="K116" s="44">
        <f>Data!S114</f>
        <v>46174.682245370372</v>
      </c>
      <c r="L116" s="45">
        <f>Data!T114</f>
        <v>1.1574074074074075E-4</v>
      </c>
      <c r="M116" s="46">
        <f>Data!U114</f>
        <v>2.8997115790843964E-2</v>
      </c>
      <c r="N116" s="46" t="str">
        <f>CONCATENATE(Data!W114," (",Data!V114,")")</f>
        <v>Exceso Velocidad 10 Km/h (Velocidad máxima: 12 kmh)</v>
      </c>
      <c r="O116" s="42" t="str">
        <f>IF(Data!V114&lt;&gt;"",N116,Data!W114)</f>
        <v>Exceso Velocidad 10 Km/h (Velocidad máxima: 12 kmh)</v>
      </c>
      <c r="P116" s="47" t="str">
        <f>Data!X114</f>
        <v>Válido</v>
      </c>
    </row>
    <row r="117" spans="1:16">
      <c r="A117" s="41" t="str">
        <f>Data!A115</f>
        <v>PKU060</v>
      </c>
      <c r="B117" s="41" t="str">
        <f>Data!D115</f>
        <v>Vehicle, Diesel, Frontera Energy Col 2679</v>
      </c>
      <c r="C117" s="41">
        <f>Data!F115</f>
        <v>0</v>
      </c>
      <c r="D117" s="41">
        <f>Data!G115</f>
        <v>0</v>
      </c>
      <c r="E117" s="41">
        <f>Data!H115</f>
        <v>0</v>
      </c>
      <c r="F117" s="41">
        <f>Data!K115</f>
        <v>0</v>
      </c>
      <c r="G117" s="33" t="str">
        <f>Data!M115</f>
        <v>Tiempo en ralentí</v>
      </c>
      <c r="H117" s="41" t="str">
        <f>Data!P115</f>
        <v>ECOPETROL RUBIALES- Quifa - CAÑO SUR, BATERIA 4: Rb 4, Puerto Gaitán, Meta, Colombia</v>
      </c>
      <c r="I117" s="42" t="str">
        <f>Data!Q115</f>
        <v>Cliente, Vel Max 40 Km/h, Vel Max 10 Km/h</v>
      </c>
      <c r="J117" s="43">
        <f>Data!S115</f>
        <v>46174.682766203703</v>
      </c>
      <c r="K117" s="44">
        <f>Data!S115</f>
        <v>46174.682766203703</v>
      </c>
      <c r="L117" s="45">
        <f>Data!T115</f>
        <v>5.8449074074074072E-3</v>
      </c>
      <c r="M117" s="46">
        <f>Data!U115</f>
        <v>0</v>
      </c>
      <c r="N117" s="46" t="str">
        <f>CONCATENATE(Data!W115," (",Data!V115,")")</f>
        <v>Tiempo en ralentí (Ignición: 1.00)</v>
      </c>
      <c r="O117" s="42" t="str">
        <f>IF(Data!V115&lt;&gt;"",N117,Data!W115)</f>
        <v>Tiempo en ralentí (Ignición: 1.00)</v>
      </c>
      <c r="P117" s="47" t="str">
        <f>Data!X115</f>
        <v>Válido</v>
      </c>
    </row>
    <row r="118" spans="1:16">
      <c r="A118" s="41" t="str">
        <f>Data!A116</f>
        <v>PKU060</v>
      </c>
      <c r="B118" s="41" t="str">
        <f>Data!D116</f>
        <v>Vehicle, Diesel, Frontera Energy Col 2679</v>
      </c>
      <c r="C118" s="41">
        <f>Data!F116</f>
        <v>0</v>
      </c>
      <c r="D118" s="41">
        <f>Data!G116</f>
        <v>0</v>
      </c>
      <c r="E118" s="41">
        <f>Data!H116</f>
        <v>0</v>
      </c>
      <c r="F118" s="41">
        <f>Data!K116</f>
        <v>0</v>
      </c>
      <c r="G118" s="33" t="str">
        <f>Data!M116</f>
        <v>Exceso Velocidad 10 Km/h</v>
      </c>
      <c r="H118" s="41" t="str">
        <f>Data!P116</f>
        <v>ECOPETROL RUBIALES- Quifa - CAÑO SUR, BATERIA 4: Rb 4, Puerto Gaitán, Meta, Colombia</v>
      </c>
      <c r="I118" s="42" t="str">
        <f>Data!Q116</f>
        <v>Cliente, Vel Max 40 Km/h, Vel Max 10 Km/h</v>
      </c>
      <c r="J118" s="43">
        <f>Data!S116</f>
        <v>46174.688778935284</v>
      </c>
      <c r="K118" s="44">
        <f>Data!S116</f>
        <v>46174.688778935284</v>
      </c>
      <c r="L118" s="45">
        <f>Data!T116</f>
        <v>1.420138888888889E-3</v>
      </c>
      <c r="M118" s="46">
        <f>Data!U116</f>
        <v>0.42664322257041931</v>
      </c>
      <c r="N118" s="46" t="str">
        <f>CONCATENATE(Data!W116," (",Data!V116,")")</f>
        <v>Exceso Velocidad 10 Km/h (Velocidad máxima: 13 kmh)</v>
      </c>
      <c r="O118" s="42" t="str">
        <f>IF(Data!V116&lt;&gt;"",N118,Data!W116)</f>
        <v>Exceso Velocidad 10 Km/h (Velocidad máxima: 13 kmh)</v>
      </c>
      <c r="P118" s="47" t="str">
        <f>Data!X116</f>
        <v>Válido</v>
      </c>
    </row>
    <row r="119" spans="1:16">
      <c r="A119" s="41" t="str">
        <f>Data!A117</f>
        <v>PKU060</v>
      </c>
      <c r="B119" s="41" t="str">
        <f>Data!D117</f>
        <v>Vehicle, Diesel, Frontera Energy Col 2679</v>
      </c>
      <c r="C119" s="41">
        <f>Data!F117</f>
        <v>0</v>
      </c>
      <c r="D119" s="41">
        <f>Data!G117</f>
        <v>0</v>
      </c>
      <c r="E119" s="41">
        <f>Data!H117</f>
        <v>0</v>
      </c>
      <c r="F119" s="41">
        <f>Data!K117</f>
        <v>0</v>
      </c>
      <c r="G119" s="33" t="str">
        <f>Data!M117</f>
        <v>Exceso Velocidad 10 Km/h</v>
      </c>
      <c r="H119" s="41" t="str">
        <f>Data!P117</f>
        <v>ECOPETROL RUBIALES- Quifa - CAÑO SUR, BATERIA 4: Rb 4, Puerto Gaitán, Meta, Colombia</v>
      </c>
      <c r="I119" s="42" t="str">
        <f>Data!Q117</f>
        <v>Cliente, Vel Max 40 Km/h, Vel Max 10 Km/h</v>
      </c>
      <c r="J119" s="43">
        <f>Data!S117</f>
        <v>46174.690266203703</v>
      </c>
      <c r="K119" s="44">
        <f>Data!S117</f>
        <v>46174.690266203703</v>
      </c>
      <c r="L119" s="45">
        <f>Data!T117</f>
        <v>2.5231481481481481E-4</v>
      </c>
      <c r="M119" s="46">
        <f>Data!U117</f>
        <v>6.5492600202560425E-2</v>
      </c>
      <c r="N119" s="46" t="str">
        <f>CONCATENATE(Data!W117," (",Data!V117,")")</f>
        <v>Exceso Velocidad 10 Km/h (Velocidad máxima: 12 kmh)</v>
      </c>
      <c r="O119" s="42" t="str">
        <f>IF(Data!V117&lt;&gt;"",N119,Data!W117)</f>
        <v>Exceso Velocidad 10 Km/h (Velocidad máxima: 12 kmh)</v>
      </c>
      <c r="P119" s="47" t="str">
        <f>Data!X117</f>
        <v>Válido</v>
      </c>
    </row>
    <row r="120" spans="1:16">
      <c r="A120" s="41" t="str">
        <f>Data!A118</f>
        <v>PKU060</v>
      </c>
      <c r="B120" s="41" t="str">
        <f>Data!D118</f>
        <v>Vehicle, Diesel, Frontera Energy Col 2679</v>
      </c>
      <c r="C120" s="41">
        <f>Data!F118</f>
        <v>0</v>
      </c>
      <c r="D120" s="41">
        <f>Data!G118</f>
        <v>0</v>
      </c>
      <c r="E120" s="41">
        <f>Data!H118</f>
        <v>0</v>
      </c>
      <c r="F120" s="41">
        <f>Data!K118</f>
        <v>0</v>
      </c>
      <c r="G120" s="33" t="str">
        <f>Data!M118</f>
        <v>Exceso Velocidad 10 Km/h</v>
      </c>
      <c r="H120" s="41" t="str">
        <f>Data!P118</f>
        <v>ECOPETROL RUBIALES- Quifa - CAÑO SUR, BATERIA 4: Rb 4 324 126 129 195 14 325 316 143 217 1 26 523 256 28, Puerto Gaitán, Meta, Colombia</v>
      </c>
      <c r="I120" s="42" t="str">
        <f>Data!Q118</f>
        <v>Cliente, Vel Max 40 Km/h, Vel Max 10 Km/h</v>
      </c>
      <c r="J120" s="43">
        <f>Data!S118</f>
        <v>46174.690745706015</v>
      </c>
      <c r="K120" s="44">
        <f>Data!S118</f>
        <v>46174.690745706015</v>
      </c>
      <c r="L120" s="45">
        <f>Data!T118</f>
        <v>8.9942129629629636E-5</v>
      </c>
      <c r="M120" s="46">
        <f>Data!U118</f>
        <v>2.4206826463341713E-2</v>
      </c>
      <c r="N120" s="46" t="str">
        <f>CONCATENATE(Data!W118," (",Data!V118,")")</f>
        <v>Exceso Velocidad 10 Km/h (Velocidad máxima: 14 kmh)</v>
      </c>
      <c r="O120" s="42" t="str">
        <f>IF(Data!V118&lt;&gt;"",N120,Data!W118)</f>
        <v>Exceso Velocidad 10 Km/h (Velocidad máxima: 14 kmh)</v>
      </c>
      <c r="P120" s="47" t="str">
        <f>Data!X118</f>
        <v>Válido</v>
      </c>
    </row>
    <row r="121" spans="1:16">
      <c r="A121" s="41" t="str">
        <f>Data!A119</f>
        <v>PKU060</v>
      </c>
      <c r="B121" s="41" t="str">
        <f>Data!D119</f>
        <v>Vehicle, Diesel, Frontera Energy Col 2679</v>
      </c>
      <c r="C121" s="41">
        <f>Data!F119</f>
        <v>0</v>
      </c>
      <c r="D121" s="41">
        <f>Data!G119</f>
        <v>0</v>
      </c>
      <c r="E121" s="41">
        <f>Data!H119</f>
        <v>0</v>
      </c>
      <c r="F121" s="41">
        <f>Data!K119</f>
        <v>0</v>
      </c>
      <c r="G121" s="33" t="str">
        <f>Data!M119</f>
        <v>Exceso Velocidad 10 Km/h</v>
      </c>
      <c r="H121" s="41" t="str">
        <f>Data!P119</f>
        <v>ECOPETROL RUBIALES- Quifa - CAÑO SUR, BATERIA 4: Rb 4 324 126 129 195 14 325 316 143 217 1 26 523 256 28, Puerto Gaitán, Meta, Colombia</v>
      </c>
      <c r="I121" s="42" t="str">
        <f>Data!Q119</f>
        <v>Cliente, Vel Max 40 Km/h, Vel Max 10 Km/h</v>
      </c>
      <c r="J121" s="43">
        <f>Data!S119</f>
        <v>46174.691838622683</v>
      </c>
      <c r="K121" s="44">
        <f>Data!S119</f>
        <v>46174.691838622683</v>
      </c>
      <c r="L121" s="45">
        <f>Data!T119</f>
        <v>3.059027777777778E-5</v>
      </c>
      <c r="M121" s="46">
        <f>Data!U119</f>
        <v>7.007804699242115E-3</v>
      </c>
      <c r="N121" s="46" t="str">
        <f>CONCATENATE(Data!W119," (",Data!V119,")")</f>
        <v>Exceso Velocidad 10 Km/h (Velocidad máxima: 12 kmh)</v>
      </c>
      <c r="O121" s="42" t="str">
        <f>IF(Data!V119&lt;&gt;"",N121,Data!W119)</f>
        <v>Exceso Velocidad 10 Km/h (Velocidad máxima: 12 kmh)</v>
      </c>
      <c r="P121" s="47" t="str">
        <f>Data!X119</f>
        <v>Válido</v>
      </c>
    </row>
    <row r="122" spans="1:16">
      <c r="A122" s="41" t="str">
        <f>Data!A120</f>
        <v>PKU060</v>
      </c>
      <c r="B122" s="41" t="str">
        <f>Data!D120</f>
        <v>Vehicle, Diesel, Frontera Energy Col 2679</v>
      </c>
      <c r="C122" s="41">
        <f>Data!F120</f>
        <v>0</v>
      </c>
      <c r="D122" s="41">
        <f>Data!G120</f>
        <v>0</v>
      </c>
      <c r="E122" s="41">
        <f>Data!H120</f>
        <v>0</v>
      </c>
      <c r="F122" s="41">
        <f>Data!K120</f>
        <v>0</v>
      </c>
      <c r="G122" s="33" t="str">
        <f>Data!M120</f>
        <v>Exceso Velocidad 10 Km/h</v>
      </c>
      <c r="H122" s="41" t="str">
        <f>Data!P120</f>
        <v>ECOPETROL RUBIALES- Quifa - CAÑO SUR, BATERIA 4: Rb 4 324 126 129 195 14 325 316 143 217 1 26 523 256 28, Puerto Gaitán, Meta, Colombia</v>
      </c>
      <c r="I122" s="42" t="str">
        <f>Data!Q120</f>
        <v>Cliente, Vel Max 40 Km/h, Vel Max 10 Km/h</v>
      </c>
      <c r="J122" s="43">
        <f>Data!S120</f>
        <v>46174.691921296297</v>
      </c>
      <c r="K122" s="44">
        <f>Data!S120</f>
        <v>46174.691921296297</v>
      </c>
      <c r="L122" s="45">
        <f>Data!T120</f>
        <v>3.9351851851851852E-4</v>
      </c>
      <c r="M122" s="46">
        <f>Data!U120</f>
        <v>0.11764762550592422</v>
      </c>
      <c r="N122" s="46" t="str">
        <f>CONCATENATE(Data!W120," (",Data!V120,")")</f>
        <v>Exceso Velocidad 10 Km/h (Velocidad máxima: 14 kmh)</v>
      </c>
      <c r="O122" s="42" t="str">
        <f>IF(Data!V120&lt;&gt;"",N122,Data!W120)</f>
        <v>Exceso Velocidad 10 Km/h (Velocidad máxima: 14 kmh)</v>
      </c>
      <c r="P122" s="47" t="str">
        <f>Data!X120</f>
        <v>Válido</v>
      </c>
    </row>
    <row r="123" spans="1:16">
      <c r="A123" s="41" t="str">
        <f>Data!A121</f>
        <v>PKU060</v>
      </c>
      <c r="B123" s="41" t="str">
        <f>Data!D121</f>
        <v>Vehicle, Diesel, Frontera Energy Col 2679</v>
      </c>
      <c r="C123" s="41">
        <f>Data!F121</f>
        <v>0</v>
      </c>
      <c r="D123" s="41">
        <f>Data!G121</f>
        <v>0</v>
      </c>
      <c r="E123" s="41">
        <f>Data!H121</f>
        <v>0</v>
      </c>
      <c r="F123" s="41">
        <f>Data!K121</f>
        <v>0</v>
      </c>
      <c r="G123" s="33" t="str">
        <f>Data!M121</f>
        <v>Exceso Velocidad 10 Km/h</v>
      </c>
      <c r="H123" s="41" t="str">
        <f>Data!P121</f>
        <v>ECOPETROL RUBIALES- Quifa - CAÑO SUR, BATERIA 4: Rb 4 324 126 129 195 14 325 316 143 217 1 26 523 256 28, Meta, 502057, Colombia</v>
      </c>
      <c r="I123" s="42" t="str">
        <f>Data!Q121</f>
        <v>Cliente, Vel Max 40 Km/h, Vel Max 10 Km/h</v>
      </c>
      <c r="J123" s="43">
        <f>Data!S121</f>
        <v>46174.692404097223</v>
      </c>
      <c r="K123" s="44">
        <f>Data!S121</f>
        <v>46174.692404097223</v>
      </c>
      <c r="L123" s="45">
        <f>Data!T121</f>
        <v>1.2681365740740741E-3</v>
      </c>
      <c r="M123" s="46">
        <f>Data!U121</f>
        <v>0.35870605707168579</v>
      </c>
      <c r="N123" s="46" t="str">
        <f>CONCATENATE(Data!W121," (",Data!V121,")")</f>
        <v>Exceso Velocidad 10 Km/h (Velocidad máxima: 13 kmh)</v>
      </c>
      <c r="O123" s="42" t="str">
        <f>IF(Data!V121&lt;&gt;"",N123,Data!W121)</f>
        <v>Exceso Velocidad 10 Km/h (Velocidad máxima: 13 kmh)</v>
      </c>
      <c r="P123" s="47" t="str">
        <f>Data!X121</f>
        <v>Válido</v>
      </c>
    </row>
    <row r="124" spans="1:16">
      <c r="A124" s="41" t="str">
        <f>Data!A122</f>
        <v>PKU060</v>
      </c>
      <c r="B124" s="41" t="str">
        <f>Data!D122</f>
        <v>Vehicle, Diesel, Frontera Energy Col 2679</v>
      </c>
      <c r="C124" s="41">
        <f>Data!F122</f>
        <v>0</v>
      </c>
      <c r="D124" s="41">
        <f>Data!G122</f>
        <v>0</v>
      </c>
      <c r="E124" s="41">
        <f>Data!H122</f>
        <v>0</v>
      </c>
      <c r="F124" s="41">
        <f>Data!K122</f>
        <v>0</v>
      </c>
      <c r="G124" s="33" t="str">
        <f>Data!M122</f>
        <v>Tiempo en ralentí</v>
      </c>
      <c r="H124" s="41" t="str">
        <f>Data!P122</f>
        <v>ECOPETROL RUBIALES- Quifa - CAÑO SUR: Puerto Gaitan - Rubiales, Puerto Gaitán, Meta, Colombia</v>
      </c>
      <c r="I124" s="42" t="str">
        <f>Data!Q122</f>
        <v>Cliente, Vel Max 40 Km/h</v>
      </c>
      <c r="J124" s="43">
        <f>Data!S122</f>
        <v>46174.701979166668</v>
      </c>
      <c r="K124" s="44">
        <f>Data!S122</f>
        <v>46174.701979166668</v>
      </c>
      <c r="L124" s="45">
        <f>Data!T122</f>
        <v>5.5439814814814813E-3</v>
      </c>
      <c r="M124" s="46">
        <f>Data!U122</f>
        <v>1.3223888527136296E-4</v>
      </c>
      <c r="N124" s="46" t="str">
        <f>CONCATENATE(Data!W122," (",Data!V122,")")</f>
        <v>Tiempo en ralentí (Ignición: 1.00)</v>
      </c>
      <c r="O124" s="42" t="str">
        <f>IF(Data!V122&lt;&gt;"",N124,Data!W122)</f>
        <v>Tiempo en ralentí (Ignición: 1.00)</v>
      </c>
      <c r="P124" s="47" t="str">
        <f>Data!X122</f>
        <v>Válido</v>
      </c>
    </row>
    <row r="125" spans="1:16">
      <c r="A125" s="41" t="str">
        <f>Data!A123</f>
        <v>PKU060</v>
      </c>
      <c r="B125" s="41" t="str">
        <f>Data!D123</f>
        <v>Vehicle, Diesel, Frontera Energy Col 2679</v>
      </c>
      <c r="C125" s="41">
        <f>Data!F123</f>
        <v>0</v>
      </c>
      <c r="D125" s="41">
        <f>Data!G123</f>
        <v>0</v>
      </c>
      <c r="E125" s="41">
        <f>Data!H123</f>
        <v>0</v>
      </c>
      <c r="F125" s="41">
        <f>Data!K123</f>
        <v>0</v>
      </c>
      <c r="G125" s="33" t="str">
        <f>Data!M123</f>
        <v>Uso del cinturón de seguridad</v>
      </c>
      <c r="H125" s="41" t="str">
        <f>Data!P123</f>
        <v>ECOPETROL RUBIALES- Quifa - CAÑO SUR: Puerto Gaitan - Rubiales, Puerto Gaitán, Meta, Colombia</v>
      </c>
      <c r="I125" s="42" t="str">
        <f>Data!Q123</f>
        <v>Cliente, Vel Max 40 Km/h</v>
      </c>
      <c r="J125" s="43">
        <f>Data!S123</f>
        <v>46174.708051701389</v>
      </c>
      <c r="K125" s="44">
        <f>Data!S123</f>
        <v>46174.708051701389</v>
      </c>
      <c r="L125" s="45">
        <f>Data!T123</f>
        <v>9.1967592592592586E-5</v>
      </c>
      <c r="M125" s="46">
        <f>Data!U123</f>
        <v>4.4498056173324585E-2</v>
      </c>
      <c r="N125" s="46" t="str">
        <f>CONCATENATE(Data!W123," (",Data!V123,")")</f>
        <v>Uso del cinturón de seguridad (Velocidad máxima: 24 kmh Cinturón de seguridad del conductor (1. Desabrochado): 1.00)</v>
      </c>
      <c r="O125" s="42" t="str">
        <f>IF(Data!V123&lt;&gt;"",N125,Data!W123)</f>
        <v>Uso del cinturón de seguridad (Velocidad máxima: 24 kmh Cinturón de seguridad del conductor (1. Desabrochado): 1.00)</v>
      </c>
      <c r="P125" s="47" t="str">
        <f>Data!X123</f>
        <v>Válido</v>
      </c>
    </row>
    <row r="126" spans="1:16">
      <c r="A126" s="41" t="str">
        <f>Data!A124</f>
        <v>PKU060</v>
      </c>
      <c r="B126" s="41" t="str">
        <f>Data!D124</f>
        <v>Vehicle, Diesel, Frontera Energy Col 2679</v>
      </c>
      <c r="C126" s="41">
        <f>Data!F124</f>
        <v>0</v>
      </c>
      <c r="D126" s="41">
        <f>Data!G124</f>
        <v>0</v>
      </c>
      <c r="E126" s="41">
        <f>Data!H124</f>
        <v>0</v>
      </c>
      <c r="F126" s="41">
        <f>Data!K124</f>
        <v>0</v>
      </c>
      <c r="G126" s="33" t="str">
        <f>Data!M124</f>
        <v>Frenado brusco (nuevo)</v>
      </c>
      <c r="H126" s="41" t="str">
        <f>Data!P124</f>
        <v>ECOPETROL RUBIALES- Quifa - CAÑO SUR: Puerto Gaitan - Rubiales, Puerto Gaitán, Meta, Colombia</v>
      </c>
      <c r="I126" s="42" t="str">
        <f>Data!Q124</f>
        <v>Cliente, Vel Max 40 Km/h</v>
      </c>
      <c r="J126" s="43">
        <f>Data!S124</f>
        <v>46174.71503472222</v>
      </c>
      <c r="K126" s="44">
        <f>Data!S124</f>
        <v>46174.71503472222</v>
      </c>
      <c r="L126" s="45">
        <f>Data!T124</f>
        <v>0</v>
      </c>
      <c r="M126" s="46">
        <f>Data!U124</f>
        <v>0</v>
      </c>
      <c r="N126" s="46" t="str">
        <f>CONCATENATE(Data!W124," (",Data!V124,")")</f>
        <v>Frenado brusco (nuevo) (Clase de vehículo para métricas de seguridad: Otra clase (no estandarizada), Velocidad máxima: 15 kmh,  Ignición: 1)</v>
      </c>
      <c r="O126" s="42" t="str">
        <f>IF(Data!V124&lt;&gt;"",N126,Data!W124)</f>
        <v>Frenado brusco (nuevo) (Clase de vehículo para métricas de seguridad: Otra clase (no estandarizada), Velocidad máxima: 15 kmh,  Ignición: 1)</v>
      </c>
      <c r="P126" s="47" t="str">
        <f>Data!X124</f>
        <v>Válido</v>
      </c>
    </row>
    <row r="127" spans="1:16">
      <c r="A127" s="41" t="str">
        <f>Data!A125</f>
        <v>PKU060</v>
      </c>
      <c r="B127" s="41" t="str">
        <f>Data!D125</f>
        <v>Vehicle, Diesel, Frontera Energy Col 2679</v>
      </c>
      <c r="C127" s="41">
        <f>Data!F125</f>
        <v>0</v>
      </c>
      <c r="D127" s="41">
        <f>Data!G125</f>
        <v>0</v>
      </c>
      <c r="E127" s="41">
        <f>Data!H125</f>
        <v>0</v>
      </c>
      <c r="F127" s="41">
        <f>Data!K125</f>
        <v>0</v>
      </c>
      <c r="G127" s="33" t="str">
        <f>Data!M125</f>
        <v>Exceso Velocidad 40 Km/h</v>
      </c>
      <c r="H127" s="41" t="str">
        <f>Data!P125</f>
        <v>ECOPETROL RUBIALES- Quifa - CAÑO SUR: Puerto Gaitan - Rubiales, Puerto Gaitán, Meta, Colombia</v>
      </c>
      <c r="I127" s="42" t="str">
        <f>Data!Q125</f>
        <v>Cliente, Vel Max 40 Km/h</v>
      </c>
      <c r="J127" s="43">
        <f>Data!S125</f>
        <v>46174.721332951391</v>
      </c>
      <c r="K127" s="44">
        <f>Data!S125</f>
        <v>46174.721332951391</v>
      </c>
      <c r="L127" s="45">
        <f>Data!T125</f>
        <v>1.8321759259259261E-5</v>
      </c>
      <c r="M127" s="46">
        <f>Data!U125</f>
        <v>1.6746198758482933E-2</v>
      </c>
      <c r="N127" s="46" t="str">
        <f>CONCATENATE(Data!W125," (",Data!V125,")")</f>
        <v>Exceso Velocidad 40 Km/h (Velocidad máxima: 41 kmh)</v>
      </c>
      <c r="O127" s="42" t="str">
        <f>IF(Data!V125&lt;&gt;"",N127,Data!W125)</f>
        <v>Exceso Velocidad 40 Km/h (Velocidad máxima: 41 kmh)</v>
      </c>
      <c r="P127" s="47" t="str">
        <f>Data!X125</f>
        <v>Válido</v>
      </c>
    </row>
    <row r="128" spans="1:16">
      <c r="A128" s="41" t="str">
        <f>Data!A126</f>
        <v>PKU060</v>
      </c>
      <c r="B128" s="41" t="str">
        <f>Data!D126</f>
        <v>Vehicle, Diesel, Frontera Energy Col 2679</v>
      </c>
      <c r="C128" s="41">
        <f>Data!F126</f>
        <v>0</v>
      </c>
      <c r="D128" s="41">
        <f>Data!G126</f>
        <v>0</v>
      </c>
      <c r="E128" s="41">
        <f>Data!H126</f>
        <v>0</v>
      </c>
      <c r="F128" s="41">
        <f>Data!K126</f>
        <v>0</v>
      </c>
      <c r="G128" s="33" t="str">
        <f>Data!M126</f>
        <v>Exceso Velocidad 10 Km/h</v>
      </c>
      <c r="H128" s="41" t="str">
        <f>Data!P126</f>
        <v>CAMPAMENTO QUIFA, ECOPETROL RUBIALES- Quifa - CAÑO SUR, Puerto Triunfo - Estacion Policia: Puerto Gaitan - Rubiales, Puerto Gaitán, Meta, Colombia</v>
      </c>
      <c r="I128" s="42" t="str">
        <f>Data!Q126</f>
        <v>Vel Max 10 Km/h, Cliente, Vel Max 40 Km/h, Vel Max 30 Km/h</v>
      </c>
      <c r="J128" s="43">
        <f>Data!S126</f>
        <v>46174.727094097223</v>
      </c>
      <c r="K128" s="44">
        <f>Data!S126</f>
        <v>46174.727094097223</v>
      </c>
      <c r="L128" s="45">
        <f>Data!T126</f>
        <v>2.9016203703703702E-4</v>
      </c>
      <c r="M128" s="46">
        <f>Data!U126</f>
        <v>0.11328008025884628</v>
      </c>
      <c r="N128" s="46" t="str">
        <f>CONCATENATE(Data!W126," (",Data!V126,")")</f>
        <v>Exceso Velocidad 10 Km/h (Velocidad máxima: 18 kmh)</v>
      </c>
      <c r="O128" s="42" t="str">
        <f>IF(Data!V126&lt;&gt;"",N128,Data!W126)</f>
        <v>Exceso Velocidad 10 Km/h (Velocidad máxima: 18 kmh)</v>
      </c>
      <c r="P128" s="47" t="str">
        <f>Data!X126</f>
        <v>Válido</v>
      </c>
    </row>
    <row r="129" spans="1:16">
      <c r="A129" s="41" t="str">
        <f>Data!A127</f>
        <v>PKU060</v>
      </c>
      <c r="B129" s="41" t="str">
        <f>Data!D127</f>
        <v>Vehicle, Diesel, Frontera Energy Col 2679</v>
      </c>
      <c r="C129" s="41">
        <f>Data!F127</f>
        <v>0</v>
      </c>
      <c r="D129" s="41">
        <f>Data!G127</f>
        <v>0</v>
      </c>
      <c r="E129" s="41">
        <f>Data!H127</f>
        <v>0</v>
      </c>
      <c r="F129" s="41">
        <f>Data!K127</f>
        <v>0</v>
      </c>
      <c r="G129" s="33" t="str">
        <f>Data!M127</f>
        <v>Exceso Velocidad 10 Km/h</v>
      </c>
      <c r="H129" s="41" t="str">
        <f>Data!P127</f>
        <v>CAMPAMENTO QUIFA, ECOPETROL RUBIALES- Quifa - CAÑO SUR, Puerto Triunfo - Estacion Policia: Puerto Gaitan - Rubiales, Puerto Gaitán, Meta, Colombia</v>
      </c>
      <c r="I129" s="42" t="str">
        <f>Data!Q127</f>
        <v>Vel Max 10 Km/h, Cliente, Vel Max 40 Km/h, Vel Max 30 Km/h</v>
      </c>
      <c r="J129" s="43">
        <f>Data!S127</f>
        <v>46174.727384259262</v>
      </c>
      <c r="K129" s="44">
        <f>Data!S127</f>
        <v>46174.727384259262</v>
      </c>
      <c r="L129" s="45">
        <f>Data!T127</f>
        <v>1.3362268518518519E-4</v>
      </c>
      <c r="M129" s="46">
        <f>Data!U127</f>
        <v>4.8398774117231369E-2</v>
      </c>
      <c r="N129" s="46" t="str">
        <f>CONCATENATE(Data!W127," (",Data!V127,")")</f>
        <v>Exceso Velocidad 10 Km/h (Velocidad máxima: 17 kmh)</v>
      </c>
      <c r="O129" s="42" t="str">
        <f>IF(Data!V127&lt;&gt;"",N129,Data!W127)</f>
        <v>Exceso Velocidad 10 Km/h (Velocidad máxima: 17 kmh)</v>
      </c>
      <c r="P129" s="47" t="str">
        <f>Data!X127</f>
        <v>Válido</v>
      </c>
    </row>
    <row r="130" spans="1:16">
      <c r="A130" s="41" t="str">
        <f>Data!A128</f>
        <v>PKU060</v>
      </c>
      <c r="B130" s="41" t="str">
        <f>Data!D128</f>
        <v>Vehicle, Diesel, Frontera Energy Col 2679</v>
      </c>
      <c r="C130" s="41">
        <f>Data!F128</f>
        <v>0</v>
      </c>
      <c r="D130" s="41">
        <f>Data!G128</f>
        <v>0</v>
      </c>
      <c r="E130" s="41">
        <f>Data!H128</f>
        <v>0</v>
      </c>
      <c r="F130" s="41">
        <f>Data!K128</f>
        <v>0</v>
      </c>
      <c r="G130" s="33" t="str">
        <f>Data!M128</f>
        <v>Exceso Velocidad 10 Km/h</v>
      </c>
      <c r="H130" s="41" t="str">
        <f>Data!P128</f>
        <v>CAMPAMENTO QUIFA, ECOPETROL RUBIALES- Quifa - CAÑO SUR, Puerto Gaitan - Rubiales, Puerto Gaitán, Meta, Colombia, Campamento Quifa - CMA: Ent. CAMPAMENTO, Puerto Gaitán, Meta, Colombia</v>
      </c>
      <c r="I130" s="42" t="str">
        <f>Data!Q128</f>
        <v>Vel Max 10 Km/h, Cliente, Vel Max 40 Km/h, Centro de servicios del proveedor</v>
      </c>
      <c r="J130" s="43">
        <f>Data!S128</f>
        <v>46174.728935185187</v>
      </c>
      <c r="K130" s="44">
        <f>Data!S128</f>
        <v>46174.728935185187</v>
      </c>
      <c r="L130" s="45">
        <f>Data!T128</f>
        <v>4.907407407407407E-4</v>
      </c>
      <c r="M130" s="46">
        <f>Data!U128</f>
        <v>0.12297337502241135</v>
      </c>
      <c r="N130" s="46" t="str">
        <f>CONCATENATE(Data!W128," (",Data!V128,")")</f>
        <v>Exceso Velocidad 10 Km/h (Velocidad máxima: 12 kmh)</v>
      </c>
      <c r="O130" s="42" t="str">
        <f>IF(Data!V128&lt;&gt;"",N130,Data!W128)</f>
        <v>Exceso Velocidad 10 Km/h (Velocidad máxima: 12 kmh)</v>
      </c>
      <c r="P130" s="47" t="str">
        <f>Data!X128</f>
        <v>Válido</v>
      </c>
    </row>
    <row r="131" spans="1:16">
      <c r="A131" s="41" t="str">
        <f>Data!A129</f>
        <v>PKU060</v>
      </c>
      <c r="B131" s="41" t="str">
        <f>Data!D129</f>
        <v>Vehicle, Diesel, Frontera Energy Col 2679</v>
      </c>
      <c r="C131" s="41">
        <f>Data!F129</f>
        <v>0</v>
      </c>
      <c r="D131" s="41">
        <f>Data!G129</f>
        <v>0</v>
      </c>
      <c r="E131" s="41">
        <f>Data!H129</f>
        <v>0</v>
      </c>
      <c r="F131" s="41">
        <f>Data!K129</f>
        <v>0</v>
      </c>
      <c r="G131" s="33" t="str">
        <f>Data!M129</f>
        <v>Exceso Velocidad 10 Km/h</v>
      </c>
      <c r="H131" s="41" t="str">
        <f>Data!P129</f>
        <v>CAMPAMENTO QUIFA, ECOPETROL RUBIALES- Quifa - CAÑO SUR, Campamento Quifa - CMA: Ent. CAMPAMENTO, Puerto Gaitán, Meta, Colombia</v>
      </c>
      <c r="I131" s="42" t="str">
        <f>Data!Q129</f>
        <v>Vel Max 10 Km/h, Cliente, Vel Max 40 Km/h</v>
      </c>
      <c r="J131" s="43">
        <f>Data!S129</f>
        <v>46174.731041666666</v>
      </c>
      <c r="K131" s="44">
        <f>Data!S129</f>
        <v>46174.731041666666</v>
      </c>
      <c r="L131" s="45">
        <f>Data!T129</f>
        <v>1.6666666666666666E-4</v>
      </c>
      <c r="M131" s="46">
        <f>Data!U129</f>
        <v>3.4538432955741882E-2</v>
      </c>
      <c r="N131" s="46" t="str">
        <f>CONCATENATE(Data!W129," (",Data!V129,")")</f>
        <v>Exceso Velocidad 10 Km/h (Velocidad máxima: 11 kmh)</v>
      </c>
      <c r="O131" s="42" t="str">
        <f>IF(Data!V129&lt;&gt;"",N131,Data!W129)</f>
        <v>Exceso Velocidad 10 Km/h (Velocidad máxima: 11 kmh)</v>
      </c>
      <c r="P131" s="47" t="str">
        <f>Data!X129</f>
        <v>Válido</v>
      </c>
    </row>
    <row r="132" spans="1:16">
      <c r="A132" s="41" t="str">
        <f>Data!A130</f>
        <v>PKU060</v>
      </c>
      <c r="B132" s="41" t="str">
        <f>Data!D130</f>
        <v>Vehicle, Diesel, Frontera Energy Col 2679</v>
      </c>
      <c r="C132" s="41">
        <f>Data!F130</f>
        <v>0</v>
      </c>
      <c r="D132" s="41">
        <f>Data!G130</f>
        <v>0</v>
      </c>
      <c r="E132" s="41">
        <f>Data!H130</f>
        <v>0</v>
      </c>
      <c r="F132" s="41">
        <f>Data!K130</f>
        <v>0</v>
      </c>
      <c r="G132" s="33" t="str">
        <f>Data!M130</f>
        <v>Exceso Velocidad 10 Km/h</v>
      </c>
      <c r="H132" s="41" t="str">
        <f>Data!P130</f>
        <v>CAMPAMENTO QUIFA, ECOPETROL RUBIALES- Quifa - CAÑO SUR, Puerto Gaitan - Rubiales, Puerto Gaitán, Meta, Colombia, Campamento Quifa - CMA: Ent. CAMPAMENTO, Puerto Gaitán, Meta, Colombia</v>
      </c>
      <c r="I132" s="42" t="str">
        <f>Data!Q130</f>
        <v>Vel Max 10 Km/h, Cliente, Vel Max 40 Km/h, Centro de servicios del proveedor</v>
      </c>
      <c r="J132" s="43">
        <f>Data!S130</f>
        <v>46174.765694444446</v>
      </c>
      <c r="K132" s="44">
        <f>Data!S130</f>
        <v>46174.765694444446</v>
      </c>
      <c r="L132" s="45">
        <f>Data!T130</f>
        <v>5.1550925925925924E-5</v>
      </c>
      <c r="M132" s="46">
        <f>Data!U130</f>
        <v>1.1888864450156689E-2</v>
      </c>
      <c r="N132" s="46" t="str">
        <f>CONCATENATE(Data!W130," (",Data!V130,")")</f>
        <v>Exceso Velocidad 10 Km/h (Velocidad máxima: 13 kmh)</v>
      </c>
      <c r="O132" s="42" t="str">
        <f>IF(Data!V130&lt;&gt;"",N132,Data!W130)</f>
        <v>Exceso Velocidad 10 Km/h (Velocidad máxima: 13 kmh)</v>
      </c>
      <c r="P132" s="47" t="str">
        <f>Data!X130</f>
        <v>Válido</v>
      </c>
    </row>
    <row r="133" spans="1:16">
      <c r="A133" s="41" t="str">
        <f>Data!A131</f>
        <v>PKU060</v>
      </c>
      <c r="B133" s="41" t="str">
        <f>Data!D131</f>
        <v>Vehicle, Diesel, Frontera Energy Col 2679</v>
      </c>
      <c r="C133" s="41">
        <f>Data!F131</f>
        <v>0</v>
      </c>
      <c r="D133" s="41">
        <f>Data!G131</f>
        <v>0</v>
      </c>
      <c r="E133" s="41">
        <f>Data!H131</f>
        <v>0</v>
      </c>
      <c r="F133" s="41">
        <f>Data!K131</f>
        <v>0</v>
      </c>
      <c r="G133" s="33" t="str">
        <f>Data!M131</f>
        <v>Exceso Velocidad 10 Km/h</v>
      </c>
      <c r="H133" s="41" t="str">
        <f>Data!P131</f>
        <v>ECOPETROL RUBIALES- Quifa - CAÑO SUR, Puerto Triunfo - Estacion Policia, PUESTRO CONTROL QUIFA: Puerto Gaitan - Rubiales, Puerto Gaitán, Meta, Colombia</v>
      </c>
      <c r="I133" s="42" t="str">
        <f>Data!Q131</f>
        <v>Cliente, Vel Max 40 Km/h, Vel Max 30 Km/h, Vel Max 10 Km/h</v>
      </c>
      <c r="J133" s="43">
        <f>Data!S131</f>
        <v>46174.768063009258</v>
      </c>
      <c r="K133" s="44">
        <f>Data!S131</f>
        <v>46174.768063009258</v>
      </c>
      <c r="L133" s="45">
        <f>Data!T131</f>
        <v>4.0538194444444443E-4</v>
      </c>
      <c r="M133" s="46">
        <f>Data!U131</f>
        <v>0.18333487212657928</v>
      </c>
      <c r="N133" s="46" t="str">
        <f>CONCATENATE(Data!W131," (",Data!V131,")")</f>
        <v>Exceso Velocidad 10 Km/h (Velocidad máxima: 21 kmh)</v>
      </c>
      <c r="O133" s="42" t="str">
        <f>IF(Data!V131&lt;&gt;"",N133,Data!W131)</f>
        <v>Exceso Velocidad 10 Km/h (Velocidad máxima: 21 kmh)</v>
      </c>
      <c r="P133" s="47" t="str">
        <f>Data!X131</f>
        <v>Válido</v>
      </c>
    </row>
    <row r="134" spans="1:16">
      <c r="A134" s="41" t="str">
        <f>Data!A132</f>
        <v>PKU060</v>
      </c>
      <c r="B134" s="41" t="str">
        <f>Data!D132</f>
        <v>Vehicle, Diesel, Frontera Energy Col 2679</v>
      </c>
      <c r="C134" s="41">
        <f>Data!F132</f>
        <v>0</v>
      </c>
      <c r="D134" s="41">
        <f>Data!G132</f>
        <v>0</v>
      </c>
      <c r="E134" s="41">
        <f>Data!H132</f>
        <v>0</v>
      </c>
      <c r="F134" s="41">
        <f>Data!K132</f>
        <v>0</v>
      </c>
      <c r="G134" s="33" t="str">
        <f>Data!M132</f>
        <v>Exceso Velocidad 10 Km/h</v>
      </c>
      <c r="H134" s="41" t="str">
        <f>Data!P132</f>
        <v>ECOPETROL RUBIALES- Quifa - CAÑO SUR, Puerto Triunfo - Estacion Policia, PUESTRO CONTROL QUIFA: Puerto Gaitan - Rubiales, Puerto Gaitán, Meta, Colombia</v>
      </c>
      <c r="I134" s="42" t="str">
        <f>Data!Q132</f>
        <v>Cliente, Vel Max 40 Km/h, Vel Max 30 Km/h, Vel Max 10 Km/h</v>
      </c>
      <c r="J134" s="43">
        <f>Data!S132</f>
        <v>46174.847306493059</v>
      </c>
      <c r="K134" s="44">
        <f>Data!S132</f>
        <v>46174.847306493059</v>
      </c>
      <c r="L134" s="45">
        <f>Data!T132</f>
        <v>3.2320601851851851E-4</v>
      </c>
      <c r="M134" s="46">
        <f>Data!U132</f>
        <v>0.18356221914291382</v>
      </c>
      <c r="N134" s="46" t="str">
        <f>CONCATENATE(Data!W132," (",Data!V132,")")</f>
        <v>Exceso Velocidad 10 Km/h (Velocidad máxima: 25 kmh)</v>
      </c>
      <c r="O134" s="42" t="str">
        <f>IF(Data!V132&lt;&gt;"",N134,Data!W132)</f>
        <v>Exceso Velocidad 10 Km/h (Velocidad máxima: 25 kmh)</v>
      </c>
      <c r="P134" s="47" t="str">
        <f>Data!X132</f>
        <v>Válido</v>
      </c>
    </row>
    <row r="135" spans="1:16">
      <c r="A135" s="41" t="str">
        <f>Data!A133</f>
        <v>PKU060</v>
      </c>
      <c r="B135" s="41" t="str">
        <f>Data!D133</f>
        <v>Vehicle, Diesel, Frontera Energy Col 2679</v>
      </c>
      <c r="C135" s="41">
        <f>Data!F133</f>
        <v>0</v>
      </c>
      <c r="D135" s="41">
        <f>Data!G133</f>
        <v>0</v>
      </c>
      <c r="E135" s="41">
        <f>Data!H133</f>
        <v>0</v>
      </c>
      <c r="F135" s="41">
        <f>Data!K133</f>
        <v>0</v>
      </c>
      <c r="G135" s="33" t="str">
        <f>Data!M133</f>
        <v>Exceso Velocidad 30 Km/h</v>
      </c>
      <c r="H135" s="41" t="str">
        <f>Data!P133</f>
        <v>ECOPETROL RUBIALES- Quifa - CAÑO SUR, Puerto Triunfo - Estacion Policia: Puerto Gaitan - Rubiales, Puerto Gaitán, Meta, Colombia</v>
      </c>
      <c r="I135" s="42" t="str">
        <f>Data!Q133</f>
        <v>Cliente, Vel Max 40 Km/h, Vel Max 30 Km/h</v>
      </c>
      <c r="J135" s="43">
        <f>Data!S133</f>
        <v>46174.848364201389</v>
      </c>
      <c r="K135" s="44">
        <f>Data!S133</f>
        <v>46174.848364201389</v>
      </c>
      <c r="L135" s="45">
        <f>Data!T133</f>
        <v>6.1689814814814813E-6</v>
      </c>
      <c r="M135" s="46">
        <f>Data!U133</f>
        <v>4.4034449383616447E-3</v>
      </c>
      <c r="N135" s="46" t="str">
        <f>CONCATENATE(Data!W133," (",Data!V133,")")</f>
        <v>Exceso Velocidad 30 Km/h (Velocidad máxima: 31 kmh)</v>
      </c>
      <c r="O135" s="42" t="str">
        <f>IF(Data!V133&lt;&gt;"",N135,Data!W133)</f>
        <v>Exceso Velocidad 30 Km/h (Velocidad máxima: 31 kmh)</v>
      </c>
      <c r="P135" s="47" t="str">
        <f>Data!X133</f>
        <v>Válido</v>
      </c>
    </row>
    <row r="136" spans="1:16">
      <c r="A136" s="41" t="str">
        <f>Data!A134</f>
        <v>PKU060</v>
      </c>
      <c r="B136" s="41" t="str">
        <f>Data!D134</f>
        <v>Vehicle, Diesel, Frontera Energy Col 2679</v>
      </c>
      <c r="C136" s="41">
        <f>Data!F134</f>
        <v>0</v>
      </c>
      <c r="D136" s="41">
        <f>Data!G134</f>
        <v>0</v>
      </c>
      <c r="E136" s="41">
        <f>Data!H134</f>
        <v>0</v>
      </c>
      <c r="F136" s="41">
        <f>Data!K134</f>
        <v>0</v>
      </c>
      <c r="G136" s="33" t="str">
        <f>Data!M134</f>
        <v>Exceso Velocidad 10 Km/h</v>
      </c>
      <c r="H136" s="41" t="str">
        <f>Data!P134</f>
        <v>CAMPAMENTO QUIFA, ECOPETROL RUBIALES- Quifa - CAÑO SUR, Puerto Gaitan - Rubiales, Puerto Gaitán, Meta, Colombia: Ent. CAMPAMENTO, Puerto Gaitán, Meta, Colombia</v>
      </c>
      <c r="I136" s="42" t="str">
        <f>Data!Q134</f>
        <v>Vel Max 10 Km/h, Cliente, Vel Max 40 Km/h, Centro de servicios del proveedor</v>
      </c>
      <c r="J136" s="43">
        <f>Data!S134</f>
        <v>46174.849474872688</v>
      </c>
      <c r="K136" s="44">
        <f>Data!S134</f>
        <v>46174.849474872688</v>
      </c>
      <c r="L136" s="45">
        <f>Data!T134</f>
        <v>3.1296296296296295E-5</v>
      </c>
      <c r="M136" s="46">
        <f>Data!U134</f>
        <v>7.307850755751133E-3</v>
      </c>
      <c r="N136" s="46" t="str">
        <f>CONCATENATE(Data!W134," (",Data!V134,")")</f>
        <v>Exceso Velocidad 10 Km/h (Velocidad máxima: 13 kmh)</v>
      </c>
      <c r="O136" s="42" t="str">
        <f>IF(Data!V134&lt;&gt;"",N136,Data!W134)</f>
        <v>Exceso Velocidad 10 Km/h (Velocidad máxima: 13 kmh)</v>
      </c>
      <c r="P136" s="47" t="str">
        <f>Data!X134</f>
        <v>Válido</v>
      </c>
    </row>
    <row r="137" spans="1:16">
      <c r="A137" s="41" t="str">
        <f>Data!A135</f>
        <v>PKU060</v>
      </c>
      <c r="B137" s="41" t="str">
        <f>Data!D135</f>
        <v>Vehicle, Diesel, Frontera Energy Col 2679</v>
      </c>
      <c r="C137" s="41">
        <f>Data!F135</f>
        <v>0</v>
      </c>
      <c r="D137" s="41">
        <f>Data!G135</f>
        <v>0</v>
      </c>
      <c r="E137" s="41">
        <f>Data!H135</f>
        <v>0</v>
      </c>
      <c r="F137" s="41">
        <f>Data!K135</f>
        <v>0</v>
      </c>
      <c r="G137" s="33" t="str">
        <f>Data!M135</f>
        <v>Exceso Velocidad 10 Km/h</v>
      </c>
      <c r="H137" s="41" t="str">
        <f>Data!P135</f>
        <v>CAMPAMENTO QUIFA, ECOPETROL RUBIALES- Quifa - CAÑO SUR, Puerto Gaitan - Rubiales, Puerto Gaitán, Meta, Colombia, Campamento Quifa - CMA: Ent. CAMPAMENTO, Puerto Gaitán, Meta, Colombia</v>
      </c>
      <c r="I137" s="42" t="str">
        <f>Data!Q135</f>
        <v>Vel Max 10 Km/h, Cliente, Vel Max 40 Km/h, Centro de servicios del proveedor</v>
      </c>
      <c r="J137" s="43">
        <f>Data!S135</f>
        <v>46174.849918981483</v>
      </c>
      <c r="K137" s="44">
        <f>Data!S135</f>
        <v>46174.849918981483</v>
      </c>
      <c r="L137" s="45">
        <f>Data!T135</f>
        <v>2.5752314814814816E-4</v>
      </c>
      <c r="M137" s="46">
        <f>Data!U135</f>
        <v>7.6544187963008881E-2</v>
      </c>
      <c r="N137" s="46" t="str">
        <f>CONCATENATE(Data!W135," (",Data!V135,")")</f>
        <v>Exceso Velocidad 10 Km/h (Velocidad máxima: 14 kmh)</v>
      </c>
      <c r="O137" s="42" t="str">
        <f>IF(Data!V135&lt;&gt;"",N137,Data!W135)</f>
        <v>Exceso Velocidad 10 Km/h (Velocidad máxima: 14 kmh)</v>
      </c>
      <c r="P137" s="47" t="str">
        <f>Data!X135</f>
        <v>Válido</v>
      </c>
    </row>
    <row r="138" spans="1:16">
      <c r="A138" s="41" t="str">
        <f>Data!A136</f>
        <v>PKU060</v>
      </c>
      <c r="B138" s="41" t="str">
        <f>Data!D136</f>
        <v>Vehicle, Diesel, Frontera Energy Col 2679</v>
      </c>
      <c r="C138" s="41">
        <f>Data!F136</f>
        <v>0</v>
      </c>
      <c r="D138" s="41">
        <f>Data!G136</f>
        <v>0</v>
      </c>
      <c r="E138" s="41">
        <f>Data!H136</f>
        <v>0</v>
      </c>
      <c r="F138" s="41">
        <f>Data!K136</f>
        <v>0</v>
      </c>
      <c r="G138" s="33" t="str">
        <f>Data!M136</f>
        <v>Exceso Velocidad 10 Km/h</v>
      </c>
      <c r="H138" s="41" t="str">
        <f>Data!P136</f>
        <v>ECOPETROL RUBIALES- Quifa - CAÑO SUR, Puerto Triunfo - Estacion Policia, PUESTRO CONTROL QUIFA: Puerto Gaitan - Rubiales, Puerto Gaitán, Meta, Colombia</v>
      </c>
      <c r="I138" s="42" t="str">
        <f>Data!Q136</f>
        <v>Cliente, Vel Max 40 Km/h, Vel Max 30 Km/h, Vel Max 10 Km/h</v>
      </c>
      <c r="J138" s="43">
        <f>Data!S136</f>
        <v>46174.855114733793</v>
      </c>
      <c r="K138" s="44">
        <f>Data!S136</f>
        <v>46174.855114733793</v>
      </c>
      <c r="L138" s="45">
        <f>Data!T136</f>
        <v>2.9327546296296296E-4</v>
      </c>
      <c r="M138" s="46">
        <f>Data!U136</f>
        <v>0.18289859592914581</v>
      </c>
      <c r="N138" s="46" t="str">
        <f>CONCATENATE(Data!W136," (",Data!V136,")")</f>
        <v>Exceso Velocidad 10 Km/h (Velocidad máxima: 26 kmh)</v>
      </c>
      <c r="O138" s="42" t="str">
        <f>IF(Data!V136&lt;&gt;"",N138,Data!W136)</f>
        <v>Exceso Velocidad 10 Km/h (Velocidad máxima: 26 kmh)</v>
      </c>
      <c r="P138" s="47" t="str">
        <f>Data!X136</f>
        <v>Válido</v>
      </c>
    </row>
    <row r="139" spans="1:16">
      <c r="A139" s="41" t="str">
        <f>Data!A137</f>
        <v>PKU069</v>
      </c>
      <c r="B139" s="41" t="str">
        <f>Data!D137</f>
        <v>Vehicle, Diesel, Frontera Energy Col 2679</v>
      </c>
      <c r="C139" s="41" t="str">
        <f>Data!F137</f>
        <v>Luis Enrique</v>
      </c>
      <c r="D139" s="41" t="str">
        <f>Data!G137</f>
        <v>Chala</v>
      </c>
      <c r="E139" s="41" t="str">
        <f>Data!H137</f>
        <v>enriquemono_20@hotmail.com</v>
      </c>
      <c r="F139" s="41" t="str">
        <f>Data!K137</f>
        <v>Rubiales</v>
      </c>
      <c r="G139" s="33" t="str">
        <f>Data!M137</f>
        <v>Tiempo en ralentí</v>
      </c>
      <c r="H139" s="41" t="str">
        <f>Data!P137</f>
        <v>ECOPETROL RUBIALES- Quifa - CAÑO SUR, Puerto Triunfo - Estacion Policia: Puerto Gaitan - Rubiales, Puerto Gaitán, Meta, Colombia</v>
      </c>
      <c r="I139" s="42" t="str">
        <f>Data!Q137</f>
        <v>Cliente, Vel Max 40 Km/h, Vel Max 30 Km/h</v>
      </c>
      <c r="J139" s="43">
        <f>Data!S137</f>
        <v>46174.291342592594</v>
      </c>
      <c r="K139" s="44">
        <f>Data!S137</f>
        <v>46174.291342592594</v>
      </c>
      <c r="L139" s="45">
        <f>Data!T137</f>
        <v>3.6805555555555554E-3</v>
      </c>
      <c r="M139" s="46">
        <f>Data!U137</f>
        <v>5.3340056183515117E-5</v>
      </c>
      <c r="N139" s="46" t="str">
        <f>CONCATENATE(Data!W137," (",Data!V137,")")</f>
        <v>Tiempo en ralentí (Ignición: 1.00)</v>
      </c>
      <c r="O139" s="42" t="str">
        <f>IF(Data!V137&lt;&gt;"",N139,Data!W137)</f>
        <v>Tiempo en ralentí (Ignición: 1.00)</v>
      </c>
      <c r="P139" s="47" t="str">
        <f>Data!X137</f>
        <v>Válido</v>
      </c>
    </row>
    <row r="140" spans="1:16">
      <c r="A140" s="41" t="str">
        <f>Data!A138</f>
        <v>PKU069</v>
      </c>
      <c r="B140" s="41" t="str">
        <f>Data!D138</f>
        <v>Vehicle, Diesel, Frontera Energy Col 2679</v>
      </c>
      <c r="C140" s="41" t="str">
        <f>Data!F138</f>
        <v>Luis Enrique</v>
      </c>
      <c r="D140" s="41" t="str">
        <f>Data!G138</f>
        <v>Chala</v>
      </c>
      <c r="E140" s="41" t="str">
        <f>Data!H138</f>
        <v>enriquemono_20@hotmail.com</v>
      </c>
      <c r="F140" s="41" t="str">
        <f>Data!K138</f>
        <v>Rubiales</v>
      </c>
      <c r="G140" s="33" t="str">
        <f>Data!M138</f>
        <v>Exceso Velocidad 10 Km/h</v>
      </c>
      <c r="H140" s="41" t="str">
        <f>Data!P138</f>
        <v>ECOPETROL RUBIALES- Quifa - CAÑO SUR, Puerto Triunfo - Estacion Policia, PUESTRO CONTROL QUIFA: Puerto Gaitan - Rubiales, Puerto Gaitán, Meta, Colombia</v>
      </c>
      <c r="I140" s="42" t="str">
        <f>Data!Q138</f>
        <v>Cliente, Vel Max 40 Km/h, Vel Max 30 Km/h, Vel Max 10 Km/h</v>
      </c>
      <c r="J140" s="43">
        <f>Data!S138</f>
        <v>46174.298378530089</v>
      </c>
      <c r="K140" s="44">
        <f>Data!S138</f>
        <v>46174.298378530089</v>
      </c>
      <c r="L140" s="45">
        <f>Data!T138</f>
        <v>3.3774305555555554E-4</v>
      </c>
      <c r="M140" s="46">
        <f>Data!U138</f>
        <v>0.18289376795291901</v>
      </c>
      <c r="N140" s="46" t="str">
        <f>CONCATENATE(Data!W138," (",Data!V138,")")</f>
        <v>Exceso Velocidad 10 Km/h (Velocidad máxima: 25 kmh)</v>
      </c>
      <c r="O140" s="42" t="str">
        <f>IF(Data!V138&lt;&gt;"",N140,Data!W138)</f>
        <v>Exceso Velocidad 10 Km/h (Velocidad máxima: 25 kmh)</v>
      </c>
      <c r="P140" s="47" t="str">
        <f>Data!X138</f>
        <v>Válido</v>
      </c>
    </row>
    <row r="141" spans="1:16">
      <c r="A141" s="41" t="str">
        <f>Data!A139</f>
        <v>PKU069</v>
      </c>
      <c r="B141" s="41" t="str">
        <f>Data!D139</f>
        <v>Vehicle, Diesel, Frontera Energy Col 2679</v>
      </c>
      <c r="C141" s="41" t="str">
        <f>Data!F139</f>
        <v>Luis Enrique</v>
      </c>
      <c r="D141" s="41" t="str">
        <f>Data!G139</f>
        <v>Chala</v>
      </c>
      <c r="E141" s="41" t="str">
        <f>Data!H139</f>
        <v>enriquemono_20@hotmail.com</v>
      </c>
      <c r="F141" s="41" t="str">
        <f>Data!K139</f>
        <v>Rubiales</v>
      </c>
      <c r="G141" s="33" t="str">
        <f>Data!M139</f>
        <v>Exceso Velocidad 10 Km/h</v>
      </c>
      <c r="H141" s="41" t="str">
        <f>Data!P139</f>
        <v>CAMPAMENTO QUIFA, ECOPETROL RUBIALES- Quifa - CAÑO SUR, Puerto Gaitan - Rubiales, Puerto Gaitán, Meta, Colombia, Puerto Triunfo - Estacion Policia: Puerto Gaitan - Rubiales, Puerto Gaitán, Meta, Colombia</v>
      </c>
      <c r="I141" s="42" t="str">
        <f>Data!Q139</f>
        <v>Vel Max 10 Km/h, Cliente, Vel Max 40 Km/h, Centro de servicios del proveedor, Vel Max 30 Km/h</v>
      </c>
      <c r="J141" s="43">
        <f>Data!S139</f>
        <v>46174.301153553242</v>
      </c>
      <c r="K141" s="44">
        <f>Data!S139</f>
        <v>46174.301153553242</v>
      </c>
      <c r="L141" s="45">
        <f>Data!T139</f>
        <v>1.3695601851851851E-4</v>
      </c>
      <c r="M141" s="46">
        <f>Data!U139</f>
        <v>3.6603514105081558E-2</v>
      </c>
      <c r="N141" s="46" t="str">
        <f>CONCATENATE(Data!W139," (",Data!V139,")")</f>
        <v>Exceso Velocidad 10 Km/h (Velocidad máxima: 14 kmh)</v>
      </c>
      <c r="O141" s="42" t="str">
        <f>IF(Data!V139&lt;&gt;"",N141,Data!W139)</f>
        <v>Exceso Velocidad 10 Km/h (Velocidad máxima: 14 kmh)</v>
      </c>
      <c r="P141" s="47" t="str">
        <f>Data!X139</f>
        <v>Válido</v>
      </c>
    </row>
    <row r="142" spans="1:16">
      <c r="A142" s="41" t="str">
        <f>Data!A140</f>
        <v>PKU069</v>
      </c>
      <c r="B142" s="41" t="str">
        <f>Data!D140</f>
        <v>Vehicle, Diesel, Frontera Energy Col 2679</v>
      </c>
      <c r="C142" s="41" t="str">
        <f>Data!F140</f>
        <v>Luis Enrique</v>
      </c>
      <c r="D142" s="41" t="str">
        <f>Data!G140</f>
        <v>Chala</v>
      </c>
      <c r="E142" s="41" t="str">
        <f>Data!H140</f>
        <v>enriquemono_20@hotmail.com</v>
      </c>
      <c r="F142" s="41" t="str">
        <f>Data!K140</f>
        <v>Rubiales</v>
      </c>
      <c r="G142" s="33" t="str">
        <f>Data!M140</f>
        <v>Exceso Velocidad 10 Km/h</v>
      </c>
      <c r="H142" s="41" t="str">
        <f>Data!P140</f>
        <v>CAMPAMENTO QUIFA, ECOPETROL RUBIALES- Quifa - CAÑO SUR, Puerto Triunfo - Estacion Policia: Puerto Gaitan - Rubiales, Puerto Gaitán, Meta, Colombia</v>
      </c>
      <c r="I142" s="42" t="str">
        <f>Data!Q140</f>
        <v>Vel Max 10 Km/h, Cliente, Vel Max 40 Km/h, Vel Max 30 Km/h</v>
      </c>
      <c r="J142" s="43">
        <f>Data!S140</f>
        <v>46174.301388888889</v>
      </c>
      <c r="K142" s="44">
        <f>Data!S140</f>
        <v>46174.301388888889</v>
      </c>
      <c r="L142" s="45">
        <f>Data!T140</f>
        <v>1.0178240740740741E-4</v>
      </c>
      <c r="M142" s="46">
        <f>Data!U140</f>
        <v>3.0579600483179092E-2</v>
      </c>
      <c r="N142" s="46" t="str">
        <f>CONCATENATE(Data!W140," (",Data!V140,")")</f>
        <v>Exceso Velocidad 10 Km/h (Velocidad máxima: 14 kmh)</v>
      </c>
      <c r="O142" s="42" t="str">
        <f>IF(Data!V140&lt;&gt;"",N142,Data!W140)</f>
        <v>Exceso Velocidad 10 Km/h (Velocidad máxima: 14 kmh)</v>
      </c>
      <c r="P142" s="47" t="str">
        <f>Data!X140</f>
        <v>Válido</v>
      </c>
    </row>
    <row r="143" spans="1:16">
      <c r="A143" s="41" t="str">
        <f>Data!A141</f>
        <v>PKU069</v>
      </c>
      <c r="B143" s="41" t="str">
        <f>Data!D141</f>
        <v>Vehicle, Diesel, Frontera Energy Col 2679</v>
      </c>
      <c r="C143" s="41" t="str">
        <f>Data!F141</f>
        <v>Luis Enrique</v>
      </c>
      <c r="D143" s="41" t="str">
        <f>Data!G141</f>
        <v>Chala</v>
      </c>
      <c r="E143" s="41" t="str">
        <f>Data!H141</f>
        <v>enriquemono_20@hotmail.com</v>
      </c>
      <c r="F143" s="41" t="str">
        <f>Data!K141</f>
        <v>Rubiales</v>
      </c>
      <c r="G143" s="33" t="str">
        <f>Data!M141</f>
        <v>Exceso Velocidad 40 Km/h</v>
      </c>
      <c r="H143" s="41" t="str">
        <f>Data!P141</f>
        <v>ECOPETROL RUBIALES- Quifa - CAÑO SUR: Puerto Gaitan - Rubiales, Puerto Gaitán, Meta, Colombia</v>
      </c>
      <c r="I143" s="42" t="str">
        <f>Data!Q141</f>
        <v>Cliente, Vel Max 40 Km/h</v>
      </c>
      <c r="J143" s="43">
        <f>Data!S141</f>
        <v>46174.312624421298</v>
      </c>
      <c r="K143" s="44">
        <f>Data!S141</f>
        <v>46174.312624421298</v>
      </c>
      <c r="L143" s="45">
        <f>Data!T141</f>
        <v>2.6041666666666668E-5</v>
      </c>
      <c r="M143" s="46">
        <f>Data!U141</f>
        <v>2.3334033787250519E-2</v>
      </c>
      <c r="N143" s="46" t="str">
        <f>CONCATENATE(Data!W141," (",Data!V141,")")</f>
        <v>Exceso Velocidad 40 Km/h (Velocidad máxima: 41 kmh)</v>
      </c>
      <c r="O143" s="42" t="str">
        <f>IF(Data!V141&lt;&gt;"",N143,Data!W141)</f>
        <v>Exceso Velocidad 40 Km/h (Velocidad máxima: 41 kmh)</v>
      </c>
      <c r="P143" s="47" t="str">
        <f>Data!X141</f>
        <v>Válido</v>
      </c>
    </row>
    <row r="144" spans="1:16">
      <c r="A144" s="41" t="str">
        <f>Data!A142</f>
        <v>PKU069</v>
      </c>
      <c r="B144" s="41" t="str">
        <f>Data!D142</f>
        <v>Vehicle, Diesel, Frontera Energy Col 2679</v>
      </c>
      <c r="C144" s="41" t="str">
        <f>Data!F142</f>
        <v>Luis Enrique</v>
      </c>
      <c r="D144" s="41" t="str">
        <f>Data!G142</f>
        <v>Chala</v>
      </c>
      <c r="E144" s="41" t="str">
        <f>Data!H142</f>
        <v>enriquemono_20@hotmail.com</v>
      </c>
      <c r="F144" s="41" t="str">
        <f>Data!K142</f>
        <v>Rubiales</v>
      </c>
      <c r="G144" s="33" t="str">
        <f>Data!M142</f>
        <v>Exceso Velocidad 40 Km/h</v>
      </c>
      <c r="H144" s="41" t="str">
        <f>Data!P142</f>
        <v>ECOPETROL RUBIALES- Quifa - CAÑO SUR: Puerto Gaitan - Rubiales, Puerto Gaitán, Meta, Colombia</v>
      </c>
      <c r="I144" s="42" t="str">
        <f>Data!Q142</f>
        <v>Cliente, Vel Max 40 Km/h</v>
      </c>
      <c r="J144" s="43">
        <f>Data!S142</f>
        <v>46174.313680555555</v>
      </c>
      <c r="K144" s="44">
        <f>Data!S142</f>
        <v>46174.313680555555</v>
      </c>
      <c r="L144" s="45">
        <f>Data!T142</f>
        <v>2.6041666666666668E-5</v>
      </c>
      <c r="M144" s="46">
        <f>Data!U142</f>
        <v>2.394549548625946E-2</v>
      </c>
      <c r="N144" s="46" t="str">
        <f>CONCATENATE(Data!W142," (",Data!V142,")")</f>
        <v>Exceso Velocidad 40 Km/h (Velocidad máxima: 41 kmh)</v>
      </c>
      <c r="O144" s="42" t="str">
        <f>IF(Data!V142&lt;&gt;"",N144,Data!W142)</f>
        <v>Exceso Velocidad 40 Km/h (Velocidad máxima: 41 kmh)</v>
      </c>
      <c r="P144" s="47" t="str">
        <f>Data!X142</f>
        <v>Válido</v>
      </c>
    </row>
    <row r="145" spans="1:16">
      <c r="A145" s="41" t="str">
        <f>Data!A143</f>
        <v>PKU069</v>
      </c>
      <c r="B145" s="41" t="str">
        <f>Data!D143</f>
        <v>Vehicle, Diesel, Frontera Energy Col 2679</v>
      </c>
      <c r="C145" s="41" t="str">
        <f>Data!F143</f>
        <v>Luis Enrique</v>
      </c>
      <c r="D145" s="41" t="str">
        <f>Data!G143</f>
        <v>Chala</v>
      </c>
      <c r="E145" s="41" t="str">
        <f>Data!H143</f>
        <v>enriquemono_20@hotmail.com</v>
      </c>
      <c r="F145" s="41" t="str">
        <f>Data!K143</f>
        <v>Rubiales</v>
      </c>
      <c r="G145" s="33" t="str">
        <f>Data!M143</f>
        <v>Exceso Velocidad 10 Km/h</v>
      </c>
      <c r="H145" s="41" t="str">
        <f>Data!P143</f>
        <v>ECOPETROL RUBIALES- Quifa - CAÑO SUR, BATERIA 4: Rb 4 324 126 129 195 14 325 316 143 217 1 26 523 256 28, Puerto Gaitán, Meta, Colombia</v>
      </c>
      <c r="I145" s="42" t="str">
        <f>Data!Q143</f>
        <v>Cliente, Vel Max 40 Km/h, Vel Max 10 Km/h</v>
      </c>
      <c r="J145" s="43">
        <f>Data!S143</f>
        <v>46174.32675925926</v>
      </c>
      <c r="K145" s="44">
        <f>Data!S143</f>
        <v>46174.32675925926</v>
      </c>
      <c r="L145" s="45">
        <f>Data!T143</f>
        <v>1.099538037037037E-4</v>
      </c>
      <c r="M145" s="46">
        <f>Data!U143</f>
        <v>2.5780469179153442E-2</v>
      </c>
      <c r="N145" s="46" t="str">
        <f>CONCATENATE(Data!W143," (",Data!V143,")")</f>
        <v>Exceso Velocidad 10 Km/h (Velocidad máxima: 11 kmh)</v>
      </c>
      <c r="O145" s="42" t="str">
        <f>IF(Data!V143&lt;&gt;"",N145,Data!W143)</f>
        <v>Exceso Velocidad 10 Km/h (Velocidad máxima: 11 kmh)</v>
      </c>
      <c r="P145" s="47" t="str">
        <f>Data!X143</f>
        <v>Válido</v>
      </c>
    </row>
    <row r="146" spans="1:16">
      <c r="A146" s="41" t="str">
        <f>Data!A144</f>
        <v>PKU069</v>
      </c>
      <c r="B146" s="41" t="str">
        <f>Data!D144</f>
        <v>Vehicle, Diesel, Frontera Energy Col 2679</v>
      </c>
      <c r="C146" s="41" t="str">
        <f>Data!F144</f>
        <v>Luis Enrique</v>
      </c>
      <c r="D146" s="41" t="str">
        <f>Data!G144</f>
        <v>Chala</v>
      </c>
      <c r="E146" s="41" t="str">
        <f>Data!H144</f>
        <v>enriquemono_20@hotmail.com</v>
      </c>
      <c r="F146" s="41" t="str">
        <f>Data!K144</f>
        <v>Rubiales</v>
      </c>
      <c r="G146" s="33" t="str">
        <f>Data!M144</f>
        <v>Exceso Velocidad 10 Km/h</v>
      </c>
      <c r="H146" s="41" t="str">
        <f>Data!P144</f>
        <v>ECOPETROL RUBIALES- Quifa - CAÑO SUR, BATERIA 4: Rb 4 324 126 129 195 14 325 316 143 217 1 26 523 256 28, Puerto Gaitán, Meta, Colombia</v>
      </c>
      <c r="I146" s="42" t="str">
        <f>Data!Q144</f>
        <v>Cliente, Vel Max 40 Km/h, Vel Max 10 Km/h</v>
      </c>
      <c r="J146" s="43">
        <f>Data!S144</f>
        <v>46174.327407407407</v>
      </c>
      <c r="K146" s="44">
        <f>Data!S144</f>
        <v>46174.327407407407</v>
      </c>
      <c r="L146" s="45">
        <f>Data!T144</f>
        <v>4.0674768518518517E-4</v>
      </c>
      <c r="M146" s="46">
        <f>Data!U144</f>
        <v>9.9535435438156128E-2</v>
      </c>
      <c r="N146" s="46" t="str">
        <f>CONCATENATE(Data!W144," (",Data!V144,")")</f>
        <v>Exceso Velocidad 10 Km/h (Velocidad máxima: 12 kmh)</v>
      </c>
      <c r="O146" s="42" t="str">
        <f>IF(Data!V144&lt;&gt;"",N146,Data!W144)</f>
        <v>Exceso Velocidad 10 Km/h (Velocidad máxima: 12 kmh)</v>
      </c>
      <c r="P146" s="47" t="str">
        <f>Data!X144</f>
        <v>Válido</v>
      </c>
    </row>
    <row r="147" spans="1:16">
      <c r="A147" s="41" t="str">
        <f>Data!A145</f>
        <v>PKU069</v>
      </c>
      <c r="B147" s="41" t="str">
        <f>Data!D145</f>
        <v>Vehicle, Diesel, Frontera Energy Col 2679</v>
      </c>
      <c r="C147" s="41" t="str">
        <f>Data!F145</f>
        <v>Luis Enrique</v>
      </c>
      <c r="D147" s="41" t="str">
        <f>Data!G145</f>
        <v>Chala</v>
      </c>
      <c r="E147" s="41" t="str">
        <f>Data!H145</f>
        <v>enriquemono_20@hotmail.com</v>
      </c>
      <c r="F147" s="41" t="str">
        <f>Data!K145</f>
        <v>Rubiales</v>
      </c>
      <c r="G147" s="33" t="str">
        <f>Data!M145</f>
        <v>Exceso Velocidad 10 Km/h</v>
      </c>
      <c r="H147" s="41" t="str">
        <f>Data!P145</f>
        <v>ECOPETROL RUBIALES- Quifa - CAÑO SUR, BATERIA 4: Rb 4 324 126 129 195 14 325 316 143 217 1 26 523 256 28, Puerto Gaitán, Meta, Colombia</v>
      </c>
      <c r="I147" s="42" t="str">
        <f>Data!Q145</f>
        <v>Cliente, Vel Max 40 Km/h, Vel Max 10 Km/h</v>
      </c>
      <c r="J147" s="43">
        <f>Data!S145</f>
        <v>46174.32917824074</v>
      </c>
      <c r="K147" s="44">
        <f>Data!S145</f>
        <v>46174.32917824074</v>
      </c>
      <c r="L147" s="45">
        <f>Data!T145</f>
        <v>2.3726861851851853E-4</v>
      </c>
      <c r="M147" s="46">
        <f>Data!U145</f>
        <v>6.1212349683046341E-2</v>
      </c>
      <c r="N147" s="46" t="str">
        <f>CONCATENATE(Data!W145," (",Data!V145,")")</f>
        <v>Exceso Velocidad 10 Km/h (Velocidad máxima: 11 kmh)</v>
      </c>
      <c r="O147" s="42" t="str">
        <f>IF(Data!V145&lt;&gt;"",N147,Data!W145)</f>
        <v>Exceso Velocidad 10 Km/h (Velocidad máxima: 11 kmh)</v>
      </c>
      <c r="P147" s="47" t="str">
        <f>Data!X145</f>
        <v>Válido</v>
      </c>
    </row>
    <row r="148" spans="1:16">
      <c r="A148" s="41" t="str">
        <f>Data!A146</f>
        <v>PKU069</v>
      </c>
      <c r="B148" s="41" t="str">
        <f>Data!D146</f>
        <v>Vehicle, Diesel, Frontera Energy Col 2679</v>
      </c>
      <c r="C148" s="41" t="str">
        <f>Data!F146</f>
        <v>Luis Enrique</v>
      </c>
      <c r="D148" s="41" t="str">
        <f>Data!G146</f>
        <v>Chala</v>
      </c>
      <c r="E148" s="41" t="str">
        <f>Data!H146</f>
        <v>enriquemono_20@hotmail.com</v>
      </c>
      <c r="F148" s="41" t="str">
        <f>Data!K146</f>
        <v>Rubiales</v>
      </c>
      <c r="G148" s="33" t="str">
        <f>Data!M146</f>
        <v>Exceso Velocidad 10 Km/h</v>
      </c>
      <c r="H148" s="41" t="str">
        <f>Data!P146</f>
        <v>ECOPETROL RUBIALES- Quifa - CAÑO SUR, BATERIA 4: Rb 4, Puerto Gaitán, Meta, Colombia</v>
      </c>
      <c r="I148" s="42" t="str">
        <f>Data!Q146</f>
        <v>Cliente, Vel Max 40 Km/h, Vel Max 10 Km/h</v>
      </c>
      <c r="J148" s="43">
        <f>Data!S146</f>
        <v>46174.32959105324</v>
      </c>
      <c r="K148" s="44">
        <f>Data!S146</f>
        <v>46174.32959105324</v>
      </c>
      <c r="L148" s="45">
        <f>Data!T146</f>
        <v>5.478356481481481E-4</v>
      </c>
      <c r="M148" s="46">
        <f>Data!U146</f>
        <v>0.13350094854831696</v>
      </c>
      <c r="N148" s="46" t="str">
        <f>CONCATENATE(Data!W146," (",Data!V146,")")</f>
        <v>Exceso Velocidad 10 Km/h (Velocidad máxima: 12 kmh)</v>
      </c>
      <c r="O148" s="42" t="str">
        <f>IF(Data!V146&lt;&gt;"",N148,Data!W146)</f>
        <v>Exceso Velocidad 10 Km/h (Velocidad máxima: 12 kmh)</v>
      </c>
      <c r="P148" s="47" t="str">
        <f>Data!X146</f>
        <v>Válido</v>
      </c>
    </row>
    <row r="149" spans="1:16">
      <c r="A149" s="41" t="str">
        <f>Data!A147</f>
        <v>PKU069</v>
      </c>
      <c r="B149" s="41" t="str">
        <f>Data!D147</f>
        <v>Vehicle, Diesel, Frontera Energy Col 2679</v>
      </c>
      <c r="C149" s="41" t="str">
        <f>Data!F147</f>
        <v>Luis Enrique</v>
      </c>
      <c r="D149" s="41" t="str">
        <f>Data!G147</f>
        <v>Chala</v>
      </c>
      <c r="E149" s="41" t="str">
        <f>Data!H147</f>
        <v>enriquemono_20@hotmail.com</v>
      </c>
      <c r="F149" s="41" t="str">
        <f>Data!K147</f>
        <v>Rubiales</v>
      </c>
      <c r="G149" s="33" t="str">
        <f>Data!M147</f>
        <v>Exceso Velocidad 10 Km/h</v>
      </c>
      <c r="H149" s="41" t="str">
        <f>Data!P147</f>
        <v>ECOPETROL RUBIALES- Quifa - CAÑO SUR, BATERIA 4: Rb 4, Puerto Gaitán, Meta, Colombia</v>
      </c>
      <c r="I149" s="42" t="str">
        <f>Data!Q147</f>
        <v>Cliente, Vel Max 40 Km/h, Vel Max 10 Km/h</v>
      </c>
      <c r="J149" s="43">
        <f>Data!S147</f>
        <v>46174.474398148152</v>
      </c>
      <c r="K149" s="44">
        <f>Data!S147</f>
        <v>46174.474398148152</v>
      </c>
      <c r="L149" s="45">
        <f>Data!T147</f>
        <v>3.2338310185185187E-3</v>
      </c>
      <c r="M149" s="46">
        <f>Data!U147</f>
        <v>1.0362744331359863</v>
      </c>
      <c r="N149" s="46" t="str">
        <f>CONCATENATE(Data!W147," (",Data!V147,")")</f>
        <v>Exceso Velocidad 10 Km/h (Velocidad máxima: 16 kmh)</v>
      </c>
      <c r="O149" s="42" t="str">
        <f>IF(Data!V147&lt;&gt;"",N149,Data!W147)</f>
        <v>Exceso Velocidad 10 Km/h (Velocidad máxima: 16 kmh)</v>
      </c>
      <c r="P149" s="47" t="str">
        <f>Data!X147</f>
        <v>Válido</v>
      </c>
    </row>
    <row r="150" spans="1:16">
      <c r="A150" s="41" t="str">
        <f>Data!A148</f>
        <v>PKU069</v>
      </c>
      <c r="B150" s="41" t="str">
        <f>Data!D148</f>
        <v>Vehicle, Diesel, Frontera Energy Col 2679</v>
      </c>
      <c r="C150" s="41" t="str">
        <f>Data!F148</f>
        <v>Luis Enrique</v>
      </c>
      <c r="D150" s="41" t="str">
        <f>Data!G148</f>
        <v>Chala</v>
      </c>
      <c r="E150" s="41" t="str">
        <f>Data!H148</f>
        <v>enriquemono_20@hotmail.com</v>
      </c>
      <c r="F150" s="41" t="str">
        <f>Data!K148</f>
        <v>Rubiales</v>
      </c>
      <c r="G150" s="33" t="str">
        <f>Data!M148</f>
        <v>Exceso Velocidad 10 Km/h</v>
      </c>
      <c r="H150" s="41" t="str">
        <f>Data!P148</f>
        <v>ECOPETROL RUBIALES- Quifa - CAÑO SUR, BATERIA 4: Rb 4 324 126 129 195 14 325 316 143 217 1 26 523 256 28, Puerto Gaitán, Meta, Colombia</v>
      </c>
      <c r="I150" s="42" t="str">
        <f>Data!Q148</f>
        <v>Cliente, Vel Max 40 Km/h, Vel Max 10 Km/h</v>
      </c>
      <c r="J150" s="43">
        <f>Data!S148</f>
        <v>46174.493282986114</v>
      </c>
      <c r="K150" s="44">
        <f>Data!S148</f>
        <v>46174.493282986114</v>
      </c>
      <c r="L150" s="45">
        <f>Data!T148</f>
        <v>9.6469907407407409E-4</v>
      </c>
      <c r="M150" s="46">
        <f>Data!U148</f>
        <v>0.28003722429275513</v>
      </c>
      <c r="N150" s="46" t="str">
        <f>CONCATENATE(Data!W148," (",Data!V148,")")</f>
        <v>Exceso Velocidad 10 Km/h (Velocidad máxima: 15 kmh)</v>
      </c>
      <c r="O150" s="42" t="str">
        <f>IF(Data!V148&lt;&gt;"",N150,Data!W148)</f>
        <v>Exceso Velocidad 10 Km/h (Velocidad máxima: 15 kmh)</v>
      </c>
      <c r="P150" s="47" t="str">
        <f>Data!X148</f>
        <v>Válido</v>
      </c>
    </row>
    <row r="151" spans="1:16">
      <c r="A151" s="41" t="str">
        <f>Data!A149</f>
        <v>PKU069</v>
      </c>
      <c r="B151" s="41" t="str">
        <f>Data!D149</f>
        <v>Vehicle, Diesel, Frontera Energy Col 2679</v>
      </c>
      <c r="C151" s="41" t="str">
        <f>Data!F149</f>
        <v>Luis Enrique</v>
      </c>
      <c r="D151" s="41" t="str">
        <f>Data!G149</f>
        <v>Chala</v>
      </c>
      <c r="E151" s="41" t="str">
        <f>Data!H149</f>
        <v>enriquemono_20@hotmail.com</v>
      </c>
      <c r="F151" s="41" t="str">
        <f>Data!K149</f>
        <v>Rubiales</v>
      </c>
      <c r="G151" s="33" t="str">
        <f>Data!M149</f>
        <v>Exceso Velocidad 10 Km/h</v>
      </c>
      <c r="H151" s="41" t="str">
        <f>Data!P149</f>
        <v>ECOPETROL RUBIALES- Quifa - CAÑO SUR, BATERIA 4: Rb 4 324 126 129 195 14 325 316 143 217 1 26 523 256 28, Puerto Gaitán, Meta, Colombia</v>
      </c>
      <c r="I151" s="42" t="str">
        <f>Data!Q149</f>
        <v>Cliente, Vel Max 40 Km/h, Vel Max 10 Km/h</v>
      </c>
      <c r="J151" s="43">
        <f>Data!S149</f>
        <v>46174.494247685187</v>
      </c>
      <c r="K151" s="44">
        <f>Data!S149</f>
        <v>46174.494247685187</v>
      </c>
      <c r="L151" s="45">
        <f>Data!T149</f>
        <v>7.5231481481481482E-4</v>
      </c>
      <c r="M151" s="46">
        <f>Data!U149</f>
        <v>0.21594990789890289</v>
      </c>
      <c r="N151" s="46" t="str">
        <f>CONCATENATE(Data!W149," (",Data!V149,")")</f>
        <v>Exceso Velocidad 10 Km/h (Velocidad máxima: 14 kmh)</v>
      </c>
      <c r="O151" s="42" t="str">
        <f>IF(Data!V149&lt;&gt;"",N151,Data!W149)</f>
        <v>Exceso Velocidad 10 Km/h (Velocidad máxima: 14 kmh)</v>
      </c>
      <c r="P151" s="47" t="str">
        <f>Data!X149</f>
        <v>Válido</v>
      </c>
    </row>
    <row r="152" spans="1:16">
      <c r="A152" s="41" t="str">
        <f>Data!A150</f>
        <v>PKU069</v>
      </c>
      <c r="B152" s="41" t="str">
        <f>Data!D150</f>
        <v>Vehicle, Diesel, Frontera Energy Col 2679</v>
      </c>
      <c r="C152" s="41" t="str">
        <f>Data!F150</f>
        <v>Luis Enrique</v>
      </c>
      <c r="D152" s="41" t="str">
        <f>Data!G150</f>
        <v>Chala</v>
      </c>
      <c r="E152" s="41" t="str">
        <f>Data!H150</f>
        <v>enriquemono_20@hotmail.com</v>
      </c>
      <c r="F152" s="41" t="str">
        <f>Data!K150</f>
        <v>Rubiales</v>
      </c>
      <c r="G152" s="33" t="str">
        <f>Data!M150</f>
        <v>Exceso Velocidad 10 Km/h</v>
      </c>
      <c r="H152" s="41" t="str">
        <f>Data!P150</f>
        <v>ECOPETROL RUBIALES- Quifa - CAÑO SUR, BATERIA 4: Rb 4 324 126 129 195 14 325 316 143 217 1 26 523 256 28, Meta, 502057, Colombia</v>
      </c>
      <c r="I152" s="42" t="str">
        <f>Data!Q150</f>
        <v>Cliente, Vel Max 40 Km/h, Vel Max 10 Km/h</v>
      </c>
      <c r="J152" s="43">
        <f>Data!S150</f>
        <v>46174.495000000003</v>
      </c>
      <c r="K152" s="44">
        <f>Data!S150</f>
        <v>46174.495000000003</v>
      </c>
      <c r="L152" s="45">
        <f>Data!T150</f>
        <v>1.6333912037037037E-3</v>
      </c>
      <c r="M152" s="46">
        <f>Data!U150</f>
        <v>0.52000302076339722</v>
      </c>
      <c r="N152" s="46" t="str">
        <f>CONCATENATE(Data!W150," (",Data!V150,")")</f>
        <v>Exceso Velocidad 10 Km/h (Velocidad máxima: 16 kmh)</v>
      </c>
      <c r="O152" s="42" t="str">
        <f>IF(Data!V150&lt;&gt;"",N152,Data!W150)</f>
        <v>Exceso Velocidad 10 Km/h (Velocidad máxima: 16 kmh)</v>
      </c>
      <c r="P152" s="47" t="str">
        <f>Data!X150</f>
        <v>Válido</v>
      </c>
    </row>
    <row r="153" spans="1:16">
      <c r="A153" s="41" t="str">
        <f>Data!A151</f>
        <v>PKU069</v>
      </c>
      <c r="B153" s="41" t="str">
        <f>Data!D151</f>
        <v>Vehicle, Diesel, Frontera Energy Col 2679</v>
      </c>
      <c r="C153" s="41" t="str">
        <f>Data!F151</f>
        <v>Luis Enrique</v>
      </c>
      <c r="D153" s="41" t="str">
        <f>Data!G151</f>
        <v>Chala</v>
      </c>
      <c r="E153" s="41" t="str">
        <f>Data!H151</f>
        <v>enriquemono_20@hotmail.com</v>
      </c>
      <c r="F153" s="41" t="str">
        <f>Data!K151</f>
        <v>Rubiales</v>
      </c>
      <c r="G153" s="33" t="str">
        <f>Data!M151</f>
        <v>Exceso Velocidad 10 Km/h</v>
      </c>
      <c r="H153" s="41" t="str">
        <f>Data!P151</f>
        <v>ECOPETROL RUBIALES- Quifa - CAÑO SUR, BATERIA 4: Rb 4, Puerto Gaitán, Meta, Colombia</v>
      </c>
      <c r="I153" s="42" t="str">
        <f>Data!Q151</f>
        <v>Cliente, Vel Max 40 Km/h, Vel Max 10 Km/h</v>
      </c>
      <c r="J153" s="43">
        <f>Data!S151</f>
        <v>46174.497961307869</v>
      </c>
      <c r="K153" s="44">
        <f>Data!S151</f>
        <v>46174.497961307869</v>
      </c>
      <c r="L153" s="45">
        <f>Data!T151</f>
        <v>2.4471064814814814E-4</v>
      </c>
      <c r="M153" s="46">
        <f>Data!U151</f>
        <v>6.6771820187568665E-2</v>
      </c>
      <c r="N153" s="46" t="str">
        <f>CONCATENATE(Data!W151," (",Data!V151,")")</f>
        <v>Exceso Velocidad 10 Km/h (Velocidad máxima: 14 kmh)</v>
      </c>
      <c r="O153" s="42" t="str">
        <f>IF(Data!V151&lt;&gt;"",N153,Data!W151)</f>
        <v>Exceso Velocidad 10 Km/h (Velocidad máxima: 14 kmh)</v>
      </c>
      <c r="P153" s="47" t="str">
        <f>Data!X151</f>
        <v>Válido</v>
      </c>
    </row>
    <row r="154" spans="1:16">
      <c r="A154" s="41" t="str">
        <f>Data!A152</f>
        <v>PKU069</v>
      </c>
      <c r="B154" s="41" t="str">
        <f>Data!D152</f>
        <v>Vehicle, Diesel, Frontera Energy Col 2679</v>
      </c>
      <c r="C154" s="41" t="str">
        <f>Data!F152</f>
        <v>Luis Enrique</v>
      </c>
      <c r="D154" s="41" t="str">
        <f>Data!G152</f>
        <v>Chala</v>
      </c>
      <c r="E154" s="41" t="str">
        <f>Data!H152</f>
        <v>enriquemono_20@hotmail.com</v>
      </c>
      <c r="F154" s="41" t="str">
        <f>Data!K152</f>
        <v>Rubiales</v>
      </c>
      <c r="G154" s="33" t="str">
        <f>Data!M152</f>
        <v>Exceso Velocidad 10 Km/h</v>
      </c>
      <c r="H154" s="41" t="str">
        <f>Data!P152</f>
        <v>ECOPETROL RUBIALES- Quifa - CAÑO SUR, BATERIA 4: Rb 4, Puerto Gaitán, Meta, Colombia</v>
      </c>
      <c r="I154" s="42" t="str">
        <f>Data!Q152</f>
        <v>Cliente, Vel Max 40 Km/h, Vel Max 10 Km/h</v>
      </c>
      <c r="J154" s="43">
        <f>Data!S152</f>
        <v>46174.498252314814</v>
      </c>
      <c r="K154" s="44">
        <f>Data!S152</f>
        <v>46174.498252314814</v>
      </c>
      <c r="L154" s="45">
        <f>Data!T152</f>
        <v>2.5462962962962961E-4</v>
      </c>
      <c r="M154" s="46">
        <f>Data!U152</f>
        <v>6.8583212792873383E-2</v>
      </c>
      <c r="N154" s="46" t="str">
        <f>CONCATENATE(Data!W152," (",Data!V152,")")</f>
        <v>Exceso Velocidad 10 Km/h (Velocidad máxima: 13 kmh)</v>
      </c>
      <c r="O154" s="42" t="str">
        <f>IF(Data!V152&lt;&gt;"",N154,Data!W152)</f>
        <v>Exceso Velocidad 10 Km/h (Velocidad máxima: 13 kmh)</v>
      </c>
      <c r="P154" s="47" t="str">
        <f>Data!X152</f>
        <v>Válido</v>
      </c>
    </row>
    <row r="155" spans="1:16">
      <c r="A155" s="41" t="str">
        <f>Data!A153</f>
        <v>PKU069</v>
      </c>
      <c r="B155" s="41" t="str">
        <f>Data!D153</f>
        <v>Vehicle, Diesel, Frontera Energy Col 2679</v>
      </c>
      <c r="C155" s="41" t="str">
        <f>Data!F153</f>
        <v>Luis Enrique</v>
      </c>
      <c r="D155" s="41" t="str">
        <f>Data!G153</f>
        <v>Chala</v>
      </c>
      <c r="E155" s="41" t="str">
        <f>Data!H153</f>
        <v>enriquemono_20@hotmail.com</v>
      </c>
      <c r="F155" s="41" t="str">
        <f>Data!K153</f>
        <v>Rubiales</v>
      </c>
      <c r="G155" s="33" t="str">
        <f>Data!M153</f>
        <v>Exceso Velocidad 10 Km/h</v>
      </c>
      <c r="H155" s="41" t="str">
        <f>Data!P153</f>
        <v>ECOPETROL RUBIALES- Quifa - CAÑO SUR, BATERIA 4: Vía Sin Nombre, Puerto Gaitán, Meta, Colombia</v>
      </c>
      <c r="I155" s="42" t="str">
        <f>Data!Q153</f>
        <v>Cliente, Vel Max 40 Km/h, Vel Max 10 Km/h</v>
      </c>
      <c r="J155" s="43">
        <f>Data!S153</f>
        <v>46174.498506944445</v>
      </c>
      <c r="K155" s="44">
        <f>Data!S153</f>
        <v>46174.498506944445</v>
      </c>
      <c r="L155" s="45">
        <f>Data!T153</f>
        <v>9.8958343333333345E-4</v>
      </c>
      <c r="M155" s="46">
        <f>Data!U153</f>
        <v>0.30639755725860596</v>
      </c>
      <c r="N155" s="46" t="str">
        <f>CONCATENATE(Data!W153," (",Data!V153,")")</f>
        <v>Exceso Velocidad 10 Km/h (Velocidad máxima: 14 kmh)</v>
      </c>
      <c r="O155" s="42" t="str">
        <f>IF(Data!V153&lt;&gt;"",N155,Data!W153)</f>
        <v>Exceso Velocidad 10 Km/h (Velocidad máxima: 14 kmh)</v>
      </c>
      <c r="P155" s="47" t="str">
        <f>Data!X153</f>
        <v>Válido</v>
      </c>
    </row>
    <row r="156" spans="1:16">
      <c r="A156" s="41" t="str">
        <f>Data!A154</f>
        <v>PKU069</v>
      </c>
      <c r="B156" s="41" t="str">
        <f>Data!D154</f>
        <v>Vehicle, Diesel, Frontera Energy Col 2679</v>
      </c>
      <c r="C156" s="41" t="str">
        <f>Data!F154</f>
        <v>Luis Enrique</v>
      </c>
      <c r="D156" s="41" t="str">
        <f>Data!G154</f>
        <v>Chala</v>
      </c>
      <c r="E156" s="41" t="str">
        <f>Data!H154</f>
        <v>enriquemono_20@hotmail.com</v>
      </c>
      <c r="F156" s="41" t="str">
        <f>Data!K154</f>
        <v>Rubiales</v>
      </c>
      <c r="G156" s="33" t="str">
        <f>Data!M154</f>
        <v>Exceso Velocidad 10 Km/h</v>
      </c>
      <c r="H156" s="41" t="str">
        <f>Data!P154</f>
        <v>ECOPETROL RUBIALES- Quifa - CAÑO SUR, BATERIA 4: Rb 4 324 126 129 195 14 325 316 143 217 1 26 523 256 28, Meta, 502057, Colombia</v>
      </c>
      <c r="I156" s="42" t="str">
        <f>Data!Q154</f>
        <v>Cliente, Vel Max 40 Km/h, Vel Max 10 Km/h</v>
      </c>
      <c r="J156" s="43">
        <f>Data!S154</f>
        <v>46174.499641203707</v>
      </c>
      <c r="K156" s="44">
        <f>Data!S154</f>
        <v>46174.499641203707</v>
      </c>
      <c r="L156" s="45">
        <f>Data!T154</f>
        <v>5.4976851851851851E-5</v>
      </c>
      <c r="M156" s="46">
        <f>Data!U154</f>
        <v>1.2888935394585133E-2</v>
      </c>
      <c r="N156" s="46" t="str">
        <f>CONCATENATE(Data!W154," (",Data!V154,")")</f>
        <v>Exceso Velocidad 10 Km/h (Velocidad máxima: 11 kmh)</v>
      </c>
      <c r="O156" s="42" t="str">
        <f>IF(Data!V154&lt;&gt;"",N156,Data!W154)</f>
        <v>Exceso Velocidad 10 Km/h (Velocidad máxima: 11 kmh)</v>
      </c>
      <c r="P156" s="47" t="str">
        <f>Data!X154</f>
        <v>Válido</v>
      </c>
    </row>
    <row r="157" spans="1:16">
      <c r="A157" s="41" t="str">
        <f>Data!A155</f>
        <v>PKU069</v>
      </c>
      <c r="B157" s="41" t="str">
        <f>Data!D155</f>
        <v>Vehicle, Diesel, Frontera Energy Col 2679</v>
      </c>
      <c r="C157" s="41" t="str">
        <f>Data!F155</f>
        <v>Luis Enrique</v>
      </c>
      <c r="D157" s="41" t="str">
        <f>Data!G155</f>
        <v>Chala</v>
      </c>
      <c r="E157" s="41" t="str">
        <f>Data!H155</f>
        <v>enriquemono_20@hotmail.com</v>
      </c>
      <c r="F157" s="41" t="str">
        <f>Data!K155</f>
        <v>Rubiales</v>
      </c>
      <c r="G157" s="33" t="str">
        <f>Data!M155</f>
        <v>Exceso Velocidad 10 Km/h</v>
      </c>
      <c r="H157" s="41" t="str">
        <f>Data!P155</f>
        <v>ECOPETROL RUBIALES- Quifa - CAÑO SUR, BATERIA 4: Rb 4 324 126 129 195 14 325 316 143 217 1 26 523 256 28, Meta, 502057, Colombia</v>
      </c>
      <c r="I157" s="42" t="str">
        <f>Data!Q155</f>
        <v>Cliente, Vel Max 40 Km/h, Vel Max 10 Km/h</v>
      </c>
      <c r="J157" s="43">
        <f>Data!S155</f>
        <v>46174.501572627312</v>
      </c>
      <c r="K157" s="44">
        <f>Data!S155</f>
        <v>46174.501572627312</v>
      </c>
      <c r="L157" s="45">
        <f>Data!T155</f>
        <v>1.4033564814814814E-4</v>
      </c>
      <c r="M157" s="46">
        <f>Data!U155</f>
        <v>3.3409480005502701E-2</v>
      </c>
      <c r="N157" s="46" t="str">
        <f>CONCATENATE(Data!W155," (",Data!V155,")")</f>
        <v>Exceso Velocidad 10 Km/h (Velocidad máxima: 11 kmh)</v>
      </c>
      <c r="O157" s="42" t="str">
        <f>IF(Data!V155&lt;&gt;"",N157,Data!W155)</f>
        <v>Exceso Velocidad 10 Km/h (Velocidad máxima: 11 kmh)</v>
      </c>
      <c r="P157" s="47" t="str">
        <f>Data!X155</f>
        <v>Válido</v>
      </c>
    </row>
    <row r="158" spans="1:16">
      <c r="A158" s="41" t="str">
        <f>Data!A156</f>
        <v>PKU069</v>
      </c>
      <c r="B158" s="41" t="str">
        <f>Data!D156</f>
        <v>Vehicle, Diesel, Frontera Energy Col 2679</v>
      </c>
      <c r="C158" s="41" t="str">
        <f>Data!F156</f>
        <v>Luis Enrique</v>
      </c>
      <c r="D158" s="41" t="str">
        <f>Data!G156</f>
        <v>Chala</v>
      </c>
      <c r="E158" s="41" t="str">
        <f>Data!H156</f>
        <v>enriquemono_20@hotmail.com</v>
      </c>
      <c r="F158" s="41" t="str">
        <f>Data!K156</f>
        <v>Rubiales</v>
      </c>
      <c r="G158" s="33" t="str">
        <f>Data!M156</f>
        <v>Exceso Velocidad 10 Km/h</v>
      </c>
      <c r="H158" s="41" t="str">
        <f>Data!P156</f>
        <v>ECOPETROL RUBIALES- Quifa - CAÑO SUR, BATERIA 4: Rb 4 324 126 129 195 14 325 316 143 217 1 26 523 256 28, Puerto Gaitán, Meta, Colombia</v>
      </c>
      <c r="I158" s="42" t="str">
        <f>Data!Q156</f>
        <v>Cliente, Vel Max 40 Km/h, Vel Max 10 Km/h</v>
      </c>
      <c r="J158" s="43">
        <f>Data!S156</f>
        <v>46174.501712962963</v>
      </c>
      <c r="K158" s="44">
        <f>Data!S156</f>
        <v>46174.501712962963</v>
      </c>
      <c r="L158" s="45">
        <f>Data!T156</f>
        <v>1.4609837962962964E-3</v>
      </c>
      <c r="M158" s="46">
        <f>Data!U156</f>
        <v>0.47833913564682007</v>
      </c>
      <c r="N158" s="46" t="str">
        <f>CONCATENATE(Data!W156," (",Data!V156,")")</f>
        <v>Exceso Velocidad 10 Km/h (Velocidad máxima: 16 kmh)</v>
      </c>
      <c r="O158" s="42" t="str">
        <f>IF(Data!V156&lt;&gt;"",N158,Data!W156)</f>
        <v>Exceso Velocidad 10 Km/h (Velocidad máxima: 16 kmh)</v>
      </c>
      <c r="P158" s="47" t="str">
        <f>Data!X156</f>
        <v>Válido</v>
      </c>
    </row>
    <row r="159" spans="1:16">
      <c r="A159" s="41" t="str">
        <f>Data!A157</f>
        <v>PKU069</v>
      </c>
      <c r="B159" s="41" t="str">
        <f>Data!D157</f>
        <v>Vehicle, Diesel, Frontera Energy Col 2679</v>
      </c>
      <c r="C159" s="41" t="str">
        <f>Data!F157</f>
        <v>Luis Enrique</v>
      </c>
      <c r="D159" s="41" t="str">
        <f>Data!G157</f>
        <v>Chala</v>
      </c>
      <c r="E159" s="41" t="str">
        <f>Data!H157</f>
        <v>enriquemono_20@hotmail.com</v>
      </c>
      <c r="F159" s="41" t="str">
        <f>Data!K157</f>
        <v>Rubiales</v>
      </c>
      <c r="G159" s="33" t="str">
        <f>Data!M157</f>
        <v>Tiempo en ralentí</v>
      </c>
      <c r="H159" s="41" t="str">
        <f>Data!P157</f>
        <v>ECOPETROL RUBIALES- Quifa - CAÑO SUR: Rb 4 324 126 129 195 14 325 316 143 217 1 26 523 256 28, Meta, 502057, Colombia</v>
      </c>
      <c r="I159" s="42" t="str">
        <f>Data!Q157</f>
        <v>Cliente, Vel Max 40 Km/h</v>
      </c>
      <c r="J159" s="43">
        <f>Data!S157</f>
        <v>46174.503819444442</v>
      </c>
      <c r="K159" s="44">
        <f>Data!S157</f>
        <v>46174.503819444442</v>
      </c>
      <c r="L159" s="45">
        <f>Data!T157</f>
        <v>6.8865740740740745E-3</v>
      </c>
      <c r="M159" s="46">
        <f>Data!U157</f>
        <v>5.3340056183515117E-5</v>
      </c>
      <c r="N159" s="46" t="str">
        <f>CONCATENATE(Data!W157," (",Data!V157,")")</f>
        <v>Tiempo en ralentí (Ignición: 1.00)</v>
      </c>
      <c r="O159" s="42" t="str">
        <f>IF(Data!V157&lt;&gt;"",N159,Data!W157)</f>
        <v>Tiempo en ralentí (Ignición: 1.00)</v>
      </c>
      <c r="P159" s="47" t="str">
        <f>Data!X157</f>
        <v>Válido</v>
      </c>
    </row>
    <row r="160" spans="1:16">
      <c r="A160" s="41" t="str">
        <f>Data!A158</f>
        <v>PKU069</v>
      </c>
      <c r="B160" s="41" t="str">
        <f>Data!D158</f>
        <v>Vehicle, Diesel, Frontera Energy Col 2679</v>
      </c>
      <c r="C160" s="41" t="str">
        <f>Data!F158</f>
        <v>Luis Enrique</v>
      </c>
      <c r="D160" s="41" t="str">
        <f>Data!G158</f>
        <v>Chala</v>
      </c>
      <c r="E160" s="41" t="str">
        <f>Data!H158</f>
        <v>enriquemono_20@hotmail.com</v>
      </c>
      <c r="F160" s="41" t="str">
        <f>Data!K158</f>
        <v>Rubiales</v>
      </c>
      <c r="G160" s="33" t="str">
        <f>Data!M158</f>
        <v>Exceso Velocidad 10 Km/h</v>
      </c>
      <c r="H160" s="41" t="str">
        <f>Data!P158</f>
        <v>ECOPETROL RUBIALES- Quifa - CAÑO SUR, BATERIA 4: Rb 4 324 126 129 195 14 325 316 143 217 1 26 523 256 28, Meta, 502057, Colombia</v>
      </c>
      <c r="I160" s="42" t="str">
        <f>Data!Q158</f>
        <v>Cliente, Vel Max 40 Km/h, Vel Max 10 Km/h</v>
      </c>
      <c r="J160" s="43">
        <f>Data!S158</f>
        <v>46174.511352731482</v>
      </c>
      <c r="K160" s="44">
        <f>Data!S158</f>
        <v>46174.511352731482</v>
      </c>
      <c r="L160" s="45">
        <f>Data!T158</f>
        <v>8.2453703703703698E-5</v>
      </c>
      <c r="M160" s="46">
        <f>Data!U158</f>
        <v>2.0059186965227127E-2</v>
      </c>
      <c r="N160" s="46" t="str">
        <f>CONCATENATE(Data!W158," (",Data!V158,")")</f>
        <v>Exceso Velocidad 10 Km/h (Velocidad máxima: 11 kmh)</v>
      </c>
      <c r="O160" s="42" t="str">
        <f>IF(Data!V158&lt;&gt;"",N160,Data!W158)</f>
        <v>Exceso Velocidad 10 Km/h (Velocidad máxima: 11 kmh)</v>
      </c>
      <c r="P160" s="47" t="str">
        <f>Data!X158</f>
        <v>Válido</v>
      </c>
    </row>
    <row r="161" spans="1:16">
      <c r="A161" s="41" t="str">
        <f>Data!A159</f>
        <v>PKU069</v>
      </c>
      <c r="B161" s="41" t="str">
        <f>Data!D159</f>
        <v>Vehicle, Diesel, Frontera Energy Col 2679</v>
      </c>
      <c r="C161" s="41" t="str">
        <f>Data!F159</f>
        <v>Luis Enrique</v>
      </c>
      <c r="D161" s="41" t="str">
        <f>Data!G159</f>
        <v>Chala</v>
      </c>
      <c r="E161" s="41" t="str">
        <f>Data!H159</f>
        <v>enriquemono_20@hotmail.com</v>
      </c>
      <c r="F161" s="41" t="str">
        <f>Data!K159</f>
        <v>Rubiales</v>
      </c>
      <c r="G161" s="33" t="str">
        <f>Data!M159</f>
        <v>Exceso Velocidad 10 Km/h</v>
      </c>
      <c r="H161" s="41" t="str">
        <f>Data!P159</f>
        <v>ECOPETROL RUBIALES- Quifa - CAÑO SUR, BATERIA 4: Rb 4 324 126 129 195 14 325 316 143 217 1 26 523 256 28, Meta, 502057, Colombia</v>
      </c>
      <c r="I161" s="42" t="str">
        <f>Data!Q159</f>
        <v>Cliente, Vel Max 40 Km/h, Vel Max 10 Km/h</v>
      </c>
      <c r="J161" s="43">
        <f>Data!S159</f>
        <v>46174.511589502312</v>
      </c>
      <c r="K161" s="44">
        <f>Data!S159</f>
        <v>46174.511589502312</v>
      </c>
      <c r="L161" s="45">
        <f>Data!T159</f>
        <v>8.1790509259259262E-4</v>
      </c>
      <c r="M161" s="46">
        <f>Data!U159</f>
        <v>0.24263708293437958</v>
      </c>
      <c r="N161" s="46" t="str">
        <f>CONCATENATE(Data!W159," (",Data!V159,")")</f>
        <v>Exceso Velocidad 10 Km/h (Velocidad máxima: 14 kmh)</v>
      </c>
      <c r="O161" s="42" t="str">
        <f>IF(Data!V159&lt;&gt;"",N161,Data!W159)</f>
        <v>Exceso Velocidad 10 Km/h (Velocidad máxima: 14 kmh)</v>
      </c>
      <c r="P161" s="47" t="str">
        <f>Data!X159</f>
        <v>Válido</v>
      </c>
    </row>
    <row r="162" spans="1:16">
      <c r="A162" s="41" t="str">
        <f>Data!A160</f>
        <v>PKU069</v>
      </c>
      <c r="B162" s="41" t="str">
        <f>Data!D160</f>
        <v>Vehicle, Diesel, Frontera Energy Col 2679</v>
      </c>
      <c r="C162" s="41" t="str">
        <f>Data!F160</f>
        <v>Luis Enrique</v>
      </c>
      <c r="D162" s="41" t="str">
        <f>Data!G160</f>
        <v>Chala</v>
      </c>
      <c r="E162" s="41" t="str">
        <f>Data!H160</f>
        <v>enriquemono_20@hotmail.com</v>
      </c>
      <c r="F162" s="41" t="str">
        <f>Data!K160</f>
        <v>Rubiales</v>
      </c>
      <c r="G162" s="33" t="str">
        <f>Data!M160</f>
        <v>Exceso Velocidad 10 Km/h</v>
      </c>
      <c r="H162" s="41" t="str">
        <f>Data!P160</f>
        <v>ECOPETROL RUBIALES- Quifa - CAÑO SUR, BATERIA 4: Rb 4 324 126 129 195 14 325 316 143 217 1 26 523 256 28, Puerto Gaitán, Meta, Colombia</v>
      </c>
      <c r="I162" s="42" t="str">
        <f>Data!Q160</f>
        <v>Cliente, Vel Max 40 Km/h, Vel Max 10 Km/h</v>
      </c>
      <c r="J162" s="43">
        <f>Data!S160</f>
        <v>46174.512471064918</v>
      </c>
      <c r="K162" s="44">
        <f>Data!S160</f>
        <v>46174.512471064918</v>
      </c>
      <c r="L162" s="45">
        <f>Data!T160</f>
        <v>5.4976861851851859E-4</v>
      </c>
      <c r="M162" s="46">
        <f>Data!U160</f>
        <v>0.15103155374526978</v>
      </c>
      <c r="N162" s="46" t="str">
        <f>CONCATENATE(Data!W160," (",Data!V160,")")</f>
        <v>Exceso Velocidad 10 Km/h (Velocidad máxima: 13 kmh)</v>
      </c>
      <c r="O162" s="42" t="str">
        <f>IF(Data!V160&lt;&gt;"",N162,Data!W160)</f>
        <v>Exceso Velocidad 10 Km/h (Velocidad máxima: 13 kmh)</v>
      </c>
      <c r="P162" s="47" t="str">
        <f>Data!X160</f>
        <v>Válido</v>
      </c>
    </row>
    <row r="163" spans="1:16">
      <c r="A163" s="41" t="str">
        <f>Data!A161</f>
        <v>PKU069</v>
      </c>
      <c r="B163" s="41" t="str">
        <f>Data!D161</f>
        <v>Vehicle, Diesel, Frontera Energy Col 2679</v>
      </c>
      <c r="C163" s="41" t="str">
        <f>Data!F161</f>
        <v>Luis Enrique</v>
      </c>
      <c r="D163" s="41" t="str">
        <f>Data!G161</f>
        <v>Chala</v>
      </c>
      <c r="E163" s="41" t="str">
        <f>Data!H161</f>
        <v>enriquemono_20@hotmail.com</v>
      </c>
      <c r="F163" s="41" t="str">
        <f>Data!K161</f>
        <v>Rubiales</v>
      </c>
      <c r="G163" s="33" t="str">
        <f>Data!M161</f>
        <v>Tiempo en ralentí</v>
      </c>
      <c r="H163" s="41" t="str">
        <f>Data!P161</f>
        <v>ECOPETROL RUBIALES- Quifa - CAÑO SUR, BATERIA 4: Rb 4 324 126 129 195 14 325 316 143 217 1 26 523 256 28, Meta, 502057, Colombia</v>
      </c>
      <c r="I163" s="42" t="str">
        <f>Data!Q161</f>
        <v>Cliente, Vel Max 40 Km/h, Vel Max 10 Km/h</v>
      </c>
      <c r="J163" s="43">
        <f>Data!S161</f>
        <v>46174.513252314813</v>
      </c>
      <c r="K163" s="44">
        <f>Data!S161</f>
        <v>46174.513252314813</v>
      </c>
      <c r="L163" s="45">
        <f>Data!T161</f>
        <v>4.5949074074074078E-3</v>
      </c>
      <c r="M163" s="46">
        <f>Data!U161</f>
        <v>0</v>
      </c>
      <c r="N163" s="46" t="str">
        <f>CONCATENATE(Data!W161," (",Data!V161,")")</f>
        <v>Tiempo en ralentí (Ignición: 1.00)</v>
      </c>
      <c r="O163" s="42" t="str">
        <f>IF(Data!V161&lt;&gt;"",N163,Data!W161)</f>
        <v>Tiempo en ralentí (Ignición: 1.00)</v>
      </c>
      <c r="P163" s="47" t="str">
        <f>Data!X161</f>
        <v>Válido</v>
      </c>
    </row>
    <row r="164" spans="1:16">
      <c r="A164" s="41" t="str">
        <f>Data!A162</f>
        <v>PKU069</v>
      </c>
      <c r="B164" s="41" t="str">
        <f>Data!D162</f>
        <v>Vehicle, Diesel, Frontera Energy Col 2679</v>
      </c>
      <c r="C164" s="41" t="str">
        <f>Data!F162</f>
        <v>Luis Enrique</v>
      </c>
      <c r="D164" s="41" t="str">
        <f>Data!G162</f>
        <v>Chala</v>
      </c>
      <c r="E164" s="41" t="str">
        <f>Data!H162</f>
        <v>enriquemono_20@hotmail.com</v>
      </c>
      <c r="F164" s="41" t="str">
        <f>Data!K162</f>
        <v>Rubiales</v>
      </c>
      <c r="G164" s="33" t="str">
        <f>Data!M162</f>
        <v>Exceso Velocidad 10 Km/h</v>
      </c>
      <c r="H164" s="41" t="str">
        <f>Data!P162</f>
        <v>ECOPETROL RUBIALES- Quifa - CAÑO SUR, BATERIA 4: Rb 4 324 126 129 195 14 325 316 143 217 1 26 523 256 28, Meta, 502057, Colombia</v>
      </c>
      <c r="I164" s="42" t="str">
        <f>Data!Q162</f>
        <v>Cliente, Vel Max 40 Km/h, Vel Max 10 Km/h</v>
      </c>
      <c r="J164" s="43">
        <f>Data!S162</f>
        <v>46174.518407118056</v>
      </c>
      <c r="K164" s="44">
        <f>Data!S162</f>
        <v>46174.518407118056</v>
      </c>
      <c r="L164" s="45">
        <f>Data!T162</f>
        <v>4.1956018518518515E-5</v>
      </c>
      <c r="M164" s="46">
        <f>Data!U162</f>
        <v>1.023205928504467E-2</v>
      </c>
      <c r="N164" s="46" t="str">
        <f>CONCATENATE(Data!W162," (",Data!V162,")")</f>
        <v>Exceso Velocidad 10 Km/h (Velocidad máxima: 11 kmh)</v>
      </c>
      <c r="O164" s="42" t="str">
        <f>IF(Data!V162&lt;&gt;"",N164,Data!W162)</f>
        <v>Exceso Velocidad 10 Km/h (Velocidad máxima: 11 kmh)</v>
      </c>
      <c r="P164" s="47" t="str">
        <f>Data!X162</f>
        <v>Válido</v>
      </c>
    </row>
    <row r="165" spans="1:16">
      <c r="A165" s="41" t="str">
        <f>Data!A163</f>
        <v>PKU069</v>
      </c>
      <c r="B165" s="41" t="str">
        <f>Data!D163</f>
        <v>Vehicle, Diesel, Frontera Energy Col 2679</v>
      </c>
      <c r="C165" s="41" t="str">
        <f>Data!F163</f>
        <v>Luis Enrique</v>
      </c>
      <c r="D165" s="41" t="str">
        <f>Data!G163</f>
        <v>Chala</v>
      </c>
      <c r="E165" s="41" t="str">
        <f>Data!H163</f>
        <v>enriquemono_20@hotmail.com</v>
      </c>
      <c r="F165" s="41" t="str">
        <f>Data!K163</f>
        <v>Rubiales</v>
      </c>
      <c r="G165" s="33" t="str">
        <f>Data!M163</f>
        <v>Exceso Velocidad 10 Km/h</v>
      </c>
      <c r="H165" s="41" t="str">
        <f>Data!P163</f>
        <v>ECOPETROL RUBIALES- Quifa - CAÑO SUR, BATERIA 4: Rb 4 324 126 129 195 14 325 316 143 217 1 26 523 256 28, Meta, 502057, Colombia</v>
      </c>
      <c r="I165" s="42" t="str">
        <f>Data!Q163</f>
        <v>Cliente, Vel Max 40 Km/h, Vel Max 10 Km/h</v>
      </c>
      <c r="J165" s="43">
        <f>Data!S163</f>
        <v>46174.518582176024</v>
      </c>
      <c r="K165" s="44">
        <f>Data!S163</f>
        <v>46174.518582176024</v>
      </c>
      <c r="L165" s="45">
        <f>Data!T163</f>
        <v>1.6575694444444444E-3</v>
      </c>
      <c r="M165" s="46">
        <f>Data!U163</f>
        <v>0.50029420852661133</v>
      </c>
      <c r="N165" s="46" t="str">
        <f>CONCATENATE(Data!W163," (",Data!V163,")")</f>
        <v>Exceso Velocidad 10 Km/h (Velocidad máxima: 14 kmh)</v>
      </c>
      <c r="O165" s="42" t="str">
        <f>IF(Data!V163&lt;&gt;"",N165,Data!W163)</f>
        <v>Exceso Velocidad 10 Km/h (Velocidad máxima: 14 kmh)</v>
      </c>
      <c r="P165" s="47" t="str">
        <f>Data!X163</f>
        <v>Válido</v>
      </c>
    </row>
    <row r="166" spans="1:16">
      <c r="A166" s="41" t="str">
        <f>Data!A164</f>
        <v>PKU069</v>
      </c>
      <c r="B166" s="41" t="str">
        <f>Data!D164</f>
        <v>Vehicle, Diesel, Frontera Energy Col 2679</v>
      </c>
      <c r="C166" s="41" t="str">
        <f>Data!F164</f>
        <v>Luis Enrique</v>
      </c>
      <c r="D166" s="41" t="str">
        <f>Data!G164</f>
        <v>Chala</v>
      </c>
      <c r="E166" s="41" t="str">
        <f>Data!H164</f>
        <v>enriquemono_20@hotmail.com</v>
      </c>
      <c r="F166" s="41" t="str">
        <f>Data!K164</f>
        <v>Rubiales</v>
      </c>
      <c r="G166" s="33" t="str">
        <f>Data!M164</f>
        <v>Exceso Velocidad 10 Km/h</v>
      </c>
      <c r="H166" s="41" t="str">
        <f>Data!P164</f>
        <v>ECOPETROL RUBIALES- Quifa - CAÑO SUR, BATERIA 4: Rb 4, Puerto Gaitán, Meta, Colombia</v>
      </c>
      <c r="I166" s="42" t="str">
        <f>Data!Q164</f>
        <v>Cliente, Vel Max 40 Km/h, Vel Max 10 Km/h</v>
      </c>
      <c r="J166" s="43">
        <f>Data!S164</f>
        <v>46174.548732638992</v>
      </c>
      <c r="K166" s="44">
        <f>Data!S164</f>
        <v>46174.548732638992</v>
      </c>
      <c r="L166" s="45">
        <f>Data!T164</f>
        <v>4.1087972962962962E-4</v>
      </c>
      <c r="M166" s="46">
        <f>Data!U164</f>
        <v>0.12375166267156601</v>
      </c>
      <c r="N166" s="46" t="str">
        <f>CONCATENATE(Data!W164," (",Data!V164,")")</f>
        <v>Exceso Velocidad 10 Km/h (Velocidad máxima: 14 kmh)</v>
      </c>
      <c r="O166" s="42" t="str">
        <f>IF(Data!V164&lt;&gt;"",N166,Data!W164)</f>
        <v>Exceso Velocidad 10 Km/h (Velocidad máxima: 14 kmh)</v>
      </c>
      <c r="P166" s="47" t="str">
        <f>Data!X164</f>
        <v>Válido</v>
      </c>
    </row>
    <row r="167" spans="1:16">
      <c r="A167" s="41" t="str">
        <f>Data!A165</f>
        <v>PKU069</v>
      </c>
      <c r="B167" s="41" t="str">
        <f>Data!D165</f>
        <v>Vehicle, Diesel, Frontera Energy Col 2679</v>
      </c>
      <c r="C167" s="41" t="str">
        <f>Data!F165</f>
        <v>Luis Enrique</v>
      </c>
      <c r="D167" s="41" t="str">
        <f>Data!G165</f>
        <v>Chala</v>
      </c>
      <c r="E167" s="41" t="str">
        <f>Data!H165</f>
        <v>enriquemono_20@hotmail.com</v>
      </c>
      <c r="F167" s="41" t="str">
        <f>Data!K165</f>
        <v>Rubiales</v>
      </c>
      <c r="G167" s="33" t="str">
        <f>Data!M165</f>
        <v>Exceso Velocidad 10 Km/h</v>
      </c>
      <c r="H167" s="41" t="str">
        <f>Data!P165</f>
        <v>ECOPETROL RUBIALES- Quifa - CAÑO SUR, BATERIA 4: Rb 4, Puerto Gaitán, Meta, Colombia</v>
      </c>
      <c r="I167" s="42" t="str">
        <f>Data!Q165</f>
        <v>Cliente, Vel Max 40 Km/h, Vel Max 10 Km/h</v>
      </c>
      <c r="J167" s="43">
        <f>Data!S165</f>
        <v>46174.549247685187</v>
      </c>
      <c r="K167" s="44">
        <f>Data!S165</f>
        <v>46174.549247685187</v>
      </c>
      <c r="L167" s="45">
        <f>Data!T165</f>
        <v>4.6296296296296298E-4</v>
      </c>
      <c r="M167" s="46">
        <f>Data!U165</f>
        <v>0.14864590764045715</v>
      </c>
      <c r="N167" s="46" t="str">
        <f>CONCATENATE(Data!W165," (",Data!V165,")")</f>
        <v>Exceso Velocidad 10 Km/h (Velocidad máxima: 15 kmh)</v>
      </c>
      <c r="O167" s="42" t="str">
        <f>IF(Data!V165&lt;&gt;"",N167,Data!W165)</f>
        <v>Exceso Velocidad 10 Km/h (Velocidad máxima: 15 kmh)</v>
      </c>
      <c r="P167" s="47" t="str">
        <f>Data!X165</f>
        <v>Válido</v>
      </c>
    </row>
    <row r="168" spans="1:16">
      <c r="A168" s="41" t="str">
        <f>Data!A166</f>
        <v>PKU069</v>
      </c>
      <c r="B168" s="41" t="str">
        <f>Data!D166</f>
        <v>Vehicle, Diesel, Frontera Energy Col 2679</v>
      </c>
      <c r="C168" s="41" t="str">
        <f>Data!F166</f>
        <v>Luis Enrique</v>
      </c>
      <c r="D168" s="41" t="str">
        <f>Data!G166</f>
        <v>Chala</v>
      </c>
      <c r="E168" s="41" t="str">
        <f>Data!H166</f>
        <v>enriquemono_20@hotmail.com</v>
      </c>
      <c r="F168" s="41" t="str">
        <f>Data!K166</f>
        <v>Rubiales</v>
      </c>
      <c r="G168" s="33" t="str">
        <f>Data!M166</f>
        <v>Exceso Velocidad 10 Km/h</v>
      </c>
      <c r="H168" s="41" t="str">
        <f>Data!P166</f>
        <v>ECOPETROL RUBIALES- Quifa - CAÑO SUR, BATERIA 4: Rb 4, Puerto Gaitán, Meta, Colombia</v>
      </c>
      <c r="I168" s="42" t="str">
        <f>Data!Q166</f>
        <v>Cliente, Vel Max 40 Km/h, Vel Max 10 Km/h</v>
      </c>
      <c r="J168" s="43">
        <f>Data!S166</f>
        <v>46174.550021863426</v>
      </c>
      <c r="K168" s="44">
        <f>Data!S166</f>
        <v>46174.550021863426</v>
      </c>
      <c r="L168" s="45">
        <f>Data!T166</f>
        <v>3.0799768518518519E-4</v>
      </c>
      <c r="M168" s="46">
        <f>Data!U166</f>
        <v>9.3345850706100464E-2</v>
      </c>
      <c r="N168" s="46" t="str">
        <f>CONCATENATE(Data!W166," (",Data!V166,")")</f>
        <v>Exceso Velocidad 10 Km/h (Velocidad máxima: 12 kmh)</v>
      </c>
      <c r="O168" s="42" t="str">
        <f>IF(Data!V166&lt;&gt;"",N168,Data!W166)</f>
        <v>Exceso Velocidad 10 Km/h (Velocidad máxima: 12 kmh)</v>
      </c>
      <c r="P168" s="47" t="str">
        <f>Data!X166</f>
        <v>Válido</v>
      </c>
    </row>
    <row r="169" spans="1:16">
      <c r="A169" s="41" t="str">
        <f>Data!A167</f>
        <v>PKU069</v>
      </c>
      <c r="B169" s="41" t="str">
        <f>Data!D167</f>
        <v>Vehicle, Diesel, Frontera Energy Col 2679</v>
      </c>
      <c r="C169" s="41" t="str">
        <f>Data!F167</f>
        <v>Luis Enrique</v>
      </c>
      <c r="D169" s="41" t="str">
        <f>Data!G167</f>
        <v>Chala</v>
      </c>
      <c r="E169" s="41" t="str">
        <f>Data!H167</f>
        <v>enriquemono_20@hotmail.com</v>
      </c>
      <c r="F169" s="41" t="str">
        <f>Data!K167</f>
        <v>Rubiales</v>
      </c>
      <c r="G169" s="33" t="str">
        <f>Data!M167</f>
        <v>Exceso Velocidad 10 Km/h</v>
      </c>
      <c r="H169" s="41" t="str">
        <f>Data!P167</f>
        <v>ECOPETROL RUBIALES- Quifa - CAÑO SUR, BATERIA 4: Rb 4, Puerto Gaitán, Meta, Colombia</v>
      </c>
      <c r="I169" s="42" t="str">
        <f>Data!Q167</f>
        <v>Cliente, Vel Max 40 Km/h, Vel Max 10 Km/h</v>
      </c>
      <c r="J169" s="43">
        <f>Data!S167</f>
        <v>46174.550364583432</v>
      </c>
      <c r="K169" s="44">
        <f>Data!S167</f>
        <v>46174.550364583432</v>
      </c>
      <c r="L169" s="45">
        <f>Data!T167</f>
        <v>2.4305555555555555E-4</v>
      </c>
      <c r="M169" s="46">
        <f>Data!U167</f>
        <v>7.6604530215263367E-2</v>
      </c>
      <c r="N169" s="46" t="str">
        <f>CONCATENATE(Data!W167," (",Data!V167,")")</f>
        <v>Exceso Velocidad 10 Km/h (Velocidad máxima: 16 kmh)</v>
      </c>
      <c r="O169" s="42" t="str">
        <f>IF(Data!V167&lt;&gt;"",N169,Data!W167)</f>
        <v>Exceso Velocidad 10 Km/h (Velocidad máxima: 16 kmh)</v>
      </c>
      <c r="P169" s="47" t="str">
        <f>Data!X167</f>
        <v>Válido</v>
      </c>
    </row>
    <row r="170" spans="1:16">
      <c r="A170" s="41" t="str">
        <f>Data!A168</f>
        <v>PKU069</v>
      </c>
      <c r="B170" s="41" t="str">
        <f>Data!D168</f>
        <v>Vehicle, Diesel, Frontera Energy Col 2679</v>
      </c>
      <c r="C170" s="41" t="str">
        <f>Data!F168</f>
        <v>Luis Enrique</v>
      </c>
      <c r="D170" s="41" t="str">
        <f>Data!G168</f>
        <v>Chala</v>
      </c>
      <c r="E170" s="41" t="str">
        <f>Data!H168</f>
        <v>enriquemono_20@hotmail.com</v>
      </c>
      <c r="F170" s="41" t="str">
        <f>Data!K168</f>
        <v>Rubiales</v>
      </c>
      <c r="G170" s="33" t="str">
        <f>Data!M168</f>
        <v>Exceso Velocidad 10 Km/h</v>
      </c>
      <c r="H170" s="41" t="str">
        <f>Data!P168</f>
        <v>ECOPETROL RUBIALES- Quifa - CAÑO SUR, BATERIA 4: Rb 4 324 126 129 195 14 325 316 143 217 1 26 523 256 28, Puerto Gaitán, Meta, Colombia</v>
      </c>
      <c r="I170" s="42" t="str">
        <f>Data!Q168</f>
        <v>Cliente, Vel Max 40 Km/h, Vel Max 10 Km/h</v>
      </c>
      <c r="J170" s="43">
        <f>Data!S168</f>
        <v>46174.550783726852</v>
      </c>
      <c r="K170" s="44">
        <f>Data!S168</f>
        <v>46174.550783726852</v>
      </c>
      <c r="L170" s="45">
        <f>Data!T168</f>
        <v>2.2321759259259259E-4</v>
      </c>
      <c r="M170" s="46">
        <f>Data!U168</f>
        <v>5.4767552763223648E-2</v>
      </c>
      <c r="N170" s="46" t="str">
        <f>CONCATENATE(Data!W168," (",Data!V168,")")</f>
        <v>Exceso Velocidad 10 Km/h (Velocidad máxima: 14 kmh)</v>
      </c>
      <c r="O170" s="42" t="str">
        <f>IF(Data!V168&lt;&gt;"",N170,Data!W168)</f>
        <v>Exceso Velocidad 10 Km/h (Velocidad máxima: 14 kmh)</v>
      </c>
      <c r="P170" s="47" t="str">
        <f>Data!X168</f>
        <v>Válido</v>
      </c>
    </row>
    <row r="171" spans="1:16">
      <c r="A171" s="41" t="str">
        <f>Data!A169</f>
        <v>PKU069</v>
      </c>
      <c r="B171" s="41" t="str">
        <f>Data!D169</f>
        <v>Vehicle, Diesel, Frontera Energy Col 2679</v>
      </c>
      <c r="C171" s="41" t="str">
        <f>Data!F169</f>
        <v>Luis Enrique</v>
      </c>
      <c r="D171" s="41" t="str">
        <f>Data!G169</f>
        <v>Chala</v>
      </c>
      <c r="E171" s="41" t="str">
        <f>Data!H169</f>
        <v>enriquemono_20@hotmail.com</v>
      </c>
      <c r="F171" s="41" t="str">
        <f>Data!K169</f>
        <v>Rubiales</v>
      </c>
      <c r="G171" s="33" t="str">
        <f>Data!M169</f>
        <v>Exceso Velocidad 10 Km/h</v>
      </c>
      <c r="H171" s="41" t="str">
        <f>Data!P169</f>
        <v>ECOPETROL RUBIALES- Quifa - CAÑO SUR, BATERIA 4: Rb 4 324 126 129 195 14 325 316 143 217 1 26 523 256 28, Puerto Gaitán, Meta, Colombia</v>
      </c>
      <c r="I171" s="42" t="str">
        <f>Data!Q169</f>
        <v>Cliente, Vel Max 40 Km/h, Vel Max 10 Km/h</v>
      </c>
      <c r="J171" s="43">
        <f>Data!S169</f>
        <v>46174.551006944443</v>
      </c>
      <c r="K171" s="44">
        <f>Data!S169</f>
        <v>46174.551006944443</v>
      </c>
      <c r="L171" s="45">
        <f>Data!T169</f>
        <v>1.7129629629629629E-4</v>
      </c>
      <c r="M171" s="46">
        <f>Data!U169</f>
        <v>4.8890005797147751E-2</v>
      </c>
      <c r="N171" s="46" t="str">
        <f>CONCATENATE(Data!W169," (",Data!V169,")")</f>
        <v>Exceso Velocidad 10 Km/h (Velocidad máxima: 12 kmh)</v>
      </c>
      <c r="O171" s="42" t="str">
        <f>IF(Data!V169&lt;&gt;"",N171,Data!W169)</f>
        <v>Exceso Velocidad 10 Km/h (Velocidad máxima: 12 kmh)</v>
      </c>
      <c r="P171" s="47" t="str">
        <f>Data!X169</f>
        <v>Válido</v>
      </c>
    </row>
    <row r="172" spans="1:16">
      <c r="A172" s="41" t="str">
        <f>Data!A170</f>
        <v>PKU069</v>
      </c>
      <c r="B172" s="41" t="str">
        <f>Data!D170</f>
        <v>Vehicle, Diesel, Frontera Energy Col 2679</v>
      </c>
      <c r="C172" s="41" t="str">
        <f>Data!F170</f>
        <v>Luis Enrique</v>
      </c>
      <c r="D172" s="41" t="str">
        <f>Data!G170</f>
        <v>Chala</v>
      </c>
      <c r="E172" s="41" t="str">
        <f>Data!H170</f>
        <v>enriquemono_20@hotmail.com</v>
      </c>
      <c r="F172" s="41" t="str">
        <f>Data!K170</f>
        <v>Rubiales</v>
      </c>
      <c r="G172" s="33" t="str">
        <f>Data!M170</f>
        <v>Exceso Velocidad 10 Km/h</v>
      </c>
      <c r="H172" s="41" t="str">
        <f>Data!P170</f>
        <v>ECOPETROL RUBIALES- Quifa - CAÑO SUR, BATERIA 4: Rb 4 324 126 129 195 14 325 316 143 217 1 26 523 256 28, Meta, 502057, Colombia</v>
      </c>
      <c r="I172" s="42" t="str">
        <f>Data!Q170</f>
        <v>Cliente, Vel Max 40 Km/h, Vel Max 10 Km/h</v>
      </c>
      <c r="J172" s="43">
        <f>Data!S170</f>
        <v>46174.551288576389</v>
      </c>
      <c r="K172" s="44">
        <f>Data!S170</f>
        <v>46174.551288576389</v>
      </c>
      <c r="L172" s="45">
        <f>Data!T170</f>
        <v>6.5590277777777777E-5</v>
      </c>
      <c r="M172" s="46">
        <f>Data!U170</f>
        <v>1.5077591873705387E-2</v>
      </c>
      <c r="N172" s="46" t="str">
        <f>CONCATENATE(Data!W170," (",Data!V170,")")</f>
        <v>Exceso Velocidad 10 Km/h (Velocidad máxima: 11 kmh)</v>
      </c>
      <c r="O172" s="42" t="str">
        <f>IF(Data!V170&lt;&gt;"",N172,Data!W170)</f>
        <v>Exceso Velocidad 10 Km/h (Velocidad máxima: 11 kmh)</v>
      </c>
      <c r="P172" s="47" t="str">
        <f>Data!X170</f>
        <v>Válido</v>
      </c>
    </row>
    <row r="173" spans="1:16">
      <c r="A173" s="41" t="str">
        <f>Data!A171</f>
        <v>PKU069</v>
      </c>
      <c r="B173" s="41" t="str">
        <f>Data!D171</f>
        <v>Vehicle, Diesel, Frontera Energy Col 2679</v>
      </c>
      <c r="C173" s="41" t="str">
        <f>Data!F171</f>
        <v>Luis Enrique</v>
      </c>
      <c r="D173" s="41" t="str">
        <f>Data!G171</f>
        <v>Chala</v>
      </c>
      <c r="E173" s="41" t="str">
        <f>Data!H171</f>
        <v>enriquemono_20@hotmail.com</v>
      </c>
      <c r="F173" s="41" t="str">
        <f>Data!K171</f>
        <v>Rubiales</v>
      </c>
      <c r="G173" s="33" t="str">
        <f>Data!M171</f>
        <v>Exceso Velocidad 10 Km/h</v>
      </c>
      <c r="H173" s="41" t="str">
        <f>Data!P171</f>
        <v>ECOPETROL RUBIALES- Quifa - CAÑO SUR, BATERIA 4: Rb 4 324 126 129 195 14 325 316 143 217 1 26 523 256 28, Puerto Gaitán, Meta, Colombia</v>
      </c>
      <c r="I173" s="42" t="str">
        <f>Data!Q171</f>
        <v>Cliente, Vel Max 40 Km/h, Vel Max 10 Km/h</v>
      </c>
      <c r="J173" s="43">
        <f>Data!S171</f>
        <v>46174.551354166666</v>
      </c>
      <c r="K173" s="44">
        <f>Data!S171</f>
        <v>46174.551354166666</v>
      </c>
      <c r="L173" s="45">
        <f>Data!T171</f>
        <v>1.2546990740740741E-3</v>
      </c>
      <c r="M173" s="46">
        <f>Data!U171</f>
        <v>0.44743594527244568</v>
      </c>
      <c r="N173" s="46" t="str">
        <f>CONCATENATE(Data!W171," (",Data!V171,")")</f>
        <v>Exceso Velocidad 10 Km/h (Velocidad máxima: 18 kmh)</v>
      </c>
      <c r="O173" s="42" t="str">
        <f>IF(Data!V171&lt;&gt;"",N173,Data!W171)</f>
        <v>Exceso Velocidad 10 Km/h (Velocidad máxima: 18 kmh)</v>
      </c>
      <c r="P173" s="47" t="str">
        <f>Data!X171</f>
        <v>Válido</v>
      </c>
    </row>
    <row r="174" spans="1:16">
      <c r="A174" s="41" t="str">
        <f>Data!A172</f>
        <v>PKU069</v>
      </c>
      <c r="B174" s="41" t="str">
        <f>Data!D172</f>
        <v>Vehicle, Diesel, Frontera Energy Col 2679</v>
      </c>
      <c r="C174" s="41" t="str">
        <f>Data!F172</f>
        <v>Luis Enrique</v>
      </c>
      <c r="D174" s="41" t="str">
        <f>Data!G172</f>
        <v>Chala</v>
      </c>
      <c r="E174" s="41" t="str">
        <f>Data!H172</f>
        <v>enriquemono_20@hotmail.com</v>
      </c>
      <c r="F174" s="41" t="str">
        <f>Data!K172</f>
        <v>Rubiales</v>
      </c>
      <c r="G174" s="33" t="str">
        <f>Data!M172</f>
        <v>Exceso Velocidad 40 Km/h</v>
      </c>
      <c r="H174" s="41" t="str">
        <f>Data!P172</f>
        <v>ECOPETROL RUBIALES- Quifa - CAÑO SUR: Rb 280 320 4 324 126 129 195 14 325 316 143 217 1 26 523 256 28, Puerto Gaitán, Meta, Colombia</v>
      </c>
      <c r="I174" s="42" t="str">
        <f>Data!Q172</f>
        <v>Cliente, Vel Max 40 Km/h</v>
      </c>
      <c r="J174" s="43">
        <f>Data!S172</f>
        <v>46174.55626542824</v>
      </c>
      <c r="K174" s="44">
        <f>Data!S172</f>
        <v>46174.55626542824</v>
      </c>
      <c r="L174" s="45">
        <f>Data!T172</f>
        <v>6.7905092592592591E-5</v>
      </c>
      <c r="M174" s="46">
        <f>Data!U172</f>
        <v>6.6365189850330353E-2</v>
      </c>
      <c r="N174" s="46" t="str">
        <f>CONCATENATE(Data!W172," (",Data!V172,")")</f>
        <v>Exceso Velocidad 40 Km/h (Velocidad máxima: 42 kmh)</v>
      </c>
      <c r="O174" s="42" t="str">
        <f>IF(Data!V172&lt;&gt;"",N174,Data!W172)</f>
        <v>Exceso Velocidad 40 Km/h (Velocidad máxima: 42 kmh)</v>
      </c>
      <c r="P174" s="47" t="str">
        <f>Data!X172</f>
        <v>Válido</v>
      </c>
    </row>
    <row r="175" spans="1:16">
      <c r="A175" s="41" t="str">
        <f>Data!A173</f>
        <v>PKU069</v>
      </c>
      <c r="B175" s="41" t="str">
        <f>Data!D173</f>
        <v>Vehicle, Diesel, Frontera Energy Col 2679</v>
      </c>
      <c r="C175" s="41" t="str">
        <f>Data!F173</f>
        <v>Luis Enrique</v>
      </c>
      <c r="D175" s="41" t="str">
        <f>Data!G173</f>
        <v>Chala</v>
      </c>
      <c r="E175" s="41" t="str">
        <f>Data!H173</f>
        <v>enriquemono_20@hotmail.com</v>
      </c>
      <c r="F175" s="41" t="str">
        <f>Data!K173</f>
        <v>Rubiales</v>
      </c>
      <c r="G175" s="33" t="str">
        <f>Data!M173</f>
        <v>Giro brusco</v>
      </c>
      <c r="H175" s="41" t="str">
        <f>Data!P173</f>
        <v>ECOPETROL RUBIALES- Quifa - CAÑO SUR: Puerto Gaitan - Rubiales, Puerto Gaitán, Meta, Colombia</v>
      </c>
      <c r="I175" s="42" t="str">
        <f>Data!Q173</f>
        <v>Cliente, Vel Max 40 Km/h</v>
      </c>
      <c r="J175" s="43">
        <f>Data!S173</f>
        <v>46174.565734097225</v>
      </c>
      <c r="K175" s="44">
        <f>Data!S173</f>
        <v>46174.565734097225</v>
      </c>
      <c r="L175" s="45">
        <f>Data!T173</f>
        <v>1.5046296296296297E-7</v>
      </c>
      <c r="M175" s="46">
        <f>Data!U173</f>
        <v>4.6137945901136845E-5</v>
      </c>
      <c r="N175" s="46" t="str">
        <f>CONCATENATE(Data!W173," (",Data!V173,")")</f>
        <v>Giro brusco (Velocidad máxima: 13 kmh Aceleración de lado a lado: -0.48 g-force, Ignición: 1.00)</v>
      </c>
      <c r="O175" s="42" t="str">
        <f>IF(Data!V173&lt;&gt;"",N175,Data!W173)</f>
        <v>Giro brusco (Velocidad máxima: 13 kmh Aceleración de lado a lado: -0.48 g-force, Ignición: 1.00)</v>
      </c>
      <c r="P175" s="47" t="str">
        <f>Data!X173</f>
        <v>Válido</v>
      </c>
    </row>
    <row r="176" spans="1:16">
      <c r="A176" s="41" t="str">
        <f>Data!A174</f>
        <v>PKU069</v>
      </c>
      <c r="B176" s="41" t="str">
        <f>Data!D174</f>
        <v>Vehicle, Diesel, Frontera Energy Col 2679</v>
      </c>
      <c r="C176" s="41" t="str">
        <f>Data!F174</f>
        <v>Luis Enrique</v>
      </c>
      <c r="D176" s="41" t="str">
        <f>Data!G174</f>
        <v>Chala</v>
      </c>
      <c r="E176" s="41" t="str">
        <f>Data!H174</f>
        <v>enriquemono_20@hotmail.com</v>
      </c>
      <c r="F176" s="41" t="str">
        <f>Data!K174</f>
        <v>Rubiales</v>
      </c>
      <c r="G176" s="33" t="str">
        <f>Data!M174</f>
        <v>Giro brusco</v>
      </c>
      <c r="H176" s="41" t="str">
        <f>Data!P174</f>
        <v>ECOPETROL RUBIALES- Quifa - CAÑO SUR: Qf 12 48 36 79 Dw1, Puerto Gaitán, Meta, Colombia</v>
      </c>
      <c r="I176" s="42" t="str">
        <f>Data!Q174</f>
        <v>Cliente, Vel Max 40 Km/h</v>
      </c>
      <c r="J176" s="43">
        <f>Data!S174</f>
        <v>46174.575912754626</v>
      </c>
      <c r="K176" s="44">
        <f>Data!S174</f>
        <v>46174.575912754626</v>
      </c>
      <c r="L176" s="45">
        <f>Data!T174</f>
        <v>1.5046296296296297E-7</v>
      </c>
      <c r="M176" s="46">
        <f>Data!U174</f>
        <v>8.1992322520818561E-5</v>
      </c>
      <c r="N176" s="46" t="str">
        <f>CONCATENATE(Data!W174," (",Data!V174,")")</f>
        <v>Giro brusco (Velocidad máxima: 27 kmh Aceleración de lado a lado: -0.49 g-force, Ignición: 1.00)</v>
      </c>
      <c r="O176" s="42" t="str">
        <f>IF(Data!V174&lt;&gt;"",N176,Data!W174)</f>
        <v>Giro brusco (Velocidad máxima: 27 kmh Aceleración de lado a lado: -0.49 g-force, Ignición: 1.00)</v>
      </c>
      <c r="P176" s="47" t="str">
        <f>Data!X174</f>
        <v>Válido</v>
      </c>
    </row>
    <row r="177" spans="1:16">
      <c r="A177" s="41" t="str">
        <f>Data!A175</f>
        <v>PKU069</v>
      </c>
      <c r="B177" s="41" t="str">
        <f>Data!D175</f>
        <v>Vehicle, Diesel, Frontera Energy Col 2679</v>
      </c>
      <c r="C177" s="41" t="str">
        <f>Data!F175</f>
        <v>Luis Enrique</v>
      </c>
      <c r="D177" s="41" t="str">
        <f>Data!G175</f>
        <v>Chala</v>
      </c>
      <c r="E177" s="41" t="str">
        <f>Data!H175</f>
        <v>enriquemono_20@hotmail.com</v>
      </c>
      <c r="F177" s="41" t="str">
        <f>Data!K175</f>
        <v>Rubiales</v>
      </c>
      <c r="G177" s="33" t="str">
        <f>Data!M175</f>
        <v>Exceso Velocidad 40 Km/h</v>
      </c>
      <c r="H177" s="41" t="str">
        <f>Data!P175</f>
        <v>ECOPETROL RUBIALES- Quifa - CAÑO SUR: Qf 12 48 36 79 Dw1, Puerto Gaitán, Meta, Colombia</v>
      </c>
      <c r="I177" s="42" t="str">
        <f>Data!Q175</f>
        <v>Cliente, Vel Max 40 Km/h</v>
      </c>
      <c r="J177" s="43">
        <f>Data!S175</f>
        <v>46174.576060185187</v>
      </c>
      <c r="K177" s="44">
        <f>Data!S175</f>
        <v>46174.576060185187</v>
      </c>
      <c r="L177" s="45">
        <f>Data!T175</f>
        <v>1.2962962962962963E-4</v>
      </c>
      <c r="M177" s="46">
        <f>Data!U175</f>
        <v>0.13103482127189636</v>
      </c>
      <c r="N177" s="46" t="str">
        <f>CONCATENATE(Data!W175," (",Data!V175,")")</f>
        <v>Exceso Velocidad 40 Km/h (Velocidad máxima: 44 kmh)</v>
      </c>
      <c r="O177" s="42" t="str">
        <f>IF(Data!V175&lt;&gt;"",N177,Data!W175)</f>
        <v>Exceso Velocidad 40 Km/h (Velocidad máxima: 44 kmh)</v>
      </c>
      <c r="P177" s="47" t="str">
        <f>Data!X175</f>
        <v>Válido</v>
      </c>
    </row>
    <row r="178" spans="1:16">
      <c r="A178" s="41" t="str">
        <f>Data!A176</f>
        <v>PKU069</v>
      </c>
      <c r="B178" s="41" t="str">
        <f>Data!D176</f>
        <v>Vehicle, Diesel, Frontera Energy Col 2679</v>
      </c>
      <c r="C178" s="41" t="str">
        <f>Data!F176</f>
        <v>Luis Enrique</v>
      </c>
      <c r="D178" s="41" t="str">
        <f>Data!G176</f>
        <v>Chala</v>
      </c>
      <c r="E178" s="41" t="str">
        <f>Data!H176</f>
        <v>enriquemono_20@hotmail.com</v>
      </c>
      <c r="F178" s="41" t="str">
        <f>Data!K176</f>
        <v>Rubiales</v>
      </c>
      <c r="G178" s="33" t="str">
        <f>Data!M176</f>
        <v>Exceso Velocidad 40 Km/h</v>
      </c>
      <c r="H178" s="41" t="str">
        <f>Data!P176</f>
        <v>ECOPETROL RUBIALES- Quifa - CAÑO SUR: Qf 48 36 79 Dw1, Puerto Gaitán, Meta, Colombia</v>
      </c>
      <c r="I178" s="42" t="str">
        <f>Data!Q176</f>
        <v>Cliente, Vel Max 40 Km/h</v>
      </c>
      <c r="J178" s="43">
        <f>Data!S176</f>
        <v>46174.577699652778</v>
      </c>
      <c r="K178" s="44">
        <f>Data!S176</f>
        <v>46174.577699652778</v>
      </c>
      <c r="L178" s="45">
        <f>Data!T176</f>
        <v>5.4976851851851851E-5</v>
      </c>
      <c r="M178" s="46">
        <f>Data!U176</f>
        <v>5.212850496172905E-2</v>
      </c>
      <c r="N178" s="46" t="str">
        <f>CONCATENATE(Data!W176," (",Data!V176,")")</f>
        <v>Exceso Velocidad 40 Km/h (Velocidad máxima: 41 kmh)</v>
      </c>
      <c r="O178" s="42" t="str">
        <f>IF(Data!V176&lt;&gt;"",N178,Data!W176)</f>
        <v>Exceso Velocidad 40 Km/h (Velocidad máxima: 41 kmh)</v>
      </c>
      <c r="P178" s="47" t="str">
        <f>Data!X176</f>
        <v>Válido</v>
      </c>
    </row>
    <row r="179" spans="1:16">
      <c r="A179" s="41" t="str">
        <f>Data!A177</f>
        <v>PKU069</v>
      </c>
      <c r="B179" s="41" t="str">
        <f>Data!D177</f>
        <v>Vehicle, Diesel, Frontera Energy Col 2679</v>
      </c>
      <c r="C179" s="41" t="str">
        <f>Data!F177</f>
        <v>Luis Enrique</v>
      </c>
      <c r="D179" s="41" t="str">
        <f>Data!G177</f>
        <v>Chala</v>
      </c>
      <c r="E179" s="41" t="str">
        <f>Data!H177</f>
        <v>enriquemono_20@hotmail.com</v>
      </c>
      <c r="F179" s="41" t="str">
        <f>Data!K177</f>
        <v>Rubiales</v>
      </c>
      <c r="G179" s="33" t="str">
        <f>Data!M177</f>
        <v>Exceso Velocidad 40 Km/h</v>
      </c>
      <c r="H179" s="41" t="str">
        <f>Data!P177</f>
        <v>ECOPETROL RUBIALES- Quifa - CAÑO SUR: Qf 48 36 79 Dw1, Puerto Gaitán, Meta, Colombia</v>
      </c>
      <c r="I179" s="42" t="str">
        <f>Data!Q177</f>
        <v>Cliente, Vel Max 40 Km/h</v>
      </c>
      <c r="J179" s="43">
        <f>Data!S177</f>
        <v>46174.578296296299</v>
      </c>
      <c r="K179" s="44">
        <f>Data!S177</f>
        <v>46174.578296296299</v>
      </c>
      <c r="L179" s="45">
        <f>Data!T177</f>
        <v>7.7546296296296301E-5</v>
      </c>
      <c r="M179" s="46">
        <f>Data!U177</f>
        <v>7.609722763299942E-2</v>
      </c>
      <c r="N179" s="46" t="str">
        <f>CONCATENATE(Data!W177," (",Data!V177,")")</f>
        <v>Exceso Velocidad 40 Km/h (Velocidad máxima: 44 kmh)</v>
      </c>
      <c r="O179" s="42" t="str">
        <f>IF(Data!V177&lt;&gt;"",N179,Data!W177)</f>
        <v>Exceso Velocidad 40 Km/h (Velocidad máxima: 44 kmh)</v>
      </c>
      <c r="P179" s="47" t="str">
        <f>Data!X177</f>
        <v>Válido</v>
      </c>
    </row>
    <row r="180" spans="1:16">
      <c r="A180" s="41" t="str">
        <f>Data!A178</f>
        <v>PKU069</v>
      </c>
      <c r="B180" s="41" t="str">
        <f>Data!D178</f>
        <v>Vehicle, Diesel, Frontera Energy Col 2679</v>
      </c>
      <c r="C180" s="41" t="str">
        <f>Data!F178</f>
        <v>Luis Enrique</v>
      </c>
      <c r="D180" s="41" t="str">
        <f>Data!G178</f>
        <v>Chala</v>
      </c>
      <c r="E180" s="41" t="str">
        <f>Data!H178</f>
        <v>enriquemono_20@hotmail.com</v>
      </c>
      <c r="F180" s="41" t="str">
        <f>Data!K178</f>
        <v>Rubiales</v>
      </c>
      <c r="G180" s="33" t="str">
        <f>Data!M178</f>
        <v>Exceso Velocidad 40 Km/h</v>
      </c>
      <c r="H180" s="41" t="str">
        <f>Data!P178</f>
        <v>ECOPETROL RUBIALES- Quifa - CAÑO SUR: Qf 48 36 79 Dw1, Puerto Gaitán, Meta, Colombia</v>
      </c>
      <c r="I180" s="42" t="str">
        <f>Data!Q178</f>
        <v>Cliente, Vel Max 40 Km/h</v>
      </c>
      <c r="J180" s="43">
        <f>Data!S178</f>
        <v>46174.578582176029</v>
      </c>
      <c r="K180" s="44">
        <f>Data!S178</f>
        <v>46174.578582176029</v>
      </c>
      <c r="L180" s="45">
        <f>Data!T178</f>
        <v>8.9699074074074073E-5</v>
      </c>
      <c r="M180" s="46">
        <f>Data!U178</f>
        <v>8.4801800549030304E-2</v>
      </c>
      <c r="N180" s="46" t="str">
        <f>CONCATENATE(Data!W178," (",Data!V178,")")</f>
        <v>Exceso Velocidad 40 Km/h (Velocidad máxima: 41 kmh)</v>
      </c>
      <c r="O180" s="42" t="str">
        <f>IF(Data!V178&lt;&gt;"",N180,Data!W178)</f>
        <v>Exceso Velocidad 40 Km/h (Velocidad máxima: 41 kmh)</v>
      </c>
      <c r="P180" s="47" t="str">
        <f>Data!X178</f>
        <v>Válido</v>
      </c>
    </row>
    <row r="181" spans="1:16">
      <c r="A181" s="41" t="str">
        <f>Data!A179</f>
        <v>PKU069</v>
      </c>
      <c r="B181" s="41" t="str">
        <f>Data!D179</f>
        <v>Vehicle, Diesel, Frontera Energy Col 2679</v>
      </c>
      <c r="C181" s="41" t="str">
        <f>Data!F179</f>
        <v>Luis Enrique</v>
      </c>
      <c r="D181" s="41" t="str">
        <f>Data!G179</f>
        <v>Chala</v>
      </c>
      <c r="E181" s="41" t="str">
        <f>Data!H179</f>
        <v>enriquemono_20@hotmail.com</v>
      </c>
      <c r="F181" s="41" t="str">
        <f>Data!K179</f>
        <v>Rubiales</v>
      </c>
      <c r="G181" s="33" t="str">
        <f>Data!M179</f>
        <v>Exceso Velocidad 40 Km/h</v>
      </c>
      <c r="H181" s="41" t="str">
        <f>Data!P179</f>
        <v>ECOPETROL RUBIALES- Quifa - CAÑO SUR: Qf 48 36 79 Dw1, Puerto Gaitán, Meta, Colombia</v>
      </c>
      <c r="I181" s="42" t="str">
        <f>Data!Q179</f>
        <v>Cliente, Vel Max 40 Km/h</v>
      </c>
      <c r="J181" s="43">
        <f>Data!S179</f>
        <v>46174.588128854164</v>
      </c>
      <c r="K181" s="44">
        <f>Data!S179</f>
        <v>46174.588128854164</v>
      </c>
      <c r="L181" s="45">
        <f>Data!T179</f>
        <v>5.2083433333333337E-5</v>
      </c>
      <c r="M181" s="46">
        <f>Data!U179</f>
        <v>4.8191048204898834E-2</v>
      </c>
      <c r="N181" s="46" t="str">
        <f>CONCATENATE(Data!W179," (",Data!V179,")")</f>
        <v>Exceso Velocidad 40 Km/h (Velocidad máxima: 41 kmh)</v>
      </c>
      <c r="O181" s="42" t="str">
        <f>IF(Data!V179&lt;&gt;"",N181,Data!W179)</f>
        <v>Exceso Velocidad 40 Km/h (Velocidad máxima: 41 kmh)</v>
      </c>
      <c r="P181" s="47" t="str">
        <f>Data!X179</f>
        <v>Válido</v>
      </c>
    </row>
    <row r="182" spans="1:16">
      <c r="A182" s="41" t="str">
        <f>Data!A180</f>
        <v>PKU069</v>
      </c>
      <c r="B182" s="41" t="str">
        <f>Data!D180</f>
        <v>Vehicle, Diesel, Frontera Energy Col 2679</v>
      </c>
      <c r="C182" s="41" t="str">
        <f>Data!F180</f>
        <v>Luis Enrique</v>
      </c>
      <c r="D182" s="41" t="str">
        <f>Data!G180</f>
        <v>Chala</v>
      </c>
      <c r="E182" s="41" t="str">
        <f>Data!H180</f>
        <v>enriquemono_20@hotmail.com</v>
      </c>
      <c r="F182" s="41" t="str">
        <f>Data!K180</f>
        <v>Rubiales</v>
      </c>
      <c r="G182" s="33" t="str">
        <f>Data!M180</f>
        <v>Exceso Velocidad 40 Km/h</v>
      </c>
      <c r="H182" s="41" t="str">
        <f>Data!P180</f>
        <v>ECOPETROL RUBIALES- Quifa - CAÑO SUR: Qf 12 48 36 79 Dw1, Puerto Gaitán, Meta, Colombia</v>
      </c>
      <c r="I182" s="42" t="str">
        <f>Data!Q180</f>
        <v>Cliente, Vel Max 40 Km/h</v>
      </c>
      <c r="J182" s="43">
        <f>Data!S180</f>
        <v>46174.590460069441</v>
      </c>
      <c r="K182" s="44">
        <f>Data!S180</f>
        <v>46174.590460069441</v>
      </c>
      <c r="L182" s="45">
        <f>Data!T180</f>
        <v>6.9444444444444444E-5</v>
      </c>
      <c r="M182" s="46">
        <f>Data!U180</f>
        <v>6.3590884208679199E-2</v>
      </c>
      <c r="N182" s="46" t="str">
        <f>CONCATENATE(Data!W180," (",Data!V180,")")</f>
        <v>Exceso Velocidad 40 Km/h (Velocidad máxima: 41 kmh)</v>
      </c>
      <c r="O182" s="42" t="str">
        <f>IF(Data!V180&lt;&gt;"",N182,Data!W180)</f>
        <v>Exceso Velocidad 40 Km/h (Velocidad máxima: 41 kmh)</v>
      </c>
      <c r="P182" s="47" t="str">
        <f>Data!X180</f>
        <v>Válido</v>
      </c>
    </row>
    <row r="183" spans="1:16">
      <c r="A183" s="41" t="str">
        <f>Data!A181</f>
        <v>PKU069</v>
      </c>
      <c r="B183" s="41" t="str">
        <f>Data!D181</f>
        <v>Vehicle, Diesel, Frontera Energy Col 2679</v>
      </c>
      <c r="C183" s="41" t="str">
        <f>Data!F181</f>
        <v>Luis Enrique</v>
      </c>
      <c r="D183" s="41" t="str">
        <f>Data!G181</f>
        <v>Chala</v>
      </c>
      <c r="E183" s="41" t="str">
        <f>Data!H181</f>
        <v>enriquemono_20@hotmail.com</v>
      </c>
      <c r="F183" s="41" t="str">
        <f>Data!K181</f>
        <v>Rubiales</v>
      </c>
      <c r="G183" s="33" t="str">
        <f>Data!M181</f>
        <v>Exceso Velocidad 30 Km/h</v>
      </c>
      <c r="H183" s="41" t="str">
        <f>Data!P181</f>
        <v>ECOPETROL RUBIALES- Quifa - CAÑO SUR, Puerto Triunfo - Estacion Policia: Puerto Gaitan - Rubiales, Puerto Gaitán, Meta, Colombia</v>
      </c>
      <c r="I183" s="42" t="str">
        <f>Data!Q181</f>
        <v>Cliente, Vel Max 40 Km/h, Vel Max 30 Km/h</v>
      </c>
      <c r="J183" s="43">
        <f>Data!S181</f>
        <v>46174.592225219909</v>
      </c>
      <c r="K183" s="44">
        <f>Data!S181</f>
        <v>46174.592225219909</v>
      </c>
      <c r="L183" s="45">
        <f>Data!T181</f>
        <v>4.7928240740740743E-5</v>
      </c>
      <c r="M183" s="46">
        <f>Data!U181</f>
        <v>3.867219015955925E-2</v>
      </c>
      <c r="N183" s="46" t="str">
        <f>CONCATENATE(Data!W181," (",Data!V181,")")</f>
        <v>Exceso Velocidad 30 Km/h (Velocidad máxima: 37 kmh)</v>
      </c>
      <c r="O183" s="42" t="str">
        <f>IF(Data!V181&lt;&gt;"",N183,Data!W181)</f>
        <v>Exceso Velocidad 30 Km/h (Velocidad máxima: 37 kmh)</v>
      </c>
      <c r="P183" s="47" t="str">
        <f>Data!X181</f>
        <v>Válido</v>
      </c>
    </row>
    <row r="184" spans="1:16">
      <c r="A184" s="41" t="str">
        <f>Data!A182</f>
        <v>PKU069</v>
      </c>
      <c r="B184" s="41" t="str">
        <f>Data!D182</f>
        <v>Vehicle, Diesel, Frontera Energy Col 2679</v>
      </c>
      <c r="C184" s="41" t="str">
        <f>Data!F182</f>
        <v>Luis Enrique</v>
      </c>
      <c r="D184" s="41" t="str">
        <f>Data!G182</f>
        <v>Chala</v>
      </c>
      <c r="E184" s="41" t="str">
        <f>Data!H182</f>
        <v>enriquemono_20@hotmail.com</v>
      </c>
      <c r="F184" s="41" t="str">
        <f>Data!K182</f>
        <v>Rubiales</v>
      </c>
      <c r="G184" s="33" t="str">
        <f>Data!M182</f>
        <v>Exceso Velocidad 30 Km/h</v>
      </c>
      <c r="H184" s="41" t="str">
        <f>Data!P182</f>
        <v>ECOPETROL RUBIALES- Quifa - CAÑO SUR, Puerto Triunfo - Estacion Policia: Puerto Gaitan - Rubiales, Puerto Gaitán, Meta, Colombia</v>
      </c>
      <c r="I184" s="42" t="str">
        <f>Data!Q182</f>
        <v>Cliente, Vel Max 40 Km/h, Vel Max 30 Km/h</v>
      </c>
      <c r="J184" s="43">
        <f>Data!S182</f>
        <v>46174.592365324075</v>
      </c>
      <c r="K184" s="44">
        <f>Data!S182</f>
        <v>46174.592365324075</v>
      </c>
      <c r="L184" s="45">
        <f>Data!T182</f>
        <v>3.9768518518518516E-5</v>
      </c>
      <c r="M184" s="46">
        <f>Data!U182</f>
        <v>2.8652079403400421E-2</v>
      </c>
      <c r="N184" s="46" t="str">
        <f>CONCATENATE(Data!W182," (",Data!V182,")")</f>
        <v>Exceso Velocidad 30 Km/h (Velocidad máxima: 33 kmh)</v>
      </c>
      <c r="O184" s="42" t="str">
        <f>IF(Data!V182&lt;&gt;"",N184,Data!W182)</f>
        <v>Exceso Velocidad 30 Km/h (Velocidad máxima: 33 kmh)</v>
      </c>
      <c r="P184" s="47" t="str">
        <f>Data!X182</f>
        <v>Válido</v>
      </c>
    </row>
    <row r="185" spans="1:16">
      <c r="A185" s="41" t="str">
        <f>Data!A183</f>
        <v>PKU069</v>
      </c>
      <c r="B185" s="41" t="str">
        <f>Data!D183</f>
        <v>Vehicle, Diesel, Frontera Energy Col 2679</v>
      </c>
      <c r="C185" s="41" t="str">
        <f>Data!F183</f>
        <v>Luis Enrique</v>
      </c>
      <c r="D185" s="41" t="str">
        <f>Data!G183</f>
        <v>Chala</v>
      </c>
      <c r="E185" s="41" t="str">
        <f>Data!H183</f>
        <v>enriquemono_20@hotmail.com</v>
      </c>
      <c r="F185" s="41" t="str">
        <f>Data!K183</f>
        <v>Rubiales</v>
      </c>
      <c r="G185" s="33" t="str">
        <f>Data!M183</f>
        <v>Exceso Velocidad 10 Km/h</v>
      </c>
      <c r="H185" s="41" t="str">
        <f>Data!P183</f>
        <v>CAMPAMENTO QUIFA, ECOPETROL RUBIALES- Quifa - CAÑO SUR, Puerto Triunfo - Estacion Policia: Puerto Gaitan - Rubiales, Puerto Gaitán, Meta, Colombia</v>
      </c>
      <c r="I185" s="42" t="str">
        <f>Data!Q183</f>
        <v>Vel Max 10 Km/h, Cliente, Vel Max 40 Km/h, Vel Max 30 Km/h</v>
      </c>
      <c r="J185" s="43">
        <f>Data!S183</f>
        <v>46174.593053344906</v>
      </c>
      <c r="K185" s="44">
        <f>Data!S183</f>
        <v>46174.593053344906</v>
      </c>
      <c r="L185" s="45">
        <f>Data!T183</f>
        <v>2.3983796296296296E-4</v>
      </c>
      <c r="M185" s="46">
        <f>Data!U183</f>
        <v>9.8465338349342346E-2</v>
      </c>
      <c r="N185" s="46" t="str">
        <f>CONCATENATE(Data!W183," (",Data!V183,")")</f>
        <v>Exceso Velocidad 10 Km/h (Velocidad máxima: 23 kmh)</v>
      </c>
      <c r="O185" s="42" t="str">
        <f>IF(Data!V183&lt;&gt;"",N185,Data!W183)</f>
        <v>Exceso Velocidad 10 Km/h (Velocidad máxima: 23 kmh)</v>
      </c>
      <c r="P185" s="47" t="str">
        <f>Data!X183</f>
        <v>Válido</v>
      </c>
    </row>
    <row r="186" spans="1:16">
      <c r="A186" s="41" t="str">
        <f>Data!A184</f>
        <v>PKU069</v>
      </c>
      <c r="B186" s="41" t="str">
        <f>Data!D184</f>
        <v>Vehicle, Diesel, Frontera Energy Col 2679</v>
      </c>
      <c r="C186" s="41" t="str">
        <f>Data!F184</f>
        <v>Luis Enrique</v>
      </c>
      <c r="D186" s="41" t="str">
        <f>Data!G184</f>
        <v>Chala</v>
      </c>
      <c r="E186" s="41" t="str">
        <f>Data!H184</f>
        <v>enriquemono_20@hotmail.com</v>
      </c>
      <c r="F186" s="41" t="str">
        <f>Data!K184</f>
        <v>Rubiales</v>
      </c>
      <c r="G186" s="33" t="str">
        <f>Data!M184</f>
        <v>Exceso Velocidad 30 Km/h</v>
      </c>
      <c r="H186" s="41" t="str">
        <f>Data!P184</f>
        <v>ECOPETROL RUBIALES- Quifa - CAÑO SUR, Puerto Triunfo - Estacion Policia: Puerto Gaitan - Rubiales, Puerto Gaitán, Meta, Colombia</v>
      </c>
      <c r="I186" s="42" t="str">
        <f>Data!Q184</f>
        <v>Cliente, Vel Max 40 Km/h, Vel Max 30 Km/h</v>
      </c>
      <c r="J186" s="43">
        <f>Data!S184</f>
        <v>46174.593692129631</v>
      </c>
      <c r="K186" s="44">
        <f>Data!S184</f>
        <v>46174.593692129631</v>
      </c>
      <c r="L186" s="45">
        <f>Data!T184</f>
        <v>3.2118055555555556E-4</v>
      </c>
      <c r="M186" s="46">
        <f>Data!U184</f>
        <v>0.24966175854206085</v>
      </c>
      <c r="N186" s="46" t="str">
        <f>CONCATENATE(Data!W184," (",Data!V184,")")</f>
        <v>Exceso Velocidad 30 Km/h (Velocidad máxima: 33 kmh)</v>
      </c>
      <c r="O186" s="42" t="str">
        <f>IF(Data!V184&lt;&gt;"",N186,Data!W184)</f>
        <v>Exceso Velocidad 30 Km/h (Velocidad máxima: 33 kmh)</v>
      </c>
      <c r="P186" s="47" t="str">
        <f>Data!X184</f>
        <v>Válido</v>
      </c>
    </row>
    <row r="187" spans="1:16">
      <c r="A187" s="41" t="str">
        <f>Data!A185</f>
        <v>PKU069</v>
      </c>
      <c r="B187" s="41" t="str">
        <f>Data!D185</f>
        <v>Vehicle, Diesel, Frontera Energy Col 2679</v>
      </c>
      <c r="C187" s="41" t="str">
        <f>Data!F185</f>
        <v>Luis Enrique</v>
      </c>
      <c r="D187" s="41" t="str">
        <f>Data!G185</f>
        <v>Chala</v>
      </c>
      <c r="E187" s="41" t="str">
        <f>Data!H185</f>
        <v>enriquemono_20@hotmail.com</v>
      </c>
      <c r="F187" s="41" t="str">
        <f>Data!K185</f>
        <v>Rubiales</v>
      </c>
      <c r="G187" s="33" t="str">
        <f>Data!M185</f>
        <v>Giro brusco</v>
      </c>
      <c r="H187" s="41" t="str">
        <f>Data!P185</f>
        <v>ECOPETROL RUBIALES- Quifa - CAÑO SUR, Puerto Triunfo - Estacion Policia: Puerto Gaitan - Rubiales, Puerto Gaitán, Meta, Colombia</v>
      </c>
      <c r="I187" s="42" t="str">
        <f>Data!Q185</f>
        <v>Cliente, Vel Max 40 Km/h, Vel Max 30 Km/h</v>
      </c>
      <c r="J187" s="43">
        <f>Data!S185</f>
        <v>46174.594131574071</v>
      </c>
      <c r="K187" s="44">
        <f>Data!S185</f>
        <v>46174.594131574071</v>
      </c>
      <c r="L187" s="45">
        <f>Data!T185</f>
        <v>2.3148148148148148E-8</v>
      </c>
      <c r="M187" s="46">
        <f>Data!U185</f>
        <v>8.2457181633799337E-6</v>
      </c>
      <c r="N187" s="46" t="str">
        <f>CONCATENATE(Data!W185," (",Data!V185,")")</f>
        <v>Giro brusco (Velocidad máxima: 13 kmh Aceleración de lado a lado: 0.47 g-force, Ignición: 1.00)</v>
      </c>
      <c r="O187" s="42" t="str">
        <f>IF(Data!V185&lt;&gt;"",N187,Data!W185)</f>
        <v>Giro brusco (Velocidad máxima: 13 kmh Aceleración de lado a lado: 0.47 g-force, Ignición: 1.00)</v>
      </c>
      <c r="P187" s="47" t="str">
        <f>Data!X185</f>
        <v>Válido</v>
      </c>
    </row>
    <row r="188" spans="1:16">
      <c r="A188" s="41" t="str">
        <f>Data!A186</f>
        <v>PKU069</v>
      </c>
      <c r="B188" s="41" t="str">
        <f>Data!D186</f>
        <v>Vehicle, Diesel, Frontera Energy Col 2679</v>
      </c>
      <c r="C188" s="41" t="str">
        <f>Data!F186</f>
        <v>Luis Enrique</v>
      </c>
      <c r="D188" s="41" t="str">
        <f>Data!G186</f>
        <v>Chala</v>
      </c>
      <c r="E188" s="41" t="str">
        <f>Data!H186</f>
        <v>enriquemono_20@hotmail.com</v>
      </c>
      <c r="F188" s="41" t="str">
        <f>Data!K186</f>
        <v>Rubiales</v>
      </c>
      <c r="G188" s="33" t="str">
        <f>Data!M186</f>
        <v>Exceso Velocidad 10 Km/h</v>
      </c>
      <c r="H188" s="41" t="str">
        <f>Data!P186</f>
        <v>ECOPETROL RUBIALES- Quifa - CAÑO SUR, Puerto Triunfo - Estacion Policia, PUESTRO CONTROL QUIFA: Puerto Gaitan - Rubiales, Puerto Gaitán, Meta, Colombia</v>
      </c>
      <c r="I188" s="42" t="str">
        <f>Data!Q186</f>
        <v>Cliente, Vel Max 40 Km/h, Vel Max 30 Km/h, Vel Max 10 Km/h</v>
      </c>
      <c r="J188" s="43">
        <f>Data!S186</f>
        <v>46174.595221863427</v>
      </c>
      <c r="K188" s="44">
        <f>Data!S186</f>
        <v>46174.595221863427</v>
      </c>
      <c r="L188" s="45">
        <f>Data!T186</f>
        <v>2.6899305555555558E-4</v>
      </c>
      <c r="M188" s="46">
        <f>Data!U186</f>
        <v>0.18344235420227051</v>
      </c>
      <c r="N188" s="46" t="str">
        <f>CONCATENATE(Data!W186," (",Data!V186,")")</f>
        <v>Exceso Velocidad 10 Km/h (Velocidad máxima: 29 kmh)</v>
      </c>
      <c r="O188" s="42" t="str">
        <f>IF(Data!V186&lt;&gt;"",N188,Data!W186)</f>
        <v>Exceso Velocidad 10 Km/h (Velocidad máxima: 29 kmh)</v>
      </c>
      <c r="P188" s="47" t="str">
        <f>Data!X186</f>
        <v>Válido</v>
      </c>
    </row>
    <row r="189" spans="1:16">
      <c r="A189" s="41" t="str">
        <f>Data!A187</f>
        <v>PKU069</v>
      </c>
      <c r="B189" s="41" t="str">
        <f>Data!D187</f>
        <v>Vehicle, Diesel, Frontera Energy Col 2679</v>
      </c>
      <c r="C189" s="41" t="str">
        <f>Data!F187</f>
        <v>Luis Enrique</v>
      </c>
      <c r="D189" s="41" t="str">
        <f>Data!G187</f>
        <v>Chala</v>
      </c>
      <c r="E189" s="41" t="str">
        <f>Data!H187</f>
        <v>enriquemono_20@hotmail.com</v>
      </c>
      <c r="F189" s="41" t="str">
        <f>Data!K187</f>
        <v>Rubiales</v>
      </c>
      <c r="G189" s="33" t="str">
        <f>Data!M187</f>
        <v>Exceso Velocidad 30 Km/h</v>
      </c>
      <c r="H189" s="41" t="str">
        <f>Data!P187</f>
        <v>ECOPETROL RUBIALES- Quifa - CAÑO SUR, Puerto Triunfo - Estacion Policia: Puerto Gaitan - Rubiales, Puerto Gaitán, Meta, Colombia</v>
      </c>
      <c r="I189" s="42" t="str">
        <f>Data!Q187</f>
        <v>Cliente, Vel Max 40 Km/h, Vel Max 30 Km/h</v>
      </c>
      <c r="J189" s="43">
        <f>Data!S187</f>
        <v>46174.595538194546</v>
      </c>
      <c r="K189" s="44">
        <f>Data!S187</f>
        <v>46174.595538194546</v>
      </c>
      <c r="L189" s="45">
        <f>Data!T187</f>
        <v>4.2034722222222224E-4</v>
      </c>
      <c r="M189" s="46">
        <f>Data!U187</f>
        <v>0.32632294297218323</v>
      </c>
      <c r="N189" s="46" t="str">
        <f>CONCATENATE(Data!W187," (",Data!V187,")")</f>
        <v>Exceso Velocidad 30 Km/h (Velocidad máxima: 33 kmh)</v>
      </c>
      <c r="O189" s="42" t="str">
        <f>IF(Data!V187&lt;&gt;"",N189,Data!W187)</f>
        <v>Exceso Velocidad 30 Km/h (Velocidad máxima: 33 kmh)</v>
      </c>
      <c r="P189" s="47" t="str">
        <f>Data!X187</f>
        <v>Válido</v>
      </c>
    </row>
    <row r="190" spans="1:16">
      <c r="A190" s="41" t="str">
        <f>Data!A188</f>
        <v>PKU069</v>
      </c>
      <c r="B190" s="41" t="str">
        <f>Data!D188</f>
        <v>Vehicle, Diesel, Frontera Energy Col 2679</v>
      </c>
      <c r="C190" s="41" t="str">
        <f>Data!F188</f>
        <v>Luis Enrique</v>
      </c>
      <c r="D190" s="41" t="str">
        <f>Data!G188</f>
        <v>Chala</v>
      </c>
      <c r="E190" s="41" t="str">
        <f>Data!H188</f>
        <v>enriquemono_20@hotmail.com</v>
      </c>
      <c r="F190" s="41" t="str">
        <f>Data!K188</f>
        <v>Rubiales</v>
      </c>
      <c r="G190" s="33" t="str">
        <f>Data!M188</f>
        <v>Exceso Velocidad 30 Km/h</v>
      </c>
      <c r="H190" s="41" t="str">
        <f>Data!P188</f>
        <v>ECOPETROL RUBIALES- Quifa - CAÑO SUR, Puerto Triunfo - Estacion Policia: Puerto Gaitan - Rubiales, Puerto Gaitán, Meta, Colombia</v>
      </c>
      <c r="I190" s="42" t="str">
        <f>Data!Q188</f>
        <v>Cliente, Vel Max 40 Km/h, Vel Max 30 Km/h</v>
      </c>
      <c r="J190" s="43">
        <f>Data!S188</f>
        <v>46174.596055555558</v>
      </c>
      <c r="K190" s="44">
        <f>Data!S188</f>
        <v>46174.596055555558</v>
      </c>
      <c r="L190" s="45">
        <f>Data!T188</f>
        <v>3.2407407407407408E-5</v>
      </c>
      <c r="M190" s="46">
        <f>Data!U188</f>
        <v>2.2902080789208412E-2</v>
      </c>
      <c r="N190" s="46" t="str">
        <f>CONCATENATE(Data!W188," (",Data!V188,")")</f>
        <v>Exceso Velocidad 30 Km/h (Velocidad máxima: 31 kmh)</v>
      </c>
      <c r="O190" s="42" t="str">
        <f>IF(Data!V188&lt;&gt;"",N190,Data!W188)</f>
        <v>Exceso Velocidad 30 Km/h (Velocidad máxima: 31 kmh)</v>
      </c>
      <c r="P190" s="47" t="str">
        <f>Data!X188</f>
        <v>Válido</v>
      </c>
    </row>
    <row r="191" spans="1:16">
      <c r="A191" s="41" t="str">
        <f>Data!A189</f>
        <v>PKU069</v>
      </c>
      <c r="B191" s="41" t="str">
        <f>Data!D189</f>
        <v>Vehicle, Diesel, Frontera Energy Col 2679</v>
      </c>
      <c r="C191" s="41" t="str">
        <f>Data!F189</f>
        <v>Luis Enrique</v>
      </c>
      <c r="D191" s="41" t="str">
        <f>Data!G189</f>
        <v>Chala</v>
      </c>
      <c r="E191" s="41" t="str">
        <f>Data!H189</f>
        <v>enriquemono_20@hotmail.com</v>
      </c>
      <c r="F191" s="41" t="str">
        <f>Data!K189</f>
        <v>Rubiales</v>
      </c>
      <c r="G191" s="33" t="str">
        <f>Data!M189</f>
        <v>Exceso Velocidad 30 Km/h</v>
      </c>
      <c r="H191" s="41" t="str">
        <f>Data!P189</f>
        <v>ECOPETROL RUBIALES- Quifa - CAÑO SUR, Puerto Triunfo - Estacion Policia: Puerto Gaitan - Rubiales, Puerto Gaitán, Meta, Colombia</v>
      </c>
      <c r="I191" s="42" t="str">
        <f>Data!Q189</f>
        <v>Cliente, Vel Max 40 Km/h, Vel Max 30 Km/h</v>
      </c>
      <c r="J191" s="43">
        <f>Data!S189</f>
        <v>46174.596377314818</v>
      </c>
      <c r="K191" s="44">
        <f>Data!S189</f>
        <v>46174.596377314818</v>
      </c>
      <c r="L191" s="45">
        <f>Data!T189</f>
        <v>1.1188657407407408E-4</v>
      </c>
      <c r="M191" s="46">
        <f>Data!U189</f>
        <v>8.3806157112121582E-2</v>
      </c>
      <c r="N191" s="46" t="str">
        <f>CONCATENATE(Data!W189," (",Data!V189,")")</f>
        <v>Exceso Velocidad 30 Km/h (Velocidad máxima: 33 kmh)</v>
      </c>
      <c r="O191" s="42" t="str">
        <f>IF(Data!V189&lt;&gt;"",N191,Data!W189)</f>
        <v>Exceso Velocidad 30 Km/h (Velocidad máxima: 33 kmh)</v>
      </c>
      <c r="P191" s="47" t="str">
        <f>Data!X189</f>
        <v>Válido</v>
      </c>
    </row>
    <row r="192" spans="1:16">
      <c r="A192" s="41" t="str">
        <f>Data!A190</f>
        <v>PKU069</v>
      </c>
      <c r="B192" s="41" t="str">
        <f>Data!D190</f>
        <v>Vehicle, Diesel, Frontera Energy Col 2679</v>
      </c>
      <c r="C192" s="41" t="str">
        <f>Data!F190</f>
        <v>Luis Enrique</v>
      </c>
      <c r="D192" s="41" t="str">
        <f>Data!G190</f>
        <v>Chala</v>
      </c>
      <c r="E192" s="41" t="str">
        <f>Data!H190</f>
        <v>enriquemono_20@hotmail.com</v>
      </c>
      <c r="F192" s="41" t="str">
        <f>Data!K190</f>
        <v>Rubiales</v>
      </c>
      <c r="G192" s="33" t="str">
        <f>Data!M190</f>
        <v>Exceso Velocidad 30 Km/h</v>
      </c>
      <c r="H192" s="41" t="str">
        <f>Data!P190</f>
        <v>ECOPETROL RUBIALES- Quifa - CAÑO SUR, Puerto Triunfo - Estacion Policia: Puerto Gaitan - Rubiales, Puerto Gaitán, Meta, Colombia</v>
      </c>
      <c r="I192" s="42" t="str">
        <f>Data!Q190</f>
        <v>Cliente, Vel Max 40 Km/h, Vel Max 30 Km/h</v>
      </c>
      <c r="J192" s="43">
        <f>Data!S190</f>
        <v>46174.59684027778</v>
      </c>
      <c r="K192" s="44">
        <f>Data!S190</f>
        <v>46174.59684027778</v>
      </c>
      <c r="L192" s="45">
        <f>Data!T190</f>
        <v>1.6840277777777778E-5</v>
      </c>
      <c r="M192" s="46">
        <f>Data!U190</f>
        <v>1.1196726933121681E-2</v>
      </c>
      <c r="N192" s="46" t="str">
        <f>CONCATENATE(Data!W190," (",Data!V190,")")</f>
        <v>Exceso Velocidad 30 Km/h (Velocidad máxima: 31 kmh)</v>
      </c>
      <c r="O192" s="42" t="str">
        <f>IF(Data!V190&lt;&gt;"",N192,Data!W190)</f>
        <v>Exceso Velocidad 30 Km/h (Velocidad máxima: 31 kmh)</v>
      </c>
      <c r="P192" s="47" t="str">
        <f>Data!X190</f>
        <v>Válido</v>
      </c>
    </row>
    <row r="193" spans="1:16">
      <c r="A193" s="41" t="str">
        <f>Data!A191</f>
        <v>PKU069</v>
      </c>
      <c r="B193" s="41" t="str">
        <f>Data!D191</f>
        <v>Vehicle, Diesel, Frontera Energy Col 2679</v>
      </c>
      <c r="C193" s="41" t="str">
        <f>Data!F191</f>
        <v>Luis Enrique</v>
      </c>
      <c r="D193" s="41" t="str">
        <f>Data!G191</f>
        <v>Chala</v>
      </c>
      <c r="E193" s="41" t="str">
        <f>Data!H191</f>
        <v>enriquemono_20@hotmail.com</v>
      </c>
      <c r="F193" s="41" t="str">
        <f>Data!K191</f>
        <v>Rubiales</v>
      </c>
      <c r="G193" s="33" t="str">
        <f>Data!M191</f>
        <v>Exceso Velocidad 30 Km/h</v>
      </c>
      <c r="H193" s="41" t="str">
        <f>Data!P191</f>
        <v>ECOPETROL RUBIALES- Quifa - CAÑO SUR, Puerto Triunfo - Estacion Policia: Puerto Gaitan - Rubiales, Puerto Gaitán, Meta, Colombia</v>
      </c>
      <c r="I193" s="42" t="str">
        <f>Data!Q191</f>
        <v>Cliente, Vel Max 40 Km/h, Vel Max 30 Km/h</v>
      </c>
      <c r="J193" s="43">
        <f>Data!S191</f>
        <v>46174.596941284719</v>
      </c>
      <c r="K193" s="44">
        <f>Data!S191</f>
        <v>46174.596941284719</v>
      </c>
      <c r="L193" s="45">
        <f>Data!T191</f>
        <v>2.6357638888888888E-4</v>
      </c>
      <c r="M193" s="46">
        <f>Data!U191</f>
        <v>0.19885639846324921</v>
      </c>
      <c r="N193" s="46" t="str">
        <f>CONCATENATE(Data!W191," (",Data!V191,")")</f>
        <v>Exceso Velocidad 30 Km/h (Velocidad máxima: 33 kmh)</v>
      </c>
      <c r="O193" s="42" t="str">
        <f>IF(Data!V191&lt;&gt;"",N193,Data!W191)</f>
        <v>Exceso Velocidad 30 Km/h (Velocidad máxima: 33 kmh)</v>
      </c>
      <c r="P193" s="47" t="str">
        <f>Data!X191</f>
        <v>Válido</v>
      </c>
    </row>
    <row r="194" spans="1:16">
      <c r="A194" s="41" t="str">
        <f>Data!A192</f>
        <v>PKU069</v>
      </c>
      <c r="B194" s="41" t="str">
        <f>Data!D192</f>
        <v>Vehicle, Diesel, Frontera Energy Col 2679</v>
      </c>
      <c r="C194" s="41" t="str">
        <f>Data!F192</f>
        <v>Luis Enrique</v>
      </c>
      <c r="D194" s="41" t="str">
        <f>Data!G192</f>
        <v>Chala</v>
      </c>
      <c r="E194" s="41" t="str">
        <f>Data!H192</f>
        <v>enriquemono_20@hotmail.com</v>
      </c>
      <c r="F194" s="41" t="str">
        <f>Data!K192</f>
        <v>Rubiales</v>
      </c>
      <c r="G194" s="33" t="str">
        <f>Data!M192</f>
        <v>Exceso Velocidad 30 Km/h</v>
      </c>
      <c r="H194" s="41" t="str">
        <f>Data!P192</f>
        <v>ECOPETROL RUBIALES- Quifa - CAÑO SUR, Puerto Triunfo - Estacion Policia: Puerto Gaitan - Rubiales, Puerto Gaitán, Meta, Colombia</v>
      </c>
      <c r="I194" s="42" t="str">
        <f>Data!Q192</f>
        <v>Cliente, Vel Max 40 Km/h, Vel Max 30 Km/h</v>
      </c>
      <c r="J194" s="43">
        <f>Data!S192</f>
        <v>46174.597391979165</v>
      </c>
      <c r="K194" s="44">
        <f>Data!S192</f>
        <v>46174.597391979165</v>
      </c>
      <c r="L194" s="45">
        <f>Data!T192</f>
        <v>1.2290509259259259E-4</v>
      </c>
      <c r="M194" s="46">
        <f>Data!U192</f>
        <v>9.8271414637565613E-2</v>
      </c>
      <c r="N194" s="46" t="str">
        <f>CONCATENATE(Data!W192," (",Data!V192,")")</f>
        <v>Exceso Velocidad 30 Km/h (Velocidad máxima: 35 kmh)</v>
      </c>
      <c r="O194" s="42" t="str">
        <f>IF(Data!V192&lt;&gt;"",N194,Data!W192)</f>
        <v>Exceso Velocidad 30 Km/h (Velocidad máxima: 35 kmh)</v>
      </c>
      <c r="P194" s="47" t="str">
        <f>Data!X192</f>
        <v>Válido</v>
      </c>
    </row>
    <row r="195" spans="1:16">
      <c r="A195" s="41" t="str">
        <f>Data!A193</f>
        <v>PKU069</v>
      </c>
      <c r="B195" s="41" t="str">
        <f>Data!D193</f>
        <v>Vehicle, Diesel, Frontera Energy Col 2679</v>
      </c>
      <c r="C195" s="41" t="str">
        <f>Data!F193</f>
        <v>Luis Enrique</v>
      </c>
      <c r="D195" s="41" t="str">
        <f>Data!G193</f>
        <v>Chala</v>
      </c>
      <c r="E195" s="41" t="str">
        <f>Data!H193</f>
        <v>enriquemono_20@hotmail.com</v>
      </c>
      <c r="F195" s="41" t="str">
        <f>Data!K193</f>
        <v>Rubiales</v>
      </c>
      <c r="G195" s="33" t="str">
        <f>Data!M193</f>
        <v>Exceso Velocidad 30 Km/h</v>
      </c>
      <c r="H195" s="41" t="str">
        <f>Data!P193</f>
        <v>ECOPETROL RUBIALES- Quifa - CAÑO SUR, Puerto Triunfo - Estacion Policia: Puerto Gaitan - Rubiales, Puerto Gaitán, Meta, Colombia</v>
      </c>
      <c r="I195" s="42" t="str">
        <f>Data!Q193</f>
        <v>Cliente, Vel Max 40 Km/h, Vel Max 30 Km/h</v>
      </c>
      <c r="J195" s="43">
        <f>Data!S193</f>
        <v>46174.598280671293</v>
      </c>
      <c r="K195" s="44">
        <f>Data!S193</f>
        <v>46174.598280671293</v>
      </c>
      <c r="L195" s="45">
        <f>Data!T193</f>
        <v>1.7939814814814815E-5</v>
      </c>
      <c r="M195" s="46">
        <f>Data!U193</f>
        <v>1.1803912930190563E-2</v>
      </c>
      <c r="N195" s="46" t="str">
        <f>CONCATENATE(Data!W193," (",Data!V193,")")</f>
        <v>Exceso Velocidad 30 Km/h (Velocidad máxima: 31 kmh)</v>
      </c>
      <c r="O195" s="42" t="str">
        <f>IF(Data!V193&lt;&gt;"",N195,Data!W193)</f>
        <v>Exceso Velocidad 30 Km/h (Velocidad máxima: 31 kmh)</v>
      </c>
      <c r="P195" s="47" t="str">
        <f>Data!X193</f>
        <v>Válido</v>
      </c>
    </row>
    <row r="196" spans="1:16">
      <c r="A196" s="41" t="str">
        <f>Data!A194</f>
        <v>PKU069</v>
      </c>
      <c r="B196" s="41" t="str">
        <f>Data!D194</f>
        <v>Vehicle, Diesel, Frontera Energy Col 2679</v>
      </c>
      <c r="C196" s="41" t="str">
        <f>Data!F194</f>
        <v>Luis Enrique</v>
      </c>
      <c r="D196" s="41" t="str">
        <f>Data!G194</f>
        <v>Chala</v>
      </c>
      <c r="E196" s="41" t="str">
        <f>Data!H194</f>
        <v>enriquemono_20@hotmail.com</v>
      </c>
      <c r="F196" s="41" t="str">
        <f>Data!K194</f>
        <v>Rubiales</v>
      </c>
      <c r="G196" s="33" t="str">
        <f>Data!M194</f>
        <v>Exceso Velocidad 30 Km/h</v>
      </c>
      <c r="H196" s="41" t="str">
        <f>Data!P194</f>
        <v>ECOPETROL RUBIALES- Quifa - CAÑO SUR, Puerto Triunfo - Estacion Policia: Puerto Gaitan - Rubiales, Puerto Gaitán, Meta, Colombia</v>
      </c>
      <c r="I196" s="42" t="str">
        <f>Data!Q194</f>
        <v>Cliente, Vel Max 40 Km/h, Vel Max 30 Km/h</v>
      </c>
      <c r="J196" s="43">
        <f>Data!S194</f>
        <v>46174.600370370368</v>
      </c>
      <c r="K196" s="44">
        <f>Data!S194</f>
        <v>46174.600370370368</v>
      </c>
      <c r="L196" s="45">
        <f>Data!T194</f>
        <v>1.1959490740740741E-4</v>
      </c>
      <c r="M196" s="46">
        <f>Data!U194</f>
        <v>9.4867855310440063E-2</v>
      </c>
      <c r="N196" s="46" t="str">
        <f>CONCATENATE(Data!W194," (",Data!V194,")")</f>
        <v>Exceso Velocidad 30 Km/h (Velocidad máxima: 33 kmh)</v>
      </c>
      <c r="O196" s="42" t="str">
        <f>IF(Data!V194&lt;&gt;"",N196,Data!W194)</f>
        <v>Exceso Velocidad 30 Km/h (Velocidad máxima: 33 kmh)</v>
      </c>
      <c r="P196" s="47" t="str">
        <f>Data!X194</f>
        <v>Válido</v>
      </c>
    </row>
    <row r="197" spans="1:16">
      <c r="A197" s="41" t="str">
        <f>Data!A195</f>
        <v>PKU069</v>
      </c>
      <c r="B197" s="41" t="str">
        <f>Data!D195</f>
        <v>Vehicle, Diesel, Frontera Energy Col 2679</v>
      </c>
      <c r="C197" s="41" t="str">
        <f>Data!F195</f>
        <v>Luis Enrique</v>
      </c>
      <c r="D197" s="41" t="str">
        <f>Data!G195</f>
        <v>Chala</v>
      </c>
      <c r="E197" s="41" t="str">
        <f>Data!H195</f>
        <v>enriquemono_20@hotmail.com</v>
      </c>
      <c r="F197" s="41" t="str">
        <f>Data!K195</f>
        <v>Rubiales</v>
      </c>
      <c r="G197" s="33" t="str">
        <f>Data!M195</f>
        <v>Exceso Velocidad 30 Km/h</v>
      </c>
      <c r="H197" s="41" t="str">
        <f>Data!P195</f>
        <v>ECOPETROL RUBIALES- Quifa - CAÑO SUR, Puerto Triunfo - Estacion Policia: Km 128 +500, Lavadero De Autos EL OASIS, Puerto Gaitan - Rubiales, Puerto Gaitán, Meta, Colombia</v>
      </c>
      <c r="I197" s="42" t="str">
        <f>Data!Q195</f>
        <v>Cliente, Vel Max 40 Km/h, Vel Max 30 Km/h</v>
      </c>
      <c r="J197" s="43">
        <f>Data!S195</f>
        <v>46174.600652604167</v>
      </c>
      <c r="K197" s="44">
        <f>Data!S195</f>
        <v>46174.600652604167</v>
      </c>
      <c r="L197" s="45">
        <f>Data!T195</f>
        <v>6.730324074074074E-5</v>
      </c>
      <c r="M197" s="46">
        <f>Data!U195</f>
        <v>4.9306999891996384E-2</v>
      </c>
      <c r="N197" s="46" t="str">
        <f>CONCATENATE(Data!W195," (",Data!V195,")")</f>
        <v>Exceso Velocidad 30 Km/h (Velocidad máxima: 33 kmh)</v>
      </c>
      <c r="O197" s="42" t="str">
        <f>IF(Data!V195&lt;&gt;"",N197,Data!W195)</f>
        <v>Exceso Velocidad 30 Km/h (Velocidad máxima: 33 kmh)</v>
      </c>
      <c r="P197" s="47" t="str">
        <f>Data!X195</f>
        <v>Válido</v>
      </c>
    </row>
    <row r="198" spans="1:16">
      <c r="A198" s="41" t="str">
        <f>Data!A196</f>
        <v>PKU069</v>
      </c>
      <c r="B198" s="41" t="str">
        <f>Data!D196</f>
        <v>Vehicle, Diesel, Frontera Energy Col 2679</v>
      </c>
      <c r="C198" s="41" t="str">
        <f>Data!F196</f>
        <v>Luis Enrique</v>
      </c>
      <c r="D198" s="41" t="str">
        <f>Data!G196</f>
        <v>Chala</v>
      </c>
      <c r="E198" s="41" t="str">
        <f>Data!H196</f>
        <v>enriquemono_20@hotmail.com</v>
      </c>
      <c r="F198" s="41" t="str">
        <f>Data!K196</f>
        <v>Rubiales</v>
      </c>
      <c r="G198" s="33" t="str">
        <f>Data!M196</f>
        <v>Giro brusco</v>
      </c>
      <c r="H198" s="41" t="str">
        <f>Data!P196</f>
        <v>ECOPETROL RUBIALES- Quifa - CAÑO SUR, Puerto Triunfo - Estacion Policia: vereda puerto triunfo Km 129+300 vía rubiales, Puerto Gaitán, Meta, Colombia</v>
      </c>
      <c r="I198" s="42" t="str">
        <f>Data!Q196</f>
        <v>Cliente, Vel Max 40 Km/h, Vel Max 30 Km/h</v>
      </c>
      <c r="J198" s="43">
        <f>Data!S196</f>
        <v>46174.745884722222</v>
      </c>
      <c r="K198" s="44">
        <f>Data!S196</f>
        <v>46174.745884722222</v>
      </c>
      <c r="L198" s="45">
        <f>Data!T196</f>
        <v>2.199074074074074E-7</v>
      </c>
      <c r="M198" s="46">
        <f>Data!U196</f>
        <v>7.9390098107978702E-5</v>
      </c>
      <c r="N198" s="46" t="str">
        <f>CONCATENATE(Data!W196," (",Data!V196,")")</f>
        <v>Giro brusco (Velocidad máxima: 13 kmh Aceleración de lado a lado: 0.49 g-force, Ignición: 1.00)</v>
      </c>
      <c r="O198" s="42" t="str">
        <f>IF(Data!V196&lt;&gt;"",N198,Data!W196)</f>
        <v>Giro brusco (Velocidad máxima: 13 kmh Aceleración de lado a lado: 0.49 g-force, Ignición: 1.00)</v>
      </c>
      <c r="P198" s="47" t="str">
        <f>Data!X196</f>
        <v>Válido</v>
      </c>
    </row>
    <row r="199" spans="1:16">
      <c r="A199" s="41" t="str">
        <f>Data!A197</f>
        <v>PKU069</v>
      </c>
      <c r="B199" s="41" t="str">
        <f>Data!D197</f>
        <v>Vehicle, Diesel, Frontera Energy Col 2679</v>
      </c>
      <c r="C199" s="41" t="str">
        <f>Data!F197</f>
        <v>Luis Enrique</v>
      </c>
      <c r="D199" s="41" t="str">
        <f>Data!G197</f>
        <v>Chala</v>
      </c>
      <c r="E199" s="41" t="str">
        <f>Data!H197</f>
        <v>enriquemono_20@hotmail.com</v>
      </c>
      <c r="F199" s="41" t="str">
        <f>Data!K197</f>
        <v>Rubiales</v>
      </c>
      <c r="G199" s="33" t="str">
        <f>Data!M197</f>
        <v>Exceso Velocidad 30 Km/h</v>
      </c>
      <c r="H199" s="41" t="str">
        <f>Data!P197</f>
        <v>ECOPETROL RUBIALES- Quifa - CAÑO SUR, Puerto Triunfo - Estacion Policia: Puerto Gaitan - Rubiales, Puerto Gaitán, Meta, Colombia</v>
      </c>
      <c r="I199" s="42" t="str">
        <f>Data!Q197</f>
        <v>Cliente, Vel Max 40 Km/h, Vel Max 30 Km/h</v>
      </c>
      <c r="J199" s="43">
        <f>Data!S197</f>
        <v>46174.748615324075</v>
      </c>
      <c r="K199" s="44">
        <f>Data!S197</f>
        <v>46174.748615324075</v>
      </c>
      <c r="L199" s="45">
        <f>Data!T197</f>
        <v>1.2310185185185186E-4</v>
      </c>
      <c r="M199" s="46">
        <f>Data!U197</f>
        <v>8.8279493153095245E-2</v>
      </c>
      <c r="N199" s="46" t="str">
        <f>CONCATENATE(Data!W197," (",Data!V197,")")</f>
        <v>Exceso Velocidad 30 Km/h (Velocidad máxima: 31 kmh)</v>
      </c>
      <c r="O199" s="42" t="str">
        <f>IF(Data!V197&lt;&gt;"",N199,Data!W197)</f>
        <v>Exceso Velocidad 30 Km/h (Velocidad máxima: 31 kmh)</v>
      </c>
      <c r="P199" s="47" t="str">
        <f>Data!X197</f>
        <v>Válido</v>
      </c>
    </row>
    <row r="200" spans="1:16">
      <c r="A200" s="41" t="str">
        <f>Data!A198</f>
        <v>PKU069</v>
      </c>
      <c r="B200" s="41" t="str">
        <f>Data!D198</f>
        <v>Vehicle, Diesel, Frontera Energy Col 2679</v>
      </c>
      <c r="C200" s="41" t="str">
        <f>Data!F198</f>
        <v>Luis Enrique</v>
      </c>
      <c r="D200" s="41" t="str">
        <f>Data!G198</f>
        <v>Chala</v>
      </c>
      <c r="E200" s="41" t="str">
        <f>Data!H198</f>
        <v>enriquemono_20@hotmail.com</v>
      </c>
      <c r="F200" s="41" t="str">
        <f>Data!K198</f>
        <v>Rubiales</v>
      </c>
      <c r="G200" s="33" t="str">
        <f>Data!M198</f>
        <v>Exceso Velocidad 30 Km/h</v>
      </c>
      <c r="H200" s="41" t="str">
        <f>Data!P198</f>
        <v>ECOPETROL RUBIALES- Quifa - CAÑO SUR, Puerto Triunfo - Estacion Policia: Puerto Gaitan - Rubiales, Puerto Gaitán, Meta, Colombia</v>
      </c>
      <c r="I200" s="42" t="str">
        <f>Data!Q198</f>
        <v>Cliente, Vel Max 40 Km/h, Vel Max 30 Km/h</v>
      </c>
      <c r="J200" s="43">
        <f>Data!S198</f>
        <v>46174.748966597224</v>
      </c>
      <c r="K200" s="44">
        <f>Data!S198</f>
        <v>46174.748966597224</v>
      </c>
      <c r="L200" s="45">
        <f>Data!T198</f>
        <v>3.8032407407407409E-5</v>
      </c>
      <c r="M200" s="46">
        <f>Data!U198</f>
        <v>2.6886800304055214E-2</v>
      </c>
      <c r="N200" s="46" t="str">
        <f>CONCATENATE(Data!W198," (",Data!V198,")")</f>
        <v>Exceso Velocidad 30 Km/h (Velocidad máxima: 31 kmh)</v>
      </c>
      <c r="O200" s="42" t="str">
        <f>IF(Data!V198&lt;&gt;"",N200,Data!W198)</f>
        <v>Exceso Velocidad 30 Km/h (Velocidad máxima: 31 kmh)</v>
      </c>
      <c r="P200" s="47" t="str">
        <f>Data!X198</f>
        <v>Válido</v>
      </c>
    </row>
    <row r="201" spans="1:16">
      <c r="A201" s="41" t="str">
        <f>Data!A199</f>
        <v>PKU069</v>
      </c>
      <c r="B201" s="41" t="str">
        <f>Data!D199</f>
        <v>Vehicle, Diesel, Frontera Energy Col 2679</v>
      </c>
      <c r="C201" s="41" t="str">
        <f>Data!F199</f>
        <v>Luis Enrique</v>
      </c>
      <c r="D201" s="41" t="str">
        <f>Data!G199</f>
        <v>Chala</v>
      </c>
      <c r="E201" s="41" t="str">
        <f>Data!H199</f>
        <v>enriquemono_20@hotmail.com</v>
      </c>
      <c r="F201" s="41" t="str">
        <f>Data!K199</f>
        <v>Rubiales</v>
      </c>
      <c r="G201" s="33" t="str">
        <f>Data!M199</f>
        <v>Exceso Velocidad 10 Km/h</v>
      </c>
      <c r="H201" s="41" t="str">
        <f>Data!P199</f>
        <v>ECOPETROL RUBIALES- Quifa - CAÑO SUR, Puerto Triunfo - Estacion Policia, PUESTRO CONTROL QUIFA: Puerto Gaitan - Rubiales, Puerto Gaitán, Meta, Colombia</v>
      </c>
      <c r="I201" s="42" t="str">
        <f>Data!Q199</f>
        <v>Cliente, Vel Max 40 Km/h, Vel Max 30 Km/h, Vel Max 10 Km/h</v>
      </c>
      <c r="J201" s="43">
        <f>Data!S199</f>
        <v>46174.749703148147</v>
      </c>
      <c r="K201" s="44">
        <f>Data!S199</f>
        <v>46174.749703148147</v>
      </c>
      <c r="L201" s="45">
        <f>Data!T199</f>
        <v>2.9837962962962961E-4</v>
      </c>
      <c r="M201" s="46">
        <f>Data!U199</f>
        <v>0.1825089305639267</v>
      </c>
      <c r="N201" s="46" t="str">
        <f>CONCATENATE(Data!W199," (",Data!V199,")")</f>
        <v>Exceso Velocidad 10 Km/h (Velocidad máxima: 29 kmh)</v>
      </c>
      <c r="O201" s="42" t="str">
        <f>IF(Data!V199&lt;&gt;"",N201,Data!W199)</f>
        <v>Exceso Velocidad 10 Km/h (Velocidad máxima: 29 kmh)</v>
      </c>
      <c r="P201" s="47" t="str">
        <f>Data!X199</f>
        <v>Válido</v>
      </c>
    </row>
    <row r="202" spans="1:16">
      <c r="A202" s="41" t="str">
        <f>Data!A200</f>
        <v>PKU069</v>
      </c>
      <c r="B202" s="41" t="str">
        <f>Data!D200</f>
        <v>Vehicle, Diesel, Frontera Energy Col 2679</v>
      </c>
      <c r="C202" s="41" t="str">
        <f>Data!F200</f>
        <v>Luis Enrique</v>
      </c>
      <c r="D202" s="41" t="str">
        <f>Data!G200</f>
        <v>Chala</v>
      </c>
      <c r="E202" s="41" t="str">
        <f>Data!H200</f>
        <v>enriquemono_20@hotmail.com</v>
      </c>
      <c r="F202" s="41" t="str">
        <f>Data!K200</f>
        <v>Rubiales</v>
      </c>
      <c r="G202" s="33" t="str">
        <f>Data!M200</f>
        <v>Exceso Velocidad 30 Km/h</v>
      </c>
      <c r="H202" s="41" t="str">
        <f>Data!P200</f>
        <v>ECOPETROL RUBIALES- Quifa - CAÑO SUR, Puerto Triunfo - Estacion Policia: Puerto Gaitan - Rubiales, Puerto Gaitán, Meta, Colombia</v>
      </c>
      <c r="I202" s="42" t="str">
        <f>Data!Q200</f>
        <v>Cliente, Vel Max 40 Km/h, Vel Max 30 Km/h</v>
      </c>
      <c r="J202" s="43">
        <f>Data!S200</f>
        <v>46174.75133564815</v>
      </c>
      <c r="K202" s="44">
        <f>Data!S200</f>
        <v>46174.75133564815</v>
      </c>
      <c r="L202" s="45">
        <f>Data!T200</f>
        <v>2.5000000000000001E-4</v>
      </c>
      <c r="M202" s="46">
        <f>Data!U200</f>
        <v>0.18898926675319672</v>
      </c>
      <c r="N202" s="46" t="str">
        <f>CONCATENATE(Data!W200," (",Data!V200,")")</f>
        <v>Exceso Velocidad 30 Km/h (Velocidad máxima: 33 kmh)</v>
      </c>
      <c r="O202" s="42" t="str">
        <f>IF(Data!V200&lt;&gt;"",N202,Data!W200)</f>
        <v>Exceso Velocidad 30 Km/h (Velocidad máxima: 33 kmh)</v>
      </c>
      <c r="P202" s="47" t="str">
        <f>Data!X200</f>
        <v>Válido</v>
      </c>
    </row>
    <row r="203" spans="1:16">
      <c r="A203" s="41" t="str">
        <f>Data!A201</f>
        <v>PKU069</v>
      </c>
      <c r="B203" s="41" t="str">
        <f>Data!D201</f>
        <v>Vehicle, Diesel, Frontera Energy Col 2679</v>
      </c>
      <c r="C203" s="41" t="str">
        <f>Data!F201</f>
        <v>Luis Enrique</v>
      </c>
      <c r="D203" s="41" t="str">
        <f>Data!G201</f>
        <v>Chala</v>
      </c>
      <c r="E203" s="41" t="str">
        <f>Data!H201</f>
        <v>enriquemono_20@hotmail.com</v>
      </c>
      <c r="F203" s="41" t="str">
        <f>Data!K201</f>
        <v>Rubiales</v>
      </c>
      <c r="G203" s="33" t="str">
        <f>Data!M201</f>
        <v>Exceso Velocidad 10 Km/h</v>
      </c>
      <c r="H203" s="41" t="str">
        <f>Data!P201</f>
        <v>CAMPAMENTO QUIFA, ECOPETROL RUBIALES- Quifa - CAÑO SUR, Puerto Gaitan - Rubiales, Puerto Gaitán, Meta, Colombia, Puerto Triunfo - Estacion Policia: Ent. CAMPAMENTO, Puerto Gaitán, Meta, Colombia</v>
      </c>
      <c r="I203" s="42" t="str">
        <f>Data!Q201</f>
        <v>Vel Max 10 Km/h, Cliente, Vel Max 40 Km/h, Centro de servicios del proveedor, Vel Max 30 Km/h</v>
      </c>
      <c r="J203" s="43">
        <f>Data!S201</f>
        <v>46174.752101990744</v>
      </c>
      <c r="K203" s="44">
        <f>Data!S201</f>
        <v>46174.752101990744</v>
      </c>
      <c r="L203" s="45">
        <f>Data!T201</f>
        <v>5.0787037037037039E-5</v>
      </c>
      <c r="M203" s="46">
        <f>Data!U201</f>
        <v>1.3689666986465454E-2</v>
      </c>
      <c r="N203" s="46" t="str">
        <f>CONCATENATE(Data!W201," (",Data!V201,")")</f>
        <v>Exceso Velocidad 10 Km/h (Velocidad máxima: 12 kmh)</v>
      </c>
      <c r="O203" s="42" t="str">
        <f>IF(Data!V201&lt;&gt;"",N203,Data!W201)</f>
        <v>Exceso Velocidad 10 Km/h (Velocidad máxima: 12 kmh)</v>
      </c>
      <c r="P203" s="47" t="str">
        <f>Data!X201</f>
        <v>Válido</v>
      </c>
    </row>
    <row r="204" spans="1:16">
      <c r="A204" s="41" t="str">
        <f>Data!A202</f>
        <v>PKU069</v>
      </c>
      <c r="B204" s="41" t="str">
        <f>Data!D202</f>
        <v>Vehicle, Diesel, Frontera Energy Col 2679</v>
      </c>
      <c r="C204" s="41" t="str">
        <f>Data!F202</f>
        <v>Luis Enrique</v>
      </c>
      <c r="D204" s="41" t="str">
        <f>Data!G202</f>
        <v>Chala</v>
      </c>
      <c r="E204" s="41" t="str">
        <f>Data!H202</f>
        <v>enriquemono_20@hotmail.com</v>
      </c>
      <c r="F204" s="41" t="str">
        <f>Data!K202</f>
        <v>Rubiales</v>
      </c>
      <c r="G204" s="33" t="str">
        <f>Data!M202</f>
        <v>Tiempo en ralentí</v>
      </c>
      <c r="H204" s="41" t="str">
        <f>Data!P202</f>
        <v>CAMPAMENTO QUIFA, ECOPETROL RUBIALES- Quifa - CAÑO SUR, Puerto Gaitan - Rubiales, Puerto Gaitán, Meta, Colombia, Campamento Quifa - CMA: Ent. CAMPAMENTO, Puerto Gaitán, Meta, Colombia</v>
      </c>
      <c r="I204" s="42" t="str">
        <f>Data!Q202</f>
        <v>Vel Max 10 Km/h, Cliente, Vel Max 40 Km/h, Centro de servicios del proveedor</v>
      </c>
      <c r="J204" s="43">
        <f>Data!S202</f>
        <v>46174.753460648149</v>
      </c>
      <c r="K204" s="44">
        <f>Data!S202</f>
        <v>46174.753460648149</v>
      </c>
      <c r="L204" s="45">
        <f>Data!T202</f>
        <v>4.1666666666666666E-3</v>
      </c>
      <c r="M204" s="46">
        <f>Data!U202</f>
        <v>0</v>
      </c>
      <c r="N204" s="46" t="str">
        <f>CONCATENATE(Data!W202," (",Data!V202,")")</f>
        <v>Tiempo en ralentí (Ignición: 1.00)</v>
      </c>
      <c r="O204" s="42" t="str">
        <f>IF(Data!V202&lt;&gt;"",N204,Data!W202)</f>
        <v>Tiempo en ralentí (Ignición: 1.00)</v>
      </c>
      <c r="P204" s="47" t="str">
        <f>Data!X202</f>
        <v>Válido</v>
      </c>
    </row>
    <row r="205" spans="1:16">
      <c r="A205" s="41" t="str">
        <f>Data!A203</f>
        <v>PKU069</v>
      </c>
      <c r="B205" s="41" t="str">
        <f>Data!D203</f>
        <v>Vehicle, Diesel, Frontera Energy Col 2679</v>
      </c>
      <c r="C205" s="41" t="str">
        <f>Data!F203</f>
        <v>Luis Enrique</v>
      </c>
      <c r="D205" s="41" t="str">
        <f>Data!G203</f>
        <v>Chala</v>
      </c>
      <c r="E205" s="41" t="str">
        <f>Data!H203</f>
        <v>enriquemono_20@hotmail.com</v>
      </c>
      <c r="F205" s="41" t="str">
        <f>Data!K203</f>
        <v>Rubiales</v>
      </c>
      <c r="G205" s="33" t="str">
        <f>Data!M203</f>
        <v>Exceso Velocidad 10 Km/h</v>
      </c>
      <c r="H205" s="41" t="str">
        <f>Data!P203</f>
        <v>ECOPETROL RUBIALES- Quifa - CAÑO SUR, Puerto Triunfo - Estacion Policia, PUESTRO CONTROL QUIFA: Puerto Gaitan - Rubiales, Puerto Gaitán, Meta, Colombia</v>
      </c>
      <c r="I205" s="42" t="str">
        <f>Data!Q203</f>
        <v>Cliente, Vel Max 40 Km/h, Vel Max 30 Km/h, Vel Max 10 Km/h</v>
      </c>
      <c r="J205" s="43">
        <f>Data!S203</f>
        <v>46174.760739351848</v>
      </c>
      <c r="K205" s="44">
        <f>Data!S203</f>
        <v>46174.760739351848</v>
      </c>
      <c r="L205" s="45">
        <f>Data!T203</f>
        <v>2.7344907407407407E-4</v>
      </c>
      <c r="M205" s="46">
        <f>Data!U203</f>
        <v>0.18282359838485718</v>
      </c>
      <c r="N205" s="46" t="str">
        <f>CONCATENATE(Data!W203," (",Data!V203,")")</f>
        <v>Exceso Velocidad 10 Km/h (Velocidad máxima: 29 kmh)</v>
      </c>
      <c r="O205" s="42" t="str">
        <f>IF(Data!V203&lt;&gt;"",N205,Data!W203)</f>
        <v>Exceso Velocidad 10 Km/h (Velocidad máxima: 29 kmh)</v>
      </c>
      <c r="P205" s="47" t="str">
        <f>Data!X203</f>
        <v>Válido</v>
      </c>
    </row>
    <row r="206" spans="1:16">
      <c r="A206" s="41" t="str">
        <f>Data!A204</f>
        <v>PKU069</v>
      </c>
      <c r="B206" s="41" t="str">
        <f>Data!D204</f>
        <v>Vehicle, Diesel, Frontera Energy Col 2679</v>
      </c>
      <c r="C206" s="41" t="str">
        <f>Data!F204</f>
        <v>Luis Enrique</v>
      </c>
      <c r="D206" s="41" t="str">
        <f>Data!G204</f>
        <v>Chala</v>
      </c>
      <c r="E206" s="41" t="str">
        <f>Data!H204</f>
        <v>enriquemono_20@hotmail.com</v>
      </c>
      <c r="F206" s="41" t="str">
        <f>Data!K204</f>
        <v>Rubiales</v>
      </c>
      <c r="G206" s="33" t="str">
        <f>Data!M204</f>
        <v>Exceso Velocidad 30 Km/h</v>
      </c>
      <c r="H206" s="41" t="str">
        <f>Data!P204</f>
        <v>ECOPETROL RUBIALES- Quifa - CAÑO SUR, Puerto Triunfo - Estacion Policia: Puerto Gaitan - Rubiales, Puerto Gaitán, Meta, Colombia</v>
      </c>
      <c r="I206" s="42" t="str">
        <f>Data!Q204</f>
        <v>Cliente, Vel Max 40 Km/h, Vel Max 30 Km/h</v>
      </c>
      <c r="J206" s="43">
        <f>Data!S204</f>
        <v>46174.761280092593</v>
      </c>
      <c r="K206" s="44">
        <f>Data!S204</f>
        <v>46174.761280092593</v>
      </c>
      <c r="L206" s="45">
        <f>Data!T204</f>
        <v>5.5555555555555558E-5</v>
      </c>
      <c r="M206" s="46">
        <f>Data!U204</f>
        <v>3.8428757339715958E-2</v>
      </c>
      <c r="N206" s="46" t="str">
        <f>CONCATENATE(Data!W204," (",Data!V204,")")</f>
        <v>Exceso Velocidad 30 Km/h (Velocidad máxima: 31 kmh)</v>
      </c>
      <c r="O206" s="42" t="str">
        <f>IF(Data!V204&lt;&gt;"",N206,Data!W204)</f>
        <v>Exceso Velocidad 30 Km/h (Velocidad máxima: 31 kmh)</v>
      </c>
      <c r="P206" s="47" t="str">
        <f>Data!X204</f>
        <v>Válido</v>
      </c>
    </row>
    <row r="207" spans="1:16">
      <c r="A207" s="41" t="str">
        <f>Data!A205</f>
        <v>PKU069</v>
      </c>
      <c r="B207" s="41" t="str">
        <f>Data!D205</f>
        <v>Vehicle, Diesel, Frontera Energy Col 2679</v>
      </c>
      <c r="C207" s="41" t="str">
        <f>Data!F205</f>
        <v>Luis Enrique</v>
      </c>
      <c r="D207" s="41" t="str">
        <f>Data!G205</f>
        <v>Chala</v>
      </c>
      <c r="E207" s="41" t="str">
        <f>Data!H205</f>
        <v>enriquemono_20@hotmail.com</v>
      </c>
      <c r="F207" s="41" t="str">
        <f>Data!K205</f>
        <v>Rubiales</v>
      </c>
      <c r="G207" s="33" t="str">
        <f>Data!M205</f>
        <v>Giro brusco</v>
      </c>
      <c r="H207" s="41" t="str">
        <f>Data!P205</f>
        <v>ECOPETROL RUBIALES- Quifa - CAÑO SUR, Puerto Triunfo - Estacion Policia: Puerto Gaitan - Rubiales, Puerto Gaitán, Meta, Colombia</v>
      </c>
      <c r="I207" s="42" t="str">
        <f>Data!Q205</f>
        <v>Cliente, Vel Max 40 Km/h, Vel Max 30 Km/h</v>
      </c>
      <c r="J207" s="43">
        <f>Data!S205</f>
        <v>46174.799900266204</v>
      </c>
      <c r="K207" s="44">
        <f>Data!S205</f>
        <v>46174.799900266204</v>
      </c>
      <c r="L207" s="45">
        <f>Data!T205</f>
        <v>1.111111111111111E-6</v>
      </c>
      <c r="M207" s="46">
        <f>Data!U205</f>
        <v>4.093252937309444E-4</v>
      </c>
      <c r="N207" s="46" t="str">
        <f>CONCATENATE(Data!W205," (",Data!V205,")")</f>
        <v>Giro brusco (Velocidad máxima: 15 kmh Aceleración de lado a lado: -0.56 g-force, Ignición: 1.00)</v>
      </c>
      <c r="O207" s="42" t="str">
        <f>IF(Data!V205&lt;&gt;"",N207,Data!W205)</f>
        <v>Giro brusco (Velocidad máxima: 15 kmh Aceleración de lado a lado: -0.56 g-force, Ignición: 1.00)</v>
      </c>
      <c r="P207" s="47" t="str">
        <f>Data!X205</f>
        <v>Válido</v>
      </c>
    </row>
    <row r="208" spans="1:16">
      <c r="A208" s="41" t="str">
        <f>Data!A206</f>
        <v>PKU069</v>
      </c>
      <c r="B208" s="41" t="str">
        <f>Data!D206</f>
        <v>Vehicle, Diesel, Frontera Energy Col 2679</v>
      </c>
      <c r="C208" s="41" t="str">
        <f>Data!F206</f>
        <v>Luis Enrique</v>
      </c>
      <c r="D208" s="41" t="str">
        <f>Data!G206</f>
        <v>Chala</v>
      </c>
      <c r="E208" s="41" t="str">
        <f>Data!H206</f>
        <v>enriquemono_20@hotmail.com</v>
      </c>
      <c r="F208" s="41" t="str">
        <f>Data!K206</f>
        <v>Rubiales</v>
      </c>
      <c r="G208" s="33" t="str">
        <f>Data!M206</f>
        <v>Exceso Velocidad 10 Km/h</v>
      </c>
      <c r="H208" s="41" t="str">
        <f>Data!P206</f>
        <v>ECOPETROL RUBIALES- Quifa - CAÑO SUR, Puerto Triunfo - Estacion Policia, PUESTRO CONTROL QUIFA: Puerto Gaitan - Rubiales, Puerto Gaitán, Meta, Colombia</v>
      </c>
      <c r="I208" s="42" t="str">
        <f>Data!Q206</f>
        <v>Cliente, Vel Max 40 Km/h, Vel Max 30 Km/h, Vel Max 10 Km/h</v>
      </c>
      <c r="J208" s="43">
        <f>Data!S206</f>
        <v>46174.803101898149</v>
      </c>
      <c r="K208" s="44">
        <f>Data!S206</f>
        <v>46174.803101898149</v>
      </c>
      <c r="L208" s="45">
        <f>Data!T206</f>
        <v>3.1342592592592593E-4</v>
      </c>
      <c r="M208" s="46">
        <f>Data!U206</f>
        <v>0.18412473797798157</v>
      </c>
      <c r="N208" s="46" t="str">
        <f>CONCATENATE(Data!W206," (",Data!V206,")")</f>
        <v>Exceso Velocidad 10 Km/h (Velocidad máxima: 26 kmh)</v>
      </c>
      <c r="O208" s="42" t="str">
        <f>IF(Data!V206&lt;&gt;"",N208,Data!W206)</f>
        <v>Exceso Velocidad 10 Km/h (Velocidad máxima: 26 kmh)</v>
      </c>
      <c r="P208" s="47" t="str">
        <f>Data!X206</f>
        <v>Válido</v>
      </c>
    </row>
    <row r="209" spans="1:16">
      <c r="A209" s="41" t="str">
        <f>Data!A207</f>
        <v>PKU069</v>
      </c>
      <c r="B209" s="41" t="str">
        <f>Data!D207</f>
        <v>Vehicle, Diesel, Frontera Energy Col 2679</v>
      </c>
      <c r="C209" s="41" t="str">
        <f>Data!F207</f>
        <v>Luis Enrique</v>
      </c>
      <c r="D209" s="41" t="str">
        <f>Data!G207</f>
        <v>Chala</v>
      </c>
      <c r="E209" s="41" t="str">
        <f>Data!H207</f>
        <v>enriquemono_20@hotmail.com</v>
      </c>
      <c r="F209" s="41" t="str">
        <f>Data!K207</f>
        <v>Rubiales</v>
      </c>
      <c r="G209" s="33" t="str">
        <f>Data!M207</f>
        <v>Exceso Velocidad 10 Km/h</v>
      </c>
      <c r="H209" s="41" t="str">
        <f>Data!P207</f>
        <v>CAMPAMENTO QUIFA, ECOPETROL RUBIALES- Quifa - CAÑO SUR, Puerto Gaitan - Rubiales, Puerto Gaitán, Meta, Colombia: Ent. CAMPAMENTO, Puerto Gaitán, Meta, Colombia</v>
      </c>
      <c r="I209" s="42" t="str">
        <f>Data!Q207</f>
        <v>Vel Max 10 Km/h, Cliente, Vel Max 40 Km/h, Centro de servicios del proveedor</v>
      </c>
      <c r="J209" s="43">
        <f>Data!S207</f>
        <v>46174.805565625</v>
      </c>
      <c r="K209" s="44">
        <f>Data!S207</f>
        <v>46174.805565625</v>
      </c>
      <c r="L209" s="45">
        <f>Data!T207</f>
        <v>3.8194444444444442E-6</v>
      </c>
      <c r="M209" s="46">
        <f>Data!U207</f>
        <v>9.0800569159910083E-4</v>
      </c>
      <c r="N209" s="46" t="str">
        <f>CONCATENATE(Data!W207," (",Data!V207,")")</f>
        <v>Exceso Velocidad 10 Km/h (Velocidad máxima: 10 kmh)</v>
      </c>
      <c r="O209" s="42" t="str">
        <f>IF(Data!V207&lt;&gt;"",N209,Data!W207)</f>
        <v>Exceso Velocidad 10 Km/h (Velocidad máxima: 10 kmh)</v>
      </c>
      <c r="P209" s="47" t="str">
        <f>Data!X207</f>
        <v>Válido</v>
      </c>
    </row>
    <row r="210" spans="1:16">
      <c r="A210" s="41" t="str">
        <f>Data!A208</f>
        <v>PKU069</v>
      </c>
      <c r="B210" s="41" t="str">
        <f>Data!D208</f>
        <v>Vehicle, Diesel, Frontera Energy Col 2679</v>
      </c>
      <c r="C210" s="41" t="str">
        <f>Data!F208</f>
        <v>Luis Enrique</v>
      </c>
      <c r="D210" s="41" t="str">
        <f>Data!G208</f>
        <v>Chala</v>
      </c>
      <c r="E210" s="41" t="str">
        <f>Data!H208</f>
        <v>enriquemono_20@hotmail.com</v>
      </c>
      <c r="F210" s="41" t="str">
        <f>Data!K208</f>
        <v>Rubiales</v>
      </c>
      <c r="G210" s="33" t="str">
        <f>Data!M208</f>
        <v>Exceso Velocidad 10 Km/h</v>
      </c>
      <c r="H210" s="41" t="str">
        <f>Data!P208</f>
        <v>CAMPAMENTO QUIFA, ECOPETROL RUBIALES- Quifa - CAÑO SUR, Puerto Gaitan - Rubiales, Puerto Gaitán, Meta, Colombia, Campamento Quifa - CMA: Ent. CAMPAMENTO, Puerto Gaitán, Meta, Colombia</v>
      </c>
      <c r="I210" s="42" t="str">
        <f>Data!Q208</f>
        <v>Vel Max 10 Km/h, Cliente, Vel Max 40 Km/h, Centro de servicios del proveedor</v>
      </c>
      <c r="J210" s="43">
        <f>Data!S208</f>
        <v>46174.806203703702</v>
      </c>
      <c r="K210" s="44">
        <f>Data!S208</f>
        <v>46174.806203703702</v>
      </c>
      <c r="L210" s="45">
        <f>Data!T208</f>
        <v>1.0802083333333333E-4</v>
      </c>
      <c r="M210" s="46">
        <f>Data!U208</f>
        <v>2.5141995400190353E-2</v>
      </c>
      <c r="N210" s="46" t="str">
        <f>CONCATENATE(Data!W208," (",Data!V208,")")</f>
        <v>Exceso Velocidad 10 Km/h (Velocidad máxima: 11 kmh)</v>
      </c>
      <c r="O210" s="42" t="str">
        <f>IF(Data!V208&lt;&gt;"",N210,Data!W208)</f>
        <v>Exceso Velocidad 10 Km/h (Velocidad máxima: 11 kmh)</v>
      </c>
      <c r="P210" s="47" t="str">
        <f>Data!X208</f>
        <v>Válido</v>
      </c>
    </row>
    <row r="211" spans="1:16">
      <c r="A211" s="41" t="str">
        <f>Data!A209</f>
        <v>PKU069</v>
      </c>
      <c r="B211" s="41" t="str">
        <f>Data!D209</f>
        <v>Vehicle, Diesel, Frontera Energy Col 2679</v>
      </c>
      <c r="C211" s="41" t="str">
        <f>Data!F209</f>
        <v>Luis Enrique</v>
      </c>
      <c r="D211" s="41" t="str">
        <f>Data!G209</f>
        <v>Chala</v>
      </c>
      <c r="E211" s="41" t="str">
        <f>Data!H209</f>
        <v>enriquemono_20@hotmail.com</v>
      </c>
      <c r="F211" s="41" t="str">
        <f>Data!K209</f>
        <v>Rubiales</v>
      </c>
      <c r="G211" s="33" t="str">
        <f>Data!M209</f>
        <v>Exceso Velocidad 30 Km/h</v>
      </c>
      <c r="H211" s="41" t="str">
        <f>Data!P209</f>
        <v>ECOPETROL RUBIALES- Quifa - CAÑO SUR, Puerto Triunfo - Estacion Policia: Puerto Gaitan - Rubiales, Puerto Gaitán, Meta, Colombia</v>
      </c>
      <c r="I211" s="42" t="str">
        <f>Data!Q209</f>
        <v>Cliente, Vel Max 40 Km/h, Vel Max 30 Km/h</v>
      </c>
      <c r="J211" s="43">
        <f>Data!S209</f>
        <v>46174.810734513892</v>
      </c>
      <c r="K211" s="44">
        <f>Data!S209</f>
        <v>46174.810734513892</v>
      </c>
      <c r="L211" s="45">
        <f>Data!T209</f>
        <v>6.6412037037037039E-5</v>
      </c>
      <c r="M211" s="46">
        <f>Data!U209</f>
        <v>4.7867044806480408E-2</v>
      </c>
      <c r="N211" s="46" t="str">
        <f>CONCATENATE(Data!W209," (",Data!V209,")")</f>
        <v>Exceso Velocidad 30 Km/h (Velocidad máxima: 31 kmh)</v>
      </c>
      <c r="O211" s="42" t="str">
        <f>IF(Data!V209&lt;&gt;"",N211,Data!W209)</f>
        <v>Exceso Velocidad 30 Km/h (Velocidad máxima: 31 kmh)</v>
      </c>
      <c r="P211" s="47" t="str">
        <f>Data!X209</f>
        <v>Válido</v>
      </c>
    </row>
    <row r="212" spans="1:16">
      <c r="A212" s="41" t="str">
        <f>Data!A210</f>
        <v>PKU069</v>
      </c>
      <c r="B212" s="41" t="str">
        <f>Data!D210</f>
        <v>Vehicle, Diesel, Frontera Energy Col 2679</v>
      </c>
      <c r="C212" s="41" t="str">
        <f>Data!F210</f>
        <v>Luis Enrique</v>
      </c>
      <c r="D212" s="41" t="str">
        <f>Data!G210</f>
        <v>Chala</v>
      </c>
      <c r="E212" s="41" t="str">
        <f>Data!H210</f>
        <v>enriquemono_20@hotmail.com</v>
      </c>
      <c r="F212" s="41" t="str">
        <f>Data!K210</f>
        <v>Rubiales</v>
      </c>
      <c r="G212" s="33" t="str">
        <f>Data!M210</f>
        <v>Exceso Velocidad 10 Km/h</v>
      </c>
      <c r="H212" s="41" t="str">
        <f>Data!P210</f>
        <v>ECOPETROL RUBIALES- Quifa - CAÑO SUR, Puerto Triunfo - Estacion Policia, PUESTRO CONTROL QUIFA: Puerto Gaitan - Rubiales, Puerto Gaitán, Meta, Colombia</v>
      </c>
      <c r="I212" s="42" t="str">
        <f>Data!Q210</f>
        <v>Cliente, Vel Max 40 Km/h, Vel Max 30 Km/h, Vel Max 10 Km/h</v>
      </c>
      <c r="J212" s="43">
        <f>Data!S210</f>
        <v>46174.811522997683</v>
      </c>
      <c r="K212" s="44">
        <f>Data!S210</f>
        <v>46174.811522997683</v>
      </c>
      <c r="L212" s="45">
        <f>Data!T210</f>
        <v>3.0319444444444442E-4</v>
      </c>
      <c r="M212" s="46">
        <f>Data!U210</f>
        <v>0.18352344632148743</v>
      </c>
      <c r="N212" s="46" t="str">
        <f>CONCATENATE(Data!W210," (",Data!V210,")")</f>
        <v>Exceso Velocidad 10 Km/h (Velocidad máxima: 28 kmh)</v>
      </c>
      <c r="O212" s="42" t="str">
        <f>IF(Data!V210&lt;&gt;"",N212,Data!W210)</f>
        <v>Exceso Velocidad 10 Km/h (Velocidad máxima: 28 kmh)</v>
      </c>
      <c r="P212" s="47" t="str">
        <f>Data!X210</f>
        <v>Válido</v>
      </c>
    </row>
    <row r="213" spans="1:16">
      <c r="A213" s="41" t="str">
        <f>Data!A211</f>
        <v>PKU069</v>
      </c>
      <c r="B213" s="41" t="str">
        <f>Data!D211</f>
        <v>Vehicle, Diesel, Frontera Energy Col 2679</v>
      </c>
      <c r="C213" s="41" t="str">
        <f>Data!F211</f>
        <v>Luis Enrique</v>
      </c>
      <c r="D213" s="41" t="str">
        <f>Data!G211</f>
        <v>Chala</v>
      </c>
      <c r="E213" s="41" t="str">
        <f>Data!H211</f>
        <v>enriquemono_20@hotmail.com</v>
      </c>
      <c r="F213" s="41" t="str">
        <f>Data!K211</f>
        <v>Rubiales</v>
      </c>
      <c r="G213" s="33" t="str">
        <f>Data!M211</f>
        <v>Exceso Velocidad 10 Km/h</v>
      </c>
      <c r="H213" s="41" t="str">
        <f>Data!P211</f>
        <v>ECOPETROL RUBIALES- Quifa - CAÑO SUR, Puerto Triunfo - Estacion Policia, PUESTRO CONTROL QUIFA: Puerto Gaitan - Rubiales, Puerto Gaitán, Meta, Colombia</v>
      </c>
      <c r="I213" s="42" t="str">
        <f>Data!Q211</f>
        <v>Cliente, Vel Max 40 Km/h, Vel Max 30 Km/h, Vel Max 10 Km/h</v>
      </c>
      <c r="J213" s="43">
        <f>Data!S211</f>
        <v>46174.875472650463</v>
      </c>
      <c r="K213" s="44">
        <f>Data!S211</f>
        <v>46174.875472650463</v>
      </c>
      <c r="L213" s="45">
        <f>Data!T211</f>
        <v>3.4221064814814813E-4</v>
      </c>
      <c r="M213" s="46">
        <f>Data!U211</f>
        <v>0.18259897828102112</v>
      </c>
      <c r="N213" s="46" t="str">
        <f>CONCATENATE(Data!W211," (",Data!V211,")")</f>
        <v>Exceso Velocidad 10 Km/h (Velocidad máxima: 24 kmh)</v>
      </c>
      <c r="O213" s="42" t="str">
        <f>IF(Data!V211&lt;&gt;"",N213,Data!W211)</f>
        <v>Exceso Velocidad 10 Km/h (Velocidad máxima: 24 kmh)</v>
      </c>
      <c r="P213" s="47" t="str">
        <f>Data!X211</f>
        <v>Válido</v>
      </c>
    </row>
    <row r="214" spans="1:16">
      <c r="A214" s="41" t="str">
        <f>Data!A212</f>
        <v>PKU069</v>
      </c>
      <c r="B214" s="41" t="str">
        <f>Data!D212</f>
        <v>Vehicle, Diesel, Frontera Energy Col 2679</v>
      </c>
      <c r="C214" s="41" t="str">
        <f>Data!F212</f>
        <v>Luis Enrique</v>
      </c>
      <c r="D214" s="41" t="str">
        <f>Data!G212</f>
        <v>Chala</v>
      </c>
      <c r="E214" s="41" t="str">
        <f>Data!H212</f>
        <v>enriquemono_20@hotmail.com</v>
      </c>
      <c r="F214" s="41" t="str">
        <f>Data!K212</f>
        <v>Rubiales</v>
      </c>
      <c r="G214" s="33" t="str">
        <f>Data!M212</f>
        <v>Exceso Velocidad 10 Km/h</v>
      </c>
      <c r="H214" s="41" t="str">
        <f>Data!P212</f>
        <v>CAMPAMENTO QUIFA, ECOPETROL RUBIALES- Quifa - CAÑO SUR, Puerto Gaitan - Rubiales, Puerto Gaitán, Meta, Colombia, Puerto Triunfo - Estacion Policia: Ent. CAMPAMENTO, Puerto Gaitán, Meta, Colombia</v>
      </c>
      <c r="I214" s="42" t="str">
        <f>Data!Q212</f>
        <v>Vel Max 10 Km/h, Cliente, Vel Max 40 Km/h, Centro de servicios del proveedor, Vel Max 30 Km/h</v>
      </c>
      <c r="J214" s="43">
        <f>Data!S212</f>
        <v>46174.878776307873</v>
      </c>
      <c r="K214" s="44">
        <f>Data!S212</f>
        <v>46174.878776307873</v>
      </c>
      <c r="L214" s="45">
        <f>Data!T212</f>
        <v>4.2361111111111114E-6</v>
      </c>
      <c r="M214" s="46">
        <f>Data!U212</f>
        <v>1.1163735762238503E-3</v>
      </c>
      <c r="N214" s="46" t="str">
        <f>CONCATENATE(Data!W212," (",Data!V212,")")</f>
        <v>Exceso Velocidad 10 Km/h (Velocidad máxima: 11 kmh)</v>
      </c>
      <c r="O214" s="42" t="str">
        <f>IF(Data!V212&lt;&gt;"",N214,Data!W212)</f>
        <v>Exceso Velocidad 10 Km/h (Velocidad máxima: 11 kmh)</v>
      </c>
      <c r="P214" s="47" t="str">
        <f>Data!X212</f>
        <v>Válido</v>
      </c>
    </row>
    <row r="215" spans="1:16">
      <c r="A215" s="41" t="str">
        <f>Data!A213</f>
        <v>PKU069</v>
      </c>
      <c r="B215" s="41" t="str">
        <f>Data!D213</f>
        <v>Vehicle, Diesel, Frontera Energy Col 2679</v>
      </c>
      <c r="C215" s="41" t="str">
        <f>Data!F213</f>
        <v>Luis Enrique</v>
      </c>
      <c r="D215" s="41" t="str">
        <f>Data!G213</f>
        <v>Chala</v>
      </c>
      <c r="E215" s="41" t="str">
        <f>Data!H213</f>
        <v>enriquemono_20@hotmail.com</v>
      </c>
      <c r="F215" s="41" t="str">
        <f>Data!K213</f>
        <v>Rubiales</v>
      </c>
      <c r="G215" s="33" t="str">
        <f>Data!M213</f>
        <v>Exceso Velocidad 10 Km/h</v>
      </c>
      <c r="H215" s="41" t="str">
        <f>Data!P213</f>
        <v>ECOPETROL RUBIALES- Quifa - CAÑO SUR, Puerto Triunfo - Estacion Policia, PUESTRO CONTROL QUIFA: Puerto Gaitan - Rubiales, Puerto Gaitán, Meta, Colombia</v>
      </c>
      <c r="I215" s="42" t="str">
        <f>Data!Q213</f>
        <v>Cliente, Vel Max 40 Km/h, Vel Max 30 Km/h, Vel Max 10 Km/h</v>
      </c>
      <c r="J215" s="43">
        <f>Data!S213</f>
        <v>46174.880836157405</v>
      </c>
      <c r="K215" s="44">
        <f>Data!S213</f>
        <v>46174.880836157405</v>
      </c>
      <c r="L215" s="45">
        <f>Data!T213</f>
        <v>3.0017361111111114E-4</v>
      </c>
      <c r="M215" s="46">
        <f>Data!U213</f>
        <v>0.18301413953304291</v>
      </c>
      <c r="N215" s="46" t="str">
        <f>CONCATENATE(Data!W213," (",Data!V213,")")</f>
        <v>Exceso Velocidad 10 Km/h (Velocidad máxima: 29 kmh)</v>
      </c>
      <c r="O215" s="42" t="str">
        <f>IF(Data!V213&lt;&gt;"",N215,Data!W213)</f>
        <v>Exceso Velocidad 10 Km/h (Velocidad máxima: 29 kmh)</v>
      </c>
      <c r="P215" s="47" t="str">
        <f>Data!X213</f>
        <v>Válido</v>
      </c>
    </row>
    <row r="216" spans="1:16">
      <c r="A216" s="41" t="str">
        <f>Data!A214</f>
        <v>PKU069</v>
      </c>
      <c r="B216" s="41" t="str">
        <f>Data!D214</f>
        <v>Vehicle, Diesel, Frontera Energy Col 2679</v>
      </c>
      <c r="C216" s="41" t="str">
        <f>Data!F214</f>
        <v>Luis Enrique</v>
      </c>
      <c r="D216" s="41" t="str">
        <f>Data!G214</f>
        <v>Chala</v>
      </c>
      <c r="E216" s="41" t="str">
        <f>Data!H214</f>
        <v>enriquemono_20@hotmail.com</v>
      </c>
      <c r="F216" s="41" t="str">
        <f>Data!K214</f>
        <v>Rubiales</v>
      </c>
      <c r="G216" s="33" t="str">
        <f>Data!M214</f>
        <v>Exceso Velocidad 30 Km/h</v>
      </c>
      <c r="H216" s="41" t="str">
        <f>Data!P214</f>
        <v>ECOPETROL RUBIALES- Quifa - CAÑO SUR, Puerto Triunfo - Estacion Policia: Puerto Gaitan - Rubiales, Puerto Gaitán, Meta, Colombia</v>
      </c>
      <c r="I216" s="42" t="str">
        <f>Data!Q214</f>
        <v>Cliente, Vel Max 40 Km/h, Vel Max 30 Km/h</v>
      </c>
      <c r="J216" s="43">
        <f>Data!S214</f>
        <v>46174.934899687498</v>
      </c>
      <c r="K216" s="44">
        <f>Data!S214</f>
        <v>46174.934899687498</v>
      </c>
      <c r="L216" s="45">
        <f>Data!T214</f>
        <v>6.3275462962962962E-5</v>
      </c>
      <c r="M216" s="46">
        <f>Data!U214</f>
        <v>4.4563271105289459E-2</v>
      </c>
      <c r="N216" s="46" t="str">
        <f>CONCATENATE(Data!W214," (",Data!V214,")")</f>
        <v>Exceso Velocidad 30 Km/h (Velocidad máxima: 31 kmh)</v>
      </c>
      <c r="O216" s="42" t="str">
        <f>IF(Data!V214&lt;&gt;"",N216,Data!W214)</f>
        <v>Exceso Velocidad 30 Km/h (Velocidad máxima: 31 kmh)</v>
      </c>
      <c r="P216" s="47" t="str">
        <f>Data!X214</f>
        <v>Válido</v>
      </c>
    </row>
    <row r="217" spans="1:16">
      <c r="A217" s="41" t="str">
        <f>Data!A215</f>
        <v>PKU069</v>
      </c>
      <c r="B217" s="41" t="str">
        <f>Data!D215</f>
        <v>Vehicle, Diesel, Frontera Energy Col 2679</v>
      </c>
      <c r="C217" s="41" t="str">
        <f>Data!F215</f>
        <v>Luis Enrique</v>
      </c>
      <c r="D217" s="41" t="str">
        <f>Data!G215</f>
        <v>Chala</v>
      </c>
      <c r="E217" s="41" t="str">
        <f>Data!H215</f>
        <v>enriquemono_20@hotmail.com</v>
      </c>
      <c r="F217" s="41" t="str">
        <f>Data!K215</f>
        <v>Rubiales</v>
      </c>
      <c r="G217" s="33" t="str">
        <f>Data!M215</f>
        <v>Exceso Velocidad 10 Km/h</v>
      </c>
      <c r="H217" s="41" t="str">
        <f>Data!P215</f>
        <v>ECOPETROL RUBIALES- Quifa - CAÑO SUR, Puerto Triunfo - Estacion Policia, PUESTRO CONTROL QUIFA: Puerto Gaitan - Rubiales, Puerto Gaitán, Meta, Colombia</v>
      </c>
      <c r="I217" s="42" t="str">
        <f>Data!Q215</f>
        <v>Cliente, Vel Max 40 Km/h, Vel Max 30 Km/h, Vel Max 10 Km/h</v>
      </c>
      <c r="J217" s="43">
        <f>Data!S215</f>
        <v>46174.935154884261</v>
      </c>
      <c r="K217" s="44">
        <f>Data!S215</f>
        <v>46174.935154884261</v>
      </c>
      <c r="L217" s="45">
        <f>Data!T215</f>
        <v>3.1342592592592593E-4</v>
      </c>
      <c r="M217" s="46">
        <f>Data!U215</f>
        <v>0.1827528178691864</v>
      </c>
      <c r="N217" s="46" t="str">
        <f>CONCATENATE(Data!W215," (",Data!V215,")")</f>
        <v>Exceso Velocidad 10 Km/h (Velocidad máxima: 25 kmh)</v>
      </c>
      <c r="O217" s="42" t="str">
        <f>IF(Data!V215&lt;&gt;"",N217,Data!W215)</f>
        <v>Exceso Velocidad 10 Km/h (Velocidad máxima: 25 kmh)</v>
      </c>
      <c r="P217" s="47" t="str">
        <f>Data!X215</f>
        <v>Válido</v>
      </c>
    </row>
    <row r="218" spans="1:16">
      <c r="A218" s="41" t="str">
        <f>Data!A216</f>
        <v>PKU069</v>
      </c>
      <c r="B218" s="41" t="str">
        <f>Data!D216</f>
        <v>Vehicle, Diesel, Frontera Energy Col 2679</v>
      </c>
      <c r="C218" s="41" t="str">
        <f>Data!F216</f>
        <v>Luis Enrique</v>
      </c>
      <c r="D218" s="41" t="str">
        <f>Data!G216</f>
        <v>Chala</v>
      </c>
      <c r="E218" s="41" t="str">
        <f>Data!H216</f>
        <v>enriquemono_20@hotmail.com</v>
      </c>
      <c r="F218" s="41" t="str">
        <f>Data!K216</f>
        <v>Rubiales</v>
      </c>
      <c r="G218" s="33" t="str">
        <f>Data!M216</f>
        <v>Exceso Velocidad 10 Km/h</v>
      </c>
      <c r="H218" s="41" t="str">
        <f>Data!P216</f>
        <v>CAMPAMENTO QUIFA, ECOPETROL RUBIALES- Quifa - CAÑO SUR, Puerto Gaitan - Rubiales, Puerto Gaitán, Meta, Colombia, Puerto Triunfo - Estacion Policia: Ent. CAMPAMENTO, Puerto Gaitán, Meta, Colombia</v>
      </c>
      <c r="I218" s="42" t="str">
        <f>Data!Q216</f>
        <v>Vel Max 10 Km/h, Cliente, Vel Max 40 Km/h, Centro de servicios del proveedor, Vel Max 30 Km/h</v>
      </c>
      <c r="J218" s="43">
        <f>Data!S216</f>
        <v>46174.937524606481</v>
      </c>
      <c r="K218" s="44">
        <f>Data!S216</f>
        <v>46174.937524606481</v>
      </c>
      <c r="L218" s="45">
        <f>Data!T216</f>
        <v>1.8115740740740741E-4</v>
      </c>
      <c r="M218" s="46">
        <f>Data!U216</f>
        <v>7.5734443962574005E-2</v>
      </c>
      <c r="N218" s="46" t="str">
        <f>CONCATENATE(Data!W216," (",Data!V216,")")</f>
        <v>Exceso Velocidad 10 Km/h (Velocidad máxima: 22 kmh)</v>
      </c>
      <c r="O218" s="42" t="str">
        <f>IF(Data!V216&lt;&gt;"",N218,Data!W216)</f>
        <v>Exceso Velocidad 10 Km/h (Velocidad máxima: 22 kmh)</v>
      </c>
      <c r="P218" s="47" t="str">
        <f>Data!X216</f>
        <v>Válido</v>
      </c>
    </row>
    <row r="219" spans="1:16">
      <c r="A219" s="41" t="str">
        <f>Data!A217</f>
        <v>PKU069</v>
      </c>
      <c r="B219" s="41" t="str">
        <f>Data!D217</f>
        <v>Vehicle, Diesel, Frontera Energy Col 2679</v>
      </c>
      <c r="C219" s="41" t="str">
        <f>Data!F217</f>
        <v>Luis Enrique</v>
      </c>
      <c r="D219" s="41" t="str">
        <f>Data!G217</f>
        <v>Chala</v>
      </c>
      <c r="E219" s="41" t="str">
        <f>Data!H217</f>
        <v>enriquemono_20@hotmail.com</v>
      </c>
      <c r="F219" s="41" t="str">
        <f>Data!K217</f>
        <v>Rubiales</v>
      </c>
      <c r="G219" s="33" t="str">
        <f>Data!M217</f>
        <v>Exceso Velocidad 10 Km/h</v>
      </c>
      <c r="H219" s="41" t="str">
        <f>Data!P217</f>
        <v>CAMPAMENTO QUIFA, ECOPETROL RUBIALES- Quifa - CAÑO SUR, Puerto Triunfo - Estacion Policia: Puerto Gaitan - Rubiales, Puerto Gaitán, Meta, Colombia</v>
      </c>
      <c r="I219" s="42" t="str">
        <f>Data!Q217</f>
        <v>Vel Max 10 Km/h, Cliente, Vel Max 40 Km/h, Vel Max 30 Km/h</v>
      </c>
      <c r="J219" s="43">
        <f>Data!S217</f>
        <v>46174.937713738429</v>
      </c>
      <c r="K219" s="44">
        <f>Data!S217</f>
        <v>46174.937713738429</v>
      </c>
      <c r="L219" s="45">
        <f>Data!T217</f>
        <v>1.933449074074074E-4</v>
      </c>
      <c r="M219" s="46">
        <f>Data!U217</f>
        <v>9.3421861529350281E-2</v>
      </c>
      <c r="N219" s="46" t="str">
        <f>CONCATENATE(Data!W217," (",Data!V217,")")</f>
        <v>Exceso Velocidad 10 Km/h (Velocidad máxima: 24 kmh)</v>
      </c>
      <c r="O219" s="42" t="str">
        <f>IF(Data!V217&lt;&gt;"",N219,Data!W217)</f>
        <v>Exceso Velocidad 10 Km/h (Velocidad máxima: 24 kmh)</v>
      </c>
      <c r="P219" s="47" t="str">
        <f>Data!X217</f>
        <v>Válido</v>
      </c>
    </row>
    <row r="220" spans="1:16">
      <c r="A220" s="41" t="str">
        <f>Data!A218</f>
        <v>PKU069</v>
      </c>
      <c r="B220" s="41" t="str">
        <f>Data!D218</f>
        <v>Vehicle, Diesel, Frontera Energy Col 2679</v>
      </c>
      <c r="C220" s="41" t="str">
        <f>Data!F218</f>
        <v>Luis Enrique</v>
      </c>
      <c r="D220" s="41" t="str">
        <f>Data!G218</f>
        <v>Chala</v>
      </c>
      <c r="E220" s="41" t="str">
        <f>Data!H218</f>
        <v>enriquemono_20@hotmail.com</v>
      </c>
      <c r="F220" s="41" t="str">
        <f>Data!K218</f>
        <v>Rubiales</v>
      </c>
      <c r="G220" s="33" t="str">
        <f>Data!M218</f>
        <v>Exceso Velocidad 10 Km/h</v>
      </c>
      <c r="H220" s="41" t="str">
        <f>Data!P218</f>
        <v>CAMPAMENTO QUIFA, ECOPETROL RUBIALES- Quifa - CAÑO SUR, Puerto Triunfo - Estacion Policia: Puerto Gaitan - Rubiales, Puerto Gaitán, Meta, Colombia</v>
      </c>
      <c r="I220" s="42" t="str">
        <f>Data!Q218</f>
        <v>Vel Max 10 Km/h, Cliente, Vel Max 40 Km/h, Vel Max 30 Km/h</v>
      </c>
      <c r="J220" s="43">
        <f>Data!S218</f>
        <v>46174.938150856484</v>
      </c>
      <c r="K220" s="44">
        <f>Data!S218</f>
        <v>46174.938150856484</v>
      </c>
      <c r="L220" s="45">
        <f>Data!T218</f>
        <v>5.2129629629629631E-5</v>
      </c>
      <c r="M220" s="46">
        <f>Data!U218</f>
        <v>3.101365827023983E-2</v>
      </c>
      <c r="N220" s="46" t="str">
        <f>CONCATENATE(Data!W218," (",Data!V218,")")</f>
        <v>Exceso Velocidad 10 Km/h (Velocidad máxima: 26 kmh)</v>
      </c>
      <c r="O220" s="42" t="str">
        <f>IF(Data!V218&lt;&gt;"",N220,Data!W218)</f>
        <v>Exceso Velocidad 10 Km/h (Velocidad máxima: 26 kmh)</v>
      </c>
      <c r="P220" s="47" t="str">
        <f>Data!X218</f>
        <v>Válido</v>
      </c>
    </row>
    <row r="221" spans="1:16">
      <c r="A221" s="41" t="str">
        <f>Data!A219</f>
        <v>PKU069</v>
      </c>
      <c r="B221" s="41" t="str">
        <f>Data!D219</f>
        <v>Vehicle, Diesel, Frontera Energy Col 2679</v>
      </c>
      <c r="C221" s="41" t="str">
        <f>Data!F219</f>
        <v>Luis Enrique</v>
      </c>
      <c r="D221" s="41" t="str">
        <f>Data!G219</f>
        <v>Chala</v>
      </c>
      <c r="E221" s="41" t="str">
        <f>Data!H219</f>
        <v>enriquemono_20@hotmail.com</v>
      </c>
      <c r="F221" s="41" t="str">
        <f>Data!K219</f>
        <v>Rubiales</v>
      </c>
      <c r="G221" s="33" t="str">
        <f>Data!M219</f>
        <v>Exceso Velocidad 40 Km/h</v>
      </c>
      <c r="H221" s="41" t="str">
        <f>Data!P219</f>
        <v>ECOPETROL RUBIALES- Quifa - CAÑO SUR: Puerto Gaitan - Rubiales, Puerto Gaitán, Meta, Colombia</v>
      </c>
      <c r="I221" s="42" t="str">
        <f>Data!Q219</f>
        <v>Cliente, Vel Max 40 Km/h</v>
      </c>
      <c r="J221" s="43">
        <f>Data!S219</f>
        <v>46174.948269676024</v>
      </c>
      <c r="K221" s="44">
        <f>Data!S219</f>
        <v>46174.948269676024</v>
      </c>
      <c r="L221" s="45">
        <f>Data!T219</f>
        <v>9.6412037037037036E-6</v>
      </c>
      <c r="M221" s="46">
        <f>Data!U219</f>
        <v>8.7104272097349167E-3</v>
      </c>
      <c r="N221" s="46" t="str">
        <f>CONCATENATE(Data!W219," (",Data!V219,")")</f>
        <v>Exceso Velocidad 40 Km/h (Velocidad máxima: 41 kmh)</v>
      </c>
      <c r="O221" s="42" t="str">
        <f>IF(Data!V219&lt;&gt;"",N221,Data!W219)</f>
        <v>Exceso Velocidad 40 Km/h (Velocidad máxima: 41 kmh)</v>
      </c>
      <c r="P221" s="47" t="str">
        <f>Data!X219</f>
        <v>Válido</v>
      </c>
    </row>
    <row r="222" spans="1:16">
      <c r="A222" s="41" t="str">
        <f>Data!A220</f>
        <v>PKU069</v>
      </c>
      <c r="B222" s="41" t="str">
        <f>Data!D220</f>
        <v>Vehicle, Diesel, Frontera Energy Col 2679</v>
      </c>
      <c r="C222" s="41" t="str">
        <f>Data!F220</f>
        <v>Luis Enrique</v>
      </c>
      <c r="D222" s="41" t="str">
        <f>Data!G220</f>
        <v>Chala</v>
      </c>
      <c r="E222" s="41" t="str">
        <f>Data!H220</f>
        <v>enriquemono_20@hotmail.com</v>
      </c>
      <c r="F222" s="41" t="str">
        <f>Data!K220</f>
        <v>Rubiales</v>
      </c>
      <c r="G222" s="33" t="str">
        <f>Data!M220</f>
        <v>Tiempo en ralentí</v>
      </c>
      <c r="H222" s="41" t="str">
        <f>Data!P220</f>
        <v>ECOPETROL RUBIALES- Quifa - CAÑO SUR: Puerto Gaitan - Rubiales, Puerto Gaitán, Meta, Colombia</v>
      </c>
      <c r="I222" s="42" t="str">
        <f>Data!Q220</f>
        <v>Cliente, Vel Max 40 Km/h</v>
      </c>
      <c r="J222" s="43">
        <f>Data!S220</f>
        <v>46174.957858796297</v>
      </c>
      <c r="K222" s="44">
        <f>Data!S220</f>
        <v>46174.957858796297</v>
      </c>
      <c r="L222" s="45">
        <f>Data!T220</f>
        <v>7.6305671296296295E-3</v>
      </c>
      <c r="M222" s="46">
        <f>Data!U220</f>
        <v>3.3968333154916763E-3</v>
      </c>
      <c r="N222" s="46" t="str">
        <f>CONCATENATE(Data!W220," (",Data!V220,")")</f>
        <v>Tiempo en ralentí (Ignición: 1.00)</v>
      </c>
      <c r="O222" s="42" t="str">
        <f>IF(Data!V220&lt;&gt;"",N222,Data!W220)</f>
        <v>Tiempo en ralentí (Ignición: 1.00)</v>
      </c>
      <c r="P222" s="47" t="str">
        <f>Data!X220</f>
        <v>Válido</v>
      </c>
    </row>
    <row r="223" spans="1:16">
      <c r="A223" s="41" t="str">
        <f>Data!A221</f>
        <v>PKU069</v>
      </c>
      <c r="B223" s="41" t="str">
        <f>Data!D221</f>
        <v>Vehicle, Diesel, Frontera Energy Col 2679</v>
      </c>
      <c r="C223" s="41" t="str">
        <f>Data!F221</f>
        <v>Luis Enrique</v>
      </c>
      <c r="D223" s="41" t="str">
        <f>Data!G221</f>
        <v>Chala</v>
      </c>
      <c r="E223" s="41" t="str">
        <f>Data!H221</f>
        <v>enriquemono_20@hotmail.com</v>
      </c>
      <c r="F223" s="41" t="str">
        <f>Data!K221</f>
        <v>Rubiales</v>
      </c>
      <c r="G223" s="33" t="str">
        <f>Data!M221</f>
        <v>Exceso Velocidad 40 Km/h</v>
      </c>
      <c r="H223" s="41" t="str">
        <f>Data!P221</f>
        <v>ECOPETROL RUBIALES- Quifa - CAÑO SUR: Rb 280 320 4 324 126 129 195 14 325 316 143 217 1 26 523 256 28, Puerto Gaitán, Meta, Colombia</v>
      </c>
      <c r="I223" s="42" t="str">
        <f>Data!Q221</f>
        <v>Cliente, Vel Max 40 Km/h</v>
      </c>
      <c r="J223" s="43">
        <f>Data!S221</f>
        <v>46174.970260416769</v>
      </c>
      <c r="K223" s="44">
        <f>Data!S221</f>
        <v>46174.970260416769</v>
      </c>
      <c r="L223" s="45">
        <f>Data!T221</f>
        <v>1.0416666666666666E-5</v>
      </c>
      <c r="M223" s="46">
        <f>Data!U221</f>
        <v>9.2302765697240829E-3</v>
      </c>
      <c r="N223" s="46" t="str">
        <f>CONCATENATE(Data!W221," (",Data!V221,")")</f>
        <v>Exceso Velocidad 40 Km/h (Velocidad máxima: 41 kmh)</v>
      </c>
      <c r="O223" s="42" t="str">
        <f>IF(Data!V221&lt;&gt;"",N223,Data!W221)</f>
        <v>Exceso Velocidad 40 Km/h (Velocidad máxima: 41 kmh)</v>
      </c>
      <c r="P223" s="47" t="str">
        <f>Data!X221</f>
        <v>Válido</v>
      </c>
    </row>
    <row r="224" spans="1:16">
      <c r="A224" s="41" t="str">
        <f>Data!A222</f>
        <v>PKU069</v>
      </c>
      <c r="B224" s="41" t="str">
        <f>Data!D222</f>
        <v>Vehicle, Diesel, Frontera Energy Col 2679</v>
      </c>
      <c r="C224" s="41" t="str">
        <f>Data!F222</f>
        <v>Luis Enrique</v>
      </c>
      <c r="D224" s="41" t="str">
        <f>Data!G222</f>
        <v>Chala</v>
      </c>
      <c r="E224" s="41" t="str">
        <f>Data!H222</f>
        <v>enriquemono_20@hotmail.com</v>
      </c>
      <c r="F224" s="41" t="str">
        <f>Data!K222</f>
        <v>Rubiales</v>
      </c>
      <c r="G224" s="33" t="str">
        <f>Data!M222</f>
        <v>Exceso Velocidad 10 Km/h</v>
      </c>
      <c r="H224" s="41" t="str">
        <f>Data!P222</f>
        <v>ECOPETROL RUBIALES- Quifa - CAÑO SUR, BATERIA 4: Rb 4 324 126 129 195 14 325 316 143 217 1 26 523 256 28, Meta, 502057, Colombia</v>
      </c>
      <c r="I224" s="42" t="str">
        <f>Data!Q222</f>
        <v>Cliente, Vel Max 40 Km/h, Vel Max 10 Km/h</v>
      </c>
      <c r="J224" s="43">
        <f>Data!S222</f>
        <v>46174.974438252313</v>
      </c>
      <c r="K224" s="44">
        <f>Data!S222</f>
        <v>46174.974438252313</v>
      </c>
      <c r="L224" s="45">
        <f>Data!T222</f>
        <v>1.1558796296296295E-3</v>
      </c>
      <c r="M224" s="46">
        <f>Data!U222</f>
        <v>0.41315051913261414</v>
      </c>
      <c r="N224" s="46" t="str">
        <f>CONCATENATE(Data!W222," (",Data!V222,")")</f>
        <v>Exceso Velocidad 10 Km/h (Velocidad máxima: 18 kmh)</v>
      </c>
      <c r="O224" s="42" t="str">
        <f>IF(Data!V222&lt;&gt;"",N224,Data!W222)</f>
        <v>Exceso Velocidad 10 Km/h (Velocidad máxima: 18 kmh)</v>
      </c>
      <c r="P224" s="47" t="str">
        <f>Data!X222</f>
        <v>Válido</v>
      </c>
    </row>
    <row r="225" spans="1:16">
      <c r="A225" s="41" t="str">
        <f>Data!A223</f>
        <v>PKU069</v>
      </c>
      <c r="B225" s="41" t="str">
        <f>Data!D223</f>
        <v>Vehicle, Diesel, Frontera Energy Col 2679</v>
      </c>
      <c r="C225" s="41" t="str">
        <f>Data!F223</f>
        <v>Luis Enrique</v>
      </c>
      <c r="D225" s="41" t="str">
        <f>Data!G223</f>
        <v>Chala</v>
      </c>
      <c r="E225" s="41" t="str">
        <f>Data!H223</f>
        <v>enriquemono_20@hotmail.com</v>
      </c>
      <c r="F225" s="41" t="str">
        <f>Data!K223</f>
        <v>Rubiales</v>
      </c>
      <c r="G225" s="33" t="str">
        <f>Data!M223</f>
        <v>Exceso Velocidad 10 Km/h</v>
      </c>
      <c r="H225" s="41" t="str">
        <f>Data!P223</f>
        <v>ECOPETROL RUBIALES- Quifa - CAÑO SUR, BATERIA 4: Rb 4 324 126 129 195 14 325 316 143 217 1 26 523 256 28, Puerto Gaitán, Meta, Colombia</v>
      </c>
      <c r="I225" s="42" t="str">
        <f>Data!Q223</f>
        <v>Cliente, Vel Max 40 Km/h, Vel Max 10 Km/h</v>
      </c>
      <c r="J225" s="43">
        <f>Data!S223</f>
        <v>46174.975664351849</v>
      </c>
      <c r="K225" s="44">
        <f>Data!S223</f>
        <v>46174.975664351849</v>
      </c>
      <c r="L225" s="45">
        <f>Data!T223</f>
        <v>9.9537037037037031E-5</v>
      </c>
      <c r="M225" s="46">
        <f>Data!U223</f>
        <v>2.4998785927891731E-2</v>
      </c>
      <c r="N225" s="46" t="str">
        <f>CONCATENATE(Data!W223," (",Data!V223,")")</f>
        <v>Exceso Velocidad 10 Km/h (Velocidad máxima: 12 kmh)</v>
      </c>
      <c r="O225" s="42" t="str">
        <f>IF(Data!V223&lt;&gt;"",N225,Data!W223)</f>
        <v>Exceso Velocidad 10 Km/h (Velocidad máxima: 12 kmh)</v>
      </c>
      <c r="P225" s="47" t="str">
        <f>Data!X223</f>
        <v>Válido</v>
      </c>
    </row>
    <row r="226" spans="1:16">
      <c r="A226" s="41" t="str">
        <f>Data!A224</f>
        <v>PKU069</v>
      </c>
      <c r="B226" s="41" t="str">
        <f>Data!D224</f>
        <v>Vehicle, Diesel, Frontera Energy Col 2679</v>
      </c>
      <c r="C226" s="41" t="str">
        <f>Data!F224</f>
        <v>Luis Enrique</v>
      </c>
      <c r="D226" s="41" t="str">
        <f>Data!G224</f>
        <v>Chala</v>
      </c>
      <c r="E226" s="41" t="str">
        <f>Data!H224</f>
        <v>enriquemono_20@hotmail.com</v>
      </c>
      <c r="F226" s="41" t="str">
        <f>Data!K224</f>
        <v>Rubiales</v>
      </c>
      <c r="G226" s="33" t="str">
        <f>Data!M224</f>
        <v>Exceso Velocidad 10 Km/h</v>
      </c>
      <c r="H226" s="41" t="str">
        <f>Data!P224</f>
        <v>ECOPETROL RUBIALES- Quifa - CAÑO SUR, BATERIA 4: Rb 4 324 126 129 195 14 325 316 143 217 1 26 523 256 28, Puerto Gaitán, Meta, Colombia</v>
      </c>
      <c r="I226" s="42" t="str">
        <f>Data!Q224</f>
        <v>Cliente, Vel Max 40 Km/h, Vel Max 10 Km/h</v>
      </c>
      <c r="J226" s="43">
        <f>Data!S224</f>
        <v>46174.984143518515</v>
      </c>
      <c r="K226" s="44">
        <f>Data!S224</f>
        <v>46174.984143518515</v>
      </c>
      <c r="L226" s="45">
        <f>Data!T224</f>
        <v>5.7484953703703702E-4</v>
      </c>
      <c r="M226" s="46">
        <f>Data!U224</f>
        <v>0.18747149407863617</v>
      </c>
      <c r="N226" s="46" t="str">
        <f>CONCATENATE(Data!W224," (",Data!V224,")")</f>
        <v>Exceso Velocidad 10 Km/h (Velocidad máxima: 18 kmh)</v>
      </c>
      <c r="O226" s="42" t="str">
        <f>IF(Data!V224&lt;&gt;"",N226,Data!W224)</f>
        <v>Exceso Velocidad 10 Km/h (Velocidad máxima: 18 kmh)</v>
      </c>
      <c r="P226" s="47" t="str">
        <f>Data!X224</f>
        <v>Válido</v>
      </c>
    </row>
    <row r="227" spans="1:16">
      <c r="A227" s="41" t="str">
        <f>Data!A225</f>
        <v>PKU069</v>
      </c>
      <c r="B227" s="41" t="str">
        <f>Data!D225</f>
        <v>Vehicle, Diesel, Frontera Energy Col 2679</v>
      </c>
      <c r="C227" s="41" t="str">
        <f>Data!F225</f>
        <v>Luis Enrique</v>
      </c>
      <c r="D227" s="41" t="str">
        <f>Data!G225</f>
        <v>Chala</v>
      </c>
      <c r="E227" s="41" t="str">
        <f>Data!H225</f>
        <v>enriquemono_20@hotmail.com</v>
      </c>
      <c r="F227" s="41" t="str">
        <f>Data!K225</f>
        <v>Rubiales</v>
      </c>
      <c r="G227" s="33" t="str">
        <f>Data!M225</f>
        <v>Exceso Velocidad 10 Km/h</v>
      </c>
      <c r="H227" s="41" t="str">
        <f>Data!P225</f>
        <v>ECOPETROL RUBIALES- Quifa - CAÑO SUR, BATERIA 4: Rb 4, Puerto Gaitán, Meta, Colombia</v>
      </c>
      <c r="I227" s="42" t="str">
        <f>Data!Q225</f>
        <v>Cliente, Vel Max 40 Km/h, Vel Max 10 Km/h</v>
      </c>
      <c r="J227" s="43">
        <f>Data!S225</f>
        <v>46174.984800925929</v>
      </c>
      <c r="K227" s="44">
        <f>Data!S225</f>
        <v>46174.984800925929</v>
      </c>
      <c r="L227" s="45">
        <f>Data!T225</f>
        <v>1.0041203703703703E-3</v>
      </c>
      <c r="M227" s="46">
        <f>Data!U225</f>
        <v>0.2950032651424408</v>
      </c>
      <c r="N227" s="46" t="str">
        <f>CONCATENATE(Data!W225," (",Data!V225,")")</f>
        <v>Exceso Velocidad 10 Km/h (Velocidad máxima: 14 kmh)</v>
      </c>
      <c r="O227" s="42" t="str">
        <f>IF(Data!V225&lt;&gt;"",N227,Data!W225)</f>
        <v>Exceso Velocidad 10 Km/h (Velocidad máxima: 14 kmh)</v>
      </c>
      <c r="P227" s="47" t="str">
        <f>Data!X225</f>
        <v>Válido</v>
      </c>
    </row>
    <row r="228" spans="1:16">
      <c r="A228" s="41" t="str">
        <f>Data!A226</f>
        <v>PKU069</v>
      </c>
      <c r="B228" s="41" t="str">
        <f>Data!D226</f>
        <v>Vehicle, Diesel, Frontera Energy Col 2679</v>
      </c>
      <c r="C228" s="41" t="str">
        <f>Data!F226</f>
        <v>Luis Enrique</v>
      </c>
      <c r="D228" s="41" t="str">
        <f>Data!G226</f>
        <v>Chala</v>
      </c>
      <c r="E228" s="41" t="str">
        <f>Data!H226</f>
        <v>enriquemono_20@hotmail.com</v>
      </c>
      <c r="F228" s="41" t="str">
        <f>Data!K226</f>
        <v>Rubiales</v>
      </c>
      <c r="G228" s="33" t="str">
        <f>Data!M226</f>
        <v>Uso del cinturón de seguridad</v>
      </c>
      <c r="H228" s="41" t="str">
        <f>Data!P226</f>
        <v>ECOPETROL RUBIALES- Quifa - CAÑO SUR, BATERIA 4: Rb 4, Puerto Gaitán, Meta, Colombia</v>
      </c>
      <c r="I228" s="42" t="str">
        <f>Data!Q226</f>
        <v>Cliente, Vel Max 40 Km/h, Vel Max 10 Km/h</v>
      </c>
      <c r="J228" s="43">
        <f>Data!S226</f>
        <v>46174.990632719906</v>
      </c>
      <c r="K228" s="44">
        <f>Data!S226</f>
        <v>46174.990632719906</v>
      </c>
      <c r="L228" s="45">
        <f>Data!T226</f>
        <v>2.7005787037037037E-4</v>
      </c>
      <c r="M228" s="46">
        <f>Data!U226</f>
        <v>7.3552511632442474E-2</v>
      </c>
      <c r="N228" s="46" t="str">
        <f>CONCATENATE(Data!W226," (",Data!V226,")")</f>
        <v>Uso del cinturón de seguridad (Velocidad máxima: 12 kmh Cinturón de seguridad del conductor (1. Desabrochado): 1.00)</v>
      </c>
      <c r="O228" s="42" t="str">
        <f>IF(Data!V226&lt;&gt;"",N228,Data!W226)</f>
        <v>Uso del cinturón de seguridad (Velocidad máxima: 12 kmh Cinturón de seguridad del conductor (1. Desabrochado): 1.00)</v>
      </c>
      <c r="P228" s="47" t="str">
        <f>Data!X226</f>
        <v>Válido</v>
      </c>
    </row>
    <row r="229" spans="1:16">
      <c r="A229" s="41" t="str">
        <f>Data!A227</f>
        <v>PKU069</v>
      </c>
      <c r="B229" s="41" t="str">
        <f>Data!D227</f>
        <v>Vehicle, Diesel, Frontera Energy Col 2679</v>
      </c>
      <c r="C229" s="41" t="str">
        <f>Data!F227</f>
        <v>Luis Enrique</v>
      </c>
      <c r="D229" s="41" t="str">
        <f>Data!G227</f>
        <v>Chala</v>
      </c>
      <c r="E229" s="41" t="str">
        <f>Data!H227</f>
        <v>enriquemono_20@hotmail.com</v>
      </c>
      <c r="F229" s="41" t="str">
        <f>Data!K227</f>
        <v>Rubiales</v>
      </c>
      <c r="G229" s="33" t="str">
        <f>Data!M227</f>
        <v>Exceso Velocidad 10 Km/h</v>
      </c>
      <c r="H229" s="41" t="str">
        <f>Data!P227</f>
        <v>ECOPETROL RUBIALES- Quifa - CAÑO SUR, BATERIA 4: Rb 4, Puerto Gaitán, Meta, Colombia</v>
      </c>
      <c r="I229" s="42" t="str">
        <f>Data!Q227</f>
        <v>Cliente, Vel Max 40 Km/h, Vel Max 10 Km/h</v>
      </c>
      <c r="J229" s="43">
        <f>Data!S227</f>
        <v>46174.990632719906</v>
      </c>
      <c r="K229" s="44">
        <f>Data!S227</f>
        <v>46174.990632719906</v>
      </c>
      <c r="L229" s="45">
        <f>Data!T227</f>
        <v>2.7005787037037037E-4</v>
      </c>
      <c r="M229" s="46">
        <f>Data!U227</f>
        <v>7.3552511632442474E-2</v>
      </c>
      <c r="N229" s="46" t="str">
        <f>CONCATENATE(Data!W227," (",Data!V227,")")</f>
        <v>Exceso Velocidad 10 Km/h (Velocidad máxima: 12 kmh)</v>
      </c>
      <c r="O229" s="42" t="str">
        <f>IF(Data!V227&lt;&gt;"",N229,Data!W227)</f>
        <v>Exceso Velocidad 10 Km/h (Velocidad máxima: 12 kmh)</v>
      </c>
      <c r="P229" s="47" t="str">
        <f>Data!X227</f>
        <v>Válido</v>
      </c>
    </row>
    <row r="230" spans="1:16">
      <c r="A230" s="41" t="str">
        <f>Data!A228</f>
        <v>PKU069</v>
      </c>
      <c r="B230" s="41" t="str">
        <f>Data!D228</f>
        <v>Vehicle, Diesel, Frontera Energy Col 2679</v>
      </c>
      <c r="C230" s="41" t="str">
        <f>Data!F228</f>
        <v>Luis Enrique</v>
      </c>
      <c r="D230" s="41" t="str">
        <f>Data!G228</f>
        <v>Chala</v>
      </c>
      <c r="E230" s="41" t="str">
        <f>Data!H228</f>
        <v>enriquemono_20@hotmail.com</v>
      </c>
      <c r="F230" s="41" t="str">
        <f>Data!K228</f>
        <v>Rubiales</v>
      </c>
      <c r="G230" s="33" t="str">
        <f>Data!M228</f>
        <v>Uso del cinturón de seguridad</v>
      </c>
      <c r="H230" s="41" t="str">
        <f>Data!P228</f>
        <v>ECOPETROL RUBIALES- Quifa - CAÑO SUR, BATERIA 4: Rb 4, Puerto Gaitán, Meta, Colombia</v>
      </c>
      <c r="I230" s="42" t="str">
        <f>Data!Q228</f>
        <v>Cliente, Vel Max 40 Km/h, Vel Max 10 Km/h</v>
      </c>
      <c r="J230" s="43">
        <f>Data!S228</f>
        <v>46174.991018518522</v>
      </c>
      <c r="K230" s="44">
        <f>Data!S228</f>
        <v>46174.991018518522</v>
      </c>
      <c r="L230" s="45">
        <f>Data!T228</f>
        <v>6.655092592592593E-5</v>
      </c>
      <c r="M230" s="46">
        <f>Data!U228</f>
        <v>1.9616154953837395E-2</v>
      </c>
      <c r="N230" s="46" t="str">
        <f>CONCATENATE(Data!W228," (",Data!V228,")")</f>
        <v>Uso del cinturón de seguridad (Velocidad máxima: 13 kmh Cinturón de seguridad del conductor (1. Desabrochado): 1.00)</v>
      </c>
      <c r="O230" s="42" t="str">
        <f>IF(Data!V228&lt;&gt;"",N230,Data!W228)</f>
        <v>Uso del cinturón de seguridad (Velocidad máxima: 13 kmh Cinturón de seguridad del conductor (1. Desabrochado): 1.00)</v>
      </c>
      <c r="P230" s="47" t="str">
        <f>Data!X228</f>
        <v>Válido</v>
      </c>
    </row>
    <row r="231" spans="1:16">
      <c r="A231" s="41" t="str">
        <f>Data!A229</f>
        <v>PKU069</v>
      </c>
      <c r="B231" s="41" t="str">
        <f>Data!D229</f>
        <v>Vehicle, Diesel, Frontera Energy Col 2679</v>
      </c>
      <c r="C231" s="41" t="str">
        <f>Data!F229</f>
        <v>Luis Enrique</v>
      </c>
      <c r="D231" s="41" t="str">
        <f>Data!G229</f>
        <v>Chala</v>
      </c>
      <c r="E231" s="41" t="str">
        <f>Data!H229</f>
        <v>enriquemono_20@hotmail.com</v>
      </c>
      <c r="F231" s="41" t="str">
        <f>Data!K229</f>
        <v>Rubiales</v>
      </c>
      <c r="G231" s="33" t="str">
        <f>Data!M229</f>
        <v>Exceso Velocidad 10 Km/h</v>
      </c>
      <c r="H231" s="41" t="str">
        <f>Data!P229</f>
        <v>ECOPETROL RUBIALES- Quifa - CAÑO SUR, BATERIA 4: Rb 4, Puerto Gaitán, Meta, Colombia</v>
      </c>
      <c r="I231" s="42" t="str">
        <f>Data!Q229</f>
        <v>Cliente, Vel Max 40 Km/h, Vel Max 10 Km/h</v>
      </c>
      <c r="J231" s="43">
        <f>Data!S229</f>
        <v>46174.991018518522</v>
      </c>
      <c r="K231" s="44">
        <f>Data!S229</f>
        <v>46174.991018518522</v>
      </c>
      <c r="L231" s="45">
        <f>Data!T229</f>
        <v>6.655092592592593E-5</v>
      </c>
      <c r="M231" s="46">
        <f>Data!U229</f>
        <v>1.9616154953837395E-2</v>
      </c>
      <c r="N231" s="46" t="str">
        <f>CONCATENATE(Data!W229," (",Data!V229,")")</f>
        <v>Exceso Velocidad 10 Km/h (Velocidad máxima: 13 kmh)</v>
      </c>
      <c r="O231" s="42" t="str">
        <f>IF(Data!V229&lt;&gt;"",N231,Data!W229)</f>
        <v>Exceso Velocidad 10 Km/h (Velocidad máxima: 13 kmh)</v>
      </c>
      <c r="P231" s="47" t="str">
        <f>Data!X229</f>
        <v>Válido</v>
      </c>
    </row>
    <row r="232" spans="1:16">
      <c r="A232" s="41" t="str">
        <f>Data!A230</f>
        <v>PKU239</v>
      </c>
      <c r="B232" s="41" t="str">
        <f>Data!D230</f>
        <v>Vehicle, Diesel, Frontera Energy Col 2679</v>
      </c>
      <c r="C232" s="41">
        <f>Data!F230</f>
        <v>0</v>
      </c>
      <c r="D232" s="41">
        <f>Data!G230</f>
        <v>0</v>
      </c>
      <c r="E232" s="41">
        <f>Data!H230</f>
        <v>0</v>
      </c>
      <c r="F232" s="41">
        <f>Data!K230</f>
        <v>0</v>
      </c>
      <c r="G232" s="33" t="str">
        <f>Data!M230</f>
        <v>Tiempo en ralentí</v>
      </c>
      <c r="H232" s="41" t="str">
        <f>Data!P230</f>
        <v>ECOPETROL RUBIALES- Quifa - CAÑO SUR: Vía Sin Nombre, Puerto Gaitán, Meta, Colombia</v>
      </c>
      <c r="I232" s="42" t="str">
        <f>Data!Q230</f>
        <v>Cliente, Vel Max 40 Km/h</v>
      </c>
      <c r="J232" s="43">
        <f>Data!S230</f>
        <v>46174.07562822917</v>
      </c>
      <c r="K232" s="44">
        <f>Data!S230</f>
        <v>46174.07562822917</v>
      </c>
      <c r="L232" s="45">
        <f>Data!T230</f>
        <v>5.3439930555555558E-3</v>
      </c>
      <c r="M232" s="46">
        <f>Data!U230</f>
        <v>3.8443794474005699E-3</v>
      </c>
      <c r="N232" s="46" t="str">
        <f>CONCATENATE(Data!W230," (",Data!V230,")")</f>
        <v>Tiempo en ralentí (Ignición: 1.00)</v>
      </c>
      <c r="O232" s="42" t="str">
        <f>IF(Data!V230&lt;&gt;"",N232,Data!W230)</f>
        <v>Tiempo en ralentí (Ignición: 1.00)</v>
      </c>
      <c r="P232" s="47" t="str">
        <f>Data!X230</f>
        <v>Válido</v>
      </c>
    </row>
    <row r="233" spans="1:16">
      <c r="A233" s="41" t="str">
        <f>Data!A231</f>
        <v>PKU239</v>
      </c>
      <c r="B233" s="41" t="str">
        <f>Data!D231</f>
        <v>Vehicle, Diesel, Frontera Energy Col 2679</v>
      </c>
      <c r="C233" s="41">
        <f>Data!F231</f>
        <v>0</v>
      </c>
      <c r="D233" s="41">
        <f>Data!G231</f>
        <v>0</v>
      </c>
      <c r="E233" s="41">
        <f>Data!H231</f>
        <v>0</v>
      </c>
      <c r="F233" s="41">
        <f>Data!K231</f>
        <v>0</v>
      </c>
      <c r="G233" s="33" t="str">
        <f>Data!M231</f>
        <v>Uso del cinturón de seguridad</v>
      </c>
      <c r="H233" s="41" t="str">
        <f>Data!P231</f>
        <v>ECOPETROL RUBIALES- Quifa - CAÑO SUR: Vía Sin Nombre, Puerto Gaitán, Meta, Colombia</v>
      </c>
      <c r="I233" s="42" t="str">
        <f>Data!Q231</f>
        <v>Cliente, Vel Max 40 Km/h</v>
      </c>
      <c r="J233" s="43">
        <f>Data!S231</f>
        <v>46174.083132719905</v>
      </c>
      <c r="K233" s="44">
        <f>Data!S231</f>
        <v>46174.083132719905</v>
      </c>
      <c r="L233" s="45">
        <f>Data!T231</f>
        <v>3.8114583333333333E-4</v>
      </c>
      <c r="M233" s="46">
        <f>Data!U231</f>
        <v>0.13309487700462341</v>
      </c>
      <c r="N233" s="46" t="str">
        <f>CONCATENATE(Data!W231," (",Data!V231,")")</f>
        <v>Uso del cinturón de seguridad (Velocidad máxima: 21 kmh Cinturón de seguridad del conductor (1. Desabrochado): 1.00)</v>
      </c>
      <c r="O233" s="42" t="str">
        <f>IF(Data!V231&lt;&gt;"",N233,Data!W231)</f>
        <v>Uso del cinturón de seguridad (Velocidad máxima: 21 kmh Cinturón de seguridad del conductor (1. Desabrochado): 1.00)</v>
      </c>
      <c r="P233" s="47" t="str">
        <f>Data!X231</f>
        <v>Válido</v>
      </c>
    </row>
    <row r="234" spans="1:16">
      <c r="A234" s="41" t="str">
        <f>Data!A232</f>
        <v>PKU239</v>
      </c>
      <c r="B234" s="41" t="str">
        <f>Data!D232</f>
        <v>Vehicle, Diesel, Frontera Energy Col 2679</v>
      </c>
      <c r="C234" s="41">
        <f>Data!F232</f>
        <v>0</v>
      </c>
      <c r="D234" s="41">
        <f>Data!G232</f>
        <v>0</v>
      </c>
      <c r="E234" s="41">
        <f>Data!H232</f>
        <v>0</v>
      </c>
      <c r="F234" s="41">
        <f>Data!K232</f>
        <v>0</v>
      </c>
      <c r="G234" s="33" t="str">
        <f>Data!M232</f>
        <v>Exceso Velocidad 10 Km/h</v>
      </c>
      <c r="H234" s="41" t="str">
        <f>Data!P232</f>
        <v>ECOPETROL RUBIALES- Quifa - CAÑO SUR, Campamento Quifa - CMA: Vía Sin Nombre, Puerto Gaitán, Meta, Colombia</v>
      </c>
      <c r="I234" s="42" t="str">
        <f>Data!Q232</f>
        <v>Cliente, Vel Max 40 Km/h, Vel Max 10 Km/h</v>
      </c>
      <c r="J234" s="43">
        <f>Data!S232</f>
        <v>46174.083484791663</v>
      </c>
      <c r="K234" s="44">
        <f>Data!S232</f>
        <v>46174.083484791663</v>
      </c>
      <c r="L234" s="45">
        <f>Data!T232</f>
        <v>1.0145949074074074E-3</v>
      </c>
      <c r="M234" s="46">
        <f>Data!U232</f>
        <v>0.53301471471786499</v>
      </c>
      <c r="N234" s="46" t="str">
        <f>CONCATENATE(Data!W232," (",Data!V232,")")</f>
        <v>Exceso Velocidad 10 Km/h (Velocidad máxima: 28 kmh)</v>
      </c>
      <c r="O234" s="42" t="str">
        <f>IF(Data!V232&lt;&gt;"",N234,Data!W232)</f>
        <v>Exceso Velocidad 10 Km/h (Velocidad máxima: 28 kmh)</v>
      </c>
      <c r="P234" s="47" t="str">
        <f>Data!X232</f>
        <v>Válido</v>
      </c>
    </row>
    <row r="235" spans="1:16">
      <c r="A235" s="41" t="str">
        <f>Data!A233</f>
        <v>PKU239</v>
      </c>
      <c r="B235" s="41" t="str">
        <f>Data!D233</f>
        <v>Vehicle, Diesel, Frontera Energy Col 2679</v>
      </c>
      <c r="C235" s="41">
        <f>Data!F233</f>
        <v>0</v>
      </c>
      <c r="D235" s="41">
        <f>Data!G233</f>
        <v>0</v>
      </c>
      <c r="E235" s="41">
        <f>Data!H233</f>
        <v>0</v>
      </c>
      <c r="F235" s="41">
        <f>Data!K233</f>
        <v>0</v>
      </c>
      <c r="G235" s="33" t="str">
        <f>Data!M233</f>
        <v>Exceso Velocidad 30 Km/h</v>
      </c>
      <c r="H235" s="41" t="str">
        <f>Data!P233</f>
        <v>ECOPETROL RUBIALES- Quifa - CAÑO SUR, Puerto Triunfo - Estacion Policia: Puerto Gaitan - Rubiales, Puerto Gaitán, Meta, Colombia</v>
      </c>
      <c r="I235" s="42" t="str">
        <f>Data!Q233</f>
        <v>Cliente, Vel Max 40 Km/h, Vel Max 30 Km/h</v>
      </c>
      <c r="J235" s="43">
        <f>Data!S233</f>
        <v>46174.084645289353</v>
      </c>
      <c r="K235" s="44">
        <f>Data!S233</f>
        <v>46174.084645289353</v>
      </c>
      <c r="L235" s="45">
        <f>Data!T233</f>
        <v>3.3541666666666664E-4</v>
      </c>
      <c r="M235" s="46">
        <f>Data!U233</f>
        <v>0.2814655601978302</v>
      </c>
      <c r="N235" s="46" t="str">
        <f>CONCATENATE(Data!W233," (",Data!V233,")")</f>
        <v>Exceso Velocidad 30 Km/h (Velocidad máxima: 39 kmh)</v>
      </c>
      <c r="O235" s="42" t="str">
        <f>IF(Data!V233&lt;&gt;"",N235,Data!W233)</f>
        <v>Exceso Velocidad 30 Km/h (Velocidad máxima: 39 kmh)</v>
      </c>
      <c r="P235" s="47" t="str">
        <f>Data!X233</f>
        <v>Válido</v>
      </c>
    </row>
    <row r="236" spans="1:16">
      <c r="A236" s="41" t="str">
        <f>Data!A234</f>
        <v>PKU239</v>
      </c>
      <c r="B236" s="41" t="str">
        <f>Data!D234</f>
        <v>Vehicle, Diesel, Frontera Energy Col 2679</v>
      </c>
      <c r="C236" s="41">
        <f>Data!F234</f>
        <v>0</v>
      </c>
      <c r="D236" s="41">
        <f>Data!G234</f>
        <v>0</v>
      </c>
      <c r="E236" s="41">
        <f>Data!H234</f>
        <v>0</v>
      </c>
      <c r="F236" s="41">
        <f>Data!K234</f>
        <v>0</v>
      </c>
      <c r="G236" s="33" t="str">
        <f>Data!M234</f>
        <v>Exceso Velocidad 30 Km/h</v>
      </c>
      <c r="H236" s="41" t="str">
        <f>Data!P234</f>
        <v>ECOPETROL RUBIALES- Quifa - CAÑO SUR, Puerto Triunfo - Estacion Policia: Puerto Gaitan - Rubiales, Puerto Gaitán, Meta, Colombia</v>
      </c>
      <c r="I236" s="42" t="str">
        <f>Data!Q234</f>
        <v>Cliente, Vel Max 40 Km/h, Vel Max 30 Km/h</v>
      </c>
      <c r="J236" s="43">
        <f>Data!S234</f>
        <v>46174.085102881945</v>
      </c>
      <c r="K236" s="44">
        <f>Data!S234</f>
        <v>46174.085102881945</v>
      </c>
      <c r="L236" s="45">
        <f>Data!T234</f>
        <v>1.6717592592592592E-4</v>
      </c>
      <c r="M236" s="46">
        <f>Data!U234</f>
        <v>0.13306093215942383</v>
      </c>
      <c r="N236" s="46" t="str">
        <f>CONCATENATE(Data!W234," (",Data!V234,")")</f>
        <v>Exceso Velocidad 30 Km/h (Velocidad máxima: 37 kmh)</v>
      </c>
      <c r="O236" s="42" t="str">
        <f>IF(Data!V234&lt;&gt;"",N236,Data!W234)</f>
        <v>Exceso Velocidad 30 Km/h (Velocidad máxima: 37 kmh)</v>
      </c>
      <c r="P236" s="47" t="str">
        <f>Data!X234</f>
        <v>Válido</v>
      </c>
    </row>
    <row r="237" spans="1:16">
      <c r="A237" s="41" t="str">
        <f>Data!A235</f>
        <v>PKU239</v>
      </c>
      <c r="B237" s="41" t="str">
        <f>Data!D235</f>
        <v>Vehicle, Diesel, Frontera Energy Col 2679</v>
      </c>
      <c r="C237" s="41">
        <f>Data!F235</f>
        <v>0</v>
      </c>
      <c r="D237" s="41">
        <f>Data!G235</f>
        <v>0</v>
      </c>
      <c r="E237" s="41">
        <f>Data!H235</f>
        <v>0</v>
      </c>
      <c r="F237" s="41">
        <f>Data!K235</f>
        <v>0</v>
      </c>
      <c r="G237" s="33" t="str">
        <f>Data!M235</f>
        <v>Exceso Velocidad 30 Km/h</v>
      </c>
      <c r="H237" s="41" t="str">
        <f>Data!P235</f>
        <v>ECOPETROL RUBIALES- Quifa - CAÑO SUR, Puerto Triunfo - Estacion Policia: Puerto Gaitan - Rubiales, Puerto Gaitán, Meta, Colombia</v>
      </c>
      <c r="I237" s="42" t="str">
        <f>Data!Q235</f>
        <v>Cliente, Vel Max 40 Km/h, Vel Max 30 Km/h</v>
      </c>
      <c r="J237" s="43">
        <f>Data!S235</f>
        <v>46174.08539641204</v>
      </c>
      <c r="K237" s="44">
        <f>Data!S235</f>
        <v>46174.08539641204</v>
      </c>
      <c r="L237" s="45">
        <f>Data!T235</f>
        <v>5.8287037037037038E-5</v>
      </c>
      <c r="M237" s="46">
        <f>Data!U235</f>
        <v>4.4427022337913513E-2</v>
      </c>
      <c r="N237" s="46" t="str">
        <f>CONCATENATE(Data!W235," (",Data!V235,")")</f>
        <v>Exceso Velocidad 30 Km/h (Velocidad máxima: 33 kmh)</v>
      </c>
      <c r="O237" s="42" t="str">
        <f>IF(Data!V235&lt;&gt;"",N237,Data!W235)</f>
        <v>Exceso Velocidad 30 Km/h (Velocidad máxima: 33 kmh)</v>
      </c>
      <c r="P237" s="47" t="str">
        <f>Data!X235</f>
        <v>Válido</v>
      </c>
    </row>
    <row r="238" spans="1:16">
      <c r="A238" s="41" t="str">
        <f>Data!A236</f>
        <v>PKU239</v>
      </c>
      <c r="B238" s="41" t="str">
        <f>Data!D236</f>
        <v>Vehicle, Diesel, Frontera Energy Col 2679</v>
      </c>
      <c r="C238" s="41">
        <f>Data!F236</f>
        <v>0</v>
      </c>
      <c r="D238" s="41">
        <f>Data!G236</f>
        <v>0</v>
      </c>
      <c r="E238" s="41">
        <f>Data!H236</f>
        <v>0</v>
      </c>
      <c r="F238" s="41">
        <f>Data!K236</f>
        <v>0</v>
      </c>
      <c r="G238" s="33" t="str">
        <f>Data!M236</f>
        <v>Exceso Velocidad 30 Km/h</v>
      </c>
      <c r="H238" s="41" t="str">
        <f>Data!P236</f>
        <v>ECOPETROL RUBIALES- Quifa - CAÑO SUR, Puerto Triunfo - Estacion Policia: Puerto Gaitan - Rubiales, Puerto Gaitán, Meta, Colombia</v>
      </c>
      <c r="I238" s="42" t="str">
        <f>Data!Q236</f>
        <v>Cliente, Vel Max 40 Km/h, Vel Max 30 Km/h</v>
      </c>
      <c r="J238" s="43">
        <f>Data!S236</f>
        <v>46174.085502314818</v>
      </c>
      <c r="K238" s="44">
        <f>Data!S236</f>
        <v>46174.085502314818</v>
      </c>
      <c r="L238" s="45">
        <f>Data!T236</f>
        <v>8.269675925925926E-5</v>
      </c>
      <c r="M238" s="46">
        <f>Data!U236</f>
        <v>6.3132531940937042E-2</v>
      </c>
      <c r="N238" s="46" t="str">
        <f>CONCATENATE(Data!W236," (",Data!V236,")")</f>
        <v>Exceso Velocidad 30 Km/h (Velocidad máxima: 31 kmh)</v>
      </c>
      <c r="O238" s="42" t="str">
        <f>IF(Data!V236&lt;&gt;"",N238,Data!W236)</f>
        <v>Exceso Velocidad 30 Km/h (Velocidad máxima: 31 kmh)</v>
      </c>
      <c r="P238" s="47" t="str">
        <f>Data!X236</f>
        <v>Válido</v>
      </c>
    </row>
    <row r="239" spans="1:16">
      <c r="A239" s="41" t="str">
        <f>Data!A237</f>
        <v>PKU239</v>
      </c>
      <c r="B239" s="41" t="str">
        <f>Data!D237</f>
        <v>Vehicle, Diesel, Frontera Energy Col 2679</v>
      </c>
      <c r="C239" s="41">
        <f>Data!F237</f>
        <v>0</v>
      </c>
      <c r="D239" s="41">
        <f>Data!G237</f>
        <v>0</v>
      </c>
      <c r="E239" s="41">
        <f>Data!H237</f>
        <v>0</v>
      </c>
      <c r="F239" s="41">
        <f>Data!K237</f>
        <v>0</v>
      </c>
      <c r="G239" s="33" t="str">
        <f>Data!M237</f>
        <v>Exceso de velocidad (nuevo)</v>
      </c>
      <c r="H239" s="41" t="str">
        <f>Data!P237</f>
        <v>ECOPETROL RUBIALES- Quifa - CAÑO SUR, Puerto Triunfo - Estacion Policia: Puerto Gaitan - Rubiales, Puerto Gaitán, Meta, Colombia</v>
      </c>
      <c r="I239" s="42" t="str">
        <f>Data!Q237</f>
        <v>Cliente, Vel Max 40 Km/h, Vel Max 30 Km/h</v>
      </c>
      <c r="J239" s="43">
        <f>Data!S237</f>
        <v>46174.085682870369</v>
      </c>
      <c r="K239" s="44">
        <f>Data!S237</f>
        <v>46174.085682870369</v>
      </c>
      <c r="L239" s="45">
        <f>Data!T237</f>
        <v>5.1542824074074078E-4</v>
      </c>
      <c r="M239" s="46">
        <f>Data!U237</f>
        <v>0.30030697584152222</v>
      </c>
      <c r="N239" s="46" t="str">
        <f>CONCATENATE(Data!W237," (",Data!V237,")")</f>
        <v>Exceso de velocidad (nuevo) (Velocidad máxima: 31 kmh (Velocidad máxima en carretera: 7 kmh))</v>
      </c>
      <c r="O239" s="42" t="str">
        <f>IF(Data!V237&lt;&gt;"",N239,Data!W237)</f>
        <v>Exceso de velocidad (nuevo) (Velocidad máxima: 31 kmh (Velocidad máxima en carretera: 7 kmh))</v>
      </c>
      <c r="P239" s="47" t="str">
        <f>Data!X237</f>
        <v>Válido</v>
      </c>
    </row>
    <row r="240" spans="1:16">
      <c r="A240" s="41" t="str">
        <f>Data!A238</f>
        <v>PKU239</v>
      </c>
      <c r="B240" s="41" t="str">
        <f>Data!D238</f>
        <v>Vehicle, Diesel, Frontera Energy Col 2679</v>
      </c>
      <c r="C240" s="41">
        <f>Data!F238</f>
        <v>0</v>
      </c>
      <c r="D240" s="41">
        <f>Data!G238</f>
        <v>0</v>
      </c>
      <c r="E240" s="41">
        <f>Data!H238</f>
        <v>0</v>
      </c>
      <c r="F240" s="41">
        <f>Data!K238</f>
        <v>0</v>
      </c>
      <c r="G240" s="33" t="str">
        <f>Data!M238</f>
        <v>Exceso Velocidad 10 Km/h</v>
      </c>
      <c r="H240" s="41" t="str">
        <f>Data!P238</f>
        <v>ECOPETROL RUBIALES- Quifa - CAÑO SUR, Centralizado de combustible Quifa: Vía Sin Nombre, Puerto Gaitán, Meta, Colombia</v>
      </c>
      <c r="I240" s="42" t="str">
        <f>Data!Q238</f>
        <v>Cliente, Vel Max 40 Km/h, Vel Max 10 Km/h</v>
      </c>
      <c r="J240" s="43">
        <f>Data!S238</f>
        <v>46174.086265474536</v>
      </c>
      <c r="K240" s="44">
        <f>Data!S238</f>
        <v>46174.086265474536</v>
      </c>
      <c r="L240" s="45">
        <f>Data!T238</f>
        <v>2.3915509259259259E-4</v>
      </c>
      <c r="M240" s="46">
        <f>Data!U238</f>
        <v>8.3180665969848633E-2</v>
      </c>
      <c r="N240" s="46" t="str">
        <f>CONCATENATE(Data!W238," (",Data!V238,")")</f>
        <v>Exceso Velocidad 10 Km/h (Velocidad máxima: 17 kmh)</v>
      </c>
      <c r="O240" s="42" t="str">
        <f>IF(Data!V238&lt;&gt;"",N240,Data!W238)</f>
        <v>Exceso Velocidad 10 Km/h (Velocidad máxima: 17 kmh)</v>
      </c>
      <c r="P240" s="47" t="str">
        <f>Data!X238</f>
        <v>Válido</v>
      </c>
    </row>
    <row r="241" spans="1:16">
      <c r="A241" s="41" t="str">
        <f>Data!A239</f>
        <v>PKU239</v>
      </c>
      <c r="B241" s="41" t="str">
        <f>Data!D239</f>
        <v>Vehicle, Diesel, Frontera Energy Col 2679</v>
      </c>
      <c r="C241" s="41">
        <f>Data!F239</f>
        <v>0</v>
      </c>
      <c r="D241" s="41">
        <f>Data!G239</f>
        <v>0</v>
      </c>
      <c r="E241" s="41">
        <f>Data!H239</f>
        <v>0</v>
      </c>
      <c r="F241" s="41">
        <f>Data!K239</f>
        <v>0</v>
      </c>
      <c r="G241" s="33" t="str">
        <f>Data!M239</f>
        <v>Exceso Velocidad 10 Km/h</v>
      </c>
      <c r="H241" s="41" t="str">
        <f>Data!P239</f>
        <v>ECOPETROL RUBIALES- Quifa - CAÑO SUR, Centralizado de combustible Quifa: Vía Sin Nombre, Puerto Gaitán, Meta, Colombia</v>
      </c>
      <c r="I241" s="42" t="str">
        <f>Data!Q239</f>
        <v>Cliente, Vel Max 40 Km/h, Vel Max 10 Km/h</v>
      </c>
      <c r="J241" s="43">
        <f>Data!S239</f>
        <v>46174.093012569443</v>
      </c>
      <c r="K241" s="44">
        <f>Data!S239</f>
        <v>46174.093012569443</v>
      </c>
      <c r="L241" s="45">
        <f>Data!T239</f>
        <v>2.5373842592592592E-4</v>
      </c>
      <c r="M241" s="46">
        <f>Data!U239</f>
        <v>8.3101674914360046E-2</v>
      </c>
      <c r="N241" s="46" t="str">
        <f>CONCATENATE(Data!W239," (",Data!V239,")")</f>
        <v>Exceso Velocidad 10 Km/h (Velocidad máxima: 14 kmh)</v>
      </c>
      <c r="O241" s="42" t="str">
        <f>IF(Data!V239&lt;&gt;"",N241,Data!W239)</f>
        <v>Exceso Velocidad 10 Km/h (Velocidad máxima: 14 kmh)</v>
      </c>
      <c r="P241" s="47" t="str">
        <f>Data!X239</f>
        <v>Válido</v>
      </c>
    </row>
    <row r="242" spans="1:16">
      <c r="A242" s="41" t="str">
        <f>Data!A240</f>
        <v>PKU239</v>
      </c>
      <c r="B242" s="41" t="str">
        <f>Data!D240</f>
        <v>Vehicle, Diesel, Frontera Energy Col 2679</v>
      </c>
      <c r="C242" s="41">
        <f>Data!F240</f>
        <v>0</v>
      </c>
      <c r="D242" s="41">
        <f>Data!G240</f>
        <v>0</v>
      </c>
      <c r="E242" s="41">
        <f>Data!H240</f>
        <v>0</v>
      </c>
      <c r="F242" s="41">
        <f>Data!K240</f>
        <v>0</v>
      </c>
      <c r="G242" s="33" t="str">
        <f>Data!M240</f>
        <v>Exceso de velocidad (nuevo)</v>
      </c>
      <c r="H242" s="41" t="str">
        <f>Data!P240</f>
        <v>ECOPETROL RUBIALES- Quifa - CAÑO SUR: Puerto Gaitan - Rubiales, Puerto Gaitán, Meta, Colombia</v>
      </c>
      <c r="I242" s="42" t="str">
        <f>Data!Q240</f>
        <v>Cliente, Vel Max 40 Km/h</v>
      </c>
      <c r="J242" s="43">
        <f>Data!S240</f>
        <v>46174.09337962963</v>
      </c>
      <c r="K242" s="44">
        <f>Data!S240</f>
        <v>46174.09337962963</v>
      </c>
      <c r="L242" s="45">
        <f>Data!T240</f>
        <v>5.0925925925925921E-4</v>
      </c>
      <c r="M242" s="46">
        <f>Data!U240</f>
        <v>0.302339106798172</v>
      </c>
      <c r="N242" s="46" t="str">
        <f>CONCATENATE(Data!W240," (",Data!V240,")")</f>
        <v>Exceso de velocidad (nuevo) (Velocidad máxima: 29 kmh (Velocidad máxima en carretera: 7 kmh))</v>
      </c>
      <c r="O242" s="42" t="str">
        <f>IF(Data!V240&lt;&gt;"",N242,Data!W240)</f>
        <v>Exceso de velocidad (nuevo) (Velocidad máxima: 29 kmh (Velocidad máxima en carretera: 7 kmh))</v>
      </c>
      <c r="P242" s="47" t="str">
        <f>Data!X240</f>
        <v>Válido</v>
      </c>
    </row>
    <row r="243" spans="1:16">
      <c r="A243" s="41" t="str">
        <f>Data!A241</f>
        <v>PKU239</v>
      </c>
      <c r="B243" s="41" t="str">
        <f>Data!D241</f>
        <v>Vehicle, Diesel, Frontera Energy Col 2679</v>
      </c>
      <c r="C243" s="41">
        <f>Data!F241</f>
        <v>0</v>
      </c>
      <c r="D243" s="41">
        <f>Data!G241</f>
        <v>0</v>
      </c>
      <c r="E243" s="41">
        <f>Data!H241</f>
        <v>0</v>
      </c>
      <c r="F243" s="41">
        <f>Data!K241</f>
        <v>0</v>
      </c>
      <c r="G243" s="33" t="str">
        <f>Data!M241</f>
        <v>Exceso Velocidad 30 Km/h</v>
      </c>
      <c r="H243" s="41" t="str">
        <f>Data!P241</f>
        <v>ECOPETROL RUBIALES- Quifa - CAÑO SUR, Puerto Triunfo - Estacion Policia: Puerto Gaitan - Rubiales, Puerto Gaitán, Meta, Colombia</v>
      </c>
      <c r="I243" s="42" t="str">
        <f>Data!Q241</f>
        <v>Cliente, Vel Max 40 Km/h, Vel Max 30 Km/h</v>
      </c>
      <c r="J243" s="43">
        <f>Data!S241</f>
        <v>46174.094146087962</v>
      </c>
      <c r="K243" s="44">
        <f>Data!S241</f>
        <v>46174.094146087962</v>
      </c>
      <c r="L243" s="45">
        <f>Data!T241</f>
        <v>1.2407407407407408E-5</v>
      </c>
      <c r="M243" s="46">
        <f>Data!U241</f>
        <v>8.1963371485471725E-3</v>
      </c>
      <c r="N243" s="46" t="str">
        <f>CONCATENATE(Data!W241," (",Data!V241,")")</f>
        <v>Exceso Velocidad 30 Km/h (Velocidad máxima: 31 kmh)</v>
      </c>
      <c r="O243" s="42" t="str">
        <f>IF(Data!V241&lt;&gt;"",N243,Data!W241)</f>
        <v>Exceso Velocidad 30 Km/h (Velocidad máxima: 31 kmh)</v>
      </c>
      <c r="P243" s="47" t="str">
        <f>Data!X241</f>
        <v>Válido</v>
      </c>
    </row>
    <row r="244" spans="1:16">
      <c r="A244" s="41" t="str">
        <f>Data!A242</f>
        <v>PKU239</v>
      </c>
      <c r="B244" s="41" t="str">
        <f>Data!D242</f>
        <v>Vehicle, Diesel, Frontera Energy Col 2679</v>
      </c>
      <c r="C244" s="41">
        <f>Data!F242</f>
        <v>0</v>
      </c>
      <c r="D244" s="41">
        <f>Data!G242</f>
        <v>0</v>
      </c>
      <c r="E244" s="41">
        <f>Data!H242</f>
        <v>0</v>
      </c>
      <c r="F244" s="41">
        <f>Data!K242</f>
        <v>0</v>
      </c>
      <c r="G244" s="33" t="str">
        <f>Data!M242</f>
        <v>Exceso Velocidad 30 Km/h</v>
      </c>
      <c r="H244" s="41" t="str">
        <f>Data!P242</f>
        <v>ECOPETROL RUBIALES- Quifa - CAÑO SUR, Puerto Triunfo - Estacion Policia: Puerto Gaitan - Rubiales, Puerto Gaitán, Meta, Colombia</v>
      </c>
      <c r="I244" s="42" t="str">
        <f>Data!Q242</f>
        <v>Cliente, Vel Max 40 Km/h, Vel Max 30 Km/h</v>
      </c>
      <c r="J244" s="43">
        <f>Data!S242</f>
        <v>46174.094388888887</v>
      </c>
      <c r="K244" s="44">
        <f>Data!S242</f>
        <v>46174.094388888887</v>
      </c>
      <c r="L244" s="45">
        <f>Data!T242</f>
        <v>8.5312499999999993E-5</v>
      </c>
      <c r="M244" s="46">
        <f>Data!U242</f>
        <v>6.2655501067638397E-2</v>
      </c>
      <c r="N244" s="46" t="str">
        <f>CONCATENATE(Data!W242," (",Data!V242,")")</f>
        <v>Exceso Velocidad 30 Km/h (Velocidad máxima: 33 kmh)</v>
      </c>
      <c r="O244" s="42" t="str">
        <f>IF(Data!V242&lt;&gt;"",N244,Data!W242)</f>
        <v>Exceso Velocidad 30 Km/h (Velocidad máxima: 33 kmh)</v>
      </c>
      <c r="P244" s="47" t="str">
        <f>Data!X242</f>
        <v>Válido</v>
      </c>
    </row>
    <row r="245" spans="1:16">
      <c r="A245" s="41" t="str">
        <f>Data!A243</f>
        <v>PKU239</v>
      </c>
      <c r="B245" s="41" t="str">
        <f>Data!D243</f>
        <v>Vehicle, Diesel, Frontera Energy Col 2679</v>
      </c>
      <c r="C245" s="41">
        <f>Data!F243</f>
        <v>0</v>
      </c>
      <c r="D245" s="41">
        <f>Data!G243</f>
        <v>0</v>
      </c>
      <c r="E245" s="41">
        <f>Data!H243</f>
        <v>0</v>
      </c>
      <c r="F245" s="41">
        <f>Data!K243</f>
        <v>0</v>
      </c>
      <c r="G245" s="33" t="str">
        <f>Data!M243</f>
        <v>Exceso Velocidad 30 Km/h</v>
      </c>
      <c r="H245" s="41" t="str">
        <f>Data!P243</f>
        <v>ECOPETROL RUBIALES- Quifa - CAÑO SUR, Puerto Triunfo - Estacion Policia: Puerto Gaitan - Rubiales, Puerto Gaitán, Meta, Colombia</v>
      </c>
      <c r="I245" s="42" t="str">
        <f>Data!Q243</f>
        <v>Cliente, Vel Max 40 Km/h, Vel Max 30 Km/h</v>
      </c>
      <c r="J245" s="43">
        <f>Data!S243</f>
        <v>46174.094693287137</v>
      </c>
      <c r="K245" s="44">
        <f>Data!S243</f>
        <v>46174.094693287137</v>
      </c>
      <c r="L245" s="45">
        <f>Data!T243</f>
        <v>2.5876157407407407E-4</v>
      </c>
      <c r="M245" s="46">
        <f>Data!U243</f>
        <v>0.19256363809108734</v>
      </c>
      <c r="N245" s="46" t="str">
        <f>CONCATENATE(Data!W243," (",Data!V243,")")</f>
        <v>Exceso Velocidad 30 Km/h (Velocidad máxima: 31 kmh)</v>
      </c>
      <c r="O245" s="42" t="str">
        <f>IF(Data!V243&lt;&gt;"",N245,Data!W243)</f>
        <v>Exceso Velocidad 30 Km/h (Velocidad máxima: 31 kmh)</v>
      </c>
      <c r="P245" s="47" t="str">
        <f>Data!X243</f>
        <v>Válido</v>
      </c>
    </row>
    <row r="246" spans="1:16">
      <c r="A246" s="41" t="str">
        <f>Data!A244</f>
        <v>PKU239</v>
      </c>
      <c r="B246" s="41" t="str">
        <f>Data!D244</f>
        <v>Vehicle, Diesel, Frontera Energy Col 2679</v>
      </c>
      <c r="C246" s="41">
        <f>Data!F244</f>
        <v>0</v>
      </c>
      <c r="D246" s="41">
        <f>Data!G244</f>
        <v>0</v>
      </c>
      <c r="E246" s="41">
        <f>Data!H244</f>
        <v>0</v>
      </c>
      <c r="F246" s="41">
        <f>Data!K244</f>
        <v>0</v>
      </c>
      <c r="G246" s="33" t="str">
        <f>Data!M244</f>
        <v>Exceso Velocidad 30 Km/h</v>
      </c>
      <c r="H246" s="41" t="str">
        <f>Data!P244</f>
        <v>ECOPETROL RUBIALES- Quifa - CAÑO SUR, Puerto Gaitan - Rubiales, Puerto Gaitán, Meta, Colombia, Puerto Triunfo - Estacion Policia: Puerto Gaitan - Rubiales, Puerto Gaitán, Meta, Colombia</v>
      </c>
      <c r="I246" s="42" t="str">
        <f>Data!Q244</f>
        <v>Cliente, Vel Max 40 Km/h, Centro de servicios del proveedor, Vel Max 30 Km/h</v>
      </c>
      <c r="J246" s="43">
        <f>Data!S244</f>
        <v>46174.095169756947</v>
      </c>
      <c r="K246" s="44">
        <f>Data!S244</f>
        <v>46174.095169756947</v>
      </c>
      <c r="L246" s="45">
        <f>Data!T244</f>
        <v>7.0405092592592598E-5</v>
      </c>
      <c r="M246" s="46">
        <f>Data!U244</f>
        <v>5.2651848644018173E-2</v>
      </c>
      <c r="N246" s="46" t="str">
        <f>CONCATENATE(Data!W244," (",Data!V244,")")</f>
        <v>Exceso Velocidad 30 Km/h (Velocidad máxima: 33 kmh)</v>
      </c>
      <c r="O246" s="42" t="str">
        <f>IF(Data!V244&lt;&gt;"",N246,Data!W244)</f>
        <v>Exceso Velocidad 30 Km/h (Velocidad máxima: 33 kmh)</v>
      </c>
      <c r="P246" s="47" t="str">
        <f>Data!X244</f>
        <v>Válido</v>
      </c>
    </row>
    <row r="247" spans="1:16">
      <c r="A247" s="41" t="str">
        <f>Data!A245</f>
        <v>PKU239</v>
      </c>
      <c r="B247" s="41" t="str">
        <f>Data!D245</f>
        <v>Vehicle, Diesel, Frontera Energy Col 2679</v>
      </c>
      <c r="C247" s="41">
        <f>Data!F245</f>
        <v>0</v>
      </c>
      <c r="D247" s="41">
        <f>Data!G245</f>
        <v>0</v>
      </c>
      <c r="E247" s="41">
        <f>Data!H245</f>
        <v>0</v>
      </c>
      <c r="F247" s="41">
        <f>Data!K245</f>
        <v>0</v>
      </c>
      <c r="G247" s="33" t="str">
        <f>Data!M245</f>
        <v>Exceso Velocidad 10 Km/h</v>
      </c>
      <c r="H247" s="41" t="str">
        <f>Data!P245</f>
        <v>CAMPAMENTO QUIFA, ECOPETROL RUBIALES- Quifa - CAÑO SUR, Puerto Gaitan - Rubiales, Puerto Gaitán, Meta, Colombia, Puerto Triunfo - Estacion Policia: Ent. CAMPAMENTO, Puerto Gaitán, Meta, Colombia</v>
      </c>
      <c r="I247" s="42" t="str">
        <f>Data!Q245</f>
        <v>Vel Max 10 Km/h, Cliente, Vel Max 40 Km/h, Centro de servicios del proveedor, Vel Max 30 Km/h</v>
      </c>
      <c r="J247" s="43">
        <f>Data!S245</f>
        <v>46174.095370081021</v>
      </c>
      <c r="K247" s="44">
        <f>Data!S245</f>
        <v>46174.095370081021</v>
      </c>
      <c r="L247" s="45">
        <f>Data!T245</f>
        <v>3.7936342592592595E-4</v>
      </c>
      <c r="M247" s="46">
        <f>Data!U245</f>
        <v>0.17141552269458771</v>
      </c>
      <c r="N247" s="46" t="str">
        <f>CONCATENATE(Data!W245," (",Data!V245,")")</f>
        <v>Exceso Velocidad 10 Km/h (Velocidad máxima: 26 kmh)</v>
      </c>
      <c r="O247" s="42" t="str">
        <f>IF(Data!V245&lt;&gt;"",N247,Data!W245)</f>
        <v>Exceso Velocidad 10 Km/h (Velocidad máxima: 26 kmh)</v>
      </c>
      <c r="P247" s="47" t="str">
        <f>Data!X245</f>
        <v>Válido</v>
      </c>
    </row>
    <row r="248" spans="1:16">
      <c r="A248" s="41" t="str">
        <f>Data!A246</f>
        <v>PKU239</v>
      </c>
      <c r="B248" s="41" t="str">
        <f>Data!D246</f>
        <v>Vehicle, Diesel, Frontera Energy Col 2679</v>
      </c>
      <c r="C248" s="41">
        <f>Data!F246</f>
        <v>0</v>
      </c>
      <c r="D248" s="41">
        <f>Data!G246</f>
        <v>0</v>
      </c>
      <c r="E248" s="41">
        <f>Data!H246</f>
        <v>0</v>
      </c>
      <c r="F248" s="41">
        <f>Data!K246</f>
        <v>0</v>
      </c>
      <c r="G248" s="33" t="str">
        <f>Data!M246</f>
        <v>Tiempo en ralentí</v>
      </c>
      <c r="H248" s="41" t="str">
        <f>Data!P246</f>
        <v>ECOPETROL RUBIALES- Quifa - CAÑO SUR: Qf 12, Puerto Gaitán, Meta, Colombia</v>
      </c>
      <c r="I248" s="42" t="str">
        <f>Data!Q246</f>
        <v>Cliente, Vel Max 40 Km/h</v>
      </c>
      <c r="J248" s="43">
        <f>Data!S246</f>
        <v>46174.100069444445</v>
      </c>
      <c r="K248" s="44">
        <f>Data!S246</f>
        <v>46174.100069444445</v>
      </c>
      <c r="L248" s="45">
        <f>Data!T246</f>
        <v>6.851851851851852E-3</v>
      </c>
      <c r="M248" s="46">
        <f>Data!U246</f>
        <v>0</v>
      </c>
      <c r="N248" s="46" t="str">
        <f>CONCATENATE(Data!W246," (",Data!V246,")")</f>
        <v>Tiempo en ralentí (Ignición: 1.00)</v>
      </c>
      <c r="O248" s="42" t="str">
        <f>IF(Data!V246&lt;&gt;"",N248,Data!W246)</f>
        <v>Tiempo en ralentí (Ignición: 1.00)</v>
      </c>
      <c r="P248" s="47" t="str">
        <f>Data!X246</f>
        <v>Válido</v>
      </c>
    </row>
    <row r="249" spans="1:16">
      <c r="A249" s="41" t="str">
        <f>Data!A247</f>
        <v>PKU239</v>
      </c>
      <c r="B249" s="41" t="str">
        <f>Data!D247</f>
        <v>Vehicle, Diesel, Frontera Energy Col 2679</v>
      </c>
      <c r="C249" s="41">
        <f>Data!F247</f>
        <v>0</v>
      </c>
      <c r="D249" s="41">
        <f>Data!G247</f>
        <v>0</v>
      </c>
      <c r="E249" s="41">
        <f>Data!H247</f>
        <v>0</v>
      </c>
      <c r="F249" s="41">
        <f>Data!K247</f>
        <v>0</v>
      </c>
      <c r="G249" s="33" t="str">
        <f>Data!M247</f>
        <v>Uso del cinturón de seguridad</v>
      </c>
      <c r="H249" s="41" t="str">
        <f>Data!P247</f>
        <v>ECOPETROL RUBIALES- Quifa - CAÑO SUR: Qf 12, Puerto Gaitán, Meta, Colombia</v>
      </c>
      <c r="I249" s="42" t="str">
        <f>Data!Q247</f>
        <v>Cliente, Vel Max 40 Km/h</v>
      </c>
      <c r="J249" s="43">
        <f>Data!S247</f>
        <v>46174.107195219905</v>
      </c>
      <c r="K249" s="44">
        <f>Data!S247</f>
        <v>46174.107195219905</v>
      </c>
      <c r="L249" s="45">
        <f>Data!T247</f>
        <v>2.8859953703703703E-4</v>
      </c>
      <c r="M249" s="46">
        <f>Data!U247</f>
        <v>0.15137545764446259</v>
      </c>
      <c r="N249" s="46" t="str">
        <f>CONCATENATE(Data!W247," (",Data!V247,")")</f>
        <v>Uso del cinturón de seguridad (Velocidad máxima: 33 kmh Cinturón de seguridad del conductor (1. Desabrochado): 1.00)</v>
      </c>
      <c r="O249" s="42" t="str">
        <f>IF(Data!V247&lt;&gt;"",N249,Data!W247)</f>
        <v>Uso del cinturón de seguridad (Velocidad máxima: 33 kmh Cinturón de seguridad del conductor (1. Desabrochado): 1.00)</v>
      </c>
      <c r="P249" s="47" t="str">
        <f>Data!X247</f>
        <v>Válido</v>
      </c>
    </row>
    <row r="250" spans="1:16">
      <c r="A250" s="41" t="str">
        <f>Data!A248</f>
        <v>PKU239</v>
      </c>
      <c r="B250" s="41" t="str">
        <f>Data!D248</f>
        <v>Vehicle, Diesel, Frontera Energy Col 2679</v>
      </c>
      <c r="C250" s="41">
        <f>Data!F248</f>
        <v>0</v>
      </c>
      <c r="D250" s="41">
        <f>Data!G248</f>
        <v>0</v>
      </c>
      <c r="E250" s="41">
        <f>Data!H248</f>
        <v>0</v>
      </c>
      <c r="F250" s="41">
        <f>Data!K248</f>
        <v>0</v>
      </c>
      <c r="G250" s="33" t="str">
        <f>Data!M248</f>
        <v>Exceso Velocidad 30 Km/h</v>
      </c>
      <c r="H250" s="41" t="str">
        <f>Data!P248</f>
        <v>ECOPETROL RUBIALES- Quifa - CAÑO SUR, Puerto Triunfo - Estacion Policia: Puerto Gaitan - Rubiales, Puerto Gaitán, Meta, Colombia</v>
      </c>
      <c r="I250" s="42" t="str">
        <f>Data!Q248</f>
        <v>Cliente, Vel Max 40 Km/h, Vel Max 30 Km/h</v>
      </c>
      <c r="J250" s="43">
        <f>Data!S248</f>
        <v>46174.111917037037</v>
      </c>
      <c r="K250" s="44">
        <f>Data!S248</f>
        <v>46174.111917037037</v>
      </c>
      <c r="L250" s="45">
        <f>Data!T248</f>
        <v>1.5833333333333333E-5</v>
      </c>
      <c r="M250" s="46">
        <f>Data!U248</f>
        <v>1.0462420992553234E-2</v>
      </c>
      <c r="N250" s="46" t="str">
        <f>CONCATENATE(Data!W248," (",Data!V248,")")</f>
        <v>Exceso Velocidad 30 Km/h (Velocidad máxima: 31 kmh)</v>
      </c>
      <c r="O250" s="42" t="str">
        <f>IF(Data!V248&lt;&gt;"",N250,Data!W248)</f>
        <v>Exceso Velocidad 30 Km/h (Velocidad máxima: 31 kmh)</v>
      </c>
      <c r="P250" s="47" t="str">
        <f>Data!X248</f>
        <v>Válido</v>
      </c>
    </row>
    <row r="251" spans="1:16">
      <c r="A251" s="41" t="str">
        <f>Data!A249</f>
        <v>PKU239</v>
      </c>
      <c r="B251" s="41" t="str">
        <f>Data!D249</f>
        <v>Vehicle, Diesel, Frontera Energy Col 2679</v>
      </c>
      <c r="C251" s="41">
        <f>Data!F249</f>
        <v>0</v>
      </c>
      <c r="D251" s="41">
        <f>Data!G249</f>
        <v>0</v>
      </c>
      <c r="E251" s="41">
        <f>Data!H249</f>
        <v>0</v>
      </c>
      <c r="F251" s="41">
        <f>Data!K249</f>
        <v>0</v>
      </c>
      <c r="G251" s="33" t="str">
        <f>Data!M249</f>
        <v>Exceso Velocidad 10 Km/h</v>
      </c>
      <c r="H251" s="41" t="str">
        <f>Data!P249</f>
        <v>CAMPAMENTO QUIFA, ECOPETROL RUBIALES- Quifa - CAÑO SUR, Puerto Triunfo - Estacion Policia: Puerto Gaitan - Rubiales, Puerto Gaitán, Meta, Colombia</v>
      </c>
      <c r="I251" s="42" t="str">
        <f>Data!Q249</f>
        <v>Vel Max 10 Km/h, Cliente, Vel Max 40 Km/h, Vel Max 30 Km/h</v>
      </c>
      <c r="J251" s="43">
        <f>Data!S249</f>
        <v>46174.111946365738</v>
      </c>
      <c r="K251" s="44">
        <f>Data!S249</f>
        <v>46174.111946365738</v>
      </c>
      <c r="L251" s="45">
        <f>Data!T249</f>
        <v>2.5386574074074076E-4</v>
      </c>
      <c r="M251" s="46">
        <f>Data!U249</f>
        <v>0.12410613149404526</v>
      </c>
      <c r="N251" s="46" t="str">
        <f>CONCATENATE(Data!W249," (",Data!V249,")")</f>
        <v>Exceso Velocidad 10 Km/h (Velocidad máxima: 29 kmh)</v>
      </c>
      <c r="O251" s="42" t="str">
        <f>IF(Data!V249&lt;&gt;"",N251,Data!W249)</f>
        <v>Exceso Velocidad 10 Km/h (Velocidad máxima: 29 kmh)</v>
      </c>
      <c r="P251" s="47" t="str">
        <f>Data!X249</f>
        <v>Válido</v>
      </c>
    </row>
    <row r="252" spans="1:16">
      <c r="A252" s="41" t="str">
        <f>Data!A250</f>
        <v>PKU239</v>
      </c>
      <c r="B252" s="41" t="str">
        <f>Data!D250</f>
        <v>Vehicle, Diesel, Frontera Energy Col 2679</v>
      </c>
      <c r="C252" s="41">
        <f>Data!F250</f>
        <v>0</v>
      </c>
      <c r="D252" s="41">
        <f>Data!G250</f>
        <v>0</v>
      </c>
      <c r="E252" s="41">
        <f>Data!H250</f>
        <v>0</v>
      </c>
      <c r="F252" s="41">
        <f>Data!K250</f>
        <v>0</v>
      </c>
      <c r="G252" s="33" t="str">
        <f>Data!M250</f>
        <v>Exceso Velocidad 30 Km/h</v>
      </c>
      <c r="H252" s="41" t="str">
        <f>Data!P250</f>
        <v>ECOPETROL RUBIALES- Quifa - CAÑO SUR, Puerto Gaitan - Rubiales, Puerto Gaitán, Meta, Colombia, Puerto Triunfo - Estacion Policia: Puerto Gaitan - Rubiales, Puerto Gaitán, Meta, Colombia</v>
      </c>
      <c r="I252" s="42" t="str">
        <f>Data!Q250</f>
        <v>Cliente, Vel Max 40 Km/h, Centro de servicios del proveedor, Vel Max 30 Km/h</v>
      </c>
      <c r="J252" s="43">
        <f>Data!S250</f>
        <v>46174.112380405095</v>
      </c>
      <c r="K252" s="44">
        <f>Data!S250</f>
        <v>46174.112380405095</v>
      </c>
      <c r="L252" s="45">
        <f>Data!T250</f>
        <v>7.6388888888888887E-5</v>
      </c>
      <c r="M252" s="46">
        <f>Data!U250</f>
        <v>5.9400498867034912E-2</v>
      </c>
      <c r="N252" s="46" t="str">
        <f>CONCATENATE(Data!W250," (",Data!V250,")")</f>
        <v>Exceso Velocidad 30 Km/h (Velocidad máxima: 35 kmh)</v>
      </c>
      <c r="O252" s="42" t="str">
        <f>IF(Data!V250&lt;&gt;"",N252,Data!W250)</f>
        <v>Exceso Velocidad 30 Km/h (Velocidad máxima: 35 kmh)</v>
      </c>
      <c r="P252" s="47" t="str">
        <f>Data!X250</f>
        <v>Válido</v>
      </c>
    </row>
    <row r="253" spans="1:16">
      <c r="A253" s="41" t="str">
        <f>Data!A251</f>
        <v>PKU239</v>
      </c>
      <c r="B253" s="41" t="str">
        <f>Data!D251</f>
        <v>Vehicle, Diesel, Frontera Energy Col 2679</v>
      </c>
      <c r="C253" s="41">
        <f>Data!F251</f>
        <v>0</v>
      </c>
      <c r="D253" s="41">
        <f>Data!G251</f>
        <v>0</v>
      </c>
      <c r="E253" s="41">
        <f>Data!H251</f>
        <v>0</v>
      </c>
      <c r="F253" s="41">
        <f>Data!K251</f>
        <v>0</v>
      </c>
      <c r="G253" s="33" t="str">
        <f>Data!M251</f>
        <v>Exceso Velocidad 30 Km/h</v>
      </c>
      <c r="H253" s="41" t="str">
        <f>Data!P251</f>
        <v>ECOPETROL RUBIALES- Quifa - CAÑO SUR, Puerto Triunfo - Estacion Policia: Puerto Gaitan - Rubiales, Puerto Gaitán, Meta, Colombia</v>
      </c>
      <c r="I253" s="42" t="str">
        <f>Data!Q251</f>
        <v>Cliente, Vel Max 40 Km/h, Vel Max 30 Km/h</v>
      </c>
      <c r="J253" s="43">
        <f>Data!S251</f>
        <v>46174.112592592595</v>
      </c>
      <c r="K253" s="44">
        <f>Data!S251</f>
        <v>46174.112592592595</v>
      </c>
      <c r="L253" s="45">
        <f>Data!T251</f>
        <v>2.1122685185185185E-4</v>
      </c>
      <c r="M253" s="46">
        <f>Data!U251</f>
        <v>0.16937071084976196</v>
      </c>
      <c r="N253" s="46" t="str">
        <f>CONCATENATE(Data!W251," (",Data!V251,")")</f>
        <v>Exceso Velocidad 30 Km/h (Velocidad máxima: 33 kmh)</v>
      </c>
      <c r="O253" s="42" t="str">
        <f>IF(Data!V251&lt;&gt;"",N253,Data!W251)</f>
        <v>Exceso Velocidad 30 Km/h (Velocidad máxima: 33 kmh)</v>
      </c>
      <c r="P253" s="47" t="str">
        <f>Data!X251</f>
        <v>Válido</v>
      </c>
    </row>
    <row r="254" spans="1:16">
      <c r="A254" s="41" t="str">
        <f>Data!A252</f>
        <v>PKU239</v>
      </c>
      <c r="B254" s="41" t="str">
        <f>Data!D252</f>
        <v>Vehicle, Diesel, Frontera Energy Col 2679</v>
      </c>
      <c r="C254" s="41">
        <f>Data!F252</f>
        <v>0</v>
      </c>
      <c r="D254" s="41">
        <f>Data!G252</f>
        <v>0</v>
      </c>
      <c r="E254" s="41">
        <f>Data!H252</f>
        <v>0</v>
      </c>
      <c r="F254" s="41">
        <f>Data!K252</f>
        <v>0</v>
      </c>
      <c r="G254" s="33" t="str">
        <f>Data!M252</f>
        <v>Exceso Velocidad 30 Km/h</v>
      </c>
      <c r="H254" s="41" t="str">
        <f>Data!P252</f>
        <v>ECOPETROL RUBIALES- Quifa - CAÑO SUR, Puerto Triunfo - Estacion Policia: Puerto Gaitan - Rubiales, Puerto Gaitán, Meta, Colombia</v>
      </c>
      <c r="I254" s="42" t="str">
        <f>Data!Q252</f>
        <v>Cliente, Vel Max 40 Km/h, Vel Max 30 Km/h</v>
      </c>
      <c r="J254" s="43">
        <f>Data!S252</f>
        <v>46174.112887731586</v>
      </c>
      <c r="K254" s="44">
        <f>Data!S252</f>
        <v>46174.112887731586</v>
      </c>
      <c r="L254" s="45">
        <f>Data!T252</f>
        <v>5.722222222222222E-5</v>
      </c>
      <c r="M254" s="46">
        <f>Data!U252</f>
        <v>4.1303243488073349E-2</v>
      </c>
      <c r="N254" s="46" t="str">
        <f>CONCATENATE(Data!W252," (",Data!V252,")")</f>
        <v>Exceso Velocidad 30 Km/h (Velocidad máxima: 31 kmh)</v>
      </c>
      <c r="O254" s="42" t="str">
        <f>IF(Data!V252&lt;&gt;"",N254,Data!W252)</f>
        <v>Exceso Velocidad 30 Km/h (Velocidad máxima: 31 kmh)</v>
      </c>
      <c r="P254" s="47" t="str">
        <f>Data!X252</f>
        <v>Válido</v>
      </c>
    </row>
    <row r="255" spans="1:16">
      <c r="A255" s="41" t="str">
        <f>Data!A253</f>
        <v>PKU239</v>
      </c>
      <c r="B255" s="41" t="str">
        <f>Data!D253</f>
        <v>Vehicle, Diesel, Frontera Energy Col 2679</v>
      </c>
      <c r="C255" s="41">
        <f>Data!F253</f>
        <v>0</v>
      </c>
      <c r="D255" s="41">
        <f>Data!G253</f>
        <v>0</v>
      </c>
      <c r="E255" s="41">
        <f>Data!H253</f>
        <v>0</v>
      </c>
      <c r="F255" s="41">
        <f>Data!K253</f>
        <v>0</v>
      </c>
      <c r="G255" s="33" t="str">
        <f>Data!M253</f>
        <v>Giro brusco</v>
      </c>
      <c r="H255" s="41" t="str">
        <f>Data!P253</f>
        <v>ECOPETROL RUBIALES- Quifa - CAÑO SUR, Puerto Triunfo - Estacion Policia: Puerto Gaitan - Rubiales, Puerto Gaitán, Meta, Colombia</v>
      </c>
      <c r="I255" s="42" t="str">
        <f>Data!Q253</f>
        <v>Cliente, Vel Max 40 Km/h, Vel Max 30 Km/h</v>
      </c>
      <c r="J255" s="43">
        <f>Data!S253</f>
        <v>46174.11302409722</v>
      </c>
      <c r="K255" s="44">
        <f>Data!S253</f>
        <v>46174.11302409722</v>
      </c>
      <c r="L255" s="45">
        <f>Data!T253</f>
        <v>2.8935185185185185E-7</v>
      </c>
      <c r="M255" s="46">
        <f>Data!U253</f>
        <v>1.1395020555937663E-4</v>
      </c>
      <c r="N255" s="46" t="str">
        <f>CONCATENATE(Data!W253," (",Data!V253,")")</f>
        <v>Giro brusco (Velocidad máxima: 15 kmh Aceleración de lado a lado: 0.50 g-force, Ignición: 1.00)</v>
      </c>
      <c r="O255" s="42" t="str">
        <f>IF(Data!V253&lt;&gt;"",N255,Data!W253)</f>
        <v>Giro brusco (Velocidad máxima: 15 kmh Aceleración de lado a lado: 0.50 g-force, Ignición: 1.00)</v>
      </c>
      <c r="P255" s="47" t="str">
        <f>Data!X253</f>
        <v>Válido</v>
      </c>
    </row>
    <row r="256" spans="1:16">
      <c r="A256" s="41" t="str">
        <f>Data!A254</f>
        <v>PKU239</v>
      </c>
      <c r="B256" s="41" t="str">
        <f>Data!D254</f>
        <v>Vehicle, Diesel, Frontera Energy Col 2679</v>
      </c>
      <c r="C256" s="41">
        <f>Data!F254</f>
        <v>0</v>
      </c>
      <c r="D256" s="41">
        <f>Data!G254</f>
        <v>0</v>
      </c>
      <c r="E256" s="41">
        <f>Data!H254</f>
        <v>0</v>
      </c>
      <c r="F256" s="41">
        <f>Data!K254</f>
        <v>0</v>
      </c>
      <c r="G256" s="33" t="str">
        <f>Data!M254</f>
        <v>Exceso Velocidad 30 Km/h</v>
      </c>
      <c r="H256" s="41" t="str">
        <f>Data!P254</f>
        <v>ECOPETROL RUBIALES- Quifa - CAÑO SUR, Puerto Triunfo - Estacion Policia: Puerto Gaitan - Rubiales, Puerto Gaitán, Meta, Colombia</v>
      </c>
      <c r="I256" s="42" t="str">
        <f>Data!Q254</f>
        <v>Cliente, Vel Max 40 Km/h, Vel Max 30 Km/h</v>
      </c>
      <c r="J256" s="43">
        <f>Data!S254</f>
        <v>46174.113098692127</v>
      </c>
      <c r="K256" s="44">
        <f>Data!S254</f>
        <v>46174.113098692127</v>
      </c>
      <c r="L256" s="45">
        <f>Data!T254</f>
        <v>9.9606481481481483E-5</v>
      </c>
      <c r="M256" s="46">
        <f>Data!U254</f>
        <v>7.7152840793132782E-2</v>
      </c>
      <c r="N256" s="46" t="str">
        <f>CONCATENATE(Data!W254," (",Data!V254,")")</f>
        <v>Exceso Velocidad 30 Km/h (Velocidad máxima: 35 kmh)</v>
      </c>
      <c r="O256" s="42" t="str">
        <f>IF(Data!V254&lt;&gt;"",N256,Data!W254)</f>
        <v>Exceso Velocidad 30 Km/h (Velocidad máxima: 35 kmh)</v>
      </c>
      <c r="P256" s="47" t="str">
        <f>Data!X254</f>
        <v>Válido</v>
      </c>
    </row>
    <row r="257" spans="1:16">
      <c r="A257" s="41" t="str">
        <f>Data!A255</f>
        <v>PKU239</v>
      </c>
      <c r="B257" s="41" t="str">
        <f>Data!D255</f>
        <v>Vehicle, Diesel, Frontera Energy Col 2679</v>
      </c>
      <c r="C257" s="41">
        <f>Data!F255</f>
        <v>0</v>
      </c>
      <c r="D257" s="41">
        <f>Data!G255</f>
        <v>0</v>
      </c>
      <c r="E257" s="41">
        <f>Data!H255</f>
        <v>0</v>
      </c>
      <c r="F257" s="41">
        <f>Data!K255</f>
        <v>0</v>
      </c>
      <c r="G257" s="33" t="str">
        <f>Data!M255</f>
        <v>Exceso Velocidad 30 Km/h</v>
      </c>
      <c r="H257" s="41" t="str">
        <f>Data!P255</f>
        <v>ECOPETROL RUBIALES- Quifa - CAÑO SUR, Puerto Triunfo - Estacion Policia: Puerto Gaitan - Rubiales, Puerto Gaitán, Meta, Colombia</v>
      </c>
      <c r="I257" s="42" t="str">
        <f>Data!Q255</f>
        <v>Cliente, Vel Max 40 Km/h, Vel Max 30 Km/h</v>
      </c>
      <c r="J257" s="43">
        <f>Data!S255</f>
        <v>46174.113407233795</v>
      </c>
      <c r="K257" s="44">
        <f>Data!S255</f>
        <v>46174.113407233795</v>
      </c>
      <c r="L257" s="45">
        <f>Data!T255</f>
        <v>3.357638888888889E-5</v>
      </c>
      <c r="M257" s="46">
        <f>Data!U255</f>
        <v>2.3208165541291237E-2</v>
      </c>
      <c r="N257" s="46" t="str">
        <f>CONCATENATE(Data!W255," (",Data!V255,")")</f>
        <v>Exceso Velocidad 30 Km/h (Velocidad máxima: 33 kmh)</v>
      </c>
      <c r="O257" s="42" t="str">
        <f>IF(Data!V255&lt;&gt;"",N257,Data!W255)</f>
        <v>Exceso Velocidad 30 Km/h (Velocidad máxima: 33 kmh)</v>
      </c>
      <c r="P257" s="47" t="str">
        <f>Data!X255</f>
        <v>Válido</v>
      </c>
    </row>
    <row r="258" spans="1:16">
      <c r="A258" s="41" t="str">
        <f>Data!A256</f>
        <v>PKU239</v>
      </c>
      <c r="B258" s="41" t="str">
        <f>Data!D256</f>
        <v>Vehicle, Diesel, Frontera Energy Col 2679</v>
      </c>
      <c r="C258" s="41">
        <f>Data!F256</f>
        <v>0</v>
      </c>
      <c r="D258" s="41">
        <f>Data!G256</f>
        <v>0</v>
      </c>
      <c r="E258" s="41">
        <f>Data!H256</f>
        <v>0</v>
      </c>
      <c r="F258" s="41">
        <f>Data!K256</f>
        <v>0</v>
      </c>
      <c r="G258" s="33" t="str">
        <f>Data!M256</f>
        <v>Exceso Velocidad 30 Km/h</v>
      </c>
      <c r="H258" s="41" t="str">
        <f>Data!P256</f>
        <v>ECOPETROL RUBIALES- Quifa - CAÑO SUR, Puerto Triunfo - Estacion Policia: Puerto Gaitan - Rubiales, Puerto Gaitán, Meta, Colombia</v>
      </c>
      <c r="I258" s="42" t="str">
        <f>Data!Q256</f>
        <v>Cliente, Vel Max 40 Km/h, Vel Max 30 Km/h</v>
      </c>
      <c r="J258" s="43">
        <f>Data!S256</f>
        <v>46174.113543981483</v>
      </c>
      <c r="K258" s="44">
        <f>Data!S256</f>
        <v>46174.113543981483</v>
      </c>
      <c r="L258" s="45">
        <f>Data!T256</f>
        <v>7.8703703703703702E-5</v>
      </c>
      <c r="M258" s="46">
        <f>Data!U256</f>
        <v>5.4913852363824844E-2</v>
      </c>
      <c r="N258" s="46" t="str">
        <f>CONCATENATE(Data!W256," (",Data!V256,")")</f>
        <v>Exceso Velocidad 30 Km/h (Velocidad máxima: 31 kmh)</v>
      </c>
      <c r="O258" s="42" t="str">
        <f>IF(Data!V256&lt;&gt;"",N258,Data!W256)</f>
        <v>Exceso Velocidad 30 Km/h (Velocidad máxima: 31 kmh)</v>
      </c>
      <c r="P258" s="47" t="str">
        <f>Data!X256</f>
        <v>Válido</v>
      </c>
    </row>
    <row r="259" spans="1:16">
      <c r="A259" s="41" t="str">
        <f>Data!A257</f>
        <v>PKU239</v>
      </c>
      <c r="B259" s="41" t="str">
        <f>Data!D257</f>
        <v>Vehicle, Diesel, Frontera Energy Col 2679</v>
      </c>
      <c r="C259" s="41">
        <f>Data!F257</f>
        <v>0</v>
      </c>
      <c r="D259" s="41">
        <f>Data!G257</f>
        <v>0</v>
      </c>
      <c r="E259" s="41">
        <f>Data!H257</f>
        <v>0</v>
      </c>
      <c r="F259" s="41">
        <f>Data!K257</f>
        <v>0</v>
      </c>
      <c r="G259" s="33" t="str">
        <f>Data!M257</f>
        <v>Exceso Velocidad 10 Km/h</v>
      </c>
      <c r="H259" s="41" t="str">
        <f>Data!P257</f>
        <v>ECOPETROL RUBIALES- Quifa - CAÑO SUR, Puerto Triunfo - Estacion Policia, PUESTRO CONTROL QUIFA: Puerto Gaitan - Rubiales, Puerto Gaitán, Meta, Colombia</v>
      </c>
      <c r="I259" s="42" t="str">
        <f>Data!Q257</f>
        <v>Cliente, Vel Max 40 Km/h, Vel Max 30 Km/h, Vel Max 10 Km/h</v>
      </c>
      <c r="J259" s="43">
        <f>Data!S257</f>
        <v>46174.11385040509</v>
      </c>
      <c r="K259" s="44">
        <f>Data!S257</f>
        <v>46174.11385040509</v>
      </c>
      <c r="L259" s="45">
        <f>Data!T257</f>
        <v>2.7586805555555557E-4</v>
      </c>
      <c r="M259" s="46">
        <f>Data!U257</f>
        <v>0.18333287537097931</v>
      </c>
      <c r="N259" s="46" t="str">
        <f>CONCATENATE(Data!W257," (",Data!V257,")")</f>
        <v>Exceso Velocidad 10 Km/h (Velocidad máxima: 29 kmh)</v>
      </c>
      <c r="O259" s="42" t="str">
        <f>IF(Data!V257&lt;&gt;"",N259,Data!W257)</f>
        <v>Exceso Velocidad 10 Km/h (Velocidad máxima: 29 kmh)</v>
      </c>
      <c r="P259" s="47" t="str">
        <f>Data!X257</f>
        <v>Válido</v>
      </c>
    </row>
    <row r="260" spans="1:16">
      <c r="A260" s="41" t="str">
        <f>Data!A258</f>
        <v>PKU239</v>
      </c>
      <c r="B260" s="41" t="str">
        <f>Data!D258</f>
        <v>Vehicle, Diesel, Frontera Energy Col 2679</v>
      </c>
      <c r="C260" s="41">
        <f>Data!F258</f>
        <v>0</v>
      </c>
      <c r="D260" s="41">
        <f>Data!G258</f>
        <v>0</v>
      </c>
      <c r="E260" s="41">
        <f>Data!H258</f>
        <v>0</v>
      </c>
      <c r="F260" s="41">
        <f>Data!K258</f>
        <v>0</v>
      </c>
      <c r="G260" s="33" t="str">
        <f>Data!M258</f>
        <v>Exceso Velocidad 30 Km/h</v>
      </c>
      <c r="H260" s="41" t="str">
        <f>Data!P258</f>
        <v>ECOPETROL RUBIALES- Quifa - CAÑO SUR, Puerto Triunfo - Estacion Policia: Puerto Gaitan - Rubiales, Puerto Gaitán, Meta, Colombia</v>
      </c>
      <c r="I260" s="42" t="str">
        <f>Data!Q258</f>
        <v>Cliente, Vel Max 40 Km/h, Vel Max 30 Km/h</v>
      </c>
      <c r="J260" s="43">
        <f>Data!S258</f>
        <v>46174.114372685188</v>
      </c>
      <c r="K260" s="44">
        <f>Data!S258</f>
        <v>46174.114372685188</v>
      </c>
      <c r="L260" s="45">
        <f>Data!T258</f>
        <v>9.9537037037037031E-5</v>
      </c>
      <c r="M260" s="46">
        <f>Data!U258</f>
        <v>7.1282118558883667E-2</v>
      </c>
      <c r="N260" s="46" t="str">
        <f>CONCATENATE(Data!W258," (",Data!V258,")")</f>
        <v>Exceso Velocidad 30 Km/h (Velocidad máxima: 31 kmh)</v>
      </c>
      <c r="O260" s="42" t="str">
        <f>IF(Data!V258&lt;&gt;"",N260,Data!W258)</f>
        <v>Exceso Velocidad 30 Km/h (Velocidad máxima: 31 kmh)</v>
      </c>
      <c r="P260" s="47" t="str">
        <f>Data!X258</f>
        <v>Válido</v>
      </c>
    </row>
    <row r="261" spans="1:16">
      <c r="A261" s="41" t="str">
        <f>Data!A259</f>
        <v>PKU239</v>
      </c>
      <c r="B261" s="41" t="str">
        <f>Data!D259</f>
        <v>Vehicle, Diesel, Frontera Energy Col 2679</v>
      </c>
      <c r="C261" s="41">
        <f>Data!F259</f>
        <v>0</v>
      </c>
      <c r="D261" s="41">
        <f>Data!G259</f>
        <v>0</v>
      </c>
      <c r="E261" s="41">
        <f>Data!H259</f>
        <v>0</v>
      </c>
      <c r="F261" s="41">
        <f>Data!K259</f>
        <v>0</v>
      </c>
      <c r="G261" s="33" t="str">
        <f>Data!M259</f>
        <v>Exceso Velocidad 30 Km/h</v>
      </c>
      <c r="H261" s="41" t="str">
        <f>Data!P259</f>
        <v>ECOPETROL RUBIALES- Quifa - CAÑO SUR, Puerto Triunfo - Estacion Policia: Puerto Gaitan - Rubiales, Puerto Gaitán, Meta, Colombia</v>
      </c>
      <c r="I261" s="42" t="str">
        <f>Data!Q259</f>
        <v>Cliente, Vel Max 40 Km/h, Vel Max 30 Km/h</v>
      </c>
      <c r="J261" s="43">
        <f>Data!S259</f>
        <v>46174.168021481484</v>
      </c>
      <c r="K261" s="44">
        <f>Data!S259</f>
        <v>46174.168021481484</v>
      </c>
      <c r="L261" s="45">
        <f>Data!T259</f>
        <v>1.0886574074074074E-4</v>
      </c>
      <c r="M261" s="46">
        <f>Data!U259</f>
        <v>8.1647723913192749E-2</v>
      </c>
      <c r="N261" s="46" t="str">
        <f>CONCATENATE(Data!W259," (",Data!V259,")")</f>
        <v>Exceso Velocidad 30 Km/h (Velocidad máxima: 35 kmh)</v>
      </c>
      <c r="O261" s="42" t="str">
        <f>IF(Data!V259&lt;&gt;"",N261,Data!W259)</f>
        <v>Exceso Velocidad 30 Km/h (Velocidad máxima: 35 kmh)</v>
      </c>
      <c r="P261" s="47" t="str">
        <f>Data!X259</f>
        <v>Válido</v>
      </c>
    </row>
    <row r="262" spans="1:16">
      <c r="A262" s="41" t="str">
        <f>Data!A260</f>
        <v>PKU239</v>
      </c>
      <c r="B262" s="41" t="str">
        <f>Data!D260</f>
        <v>Vehicle, Diesel, Frontera Energy Col 2679</v>
      </c>
      <c r="C262" s="41">
        <f>Data!F260</f>
        <v>0</v>
      </c>
      <c r="D262" s="41">
        <f>Data!G260</f>
        <v>0</v>
      </c>
      <c r="E262" s="41">
        <f>Data!H260</f>
        <v>0</v>
      </c>
      <c r="F262" s="41">
        <f>Data!K260</f>
        <v>0</v>
      </c>
      <c r="G262" s="33" t="str">
        <f>Data!M260</f>
        <v>Exceso Velocidad 30 Km/h</v>
      </c>
      <c r="H262" s="41" t="str">
        <f>Data!P260</f>
        <v>ECOPETROL RUBIALES- Quifa - CAÑO SUR, Puerto Triunfo - Estacion Policia: Puerto Gaitan - Rubiales, Puerto Gaitán, Meta, Colombia</v>
      </c>
      <c r="I262" s="42" t="str">
        <f>Data!Q260</f>
        <v>Cliente, Vel Max 40 Km/h, Vel Max 30 Km/h</v>
      </c>
      <c r="J262" s="43">
        <f>Data!S260</f>
        <v>46174.16837457176</v>
      </c>
      <c r="K262" s="44">
        <f>Data!S260</f>
        <v>46174.16837457176</v>
      </c>
      <c r="L262" s="45">
        <f>Data!T260</f>
        <v>1.172337962962963E-4</v>
      </c>
      <c r="M262" s="46">
        <f>Data!U260</f>
        <v>8.8833652436733246E-2</v>
      </c>
      <c r="N262" s="46" t="str">
        <f>CONCATENATE(Data!W260," (",Data!V260,")")</f>
        <v>Exceso Velocidad 30 Km/h (Velocidad máxima: 33 kmh)</v>
      </c>
      <c r="O262" s="42" t="str">
        <f>IF(Data!V260&lt;&gt;"",N262,Data!W260)</f>
        <v>Exceso Velocidad 30 Km/h (Velocidad máxima: 33 kmh)</v>
      </c>
      <c r="P262" s="47" t="str">
        <f>Data!X260</f>
        <v>Válido</v>
      </c>
    </row>
    <row r="263" spans="1:16">
      <c r="A263" s="41" t="str">
        <f>Data!A261</f>
        <v>PKU239</v>
      </c>
      <c r="B263" s="41" t="str">
        <f>Data!D261</f>
        <v>Vehicle, Diesel, Frontera Energy Col 2679</v>
      </c>
      <c r="C263" s="41">
        <f>Data!F261</f>
        <v>0</v>
      </c>
      <c r="D263" s="41">
        <f>Data!G261</f>
        <v>0</v>
      </c>
      <c r="E263" s="41">
        <f>Data!H261</f>
        <v>0</v>
      </c>
      <c r="F263" s="41">
        <f>Data!K261</f>
        <v>0</v>
      </c>
      <c r="G263" s="33" t="str">
        <f>Data!M261</f>
        <v>Exceso Velocidad 30 Km/h</v>
      </c>
      <c r="H263" s="41" t="str">
        <f>Data!P261</f>
        <v>ECOPETROL RUBIALES- Quifa - CAÑO SUR, Puerto Triunfo - Estacion Policia: Puerto Gaitan - Rubiales, Puerto Gaitán, Meta, Colombia</v>
      </c>
      <c r="I263" s="42" t="str">
        <f>Data!Q261</f>
        <v>Cliente, Vel Max 40 Km/h, Vel Max 30 Km/h</v>
      </c>
      <c r="J263" s="43">
        <f>Data!S261</f>
        <v>46174.16865295139</v>
      </c>
      <c r="K263" s="44">
        <f>Data!S261</f>
        <v>46174.16865295139</v>
      </c>
      <c r="L263" s="45">
        <f>Data!T261</f>
        <v>1.5234953703703705E-4</v>
      </c>
      <c r="M263" s="46">
        <f>Data!U261</f>
        <v>0.11663622409105301</v>
      </c>
      <c r="N263" s="46" t="str">
        <f>CONCATENATE(Data!W261," (",Data!V261,")")</f>
        <v>Exceso Velocidad 30 Km/h (Velocidad máxima: 35 kmh)</v>
      </c>
      <c r="O263" s="42" t="str">
        <f>IF(Data!V261&lt;&gt;"",N263,Data!W261)</f>
        <v>Exceso Velocidad 30 Km/h (Velocidad máxima: 35 kmh)</v>
      </c>
      <c r="P263" s="47" t="str">
        <f>Data!X261</f>
        <v>Válido</v>
      </c>
    </row>
    <row r="264" spans="1:16">
      <c r="A264" s="41" t="str">
        <f>Data!A262</f>
        <v>PKU239</v>
      </c>
      <c r="B264" s="41" t="str">
        <f>Data!D262</f>
        <v>Vehicle, Diesel, Frontera Energy Col 2679</v>
      </c>
      <c r="C264" s="41">
        <f>Data!F262</f>
        <v>0</v>
      </c>
      <c r="D264" s="41">
        <f>Data!G262</f>
        <v>0</v>
      </c>
      <c r="E264" s="41">
        <f>Data!H262</f>
        <v>0</v>
      </c>
      <c r="F264" s="41">
        <f>Data!K262</f>
        <v>0</v>
      </c>
      <c r="G264" s="33" t="str">
        <f>Data!M262</f>
        <v>Exceso Velocidad 30 Km/h</v>
      </c>
      <c r="H264" s="41" t="str">
        <f>Data!P262</f>
        <v>ECOPETROL RUBIALES- Quifa - CAÑO SUR, Puerto Triunfo - Estacion Policia: Puerto Gaitan - Rubiales, Puerto Gaitán, Meta, Colombia</v>
      </c>
      <c r="I264" s="42" t="str">
        <f>Data!Q262</f>
        <v>Cliente, Vel Max 40 Km/h, Vel Max 30 Km/h</v>
      </c>
      <c r="J264" s="43">
        <f>Data!S262</f>
        <v>46174.1688587963</v>
      </c>
      <c r="K264" s="44">
        <f>Data!S262</f>
        <v>46174.1688587963</v>
      </c>
      <c r="L264" s="45">
        <f>Data!T262</f>
        <v>3.0092592592592593E-5</v>
      </c>
      <c r="M264" s="46">
        <f>Data!U262</f>
        <v>2.2149700671434402E-2</v>
      </c>
      <c r="N264" s="46" t="str">
        <f>CONCATENATE(Data!W262," (",Data!V262,")")</f>
        <v>Exceso Velocidad 30 Km/h (Velocidad máxima: 31 kmh)</v>
      </c>
      <c r="O264" s="42" t="str">
        <f>IF(Data!V262&lt;&gt;"",N264,Data!W262)</f>
        <v>Exceso Velocidad 30 Km/h (Velocidad máxima: 31 kmh)</v>
      </c>
      <c r="P264" s="47" t="str">
        <f>Data!X262</f>
        <v>Válido</v>
      </c>
    </row>
    <row r="265" spans="1:16">
      <c r="A265" s="41" t="str">
        <f>Data!A263</f>
        <v>PKU239</v>
      </c>
      <c r="B265" s="41" t="str">
        <f>Data!D263</f>
        <v>Vehicle, Diesel, Frontera Energy Col 2679</v>
      </c>
      <c r="C265" s="41">
        <f>Data!F263</f>
        <v>0</v>
      </c>
      <c r="D265" s="41">
        <f>Data!G263</f>
        <v>0</v>
      </c>
      <c r="E265" s="41">
        <f>Data!H263</f>
        <v>0</v>
      </c>
      <c r="F265" s="41">
        <f>Data!K263</f>
        <v>0</v>
      </c>
      <c r="G265" s="33" t="str">
        <f>Data!M263</f>
        <v>Exceso Velocidad 30 Km/h</v>
      </c>
      <c r="H265" s="41" t="str">
        <f>Data!P263</f>
        <v>ECOPETROL RUBIALES- Quifa - CAÑO SUR, Puerto Triunfo - Estacion Policia: Puerto Gaitan - Rubiales, Puerto Gaitán, Meta, Colombia</v>
      </c>
      <c r="I265" s="42" t="str">
        <f>Data!Q263</f>
        <v>Cliente, Vel Max 40 Km/h, Vel Max 30 Km/h</v>
      </c>
      <c r="J265" s="43">
        <f>Data!S263</f>
        <v>46174.169400462961</v>
      </c>
      <c r="K265" s="44">
        <f>Data!S263</f>
        <v>46174.169400462961</v>
      </c>
      <c r="L265" s="45">
        <f>Data!T263</f>
        <v>1.4120370370370372E-4</v>
      </c>
      <c r="M265" s="46">
        <f>Data!U263</f>
        <v>0.10675789415836334</v>
      </c>
      <c r="N265" s="46" t="str">
        <f>CONCATENATE(Data!W263," (",Data!V263,")")</f>
        <v>Exceso Velocidad 30 Km/h (Velocidad máxima: 31 kmh)</v>
      </c>
      <c r="O265" s="42" t="str">
        <f>IF(Data!V263&lt;&gt;"",N265,Data!W263)</f>
        <v>Exceso Velocidad 30 Km/h (Velocidad máxima: 31 kmh)</v>
      </c>
      <c r="P265" s="47" t="str">
        <f>Data!X263</f>
        <v>Válido</v>
      </c>
    </row>
    <row r="266" spans="1:16">
      <c r="A266" s="41" t="str">
        <f>Data!A264</f>
        <v>PKU239</v>
      </c>
      <c r="B266" s="41" t="str">
        <f>Data!D264</f>
        <v>Vehicle, Diesel, Frontera Energy Col 2679</v>
      </c>
      <c r="C266" s="41">
        <f>Data!F264</f>
        <v>0</v>
      </c>
      <c r="D266" s="41">
        <f>Data!G264</f>
        <v>0</v>
      </c>
      <c r="E266" s="41">
        <f>Data!H264</f>
        <v>0</v>
      </c>
      <c r="F266" s="41">
        <f>Data!K264</f>
        <v>0</v>
      </c>
      <c r="G266" s="33" t="str">
        <f>Data!M264</f>
        <v>Exceso Velocidad 30 Km/h</v>
      </c>
      <c r="H266" s="41" t="str">
        <f>Data!P264</f>
        <v>ECOPETROL RUBIALES- Quifa - CAÑO SUR, Puerto Triunfo - Estacion Policia: Puerto Gaitan - Rubiales, Puerto Gaitán, Meta, Colombia</v>
      </c>
      <c r="I266" s="42" t="str">
        <f>Data!Q264</f>
        <v>Cliente, Vel Max 40 Km/h, Vel Max 30 Km/h</v>
      </c>
      <c r="J266" s="43">
        <f>Data!S264</f>
        <v>46174.17042613426</v>
      </c>
      <c r="K266" s="44">
        <f>Data!S264</f>
        <v>46174.17042613426</v>
      </c>
      <c r="L266" s="45">
        <f>Data!T264</f>
        <v>5.9976851851851851E-5</v>
      </c>
      <c r="M266" s="46">
        <f>Data!U264</f>
        <v>4.6439412981271744E-2</v>
      </c>
      <c r="N266" s="46" t="str">
        <f>CONCATENATE(Data!W264," (",Data!V264,")")</f>
        <v>Exceso Velocidad 30 Km/h (Velocidad máxima: 33 kmh)</v>
      </c>
      <c r="O266" s="42" t="str">
        <f>IF(Data!V264&lt;&gt;"",N266,Data!W264)</f>
        <v>Exceso Velocidad 30 Km/h (Velocidad máxima: 33 kmh)</v>
      </c>
      <c r="P266" s="47" t="str">
        <f>Data!X264</f>
        <v>Válido</v>
      </c>
    </row>
    <row r="267" spans="1:16">
      <c r="A267" s="41" t="str">
        <f>Data!A265</f>
        <v>PKU239</v>
      </c>
      <c r="B267" s="41" t="str">
        <f>Data!D265</f>
        <v>Vehicle, Diesel, Frontera Energy Col 2679</v>
      </c>
      <c r="C267" s="41">
        <f>Data!F265</f>
        <v>0</v>
      </c>
      <c r="D267" s="41">
        <f>Data!G265</f>
        <v>0</v>
      </c>
      <c r="E267" s="41">
        <f>Data!H265</f>
        <v>0</v>
      </c>
      <c r="F267" s="41">
        <f>Data!K265</f>
        <v>0</v>
      </c>
      <c r="G267" s="33" t="str">
        <f>Data!M265</f>
        <v>Exceso Velocidad 30 Km/h</v>
      </c>
      <c r="H267" s="41" t="str">
        <f>Data!P265</f>
        <v>ECOPETROL RUBIALES- Quifa - CAÑO SUR, Puerto Triunfo - Estacion Policia: Puerto Gaitan - Rubiales, Puerto Gaitán, Meta, Colombia</v>
      </c>
      <c r="I267" s="42" t="str">
        <f>Data!Q265</f>
        <v>Cliente, Vel Max 40 Km/h, Vel Max 30 Km/h</v>
      </c>
      <c r="J267" s="43">
        <f>Data!S265</f>
        <v>46174.170724027776</v>
      </c>
      <c r="K267" s="44">
        <f>Data!S265</f>
        <v>46174.170724027776</v>
      </c>
      <c r="L267" s="45">
        <f>Data!T265</f>
        <v>1.1427083333333333E-4</v>
      </c>
      <c r="M267" s="46">
        <f>Data!U265</f>
        <v>8.7660357356071472E-2</v>
      </c>
      <c r="N267" s="46" t="str">
        <f>CONCATENATE(Data!W265," (",Data!V265,")")</f>
        <v>Exceso Velocidad 30 Km/h (Velocidad máxima: 33 kmh)</v>
      </c>
      <c r="O267" s="42" t="str">
        <f>IF(Data!V265&lt;&gt;"",N267,Data!W265)</f>
        <v>Exceso Velocidad 30 Km/h (Velocidad máxima: 33 kmh)</v>
      </c>
      <c r="P267" s="47" t="str">
        <f>Data!X265</f>
        <v>Válido</v>
      </c>
    </row>
    <row r="268" spans="1:16">
      <c r="A268" s="41" t="str">
        <f>Data!A266</f>
        <v>PKU239</v>
      </c>
      <c r="B268" s="41" t="str">
        <f>Data!D266</f>
        <v>Vehicle, Diesel, Frontera Energy Col 2679</v>
      </c>
      <c r="C268" s="41">
        <f>Data!F266</f>
        <v>0</v>
      </c>
      <c r="D268" s="41">
        <f>Data!G266</f>
        <v>0</v>
      </c>
      <c r="E268" s="41">
        <f>Data!H266</f>
        <v>0</v>
      </c>
      <c r="F268" s="41">
        <f>Data!K266</f>
        <v>0</v>
      </c>
      <c r="G268" s="33" t="str">
        <f>Data!M266</f>
        <v>Exceso Velocidad 30 Km/h</v>
      </c>
      <c r="H268" s="41" t="str">
        <f>Data!P266</f>
        <v>ECOPETROL RUBIALES- Quifa - CAÑO SUR, Puerto Triunfo - Estacion Policia: Km 128 +500, Lavadero De Autos EL OASIS, Puerto Gaitan - Rubiales, Puerto Gaitán, Meta, Colombia</v>
      </c>
      <c r="I268" s="42" t="str">
        <f>Data!Q266</f>
        <v>Cliente, Vel Max 40 Km/h, Vel Max 30 Km/h</v>
      </c>
      <c r="J268" s="43">
        <f>Data!S266</f>
        <v>46174.177042824173</v>
      </c>
      <c r="K268" s="44">
        <f>Data!S266</f>
        <v>46174.177042824173</v>
      </c>
      <c r="L268" s="45">
        <f>Data!T266</f>
        <v>1.2796296296296297E-4</v>
      </c>
      <c r="M268" s="46">
        <f>Data!U266</f>
        <v>0.11076043546199799</v>
      </c>
      <c r="N268" s="46" t="str">
        <f>CONCATENATE(Data!W266," (",Data!V266,")")</f>
        <v>Exceso Velocidad 30 Km/h (Velocidad máxima: 39 kmh)</v>
      </c>
      <c r="O268" s="42" t="str">
        <f>IF(Data!V266&lt;&gt;"",N268,Data!W266)</f>
        <v>Exceso Velocidad 30 Km/h (Velocidad máxima: 39 kmh)</v>
      </c>
      <c r="P268" s="47" t="str">
        <f>Data!X266</f>
        <v>Válido</v>
      </c>
    </row>
    <row r="269" spans="1:16">
      <c r="A269" s="41" t="str">
        <f>Data!A267</f>
        <v>PKU239</v>
      </c>
      <c r="B269" s="41" t="str">
        <f>Data!D267</f>
        <v>Vehicle, Diesel, Frontera Energy Col 2679</v>
      </c>
      <c r="C269" s="41">
        <f>Data!F267</f>
        <v>0</v>
      </c>
      <c r="D269" s="41">
        <f>Data!G267</f>
        <v>0</v>
      </c>
      <c r="E269" s="41">
        <f>Data!H267</f>
        <v>0</v>
      </c>
      <c r="F269" s="41">
        <f>Data!K267</f>
        <v>0</v>
      </c>
      <c r="G269" s="33" t="str">
        <f>Data!M267</f>
        <v>Exceso Velocidad 30 Km/h</v>
      </c>
      <c r="H269" s="41" t="str">
        <f>Data!P267</f>
        <v>ECOPETROL RUBIALES- Quifa - CAÑO SUR, Puerto Triunfo - Estacion Policia: vereda puerto triunfo Km 129+300 vía rubiales, Puerto Gaitán, Meta, Colombia</v>
      </c>
      <c r="I269" s="42" t="str">
        <f>Data!Q267</f>
        <v>Cliente, Vel Max 40 Km/h, Vel Max 30 Km/h</v>
      </c>
      <c r="J269" s="43">
        <f>Data!S267</f>
        <v>46174.178653067131</v>
      </c>
      <c r="K269" s="44">
        <f>Data!S267</f>
        <v>46174.178653067131</v>
      </c>
      <c r="L269" s="45">
        <f>Data!T267</f>
        <v>1.808449074074074E-4</v>
      </c>
      <c r="M269" s="46">
        <f>Data!U267</f>
        <v>0.15253746509552002</v>
      </c>
      <c r="N269" s="46" t="str">
        <f>CONCATENATE(Data!W267," (",Data!V267,")")</f>
        <v>Exceso Velocidad 30 Km/h (Velocidad máxima: 37 kmh)</v>
      </c>
      <c r="O269" s="42" t="str">
        <f>IF(Data!V267&lt;&gt;"",N269,Data!W267)</f>
        <v>Exceso Velocidad 30 Km/h (Velocidad máxima: 37 kmh)</v>
      </c>
      <c r="P269" s="47" t="str">
        <f>Data!X267</f>
        <v>Válido</v>
      </c>
    </row>
    <row r="270" spans="1:16">
      <c r="A270" s="41" t="str">
        <f>Data!A268</f>
        <v>PKU239</v>
      </c>
      <c r="B270" s="41" t="str">
        <f>Data!D268</f>
        <v>Vehicle, Diesel, Frontera Energy Col 2679</v>
      </c>
      <c r="C270" s="41">
        <f>Data!F268</f>
        <v>0</v>
      </c>
      <c r="D270" s="41">
        <f>Data!G268</f>
        <v>0</v>
      </c>
      <c r="E270" s="41">
        <f>Data!H268</f>
        <v>0</v>
      </c>
      <c r="F270" s="41">
        <f>Data!K268</f>
        <v>0</v>
      </c>
      <c r="G270" s="33" t="str">
        <f>Data!M268</f>
        <v>Exceso Velocidad 30 Km/h</v>
      </c>
      <c r="H270" s="41" t="str">
        <f>Data!P268</f>
        <v>ECOPETROL RUBIALES- Quifa - CAÑO SUR, Puerto Triunfo - Estacion Policia: Puerto Gaitan - Rubiales, Puerto Gaitán, Meta, Colombia</v>
      </c>
      <c r="I270" s="42" t="str">
        <f>Data!Q268</f>
        <v>Cliente, Vel Max 40 Km/h, Vel Max 30 Km/h</v>
      </c>
      <c r="J270" s="43">
        <f>Data!S268</f>
        <v>46174.178856099534</v>
      </c>
      <c r="K270" s="44">
        <f>Data!S268</f>
        <v>46174.178856099534</v>
      </c>
      <c r="L270" s="45">
        <f>Data!T268</f>
        <v>8.6805655555555552E-5</v>
      </c>
      <c r="M270" s="46">
        <f>Data!U268</f>
        <v>6.802675873041153E-2</v>
      </c>
      <c r="N270" s="46" t="str">
        <f>CONCATENATE(Data!W268," (",Data!V268,")")</f>
        <v>Exceso Velocidad 30 Km/h (Velocidad máxima: 35 kmh)</v>
      </c>
      <c r="O270" s="42" t="str">
        <f>IF(Data!V268&lt;&gt;"",N270,Data!W268)</f>
        <v>Exceso Velocidad 30 Km/h (Velocidad máxima: 35 kmh)</v>
      </c>
      <c r="P270" s="47" t="str">
        <f>Data!X268</f>
        <v>Válido</v>
      </c>
    </row>
    <row r="271" spans="1:16">
      <c r="A271" s="41" t="str">
        <f>Data!A269</f>
        <v>PKU239</v>
      </c>
      <c r="B271" s="41" t="str">
        <f>Data!D269</f>
        <v>Vehicle, Diesel, Frontera Energy Col 2679</v>
      </c>
      <c r="C271" s="41">
        <f>Data!F269</f>
        <v>0</v>
      </c>
      <c r="D271" s="41">
        <f>Data!G269</f>
        <v>0</v>
      </c>
      <c r="E271" s="41">
        <f>Data!H269</f>
        <v>0</v>
      </c>
      <c r="F271" s="41">
        <f>Data!K269</f>
        <v>0</v>
      </c>
      <c r="G271" s="33" t="str">
        <f>Data!M269</f>
        <v>Exceso Velocidad 30 Km/h</v>
      </c>
      <c r="H271" s="41" t="str">
        <f>Data!P269</f>
        <v>ECOPETROL RUBIALES- Quifa - CAÑO SUR, Puerto Triunfo - Estacion Policia: Puerto Gaitan - Rubiales, Puerto Gaitán, Meta, Colombia</v>
      </c>
      <c r="I271" s="42" t="str">
        <f>Data!Q269</f>
        <v>Cliente, Vel Max 40 Km/h, Vel Max 30 Km/h</v>
      </c>
      <c r="J271" s="43">
        <f>Data!S269</f>
        <v>46174.17912458333</v>
      </c>
      <c r="K271" s="44">
        <f>Data!S269</f>
        <v>46174.17912458333</v>
      </c>
      <c r="L271" s="45">
        <f>Data!T269</f>
        <v>6.6886574074074068E-5</v>
      </c>
      <c r="M271" s="46">
        <f>Data!U269</f>
        <v>5.2467986941337585E-2</v>
      </c>
      <c r="N271" s="46" t="str">
        <f>CONCATENATE(Data!W269," (",Data!V269,")")</f>
        <v>Exceso Velocidad 30 Km/h (Velocidad máxima: 35 kmh)</v>
      </c>
      <c r="O271" s="42" t="str">
        <f>IF(Data!V269&lt;&gt;"",N271,Data!W269)</f>
        <v>Exceso Velocidad 30 Km/h (Velocidad máxima: 35 kmh)</v>
      </c>
      <c r="P271" s="47" t="str">
        <f>Data!X269</f>
        <v>Válido</v>
      </c>
    </row>
    <row r="272" spans="1:16">
      <c r="A272" s="41" t="str">
        <f>Data!A270</f>
        <v>PKU239</v>
      </c>
      <c r="B272" s="41" t="str">
        <f>Data!D270</f>
        <v>Vehicle, Diesel, Frontera Energy Col 2679</v>
      </c>
      <c r="C272" s="41">
        <f>Data!F270</f>
        <v>0</v>
      </c>
      <c r="D272" s="41">
        <f>Data!G270</f>
        <v>0</v>
      </c>
      <c r="E272" s="41">
        <f>Data!H270</f>
        <v>0</v>
      </c>
      <c r="F272" s="41">
        <f>Data!K270</f>
        <v>0</v>
      </c>
      <c r="G272" s="33" t="str">
        <f>Data!M270</f>
        <v>Exceso Velocidad 30 Km/h</v>
      </c>
      <c r="H272" s="41" t="str">
        <f>Data!P270</f>
        <v>ECOPETROL RUBIALES- Quifa - CAÑO SUR, Puerto Triunfo - Estacion Policia: Puerto Gaitan - Rubiales, Puerto Gaitán, Meta, Colombia</v>
      </c>
      <c r="I272" s="42" t="str">
        <f>Data!Q270</f>
        <v>Cliente, Vel Max 40 Km/h, Vel Max 30 Km/h</v>
      </c>
      <c r="J272" s="43">
        <f>Data!S270</f>
        <v>46174.179215277778</v>
      </c>
      <c r="K272" s="44">
        <f>Data!S270</f>
        <v>46174.179215277778</v>
      </c>
      <c r="L272" s="45">
        <f>Data!T270</f>
        <v>1.7643518518518518E-4</v>
      </c>
      <c r="M272" s="46">
        <f>Data!U270</f>
        <v>0.14730058610439301</v>
      </c>
      <c r="N272" s="46" t="str">
        <f>CONCATENATE(Data!W270," (",Data!V270,")")</f>
        <v>Exceso Velocidad 30 Km/h (Velocidad máxima: 37 kmh)</v>
      </c>
      <c r="O272" s="42" t="str">
        <f>IF(Data!V270&lt;&gt;"",N272,Data!W270)</f>
        <v>Exceso Velocidad 30 Km/h (Velocidad máxima: 37 kmh)</v>
      </c>
      <c r="P272" s="47" t="str">
        <f>Data!X270</f>
        <v>Válido</v>
      </c>
    </row>
    <row r="273" spans="1:16">
      <c r="A273" s="41" t="str">
        <f>Data!A271</f>
        <v>PKU239</v>
      </c>
      <c r="B273" s="41" t="str">
        <f>Data!D271</f>
        <v>Vehicle, Diesel, Frontera Energy Col 2679</v>
      </c>
      <c r="C273" s="41">
        <f>Data!F271</f>
        <v>0</v>
      </c>
      <c r="D273" s="41">
        <f>Data!G271</f>
        <v>0</v>
      </c>
      <c r="E273" s="41">
        <f>Data!H271</f>
        <v>0</v>
      </c>
      <c r="F273" s="41">
        <f>Data!K271</f>
        <v>0</v>
      </c>
      <c r="G273" s="33" t="str">
        <f>Data!M271</f>
        <v>Exceso Velocidad 30 Km/h</v>
      </c>
      <c r="H273" s="41" t="str">
        <f>Data!P271</f>
        <v>ECOPETROL RUBIALES- Quifa - CAÑO SUR, Puerto Triunfo - Estacion Policia: Puerto Gaitan - Rubiales, Puerto Gaitán, Meta, Colombia</v>
      </c>
      <c r="I273" s="42" t="str">
        <f>Data!Q271</f>
        <v>Cliente, Vel Max 40 Km/h, Vel Max 30 Km/h</v>
      </c>
      <c r="J273" s="43">
        <f>Data!S271</f>
        <v>46174.179484305554</v>
      </c>
      <c r="K273" s="44">
        <f>Data!S271</f>
        <v>46174.179484305554</v>
      </c>
      <c r="L273" s="45">
        <f>Data!T271</f>
        <v>1.2112268518518518E-4</v>
      </c>
      <c r="M273" s="46">
        <f>Data!U271</f>
        <v>0.10114167630672455</v>
      </c>
      <c r="N273" s="46" t="str">
        <f>CONCATENATE(Data!W271," (",Data!V271,")")</f>
        <v>Exceso Velocidad 30 Km/h (Velocidad máxima: 37 kmh)</v>
      </c>
      <c r="O273" s="42" t="str">
        <f>IF(Data!V271&lt;&gt;"",N273,Data!W271)</f>
        <v>Exceso Velocidad 30 Km/h (Velocidad máxima: 37 kmh)</v>
      </c>
      <c r="P273" s="47" t="str">
        <f>Data!X271</f>
        <v>Válido</v>
      </c>
    </row>
    <row r="274" spans="1:16">
      <c r="A274" s="41" t="str">
        <f>Data!A272</f>
        <v>PKU239</v>
      </c>
      <c r="B274" s="41" t="str">
        <f>Data!D272</f>
        <v>Vehicle, Diesel, Frontera Energy Col 2679</v>
      </c>
      <c r="C274" s="41">
        <f>Data!F272</f>
        <v>0</v>
      </c>
      <c r="D274" s="41">
        <f>Data!G272</f>
        <v>0</v>
      </c>
      <c r="E274" s="41">
        <f>Data!H272</f>
        <v>0</v>
      </c>
      <c r="F274" s="41">
        <f>Data!K272</f>
        <v>0</v>
      </c>
      <c r="G274" s="33" t="str">
        <f>Data!M272</f>
        <v>Exceso Velocidad 30 Km/h</v>
      </c>
      <c r="H274" s="41" t="str">
        <f>Data!P272</f>
        <v>ECOPETROL RUBIALES- Quifa - CAÑO SUR, Puerto Triunfo - Estacion Policia: Puerto Gaitan - Rubiales, Puerto Gaitán, Meta, Colombia</v>
      </c>
      <c r="I274" s="42" t="str">
        <f>Data!Q272</f>
        <v>Cliente, Vel Max 40 Km/h, Vel Max 30 Km/h</v>
      </c>
      <c r="J274" s="43">
        <f>Data!S272</f>
        <v>46174.179836030089</v>
      </c>
      <c r="K274" s="44">
        <f>Data!S272</f>
        <v>46174.179836030089</v>
      </c>
      <c r="L274" s="45">
        <f>Data!T272</f>
        <v>1.3030092592592593E-4</v>
      </c>
      <c r="M274" s="46">
        <f>Data!U272</f>
        <v>0.10572067648172379</v>
      </c>
      <c r="N274" s="46" t="str">
        <f>CONCATENATE(Data!W272," (",Data!V272,")")</f>
        <v>Exceso Velocidad 30 Km/h (Velocidad máxima: 35 kmh)</v>
      </c>
      <c r="O274" s="42" t="str">
        <f>IF(Data!V272&lt;&gt;"",N274,Data!W272)</f>
        <v>Exceso Velocidad 30 Km/h (Velocidad máxima: 35 kmh)</v>
      </c>
      <c r="P274" s="47" t="str">
        <f>Data!X272</f>
        <v>Válido</v>
      </c>
    </row>
    <row r="275" spans="1:16">
      <c r="A275" s="41" t="str">
        <f>Data!A273</f>
        <v>PKU239</v>
      </c>
      <c r="B275" s="41" t="str">
        <f>Data!D273</f>
        <v>Vehicle, Diesel, Frontera Energy Col 2679</v>
      </c>
      <c r="C275" s="41">
        <f>Data!F273</f>
        <v>0</v>
      </c>
      <c r="D275" s="41">
        <f>Data!G273</f>
        <v>0</v>
      </c>
      <c r="E275" s="41">
        <f>Data!H273</f>
        <v>0</v>
      </c>
      <c r="F275" s="41">
        <f>Data!K273</f>
        <v>0</v>
      </c>
      <c r="G275" s="33" t="str">
        <f>Data!M273</f>
        <v>Uso del cinturón de seguridad</v>
      </c>
      <c r="H275" s="41" t="str">
        <f>Data!P273</f>
        <v>ECOPETROL RUBIALES- Quifa - CAÑO SUR, Puerto Triunfo - Estacion Policia: Puerto Gaitan - Rubiales, Puerto Gaitán, Meta, Colombia</v>
      </c>
      <c r="I275" s="42" t="str">
        <f>Data!Q273</f>
        <v>Cliente, Vel Max 40 Km/h, Vel Max 30 Km/h</v>
      </c>
      <c r="J275" s="43">
        <f>Data!S273</f>
        <v>46174.21303240741</v>
      </c>
      <c r="K275" s="44">
        <f>Data!S273</f>
        <v>46174.21303240741</v>
      </c>
      <c r="L275" s="45">
        <f>Data!T273</f>
        <v>2.7733217592592592E-3</v>
      </c>
      <c r="M275" s="46">
        <f>Data!U273</f>
        <v>1.7263516187667847</v>
      </c>
      <c r="N275" s="46" t="str">
        <f>CONCATENATE(Data!W273," (",Data!V273,")")</f>
        <v>Uso del cinturón de seguridad (Velocidad máxima: 41 kmh Cinturón de seguridad del conductor (1. Desabrochado): 1.00)</v>
      </c>
      <c r="O275" s="42" t="str">
        <f>IF(Data!V273&lt;&gt;"",N275,Data!W273)</f>
        <v>Uso del cinturón de seguridad (Velocidad máxima: 41 kmh Cinturón de seguridad del conductor (1. Desabrochado): 1.00)</v>
      </c>
      <c r="P275" s="47" t="str">
        <f>Data!X273</f>
        <v>Válido</v>
      </c>
    </row>
    <row r="276" spans="1:16">
      <c r="A276" s="41" t="str">
        <f>Data!A274</f>
        <v>PKU239</v>
      </c>
      <c r="B276" s="41" t="str">
        <f>Data!D274</f>
        <v>Vehicle, Diesel, Frontera Energy Col 2679</v>
      </c>
      <c r="C276" s="41">
        <f>Data!F274</f>
        <v>0</v>
      </c>
      <c r="D276" s="41">
        <f>Data!G274</f>
        <v>0</v>
      </c>
      <c r="E276" s="41">
        <f>Data!H274</f>
        <v>0</v>
      </c>
      <c r="F276" s="41">
        <f>Data!K274</f>
        <v>0</v>
      </c>
      <c r="G276" s="33" t="str">
        <f>Data!M274</f>
        <v>Exceso Velocidad 30 Km/h</v>
      </c>
      <c r="H276" s="41" t="str">
        <f>Data!P274</f>
        <v>ECOPETROL RUBIALES- Quifa - CAÑO SUR, Puerto Triunfo - Estacion Policia: Puerto Gaitan - Rubiales, Puerto Gaitán, Meta, Colombia</v>
      </c>
      <c r="I276" s="42" t="str">
        <f>Data!Q274</f>
        <v>Cliente, Vel Max 40 Km/h, Vel Max 30 Km/h</v>
      </c>
      <c r="J276" s="43">
        <f>Data!S274</f>
        <v>46174.214168981482</v>
      </c>
      <c r="K276" s="44">
        <f>Data!S274</f>
        <v>46174.214168981482</v>
      </c>
      <c r="L276" s="45">
        <f>Data!T274</f>
        <v>5.3240740740740744E-5</v>
      </c>
      <c r="M276" s="46">
        <f>Data!U274</f>
        <v>3.6201406270265579E-2</v>
      </c>
      <c r="N276" s="46" t="str">
        <f>CONCATENATE(Data!W274," (",Data!V274,")")</f>
        <v>Exceso Velocidad 30 Km/h (Velocidad máxima: 31 kmh)</v>
      </c>
      <c r="O276" s="42" t="str">
        <f>IF(Data!V274&lt;&gt;"",N276,Data!W274)</f>
        <v>Exceso Velocidad 30 Km/h (Velocidad máxima: 31 kmh)</v>
      </c>
      <c r="P276" s="47" t="str">
        <f>Data!X274</f>
        <v>Válido</v>
      </c>
    </row>
    <row r="277" spans="1:16">
      <c r="A277" s="41" t="str">
        <f>Data!A275</f>
        <v>PKU239</v>
      </c>
      <c r="B277" s="41" t="str">
        <f>Data!D275</f>
        <v>Vehicle, Diesel, Frontera Energy Col 2679</v>
      </c>
      <c r="C277" s="41">
        <f>Data!F275</f>
        <v>0</v>
      </c>
      <c r="D277" s="41">
        <f>Data!G275</f>
        <v>0</v>
      </c>
      <c r="E277" s="41">
        <f>Data!H275</f>
        <v>0</v>
      </c>
      <c r="F277" s="41">
        <f>Data!K275</f>
        <v>0</v>
      </c>
      <c r="G277" s="33" t="str">
        <f>Data!M275</f>
        <v>Exceso Velocidad 30 Km/h</v>
      </c>
      <c r="H277" s="41" t="str">
        <f>Data!P275</f>
        <v>ECOPETROL RUBIALES- Quifa - CAÑO SUR, Puerto Triunfo - Estacion Policia: Puerto Gaitan - Rubiales, Puerto Gaitán, Meta, Colombia</v>
      </c>
      <c r="I277" s="42" t="str">
        <f>Data!Q275</f>
        <v>Cliente, Vel Max 40 Km/h, Vel Max 30 Km/h</v>
      </c>
      <c r="J277" s="43">
        <f>Data!S275</f>
        <v>46174.21435185185</v>
      </c>
      <c r="K277" s="44">
        <f>Data!S275</f>
        <v>46174.21435185185</v>
      </c>
      <c r="L277" s="45">
        <f>Data!T275</f>
        <v>4.6296296296296294E-5</v>
      </c>
      <c r="M277" s="46">
        <f>Data!U275</f>
        <v>3.5526107996702194E-2</v>
      </c>
      <c r="N277" s="46" t="str">
        <f>CONCATENATE(Data!W275," (",Data!V275,")")</f>
        <v>Exceso Velocidad 30 Km/h (Velocidad máxima: 31 kmh)</v>
      </c>
      <c r="O277" s="42" t="str">
        <f>IF(Data!V275&lt;&gt;"",N277,Data!W275)</f>
        <v>Exceso Velocidad 30 Km/h (Velocidad máxima: 31 kmh)</v>
      </c>
      <c r="P277" s="47" t="str">
        <f>Data!X275</f>
        <v>Válido</v>
      </c>
    </row>
    <row r="278" spans="1:16">
      <c r="A278" s="41" t="str">
        <f>Data!A276</f>
        <v>PKU239</v>
      </c>
      <c r="B278" s="41" t="str">
        <f>Data!D276</f>
        <v>Vehicle, Diesel, Frontera Energy Col 2679</v>
      </c>
      <c r="C278" s="41">
        <f>Data!F276</f>
        <v>0</v>
      </c>
      <c r="D278" s="41">
        <f>Data!G276</f>
        <v>0</v>
      </c>
      <c r="E278" s="41">
        <f>Data!H276</f>
        <v>0</v>
      </c>
      <c r="F278" s="41">
        <f>Data!K276</f>
        <v>0</v>
      </c>
      <c r="G278" s="33" t="str">
        <f>Data!M276</f>
        <v>Exceso Velocidad 10 Km/h</v>
      </c>
      <c r="H278" s="41" t="str">
        <f>Data!P276</f>
        <v>ECOPETROL RUBIALES- Quifa - CAÑO SUR, Puerto Triunfo - Estacion Policia, PUESTRO CONTROL QUIFA: Puerto Gaitan - Rubiales, Puerto Gaitán, Meta, Colombia</v>
      </c>
      <c r="I278" s="42" t="str">
        <f>Data!Q276</f>
        <v>Cliente, Vel Max 40 Km/h, Vel Max 30 Km/h, Vel Max 10 Km/h</v>
      </c>
      <c r="J278" s="43">
        <f>Data!S276</f>
        <v>46174.214592071759</v>
      </c>
      <c r="K278" s="44">
        <f>Data!S276</f>
        <v>46174.214592071759</v>
      </c>
      <c r="L278" s="45">
        <f>Data!T276</f>
        <v>2.446875E-4</v>
      </c>
      <c r="M278" s="46">
        <f>Data!U276</f>
        <v>0.18249921500682831</v>
      </c>
      <c r="N278" s="46" t="str">
        <f>CONCATENATE(Data!W276," (",Data!V276,")")</f>
        <v>Exceso Velocidad 10 Km/h (Velocidad máxima: 32 kmh)</v>
      </c>
      <c r="O278" s="42" t="str">
        <f>IF(Data!V276&lt;&gt;"",N278,Data!W276)</f>
        <v>Exceso Velocidad 10 Km/h (Velocidad máxima: 32 kmh)</v>
      </c>
      <c r="P278" s="47" t="str">
        <f>Data!X276</f>
        <v>Válido</v>
      </c>
    </row>
    <row r="279" spans="1:16">
      <c r="A279" s="41" t="str">
        <f>Data!A277</f>
        <v>PKU239</v>
      </c>
      <c r="B279" s="41" t="str">
        <f>Data!D277</f>
        <v>Vehicle, Diesel, Frontera Energy Col 2679</v>
      </c>
      <c r="C279" s="41">
        <f>Data!F277</f>
        <v>0</v>
      </c>
      <c r="D279" s="41">
        <f>Data!G277</f>
        <v>0</v>
      </c>
      <c r="E279" s="41">
        <f>Data!H277</f>
        <v>0</v>
      </c>
      <c r="F279" s="41">
        <f>Data!K277</f>
        <v>0</v>
      </c>
      <c r="G279" s="33" t="str">
        <f>Data!M277</f>
        <v>Exceso Velocidad 30 Km/h</v>
      </c>
      <c r="H279" s="41" t="str">
        <f>Data!P277</f>
        <v>ECOPETROL RUBIALES- Quifa - CAÑO SUR, Puerto Triunfo - Estacion Policia, PUESTRO CONTROL QUIFA: Puerto Gaitan - Rubiales, Puerto Gaitán, Meta, Colombia</v>
      </c>
      <c r="I279" s="42" t="str">
        <f>Data!Q277</f>
        <v>Cliente, Vel Max 40 Km/h, Vel Max 30 Km/h, Vel Max 10 Km/h</v>
      </c>
      <c r="J279" s="43">
        <f>Data!S277</f>
        <v>46174.214765625002</v>
      </c>
      <c r="K279" s="44">
        <f>Data!S277</f>
        <v>46174.214765625002</v>
      </c>
      <c r="L279" s="45">
        <f>Data!T277</f>
        <v>2.0386574074074073E-4</v>
      </c>
      <c r="M279" s="46">
        <f>Data!U277</f>
        <v>0.15796574950218201</v>
      </c>
      <c r="N279" s="46" t="str">
        <f>CONCATENATE(Data!W277," (",Data!V277,")")</f>
        <v>Exceso Velocidad 30 Km/h (Velocidad máxima: 35 kmh)</v>
      </c>
      <c r="O279" s="42" t="str">
        <f>IF(Data!V277&lt;&gt;"",N279,Data!W277)</f>
        <v>Exceso Velocidad 30 Km/h (Velocidad máxima: 35 kmh)</v>
      </c>
      <c r="P279" s="47" t="str">
        <f>Data!X277</f>
        <v>Válido</v>
      </c>
    </row>
    <row r="280" spans="1:16">
      <c r="A280" s="41" t="str">
        <f>Data!A278</f>
        <v>PKU239</v>
      </c>
      <c r="B280" s="41" t="str">
        <f>Data!D278</f>
        <v>Vehicle, Diesel, Frontera Energy Col 2679</v>
      </c>
      <c r="C280" s="41">
        <f>Data!F278</f>
        <v>0</v>
      </c>
      <c r="D280" s="41">
        <f>Data!G278</f>
        <v>0</v>
      </c>
      <c r="E280" s="41">
        <f>Data!H278</f>
        <v>0</v>
      </c>
      <c r="F280" s="41">
        <f>Data!K278</f>
        <v>0</v>
      </c>
      <c r="G280" s="33" t="str">
        <f>Data!M278</f>
        <v>Exceso de velocidad (nuevo)</v>
      </c>
      <c r="H280" s="41" t="str">
        <f>Data!P278</f>
        <v>ECOPETROL RUBIALES- Quifa - CAÑO SUR: Puerto Gaitan - Rubiales, Puerto Gaitán, Meta, Colombia</v>
      </c>
      <c r="I280" s="42" t="str">
        <f>Data!Q278</f>
        <v>Cliente, Vel Max 40 Km/h</v>
      </c>
      <c r="J280" s="43">
        <f>Data!S278</f>
        <v>46174.214988425927</v>
      </c>
      <c r="K280" s="44">
        <f>Data!S278</f>
        <v>46174.214988425927</v>
      </c>
      <c r="L280" s="45">
        <f>Data!T278</f>
        <v>3.8194444444444446E-4</v>
      </c>
      <c r="M280" s="46">
        <f>Data!U278</f>
        <v>0.27915593981742859</v>
      </c>
      <c r="N280" s="46" t="str">
        <f>CONCATENATE(Data!W278," (",Data!V278,")")</f>
        <v>Exceso de velocidad (nuevo) (Velocidad máxima: 41 kmh (Velocidad máxima en carretera: 7 kmh))</v>
      </c>
      <c r="O280" s="42" t="str">
        <f>IF(Data!V278&lt;&gt;"",N280,Data!W278)</f>
        <v>Exceso de velocidad (nuevo) (Velocidad máxima: 41 kmh (Velocidad máxima en carretera: 7 kmh))</v>
      </c>
      <c r="P280" s="47" t="str">
        <f>Data!X278</f>
        <v>Válido</v>
      </c>
    </row>
    <row r="281" spans="1:16">
      <c r="A281" s="41" t="str">
        <f>Data!A279</f>
        <v>PKU239</v>
      </c>
      <c r="B281" s="41" t="str">
        <f>Data!D279</f>
        <v>Vehicle, Diesel, Frontera Energy Col 2679</v>
      </c>
      <c r="C281" s="41">
        <f>Data!F279</f>
        <v>0</v>
      </c>
      <c r="D281" s="41">
        <f>Data!G279</f>
        <v>0</v>
      </c>
      <c r="E281" s="41">
        <f>Data!H279</f>
        <v>0</v>
      </c>
      <c r="F281" s="41">
        <f>Data!K279</f>
        <v>0</v>
      </c>
      <c r="G281" s="33" t="str">
        <f>Data!M279</f>
        <v>Exceso Velocidad 40 Km/h</v>
      </c>
      <c r="H281" s="41" t="str">
        <f>Data!P279</f>
        <v>ECOPETROL RUBIALES- Quifa - CAÑO SUR: Puerto Gaitan - Rubiales, Puerto Gaitán, Meta, Colombia</v>
      </c>
      <c r="I281" s="42" t="str">
        <f>Data!Q279</f>
        <v>Cliente, Vel Max 40 Km/h</v>
      </c>
      <c r="J281" s="43">
        <f>Data!S279</f>
        <v>46174.215167824179</v>
      </c>
      <c r="K281" s="44">
        <f>Data!S279</f>
        <v>46174.215167824179</v>
      </c>
      <c r="L281" s="45">
        <f>Data!T279</f>
        <v>3.4722222222222222E-5</v>
      </c>
      <c r="M281" s="46">
        <f>Data!U279</f>
        <v>3.1439390033483505E-2</v>
      </c>
      <c r="N281" s="46" t="str">
        <f>CONCATENATE(Data!W279," (",Data!V279,")")</f>
        <v>Exceso Velocidad 40 Km/h (Velocidad máxima: 41 kmh)</v>
      </c>
      <c r="O281" s="42" t="str">
        <f>IF(Data!V279&lt;&gt;"",N281,Data!W279)</f>
        <v>Exceso Velocidad 40 Km/h (Velocidad máxima: 41 kmh)</v>
      </c>
      <c r="P281" s="47" t="str">
        <f>Data!X279</f>
        <v>Válido</v>
      </c>
    </row>
    <row r="282" spans="1:16">
      <c r="A282" s="41" t="str">
        <f>Data!A280</f>
        <v>PKU239</v>
      </c>
      <c r="B282" s="41" t="str">
        <f>Data!D280</f>
        <v>Vehicle, Diesel, Frontera Energy Col 2679</v>
      </c>
      <c r="C282" s="41">
        <f>Data!F280</f>
        <v>0</v>
      </c>
      <c r="D282" s="41">
        <f>Data!G280</f>
        <v>0</v>
      </c>
      <c r="E282" s="41">
        <f>Data!H280</f>
        <v>0</v>
      </c>
      <c r="F282" s="41">
        <f>Data!K280</f>
        <v>0</v>
      </c>
      <c r="G282" s="33" t="str">
        <f>Data!M280</f>
        <v>Exceso Velocidad 10 Km/h</v>
      </c>
      <c r="H282" s="41" t="str">
        <f>Data!P280</f>
        <v>ECOPETROL RUBIALES- Quifa - CAÑO SUR, Centralizado de combustible Quifa: Vía Sin Nombre, Puerto Gaitán, Meta, Colombia</v>
      </c>
      <c r="I282" s="42" t="str">
        <f>Data!Q280</f>
        <v>Cliente, Vel Max 40 Km/h, Vel Max 10 Km/h</v>
      </c>
      <c r="J282" s="43">
        <f>Data!S280</f>
        <v>46174.215440567132</v>
      </c>
      <c r="K282" s="44">
        <f>Data!S280</f>
        <v>46174.215440567132</v>
      </c>
      <c r="L282" s="45">
        <f>Data!T280</f>
        <v>3.6516203703703705E-4</v>
      </c>
      <c r="M282" s="46">
        <f>Data!U280</f>
        <v>0.18024404346942902</v>
      </c>
      <c r="N282" s="46" t="str">
        <f>CONCATENATE(Data!W280," (",Data!V280,")")</f>
        <v>Exceso Velocidad 10 Km/h (Velocidad máxima: 24 kmh)</v>
      </c>
      <c r="O282" s="42" t="str">
        <f>IF(Data!V280&lt;&gt;"",N282,Data!W280)</f>
        <v>Exceso Velocidad 10 Km/h (Velocidad máxima: 24 kmh)</v>
      </c>
      <c r="P282" s="47" t="str">
        <f>Data!X280</f>
        <v>Válido</v>
      </c>
    </row>
    <row r="283" spans="1:16">
      <c r="A283" s="41" t="str">
        <f>Data!A281</f>
        <v>PKU239</v>
      </c>
      <c r="B283" s="41" t="str">
        <f>Data!D281</f>
        <v>Vehicle, Diesel, Frontera Energy Col 2679</v>
      </c>
      <c r="C283" s="41">
        <f>Data!F281</f>
        <v>0</v>
      </c>
      <c r="D283" s="41">
        <f>Data!G281</f>
        <v>0</v>
      </c>
      <c r="E283" s="41">
        <f>Data!H281</f>
        <v>0</v>
      </c>
      <c r="F283" s="41">
        <f>Data!K281</f>
        <v>0</v>
      </c>
      <c r="G283" s="33" t="str">
        <f>Data!M281</f>
        <v>Exceso Velocidad 10 Km/h</v>
      </c>
      <c r="H283" s="41" t="str">
        <f>Data!P281</f>
        <v>ECOPETROL RUBIALES- Quifa - CAÑO SUR, Centralizado de combustible Quifa: Vía Sin Nombre, Puerto Gaitán, Meta, Colombia</v>
      </c>
      <c r="I283" s="42" t="str">
        <f>Data!Q281</f>
        <v>Cliente, Vel Max 40 Km/h, Vel Max 10 Km/h</v>
      </c>
      <c r="J283" s="43">
        <f>Data!S281</f>
        <v>46174.216709108798</v>
      </c>
      <c r="K283" s="44">
        <f>Data!S281</f>
        <v>46174.216709108798</v>
      </c>
      <c r="L283" s="45">
        <f>Data!T281</f>
        <v>4.1120370370370372E-4</v>
      </c>
      <c r="M283" s="46">
        <f>Data!U281</f>
        <v>0.17793351411819458</v>
      </c>
      <c r="N283" s="46" t="str">
        <f>CONCATENATE(Data!W281," (",Data!V281,")")</f>
        <v>Exceso Velocidad 10 Km/h (Velocidad máxima: 18 kmh)</v>
      </c>
      <c r="O283" s="42" t="str">
        <f>IF(Data!V281&lt;&gt;"",N283,Data!W281)</f>
        <v>Exceso Velocidad 10 Km/h (Velocidad máxima: 18 kmh)</v>
      </c>
      <c r="P283" s="47" t="str">
        <f>Data!X281</f>
        <v>Válido</v>
      </c>
    </row>
    <row r="284" spans="1:16">
      <c r="A284" s="41" t="str">
        <f>Data!A282</f>
        <v>PKU239</v>
      </c>
      <c r="B284" s="41" t="str">
        <f>Data!D282</f>
        <v>Vehicle, Diesel, Frontera Energy Col 2679</v>
      </c>
      <c r="C284" s="41">
        <f>Data!F282</f>
        <v>0</v>
      </c>
      <c r="D284" s="41">
        <f>Data!G282</f>
        <v>0</v>
      </c>
      <c r="E284" s="41">
        <f>Data!H282</f>
        <v>0</v>
      </c>
      <c r="F284" s="41">
        <f>Data!K282</f>
        <v>0</v>
      </c>
      <c r="G284" s="33" t="str">
        <f>Data!M282</f>
        <v>Uso del cinturón de seguridad</v>
      </c>
      <c r="H284" s="41" t="str">
        <f>Data!P282</f>
        <v>ECOPETROL RUBIALES- Quifa - CAÑO SUR, Centralizado de combustible Quifa: Vía Sin Nombre, Puerto Gaitán, Meta, Colombia</v>
      </c>
      <c r="I284" s="42" t="str">
        <f>Data!Q282</f>
        <v>Cliente, Vel Max 40 Km/h, Vel Max 10 Km/h</v>
      </c>
      <c r="J284" s="43">
        <f>Data!S282</f>
        <v>46174.216709108798</v>
      </c>
      <c r="K284" s="44">
        <f>Data!S282</f>
        <v>46174.216709108798</v>
      </c>
      <c r="L284" s="45">
        <f>Data!T282</f>
        <v>2.0521990740740741E-4</v>
      </c>
      <c r="M284" s="46">
        <f>Data!U282</f>
        <v>7.7874600887298584E-2</v>
      </c>
      <c r="N284" s="46" t="str">
        <f>CONCATENATE(Data!W282," (",Data!V282,")")</f>
        <v>Uso del cinturón de seguridad (Velocidad máxima: 18 kmh Cinturón de seguridad del conductor (1. Desabrochado): 1.00)</v>
      </c>
      <c r="O284" s="42" t="str">
        <f>IF(Data!V282&lt;&gt;"",N284,Data!W282)</f>
        <v>Uso del cinturón de seguridad (Velocidad máxima: 18 kmh Cinturón de seguridad del conductor (1. Desabrochado): 1.00)</v>
      </c>
      <c r="P284" s="47" t="str">
        <f>Data!X282</f>
        <v>Válido</v>
      </c>
    </row>
    <row r="285" spans="1:16">
      <c r="A285" s="41" t="str">
        <f>Data!A283</f>
        <v>PKU239</v>
      </c>
      <c r="B285" s="41" t="str">
        <f>Data!D283</f>
        <v>Vehicle, Diesel, Frontera Energy Col 2679</v>
      </c>
      <c r="C285" s="41">
        <f>Data!F283</f>
        <v>0</v>
      </c>
      <c r="D285" s="41">
        <f>Data!G283</f>
        <v>0</v>
      </c>
      <c r="E285" s="41">
        <f>Data!H283</f>
        <v>0</v>
      </c>
      <c r="F285" s="41">
        <f>Data!K283</f>
        <v>0</v>
      </c>
      <c r="G285" s="33" t="str">
        <f>Data!M283</f>
        <v>Exceso de velocidad (nuevo)</v>
      </c>
      <c r="H285" s="41" t="str">
        <f>Data!P283</f>
        <v>ECOPETROL RUBIALES- Quifa - CAÑO SUR: Vía Sin Nombre, Puerto Gaitán, Meta, Colombia</v>
      </c>
      <c r="I285" s="42" t="str">
        <f>Data!Q283</f>
        <v>Cliente, Vel Max 40 Km/h</v>
      </c>
      <c r="J285" s="43">
        <f>Data!S283</f>
        <v>46174.217129629629</v>
      </c>
      <c r="K285" s="44">
        <f>Data!S283</f>
        <v>46174.217129629629</v>
      </c>
      <c r="L285" s="45">
        <f>Data!T283</f>
        <v>4.9768518518518521E-4</v>
      </c>
      <c r="M285" s="46">
        <f>Data!U283</f>
        <v>0.32882252335548401</v>
      </c>
      <c r="N285" s="46" t="str">
        <f>CONCATENATE(Data!W283," (",Data!V283,")")</f>
        <v>Exceso de velocidad (nuevo) (Velocidad máxima: 35 kmh (Velocidad máxima en carretera: 7 kmh))</v>
      </c>
      <c r="O285" s="42" t="str">
        <f>IF(Data!V283&lt;&gt;"",N285,Data!W283)</f>
        <v>Exceso de velocidad (nuevo) (Velocidad máxima: 35 kmh (Velocidad máxima en carretera: 7 kmh))</v>
      </c>
      <c r="P285" s="47" t="str">
        <f>Data!X283</f>
        <v>Válido</v>
      </c>
    </row>
    <row r="286" spans="1:16">
      <c r="A286" s="41" t="str">
        <f>Data!A284</f>
        <v>PKU239</v>
      </c>
      <c r="B286" s="41" t="str">
        <f>Data!D284</f>
        <v>Vehicle, Diesel, Frontera Energy Col 2679</v>
      </c>
      <c r="C286" s="41">
        <f>Data!F284</f>
        <v>0</v>
      </c>
      <c r="D286" s="41">
        <f>Data!G284</f>
        <v>0</v>
      </c>
      <c r="E286" s="41">
        <f>Data!H284</f>
        <v>0</v>
      </c>
      <c r="F286" s="41">
        <f>Data!K284</f>
        <v>0</v>
      </c>
      <c r="G286" s="33" t="str">
        <f>Data!M284</f>
        <v>Frenado brusco (nuevo)</v>
      </c>
      <c r="H286" s="41" t="str">
        <f>Data!P284</f>
        <v>ECOPETROL RUBIALES- Quifa - CAÑO SUR, Puerto Triunfo - Estacion Policia: Puerto Gaitan - Rubiales, Puerto Gaitán, Meta, Colombia</v>
      </c>
      <c r="I286" s="42" t="str">
        <f>Data!Q284</f>
        <v>Cliente, Vel Max 40 Km/h, Vel Max 30 Km/h</v>
      </c>
      <c r="J286" s="43">
        <f>Data!S284</f>
        <v>46174.218784722223</v>
      </c>
      <c r="K286" s="44">
        <f>Data!S284</f>
        <v>46174.218784722223</v>
      </c>
      <c r="L286" s="45">
        <f>Data!T284</f>
        <v>0</v>
      </c>
      <c r="M286" s="46">
        <f>Data!U284</f>
        <v>0</v>
      </c>
      <c r="N286" s="46" t="str">
        <f>CONCATENATE(Data!W284," (",Data!V284,")")</f>
        <v>Frenado brusco (nuevo) (Clase de vehículo para métricas de seguridad: Otra clase (no estandarizada), Velocidad máxima: 18 kmh,  Ignición: 1)</v>
      </c>
      <c r="O286" s="42" t="str">
        <f>IF(Data!V284&lt;&gt;"",N286,Data!W284)</f>
        <v>Frenado brusco (nuevo) (Clase de vehículo para métricas de seguridad: Otra clase (no estandarizada), Velocidad máxima: 18 kmh,  Ignición: 1)</v>
      </c>
      <c r="P286" s="47" t="str">
        <f>Data!X284</f>
        <v>Válido</v>
      </c>
    </row>
    <row r="287" spans="1:16">
      <c r="A287" s="41" t="str">
        <f>Data!A285</f>
        <v>PKU239</v>
      </c>
      <c r="B287" s="41" t="str">
        <f>Data!D285</f>
        <v>Vehicle, Diesel, Frontera Energy Col 2679</v>
      </c>
      <c r="C287" s="41">
        <f>Data!F285</f>
        <v>0</v>
      </c>
      <c r="D287" s="41">
        <f>Data!G285</f>
        <v>0</v>
      </c>
      <c r="E287" s="41">
        <f>Data!H285</f>
        <v>0</v>
      </c>
      <c r="F287" s="41">
        <f>Data!K285</f>
        <v>0</v>
      </c>
      <c r="G287" s="33" t="str">
        <f>Data!M285</f>
        <v>Exceso Velocidad 10 Km/h</v>
      </c>
      <c r="H287" s="41" t="str">
        <f>Data!P285</f>
        <v>CAMPAMENTO QUIFA, ECOPETROL RUBIALES- Quifa - CAÑO SUR, Puerto Gaitan - Rubiales, Puerto Gaitán, Meta, Colombia, Campamento Quifa - CMA: Ent. CAMPAMENTO, Puerto Gaitán, Meta, Colombia</v>
      </c>
      <c r="I287" s="42" t="str">
        <f>Data!Q285</f>
        <v>Vel Max 10 Km/h, Cliente, Vel Max 40 Km/h, Centro de servicios del proveedor</v>
      </c>
      <c r="J287" s="43">
        <f>Data!S285</f>
        <v>46174.219233414355</v>
      </c>
      <c r="K287" s="44">
        <f>Data!S285</f>
        <v>46174.219233414355</v>
      </c>
      <c r="L287" s="45">
        <f>Data!T285</f>
        <v>8.3715277777777784E-5</v>
      </c>
      <c r="M287" s="46">
        <f>Data!U285</f>
        <v>2.14826799929142E-2</v>
      </c>
      <c r="N287" s="46" t="str">
        <f>CONCATENATE(Data!W285," (",Data!V285,")")</f>
        <v>Exceso Velocidad 10 Km/h (Velocidad máxima: 12 kmh)</v>
      </c>
      <c r="O287" s="42" t="str">
        <f>IF(Data!V285&lt;&gt;"",N287,Data!W285)</f>
        <v>Exceso Velocidad 10 Km/h (Velocidad máxima: 12 kmh)</v>
      </c>
      <c r="P287" s="47" t="str">
        <f>Data!X285</f>
        <v>Válido</v>
      </c>
    </row>
    <row r="288" spans="1:16">
      <c r="A288" s="41" t="str">
        <f>Data!A286</f>
        <v>PKU239</v>
      </c>
      <c r="B288" s="41" t="str">
        <f>Data!D286</f>
        <v>Vehicle, Diesel, Frontera Energy Col 2679</v>
      </c>
      <c r="C288" s="41">
        <f>Data!F286</f>
        <v>0</v>
      </c>
      <c r="D288" s="41">
        <f>Data!G286</f>
        <v>0</v>
      </c>
      <c r="E288" s="41">
        <f>Data!H286</f>
        <v>0</v>
      </c>
      <c r="F288" s="41">
        <f>Data!K286</f>
        <v>0</v>
      </c>
      <c r="G288" s="33" t="str">
        <f>Data!M286</f>
        <v>Exceso Velocidad 10 Km/h</v>
      </c>
      <c r="H288" s="41" t="str">
        <f>Data!P286</f>
        <v>CAMPAMENTO QUIFA, ECOPETROL RUBIALES- Quifa - CAÑO SUR, Puerto Gaitan - Rubiales, Puerto Gaitán, Meta, Colombia, Campamento Quifa - CMA: Ent. CAMPAMENTO, Puerto Gaitán, Meta, Colombia</v>
      </c>
      <c r="I288" s="42" t="str">
        <f>Data!Q286</f>
        <v>Vel Max 10 Km/h, Cliente, Vel Max 40 Km/h, Centro de servicios del proveedor</v>
      </c>
      <c r="J288" s="43">
        <f>Data!S286</f>
        <v>46174.219317129631</v>
      </c>
      <c r="K288" s="44">
        <f>Data!S286</f>
        <v>46174.219317129631</v>
      </c>
      <c r="L288" s="45">
        <f>Data!T286</f>
        <v>2.3842592592592592E-4</v>
      </c>
      <c r="M288" s="46">
        <f>Data!U286</f>
        <v>6.8765997886657715E-2</v>
      </c>
      <c r="N288" s="46" t="str">
        <f>CONCATENATE(Data!W286," (",Data!V286,")")</f>
        <v>Exceso Velocidad 10 Km/h (Velocidad máxima: 14 kmh)</v>
      </c>
      <c r="O288" s="42" t="str">
        <f>IF(Data!V286&lt;&gt;"",N288,Data!W286)</f>
        <v>Exceso Velocidad 10 Km/h (Velocidad máxima: 14 kmh)</v>
      </c>
      <c r="P288" s="47" t="str">
        <f>Data!X286</f>
        <v>Válido</v>
      </c>
    </row>
    <row r="289" spans="1:16">
      <c r="A289" s="41" t="str">
        <f>Data!A287</f>
        <v>PKU239</v>
      </c>
      <c r="B289" s="41" t="str">
        <f>Data!D287</f>
        <v>Vehicle, Diesel, Frontera Energy Col 2679</v>
      </c>
      <c r="C289" s="41">
        <f>Data!F287</f>
        <v>0</v>
      </c>
      <c r="D289" s="41">
        <f>Data!G287</f>
        <v>0</v>
      </c>
      <c r="E289" s="41">
        <f>Data!H287</f>
        <v>0</v>
      </c>
      <c r="F289" s="41">
        <f>Data!K287</f>
        <v>0</v>
      </c>
      <c r="G289" s="33" t="str">
        <f>Data!M287</f>
        <v>Uso del cinturón de seguridad</v>
      </c>
      <c r="H289" s="41" t="str">
        <f>Data!P287</f>
        <v>CAMPAMENTO QUIFA, ECOPETROL RUBIALES- Quifa - CAÑO SUR, Campamento Quifa - CMA: Ent. CAMPAMENTO, Puerto Gaitán, Meta, Colombia</v>
      </c>
      <c r="I289" s="42" t="str">
        <f>Data!Q287</f>
        <v>Vel Max 10 Km/h, Cliente, Vel Max 40 Km/h</v>
      </c>
      <c r="J289" s="43">
        <f>Data!S287</f>
        <v>46174.220829479164</v>
      </c>
      <c r="K289" s="44">
        <f>Data!S287</f>
        <v>46174.220829479164</v>
      </c>
      <c r="L289" s="45">
        <f>Data!T287</f>
        <v>9.4907407407407408E-4</v>
      </c>
      <c r="M289" s="46">
        <f>Data!U287</f>
        <v>0.33264786005020142</v>
      </c>
      <c r="N289" s="46" t="str">
        <f>CONCATENATE(Data!W287," (",Data!V287,")")</f>
        <v>Uso del cinturón de seguridad (Velocidad máxima: 20 kmh Cinturón de seguridad del conductor (1. Desabrochado): 1.00)</v>
      </c>
      <c r="O289" s="42" t="str">
        <f>IF(Data!V287&lt;&gt;"",N289,Data!W287)</f>
        <v>Uso del cinturón de seguridad (Velocidad máxima: 20 kmh Cinturón de seguridad del conductor (1. Desabrochado): 1.00)</v>
      </c>
      <c r="P289" s="47" t="str">
        <f>Data!X287</f>
        <v>Válido</v>
      </c>
    </row>
    <row r="290" spans="1:16">
      <c r="A290" s="41" t="str">
        <f>Data!A288</f>
        <v>PKU239</v>
      </c>
      <c r="B290" s="41" t="str">
        <f>Data!D288</f>
        <v>Vehicle, Diesel, Frontera Energy Col 2679</v>
      </c>
      <c r="C290" s="41">
        <f>Data!F288</f>
        <v>0</v>
      </c>
      <c r="D290" s="41">
        <f>Data!G288</f>
        <v>0</v>
      </c>
      <c r="E290" s="41">
        <f>Data!H288</f>
        <v>0</v>
      </c>
      <c r="F290" s="41">
        <f>Data!K288</f>
        <v>0</v>
      </c>
      <c r="G290" s="33" t="str">
        <f>Data!M288</f>
        <v>Exceso Velocidad 10 Km/h</v>
      </c>
      <c r="H290" s="41" t="str">
        <f>Data!P288</f>
        <v>CAMPAMENTO QUIFA, ECOPETROL RUBIALES- Quifa - CAÑO SUR, Campamento Quifa - CMA: Ent. CAMPAMENTO, Puerto Gaitán, Meta, Colombia</v>
      </c>
      <c r="I290" s="42" t="str">
        <f>Data!Q288</f>
        <v>Vel Max 10 Km/h, Cliente, Vel Max 40 Km/h</v>
      </c>
      <c r="J290" s="43">
        <f>Data!S288</f>
        <v>46174.220829479164</v>
      </c>
      <c r="K290" s="44">
        <f>Data!S288</f>
        <v>46174.220829479164</v>
      </c>
      <c r="L290" s="45">
        <f>Data!T288</f>
        <v>9.4907407407407408E-4</v>
      </c>
      <c r="M290" s="46">
        <f>Data!U288</f>
        <v>0.33264786005020142</v>
      </c>
      <c r="N290" s="46" t="str">
        <f>CONCATENATE(Data!W288," (",Data!V288,")")</f>
        <v>Exceso Velocidad 10 Km/h (Velocidad máxima: 20 kmh)</v>
      </c>
      <c r="O290" s="42" t="str">
        <f>IF(Data!V288&lt;&gt;"",N290,Data!W288)</f>
        <v>Exceso Velocidad 10 Km/h (Velocidad máxima: 20 kmh)</v>
      </c>
      <c r="P290" s="47" t="str">
        <f>Data!X288</f>
        <v>Válido</v>
      </c>
    </row>
    <row r="291" spans="1:16">
      <c r="A291" s="41" t="str">
        <f>Data!A289</f>
        <v>PKU239</v>
      </c>
      <c r="B291" s="41" t="str">
        <f>Data!D289</f>
        <v>Vehicle, Diesel, Frontera Energy Col 2679</v>
      </c>
      <c r="C291" s="41">
        <f>Data!F289</f>
        <v>0</v>
      </c>
      <c r="D291" s="41">
        <f>Data!G289</f>
        <v>0</v>
      </c>
      <c r="E291" s="41">
        <f>Data!H289</f>
        <v>0</v>
      </c>
      <c r="F291" s="41">
        <f>Data!K289</f>
        <v>0</v>
      </c>
      <c r="G291" s="33" t="str">
        <f>Data!M289</f>
        <v>Uso del cinturón de seguridad</v>
      </c>
      <c r="H291" s="41" t="str">
        <f>Data!P289</f>
        <v>CAMPAMENTO QUIFA, ECOPETROL RUBIALES- Quifa - CAÑO SUR, Campamento Quifa - CMA: Ent. CAMPAMENTO, Puerto Gaitán, Meta, Colombia</v>
      </c>
      <c r="I291" s="42" t="str">
        <f>Data!Q289</f>
        <v>Vel Max 10 Km/h, Cliente, Vel Max 40 Km/h</v>
      </c>
      <c r="J291" s="43">
        <f>Data!S289</f>
        <v>46174.228692129633</v>
      </c>
      <c r="K291" s="44">
        <f>Data!S289</f>
        <v>46174.228692129633</v>
      </c>
      <c r="L291" s="45">
        <f>Data!T289</f>
        <v>4.0509259259259258E-4</v>
      </c>
      <c r="M291" s="46">
        <f>Data!U289</f>
        <v>0.1034044474363327</v>
      </c>
      <c r="N291" s="46" t="str">
        <f>CONCATENATE(Data!W289," (",Data!V289,")")</f>
        <v>Uso del cinturón de seguridad (Velocidad máxima: 12 kmh Cinturón de seguridad del conductor (1. Desabrochado): 1.00)</v>
      </c>
      <c r="O291" s="42" t="str">
        <f>IF(Data!V289&lt;&gt;"",N291,Data!W289)</f>
        <v>Uso del cinturón de seguridad (Velocidad máxima: 12 kmh Cinturón de seguridad del conductor (1. Desabrochado): 1.00)</v>
      </c>
      <c r="P291" s="47" t="str">
        <f>Data!X289</f>
        <v>Válido</v>
      </c>
    </row>
    <row r="292" spans="1:16">
      <c r="A292" s="41" t="str">
        <f>Data!A290</f>
        <v>PKU239</v>
      </c>
      <c r="B292" s="41" t="str">
        <f>Data!D290</f>
        <v>Vehicle, Diesel, Frontera Energy Col 2679</v>
      </c>
      <c r="C292" s="41">
        <f>Data!F290</f>
        <v>0</v>
      </c>
      <c r="D292" s="41">
        <f>Data!G290</f>
        <v>0</v>
      </c>
      <c r="E292" s="41">
        <f>Data!H290</f>
        <v>0</v>
      </c>
      <c r="F292" s="41">
        <f>Data!K290</f>
        <v>0</v>
      </c>
      <c r="G292" s="33" t="str">
        <f>Data!M290</f>
        <v>Exceso Velocidad 10 Km/h</v>
      </c>
      <c r="H292" s="41" t="str">
        <f>Data!P290</f>
        <v>CAMPAMENTO QUIFA, ECOPETROL RUBIALES- Quifa - CAÑO SUR, Campamento Quifa - CMA: Ent. CAMPAMENTO, Puerto Gaitán, Meta, Colombia</v>
      </c>
      <c r="I292" s="42" t="str">
        <f>Data!Q290</f>
        <v>Vel Max 10 Km/h, Cliente, Vel Max 40 Km/h</v>
      </c>
      <c r="J292" s="43">
        <f>Data!S290</f>
        <v>46174.228692129633</v>
      </c>
      <c r="K292" s="44">
        <f>Data!S290</f>
        <v>46174.228692129633</v>
      </c>
      <c r="L292" s="45">
        <f>Data!T290</f>
        <v>4.0509259259259258E-4</v>
      </c>
      <c r="M292" s="46">
        <f>Data!U290</f>
        <v>0.1034044474363327</v>
      </c>
      <c r="N292" s="46" t="str">
        <f>CONCATENATE(Data!W290," (",Data!V290,")")</f>
        <v>Exceso Velocidad 10 Km/h (Velocidad máxima: 12 kmh)</v>
      </c>
      <c r="O292" s="42" t="str">
        <f>IF(Data!V290&lt;&gt;"",N292,Data!W290)</f>
        <v>Exceso Velocidad 10 Km/h (Velocidad máxima: 12 kmh)</v>
      </c>
      <c r="P292" s="47" t="str">
        <f>Data!X290</f>
        <v>Válido</v>
      </c>
    </row>
    <row r="293" spans="1:16">
      <c r="A293" s="41" t="str">
        <f>Data!A291</f>
        <v>PKU239</v>
      </c>
      <c r="B293" s="41" t="str">
        <f>Data!D291</f>
        <v>Vehicle, Diesel, Frontera Energy Col 2679</v>
      </c>
      <c r="C293" s="41">
        <f>Data!F291</f>
        <v>0</v>
      </c>
      <c r="D293" s="41">
        <f>Data!G291</f>
        <v>0</v>
      </c>
      <c r="E293" s="41">
        <f>Data!H291</f>
        <v>0</v>
      </c>
      <c r="F293" s="41">
        <f>Data!K291</f>
        <v>0</v>
      </c>
      <c r="G293" s="33" t="str">
        <f>Data!M291</f>
        <v>Uso del cinturón de seguridad</v>
      </c>
      <c r="H293" s="41" t="str">
        <f>Data!P291</f>
        <v>CAMPAMENTO QUIFA, ECOPETROL RUBIALES- Quifa - CAÑO SUR, Puerto Gaitan - Rubiales, Puerto Gaitán, Meta, Colombia, Campamento Quifa - CMA: Ent. CAMPAMENTO, Puerto Gaitán, Meta, Colombia</v>
      </c>
      <c r="I293" s="42" t="str">
        <f>Data!Q291</f>
        <v>Vel Max 10 Km/h, Cliente, Vel Max 40 Km/h, Centro de servicios del proveedor</v>
      </c>
      <c r="J293" s="43">
        <f>Data!S291</f>
        <v>46174.229224537034</v>
      </c>
      <c r="K293" s="44">
        <f>Data!S291</f>
        <v>46174.229224537034</v>
      </c>
      <c r="L293" s="45">
        <f>Data!T291</f>
        <v>2.5077546296296295E-4</v>
      </c>
      <c r="M293" s="46">
        <f>Data!U291</f>
        <v>6.2230050563812256E-2</v>
      </c>
      <c r="N293" s="46" t="str">
        <f>CONCATENATE(Data!W291," (",Data!V291,")")</f>
        <v>Uso del cinturón de seguridad (Velocidad máxima: 11 kmh Cinturón de seguridad del conductor (1. Desabrochado): 1.00)</v>
      </c>
      <c r="O293" s="42" t="str">
        <f>IF(Data!V291&lt;&gt;"",N293,Data!W291)</f>
        <v>Uso del cinturón de seguridad (Velocidad máxima: 11 kmh Cinturón de seguridad del conductor (1. Desabrochado): 1.00)</v>
      </c>
      <c r="P293" s="47" t="str">
        <f>Data!X291</f>
        <v>Válido</v>
      </c>
    </row>
    <row r="294" spans="1:16">
      <c r="A294" s="41" t="str">
        <f>Data!A292</f>
        <v>PKU239</v>
      </c>
      <c r="B294" s="41" t="str">
        <f>Data!D292</f>
        <v>Vehicle, Diesel, Frontera Energy Col 2679</v>
      </c>
      <c r="C294" s="41">
        <f>Data!F292</f>
        <v>0</v>
      </c>
      <c r="D294" s="41">
        <f>Data!G292</f>
        <v>0</v>
      </c>
      <c r="E294" s="41">
        <f>Data!H292</f>
        <v>0</v>
      </c>
      <c r="F294" s="41">
        <f>Data!K292</f>
        <v>0</v>
      </c>
      <c r="G294" s="33" t="str">
        <f>Data!M292</f>
        <v>Exceso Velocidad 10 Km/h</v>
      </c>
      <c r="H294" s="41" t="str">
        <f>Data!P292</f>
        <v>CAMPAMENTO QUIFA, ECOPETROL RUBIALES- Quifa - CAÑO SUR, Puerto Gaitan - Rubiales, Puerto Gaitán, Meta, Colombia, Campamento Quifa - CMA: Ent. CAMPAMENTO, Puerto Gaitán, Meta, Colombia</v>
      </c>
      <c r="I294" s="42" t="str">
        <f>Data!Q292</f>
        <v>Vel Max 10 Km/h, Cliente, Vel Max 40 Km/h, Centro de servicios del proveedor</v>
      </c>
      <c r="J294" s="43">
        <f>Data!S292</f>
        <v>46174.229224537034</v>
      </c>
      <c r="K294" s="44">
        <f>Data!S292</f>
        <v>46174.229224537034</v>
      </c>
      <c r="L294" s="45">
        <f>Data!T292</f>
        <v>2.5077546296296295E-4</v>
      </c>
      <c r="M294" s="46">
        <f>Data!U292</f>
        <v>6.2230050563812256E-2</v>
      </c>
      <c r="N294" s="46" t="str">
        <f>CONCATENATE(Data!W292," (",Data!V292,")")</f>
        <v>Exceso Velocidad 10 Km/h (Velocidad máxima: 11 kmh)</v>
      </c>
      <c r="O294" s="42" t="str">
        <f>IF(Data!V292&lt;&gt;"",N294,Data!W292)</f>
        <v>Exceso Velocidad 10 Km/h (Velocidad máxima: 11 kmh)</v>
      </c>
      <c r="P294" s="47" t="str">
        <f>Data!X292</f>
        <v>Válido</v>
      </c>
    </row>
    <row r="295" spans="1:16">
      <c r="A295" s="41" t="str">
        <f>Data!A293</f>
        <v>PKU239</v>
      </c>
      <c r="B295" s="41" t="str">
        <f>Data!D293</f>
        <v>Vehicle, Diesel, Frontera Energy Col 2679</v>
      </c>
      <c r="C295" s="41">
        <f>Data!F293</f>
        <v>0</v>
      </c>
      <c r="D295" s="41">
        <f>Data!G293</f>
        <v>0</v>
      </c>
      <c r="E295" s="41">
        <f>Data!H293</f>
        <v>0</v>
      </c>
      <c r="F295" s="41">
        <f>Data!K293</f>
        <v>0</v>
      </c>
      <c r="G295" s="33" t="str">
        <f>Data!M293</f>
        <v>Uso del cinturón de seguridad</v>
      </c>
      <c r="H295" s="41" t="str">
        <f>Data!P293</f>
        <v>CAMPAMENTO QUIFA, ECOPETROL RUBIALES- Quifa - CAÑO SUR, Campamento Quifa - CMA: Ent. CAMPAMENTO, Puerto Gaitán, Meta, Colombia</v>
      </c>
      <c r="I295" s="42" t="str">
        <f>Data!Q293</f>
        <v>Vel Max 10 Km/h, Cliente, Vel Max 40 Km/h</v>
      </c>
      <c r="J295" s="43">
        <f>Data!S293</f>
        <v>46174.259479166663</v>
      </c>
      <c r="K295" s="44">
        <f>Data!S293</f>
        <v>46174.259479166663</v>
      </c>
      <c r="L295" s="45">
        <f>Data!T293</f>
        <v>0</v>
      </c>
      <c r="M295" s="46">
        <f>Data!U293</f>
        <v>0</v>
      </c>
      <c r="N295" s="46" t="str">
        <f>CONCATENATE(Data!W293," (",Data!V293,")")</f>
        <v>Uso del cinturón de seguridad (Velocidad máxima: 13 kmh Cinturón de seguridad del conductor (1. Desabrochado): 1.00)</v>
      </c>
      <c r="O295" s="42" t="str">
        <f>IF(Data!V293&lt;&gt;"",N295,Data!W293)</f>
        <v>Uso del cinturón de seguridad (Velocidad máxima: 13 kmh Cinturón de seguridad del conductor (1. Desabrochado): 1.00)</v>
      </c>
      <c r="P295" s="47" t="str">
        <f>Data!X293</f>
        <v>Válido</v>
      </c>
    </row>
    <row r="296" spans="1:16">
      <c r="A296" s="41" t="str">
        <f>Data!A294</f>
        <v>PKU239</v>
      </c>
      <c r="B296" s="41" t="str">
        <f>Data!D294</f>
        <v>Vehicle, Diesel, Frontera Energy Col 2679</v>
      </c>
      <c r="C296" s="41">
        <f>Data!F294</f>
        <v>0</v>
      </c>
      <c r="D296" s="41">
        <f>Data!G294</f>
        <v>0</v>
      </c>
      <c r="E296" s="41">
        <f>Data!H294</f>
        <v>0</v>
      </c>
      <c r="F296" s="41">
        <f>Data!K294</f>
        <v>0</v>
      </c>
      <c r="G296" s="33" t="str">
        <f>Data!M294</f>
        <v>Uso del cinturón de seguridad</v>
      </c>
      <c r="H296" s="41" t="str">
        <f>Data!P294</f>
        <v>CAMPAMENTO QUIFA, ECOPETROL RUBIALES- Quifa - CAÑO SUR, Campamento Quifa - CMA: Ent. CAMPAMENTO, Puerto Gaitán, Meta, Colombia</v>
      </c>
      <c r="I296" s="42" t="str">
        <f>Data!Q294</f>
        <v>Vel Max 10 Km/h, Cliente, Vel Max 40 Km/h</v>
      </c>
      <c r="J296" s="43">
        <f>Data!S294</f>
        <v>46174.260027974538</v>
      </c>
      <c r="K296" s="44">
        <f>Data!S294</f>
        <v>46174.260027974538</v>
      </c>
      <c r="L296" s="45">
        <f>Data!T294</f>
        <v>9.4201388888888894E-5</v>
      </c>
      <c r="M296" s="46">
        <f>Data!U294</f>
        <v>0</v>
      </c>
      <c r="N296" s="46" t="str">
        <f>CONCATENATE(Data!W294," (",Data!V294,")")</f>
        <v>Uso del cinturón de seguridad (Velocidad máxima: 18 kmh Cinturón de seguridad del conductor (1. Desabrochado): 1.00)</v>
      </c>
      <c r="O296" s="42" t="str">
        <f>IF(Data!V294&lt;&gt;"",N296,Data!W294)</f>
        <v>Uso del cinturón de seguridad (Velocidad máxima: 18 kmh Cinturón de seguridad del conductor (1. Desabrochado): 1.00)</v>
      </c>
      <c r="P296" s="47" t="str">
        <f>Data!X294</f>
        <v>Válido</v>
      </c>
    </row>
    <row r="297" spans="1:16">
      <c r="A297" s="41" t="str">
        <f>Data!A295</f>
        <v>PKU239</v>
      </c>
      <c r="B297" s="41" t="str">
        <f>Data!D295</f>
        <v>Vehicle, Diesel, Frontera Energy Col 2679</v>
      </c>
      <c r="C297" s="41">
        <f>Data!F295</f>
        <v>0</v>
      </c>
      <c r="D297" s="41">
        <f>Data!G295</f>
        <v>0</v>
      </c>
      <c r="E297" s="41">
        <f>Data!H295</f>
        <v>0</v>
      </c>
      <c r="F297" s="41">
        <f>Data!K295</f>
        <v>0</v>
      </c>
      <c r="G297" s="33" t="str">
        <f>Data!M295</f>
        <v>Uso del cinturón de seguridad</v>
      </c>
      <c r="H297" s="41" t="str">
        <f>Data!P295</f>
        <v>CAMPAMENTO QUIFA, ECOPETROL RUBIALES- Quifa - CAÑO SUR, Campamento Quifa - CMA: Ent. CAMPAMENTO, Puerto Gaitán, Meta, Colombia</v>
      </c>
      <c r="I297" s="42" t="str">
        <f>Data!Q295</f>
        <v>Vel Max 10 Km/h, Cliente, Vel Max 40 Km/h</v>
      </c>
      <c r="J297" s="43">
        <f>Data!S295</f>
        <v>46174.26013116898</v>
      </c>
      <c r="K297" s="44">
        <f>Data!S295</f>
        <v>46174.26013116898</v>
      </c>
      <c r="L297" s="45">
        <f>Data!T295</f>
        <v>1.6134259259259259E-5</v>
      </c>
      <c r="M297" s="46">
        <f>Data!U295</f>
        <v>0</v>
      </c>
      <c r="N297" s="46" t="str">
        <f>CONCATENATE(Data!W295," (",Data!V295,")")</f>
        <v>Uso del cinturón de seguridad (Velocidad máxima: 14 kmh Cinturón de seguridad del conductor (1. Desabrochado): 1.00)</v>
      </c>
      <c r="O297" s="42" t="str">
        <f>IF(Data!V295&lt;&gt;"",N297,Data!W295)</f>
        <v>Uso del cinturón de seguridad (Velocidad máxima: 14 kmh Cinturón de seguridad del conductor (1. Desabrochado): 1.00)</v>
      </c>
      <c r="P297" s="47" t="str">
        <f>Data!X295</f>
        <v>Válido</v>
      </c>
    </row>
    <row r="298" spans="1:16">
      <c r="A298" s="41" t="str">
        <f>Data!A296</f>
        <v>PKU239</v>
      </c>
      <c r="B298" s="41" t="str">
        <f>Data!D296</f>
        <v>Vehicle, Diesel, Frontera Energy Col 2679</v>
      </c>
      <c r="C298" s="41">
        <f>Data!F296</f>
        <v>0</v>
      </c>
      <c r="D298" s="41">
        <f>Data!G296</f>
        <v>0</v>
      </c>
      <c r="E298" s="41">
        <f>Data!H296</f>
        <v>0</v>
      </c>
      <c r="F298" s="41">
        <f>Data!K296</f>
        <v>0</v>
      </c>
      <c r="G298" s="33" t="str">
        <f>Data!M296</f>
        <v>Exceso Velocidad 10 Km/h</v>
      </c>
      <c r="H298" s="41" t="str">
        <f>Data!P296</f>
        <v>CAMPAMENTO QUIFA, ECOPETROL RUBIALES- Quifa - CAÑO SUR, Puerto Triunfo - Estacion Policia: Puerto Gaitan - Rubiales, Puerto Gaitán, Meta, Colombia</v>
      </c>
      <c r="I298" s="42" t="str">
        <f>Data!Q296</f>
        <v>Vel Max 10 Km/h, Cliente, Vel Max 40 Km/h, Vel Max 30 Km/h</v>
      </c>
      <c r="J298" s="43">
        <f>Data!S296</f>
        <v>46174.26032991898</v>
      </c>
      <c r="K298" s="44">
        <f>Data!S296</f>
        <v>46174.26032991898</v>
      </c>
      <c r="L298" s="45">
        <f>Data!T296</f>
        <v>2.4768518518518518E-5</v>
      </c>
      <c r="M298" s="46">
        <f>Data!U296</f>
        <v>1.1884911917150021E-2</v>
      </c>
      <c r="N298" s="46" t="str">
        <f>CONCATENATE(Data!W296," (",Data!V296,")")</f>
        <v>Exceso Velocidad 10 Km/h (Velocidad máxima: 20 kmh)</v>
      </c>
      <c r="O298" s="42" t="str">
        <f>IF(Data!V296&lt;&gt;"",N298,Data!W296)</f>
        <v>Exceso Velocidad 10 Km/h (Velocidad máxima: 20 kmh)</v>
      </c>
      <c r="P298" s="47" t="str">
        <f>Data!X296</f>
        <v>Válido</v>
      </c>
    </row>
    <row r="299" spans="1:16">
      <c r="A299" s="41" t="str">
        <f>Data!A297</f>
        <v>PKU239</v>
      </c>
      <c r="B299" s="41" t="str">
        <f>Data!D297</f>
        <v>Vehicle, Diesel, Frontera Energy Col 2679</v>
      </c>
      <c r="C299" s="41">
        <f>Data!F297</f>
        <v>0</v>
      </c>
      <c r="D299" s="41">
        <f>Data!G297</f>
        <v>0</v>
      </c>
      <c r="E299" s="41">
        <f>Data!H297</f>
        <v>0</v>
      </c>
      <c r="F299" s="41">
        <f>Data!K297</f>
        <v>0</v>
      </c>
      <c r="G299" s="33" t="str">
        <f>Data!M297</f>
        <v>Exceso Velocidad 30 Km/h</v>
      </c>
      <c r="H299" s="41" t="str">
        <f>Data!P297</f>
        <v>CAMPAMENTO QUIFA, ECOPETROL RUBIALES- Quifa - CAÑO SUR, Puerto Triunfo - Estacion Policia: Puerto Gaitan - Rubiales, Puerto Gaitán, Meta, Colombia</v>
      </c>
      <c r="I299" s="42" t="str">
        <f>Data!Q297</f>
        <v>Vel Max 10 Km/h, Cliente, Vel Max 40 Km/h, Vel Max 30 Km/h</v>
      </c>
      <c r="J299" s="43">
        <f>Data!S297</f>
        <v>46174.260536261572</v>
      </c>
      <c r="K299" s="44">
        <f>Data!S297</f>
        <v>46174.260536261572</v>
      </c>
      <c r="L299" s="45">
        <f>Data!T297</f>
        <v>5.0162037037037037E-5</v>
      </c>
      <c r="M299" s="46">
        <f>Data!U297</f>
        <v>3.7127815186977386E-2</v>
      </c>
      <c r="N299" s="46" t="str">
        <f>CONCATENATE(Data!W297," (",Data!V297,")")</f>
        <v>Exceso Velocidad 30 Km/h (Velocidad máxima: 31 kmh)</v>
      </c>
      <c r="O299" s="42" t="str">
        <f>IF(Data!V297&lt;&gt;"",N299,Data!W297)</f>
        <v>Exceso Velocidad 30 Km/h (Velocidad máxima: 31 kmh)</v>
      </c>
      <c r="P299" s="47" t="str">
        <f>Data!X297</f>
        <v>Válido</v>
      </c>
    </row>
    <row r="300" spans="1:16">
      <c r="A300" s="41" t="str">
        <f>Data!A298</f>
        <v>PKU239</v>
      </c>
      <c r="B300" s="41" t="str">
        <f>Data!D298</f>
        <v>Vehicle, Diesel, Frontera Energy Col 2679</v>
      </c>
      <c r="C300" s="41">
        <f>Data!F298</f>
        <v>0</v>
      </c>
      <c r="D300" s="41">
        <f>Data!G298</f>
        <v>0</v>
      </c>
      <c r="E300" s="41">
        <f>Data!H298</f>
        <v>0</v>
      </c>
      <c r="F300" s="41">
        <f>Data!K298</f>
        <v>0</v>
      </c>
      <c r="G300" s="33" t="str">
        <f>Data!M298</f>
        <v>Exceso Velocidad 30 Km/h</v>
      </c>
      <c r="H300" s="41" t="str">
        <f>Data!P298</f>
        <v>ECOPETROL RUBIALES- Quifa - CAÑO SUR, Puerto Triunfo - Estacion Policia: Puerto Gaitan - Rubiales, Puerto Gaitán, Meta, Colombia</v>
      </c>
      <c r="I300" s="42" t="str">
        <f>Data!Q298</f>
        <v>Cliente, Vel Max 40 Km/h, Vel Max 30 Km/h</v>
      </c>
      <c r="J300" s="43">
        <f>Data!S298</f>
        <v>46174.260852627318</v>
      </c>
      <c r="K300" s="44">
        <f>Data!S298</f>
        <v>46174.260852627318</v>
      </c>
      <c r="L300" s="45">
        <f>Data!T298</f>
        <v>7.5405092592592597E-5</v>
      </c>
      <c r="M300" s="46">
        <f>Data!U298</f>
        <v>5.7001650333404541E-2</v>
      </c>
      <c r="N300" s="46" t="str">
        <f>CONCATENATE(Data!W298," (",Data!V298,")")</f>
        <v>Exceso Velocidad 30 Km/h (Velocidad máxima: 33 kmh)</v>
      </c>
      <c r="O300" s="42" t="str">
        <f>IF(Data!V298&lt;&gt;"",N300,Data!W298)</f>
        <v>Exceso Velocidad 30 Km/h (Velocidad máxima: 33 kmh)</v>
      </c>
      <c r="P300" s="47" t="str">
        <f>Data!X298</f>
        <v>Válido</v>
      </c>
    </row>
    <row r="301" spans="1:16">
      <c r="A301" s="41" t="str">
        <f>Data!A299</f>
        <v>PKU239</v>
      </c>
      <c r="B301" s="41" t="str">
        <f>Data!D299</f>
        <v>Vehicle, Diesel, Frontera Energy Col 2679</v>
      </c>
      <c r="C301" s="41">
        <f>Data!F299</f>
        <v>0</v>
      </c>
      <c r="D301" s="41">
        <f>Data!G299</f>
        <v>0</v>
      </c>
      <c r="E301" s="41">
        <f>Data!H299</f>
        <v>0</v>
      </c>
      <c r="F301" s="41">
        <f>Data!K299</f>
        <v>0</v>
      </c>
      <c r="G301" s="33" t="str">
        <f>Data!M299</f>
        <v>Exceso Velocidad 30 Km/h</v>
      </c>
      <c r="H301" s="41" t="str">
        <f>Data!P299</f>
        <v>ECOPETROL RUBIALES- Quifa - CAÑO SUR, Puerto Triunfo - Estacion Policia: Puerto Gaitan - Rubiales, Puerto Gaitán, Meta, Colombia</v>
      </c>
      <c r="I301" s="42" t="str">
        <f>Data!Q299</f>
        <v>Cliente, Vel Max 40 Km/h, Vel Max 30 Km/h</v>
      </c>
      <c r="J301" s="43">
        <f>Data!S299</f>
        <v>46174.260989583432</v>
      </c>
      <c r="K301" s="44">
        <f>Data!S299</f>
        <v>46174.260989583432</v>
      </c>
      <c r="L301" s="45">
        <f>Data!T299</f>
        <v>4.5358796296296298E-5</v>
      </c>
      <c r="M301" s="46">
        <f>Data!U299</f>
        <v>3.5808954387903214E-2</v>
      </c>
      <c r="N301" s="46" t="str">
        <f>CONCATENATE(Data!W299," (",Data!V299,")")</f>
        <v>Exceso Velocidad 30 Km/h (Velocidad máxima: 35 kmh)</v>
      </c>
      <c r="O301" s="42" t="str">
        <f>IF(Data!V299&lt;&gt;"",N301,Data!W299)</f>
        <v>Exceso Velocidad 30 Km/h (Velocidad máxima: 35 kmh)</v>
      </c>
      <c r="P301" s="47" t="str">
        <f>Data!X299</f>
        <v>Válido</v>
      </c>
    </row>
    <row r="302" spans="1:16">
      <c r="A302" s="41" t="str">
        <f>Data!A300</f>
        <v>PKU239</v>
      </c>
      <c r="B302" s="41" t="str">
        <f>Data!D300</f>
        <v>Vehicle, Diesel, Frontera Energy Col 2679</v>
      </c>
      <c r="C302" s="41">
        <f>Data!F300</f>
        <v>0</v>
      </c>
      <c r="D302" s="41">
        <f>Data!G300</f>
        <v>0</v>
      </c>
      <c r="E302" s="41">
        <f>Data!H300</f>
        <v>0</v>
      </c>
      <c r="F302" s="41">
        <f>Data!K300</f>
        <v>0</v>
      </c>
      <c r="G302" s="33" t="str">
        <f>Data!M300</f>
        <v>Exceso Velocidad 40 Km/h</v>
      </c>
      <c r="H302" s="41" t="str">
        <f>Data!P300</f>
        <v>ECOPETROL RUBIALES- Quifa - CAÑO SUR: Puerto Gaitan - Rubiales, Puerto Gaitán, Meta, Colombia</v>
      </c>
      <c r="I302" s="42" t="str">
        <f>Data!Q300</f>
        <v>Cliente, Vel Max 40 Km/h</v>
      </c>
      <c r="J302" s="43">
        <f>Data!S300</f>
        <v>46174.264934895837</v>
      </c>
      <c r="K302" s="44">
        <f>Data!S300</f>
        <v>46174.264934895837</v>
      </c>
      <c r="L302" s="45">
        <f>Data!T300</f>
        <v>1.0543981481481482E-5</v>
      </c>
      <c r="M302" s="46">
        <f>Data!U300</f>
        <v>9.1146593913435936E-3</v>
      </c>
      <c r="N302" s="46" t="str">
        <f>CONCATENATE(Data!W300," (",Data!V300,")")</f>
        <v>Exceso Velocidad 40 Km/h (Velocidad máxima: 42 kmh)</v>
      </c>
      <c r="O302" s="42" t="str">
        <f>IF(Data!V300&lt;&gt;"",N302,Data!W300)</f>
        <v>Exceso Velocidad 40 Km/h (Velocidad máxima: 42 kmh)</v>
      </c>
      <c r="P302" s="47" t="str">
        <f>Data!X300</f>
        <v>Válido</v>
      </c>
    </row>
    <row r="303" spans="1:16">
      <c r="A303" s="41" t="str">
        <f>Data!A301</f>
        <v>PKU239</v>
      </c>
      <c r="B303" s="41" t="str">
        <f>Data!D301</f>
        <v>Vehicle, Diesel, Frontera Energy Col 2679</v>
      </c>
      <c r="C303" s="41">
        <f>Data!F301</f>
        <v>0</v>
      </c>
      <c r="D303" s="41">
        <f>Data!G301</f>
        <v>0</v>
      </c>
      <c r="E303" s="41">
        <f>Data!H301</f>
        <v>0</v>
      </c>
      <c r="F303" s="41">
        <f>Data!K301</f>
        <v>0</v>
      </c>
      <c r="G303" s="33" t="str">
        <f>Data!M301</f>
        <v>Exceso Velocidad 40 Km/h</v>
      </c>
      <c r="H303" s="41" t="str">
        <f>Data!P301</f>
        <v>ECOPETROL RUBIALES- Quifa - CAÑO SUR: Puerto Gaitan - Rubiales, Puerto Gaitán, Meta, Colombia</v>
      </c>
      <c r="I303" s="42" t="str">
        <f>Data!Q301</f>
        <v>Cliente, Vel Max 40 Km/h</v>
      </c>
      <c r="J303" s="43">
        <f>Data!S301</f>
        <v>46174.268206018518</v>
      </c>
      <c r="K303" s="44">
        <f>Data!S301</f>
        <v>46174.268206018518</v>
      </c>
      <c r="L303" s="45">
        <f>Data!T301</f>
        <v>1.0802083333333333E-4</v>
      </c>
      <c r="M303" s="46">
        <f>Data!U301</f>
        <v>0.10114920884370804</v>
      </c>
      <c r="N303" s="46" t="str">
        <f>CONCATENATE(Data!W301," (",Data!V301,")")</f>
        <v>Exceso Velocidad 40 Km/h (Velocidad máxima: 42 kmh)</v>
      </c>
      <c r="O303" s="42" t="str">
        <f>IF(Data!V301&lt;&gt;"",N303,Data!W301)</f>
        <v>Exceso Velocidad 40 Km/h (Velocidad máxima: 42 kmh)</v>
      </c>
      <c r="P303" s="47" t="str">
        <f>Data!X301</f>
        <v>Válido</v>
      </c>
    </row>
    <row r="304" spans="1:16">
      <c r="A304" s="41" t="str">
        <f>Data!A302</f>
        <v>PKU239</v>
      </c>
      <c r="B304" s="41" t="str">
        <f>Data!D302</f>
        <v>Vehicle, Diesel, Frontera Energy Col 2679</v>
      </c>
      <c r="C304" s="41">
        <f>Data!F302</f>
        <v>0</v>
      </c>
      <c r="D304" s="41">
        <f>Data!G302</f>
        <v>0</v>
      </c>
      <c r="E304" s="41">
        <f>Data!H302</f>
        <v>0</v>
      </c>
      <c r="F304" s="41">
        <f>Data!K302</f>
        <v>0</v>
      </c>
      <c r="G304" s="33" t="str">
        <f>Data!M302</f>
        <v>Exceso Velocidad 40 Km/h</v>
      </c>
      <c r="H304" s="41" t="str">
        <f>Data!P302</f>
        <v>ECOPETROL RUBIALES- Quifa - CAÑO SUR: Puerto Gaitan - Rubiales, Puerto Gaitán, Meta, Colombia</v>
      </c>
      <c r="I304" s="42" t="str">
        <f>Data!Q302</f>
        <v>Cliente, Vel Max 40 Km/h</v>
      </c>
      <c r="J304" s="43">
        <f>Data!S302</f>
        <v>46174.271140046396</v>
      </c>
      <c r="K304" s="44">
        <f>Data!S302</f>
        <v>46174.271140046396</v>
      </c>
      <c r="L304" s="45">
        <f>Data!T302</f>
        <v>2.6041666666666668E-5</v>
      </c>
      <c r="M304" s="46">
        <f>Data!U302</f>
        <v>2.434096671640873E-2</v>
      </c>
      <c r="N304" s="46" t="str">
        <f>CONCATENATE(Data!W302," (",Data!V302,")")</f>
        <v>Exceso Velocidad 40 Km/h (Velocidad máxima: 41 kmh)</v>
      </c>
      <c r="O304" s="42" t="str">
        <f>IF(Data!V302&lt;&gt;"",N304,Data!W302)</f>
        <v>Exceso Velocidad 40 Km/h (Velocidad máxima: 41 kmh)</v>
      </c>
      <c r="P304" s="47" t="str">
        <f>Data!X302</f>
        <v>Válido</v>
      </c>
    </row>
    <row r="305" spans="1:16">
      <c r="A305" s="41" t="str">
        <f>Data!A303</f>
        <v>PKU239</v>
      </c>
      <c r="B305" s="41" t="str">
        <f>Data!D303</f>
        <v>Vehicle, Diesel, Frontera Energy Col 2679</v>
      </c>
      <c r="C305" s="41">
        <f>Data!F303</f>
        <v>0</v>
      </c>
      <c r="D305" s="41">
        <f>Data!G303</f>
        <v>0</v>
      </c>
      <c r="E305" s="41">
        <f>Data!H303</f>
        <v>0</v>
      </c>
      <c r="F305" s="41">
        <f>Data!K303</f>
        <v>0</v>
      </c>
      <c r="G305" s="33" t="str">
        <f>Data!M303</f>
        <v>Aceleración brusca</v>
      </c>
      <c r="H305" s="41" t="str">
        <f>Data!P303</f>
        <v>ECOPETROL RUBIALES- Quifa - CAÑO SUR: Puerto Gaitan - Rubiales, Puerto Gaitán, Meta, Colombia</v>
      </c>
      <c r="I305" s="42" t="str">
        <f>Data!Q303</f>
        <v>Cliente, Vel Max 40 Km/h</v>
      </c>
      <c r="J305" s="43">
        <f>Data!S303</f>
        <v>46174.271288090276</v>
      </c>
      <c r="K305" s="44">
        <f>Data!S303</f>
        <v>46174.271288090276</v>
      </c>
      <c r="L305" s="45">
        <f>Data!T303</f>
        <v>3.9351851851851854E-7</v>
      </c>
      <c r="M305" s="46">
        <f>Data!U303</f>
        <v>1.1045602150261402E-4</v>
      </c>
      <c r="N305" s="46" t="str">
        <f>CONCATENATE(Data!W303," (",Data!V303,")")</f>
        <v>Aceleración brusca (Velocidad máxima: 11 kmh Aceleración hacia delante o frenado: 0.45 g-force, Ignición: 1.00)</v>
      </c>
      <c r="O305" s="42" t="str">
        <f>IF(Data!V303&lt;&gt;"",N305,Data!W303)</f>
        <v>Aceleración brusca (Velocidad máxima: 11 kmh Aceleración hacia delante o frenado: 0.45 g-force, Ignición: 1.00)</v>
      </c>
      <c r="P305" s="47" t="str">
        <f>Data!X303</f>
        <v>Válido</v>
      </c>
    </row>
    <row r="306" spans="1:16">
      <c r="A306" s="41" t="str">
        <f>Data!A304</f>
        <v>PKU239</v>
      </c>
      <c r="B306" s="41" t="str">
        <f>Data!D304</f>
        <v>Vehicle, Diesel, Frontera Energy Col 2679</v>
      </c>
      <c r="C306" s="41">
        <f>Data!F304</f>
        <v>0</v>
      </c>
      <c r="D306" s="41">
        <f>Data!G304</f>
        <v>0</v>
      </c>
      <c r="E306" s="41">
        <f>Data!H304</f>
        <v>0</v>
      </c>
      <c r="F306" s="41">
        <f>Data!K304</f>
        <v>0</v>
      </c>
      <c r="G306" s="33" t="str">
        <f>Data!M304</f>
        <v>Exceso Velocidad 40 Km/h</v>
      </c>
      <c r="H306" s="41" t="str">
        <f>Data!P304</f>
        <v>ECOPETROL RUBIALES- Quifa - CAÑO SUR: Puerto Gaitan - Rubiales, Puerto Gaitán, Meta, Colombia</v>
      </c>
      <c r="I306" s="42" t="str">
        <f>Data!Q304</f>
        <v>Cliente, Vel Max 40 Km/h</v>
      </c>
      <c r="J306" s="43">
        <f>Data!S304</f>
        <v>46174.271786747682</v>
      </c>
      <c r="K306" s="44">
        <f>Data!S304</f>
        <v>46174.271786747682</v>
      </c>
      <c r="L306" s="45">
        <f>Data!T304</f>
        <v>3.6168981481481479E-5</v>
      </c>
      <c r="M306" s="46">
        <f>Data!U304</f>
        <v>3.3477950841188431E-2</v>
      </c>
      <c r="N306" s="46" t="str">
        <f>CONCATENATE(Data!W304," (",Data!V304,")")</f>
        <v>Exceso Velocidad 40 Km/h (Velocidad máxima: 41 kmh)</v>
      </c>
      <c r="O306" s="42" t="str">
        <f>IF(Data!V304&lt;&gt;"",N306,Data!W304)</f>
        <v>Exceso Velocidad 40 Km/h (Velocidad máxima: 41 kmh)</v>
      </c>
      <c r="P306" s="47" t="str">
        <f>Data!X304</f>
        <v>Válido</v>
      </c>
    </row>
    <row r="307" spans="1:16">
      <c r="A307" s="41" t="str">
        <f>Data!A305</f>
        <v>PKU239</v>
      </c>
      <c r="B307" s="41" t="str">
        <f>Data!D305</f>
        <v>Vehicle, Diesel, Frontera Energy Col 2679</v>
      </c>
      <c r="C307" s="41">
        <f>Data!F305</f>
        <v>0</v>
      </c>
      <c r="D307" s="41">
        <f>Data!G305</f>
        <v>0</v>
      </c>
      <c r="E307" s="41">
        <f>Data!H305</f>
        <v>0</v>
      </c>
      <c r="F307" s="41">
        <f>Data!K305</f>
        <v>0</v>
      </c>
      <c r="G307" s="33" t="str">
        <f>Data!M305</f>
        <v>Exceso Velocidad 40 Km/h</v>
      </c>
      <c r="H307" s="41" t="str">
        <f>Data!P305</f>
        <v>ECOPETROL RUBIALES- Quifa - CAÑO SUR: Rb 280 320 4 324 126 129 195 14 325 316 143 217 1 26 523 256 28, Puerto Gaitán, Meta, Colombia</v>
      </c>
      <c r="I307" s="42" t="str">
        <f>Data!Q305</f>
        <v>Cliente, Vel Max 40 Km/h</v>
      </c>
      <c r="J307" s="43">
        <f>Data!S305</f>
        <v>46174.274615162038</v>
      </c>
      <c r="K307" s="44">
        <f>Data!S305</f>
        <v>46174.274615162038</v>
      </c>
      <c r="L307" s="45">
        <f>Data!T305</f>
        <v>4.0509359259259258E-5</v>
      </c>
      <c r="M307" s="46">
        <f>Data!U305</f>
        <v>3.7994954735040665E-2</v>
      </c>
      <c r="N307" s="46" t="str">
        <f>CONCATENATE(Data!W305," (",Data!V305,")")</f>
        <v>Exceso Velocidad 40 Km/h (Velocidad máxima: 41 kmh)</v>
      </c>
      <c r="O307" s="42" t="str">
        <f>IF(Data!V305&lt;&gt;"",N307,Data!W305)</f>
        <v>Exceso Velocidad 40 Km/h (Velocidad máxima: 41 kmh)</v>
      </c>
      <c r="P307" s="47" t="str">
        <f>Data!X305</f>
        <v>Válido</v>
      </c>
    </row>
    <row r="308" spans="1:16">
      <c r="A308" s="41" t="str">
        <f>Data!A306</f>
        <v>PKU239</v>
      </c>
      <c r="B308" s="41" t="str">
        <f>Data!D306</f>
        <v>Vehicle, Diesel, Frontera Energy Col 2679</v>
      </c>
      <c r="C308" s="41">
        <f>Data!F306</f>
        <v>0</v>
      </c>
      <c r="D308" s="41">
        <f>Data!G306</f>
        <v>0</v>
      </c>
      <c r="E308" s="41">
        <f>Data!H306</f>
        <v>0</v>
      </c>
      <c r="F308" s="41">
        <f>Data!K306</f>
        <v>0</v>
      </c>
      <c r="G308" s="33" t="str">
        <f>Data!M306</f>
        <v>Exceso Velocidad 40 Km/h</v>
      </c>
      <c r="H308" s="41" t="str">
        <f>Data!P306</f>
        <v>ECOPETROL RUBIALES- Quifa - CAÑO SUR: Rb 320 4 324 126 129 195 14 325 316 143 217 1 26 523 256 28, Puerto Gaitán, Meta, Colombia</v>
      </c>
      <c r="I308" s="42" t="str">
        <f>Data!Q306</f>
        <v>Cliente, Vel Max 40 Km/h</v>
      </c>
      <c r="J308" s="43">
        <f>Data!S306</f>
        <v>46174.2751562501</v>
      </c>
      <c r="K308" s="44">
        <f>Data!S306</f>
        <v>46174.2751562501</v>
      </c>
      <c r="L308" s="45">
        <f>Data!T306</f>
        <v>1.5625010000000001E-4</v>
      </c>
      <c r="M308" s="46">
        <f>Data!U306</f>
        <v>0.14805565774440765</v>
      </c>
      <c r="N308" s="46" t="str">
        <f>CONCATENATE(Data!W306," (",Data!V306,")")</f>
        <v>Exceso Velocidad 40 Km/h (Velocidad máxima: 41 kmh)</v>
      </c>
      <c r="O308" s="42" t="str">
        <f>IF(Data!V306&lt;&gt;"",N308,Data!W306)</f>
        <v>Exceso Velocidad 40 Km/h (Velocidad máxima: 41 kmh)</v>
      </c>
      <c r="P308" s="47" t="str">
        <f>Data!X306</f>
        <v>Válido</v>
      </c>
    </row>
    <row r="309" spans="1:16">
      <c r="A309" s="41" t="str">
        <f>Data!A307</f>
        <v>PKU239</v>
      </c>
      <c r="B309" s="41" t="str">
        <f>Data!D307</f>
        <v>Vehicle, Diesel, Frontera Energy Col 2679</v>
      </c>
      <c r="C309" s="41">
        <f>Data!F307</f>
        <v>0</v>
      </c>
      <c r="D309" s="41">
        <f>Data!G307</f>
        <v>0</v>
      </c>
      <c r="E309" s="41">
        <f>Data!H307</f>
        <v>0</v>
      </c>
      <c r="F309" s="41">
        <f>Data!K307</f>
        <v>0</v>
      </c>
      <c r="G309" s="33" t="str">
        <f>Data!M307</f>
        <v>Exceso Velocidad 40 Km/h</v>
      </c>
      <c r="H309" s="41" t="str">
        <f>Data!P307</f>
        <v>ECOPETROL RUBIALES- Quifa - CAÑO SUR: Rb 320 4 324 126 129 195 14 325 316 143 217 1 26 523 256 28, Puerto Gaitán, Meta, Colombia</v>
      </c>
      <c r="I309" s="42" t="str">
        <f>Data!Q307</f>
        <v>Cliente, Vel Max 40 Km/h</v>
      </c>
      <c r="J309" s="43">
        <f>Data!S307</f>
        <v>46174.275642361215</v>
      </c>
      <c r="K309" s="44">
        <f>Data!S307</f>
        <v>46174.275642361215</v>
      </c>
      <c r="L309" s="45">
        <f>Data!T307</f>
        <v>7.1377314814814819E-5</v>
      </c>
      <c r="M309" s="46">
        <f>Data!U307</f>
        <v>6.67300745844841E-2</v>
      </c>
      <c r="N309" s="46" t="str">
        <f>CONCATENATE(Data!W307," (",Data!V307,")")</f>
        <v>Exceso Velocidad 40 Km/h (Velocidad máxima: 41 kmh)</v>
      </c>
      <c r="O309" s="42" t="str">
        <f>IF(Data!V307&lt;&gt;"",N309,Data!W307)</f>
        <v>Exceso Velocidad 40 Km/h (Velocidad máxima: 41 kmh)</v>
      </c>
      <c r="P309" s="47" t="str">
        <f>Data!X307</f>
        <v>Válido</v>
      </c>
    </row>
    <row r="310" spans="1:16">
      <c r="A310" s="41" t="str">
        <f>Data!A308</f>
        <v>PKU239</v>
      </c>
      <c r="B310" s="41" t="str">
        <f>Data!D308</f>
        <v>Vehicle, Diesel, Frontera Energy Col 2679</v>
      </c>
      <c r="C310" s="41">
        <f>Data!F308</f>
        <v>0</v>
      </c>
      <c r="D310" s="41">
        <f>Data!G308</f>
        <v>0</v>
      </c>
      <c r="E310" s="41">
        <f>Data!H308</f>
        <v>0</v>
      </c>
      <c r="F310" s="41">
        <f>Data!K308</f>
        <v>0</v>
      </c>
      <c r="G310" s="33" t="str">
        <f>Data!M308</f>
        <v>Exceso Velocidad 40 Km/h</v>
      </c>
      <c r="H310" s="41" t="str">
        <f>Data!P308</f>
        <v>ECOPETROL RUBIALES- Quifa - CAÑO SUR: Rb 320 4 324 126 129 195 14 325 316 143 217 1 26 523 256 28, Puerto Gaitán, Meta, Colombia</v>
      </c>
      <c r="I310" s="42" t="str">
        <f>Data!Q308</f>
        <v>Cliente, Vel Max 40 Km/h</v>
      </c>
      <c r="J310" s="43">
        <f>Data!S308</f>
        <v>46174.275819826391</v>
      </c>
      <c r="K310" s="44">
        <f>Data!S308</f>
        <v>46174.275819826391</v>
      </c>
      <c r="L310" s="45">
        <f>Data!T308</f>
        <v>1.9293981481481483E-5</v>
      </c>
      <c r="M310" s="46">
        <f>Data!U308</f>
        <v>1.7036851495504379E-2</v>
      </c>
      <c r="N310" s="46" t="str">
        <f>CONCATENATE(Data!W308," (",Data!V308,")")</f>
        <v>Exceso Velocidad 40 Km/h (Velocidad máxima: 41 kmh)</v>
      </c>
      <c r="O310" s="42" t="str">
        <f>IF(Data!V308&lt;&gt;"",N310,Data!W308)</f>
        <v>Exceso Velocidad 40 Km/h (Velocidad máxima: 41 kmh)</v>
      </c>
      <c r="P310" s="47" t="str">
        <f>Data!X308</f>
        <v>Válido</v>
      </c>
    </row>
    <row r="311" spans="1:16">
      <c r="A311" s="41" t="str">
        <f>Data!A309</f>
        <v>PKU239</v>
      </c>
      <c r="B311" s="41" t="str">
        <f>Data!D309</f>
        <v>Vehicle, Diesel, Frontera Energy Col 2679</v>
      </c>
      <c r="C311" s="41">
        <f>Data!F309</f>
        <v>0</v>
      </c>
      <c r="D311" s="41">
        <f>Data!G309</f>
        <v>0</v>
      </c>
      <c r="E311" s="41">
        <f>Data!H309</f>
        <v>0</v>
      </c>
      <c r="F311" s="41">
        <f>Data!K309</f>
        <v>0</v>
      </c>
      <c r="G311" s="33" t="str">
        <f>Data!M309</f>
        <v>Exceso Velocidad 40 Km/h</v>
      </c>
      <c r="H311" s="41" t="str">
        <f>Data!P309</f>
        <v>ECOPETROL RUBIALES- Quifa - CAÑO SUR: Rb 320 4 324 126 129 195 14 325 316 143 217 1 26 523 256 28, Puerto Gaitán, Meta, Colombia</v>
      </c>
      <c r="I311" s="42" t="str">
        <f>Data!Q309</f>
        <v>Cliente, Vel Max 40 Km/h</v>
      </c>
      <c r="J311" s="43">
        <f>Data!S309</f>
        <v>46174.276099537034</v>
      </c>
      <c r="K311" s="44">
        <f>Data!S309</f>
        <v>46174.276099537034</v>
      </c>
      <c r="L311" s="45">
        <f>Data!T309</f>
        <v>5.7870370370370373E-5</v>
      </c>
      <c r="M311" s="46">
        <f>Data!U309</f>
        <v>5.3842421621084213E-2</v>
      </c>
      <c r="N311" s="46" t="str">
        <f>CONCATENATE(Data!W309," (",Data!V309,")")</f>
        <v>Exceso Velocidad 40 Km/h (Velocidad máxima: 41 kmh)</v>
      </c>
      <c r="O311" s="42" t="str">
        <f>IF(Data!V309&lt;&gt;"",N311,Data!W309)</f>
        <v>Exceso Velocidad 40 Km/h (Velocidad máxima: 41 kmh)</v>
      </c>
      <c r="P311" s="47" t="str">
        <f>Data!X309</f>
        <v>Válido</v>
      </c>
    </row>
    <row r="312" spans="1:16">
      <c r="A312" s="41" t="str">
        <f>Data!A310</f>
        <v>PKU239</v>
      </c>
      <c r="B312" s="41" t="str">
        <f>Data!D310</f>
        <v>Vehicle, Diesel, Frontera Energy Col 2679</v>
      </c>
      <c r="C312" s="41">
        <f>Data!F310</f>
        <v>0</v>
      </c>
      <c r="D312" s="41">
        <f>Data!G310</f>
        <v>0</v>
      </c>
      <c r="E312" s="41">
        <f>Data!H310</f>
        <v>0</v>
      </c>
      <c r="F312" s="41">
        <f>Data!K310</f>
        <v>0</v>
      </c>
      <c r="G312" s="33" t="str">
        <f>Data!M310</f>
        <v>Uso del cinturón de seguridad</v>
      </c>
      <c r="H312" s="41" t="str">
        <f>Data!P310</f>
        <v>ECOPETROL RUBIALES- Quifa - CAÑO SUR: Rb 4 324 126 129 195 14 325 316 143 217 1 26 523 256 28, Puerto Gaitán, Meta, Colombia</v>
      </c>
      <c r="I312" s="42" t="str">
        <f>Data!Q310</f>
        <v>Cliente, Vel Max 40 Km/h</v>
      </c>
      <c r="J312" s="43">
        <f>Data!S310</f>
        <v>46174.277962962966</v>
      </c>
      <c r="K312" s="44">
        <f>Data!S310</f>
        <v>46174.277962962966</v>
      </c>
      <c r="L312" s="45">
        <f>Data!T310</f>
        <v>8.9892361111111108E-4</v>
      </c>
      <c r="M312" s="46">
        <f>Data!U310</f>
        <v>0.40598690509796143</v>
      </c>
      <c r="N312" s="46" t="str">
        <f>CONCATENATE(Data!W310," (",Data!V310,")")</f>
        <v>Uso del cinturón de seguridad (Velocidad máxima: 26 kmh Cinturón de seguridad del conductor (1. Desabrochado): 1.00)</v>
      </c>
      <c r="O312" s="42" t="str">
        <f>IF(Data!V310&lt;&gt;"",N312,Data!W310)</f>
        <v>Uso del cinturón de seguridad (Velocidad máxima: 26 kmh Cinturón de seguridad del conductor (1. Desabrochado): 1.00)</v>
      </c>
      <c r="P312" s="47" t="str">
        <f>Data!X310</f>
        <v>Válido</v>
      </c>
    </row>
    <row r="313" spans="1:16">
      <c r="A313" s="41" t="str">
        <f>Data!A311</f>
        <v>PKU239</v>
      </c>
      <c r="B313" s="41" t="str">
        <f>Data!D311</f>
        <v>Vehicle, Diesel, Frontera Energy Col 2679</v>
      </c>
      <c r="C313" s="41">
        <f>Data!F311</f>
        <v>0</v>
      </c>
      <c r="D313" s="41">
        <f>Data!G311</f>
        <v>0</v>
      </c>
      <c r="E313" s="41">
        <f>Data!H311</f>
        <v>0</v>
      </c>
      <c r="F313" s="41">
        <f>Data!K311</f>
        <v>0</v>
      </c>
      <c r="G313" s="33" t="str">
        <f>Data!M311</f>
        <v>Exceso Velocidad 10 Km/h</v>
      </c>
      <c r="H313" s="41" t="str">
        <f>Data!P311</f>
        <v>ECOPETROL RUBIALES- Quifa - CAÑO SUR, BATERIA 4: Rb 4 324 126 129 195 14 325 316 143 217 1 26 523 256 28, Meta, 502057, Colombia</v>
      </c>
      <c r="I313" s="42" t="str">
        <f>Data!Q311</f>
        <v>Cliente, Vel Max 40 Km/h, Vel Max 10 Km/h</v>
      </c>
      <c r="J313" s="43">
        <f>Data!S311</f>
        <v>46174.278107604165</v>
      </c>
      <c r="K313" s="44">
        <f>Data!S311</f>
        <v>46174.278107604165</v>
      </c>
      <c r="L313" s="45">
        <f>Data!T311</f>
        <v>7.542824074074074E-4</v>
      </c>
      <c r="M313" s="46">
        <f>Data!U311</f>
        <v>0.35874766111373901</v>
      </c>
      <c r="N313" s="46" t="str">
        <f>CONCATENATE(Data!W311," (",Data!V311,")")</f>
        <v>Exceso Velocidad 10 Km/h (Velocidad máxima: 26 kmh)</v>
      </c>
      <c r="O313" s="42" t="str">
        <f>IF(Data!V311&lt;&gt;"",N313,Data!W311)</f>
        <v>Exceso Velocidad 10 Km/h (Velocidad máxima: 26 kmh)</v>
      </c>
      <c r="P313" s="47" t="str">
        <f>Data!X311</f>
        <v>Válido</v>
      </c>
    </row>
    <row r="314" spans="1:16">
      <c r="A314" s="41" t="str">
        <f>Data!A312</f>
        <v>PKU239</v>
      </c>
      <c r="B314" s="41" t="str">
        <f>Data!D312</f>
        <v>Vehicle, Diesel, Frontera Energy Col 2679</v>
      </c>
      <c r="C314" s="41">
        <f>Data!F312</f>
        <v>0</v>
      </c>
      <c r="D314" s="41">
        <f>Data!G312</f>
        <v>0</v>
      </c>
      <c r="E314" s="41">
        <f>Data!H312</f>
        <v>0</v>
      </c>
      <c r="F314" s="41">
        <f>Data!K312</f>
        <v>0</v>
      </c>
      <c r="G314" s="33" t="str">
        <f>Data!M312</f>
        <v>Uso del cinturón de seguridad</v>
      </c>
      <c r="H314" s="41" t="str">
        <f>Data!P312</f>
        <v>ECOPETROL RUBIALES- Quifa - CAÑO SUR, BATERIA 4: Rb 4 324 126 129 195 14 325 316 143 217 1 26 523 256 28, Puerto Gaitán, Meta, Colombia</v>
      </c>
      <c r="I314" s="42" t="str">
        <f>Data!Q312</f>
        <v>Cliente, Vel Max 40 Km/h, Vel Max 10 Km/h</v>
      </c>
      <c r="J314" s="43">
        <f>Data!S312</f>
        <v>46174.278882280094</v>
      </c>
      <c r="K314" s="44">
        <f>Data!S312</f>
        <v>46174.278882280094</v>
      </c>
      <c r="L314" s="45">
        <f>Data!T312</f>
        <v>1.4549768518518519E-4</v>
      </c>
      <c r="M314" s="46">
        <f>Data!U312</f>
        <v>4.1876122355461121E-2</v>
      </c>
      <c r="N314" s="46" t="str">
        <f>CONCATENATE(Data!W312," (",Data!V312,")")</f>
        <v>Uso del cinturón de seguridad (Velocidad máxima: 15 kmh Cinturón de seguridad del conductor (1. Desabrochado): 1.00)</v>
      </c>
      <c r="O314" s="42" t="str">
        <f>IF(Data!V312&lt;&gt;"",N314,Data!W312)</f>
        <v>Uso del cinturón de seguridad (Velocidad máxima: 15 kmh Cinturón de seguridad del conductor (1. Desabrochado): 1.00)</v>
      </c>
      <c r="P314" s="47" t="str">
        <f>Data!X312</f>
        <v>Válido</v>
      </c>
    </row>
    <row r="315" spans="1:16">
      <c r="A315" s="41" t="str">
        <f>Data!A313</f>
        <v>PKU239</v>
      </c>
      <c r="B315" s="41" t="str">
        <f>Data!D313</f>
        <v>Vehicle, Diesel, Frontera Energy Col 2679</v>
      </c>
      <c r="C315" s="41">
        <f>Data!F313</f>
        <v>0</v>
      </c>
      <c r="D315" s="41">
        <f>Data!G313</f>
        <v>0</v>
      </c>
      <c r="E315" s="41">
        <f>Data!H313</f>
        <v>0</v>
      </c>
      <c r="F315" s="41">
        <f>Data!K313</f>
        <v>0</v>
      </c>
      <c r="G315" s="33" t="str">
        <f>Data!M313</f>
        <v>Exceso Velocidad 10 Km/h</v>
      </c>
      <c r="H315" s="41" t="str">
        <f>Data!P313</f>
        <v>ECOPETROL RUBIALES- Quifa - CAÑO SUR, BATERIA 4: Rb 4 324 126 129 195 14 325 316 143 217 1 26 523 256 28, Puerto Gaitán, Meta, Colombia</v>
      </c>
      <c r="I315" s="42" t="str">
        <f>Data!Q313</f>
        <v>Cliente, Vel Max 40 Km/h, Vel Max 10 Km/h</v>
      </c>
      <c r="J315" s="43">
        <f>Data!S313</f>
        <v>46174.278882280094</v>
      </c>
      <c r="K315" s="44">
        <f>Data!S313</f>
        <v>46174.278882280094</v>
      </c>
      <c r="L315" s="45">
        <f>Data!T313</f>
        <v>1.4549768518518519E-4</v>
      </c>
      <c r="M315" s="46">
        <f>Data!U313</f>
        <v>4.1876122355461121E-2</v>
      </c>
      <c r="N315" s="46" t="str">
        <f>CONCATENATE(Data!W313," (",Data!V313,")")</f>
        <v>Exceso Velocidad 10 Km/h (Velocidad máxima: 15 kmh)</v>
      </c>
      <c r="O315" s="42" t="str">
        <f>IF(Data!V313&lt;&gt;"",N315,Data!W313)</f>
        <v>Exceso Velocidad 10 Km/h (Velocidad máxima: 15 kmh)</v>
      </c>
      <c r="P315" s="47" t="str">
        <f>Data!X313</f>
        <v>Válido</v>
      </c>
    </row>
    <row r="316" spans="1:16">
      <c r="A316" s="41" t="str">
        <f>Data!A314</f>
        <v>PKU239</v>
      </c>
      <c r="B316" s="41" t="str">
        <f>Data!D314</f>
        <v>Vehicle, Diesel, Frontera Energy Col 2679</v>
      </c>
      <c r="C316" s="41">
        <f>Data!F314</f>
        <v>0</v>
      </c>
      <c r="D316" s="41">
        <f>Data!G314</f>
        <v>0</v>
      </c>
      <c r="E316" s="41">
        <f>Data!H314</f>
        <v>0</v>
      </c>
      <c r="F316" s="41">
        <f>Data!K314</f>
        <v>0</v>
      </c>
      <c r="G316" s="33" t="str">
        <f>Data!M314</f>
        <v>Uso del cinturón de seguridad</v>
      </c>
      <c r="H316" s="41" t="str">
        <f>Data!P314</f>
        <v>ECOPETROL RUBIALES- Quifa - CAÑO SUR, BATERIA 4: Rb 4 324 126 129 195 14 325 316 143 217 1 26 523 256 28, Puerto Gaitán, Meta, Colombia</v>
      </c>
      <c r="I316" s="42" t="str">
        <f>Data!Q314</f>
        <v>Cliente, Vel Max 40 Km/h, Vel Max 10 Km/h</v>
      </c>
      <c r="J316" s="43">
        <f>Data!S314</f>
        <v>46174.279087962961</v>
      </c>
      <c r="K316" s="44">
        <f>Data!S314</f>
        <v>46174.279087962961</v>
      </c>
      <c r="L316" s="45">
        <f>Data!T314</f>
        <v>8.1597222222222216E-5</v>
      </c>
      <c r="M316" s="46">
        <f>Data!U314</f>
        <v>2.0015465095639229E-2</v>
      </c>
      <c r="N316" s="46" t="str">
        <f>CONCATENATE(Data!W314," (",Data!V314,")")</f>
        <v>Uso del cinturón de seguridad (Velocidad máxima: 13 kmh Cinturón de seguridad del conductor (1. Desabrochado): 1.00)</v>
      </c>
      <c r="O316" s="42" t="str">
        <f>IF(Data!V314&lt;&gt;"",N316,Data!W314)</f>
        <v>Uso del cinturón de seguridad (Velocidad máxima: 13 kmh Cinturón de seguridad del conductor (1. Desabrochado): 1.00)</v>
      </c>
      <c r="P316" s="47" t="str">
        <f>Data!X314</f>
        <v>Válido</v>
      </c>
    </row>
    <row r="317" spans="1:16">
      <c r="A317" s="41" t="str">
        <f>Data!A315</f>
        <v>PKU239</v>
      </c>
      <c r="B317" s="41" t="str">
        <f>Data!D315</f>
        <v>Vehicle, Diesel, Frontera Energy Col 2679</v>
      </c>
      <c r="C317" s="41">
        <f>Data!F315</f>
        <v>0</v>
      </c>
      <c r="D317" s="41">
        <f>Data!G315</f>
        <v>0</v>
      </c>
      <c r="E317" s="41">
        <f>Data!H315</f>
        <v>0</v>
      </c>
      <c r="F317" s="41">
        <f>Data!K315</f>
        <v>0</v>
      </c>
      <c r="G317" s="33" t="str">
        <f>Data!M315</f>
        <v>Exceso Velocidad 10 Km/h</v>
      </c>
      <c r="H317" s="41" t="str">
        <f>Data!P315</f>
        <v>ECOPETROL RUBIALES- Quifa - CAÑO SUR, BATERIA 4: Rb 4 324 126 129 195 14 325 316 143 217 1 26 523 256 28, Puerto Gaitán, Meta, Colombia</v>
      </c>
      <c r="I317" s="42" t="str">
        <f>Data!Q315</f>
        <v>Cliente, Vel Max 40 Km/h, Vel Max 10 Km/h</v>
      </c>
      <c r="J317" s="43">
        <f>Data!S315</f>
        <v>46174.279087962961</v>
      </c>
      <c r="K317" s="44">
        <f>Data!S315</f>
        <v>46174.279087962961</v>
      </c>
      <c r="L317" s="45">
        <f>Data!T315</f>
        <v>8.1597222222222216E-5</v>
      </c>
      <c r="M317" s="46">
        <f>Data!U315</f>
        <v>2.0015465095639229E-2</v>
      </c>
      <c r="N317" s="46" t="str">
        <f>CONCATENATE(Data!W315," (",Data!V315,")")</f>
        <v>Exceso Velocidad 10 Km/h (Velocidad máxima: 13 kmh)</v>
      </c>
      <c r="O317" s="42" t="str">
        <f>IF(Data!V315&lt;&gt;"",N317,Data!W315)</f>
        <v>Exceso Velocidad 10 Km/h (Velocidad máxima: 13 kmh)</v>
      </c>
      <c r="P317" s="47" t="str">
        <f>Data!X315</f>
        <v>Válido</v>
      </c>
    </row>
    <row r="318" spans="1:16">
      <c r="A318" s="41" t="str">
        <f>Data!A316</f>
        <v>PKU239</v>
      </c>
      <c r="B318" s="41" t="str">
        <f>Data!D316</f>
        <v>Vehicle, Diesel, Frontera Energy Col 2679</v>
      </c>
      <c r="C318" s="41">
        <f>Data!F316</f>
        <v>0</v>
      </c>
      <c r="D318" s="41">
        <f>Data!G316</f>
        <v>0</v>
      </c>
      <c r="E318" s="41">
        <f>Data!H316</f>
        <v>0</v>
      </c>
      <c r="F318" s="41">
        <f>Data!K316</f>
        <v>0</v>
      </c>
      <c r="G318" s="33" t="str">
        <f>Data!M316</f>
        <v>Uso del cinturón de seguridad</v>
      </c>
      <c r="H318" s="41" t="str">
        <f>Data!P316</f>
        <v>ECOPETROL RUBIALES- Quifa - CAÑO SUR, BATERIA 4: Rb 4 324 126 129 195 14 325 316 143 217 1 26 523 256 28, Meta, 502057, Colombia</v>
      </c>
      <c r="I318" s="42" t="str">
        <f>Data!Q316</f>
        <v>Cliente, Vel Max 40 Km/h, Vel Max 10 Km/h</v>
      </c>
      <c r="J318" s="43">
        <f>Data!S316</f>
        <v>46174.35800925926</v>
      </c>
      <c r="K318" s="44">
        <f>Data!S316</f>
        <v>46174.35800925926</v>
      </c>
      <c r="L318" s="45">
        <f>Data!T316</f>
        <v>1.1959490740740741E-4</v>
      </c>
      <c r="M318" s="46">
        <f>Data!U316</f>
        <v>3.2981488853693008E-2</v>
      </c>
      <c r="N318" s="46" t="str">
        <f>CONCATENATE(Data!W316," (",Data!V316,")")</f>
        <v>Uso del cinturón de seguridad (Velocidad máxima: 12 kmh Cinturón de seguridad del conductor (1. Desabrochado): 1.00)</v>
      </c>
      <c r="O318" s="42" t="str">
        <f>IF(Data!V316&lt;&gt;"",N318,Data!W316)</f>
        <v>Uso del cinturón de seguridad (Velocidad máxima: 12 kmh Cinturón de seguridad del conductor (1. Desabrochado): 1.00)</v>
      </c>
      <c r="P318" s="47" t="str">
        <f>Data!X316</f>
        <v>Válido</v>
      </c>
    </row>
    <row r="319" spans="1:16">
      <c r="A319" s="41" t="str">
        <f>Data!A317</f>
        <v>PKU239</v>
      </c>
      <c r="B319" s="41" t="str">
        <f>Data!D317</f>
        <v>Vehicle, Diesel, Frontera Energy Col 2679</v>
      </c>
      <c r="C319" s="41">
        <f>Data!F317</f>
        <v>0</v>
      </c>
      <c r="D319" s="41">
        <f>Data!G317</f>
        <v>0</v>
      </c>
      <c r="E319" s="41">
        <f>Data!H317</f>
        <v>0</v>
      </c>
      <c r="F319" s="41">
        <f>Data!K317</f>
        <v>0</v>
      </c>
      <c r="G319" s="33" t="str">
        <f>Data!M317</f>
        <v>Exceso Velocidad 10 Km/h</v>
      </c>
      <c r="H319" s="41" t="str">
        <f>Data!P317</f>
        <v>ECOPETROL RUBIALES- Quifa - CAÑO SUR, BATERIA 4: Rb 4 324 126 129 195 14 325 316 143 217 1 26 523 256 28, Meta, 502057, Colombia</v>
      </c>
      <c r="I319" s="42" t="str">
        <f>Data!Q317</f>
        <v>Cliente, Vel Max 40 Km/h, Vel Max 10 Km/h</v>
      </c>
      <c r="J319" s="43">
        <f>Data!S317</f>
        <v>46174.35800925926</v>
      </c>
      <c r="K319" s="44">
        <f>Data!S317</f>
        <v>46174.35800925926</v>
      </c>
      <c r="L319" s="45">
        <f>Data!T317</f>
        <v>1.1959490740740741E-4</v>
      </c>
      <c r="M319" s="46">
        <f>Data!U317</f>
        <v>3.2981488853693008E-2</v>
      </c>
      <c r="N319" s="46" t="str">
        <f>CONCATENATE(Data!W317," (",Data!V317,")")</f>
        <v>Exceso Velocidad 10 Km/h (Velocidad máxima: 12 kmh)</v>
      </c>
      <c r="O319" s="42" t="str">
        <f>IF(Data!V317&lt;&gt;"",N319,Data!W317)</f>
        <v>Exceso Velocidad 10 Km/h (Velocidad máxima: 12 kmh)</v>
      </c>
      <c r="P319" s="47" t="str">
        <f>Data!X317</f>
        <v>Válido</v>
      </c>
    </row>
    <row r="320" spans="1:16">
      <c r="A320" s="41" t="str">
        <f>Data!A318</f>
        <v>PKU239</v>
      </c>
      <c r="B320" s="41" t="str">
        <f>Data!D318</f>
        <v>Vehicle, Diesel, Frontera Energy Col 2679</v>
      </c>
      <c r="C320" s="41">
        <f>Data!F318</f>
        <v>0</v>
      </c>
      <c r="D320" s="41">
        <f>Data!G318</f>
        <v>0</v>
      </c>
      <c r="E320" s="41">
        <f>Data!H318</f>
        <v>0</v>
      </c>
      <c r="F320" s="41">
        <f>Data!K318</f>
        <v>0</v>
      </c>
      <c r="G320" s="33" t="str">
        <f>Data!M318</f>
        <v>Tiempo en ralentí</v>
      </c>
      <c r="H320" s="41" t="str">
        <f>Data!P318</f>
        <v>ECOPETROL RUBIALES- Quifa - CAÑO SUR, BATERIA 4: Rb 4 324 126 129 195 14 325 316 143 217 1 26 523 256 28, Puerto Gaitán, Meta, Colombia</v>
      </c>
      <c r="I320" s="42" t="str">
        <f>Data!Q318</f>
        <v>Cliente, Vel Max 40 Km/h, Vel Max 10 Km/h</v>
      </c>
      <c r="J320" s="43">
        <f>Data!S318</f>
        <v>46174.358877314815</v>
      </c>
      <c r="K320" s="44">
        <f>Data!S318</f>
        <v>46174.358877314815</v>
      </c>
      <c r="L320" s="45">
        <f>Data!T318</f>
        <v>2.4074074074074074E-2</v>
      </c>
      <c r="M320" s="46">
        <f>Data!U318</f>
        <v>0</v>
      </c>
      <c r="N320" s="46" t="str">
        <f>CONCATENATE(Data!W318," (",Data!V318,")")</f>
        <v>Tiempo en ralentí (Ignición: 1.00)</v>
      </c>
      <c r="O320" s="42" t="str">
        <f>IF(Data!V318&lt;&gt;"",N320,Data!W318)</f>
        <v>Tiempo en ralentí (Ignición: 1.00)</v>
      </c>
      <c r="P320" s="47" t="str">
        <f>Data!X318</f>
        <v>Válido</v>
      </c>
    </row>
    <row r="321" spans="1:16">
      <c r="A321" s="41" t="str">
        <f>Data!A319</f>
        <v>PKU239</v>
      </c>
      <c r="B321" s="41" t="str">
        <f>Data!D319</f>
        <v>Vehicle, Diesel, Frontera Energy Col 2679</v>
      </c>
      <c r="C321" s="41">
        <f>Data!F319</f>
        <v>0</v>
      </c>
      <c r="D321" s="41">
        <f>Data!G319</f>
        <v>0</v>
      </c>
      <c r="E321" s="41">
        <f>Data!H319</f>
        <v>0</v>
      </c>
      <c r="F321" s="41">
        <f>Data!K319</f>
        <v>0</v>
      </c>
      <c r="G321" s="33" t="str">
        <f>Data!M319</f>
        <v>Exceso Velocidad 10 Km/h</v>
      </c>
      <c r="H321" s="41" t="str">
        <f>Data!P319</f>
        <v>ECOPETROL RUBIALES- Quifa - CAÑO SUR, BATERIA 4: Rb 4 324 126 129 195 14 325 316 143 217 1 26 523 256 28, Puerto Gaitán, Meta, Colombia</v>
      </c>
      <c r="I321" s="42" t="str">
        <f>Data!Q319</f>
        <v>Cliente, Vel Max 40 Km/h, Vel Max 10 Km/h</v>
      </c>
      <c r="J321" s="43">
        <f>Data!S319</f>
        <v>46174.384467592594</v>
      </c>
      <c r="K321" s="44">
        <f>Data!S319</f>
        <v>46174.384467592594</v>
      </c>
      <c r="L321" s="45">
        <f>Data!T319</f>
        <v>1.0092592592592592E-3</v>
      </c>
      <c r="M321" s="46">
        <f>Data!U319</f>
        <v>0.35196641087532043</v>
      </c>
      <c r="N321" s="46" t="str">
        <f>CONCATENATE(Data!W319," (",Data!V319,")")</f>
        <v>Exceso Velocidad 10 Km/h (Velocidad máxima: 22 kmh)</v>
      </c>
      <c r="O321" s="42" t="str">
        <f>IF(Data!V319&lt;&gt;"",N321,Data!W319)</f>
        <v>Exceso Velocidad 10 Km/h (Velocidad máxima: 22 kmh)</v>
      </c>
      <c r="P321" s="47" t="str">
        <f>Data!X319</f>
        <v>Válido</v>
      </c>
    </row>
    <row r="322" spans="1:16">
      <c r="A322" s="41" t="str">
        <f>Data!A320</f>
        <v>PKU239</v>
      </c>
      <c r="B322" s="41" t="str">
        <f>Data!D320</f>
        <v>Vehicle, Diesel, Frontera Energy Col 2679</v>
      </c>
      <c r="C322" s="41">
        <f>Data!F320</f>
        <v>0</v>
      </c>
      <c r="D322" s="41">
        <f>Data!G320</f>
        <v>0</v>
      </c>
      <c r="E322" s="41">
        <f>Data!H320</f>
        <v>0</v>
      </c>
      <c r="F322" s="41">
        <f>Data!K320</f>
        <v>0</v>
      </c>
      <c r="G322" s="33" t="str">
        <f>Data!M320</f>
        <v>Uso del cinturón de seguridad</v>
      </c>
      <c r="H322" s="41" t="str">
        <f>Data!P320</f>
        <v>ECOPETROL RUBIALES- Quifa - CAÑO SUR, BATERIA 4: Rb 4 324 126 129 195 14 325 316 143 217 1 26 523 256 28, Puerto Gaitán, Meta, Colombia</v>
      </c>
      <c r="I322" s="42" t="str">
        <f>Data!Q320</f>
        <v>Cliente, Vel Max 40 Km/h, Vel Max 10 Km/h</v>
      </c>
      <c r="J322" s="43">
        <f>Data!S320</f>
        <v>46174.384467592594</v>
      </c>
      <c r="K322" s="44">
        <f>Data!S320</f>
        <v>46174.384467592594</v>
      </c>
      <c r="L322" s="45">
        <f>Data!T320</f>
        <v>1.0092592592592592E-3</v>
      </c>
      <c r="M322" s="46">
        <f>Data!U320</f>
        <v>0.35196641087532043</v>
      </c>
      <c r="N322" s="46" t="str">
        <f>CONCATENATE(Data!W320," (",Data!V320,")")</f>
        <v>Uso del cinturón de seguridad (Velocidad máxima: 22 kmh Cinturón de seguridad del conductor (1. Desabrochado): 1.00)</v>
      </c>
      <c r="O322" s="42" t="str">
        <f>IF(Data!V320&lt;&gt;"",N322,Data!W320)</f>
        <v>Uso del cinturón de seguridad (Velocidad máxima: 22 kmh Cinturón de seguridad del conductor (1. Desabrochado): 1.00)</v>
      </c>
      <c r="P322" s="47" t="str">
        <f>Data!X320</f>
        <v>Válido</v>
      </c>
    </row>
    <row r="323" spans="1:16">
      <c r="A323" s="41" t="str">
        <f>Data!A321</f>
        <v>PKU239</v>
      </c>
      <c r="B323" s="41" t="str">
        <f>Data!D321</f>
        <v>Vehicle, Diesel, Frontera Energy Col 2679</v>
      </c>
      <c r="C323" s="41">
        <f>Data!F321</f>
        <v>0</v>
      </c>
      <c r="D323" s="41">
        <f>Data!G321</f>
        <v>0</v>
      </c>
      <c r="E323" s="41">
        <f>Data!H321</f>
        <v>0</v>
      </c>
      <c r="F323" s="41">
        <f>Data!K321</f>
        <v>0</v>
      </c>
      <c r="G323" s="33" t="str">
        <f>Data!M321</f>
        <v>Exceso Velocidad 10 Km/h</v>
      </c>
      <c r="H323" s="41" t="str">
        <f>Data!P321</f>
        <v>ECOPETROL RUBIALES- Quifa - CAÑO SUR, BATERIA 4: Rb 4 324 126 129 195 14 325 316 143 217 1 26 523 256 28, Puerto Gaitán, Meta, Colombia</v>
      </c>
      <c r="I323" s="42" t="str">
        <f>Data!Q321</f>
        <v>Cliente, Vel Max 40 Km/h, Vel Max 10 Km/h</v>
      </c>
      <c r="J323" s="43">
        <f>Data!S321</f>
        <v>46174.389311342697</v>
      </c>
      <c r="K323" s="44">
        <f>Data!S321</f>
        <v>46174.389311342697</v>
      </c>
      <c r="L323" s="45">
        <f>Data!T321</f>
        <v>4.3402787777777773E-4</v>
      </c>
      <c r="M323" s="46">
        <f>Data!U321</f>
        <v>0.11353500932455063</v>
      </c>
      <c r="N323" s="46" t="str">
        <f>CONCATENATE(Data!W321," (",Data!V321,")")</f>
        <v>Exceso Velocidad 10 Km/h (Velocidad máxima: 11 kmh)</v>
      </c>
      <c r="O323" s="42" t="str">
        <f>IF(Data!V321&lt;&gt;"",N323,Data!W321)</f>
        <v>Exceso Velocidad 10 Km/h (Velocidad máxima: 11 kmh)</v>
      </c>
      <c r="P323" s="47" t="str">
        <f>Data!X321</f>
        <v>Válido</v>
      </c>
    </row>
    <row r="324" spans="1:16">
      <c r="A324" s="41" t="str">
        <f>Data!A322</f>
        <v>PKU239</v>
      </c>
      <c r="B324" s="41" t="str">
        <f>Data!D322</f>
        <v>Vehicle, Diesel, Frontera Energy Col 2679</v>
      </c>
      <c r="C324" s="41">
        <f>Data!F322</f>
        <v>0</v>
      </c>
      <c r="D324" s="41">
        <f>Data!G322</f>
        <v>0</v>
      </c>
      <c r="E324" s="41">
        <f>Data!H322</f>
        <v>0</v>
      </c>
      <c r="F324" s="41">
        <f>Data!K322</f>
        <v>0</v>
      </c>
      <c r="G324" s="33" t="str">
        <f>Data!M322</f>
        <v>Uso del cinturón de seguridad</v>
      </c>
      <c r="H324" s="41" t="str">
        <f>Data!P322</f>
        <v>ECOPETROL RUBIALES- Quifa - CAÑO SUR, BATERIA 4: Rb 4 324 126 129 195 14 325 316 143 217 1 26 523 256 28, Puerto Gaitán, Meta, Colombia</v>
      </c>
      <c r="I324" s="42" t="str">
        <f>Data!Q322</f>
        <v>Cliente, Vel Max 40 Km/h, Vel Max 10 Km/h</v>
      </c>
      <c r="J324" s="43">
        <f>Data!S322</f>
        <v>46174.389311342697</v>
      </c>
      <c r="K324" s="44">
        <f>Data!S322</f>
        <v>46174.389311342697</v>
      </c>
      <c r="L324" s="45">
        <f>Data!T322</f>
        <v>4.3402787777777773E-4</v>
      </c>
      <c r="M324" s="46">
        <f>Data!U322</f>
        <v>0.11353500932455063</v>
      </c>
      <c r="N324" s="46" t="str">
        <f>CONCATENATE(Data!W322," (",Data!V322,")")</f>
        <v>Uso del cinturón de seguridad (Velocidad máxima: 11 kmh Cinturón de seguridad del conductor (1. Desabrochado): 1.00)</v>
      </c>
      <c r="O324" s="42" t="str">
        <f>IF(Data!V322&lt;&gt;"",N324,Data!W322)</f>
        <v>Uso del cinturón de seguridad (Velocidad máxima: 11 kmh Cinturón de seguridad del conductor (1. Desabrochado): 1.00)</v>
      </c>
      <c r="P324" s="47" t="str">
        <f>Data!X322</f>
        <v>Válido</v>
      </c>
    </row>
    <row r="325" spans="1:16">
      <c r="A325" s="41" t="str">
        <f>Data!A323</f>
        <v>PKU239</v>
      </c>
      <c r="B325" s="41" t="str">
        <f>Data!D323</f>
        <v>Vehicle, Diesel, Frontera Energy Col 2679</v>
      </c>
      <c r="C325" s="41">
        <f>Data!F323</f>
        <v>0</v>
      </c>
      <c r="D325" s="41">
        <f>Data!G323</f>
        <v>0</v>
      </c>
      <c r="E325" s="41">
        <f>Data!H323</f>
        <v>0</v>
      </c>
      <c r="F325" s="41">
        <f>Data!K323</f>
        <v>0</v>
      </c>
      <c r="G325" s="33" t="str">
        <f>Data!M323</f>
        <v>Uso del cinturón de seguridad</v>
      </c>
      <c r="H325" s="41" t="str">
        <f>Data!P323</f>
        <v>ECOPETROL RUBIALES- Quifa - CAÑO SUR, BATERIA 4: Rb 4, Puerto Gaitán, Meta, Colombia</v>
      </c>
      <c r="I325" s="42" t="str">
        <f>Data!Q323</f>
        <v>Cliente, Vel Max 40 Km/h, Vel Max 10 Km/h</v>
      </c>
      <c r="J325" s="43">
        <f>Data!S323</f>
        <v>46174.389745370368</v>
      </c>
      <c r="K325" s="44">
        <f>Data!S323</f>
        <v>46174.389745370368</v>
      </c>
      <c r="L325" s="45">
        <f>Data!T323</f>
        <v>6.9444444444444444E-5</v>
      </c>
      <c r="M325" s="46">
        <f>Data!U323</f>
        <v>1.720288023352623E-2</v>
      </c>
      <c r="N325" s="46" t="str">
        <f>CONCATENATE(Data!W323," (",Data!V323,")")</f>
        <v>Uso del cinturón de seguridad (Velocidad máxima: 12 kmh Cinturón de seguridad del conductor (1. Desabrochado): 1.00)</v>
      </c>
      <c r="O325" s="42" t="str">
        <f>IF(Data!V323&lt;&gt;"",N325,Data!W323)</f>
        <v>Uso del cinturón de seguridad (Velocidad máxima: 12 kmh Cinturón de seguridad del conductor (1. Desabrochado): 1.00)</v>
      </c>
      <c r="P325" s="47" t="str">
        <f>Data!X323</f>
        <v>Válido</v>
      </c>
    </row>
    <row r="326" spans="1:16">
      <c r="A326" s="41" t="str">
        <f>Data!A324</f>
        <v>PKU239</v>
      </c>
      <c r="B326" s="41" t="str">
        <f>Data!D324</f>
        <v>Vehicle, Diesel, Frontera Energy Col 2679</v>
      </c>
      <c r="C326" s="41">
        <f>Data!F324</f>
        <v>0</v>
      </c>
      <c r="D326" s="41">
        <f>Data!G324</f>
        <v>0</v>
      </c>
      <c r="E326" s="41">
        <f>Data!H324</f>
        <v>0</v>
      </c>
      <c r="F326" s="41">
        <f>Data!K324</f>
        <v>0</v>
      </c>
      <c r="G326" s="33" t="str">
        <f>Data!M324</f>
        <v>Exceso Velocidad 10 Km/h</v>
      </c>
      <c r="H326" s="41" t="str">
        <f>Data!P324</f>
        <v>ECOPETROL RUBIALES- Quifa - CAÑO SUR, BATERIA 4: Rb 4, Puerto Gaitán, Meta, Colombia</v>
      </c>
      <c r="I326" s="42" t="str">
        <f>Data!Q324</f>
        <v>Cliente, Vel Max 40 Km/h, Vel Max 10 Km/h</v>
      </c>
      <c r="J326" s="43">
        <f>Data!S324</f>
        <v>46174.389745370368</v>
      </c>
      <c r="K326" s="44">
        <f>Data!S324</f>
        <v>46174.389745370368</v>
      </c>
      <c r="L326" s="45">
        <f>Data!T324</f>
        <v>6.9444444444444444E-5</v>
      </c>
      <c r="M326" s="46">
        <f>Data!U324</f>
        <v>1.720288023352623E-2</v>
      </c>
      <c r="N326" s="46" t="str">
        <f>CONCATENATE(Data!W324," (",Data!V324,")")</f>
        <v>Exceso Velocidad 10 Km/h (Velocidad máxima: 12 kmh)</v>
      </c>
      <c r="O326" s="42" t="str">
        <f>IF(Data!V324&lt;&gt;"",N326,Data!W324)</f>
        <v>Exceso Velocidad 10 Km/h (Velocidad máxima: 12 kmh)</v>
      </c>
      <c r="P326" s="47" t="str">
        <f>Data!X324</f>
        <v>Válido</v>
      </c>
    </row>
    <row r="327" spans="1:16">
      <c r="A327" s="41" t="str">
        <f>Data!A325</f>
        <v>PKU239</v>
      </c>
      <c r="B327" s="41" t="str">
        <f>Data!D325</f>
        <v>Vehicle, Diesel, Frontera Energy Col 2679</v>
      </c>
      <c r="C327" s="41">
        <f>Data!F325</f>
        <v>0</v>
      </c>
      <c r="D327" s="41">
        <f>Data!G325</f>
        <v>0</v>
      </c>
      <c r="E327" s="41">
        <f>Data!H325</f>
        <v>0</v>
      </c>
      <c r="F327" s="41">
        <f>Data!K325</f>
        <v>0</v>
      </c>
      <c r="G327" s="33" t="str">
        <f>Data!M325</f>
        <v>Exceso Velocidad 10 Km/h</v>
      </c>
      <c r="H327" s="41" t="str">
        <f>Data!P325</f>
        <v>ECOPETROL RUBIALES- Quifa - CAÑO SUR, BATERIA 4: Rb 4, Puerto Gaitán, Meta, Colombia</v>
      </c>
      <c r="I327" s="42" t="str">
        <f>Data!Q325</f>
        <v>Cliente, Vel Max 40 Km/h, Vel Max 10 Km/h</v>
      </c>
      <c r="J327" s="43">
        <f>Data!S325</f>
        <v>46174.389907407407</v>
      </c>
      <c r="K327" s="44">
        <f>Data!S325</f>
        <v>46174.389907407407</v>
      </c>
      <c r="L327" s="45">
        <f>Data!T325</f>
        <v>8.3912037037037031E-5</v>
      </c>
      <c r="M327" s="46">
        <f>Data!U325</f>
        <v>2.0241651684045792E-2</v>
      </c>
      <c r="N327" s="46" t="str">
        <f>CONCATENATE(Data!W325," (",Data!V325,")")</f>
        <v>Exceso Velocidad 10 Km/h (Velocidad máxima: 13 kmh)</v>
      </c>
      <c r="O327" s="42" t="str">
        <f>IF(Data!V325&lt;&gt;"",N327,Data!W325)</f>
        <v>Exceso Velocidad 10 Km/h (Velocidad máxima: 13 kmh)</v>
      </c>
      <c r="P327" s="47" t="str">
        <f>Data!X325</f>
        <v>Válido</v>
      </c>
    </row>
    <row r="328" spans="1:16">
      <c r="A328" s="41" t="str">
        <f>Data!A326</f>
        <v>PKU239</v>
      </c>
      <c r="B328" s="41" t="str">
        <f>Data!D326</f>
        <v>Vehicle, Diesel, Frontera Energy Col 2679</v>
      </c>
      <c r="C328" s="41">
        <f>Data!F326</f>
        <v>0</v>
      </c>
      <c r="D328" s="41">
        <f>Data!G326</f>
        <v>0</v>
      </c>
      <c r="E328" s="41">
        <f>Data!H326</f>
        <v>0</v>
      </c>
      <c r="F328" s="41">
        <f>Data!K326</f>
        <v>0</v>
      </c>
      <c r="G328" s="33" t="str">
        <f>Data!M326</f>
        <v>Uso del cinturón de seguridad</v>
      </c>
      <c r="H328" s="41" t="str">
        <f>Data!P326</f>
        <v>ECOPETROL RUBIALES- Quifa - CAÑO SUR, BATERIA 4: Rb 4, Puerto Gaitán, Meta, Colombia</v>
      </c>
      <c r="I328" s="42" t="str">
        <f>Data!Q326</f>
        <v>Cliente, Vel Max 40 Km/h, Vel Max 10 Km/h</v>
      </c>
      <c r="J328" s="43">
        <f>Data!S326</f>
        <v>46174.389907407407</v>
      </c>
      <c r="K328" s="44">
        <f>Data!S326</f>
        <v>46174.389907407407</v>
      </c>
      <c r="L328" s="45">
        <f>Data!T326</f>
        <v>8.3912037037037031E-5</v>
      </c>
      <c r="M328" s="46">
        <f>Data!U326</f>
        <v>2.0241651684045792E-2</v>
      </c>
      <c r="N328" s="46" t="str">
        <f>CONCATENATE(Data!W326," (",Data!V326,")")</f>
        <v>Uso del cinturón de seguridad (Velocidad máxima: 13 kmh Cinturón de seguridad del conductor (1. Desabrochado): 1.00)</v>
      </c>
      <c r="O328" s="42" t="str">
        <f>IF(Data!V326&lt;&gt;"",N328,Data!W326)</f>
        <v>Uso del cinturón de seguridad (Velocidad máxima: 13 kmh Cinturón de seguridad del conductor (1. Desabrochado): 1.00)</v>
      </c>
      <c r="P328" s="47" t="str">
        <f>Data!X326</f>
        <v>Válido</v>
      </c>
    </row>
    <row r="329" spans="1:16">
      <c r="A329" s="41" t="str">
        <f>Data!A327</f>
        <v>PKU239</v>
      </c>
      <c r="B329" s="41" t="str">
        <f>Data!D327</f>
        <v>Vehicle, Diesel, Frontera Energy Col 2679</v>
      </c>
      <c r="C329" s="41">
        <f>Data!F327</f>
        <v>0</v>
      </c>
      <c r="D329" s="41">
        <f>Data!G327</f>
        <v>0</v>
      </c>
      <c r="E329" s="41">
        <f>Data!H327</f>
        <v>0</v>
      </c>
      <c r="F329" s="41">
        <f>Data!K327</f>
        <v>0</v>
      </c>
      <c r="G329" s="33" t="str">
        <f>Data!M327</f>
        <v>Uso del cinturón de seguridad</v>
      </c>
      <c r="H329" s="41" t="str">
        <f>Data!P327</f>
        <v>ECOPETROL RUBIALES- Quifa - CAÑO SUR, BATERIA 4: Rb 4, Puerto Gaitán, Meta, Colombia</v>
      </c>
      <c r="I329" s="42" t="str">
        <f>Data!Q327</f>
        <v>Cliente, Vel Max 40 Km/h, Vel Max 10 Km/h</v>
      </c>
      <c r="J329" s="43">
        <f>Data!S327</f>
        <v>46174.390729166669</v>
      </c>
      <c r="K329" s="44">
        <f>Data!S327</f>
        <v>46174.390729166669</v>
      </c>
      <c r="L329" s="45">
        <f>Data!T327</f>
        <v>2.0833333333333335E-4</v>
      </c>
      <c r="M329" s="46">
        <f>Data!U327</f>
        <v>5.1638878881931305E-2</v>
      </c>
      <c r="N329" s="46" t="str">
        <f>CONCATENATE(Data!W327," (",Data!V327,")")</f>
        <v>Uso del cinturón de seguridad (Velocidad máxima: 11 kmh Cinturón de seguridad del conductor (1. Desabrochado): 1.00)</v>
      </c>
      <c r="O329" s="42" t="str">
        <f>IF(Data!V327&lt;&gt;"",N329,Data!W327)</f>
        <v>Uso del cinturón de seguridad (Velocidad máxima: 11 kmh Cinturón de seguridad del conductor (1. Desabrochado): 1.00)</v>
      </c>
      <c r="P329" s="47" t="str">
        <f>Data!X327</f>
        <v>Válido</v>
      </c>
    </row>
    <row r="330" spans="1:16">
      <c r="A330" s="41" t="str">
        <f>Data!A328</f>
        <v>PKU239</v>
      </c>
      <c r="B330" s="41" t="str">
        <f>Data!D328</f>
        <v>Vehicle, Diesel, Frontera Energy Col 2679</v>
      </c>
      <c r="C330" s="41">
        <f>Data!F328</f>
        <v>0</v>
      </c>
      <c r="D330" s="41">
        <f>Data!G328</f>
        <v>0</v>
      </c>
      <c r="E330" s="41">
        <f>Data!H328</f>
        <v>0</v>
      </c>
      <c r="F330" s="41">
        <f>Data!K328</f>
        <v>0</v>
      </c>
      <c r="G330" s="33" t="str">
        <f>Data!M328</f>
        <v>Exceso Velocidad 10 Km/h</v>
      </c>
      <c r="H330" s="41" t="str">
        <f>Data!P328</f>
        <v>ECOPETROL RUBIALES- Quifa - CAÑO SUR, BATERIA 4: Rb 4, Puerto Gaitán, Meta, Colombia</v>
      </c>
      <c r="I330" s="42" t="str">
        <f>Data!Q328</f>
        <v>Cliente, Vel Max 40 Km/h, Vel Max 10 Km/h</v>
      </c>
      <c r="J330" s="43">
        <f>Data!S328</f>
        <v>46174.390729166669</v>
      </c>
      <c r="K330" s="44">
        <f>Data!S328</f>
        <v>46174.390729166669</v>
      </c>
      <c r="L330" s="45">
        <f>Data!T328</f>
        <v>2.0833333333333335E-4</v>
      </c>
      <c r="M330" s="46">
        <f>Data!U328</f>
        <v>5.1638878881931305E-2</v>
      </c>
      <c r="N330" s="46" t="str">
        <f>CONCATENATE(Data!W328," (",Data!V328,")")</f>
        <v>Exceso Velocidad 10 Km/h (Velocidad máxima: 11 kmh)</v>
      </c>
      <c r="O330" s="42" t="str">
        <f>IF(Data!V328&lt;&gt;"",N330,Data!W328)</f>
        <v>Exceso Velocidad 10 Km/h (Velocidad máxima: 11 kmh)</v>
      </c>
      <c r="P330" s="47" t="str">
        <f>Data!X328</f>
        <v>Válido</v>
      </c>
    </row>
    <row r="331" spans="1:16">
      <c r="A331" s="41" t="str">
        <f>Data!A329</f>
        <v>PKU239</v>
      </c>
      <c r="B331" s="41" t="str">
        <f>Data!D329</f>
        <v>Vehicle, Diesel, Frontera Energy Col 2679</v>
      </c>
      <c r="C331" s="41">
        <f>Data!F329</f>
        <v>0</v>
      </c>
      <c r="D331" s="41">
        <f>Data!G329</f>
        <v>0</v>
      </c>
      <c r="E331" s="41">
        <f>Data!H329</f>
        <v>0</v>
      </c>
      <c r="F331" s="41">
        <f>Data!K329</f>
        <v>0</v>
      </c>
      <c r="G331" s="33" t="str">
        <f>Data!M329</f>
        <v>Uso del cinturón de seguridad</v>
      </c>
      <c r="H331" s="41" t="str">
        <f>Data!P329</f>
        <v>ECOPETROL RUBIALES- Quifa - CAÑO SUR, BATERIA 4: Rb 4 324 126 129 195 14 325 316 143 217 1 26 523 256 28, Meta, 502057, Colombia</v>
      </c>
      <c r="I331" s="42" t="str">
        <f>Data!Q329</f>
        <v>Cliente, Vel Max 40 Km/h, Vel Max 10 Km/h</v>
      </c>
      <c r="J331" s="43">
        <f>Data!S329</f>
        <v>46174.456932870373</v>
      </c>
      <c r="K331" s="44">
        <f>Data!S329</f>
        <v>46174.456932870373</v>
      </c>
      <c r="L331" s="45">
        <f>Data!T329</f>
        <v>1.1574074074074075E-4</v>
      </c>
      <c r="M331" s="46">
        <f>Data!U329</f>
        <v>3.5529825836420059E-2</v>
      </c>
      <c r="N331" s="46" t="str">
        <f>CONCATENATE(Data!W329," (",Data!V329,")")</f>
        <v>Uso del cinturón de seguridad (Velocidad máxima: 15 kmh Cinturón de seguridad del conductor (1. Desabrochado): 1.00)</v>
      </c>
      <c r="O331" s="42" t="str">
        <f>IF(Data!V329&lt;&gt;"",N331,Data!W329)</f>
        <v>Uso del cinturón de seguridad (Velocidad máxima: 15 kmh Cinturón de seguridad del conductor (1. Desabrochado): 1.00)</v>
      </c>
      <c r="P331" s="47" t="str">
        <f>Data!X329</f>
        <v>Válido</v>
      </c>
    </row>
    <row r="332" spans="1:16">
      <c r="A332" s="41" t="str">
        <f>Data!A330</f>
        <v>PKU239</v>
      </c>
      <c r="B332" s="41" t="str">
        <f>Data!D330</f>
        <v>Vehicle, Diesel, Frontera Energy Col 2679</v>
      </c>
      <c r="C332" s="41">
        <f>Data!F330</f>
        <v>0</v>
      </c>
      <c r="D332" s="41">
        <f>Data!G330</f>
        <v>0</v>
      </c>
      <c r="E332" s="41">
        <f>Data!H330</f>
        <v>0</v>
      </c>
      <c r="F332" s="41">
        <f>Data!K330</f>
        <v>0</v>
      </c>
      <c r="G332" s="33" t="str">
        <f>Data!M330</f>
        <v>Exceso Velocidad 10 Km/h</v>
      </c>
      <c r="H332" s="41" t="str">
        <f>Data!P330</f>
        <v>ECOPETROL RUBIALES- Quifa - CAÑO SUR, BATERIA 4: Rb 4 324 126 129 195 14 325 316 143 217 1 26 523 256 28, Meta, 502057, Colombia</v>
      </c>
      <c r="I332" s="42" t="str">
        <f>Data!Q330</f>
        <v>Cliente, Vel Max 40 Km/h, Vel Max 10 Km/h</v>
      </c>
      <c r="J332" s="43">
        <f>Data!S330</f>
        <v>46174.456932870373</v>
      </c>
      <c r="K332" s="44">
        <f>Data!S330</f>
        <v>46174.456932870373</v>
      </c>
      <c r="L332" s="45">
        <f>Data!T330</f>
        <v>1.1574074074074075E-4</v>
      </c>
      <c r="M332" s="46">
        <f>Data!U330</f>
        <v>3.5529825836420059E-2</v>
      </c>
      <c r="N332" s="46" t="str">
        <f>CONCATENATE(Data!W330," (",Data!V330,")")</f>
        <v>Exceso Velocidad 10 Km/h (Velocidad máxima: 15 kmh)</v>
      </c>
      <c r="O332" s="42" t="str">
        <f>IF(Data!V330&lt;&gt;"",N332,Data!W330)</f>
        <v>Exceso Velocidad 10 Km/h (Velocidad máxima: 15 kmh)</v>
      </c>
      <c r="P332" s="47" t="str">
        <f>Data!X330</f>
        <v>Válido</v>
      </c>
    </row>
    <row r="333" spans="1:16">
      <c r="A333" s="41" t="str">
        <f>Data!A331</f>
        <v>PKU239</v>
      </c>
      <c r="B333" s="41" t="str">
        <f>Data!D331</f>
        <v>Vehicle, Diesel, Frontera Energy Col 2679</v>
      </c>
      <c r="C333" s="41">
        <f>Data!F331</f>
        <v>0</v>
      </c>
      <c r="D333" s="41">
        <f>Data!G331</f>
        <v>0</v>
      </c>
      <c r="E333" s="41">
        <f>Data!H331</f>
        <v>0</v>
      </c>
      <c r="F333" s="41">
        <f>Data!K331</f>
        <v>0</v>
      </c>
      <c r="G333" s="33" t="str">
        <f>Data!M331</f>
        <v>Exceso Velocidad 10 Km/h</v>
      </c>
      <c r="H333" s="41" t="str">
        <f>Data!P331</f>
        <v>ECOPETROL RUBIALES- Quifa - CAÑO SUR, BATERIA 4: Rb 4 324 126 129 195 14 325 316 143 217 1 26 523 256 28, Meta, 502057, Colombia</v>
      </c>
      <c r="I333" s="42" t="str">
        <f>Data!Q331</f>
        <v>Cliente, Vel Max 40 Km/h, Vel Max 10 Km/h</v>
      </c>
      <c r="J333" s="43">
        <f>Data!S331</f>
        <v>46174.457158564917</v>
      </c>
      <c r="K333" s="44">
        <f>Data!S331</f>
        <v>46174.457158564917</v>
      </c>
      <c r="L333" s="45">
        <f>Data!T331</f>
        <v>1.9097232222222224E-4</v>
      </c>
      <c r="M333" s="46">
        <f>Data!U331</f>
        <v>5.0190337002277374E-2</v>
      </c>
      <c r="N333" s="46" t="str">
        <f>CONCATENATE(Data!W331," (",Data!V331,")")</f>
        <v>Exceso Velocidad 10 Km/h (Velocidad máxima: 12 kmh)</v>
      </c>
      <c r="O333" s="42" t="str">
        <f>IF(Data!V331&lt;&gt;"",N333,Data!W331)</f>
        <v>Exceso Velocidad 10 Km/h (Velocidad máxima: 12 kmh)</v>
      </c>
      <c r="P333" s="47" t="str">
        <f>Data!X331</f>
        <v>Válido</v>
      </c>
    </row>
    <row r="334" spans="1:16">
      <c r="A334" s="41" t="str">
        <f>Data!A332</f>
        <v>PKU239</v>
      </c>
      <c r="B334" s="41" t="str">
        <f>Data!D332</f>
        <v>Vehicle, Diesel, Frontera Energy Col 2679</v>
      </c>
      <c r="C334" s="41">
        <f>Data!F332</f>
        <v>0</v>
      </c>
      <c r="D334" s="41">
        <f>Data!G332</f>
        <v>0</v>
      </c>
      <c r="E334" s="41">
        <f>Data!H332</f>
        <v>0</v>
      </c>
      <c r="F334" s="41">
        <f>Data!K332</f>
        <v>0</v>
      </c>
      <c r="G334" s="33" t="str">
        <f>Data!M332</f>
        <v>Uso del cinturón de seguridad</v>
      </c>
      <c r="H334" s="41" t="str">
        <f>Data!P332</f>
        <v>ECOPETROL RUBIALES- Quifa - CAÑO SUR, BATERIA 4: Rb 4 324 126 129 195 14 325 316 143 217 1 26 523 256 28, Meta, 502057, Colombia</v>
      </c>
      <c r="I334" s="42" t="str">
        <f>Data!Q332</f>
        <v>Cliente, Vel Max 40 Km/h, Vel Max 10 Km/h</v>
      </c>
      <c r="J334" s="43">
        <f>Data!S332</f>
        <v>46174.457158564917</v>
      </c>
      <c r="K334" s="44">
        <f>Data!S332</f>
        <v>46174.457158564917</v>
      </c>
      <c r="L334" s="45">
        <f>Data!T332</f>
        <v>1.9097232222222224E-4</v>
      </c>
      <c r="M334" s="46">
        <f>Data!U332</f>
        <v>5.0190337002277374E-2</v>
      </c>
      <c r="N334" s="46" t="str">
        <f>CONCATENATE(Data!W332," (",Data!V332,")")</f>
        <v>Uso del cinturón de seguridad (Velocidad máxima: 12 kmh Cinturón de seguridad del conductor (1. Desabrochado): 1.00)</v>
      </c>
      <c r="O334" s="42" t="str">
        <f>IF(Data!V332&lt;&gt;"",N334,Data!W332)</f>
        <v>Uso del cinturón de seguridad (Velocidad máxima: 12 kmh Cinturón de seguridad del conductor (1. Desabrochado): 1.00)</v>
      </c>
      <c r="P334" s="47" t="str">
        <f>Data!X332</f>
        <v>Válido</v>
      </c>
    </row>
    <row r="335" spans="1:16">
      <c r="A335" s="41" t="str">
        <f>Data!A333</f>
        <v>PKU239</v>
      </c>
      <c r="B335" s="41" t="str">
        <f>Data!D333</f>
        <v>Vehicle, Diesel, Frontera Energy Col 2679</v>
      </c>
      <c r="C335" s="41">
        <f>Data!F333</f>
        <v>0</v>
      </c>
      <c r="D335" s="41">
        <f>Data!G333</f>
        <v>0</v>
      </c>
      <c r="E335" s="41">
        <f>Data!H333</f>
        <v>0</v>
      </c>
      <c r="F335" s="41">
        <f>Data!K333</f>
        <v>0</v>
      </c>
      <c r="G335" s="33" t="str">
        <f>Data!M333</f>
        <v>Uso del cinturón de seguridad</v>
      </c>
      <c r="H335" s="41" t="str">
        <f>Data!P333</f>
        <v>ECOPETROL RUBIALES- Quifa - CAÑO SUR, BATERIA 4: Rb 4 324 126 129 195 14 325 316 143 217 1 26 523 256 28, Puerto Gaitán, Meta, Colombia</v>
      </c>
      <c r="I335" s="42" t="str">
        <f>Data!Q333</f>
        <v>Cliente, Vel Max 40 Km/h, Vel Max 10 Km/h</v>
      </c>
      <c r="J335" s="43">
        <f>Data!S333</f>
        <v>46174.457349537035</v>
      </c>
      <c r="K335" s="44">
        <f>Data!S333</f>
        <v>46174.457349537035</v>
      </c>
      <c r="L335" s="45">
        <f>Data!T333</f>
        <v>7.6736111111111113E-4</v>
      </c>
      <c r="M335" s="46">
        <f>Data!U333</f>
        <v>0.3020247220993042</v>
      </c>
      <c r="N335" s="46" t="str">
        <f>CONCATENATE(Data!W333," (",Data!V333,")")</f>
        <v>Uso del cinturón de seguridad (Velocidad máxima: 20 kmh Cinturón de seguridad del conductor (1. Desabrochado): 1.00)</v>
      </c>
      <c r="O335" s="42" t="str">
        <f>IF(Data!V333&lt;&gt;"",N335,Data!W333)</f>
        <v>Uso del cinturón de seguridad (Velocidad máxima: 20 kmh Cinturón de seguridad del conductor (1. Desabrochado): 1.00)</v>
      </c>
      <c r="P335" s="47" t="str">
        <f>Data!X333</f>
        <v>Válido</v>
      </c>
    </row>
    <row r="336" spans="1:16">
      <c r="A336" s="41" t="str">
        <f>Data!A334</f>
        <v>PKU239</v>
      </c>
      <c r="B336" s="41" t="str">
        <f>Data!D334</f>
        <v>Vehicle, Diesel, Frontera Energy Col 2679</v>
      </c>
      <c r="C336" s="41">
        <f>Data!F334</f>
        <v>0</v>
      </c>
      <c r="D336" s="41">
        <f>Data!G334</f>
        <v>0</v>
      </c>
      <c r="E336" s="41">
        <f>Data!H334</f>
        <v>0</v>
      </c>
      <c r="F336" s="41">
        <f>Data!K334</f>
        <v>0</v>
      </c>
      <c r="G336" s="33" t="str">
        <f>Data!M334</f>
        <v>Exceso Velocidad 10 Km/h</v>
      </c>
      <c r="H336" s="41" t="str">
        <f>Data!P334</f>
        <v>ECOPETROL RUBIALES- Quifa - CAÑO SUR, BATERIA 4: Rb 4 324 126 129 195 14 325 316 143 217 1 26 523 256 28, Puerto Gaitán, Meta, Colombia</v>
      </c>
      <c r="I336" s="42" t="str">
        <f>Data!Q334</f>
        <v>Cliente, Vel Max 40 Km/h, Vel Max 10 Km/h</v>
      </c>
      <c r="J336" s="43">
        <f>Data!S334</f>
        <v>46174.457349537035</v>
      </c>
      <c r="K336" s="44">
        <f>Data!S334</f>
        <v>46174.457349537035</v>
      </c>
      <c r="L336" s="45">
        <f>Data!T334</f>
        <v>7.6736111111111113E-4</v>
      </c>
      <c r="M336" s="46">
        <f>Data!U334</f>
        <v>0.3020247220993042</v>
      </c>
      <c r="N336" s="46" t="str">
        <f>CONCATENATE(Data!W334," (",Data!V334,")")</f>
        <v>Exceso Velocidad 10 Km/h (Velocidad máxima: 20 kmh)</v>
      </c>
      <c r="O336" s="42" t="str">
        <f>IF(Data!V334&lt;&gt;"",N336,Data!W334)</f>
        <v>Exceso Velocidad 10 Km/h (Velocidad máxima: 20 kmh)</v>
      </c>
      <c r="P336" s="47" t="str">
        <f>Data!X334</f>
        <v>Válido</v>
      </c>
    </row>
    <row r="337" spans="1:16">
      <c r="A337" s="41" t="str">
        <f>Data!A335</f>
        <v>PKU239</v>
      </c>
      <c r="B337" s="41" t="str">
        <f>Data!D335</f>
        <v>Vehicle, Diesel, Frontera Energy Col 2679</v>
      </c>
      <c r="C337" s="41">
        <f>Data!F335</f>
        <v>0</v>
      </c>
      <c r="D337" s="41">
        <f>Data!G335</f>
        <v>0</v>
      </c>
      <c r="E337" s="41">
        <f>Data!H335</f>
        <v>0</v>
      </c>
      <c r="F337" s="41">
        <f>Data!K335</f>
        <v>0</v>
      </c>
      <c r="G337" s="33" t="str">
        <f>Data!M335</f>
        <v>Uso del cinturón de seguridad</v>
      </c>
      <c r="H337" s="41" t="str">
        <f>Data!P335</f>
        <v>ECOPETROL RUBIALES- Quifa - CAÑO SUR, BATERIA 4: Rb 4 324 126 129 195 14 325 316 143 217 1 26 523 256 28, Puerto Gaitán, Meta, Colombia</v>
      </c>
      <c r="I337" s="42" t="str">
        <f>Data!Q335</f>
        <v>Cliente, Vel Max 40 Km/h, Vel Max 10 Km/h</v>
      </c>
      <c r="J337" s="43">
        <f>Data!S335</f>
        <v>46174.471747685187</v>
      </c>
      <c r="K337" s="44">
        <f>Data!S335</f>
        <v>46174.471747685187</v>
      </c>
      <c r="L337" s="45">
        <f>Data!T335</f>
        <v>1.3323032407407407E-3</v>
      </c>
      <c r="M337" s="46">
        <f>Data!U335</f>
        <v>0.57862287759780884</v>
      </c>
      <c r="N337" s="46" t="str">
        <f>CONCATENATE(Data!W335," (",Data!V335,")")</f>
        <v>Uso del cinturón de seguridad (Velocidad máxima: 26 kmh Cinturón de seguridad del conductor (1. Desabrochado): 1.00)</v>
      </c>
      <c r="O337" s="42" t="str">
        <f>IF(Data!V335&lt;&gt;"",N337,Data!W335)</f>
        <v>Uso del cinturón de seguridad (Velocidad máxima: 26 kmh Cinturón de seguridad del conductor (1. Desabrochado): 1.00)</v>
      </c>
      <c r="P337" s="47" t="str">
        <f>Data!X335</f>
        <v>Válido</v>
      </c>
    </row>
    <row r="338" spans="1:16">
      <c r="A338" s="41" t="str">
        <f>Data!A336</f>
        <v>PKU239</v>
      </c>
      <c r="B338" s="41" t="str">
        <f>Data!D336</f>
        <v>Vehicle, Diesel, Frontera Energy Col 2679</v>
      </c>
      <c r="C338" s="41">
        <f>Data!F336</f>
        <v>0</v>
      </c>
      <c r="D338" s="41">
        <f>Data!G336</f>
        <v>0</v>
      </c>
      <c r="E338" s="41">
        <f>Data!H336</f>
        <v>0</v>
      </c>
      <c r="F338" s="41">
        <f>Data!K336</f>
        <v>0</v>
      </c>
      <c r="G338" s="33" t="str">
        <f>Data!M336</f>
        <v>Exceso Velocidad 10 Km/h</v>
      </c>
      <c r="H338" s="41" t="str">
        <f>Data!P336</f>
        <v>ECOPETROL RUBIALES- Quifa - CAÑO SUR, BATERIA 4: Rb 4 324 126 129 195 14 325 316 143 217 1 26 523 256 28, Puerto Gaitán, Meta, Colombia</v>
      </c>
      <c r="I338" s="42" t="str">
        <f>Data!Q336</f>
        <v>Cliente, Vel Max 40 Km/h, Vel Max 10 Km/h</v>
      </c>
      <c r="J338" s="43">
        <f>Data!S336</f>
        <v>46174.471747685187</v>
      </c>
      <c r="K338" s="44">
        <f>Data!S336</f>
        <v>46174.471747685187</v>
      </c>
      <c r="L338" s="45">
        <f>Data!T336</f>
        <v>1.3323032407407407E-3</v>
      </c>
      <c r="M338" s="46">
        <f>Data!U336</f>
        <v>0.57862287759780884</v>
      </c>
      <c r="N338" s="46" t="str">
        <f>CONCATENATE(Data!W336," (",Data!V336,")")</f>
        <v>Exceso Velocidad 10 Km/h (Velocidad máxima: 26 kmh)</v>
      </c>
      <c r="O338" s="42" t="str">
        <f>IF(Data!V336&lt;&gt;"",N338,Data!W336)</f>
        <v>Exceso Velocidad 10 Km/h (Velocidad máxima: 26 kmh)</v>
      </c>
      <c r="P338" s="47" t="str">
        <f>Data!X336</f>
        <v>Válido</v>
      </c>
    </row>
    <row r="339" spans="1:16">
      <c r="A339" s="41" t="str">
        <f>Data!A337</f>
        <v>PKU239</v>
      </c>
      <c r="B339" s="41" t="str">
        <f>Data!D337</f>
        <v>Vehicle, Diesel, Frontera Energy Col 2679</v>
      </c>
      <c r="C339" s="41">
        <f>Data!F337</f>
        <v>0</v>
      </c>
      <c r="D339" s="41">
        <f>Data!G337</f>
        <v>0</v>
      </c>
      <c r="E339" s="41">
        <f>Data!H337</f>
        <v>0</v>
      </c>
      <c r="F339" s="41">
        <f>Data!K337</f>
        <v>0</v>
      </c>
      <c r="G339" s="33" t="str">
        <f>Data!M337</f>
        <v>Giro brusco</v>
      </c>
      <c r="H339" s="41" t="str">
        <f>Data!P337</f>
        <v>ECOPETROL RUBIALES- Quifa - CAÑO SUR, BATERIA 4: Rb 4 324 126 129 195 14 325 316 143 217 1 26 523 256 28, Puerto Gaitán, Meta, Colombia</v>
      </c>
      <c r="I339" s="42" t="str">
        <f>Data!Q337</f>
        <v>Cliente, Vel Max 40 Km/h, Vel Max 10 Km/h</v>
      </c>
      <c r="J339" s="43">
        <f>Data!S337</f>
        <v>46174.473271319446</v>
      </c>
      <c r="K339" s="44">
        <f>Data!S337</f>
        <v>46174.473271319446</v>
      </c>
      <c r="L339" s="45">
        <f>Data!T337</f>
        <v>2.5462962962962963E-7</v>
      </c>
      <c r="M339" s="46">
        <f>Data!U337</f>
        <v>5.5888318456709385E-5</v>
      </c>
      <c r="N339" s="46" t="str">
        <f>CONCATENATE(Data!W337," (",Data!V337,")")</f>
        <v>Giro brusco (Velocidad máxima: 7 kmh Aceleración de lado a lado: 0.50 g-force, Ignición: 1.00)</v>
      </c>
      <c r="O339" s="42" t="str">
        <f>IF(Data!V337&lt;&gt;"",N339,Data!W337)</f>
        <v>Giro brusco (Velocidad máxima: 7 kmh Aceleración de lado a lado: 0.50 g-force, Ignición: 1.00)</v>
      </c>
      <c r="P339" s="47" t="str">
        <f>Data!X337</f>
        <v>Válido</v>
      </c>
    </row>
    <row r="340" spans="1:16">
      <c r="A340" s="41" t="str">
        <f>Data!A338</f>
        <v>PKU239</v>
      </c>
      <c r="B340" s="41" t="str">
        <f>Data!D338</f>
        <v>Vehicle, Diesel, Frontera Energy Col 2679</v>
      </c>
      <c r="C340" s="41">
        <f>Data!F338</f>
        <v>0</v>
      </c>
      <c r="D340" s="41">
        <f>Data!G338</f>
        <v>0</v>
      </c>
      <c r="E340" s="41">
        <f>Data!H338</f>
        <v>0</v>
      </c>
      <c r="F340" s="41">
        <f>Data!K338</f>
        <v>0</v>
      </c>
      <c r="G340" s="33" t="str">
        <f>Data!M338</f>
        <v>Tiempo en ralentí</v>
      </c>
      <c r="H340" s="41" t="str">
        <f>Data!P338</f>
        <v>ECOPETROL RUBIALES- Quifa - CAÑO SUR, BATERIA 4: Rb 4 324 126 129 195 14 325 316 143 217 1 26 523 256 28, Meta, 502057, Colombia</v>
      </c>
      <c r="I340" s="42" t="str">
        <f>Data!Q338</f>
        <v>Cliente, Vel Max 40 Km/h, Vel Max 10 Km/h</v>
      </c>
      <c r="J340" s="43">
        <f>Data!S338</f>
        <v>46174.506341944441</v>
      </c>
      <c r="K340" s="44">
        <f>Data!S338</f>
        <v>46174.506341944441</v>
      </c>
      <c r="L340" s="45">
        <f>Data!T338</f>
        <v>1.2433055555555555E-2</v>
      </c>
      <c r="M340" s="46">
        <f>Data!U338</f>
        <v>1.0208770632743835E-2</v>
      </c>
      <c r="N340" s="46" t="str">
        <f>CONCATENATE(Data!W338," (",Data!V338,")")</f>
        <v>Tiempo en ralentí (Ignición: 1.00)</v>
      </c>
      <c r="O340" s="42" t="str">
        <f>IF(Data!V338&lt;&gt;"",N340,Data!W338)</f>
        <v>Tiempo en ralentí (Ignición: 1.00)</v>
      </c>
      <c r="P340" s="47" t="str">
        <f>Data!X338</f>
        <v>Válido</v>
      </c>
    </row>
    <row r="341" spans="1:16">
      <c r="A341" s="41" t="str">
        <f>Data!A339</f>
        <v>PKU239</v>
      </c>
      <c r="B341" s="41" t="str">
        <f>Data!D339</f>
        <v>Vehicle, Diesel, Frontera Energy Col 2679</v>
      </c>
      <c r="C341" s="41">
        <f>Data!F339</f>
        <v>0</v>
      </c>
      <c r="D341" s="41">
        <f>Data!G339</f>
        <v>0</v>
      </c>
      <c r="E341" s="41">
        <f>Data!H339</f>
        <v>0</v>
      </c>
      <c r="F341" s="41">
        <f>Data!K339</f>
        <v>0</v>
      </c>
      <c r="G341" s="33" t="str">
        <f>Data!M339</f>
        <v>Tiempo en ralentí</v>
      </c>
      <c r="H341" s="41" t="str">
        <f>Data!P339</f>
        <v>ECOPETROL RUBIALES- Quifa - CAÑO SUR, BATERIA 4: Rb 4 324 126 129 195 14 325 316 143 217 1 26 523 256 28, Meta, 502057, Colombia</v>
      </c>
      <c r="I341" s="42" t="str">
        <f>Data!Q339</f>
        <v>Cliente, Vel Max 40 Km/h, Vel Max 10 Km/h</v>
      </c>
      <c r="J341" s="43">
        <f>Data!S339</f>
        <v>46174.523881446759</v>
      </c>
      <c r="K341" s="44">
        <f>Data!S339</f>
        <v>46174.523881446759</v>
      </c>
      <c r="L341" s="45">
        <f>Data!T339</f>
        <v>6.38599537037037E-3</v>
      </c>
      <c r="M341" s="46">
        <f>Data!U339</f>
        <v>2.0559715107083321E-2</v>
      </c>
      <c r="N341" s="46" t="str">
        <f>CONCATENATE(Data!W339," (",Data!V339,")")</f>
        <v>Tiempo en ralentí (Ignición: 1.00)</v>
      </c>
      <c r="O341" s="42" t="str">
        <f>IF(Data!V339&lt;&gt;"",N341,Data!W339)</f>
        <v>Tiempo en ralentí (Ignición: 1.00)</v>
      </c>
      <c r="P341" s="47" t="str">
        <f>Data!X339</f>
        <v>Válido</v>
      </c>
    </row>
    <row r="342" spans="1:16">
      <c r="A342" s="41" t="str">
        <f>Data!A340</f>
        <v>PKU239</v>
      </c>
      <c r="B342" s="41" t="str">
        <f>Data!D340</f>
        <v>Vehicle, Diesel, Frontera Energy Col 2679</v>
      </c>
      <c r="C342" s="41">
        <f>Data!F340</f>
        <v>0</v>
      </c>
      <c r="D342" s="41">
        <f>Data!G340</f>
        <v>0</v>
      </c>
      <c r="E342" s="41">
        <f>Data!H340</f>
        <v>0</v>
      </c>
      <c r="F342" s="41">
        <f>Data!K340</f>
        <v>0</v>
      </c>
      <c r="G342" s="33" t="str">
        <f>Data!M340</f>
        <v>Uso del cinturón de seguridad</v>
      </c>
      <c r="H342" s="41" t="str">
        <f>Data!P340</f>
        <v>ECOPETROL RUBIALES- Quifa - CAÑO SUR, BATERIA 4: Rb 4 324 126 129 195 14 325 316 143 217 1 26 523 256 28, Puerto Gaitán, Meta, Colombia</v>
      </c>
      <c r="I342" s="42" t="str">
        <f>Data!Q340</f>
        <v>Cliente, Vel Max 40 Km/h, Vel Max 10 Km/h</v>
      </c>
      <c r="J342" s="43">
        <f>Data!S340</f>
        <v>46174.650601851848</v>
      </c>
      <c r="K342" s="44">
        <f>Data!S340</f>
        <v>46174.650601851848</v>
      </c>
      <c r="L342" s="45">
        <f>Data!T340</f>
        <v>4.5545138888888887E-4</v>
      </c>
      <c r="M342" s="46">
        <f>Data!U340</f>
        <v>0</v>
      </c>
      <c r="N342" s="46" t="str">
        <f>CONCATENATE(Data!W340," (",Data!V340,")")</f>
        <v>Uso del cinturón de seguridad (Velocidad máxima: 12 kmh Cinturón de seguridad del conductor (1. Desabrochado): 1.00)</v>
      </c>
      <c r="O342" s="42" t="str">
        <f>IF(Data!V340&lt;&gt;"",N342,Data!W340)</f>
        <v>Uso del cinturón de seguridad (Velocidad máxima: 12 kmh Cinturón de seguridad del conductor (1. Desabrochado): 1.00)</v>
      </c>
      <c r="P342" s="47" t="str">
        <f>Data!X340</f>
        <v>Válido</v>
      </c>
    </row>
    <row r="343" spans="1:16">
      <c r="A343" s="41" t="str">
        <f>Data!A341</f>
        <v>PKU239</v>
      </c>
      <c r="B343" s="41" t="str">
        <f>Data!D341</f>
        <v>Vehicle, Diesel, Frontera Energy Col 2679</v>
      </c>
      <c r="C343" s="41">
        <f>Data!F341</f>
        <v>0</v>
      </c>
      <c r="D343" s="41">
        <f>Data!G341</f>
        <v>0</v>
      </c>
      <c r="E343" s="41">
        <f>Data!H341</f>
        <v>0</v>
      </c>
      <c r="F343" s="41">
        <f>Data!K341</f>
        <v>0</v>
      </c>
      <c r="G343" s="33" t="str">
        <f>Data!M341</f>
        <v>Tiempo en ralentí</v>
      </c>
      <c r="H343" s="41" t="str">
        <f>Data!P341</f>
        <v>ECOPETROL RUBIALES- Quifa - CAÑO SUR, BATERIA 4: Rb 4, Puerto Gaitán, Meta, Colombia</v>
      </c>
      <c r="I343" s="42" t="str">
        <f>Data!Q341</f>
        <v>Cliente, Vel Max 40 Km/h, Vel Max 10 Km/h</v>
      </c>
      <c r="J343" s="43">
        <f>Data!S341</f>
        <v>46174.651145833333</v>
      </c>
      <c r="K343" s="44">
        <f>Data!S341</f>
        <v>46174.651145833333</v>
      </c>
      <c r="L343" s="45">
        <f>Data!T341</f>
        <v>6.828703703703704E-3</v>
      </c>
      <c r="M343" s="46">
        <f>Data!U341</f>
        <v>0</v>
      </c>
      <c r="N343" s="46" t="str">
        <f>CONCATENATE(Data!W341," (",Data!V341,")")</f>
        <v>Tiempo en ralentí (Ignición: 1.00)</v>
      </c>
      <c r="O343" s="42" t="str">
        <f>IF(Data!V341&lt;&gt;"",N343,Data!W341)</f>
        <v>Tiempo en ralentí (Ignición: 1.00)</v>
      </c>
      <c r="P343" s="47" t="str">
        <f>Data!X341</f>
        <v>Válido</v>
      </c>
    </row>
    <row r="344" spans="1:16">
      <c r="A344" s="41" t="str">
        <f>Data!A342</f>
        <v>PKU239</v>
      </c>
      <c r="B344" s="41" t="str">
        <f>Data!D342</f>
        <v>Vehicle, Diesel, Frontera Energy Col 2679</v>
      </c>
      <c r="C344" s="41">
        <f>Data!F342</f>
        <v>0</v>
      </c>
      <c r="D344" s="41">
        <f>Data!G342</f>
        <v>0</v>
      </c>
      <c r="E344" s="41">
        <f>Data!H342</f>
        <v>0</v>
      </c>
      <c r="F344" s="41">
        <f>Data!K342</f>
        <v>0</v>
      </c>
      <c r="G344" s="33" t="str">
        <f>Data!M342</f>
        <v>Uso del cinturón de seguridad</v>
      </c>
      <c r="H344" s="41" t="str">
        <f>Data!P342</f>
        <v>ECOPETROL RUBIALES- Quifa - CAÑO SUR, BATERIA 4: Rb 4 324 126 129 195 14 325 316 143 217 1 26 523 256 28, Puerto Gaitán, Meta, Colombia</v>
      </c>
      <c r="I344" s="42" t="str">
        <f>Data!Q342</f>
        <v>Cliente, Vel Max 40 Km/h, Vel Max 10 Km/h</v>
      </c>
      <c r="J344" s="43">
        <f>Data!S342</f>
        <v>46174.658888888887</v>
      </c>
      <c r="K344" s="44">
        <f>Data!S342</f>
        <v>46174.658888888887</v>
      </c>
      <c r="L344" s="45">
        <f>Data!T342</f>
        <v>8.4490740740740739E-4</v>
      </c>
      <c r="M344" s="46">
        <f>Data!U342</f>
        <v>0.23783670365810394</v>
      </c>
      <c r="N344" s="46" t="str">
        <f>CONCATENATE(Data!W342," (",Data!V342,")")</f>
        <v>Uso del cinturón de seguridad (Velocidad máxima: 16 kmh Cinturón de seguridad del conductor (1. Desabrochado): 1.00)</v>
      </c>
      <c r="O344" s="42" t="str">
        <f>IF(Data!V342&lt;&gt;"",N344,Data!W342)</f>
        <v>Uso del cinturón de seguridad (Velocidad máxima: 16 kmh Cinturón de seguridad del conductor (1. Desabrochado): 1.00)</v>
      </c>
      <c r="P344" s="47" t="str">
        <f>Data!X342</f>
        <v>Válido</v>
      </c>
    </row>
    <row r="345" spans="1:16">
      <c r="A345" s="41" t="str">
        <f>Data!A343</f>
        <v>PKU239</v>
      </c>
      <c r="B345" s="41" t="str">
        <f>Data!D343</f>
        <v>Vehicle, Diesel, Frontera Energy Col 2679</v>
      </c>
      <c r="C345" s="41">
        <f>Data!F343</f>
        <v>0</v>
      </c>
      <c r="D345" s="41">
        <f>Data!G343</f>
        <v>0</v>
      </c>
      <c r="E345" s="41">
        <f>Data!H343</f>
        <v>0</v>
      </c>
      <c r="F345" s="41">
        <f>Data!K343</f>
        <v>0</v>
      </c>
      <c r="G345" s="33" t="str">
        <f>Data!M343</f>
        <v>Exceso Velocidad 10 Km/h</v>
      </c>
      <c r="H345" s="41" t="str">
        <f>Data!P343</f>
        <v>ECOPETROL RUBIALES- Quifa - CAÑO SUR, BATERIA 4: Rb 4 324 126 129 195 14 325 316 143 217 1 26 523 256 28, Puerto Gaitán, Meta, Colombia</v>
      </c>
      <c r="I345" s="42" t="str">
        <f>Data!Q343</f>
        <v>Cliente, Vel Max 40 Km/h, Vel Max 10 Km/h</v>
      </c>
      <c r="J345" s="43">
        <f>Data!S343</f>
        <v>46174.658888888887</v>
      </c>
      <c r="K345" s="44">
        <f>Data!S343</f>
        <v>46174.658888888887</v>
      </c>
      <c r="L345" s="45">
        <f>Data!T343</f>
        <v>8.4490740740740739E-4</v>
      </c>
      <c r="M345" s="46">
        <f>Data!U343</f>
        <v>0.23783670365810394</v>
      </c>
      <c r="N345" s="46" t="str">
        <f>CONCATENATE(Data!W343," (",Data!V343,")")</f>
        <v>Exceso Velocidad 10 Km/h (Velocidad máxima: 16 kmh)</v>
      </c>
      <c r="O345" s="42" t="str">
        <f>IF(Data!V343&lt;&gt;"",N345,Data!W343)</f>
        <v>Exceso Velocidad 10 Km/h (Velocidad máxima: 16 kmh)</v>
      </c>
      <c r="P345" s="47" t="str">
        <f>Data!X343</f>
        <v>Válido</v>
      </c>
    </row>
    <row r="346" spans="1:16">
      <c r="A346" s="41" t="str">
        <f>Data!A344</f>
        <v>PKU239</v>
      </c>
      <c r="B346" s="41" t="str">
        <f>Data!D344</f>
        <v>Vehicle, Diesel, Frontera Energy Col 2679</v>
      </c>
      <c r="C346" s="41">
        <f>Data!F344</f>
        <v>0</v>
      </c>
      <c r="D346" s="41">
        <f>Data!G344</f>
        <v>0</v>
      </c>
      <c r="E346" s="41">
        <f>Data!H344</f>
        <v>0</v>
      </c>
      <c r="F346" s="41">
        <f>Data!K344</f>
        <v>0</v>
      </c>
      <c r="G346" s="33" t="str">
        <f>Data!M344</f>
        <v>Exceso Velocidad 10 Km/h</v>
      </c>
      <c r="H346" s="41" t="str">
        <f>Data!P344</f>
        <v>ECOPETROL RUBIALES- Quifa - CAÑO SUR, BATERIA 4: Rb 4 324 126 129 195 14 325 316 143 217 1 26 523 256 28, Meta, 502057, Colombia</v>
      </c>
      <c r="I346" s="42" t="str">
        <f>Data!Q344</f>
        <v>Cliente, Vel Max 40 Km/h, Vel Max 10 Km/h</v>
      </c>
      <c r="J346" s="43">
        <f>Data!S344</f>
        <v>46174.659777777779</v>
      </c>
      <c r="K346" s="44">
        <f>Data!S344</f>
        <v>46174.659777777779</v>
      </c>
      <c r="L346" s="45">
        <f>Data!T344</f>
        <v>8.4594907407407405E-4</v>
      </c>
      <c r="M346" s="46">
        <f>Data!U344</f>
        <v>0.35110870003700256</v>
      </c>
      <c r="N346" s="46" t="str">
        <f>CONCATENATE(Data!W344," (",Data!V344,")")</f>
        <v>Exceso Velocidad 10 Km/h (Velocidad máxima: 22 kmh)</v>
      </c>
      <c r="O346" s="42" t="str">
        <f>IF(Data!V344&lt;&gt;"",N346,Data!W344)</f>
        <v>Exceso Velocidad 10 Km/h (Velocidad máxima: 22 kmh)</v>
      </c>
      <c r="P346" s="47" t="str">
        <f>Data!X344</f>
        <v>Válido</v>
      </c>
    </row>
    <row r="347" spans="1:16">
      <c r="A347" s="41" t="str">
        <f>Data!A345</f>
        <v>PKU239</v>
      </c>
      <c r="B347" s="41" t="str">
        <f>Data!D345</f>
        <v>Vehicle, Diesel, Frontera Energy Col 2679</v>
      </c>
      <c r="C347" s="41">
        <f>Data!F345</f>
        <v>0</v>
      </c>
      <c r="D347" s="41">
        <f>Data!G345</f>
        <v>0</v>
      </c>
      <c r="E347" s="41">
        <f>Data!H345</f>
        <v>0</v>
      </c>
      <c r="F347" s="41">
        <f>Data!K345</f>
        <v>0</v>
      </c>
      <c r="G347" s="33" t="str">
        <f>Data!M345</f>
        <v>Uso del cinturón de seguridad</v>
      </c>
      <c r="H347" s="41" t="str">
        <f>Data!P345</f>
        <v>ECOPETROL RUBIALES- Quifa - CAÑO SUR, BATERIA 4: Rb 4 324 126 129 195 14 325 316 143 217 1 26 523 256 28, Meta, 502057, Colombia</v>
      </c>
      <c r="I347" s="42" t="str">
        <f>Data!Q345</f>
        <v>Cliente, Vel Max 40 Km/h, Vel Max 10 Km/h</v>
      </c>
      <c r="J347" s="43">
        <f>Data!S345</f>
        <v>46174.659777777779</v>
      </c>
      <c r="K347" s="44">
        <f>Data!S345</f>
        <v>46174.659777777779</v>
      </c>
      <c r="L347" s="45">
        <f>Data!T345</f>
        <v>1.0450347222222222E-3</v>
      </c>
      <c r="M347" s="46">
        <f>Data!U345</f>
        <v>0.44335061311721802</v>
      </c>
      <c r="N347" s="46" t="str">
        <f>CONCATENATE(Data!W345," (",Data!V345,")")</f>
        <v>Uso del cinturón de seguridad (Velocidad máxima: 24 kmh Cinturón de seguridad del conductor (1. Desabrochado): 1.00)</v>
      </c>
      <c r="O347" s="42" t="str">
        <f>IF(Data!V345&lt;&gt;"",N347,Data!W345)</f>
        <v>Uso del cinturón de seguridad (Velocidad máxima: 24 kmh Cinturón de seguridad del conductor (1. Desabrochado): 1.00)</v>
      </c>
      <c r="P347" s="47" t="str">
        <f>Data!X345</f>
        <v>Válido</v>
      </c>
    </row>
    <row r="348" spans="1:16">
      <c r="A348" s="41" t="str">
        <f>Data!A346</f>
        <v>PKU239</v>
      </c>
      <c r="B348" s="41" t="str">
        <f>Data!D346</f>
        <v>Vehicle, Diesel, Frontera Energy Col 2679</v>
      </c>
      <c r="C348" s="41">
        <f>Data!F346</f>
        <v>0</v>
      </c>
      <c r="D348" s="41">
        <f>Data!G346</f>
        <v>0</v>
      </c>
      <c r="E348" s="41">
        <f>Data!H346</f>
        <v>0</v>
      </c>
      <c r="F348" s="41">
        <f>Data!K346</f>
        <v>0</v>
      </c>
      <c r="G348" s="33" t="str">
        <f>Data!M346</f>
        <v>Uso del cinturón de seguridad</v>
      </c>
      <c r="H348" s="41" t="str">
        <f>Data!P346</f>
        <v>ECOPETROL RUBIALES- Quifa - CAÑO SUR: Rb 4 324 126 129 195 14 325 316 143 217 1 26 523 256 28, Meta, 502057, Colombia</v>
      </c>
      <c r="I348" s="42" t="str">
        <f>Data!Q346</f>
        <v>Cliente, Vel Max 40 Km/h</v>
      </c>
      <c r="J348" s="43">
        <f>Data!S346</f>
        <v>46174.661805555559</v>
      </c>
      <c r="K348" s="44">
        <f>Data!S346</f>
        <v>46174.661805555559</v>
      </c>
      <c r="L348" s="45">
        <f>Data!T346</f>
        <v>3.4131944444444447E-5</v>
      </c>
      <c r="M348" s="46">
        <f>Data!U346</f>
        <v>8.4745734930038452E-3</v>
      </c>
      <c r="N348" s="46" t="str">
        <f>CONCATENATE(Data!W346," (",Data!V346,")")</f>
        <v>Uso del cinturón de seguridad (Velocidad máxima: 13 kmh Cinturón de seguridad del conductor (1. Desabrochado): 1.00)</v>
      </c>
      <c r="O348" s="42" t="str">
        <f>IF(Data!V346&lt;&gt;"",N348,Data!W346)</f>
        <v>Uso del cinturón de seguridad (Velocidad máxima: 13 kmh Cinturón de seguridad del conductor (1. Desabrochado): 1.00)</v>
      </c>
      <c r="P348" s="47" t="str">
        <f>Data!X346</f>
        <v>Válido</v>
      </c>
    </row>
    <row r="349" spans="1:16">
      <c r="A349" s="41" t="str">
        <f>Data!A347</f>
        <v>PKU239</v>
      </c>
      <c r="B349" s="41" t="str">
        <f>Data!D347</f>
        <v>Vehicle, Diesel, Frontera Energy Col 2679</v>
      </c>
      <c r="C349" s="41">
        <f>Data!F347</f>
        <v>0</v>
      </c>
      <c r="D349" s="41">
        <f>Data!G347</f>
        <v>0</v>
      </c>
      <c r="E349" s="41">
        <f>Data!H347</f>
        <v>0</v>
      </c>
      <c r="F349" s="41">
        <f>Data!K347</f>
        <v>0</v>
      </c>
      <c r="G349" s="33" t="str">
        <f>Data!M347</f>
        <v>Giro brusco</v>
      </c>
      <c r="H349" s="41" t="str">
        <f>Data!P347</f>
        <v>ECOPETROL RUBIALES- Quifa - CAÑO SUR: Rb 280, Puerto Gaitán, Meta, Colombia</v>
      </c>
      <c r="I349" s="42" t="str">
        <f>Data!Q347</f>
        <v>Cliente, Vel Max 40 Km/h</v>
      </c>
      <c r="J349" s="43">
        <f>Data!S347</f>
        <v>46174.663935011573</v>
      </c>
      <c r="K349" s="44">
        <f>Data!S347</f>
        <v>46174.663935011573</v>
      </c>
      <c r="L349" s="45">
        <f>Data!T347</f>
        <v>1.2731481481481482E-7</v>
      </c>
      <c r="M349" s="46">
        <f>Data!U347</f>
        <v>6.1572784034069628E-5</v>
      </c>
      <c r="N349" s="46" t="str">
        <f>CONCATENATE(Data!W347," (",Data!V347,")")</f>
        <v>Giro brusco (Velocidad máxima: 11 kmh Ignición: 1.00 , Aceleración de lado a lado: 0.48 g-force)</v>
      </c>
      <c r="O349" s="42" t="str">
        <f>IF(Data!V347&lt;&gt;"",N349,Data!W347)</f>
        <v>Giro brusco (Velocidad máxima: 11 kmh Ignición: 1.00 , Aceleración de lado a lado: 0.48 g-force)</v>
      </c>
      <c r="P349" s="47" t="str">
        <f>Data!X347</f>
        <v>Válido</v>
      </c>
    </row>
    <row r="350" spans="1:16">
      <c r="A350" s="41" t="str">
        <f>Data!A348</f>
        <v>PKU239</v>
      </c>
      <c r="B350" s="41" t="str">
        <f>Data!D348</f>
        <v>Vehicle, Diesel, Frontera Energy Col 2679</v>
      </c>
      <c r="C350" s="41">
        <f>Data!F348</f>
        <v>0</v>
      </c>
      <c r="D350" s="41">
        <f>Data!G348</f>
        <v>0</v>
      </c>
      <c r="E350" s="41">
        <f>Data!H348</f>
        <v>0</v>
      </c>
      <c r="F350" s="41">
        <f>Data!K348</f>
        <v>0</v>
      </c>
      <c r="G350" s="33" t="str">
        <f>Data!M348</f>
        <v>Giro brusco</v>
      </c>
      <c r="H350" s="41" t="str">
        <f>Data!P348</f>
        <v>ECOPETROL RUBIALES- Quifa - CAÑO SUR: Rb 280 320 4 324 126 129 195 14 325 316 143 217 1 26 523 256 28, Puerto Gaitán, Meta, Colombia</v>
      </c>
      <c r="I350" s="42" t="str">
        <f>Data!Q348</f>
        <v>Cliente, Vel Max 40 Km/h</v>
      </c>
      <c r="J350" s="43">
        <f>Data!S348</f>
        <v>46174.663948796297</v>
      </c>
      <c r="K350" s="44">
        <f>Data!S348</f>
        <v>46174.663948796297</v>
      </c>
      <c r="L350" s="45">
        <f>Data!T348</f>
        <v>4.3981481481481479E-7</v>
      </c>
      <c r="M350" s="46">
        <f>Data!U348</f>
        <v>8.3210186858195812E-5</v>
      </c>
      <c r="N350" s="46" t="str">
        <f>CONCATENATE(Data!W348," (",Data!V348,")")</f>
        <v>Giro brusco (Velocidad máxima: 9 kmh Ignición: 1.00 , Aceleración de lado a lado: -0.52 g-force)</v>
      </c>
      <c r="O350" s="42" t="str">
        <f>IF(Data!V348&lt;&gt;"",N350,Data!W348)</f>
        <v>Giro brusco (Velocidad máxima: 9 kmh Ignición: 1.00 , Aceleración de lado a lado: -0.52 g-force)</v>
      </c>
      <c r="P350" s="47" t="str">
        <f>Data!X348</f>
        <v>Válido</v>
      </c>
    </row>
    <row r="351" spans="1:16">
      <c r="A351" s="41" t="str">
        <f>Data!A349</f>
        <v>PKU239</v>
      </c>
      <c r="B351" s="41" t="str">
        <f>Data!D349</f>
        <v>Vehicle, Diesel, Frontera Energy Col 2679</v>
      </c>
      <c r="C351" s="41">
        <f>Data!F349</f>
        <v>0</v>
      </c>
      <c r="D351" s="41">
        <f>Data!G349</f>
        <v>0</v>
      </c>
      <c r="E351" s="41">
        <f>Data!H349</f>
        <v>0</v>
      </c>
      <c r="F351" s="41">
        <f>Data!K349</f>
        <v>0</v>
      </c>
      <c r="G351" s="33" t="str">
        <f>Data!M349</f>
        <v>Tiempo en ralentí</v>
      </c>
      <c r="H351" s="41" t="str">
        <f>Data!P349</f>
        <v>ECOPETROL RUBIALES- Quifa - CAÑO SUR: Puerto Gaitan - Rubiales, Puerto Gaitán, Meta, Colombia</v>
      </c>
      <c r="I351" s="42" t="str">
        <f>Data!Q349</f>
        <v>Cliente, Vel Max 40 Km/h</v>
      </c>
      <c r="J351" s="43">
        <f>Data!S349</f>
        <v>46174.667314814818</v>
      </c>
      <c r="K351" s="44">
        <f>Data!S349</f>
        <v>46174.667314814818</v>
      </c>
      <c r="L351" s="45">
        <f>Data!T349</f>
        <v>8.9583333333333338E-3</v>
      </c>
      <c r="M351" s="46">
        <f>Data!U349</f>
        <v>0</v>
      </c>
      <c r="N351" s="46" t="str">
        <f>CONCATENATE(Data!W349," (",Data!V349,")")</f>
        <v>Tiempo en ralentí (Ignición: 1.00)</v>
      </c>
      <c r="O351" s="42" t="str">
        <f>IF(Data!V349&lt;&gt;"",N351,Data!W349)</f>
        <v>Tiempo en ralentí (Ignición: 1.00)</v>
      </c>
      <c r="P351" s="47" t="str">
        <f>Data!X349</f>
        <v>Válido</v>
      </c>
    </row>
    <row r="352" spans="1:16">
      <c r="A352" s="41" t="str">
        <f>Data!A350</f>
        <v>PKU239</v>
      </c>
      <c r="B352" s="41" t="str">
        <f>Data!D350</f>
        <v>Vehicle, Diesel, Frontera Energy Col 2679</v>
      </c>
      <c r="C352" s="41">
        <f>Data!F350</f>
        <v>0</v>
      </c>
      <c r="D352" s="41">
        <f>Data!G350</f>
        <v>0</v>
      </c>
      <c r="E352" s="41">
        <f>Data!H350</f>
        <v>0</v>
      </c>
      <c r="F352" s="41">
        <f>Data!K350</f>
        <v>0</v>
      </c>
      <c r="G352" s="33" t="str">
        <f>Data!M350</f>
        <v>Tiempo en ralentí</v>
      </c>
      <c r="H352" s="41" t="str">
        <f>Data!P350</f>
        <v>ECOPETROL RUBIALES- Quifa - CAÑO SUR: Puerto Gaitan - Rubiales, Puerto Gaitán, Meta, Colombia</v>
      </c>
      <c r="I352" s="42" t="str">
        <f>Data!Q350</f>
        <v>Cliente, Vel Max 40 Km/h</v>
      </c>
      <c r="J352" s="43">
        <f>Data!S350</f>
        <v>46174.677719907406</v>
      </c>
      <c r="K352" s="44">
        <f>Data!S350</f>
        <v>46174.677719907406</v>
      </c>
      <c r="L352" s="45">
        <f>Data!T350</f>
        <v>1.2395833333333333E-2</v>
      </c>
      <c r="M352" s="46">
        <f>Data!U350</f>
        <v>0</v>
      </c>
      <c r="N352" s="46" t="str">
        <f>CONCATENATE(Data!W350," (",Data!V350,")")</f>
        <v>Tiempo en ralentí (Ignición: 1.00)</v>
      </c>
      <c r="O352" s="42" t="str">
        <f>IF(Data!V350&lt;&gt;"",N352,Data!W350)</f>
        <v>Tiempo en ralentí (Ignición: 1.00)</v>
      </c>
      <c r="P352" s="47" t="str">
        <f>Data!X350</f>
        <v>Válido</v>
      </c>
    </row>
    <row r="353" spans="1:16">
      <c r="A353" s="41" t="str">
        <f>Data!A351</f>
        <v>PKU239</v>
      </c>
      <c r="B353" s="41" t="str">
        <f>Data!D351</f>
        <v>Vehicle, Diesel, Frontera Energy Col 2679</v>
      </c>
      <c r="C353" s="41">
        <f>Data!F351</f>
        <v>0</v>
      </c>
      <c r="D353" s="41">
        <f>Data!G351</f>
        <v>0</v>
      </c>
      <c r="E353" s="41">
        <f>Data!H351</f>
        <v>0</v>
      </c>
      <c r="F353" s="41">
        <f>Data!K351</f>
        <v>0</v>
      </c>
      <c r="G353" s="33" t="str">
        <f>Data!M351</f>
        <v>Exceso Velocidad 40 Km/h</v>
      </c>
      <c r="H353" s="41" t="str">
        <f>Data!P351</f>
        <v>ECOPETROL RUBIALES- Quifa - CAÑO SUR: Puerto Gaitan - Rubiales, Puerto Gaitán, Meta, Colombia</v>
      </c>
      <c r="I353" s="42" t="str">
        <f>Data!Q351</f>
        <v>Cliente, Vel Max 40 Km/h</v>
      </c>
      <c r="J353" s="43">
        <f>Data!S351</f>
        <v>46174.703560960646</v>
      </c>
      <c r="K353" s="44">
        <f>Data!S351</f>
        <v>46174.703560960646</v>
      </c>
      <c r="L353" s="45">
        <f>Data!T351</f>
        <v>3.5682870370370369E-5</v>
      </c>
      <c r="M353" s="46">
        <f>Data!U351</f>
        <v>3.3251542598009109E-2</v>
      </c>
      <c r="N353" s="46" t="str">
        <f>CONCATENATE(Data!W351," (",Data!V351,")")</f>
        <v>Exceso Velocidad 40 Km/h (Velocidad máxima: 41 kmh)</v>
      </c>
      <c r="O353" s="42" t="str">
        <f>IF(Data!V351&lt;&gt;"",N353,Data!W351)</f>
        <v>Exceso Velocidad 40 Km/h (Velocidad máxima: 41 kmh)</v>
      </c>
      <c r="P353" s="47" t="str">
        <f>Data!X351</f>
        <v>Válido</v>
      </c>
    </row>
    <row r="354" spans="1:16">
      <c r="A354" s="41" t="str">
        <f>Data!A352</f>
        <v>PKU239</v>
      </c>
      <c r="B354" s="41" t="str">
        <f>Data!D352</f>
        <v>Vehicle, Diesel, Frontera Energy Col 2679</v>
      </c>
      <c r="C354" s="41">
        <f>Data!F352</f>
        <v>0</v>
      </c>
      <c r="D354" s="41">
        <f>Data!G352</f>
        <v>0</v>
      </c>
      <c r="E354" s="41">
        <f>Data!H352</f>
        <v>0</v>
      </c>
      <c r="F354" s="41">
        <f>Data!K352</f>
        <v>0</v>
      </c>
      <c r="G354" s="33" t="str">
        <f>Data!M352</f>
        <v>Exceso Velocidad 40 Km/h</v>
      </c>
      <c r="H354" s="41" t="str">
        <f>Data!P352</f>
        <v>ECOPETROL RUBIALES- Quifa - CAÑO SUR: Puerto Gaitan - Rubiales, Puerto Gaitán, Meta, Colombia</v>
      </c>
      <c r="I354" s="42" t="str">
        <f>Data!Q352</f>
        <v>Cliente, Vel Max 40 Km/h</v>
      </c>
      <c r="J354" s="43">
        <f>Data!S352</f>
        <v>46174.703845752316</v>
      </c>
      <c r="K354" s="44">
        <f>Data!S352</f>
        <v>46174.703845752316</v>
      </c>
      <c r="L354" s="45">
        <f>Data!T352</f>
        <v>2.0517361111111111E-4</v>
      </c>
      <c r="M354" s="46">
        <f>Data!U352</f>
        <v>0.19998958706855774</v>
      </c>
      <c r="N354" s="46" t="str">
        <f>CONCATENATE(Data!W352," (",Data!V352,")")</f>
        <v>Exceso Velocidad 40 Km/h (Velocidad máxima: 42 kmh)</v>
      </c>
      <c r="O354" s="42" t="str">
        <f>IF(Data!V352&lt;&gt;"",N354,Data!W352)</f>
        <v>Exceso Velocidad 40 Km/h (Velocidad máxima: 42 kmh)</v>
      </c>
      <c r="P354" s="47" t="str">
        <f>Data!X352</f>
        <v>Válido</v>
      </c>
    </row>
    <row r="355" spans="1:16">
      <c r="A355" s="41" t="str">
        <f>Data!A353</f>
        <v>PKU239</v>
      </c>
      <c r="B355" s="41" t="str">
        <f>Data!D353</f>
        <v>Vehicle, Diesel, Frontera Energy Col 2679</v>
      </c>
      <c r="C355" s="41">
        <f>Data!F353</f>
        <v>0</v>
      </c>
      <c r="D355" s="41">
        <f>Data!G353</f>
        <v>0</v>
      </c>
      <c r="E355" s="41">
        <f>Data!H353</f>
        <v>0</v>
      </c>
      <c r="F355" s="41">
        <f>Data!K353</f>
        <v>0</v>
      </c>
      <c r="G355" s="33" t="str">
        <f>Data!M353</f>
        <v>Exceso Velocidad 40 Km/h</v>
      </c>
      <c r="H355" s="41" t="str">
        <f>Data!P353</f>
        <v>ECOPETROL RUBIALES- Quifa - CAÑO SUR: Puerto Gaitan - Rubiales, Puerto Gaitán, Meta, Colombia</v>
      </c>
      <c r="I355" s="42" t="str">
        <f>Data!Q353</f>
        <v>Cliente, Vel Max 40 Km/h</v>
      </c>
      <c r="J355" s="43">
        <f>Data!S353</f>
        <v>46174.70694059028</v>
      </c>
      <c r="K355" s="44">
        <f>Data!S353</f>
        <v>46174.70694059028</v>
      </c>
      <c r="L355" s="45">
        <f>Data!T353</f>
        <v>5.7094907407407405E-5</v>
      </c>
      <c r="M355" s="46">
        <f>Data!U353</f>
        <v>5.4643824696540833E-2</v>
      </c>
      <c r="N355" s="46" t="str">
        <f>CONCATENATE(Data!W353," (",Data!V353,")")</f>
        <v>Exceso Velocidad 40 Km/h (Velocidad máxima: 42 kmh)</v>
      </c>
      <c r="O355" s="42" t="str">
        <f>IF(Data!V353&lt;&gt;"",N355,Data!W353)</f>
        <v>Exceso Velocidad 40 Km/h (Velocidad máxima: 42 kmh)</v>
      </c>
      <c r="P355" s="47" t="str">
        <f>Data!X353</f>
        <v>Válido</v>
      </c>
    </row>
    <row r="356" spans="1:16">
      <c r="A356" s="41" t="str">
        <f>Data!A354</f>
        <v>PKU239</v>
      </c>
      <c r="B356" s="41" t="str">
        <f>Data!D354</f>
        <v>Vehicle, Diesel, Frontera Energy Col 2679</v>
      </c>
      <c r="C356" s="41">
        <f>Data!F354</f>
        <v>0</v>
      </c>
      <c r="D356" s="41">
        <f>Data!G354</f>
        <v>0</v>
      </c>
      <c r="E356" s="41">
        <f>Data!H354</f>
        <v>0</v>
      </c>
      <c r="F356" s="41">
        <f>Data!K354</f>
        <v>0</v>
      </c>
      <c r="G356" s="33" t="str">
        <f>Data!M354</f>
        <v>Exceso Velocidad 40 Km/h</v>
      </c>
      <c r="H356" s="41" t="str">
        <f>Data!P354</f>
        <v>ECOPETROL RUBIALES- Quifa - CAÑO SUR: Puerto Gaitan - Rubiales, Puerto Gaitán, Meta, Colombia</v>
      </c>
      <c r="I356" s="42" t="str">
        <f>Data!Q354</f>
        <v>Cliente, Vel Max 40 Km/h</v>
      </c>
      <c r="J356" s="43">
        <f>Data!S354</f>
        <v>46174.708695983798</v>
      </c>
      <c r="K356" s="44">
        <f>Data!S354</f>
        <v>46174.708695983798</v>
      </c>
      <c r="L356" s="45">
        <f>Data!T354</f>
        <v>2.7974537037037037E-5</v>
      </c>
      <c r="M356" s="46">
        <f>Data!U354</f>
        <v>2.5692952796816826E-2</v>
      </c>
      <c r="N356" s="46" t="str">
        <f>CONCATENATE(Data!W354," (",Data!V354,")")</f>
        <v>Exceso Velocidad 40 Km/h (Velocidad máxima: 41 kmh)</v>
      </c>
      <c r="O356" s="42" t="str">
        <f>IF(Data!V354&lt;&gt;"",N356,Data!W354)</f>
        <v>Exceso Velocidad 40 Km/h (Velocidad máxima: 41 kmh)</v>
      </c>
      <c r="P356" s="47" t="str">
        <f>Data!X354</f>
        <v>Válido</v>
      </c>
    </row>
    <row r="357" spans="1:16">
      <c r="A357" s="41" t="str">
        <f>Data!A355</f>
        <v>PKU239</v>
      </c>
      <c r="B357" s="41" t="str">
        <f>Data!D355</f>
        <v>Vehicle, Diesel, Frontera Energy Col 2679</v>
      </c>
      <c r="C357" s="41">
        <f>Data!F355</f>
        <v>0</v>
      </c>
      <c r="D357" s="41">
        <f>Data!G355</f>
        <v>0</v>
      </c>
      <c r="E357" s="41">
        <f>Data!H355</f>
        <v>0</v>
      </c>
      <c r="F357" s="41">
        <f>Data!K355</f>
        <v>0</v>
      </c>
      <c r="G357" s="33" t="str">
        <f>Data!M355</f>
        <v>Exceso Velocidad 40 Km/h</v>
      </c>
      <c r="H357" s="41" t="str">
        <f>Data!P355</f>
        <v>ECOPETROL RUBIALES- Quifa - CAÑO SUR: Puerto Gaitan - Rubiales, Puerto Gaitán, Meta, Colombia</v>
      </c>
      <c r="I357" s="42" t="str">
        <f>Data!Q355</f>
        <v>Cliente, Vel Max 40 Km/h</v>
      </c>
      <c r="J357" s="43">
        <f>Data!S355</f>
        <v>46174.708784722221</v>
      </c>
      <c r="K357" s="44">
        <f>Data!S355</f>
        <v>46174.708784722221</v>
      </c>
      <c r="L357" s="45">
        <f>Data!T355</f>
        <v>5.2083433333333337E-5</v>
      </c>
      <c r="M357" s="46">
        <f>Data!U355</f>
        <v>4.9012988805770874E-2</v>
      </c>
      <c r="N357" s="46" t="str">
        <f>CONCATENATE(Data!W355," (",Data!V355,")")</f>
        <v>Exceso Velocidad 40 Km/h (Velocidad máxima: 41 kmh)</v>
      </c>
      <c r="O357" s="42" t="str">
        <f>IF(Data!V355&lt;&gt;"",N357,Data!W355)</f>
        <v>Exceso Velocidad 40 Km/h (Velocidad máxima: 41 kmh)</v>
      </c>
      <c r="P357" s="47" t="str">
        <f>Data!X355</f>
        <v>Válido</v>
      </c>
    </row>
    <row r="358" spans="1:16">
      <c r="A358" s="41" t="str">
        <f>Data!A356</f>
        <v>PKU239</v>
      </c>
      <c r="B358" s="41" t="str">
        <f>Data!D356</f>
        <v>Vehicle, Diesel, Frontera Energy Col 2679</v>
      </c>
      <c r="C358" s="41">
        <f>Data!F356</f>
        <v>0</v>
      </c>
      <c r="D358" s="41">
        <f>Data!G356</f>
        <v>0</v>
      </c>
      <c r="E358" s="41">
        <f>Data!H356</f>
        <v>0</v>
      </c>
      <c r="F358" s="41">
        <f>Data!K356</f>
        <v>0</v>
      </c>
      <c r="G358" s="33" t="str">
        <f>Data!M356</f>
        <v>Exceso Velocidad 40 Km/h</v>
      </c>
      <c r="H358" s="41" t="str">
        <f>Data!P356</f>
        <v>ECOPETROL RUBIALES- Quifa - CAÑO SUR: Puerto Gaitan - Rubiales, Puerto Gaitán, Meta, Colombia</v>
      </c>
      <c r="I358" s="42" t="str">
        <f>Data!Q356</f>
        <v>Cliente, Vel Max 40 Km/h</v>
      </c>
      <c r="J358" s="43">
        <f>Data!S356</f>
        <v>46174.70929976862</v>
      </c>
      <c r="K358" s="44">
        <f>Data!S356</f>
        <v>46174.70929976862</v>
      </c>
      <c r="L358" s="45">
        <f>Data!T356</f>
        <v>2.1412047037037038E-4</v>
      </c>
      <c r="M358" s="46">
        <f>Data!U356</f>
        <v>0.20167014002799988</v>
      </c>
      <c r="N358" s="46" t="str">
        <f>CONCATENATE(Data!W356," (",Data!V356,")")</f>
        <v>Exceso Velocidad 40 Km/h (Velocidad máxima: 41 kmh)</v>
      </c>
      <c r="O358" s="42" t="str">
        <f>IF(Data!V356&lt;&gt;"",N358,Data!W356)</f>
        <v>Exceso Velocidad 40 Km/h (Velocidad máxima: 41 kmh)</v>
      </c>
      <c r="P358" s="47" t="str">
        <f>Data!X356</f>
        <v>Válido</v>
      </c>
    </row>
    <row r="359" spans="1:16">
      <c r="A359" s="41" t="str">
        <f>Data!A357</f>
        <v>PKU239</v>
      </c>
      <c r="B359" s="41" t="str">
        <f>Data!D357</f>
        <v>Vehicle, Diesel, Frontera Energy Col 2679</v>
      </c>
      <c r="C359" s="41">
        <f>Data!F357</f>
        <v>0</v>
      </c>
      <c r="D359" s="41">
        <f>Data!G357</f>
        <v>0</v>
      </c>
      <c r="E359" s="41">
        <f>Data!H357</f>
        <v>0</v>
      </c>
      <c r="F359" s="41">
        <f>Data!K357</f>
        <v>0</v>
      </c>
      <c r="G359" s="33" t="str">
        <f>Data!M357</f>
        <v>Exceso Velocidad 40 Km/h</v>
      </c>
      <c r="H359" s="41" t="str">
        <f>Data!P357</f>
        <v>ECOPETROL RUBIALES- Quifa - CAÑO SUR: Puerto Gaitan - Rubiales, Puerto Gaitán, Meta, Colombia</v>
      </c>
      <c r="I359" s="42" t="str">
        <f>Data!Q357</f>
        <v>Cliente, Vel Max 40 Km/h</v>
      </c>
      <c r="J359" s="43">
        <f>Data!S357</f>
        <v>46174.710028935289</v>
      </c>
      <c r="K359" s="44">
        <f>Data!S357</f>
        <v>46174.710028935289</v>
      </c>
      <c r="L359" s="45">
        <f>Data!T357</f>
        <v>8.6805655555555552E-5</v>
      </c>
      <c r="M359" s="46">
        <f>Data!U357</f>
        <v>8.2266353070735931E-2</v>
      </c>
      <c r="N359" s="46" t="str">
        <f>CONCATENATE(Data!W357," (",Data!V357,")")</f>
        <v>Exceso Velocidad 40 Km/h (Velocidad máxima: 41 kmh)</v>
      </c>
      <c r="O359" s="42" t="str">
        <f>IF(Data!V357&lt;&gt;"",N359,Data!W357)</f>
        <v>Exceso Velocidad 40 Km/h (Velocidad máxima: 41 kmh)</v>
      </c>
      <c r="P359" s="47" t="str">
        <f>Data!X357</f>
        <v>Válido</v>
      </c>
    </row>
    <row r="360" spans="1:16">
      <c r="A360" s="41" t="str">
        <f>Data!A358</f>
        <v>PKU239</v>
      </c>
      <c r="B360" s="41" t="str">
        <f>Data!D358</f>
        <v>Vehicle, Diesel, Frontera Energy Col 2679</v>
      </c>
      <c r="C360" s="41">
        <f>Data!F358</f>
        <v>0</v>
      </c>
      <c r="D360" s="41">
        <f>Data!G358</f>
        <v>0</v>
      </c>
      <c r="E360" s="41">
        <f>Data!H358</f>
        <v>0</v>
      </c>
      <c r="F360" s="41">
        <f>Data!K358</f>
        <v>0</v>
      </c>
      <c r="G360" s="33" t="str">
        <f>Data!M358</f>
        <v>Exceso Velocidad 40 Km/h</v>
      </c>
      <c r="H360" s="41" t="str">
        <f>Data!P358</f>
        <v>ECOPETROL RUBIALES- Quifa - CAÑO SUR: Puerto Gaitan - Rubiales, Puerto Gaitán, Meta, Colombia</v>
      </c>
      <c r="I360" s="42" t="str">
        <f>Data!Q358</f>
        <v>Cliente, Vel Max 40 Km/h</v>
      </c>
      <c r="J360" s="43">
        <f>Data!S358</f>
        <v>46174.710486111115</v>
      </c>
      <c r="K360" s="44">
        <f>Data!S358</f>
        <v>46174.710486111115</v>
      </c>
      <c r="L360" s="45">
        <f>Data!T358</f>
        <v>1.4917824074074074E-4</v>
      </c>
      <c r="M360" s="46">
        <f>Data!U358</f>
        <v>0.14094211161136627</v>
      </c>
      <c r="N360" s="46" t="str">
        <f>CONCATENATE(Data!W358," (",Data!V358,")")</f>
        <v>Exceso Velocidad 40 Km/h (Velocidad máxima: 42 kmh)</v>
      </c>
      <c r="O360" s="42" t="str">
        <f>IF(Data!V358&lt;&gt;"",N360,Data!W358)</f>
        <v>Exceso Velocidad 40 Km/h (Velocidad máxima: 42 kmh)</v>
      </c>
      <c r="P360" s="47" t="str">
        <f>Data!X358</f>
        <v>Válido</v>
      </c>
    </row>
    <row r="361" spans="1:16">
      <c r="A361" s="41" t="str">
        <f>Data!A359</f>
        <v>PKU239</v>
      </c>
      <c r="B361" s="41" t="str">
        <f>Data!D359</f>
        <v>Vehicle, Diesel, Frontera Energy Col 2679</v>
      </c>
      <c r="C361" s="41">
        <f>Data!F359</f>
        <v>0</v>
      </c>
      <c r="D361" s="41">
        <f>Data!G359</f>
        <v>0</v>
      </c>
      <c r="E361" s="41">
        <f>Data!H359</f>
        <v>0</v>
      </c>
      <c r="F361" s="41">
        <f>Data!K359</f>
        <v>0</v>
      </c>
      <c r="G361" s="33" t="str">
        <f>Data!M359</f>
        <v>Exceso Velocidad 40 Km/h</v>
      </c>
      <c r="H361" s="41" t="str">
        <f>Data!P359</f>
        <v>ECOPETROL RUBIALES- Quifa - CAÑO SUR: Puerto Gaitan - Rubiales, Puerto Gaitán, Meta, Colombia</v>
      </c>
      <c r="I361" s="42" t="str">
        <f>Data!Q359</f>
        <v>Cliente, Vel Max 40 Km/h</v>
      </c>
      <c r="J361" s="43">
        <f>Data!S359</f>
        <v>46174.711562500001</v>
      </c>
      <c r="K361" s="44">
        <f>Data!S359</f>
        <v>46174.711562500001</v>
      </c>
      <c r="L361" s="45">
        <f>Data!T359</f>
        <v>5.2083433333333337E-5</v>
      </c>
      <c r="M361" s="46">
        <f>Data!U359</f>
        <v>4.7919023782014847E-2</v>
      </c>
      <c r="N361" s="46" t="str">
        <f>CONCATENATE(Data!W359," (",Data!V359,")")</f>
        <v>Exceso Velocidad 40 Km/h (Velocidad máxima: 41 kmh)</v>
      </c>
      <c r="O361" s="42" t="str">
        <f>IF(Data!V359&lt;&gt;"",N361,Data!W359)</f>
        <v>Exceso Velocidad 40 Km/h (Velocidad máxima: 41 kmh)</v>
      </c>
      <c r="P361" s="47" t="str">
        <f>Data!X359</f>
        <v>Válido</v>
      </c>
    </row>
    <row r="362" spans="1:16">
      <c r="A362" s="41" t="str">
        <f>Data!A360</f>
        <v>PKU239</v>
      </c>
      <c r="B362" s="41" t="str">
        <f>Data!D360</f>
        <v>Vehicle, Diesel, Frontera Energy Col 2679</v>
      </c>
      <c r="C362" s="41">
        <f>Data!F360</f>
        <v>0</v>
      </c>
      <c r="D362" s="41">
        <f>Data!G360</f>
        <v>0</v>
      </c>
      <c r="E362" s="41">
        <f>Data!H360</f>
        <v>0</v>
      </c>
      <c r="F362" s="41">
        <f>Data!K360</f>
        <v>0</v>
      </c>
      <c r="G362" s="33" t="str">
        <f>Data!M360</f>
        <v>Exceso Velocidad 40 Km/h</v>
      </c>
      <c r="H362" s="41" t="str">
        <f>Data!P360</f>
        <v>ECOPETROL RUBIALES- Quifa - CAÑO SUR: Puerto Gaitan - Rubiales, Puerto Gaitán, Meta, Colombia</v>
      </c>
      <c r="I362" s="42" t="str">
        <f>Data!Q360</f>
        <v>Cliente, Vel Max 40 Km/h</v>
      </c>
      <c r="J362" s="43">
        <f>Data!S360</f>
        <v>46174.711886574078</v>
      </c>
      <c r="K362" s="44">
        <f>Data!S360</f>
        <v>46174.711886574078</v>
      </c>
      <c r="L362" s="45">
        <f>Data!T360</f>
        <v>2.0254629629629629E-5</v>
      </c>
      <c r="M362" s="46">
        <f>Data!U360</f>
        <v>1.8495595082640648E-2</v>
      </c>
      <c r="N362" s="46" t="str">
        <f>CONCATENATE(Data!W360," (",Data!V360,")")</f>
        <v>Exceso Velocidad 40 Km/h (Velocidad máxima: 41 kmh)</v>
      </c>
      <c r="O362" s="42" t="str">
        <f>IF(Data!V360&lt;&gt;"",N362,Data!W360)</f>
        <v>Exceso Velocidad 40 Km/h (Velocidad máxima: 41 kmh)</v>
      </c>
      <c r="P362" s="47" t="str">
        <f>Data!X360</f>
        <v>Válido</v>
      </c>
    </row>
    <row r="363" spans="1:16">
      <c r="A363" s="41" t="str">
        <f>Data!A361</f>
        <v>PKU239</v>
      </c>
      <c r="B363" s="41" t="str">
        <f>Data!D361</f>
        <v>Vehicle, Diesel, Frontera Energy Col 2679</v>
      </c>
      <c r="C363" s="41">
        <f>Data!F361</f>
        <v>0</v>
      </c>
      <c r="D363" s="41">
        <f>Data!G361</f>
        <v>0</v>
      </c>
      <c r="E363" s="41">
        <f>Data!H361</f>
        <v>0</v>
      </c>
      <c r="F363" s="41">
        <f>Data!K361</f>
        <v>0</v>
      </c>
      <c r="G363" s="33" t="str">
        <f>Data!M361</f>
        <v>Exceso Velocidad 40 Km/h</v>
      </c>
      <c r="H363" s="41" t="str">
        <f>Data!P361</f>
        <v>ECOPETROL RUBIALES- Quifa - CAÑO SUR: Puerto Gaitan - Rubiales, Puerto Gaitán, Meta, Colombia</v>
      </c>
      <c r="I363" s="42" t="str">
        <f>Data!Q361</f>
        <v>Cliente, Vel Max 40 Km/h</v>
      </c>
      <c r="J363" s="43">
        <f>Data!S361</f>
        <v>46174.712193287138</v>
      </c>
      <c r="K363" s="44">
        <f>Data!S361</f>
        <v>46174.712193287138</v>
      </c>
      <c r="L363" s="45">
        <f>Data!T361</f>
        <v>4.9768518518518516E-5</v>
      </c>
      <c r="M363" s="46">
        <f>Data!U361</f>
        <v>4.7172155231237411E-2</v>
      </c>
      <c r="N363" s="46" t="str">
        <f>CONCATENATE(Data!W361," (",Data!V361,")")</f>
        <v>Exceso Velocidad 40 Km/h (Velocidad máxima: 41 kmh)</v>
      </c>
      <c r="O363" s="42" t="str">
        <f>IF(Data!V361&lt;&gt;"",N363,Data!W361)</f>
        <v>Exceso Velocidad 40 Km/h (Velocidad máxima: 41 kmh)</v>
      </c>
      <c r="P363" s="47" t="str">
        <f>Data!X361</f>
        <v>Válido</v>
      </c>
    </row>
    <row r="364" spans="1:16">
      <c r="A364" s="41" t="str">
        <f>Data!A362</f>
        <v>PKU239</v>
      </c>
      <c r="B364" s="41" t="str">
        <f>Data!D362</f>
        <v>Vehicle, Diesel, Frontera Energy Col 2679</v>
      </c>
      <c r="C364" s="41">
        <f>Data!F362</f>
        <v>0</v>
      </c>
      <c r="D364" s="41">
        <f>Data!G362</f>
        <v>0</v>
      </c>
      <c r="E364" s="41">
        <f>Data!H362</f>
        <v>0</v>
      </c>
      <c r="F364" s="41">
        <f>Data!K362</f>
        <v>0</v>
      </c>
      <c r="G364" s="33" t="str">
        <f>Data!M362</f>
        <v>Exceso Velocidad 10 Km/h</v>
      </c>
      <c r="H364" s="41" t="str">
        <f>Data!P362</f>
        <v>CAMPAMENTO QUIFA, ECOPETROL RUBIALES- Quifa - CAÑO SUR, Puerto Triunfo - Estacion Policia: Puerto Gaitan - Rubiales, Puerto Gaitán, Meta, Colombia</v>
      </c>
      <c r="I364" s="42" t="str">
        <f>Data!Q362</f>
        <v>Vel Max 10 Km/h, Cliente, Vel Max 40 Km/h, Vel Max 30 Km/h</v>
      </c>
      <c r="J364" s="43">
        <f>Data!S362</f>
        <v>46174.715180462961</v>
      </c>
      <c r="K364" s="44">
        <f>Data!S362</f>
        <v>46174.715180462961</v>
      </c>
      <c r="L364" s="45">
        <f>Data!T362</f>
        <v>9.731481481481482E-5</v>
      </c>
      <c r="M364" s="46">
        <f>Data!U362</f>
        <v>3.9660155773162842E-2</v>
      </c>
      <c r="N364" s="46" t="str">
        <f>CONCATENATE(Data!W362," (",Data!V362,")")</f>
        <v>Exceso Velocidad 10 Km/h (Velocidad máxima: 20 kmh)</v>
      </c>
      <c r="O364" s="42" t="str">
        <f>IF(Data!V362&lt;&gt;"",N364,Data!W362)</f>
        <v>Exceso Velocidad 10 Km/h (Velocidad máxima: 20 kmh)</v>
      </c>
      <c r="P364" s="47" t="str">
        <f>Data!X362</f>
        <v>Válido</v>
      </c>
    </row>
    <row r="365" spans="1:16">
      <c r="A365" s="41" t="str">
        <f>Data!A363</f>
        <v>PKU239</v>
      </c>
      <c r="B365" s="41" t="str">
        <f>Data!D363</f>
        <v>Vehicle, Diesel, Frontera Energy Col 2679</v>
      </c>
      <c r="C365" s="41">
        <f>Data!F363</f>
        <v>0</v>
      </c>
      <c r="D365" s="41">
        <f>Data!G363</f>
        <v>0</v>
      </c>
      <c r="E365" s="41">
        <f>Data!H363</f>
        <v>0</v>
      </c>
      <c r="F365" s="41">
        <f>Data!K363</f>
        <v>0</v>
      </c>
      <c r="G365" s="33" t="str">
        <f>Data!M363</f>
        <v>Exceso Velocidad 10 Km/h</v>
      </c>
      <c r="H365" s="41" t="str">
        <f>Data!P363</f>
        <v>CAMPAMENTO QUIFA, ECOPETROL RUBIALES- Quifa - CAÑO SUR, Puerto Triunfo - Estacion Policia: Puerto Gaitan - Rubiales, Puerto Gaitán, Meta, Colombia</v>
      </c>
      <c r="I365" s="42" t="str">
        <f>Data!Q363</f>
        <v>Vel Max 10 Km/h, Cliente, Vel Max 40 Km/h, Vel Max 30 Km/h</v>
      </c>
      <c r="J365" s="43">
        <f>Data!S363</f>
        <v>46174.715277777781</v>
      </c>
      <c r="K365" s="44">
        <f>Data!S363</f>
        <v>46174.715277777781</v>
      </c>
      <c r="L365" s="45">
        <f>Data!T363</f>
        <v>2.3478009259259258E-4</v>
      </c>
      <c r="M365" s="46">
        <f>Data!U363</f>
        <v>8.0801501870155334E-2</v>
      </c>
      <c r="N365" s="46" t="str">
        <f>CONCATENATE(Data!W363," (",Data!V363,")")</f>
        <v>Exceso Velocidad 10 Km/h (Velocidad máxima: 16 kmh)</v>
      </c>
      <c r="O365" s="42" t="str">
        <f>IF(Data!V363&lt;&gt;"",N365,Data!W363)</f>
        <v>Exceso Velocidad 10 Km/h (Velocidad máxima: 16 kmh)</v>
      </c>
      <c r="P365" s="47" t="str">
        <f>Data!X363</f>
        <v>Válido</v>
      </c>
    </row>
    <row r="366" spans="1:16">
      <c r="A366" s="41" t="str">
        <f>Data!A364</f>
        <v>PKU239</v>
      </c>
      <c r="B366" s="41" t="str">
        <f>Data!D364</f>
        <v>Vehicle, Diesel, Frontera Energy Col 2679</v>
      </c>
      <c r="C366" s="41">
        <f>Data!F364</f>
        <v>0</v>
      </c>
      <c r="D366" s="41">
        <f>Data!G364</f>
        <v>0</v>
      </c>
      <c r="E366" s="41">
        <f>Data!H364</f>
        <v>0</v>
      </c>
      <c r="F366" s="41">
        <f>Data!K364</f>
        <v>0</v>
      </c>
      <c r="G366" s="33" t="str">
        <f>Data!M364</f>
        <v>Exceso Velocidad 30 Km/h</v>
      </c>
      <c r="H366" s="41" t="str">
        <f>Data!P364</f>
        <v>ECOPETROL RUBIALES- Quifa - CAÑO SUR, Puerto Triunfo - Estacion Policia: Puerto Gaitan - Rubiales, Puerto Gaitán, Meta, Colombia</v>
      </c>
      <c r="I366" s="42" t="str">
        <f>Data!Q364</f>
        <v>Cliente, Vel Max 40 Km/h, Vel Max 30 Km/h</v>
      </c>
      <c r="J366" s="43">
        <f>Data!S364</f>
        <v>46174.716296296298</v>
      </c>
      <c r="K366" s="44">
        <f>Data!S364</f>
        <v>46174.716296296298</v>
      </c>
      <c r="L366" s="45">
        <f>Data!T364</f>
        <v>1.0031250000000001E-4</v>
      </c>
      <c r="M366" s="46">
        <f>Data!U364</f>
        <v>7.0783950388431549E-2</v>
      </c>
      <c r="N366" s="46" t="str">
        <f>CONCATENATE(Data!W364," (",Data!V364,")")</f>
        <v>Exceso Velocidad 30 Km/h (Velocidad máxima: 31 kmh)</v>
      </c>
      <c r="O366" s="42" t="str">
        <f>IF(Data!V364&lt;&gt;"",N366,Data!W364)</f>
        <v>Exceso Velocidad 30 Km/h (Velocidad máxima: 31 kmh)</v>
      </c>
      <c r="P366" s="47" t="str">
        <f>Data!X364</f>
        <v>Válido</v>
      </c>
    </row>
    <row r="367" spans="1:16">
      <c r="A367" s="41" t="str">
        <f>Data!A365</f>
        <v>PKU239</v>
      </c>
      <c r="B367" s="41" t="str">
        <f>Data!D365</f>
        <v>Vehicle, Diesel, Frontera Energy Col 2679</v>
      </c>
      <c r="C367" s="41">
        <f>Data!F365</f>
        <v>0</v>
      </c>
      <c r="D367" s="41">
        <f>Data!G365</f>
        <v>0</v>
      </c>
      <c r="E367" s="41">
        <f>Data!H365</f>
        <v>0</v>
      </c>
      <c r="F367" s="41">
        <f>Data!K365</f>
        <v>0</v>
      </c>
      <c r="G367" s="33" t="str">
        <f>Data!M365</f>
        <v>Giro brusco</v>
      </c>
      <c r="H367" s="41" t="str">
        <f>Data!P365</f>
        <v>ECOPETROL RUBIALES- Quifa - CAÑO SUR, Puerto Triunfo - Estacion Policia: Puerto Gaitan - Rubiales, Puerto Gaitán, Meta, Colombia</v>
      </c>
      <c r="I367" s="42" t="str">
        <f>Data!Q365</f>
        <v>Cliente, Vel Max 40 Km/h, Vel Max 30 Km/h</v>
      </c>
      <c r="J367" s="43">
        <f>Data!S365</f>
        <v>46174.71685449074</v>
      </c>
      <c r="K367" s="44">
        <f>Data!S365</f>
        <v>46174.71685449074</v>
      </c>
      <c r="L367" s="45">
        <f>Data!T365</f>
        <v>5.7870370370370371E-8</v>
      </c>
      <c r="M367" s="46">
        <f>Data!U365</f>
        <v>2.8372271117405035E-5</v>
      </c>
      <c r="N367" s="46" t="str">
        <f>CONCATENATE(Data!W365," (",Data!V365,")")</f>
        <v>Giro brusco (Velocidad máxima: 18 kmh Aceleración de lado a lado: -0.47 g-force, Ignición: 1.00)</v>
      </c>
      <c r="O367" s="42" t="str">
        <f>IF(Data!V365&lt;&gt;"",N367,Data!W365)</f>
        <v>Giro brusco (Velocidad máxima: 18 kmh Aceleración de lado a lado: -0.47 g-force, Ignición: 1.00)</v>
      </c>
      <c r="P367" s="47" t="str">
        <f>Data!X365</f>
        <v>Válido</v>
      </c>
    </row>
    <row r="368" spans="1:16">
      <c r="A368" s="41" t="str">
        <f>Data!A366</f>
        <v>PKU239</v>
      </c>
      <c r="B368" s="41" t="str">
        <f>Data!D366</f>
        <v>Vehicle, Diesel, Frontera Energy Col 2679</v>
      </c>
      <c r="C368" s="41">
        <f>Data!F366</f>
        <v>0</v>
      </c>
      <c r="D368" s="41">
        <f>Data!G366</f>
        <v>0</v>
      </c>
      <c r="E368" s="41">
        <f>Data!H366</f>
        <v>0</v>
      </c>
      <c r="F368" s="41">
        <f>Data!K366</f>
        <v>0</v>
      </c>
      <c r="G368" s="33" t="str">
        <f>Data!M366</f>
        <v>Exceso Velocidad 10 Km/h</v>
      </c>
      <c r="H368" s="41" t="str">
        <f>Data!P366</f>
        <v>ECOPETROL RUBIALES- Quifa - CAÑO SUR, Puerto Triunfo - Estacion Policia, PUESTRO CONTROL QUIFA: Puerto Gaitan - Rubiales, Puerto Gaitán, Meta, Colombia</v>
      </c>
      <c r="I368" s="42" t="str">
        <f>Data!Q366</f>
        <v>Cliente, Vel Max 40 Km/h, Vel Max 30 Km/h, Vel Max 10 Km/h</v>
      </c>
      <c r="J368" s="43">
        <f>Data!S366</f>
        <v>46174.717459502317</v>
      </c>
      <c r="K368" s="44">
        <f>Data!S366</f>
        <v>46174.717459502317</v>
      </c>
      <c r="L368" s="45">
        <f>Data!T366</f>
        <v>2.6393518518518519E-4</v>
      </c>
      <c r="M368" s="46">
        <f>Data!U366</f>
        <v>0.18306021392345428</v>
      </c>
      <c r="N368" s="46" t="str">
        <f>CONCATENATE(Data!W366," (",Data!V366,")")</f>
        <v>Exceso Velocidad 10 Km/h (Velocidad máxima: 30 kmh)</v>
      </c>
      <c r="O368" s="42" t="str">
        <f>IF(Data!V366&lt;&gt;"",N368,Data!W366)</f>
        <v>Exceso Velocidad 10 Km/h (Velocidad máxima: 30 kmh)</v>
      </c>
      <c r="P368" s="47" t="str">
        <f>Data!X366</f>
        <v>Válido</v>
      </c>
    </row>
    <row r="369" spans="1:16">
      <c r="A369" s="41" t="str">
        <f>Data!A367</f>
        <v>PKU239</v>
      </c>
      <c r="B369" s="41" t="str">
        <f>Data!D367</f>
        <v>Vehicle, Diesel, Frontera Energy Col 2679</v>
      </c>
      <c r="C369" s="41">
        <f>Data!F367</f>
        <v>0</v>
      </c>
      <c r="D369" s="41">
        <f>Data!G367</f>
        <v>0</v>
      </c>
      <c r="E369" s="41">
        <f>Data!H367</f>
        <v>0</v>
      </c>
      <c r="F369" s="41">
        <f>Data!K367</f>
        <v>0</v>
      </c>
      <c r="G369" s="33" t="str">
        <f>Data!M367</f>
        <v>Exceso Velocidad 30 Km/h</v>
      </c>
      <c r="H369" s="41" t="str">
        <f>Data!P367</f>
        <v>ECOPETROL RUBIALES- Quifa - CAÑO SUR, Puerto Triunfo - Estacion Policia, PUESTRO CONTROL QUIFA: Puerto Gaitan - Rubiales, Puerto Gaitán, Meta, Colombia</v>
      </c>
      <c r="I369" s="42" t="str">
        <f>Data!Q367</f>
        <v>Cliente, Vel Max 40 Km/h, Vel Max 30 Km/h, Vel Max 10 Km/h</v>
      </c>
      <c r="J369" s="43">
        <f>Data!S367</f>
        <v>46174.71769675926</v>
      </c>
      <c r="K369" s="44">
        <f>Data!S367</f>
        <v>46174.71769675926</v>
      </c>
      <c r="L369" s="45">
        <f>Data!T367</f>
        <v>7.6388888888888887E-5</v>
      </c>
      <c r="M369" s="46">
        <f>Data!U367</f>
        <v>5.4799158126115799E-2</v>
      </c>
      <c r="N369" s="46" t="str">
        <f>CONCATENATE(Data!W367," (",Data!V367,")")</f>
        <v>Exceso Velocidad 30 Km/h (Velocidad máxima: 31 kmh)</v>
      </c>
      <c r="O369" s="42" t="str">
        <f>IF(Data!V367&lt;&gt;"",N369,Data!W367)</f>
        <v>Exceso Velocidad 30 Km/h (Velocidad máxima: 31 kmh)</v>
      </c>
      <c r="P369" s="47" t="str">
        <f>Data!X367</f>
        <v>Válido</v>
      </c>
    </row>
    <row r="370" spans="1:16">
      <c r="A370" s="41" t="str">
        <f>Data!A368</f>
        <v>PKU239</v>
      </c>
      <c r="B370" s="41" t="str">
        <f>Data!D368</f>
        <v>Vehicle, Diesel, Frontera Energy Col 2679</v>
      </c>
      <c r="C370" s="41">
        <f>Data!F368</f>
        <v>0</v>
      </c>
      <c r="D370" s="41">
        <f>Data!G368</f>
        <v>0</v>
      </c>
      <c r="E370" s="41">
        <f>Data!H368</f>
        <v>0</v>
      </c>
      <c r="F370" s="41">
        <f>Data!K368</f>
        <v>0</v>
      </c>
      <c r="G370" s="33" t="str">
        <f>Data!M368</f>
        <v>Exceso Velocidad 30 Km/h</v>
      </c>
      <c r="H370" s="41" t="str">
        <f>Data!P368</f>
        <v>ECOPETROL RUBIALES- Quifa - CAÑO SUR, Puerto Triunfo - Estacion Policia: Puerto Gaitan - Rubiales, Puerto Gaitán, Meta, Colombia</v>
      </c>
      <c r="I370" s="42" t="str">
        <f>Data!Q368</f>
        <v>Cliente, Vel Max 40 Km/h, Vel Max 30 Km/h</v>
      </c>
      <c r="J370" s="43">
        <f>Data!S368</f>
        <v>46174.717903807868</v>
      </c>
      <c r="K370" s="44">
        <f>Data!S368</f>
        <v>46174.717903807868</v>
      </c>
      <c r="L370" s="45">
        <f>Data!T368</f>
        <v>1.4789351851851853E-4</v>
      </c>
      <c r="M370" s="46">
        <f>Data!U368</f>
        <v>0.11562753468751907</v>
      </c>
      <c r="N370" s="46" t="str">
        <f>CONCATENATE(Data!W368," (",Data!V368,")")</f>
        <v>Exceso Velocidad 30 Km/h (Velocidad máxima: 35 kmh)</v>
      </c>
      <c r="O370" s="42" t="str">
        <f>IF(Data!V368&lt;&gt;"",N370,Data!W368)</f>
        <v>Exceso Velocidad 30 Km/h (Velocidad máxima: 35 kmh)</v>
      </c>
      <c r="P370" s="47" t="str">
        <f>Data!X368</f>
        <v>Válido</v>
      </c>
    </row>
    <row r="371" spans="1:16">
      <c r="A371" s="41" t="str">
        <f>Data!A369</f>
        <v>PKU239</v>
      </c>
      <c r="B371" s="41" t="str">
        <f>Data!D369</f>
        <v>Vehicle, Diesel, Frontera Energy Col 2679</v>
      </c>
      <c r="C371" s="41">
        <f>Data!F369</f>
        <v>0</v>
      </c>
      <c r="D371" s="41">
        <f>Data!G369</f>
        <v>0</v>
      </c>
      <c r="E371" s="41">
        <f>Data!H369</f>
        <v>0</v>
      </c>
      <c r="F371" s="41">
        <f>Data!K369</f>
        <v>0</v>
      </c>
      <c r="G371" s="33" t="str">
        <f>Data!M369</f>
        <v>Exceso Velocidad 30 Km/h</v>
      </c>
      <c r="H371" s="41" t="str">
        <f>Data!P369</f>
        <v>ECOPETROL RUBIALES- Quifa - CAÑO SUR, Puerto Triunfo - Estacion Policia: Puerto Gaitan - Rubiales, Puerto Gaitán, Meta, Colombia</v>
      </c>
      <c r="I371" s="42" t="str">
        <f>Data!Q369</f>
        <v>Cliente, Vel Max 40 Km/h, Vel Max 30 Km/h</v>
      </c>
      <c r="J371" s="43">
        <f>Data!S369</f>
        <v>46174.718341597225</v>
      </c>
      <c r="K371" s="44">
        <f>Data!S369</f>
        <v>46174.718341597225</v>
      </c>
      <c r="L371" s="45">
        <f>Data!T369</f>
        <v>3.8032407407407409E-5</v>
      </c>
      <c r="M371" s="46">
        <f>Data!U369</f>
        <v>2.6324890553951263E-2</v>
      </c>
      <c r="N371" s="46" t="str">
        <f>CONCATENATE(Data!W369," (",Data!V369,")")</f>
        <v>Exceso Velocidad 30 Km/h (Velocidad máxima: 31 kmh)</v>
      </c>
      <c r="O371" s="42" t="str">
        <f>IF(Data!V369&lt;&gt;"",N371,Data!W369)</f>
        <v>Exceso Velocidad 30 Km/h (Velocidad máxima: 31 kmh)</v>
      </c>
      <c r="P371" s="47" t="str">
        <f>Data!X369</f>
        <v>Válido</v>
      </c>
    </row>
    <row r="372" spans="1:16">
      <c r="A372" s="41" t="str">
        <f>Data!A370</f>
        <v>PKU239</v>
      </c>
      <c r="B372" s="41" t="str">
        <f>Data!D370</f>
        <v>Vehicle, Diesel, Frontera Energy Col 2679</v>
      </c>
      <c r="C372" s="41">
        <f>Data!F370</f>
        <v>0</v>
      </c>
      <c r="D372" s="41">
        <f>Data!G370</f>
        <v>0</v>
      </c>
      <c r="E372" s="41">
        <f>Data!H370</f>
        <v>0</v>
      </c>
      <c r="F372" s="41">
        <f>Data!K370</f>
        <v>0</v>
      </c>
      <c r="G372" s="33" t="str">
        <f>Data!M370</f>
        <v>Exceso Velocidad 30 Km/h</v>
      </c>
      <c r="H372" s="41" t="str">
        <f>Data!P370</f>
        <v>ECOPETROL RUBIALES- Quifa - CAÑO SUR, Puerto Triunfo - Estacion Policia: Puerto Gaitan - Rubiales, Puerto Gaitán, Meta, Colombia</v>
      </c>
      <c r="I372" s="42" t="str">
        <f>Data!Q370</f>
        <v>Cliente, Vel Max 40 Km/h, Vel Max 30 Km/h</v>
      </c>
      <c r="J372" s="43">
        <f>Data!S370</f>
        <v>46174.718527777775</v>
      </c>
      <c r="K372" s="44">
        <f>Data!S370</f>
        <v>46174.718527777775</v>
      </c>
      <c r="L372" s="45">
        <f>Data!T370</f>
        <v>2.9827546296296297E-4</v>
      </c>
      <c r="M372" s="46">
        <f>Data!U370</f>
        <v>0.22489573061466217</v>
      </c>
      <c r="N372" s="46" t="str">
        <f>CONCATENATE(Data!W370," (",Data!V370,")")</f>
        <v>Exceso Velocidad 30 Km/h (Velocidad máxima: 33 kmh)</v>
      </c>
      <c r="O372" s="42" t="str">
        <f>IF(Data!V370&lt;&gt;"",N372,Data!W370)</f>
        <v>Exceso Velocidad 30 Km/h (Velocidad máxima: 33 kmh)</v>
      </c>
      <c r="P372" s="47" t="str">
        <f>Data!X370</f>
        <v>Válido</v>
      </c>
    </row>
    <row r="373" spans="1:16">
      <c r="A373" s="41" t="str">
        <f>Data!A371</f>
        <v>PKU239</v>
      </c>
      <c r="B373" s="41" t="str">
        <f>Data!D371</f>
        <v>Vehicle, Diesel, Frontera Energy Col 2679</v>
      </c>
      <c r="C373" s="41">
        <f>Data!F371</f>
        <v>0</v>
      </c>
      <c r="D373" s="41">
        <f>Data!G371</f>
        <v>0</v>
      </c>
      <c r="E373" s="41">
        <f>Data!H371</f>
        <v>0</v>
      </c>
      <c r="F373" s="41">
        <f>Data!K371</f>
        <v>0</v>
      </c>
      <c r="G373" s="33" t="str">
        <f>Data!M371</f>
        <v>Exceso Velocidad 30 Km/h</v>
      </c>
      <c r="H373" s="41" t="str">
        <f>Data!P371</f>
        <v>ECOPETROL RUBIALES- Quifa - CAÑO SUR, Puerto Triunfo - Estacion Policia: Puerto Gaitan - Rubiales, Puerto Gaitán, Meta, Colombia</v>
      </c>
      <c r="I373" s="42" t="str">
        <f>Data!Q371</f>
        <v>Cliente, Vel Max 40 Km/h, Vel Max 30 Km/h</v>
      </c>
      <c r="J373" s="43">
        <f>Data!S371</f>
        <v>46174.726041666669</v>
      </c>
      <c r="K373" s="44">
        <f>Data!S371</f>
        <v>46174.726041666669</v>
      </c>
      <c r="L373" s="45">
        <f>Data!T371</f>
        <v>5.2604166666666667E-5</v>
      </c>
      <c r="M373" s="46">
        <f>Data!U371</f>
        <v>3.7004783749580383E-2</v>
      </c>
      <c r="N373" s="46" t="str">
        <f>CONCATENATE(Data!W371," (",Data!V371,")")</f>
        <v>Exceso Velocidad 30 Km/h (Velocidad máxima: 31 kmh)</v>
      </c>
      <c r="O373" s="42" t="str">
        <f>IF(Data!V371&lt;&gt;"",N373,Data!W371)</f>
        <v>Exceso Velocidad 30 Km/h (Velocidad máxima: 31 kmh)</v>
      </c>
      <c r="P373" s="47" t="str">
        <f>Data!X371</f>
        <v>Válido</v>
      </c>
    </row>
    <row r="374" spans="1:16">
      <c r="A374" s="41" t="str">
        <f>Data!A372</f>
        <v>PKU239</v>
      </c>
      <c r="B374" s="41" t="str">
        <f>Data!D372</f>
        <v>Vehicle, Diesel, Frontera Energy Col 2679</v>
      </c>
      <c r="C374" s="41">
        <f>Data!F372</f>
        <v>0</v>
      </c>
      <c r="D374" s="41">
        <f>Data!G372</f>
        <v>0</v>
      </c>
      <c r="E374" s="41">
        <f>Data!H372</f>
        <v>0</v>
      </c>
      <c r="F374" s="41">
        <f>Data!K372</f>
        <v>0</v>
      </c>
      <c r="G374" s="33" t="str">
        <f>Data!M372</f>
        <v>Exceso Velocidad 10 Km/h</v>
      </c>
      <c r="H374" s="41" t="str">
        <f>Data!P372</f>
        <v>ECOPETROL RUBIALES- Quifa - CAÑO SUR, Puerto Triunfo - Estacion Policia, PUESTRO CONTROL QUIFA: Puerto Gaitan - Rubiales, Puerto Gaitán, Meta, Colombia</v>
      </c>
      <c r="I374" s="42" t="str">
        <f>Data!Q372</f>
        <v>Cliente, Vel Max 40 Km/h, Vel Max 30 Km/h, Vel Max 10 Km/h</v>
      </c>
      <c r="J374" s="43">
        <f>Data!S372</f>
        <v>46174.72632613426</v>
      </c>
      <c r="K374" s="44">
        <f>Data!S372</f>
        <v>46174.72632613426</v>
      </c>
      <c r="L374" s="45">
        <f>Data!T372</f>
        <v>3.5224537037037039E-4</v>
      </c>
      <c r="M374" s="46">
        <f>Data!U372</f>
        <v>0.18268090486526489</v>
      </c>
      <c r="N374" s="46" t="str">
        <f>CONCATENATE(Data!W372," (",Data!V372,")")</f>
        <v>Exceso Velocidad 10 Km/h (Velocidad máxima: 24 kmh)</v>
      </c>
      <c r="O374" s="42" t="str">
        <f>IF(Data!V372&lt;&gt;"",N374,Data!W372)</f>
        <v>Exceso Velocidad 10 Km/h (Velocidad máxima: 24 kmh)</v>
      </c>
      <c r="P374" s="47" t="str">
        <f>Data!X372</f>
        <v>Válido</v>
      </c>
    </row>
    <row r="375" spans="1:16">
      <c r="A375" s="41" t="str">
        <f>Data!A373</f>
        <v>PKU239</v>
      </c>
      <c r="B375" s="41" t="str">
        <f>Data!D373</f>
        <v>Vehicle, Diesel, Frontera Energy Col 2679</v>
      </c>
      <c r="C375" s="41">
        <f>Data!F373</f>
        <v>0</v>
      </c>
      <c r="D375" s="41">
        <f>Data!G373</f>
        <v>0</v>
      </c>
      <c r="E375" s="41">
        <f>Data!H373</f>
        <v>0</v>
      </c>
      <c r="F375" s="41">
        <f>Data!K373</f>
        <v>0</v>
      </c>
      <c r="G375" s="33" t="str">
        <f>Data!M373</f>
        <v>Exceso Velocidad 30 Km/h</v>
      </c>
      <c r="H375" s="41" t="str">
        <f>Data!P373</f>
        <v>ECOPETROL RUBIALES- Quifa - CAÑO SUR, Puerto Triunfo - Estacion Policia: Puerto Gaitan - Rubiales, Puerto Gaitán, Meta, Colombia</v>
      </c>
      <c r="I375" s="42" t="str">
        <f>Data!Q373</f>
        <v>Cliente, Vel Max 40 Km/h, Vel Max 30 Km/h</v>
      </c>
      <c r="J375" s="43">
        <f>Data!S373</f>
        <v>46174.727951388886</v>
      </c>
      <c r="K375" s="44">
        <f>Data!S373</f>
        <v>46174.727951388886</v>
      </c>
      <c r="L375" s="45">
        <f>Data!T373</f>
        <v>1.2346064814814815E-4</v>
      </c>
      <c r="M375" s="46">
        <f>Data!U373</f>
        <v>8.9903213083744049E-2</v>
      </c>
      <c r="N375" s="46" t="str">
        <f>CONCATENATE(Data!W373," (",Data!V373,")")</f>
        <v>Exceso Velocidad 30 Km/h (Velocidad máxima: 31 kmh)</v>
      </c>
      <c r="O375" s="42" t="str">
        <f>IF(Data!V373&lt;&gt;"",N375,Data!W373)</f>
        <v>Exceso Velocidad 30 Km/h (Velocidad máxima: 31 kmh)</v>
      </c>
      <c r="P375" s="47" t="str">
        <f>Data!X373</f>
        <v>Válido</v>
      </c>
    </row>
    <row r="376" spans="1:16">
      <c r="A376" s="41" t="str">
        <f>Data!A374</f>
        <v>PKU239</v>
      </c>
      <c r="B376" s="41" t="str">
        <f>Data!D374</f>
        <v>Vehicle, Diesel, Frontera Energy Col 2679</v>
      </c>
      <c r="C376" s="41">
        <f>Data!F374</f>
        <v>0</v>
      </c>
      <c r="D376" s="41">
        <f>Data!G374</f>
        <v>0</v>
      </c>
      <c r="E376" s="41">
        <f>Data!H374</f>
        <v>0</v>
      </c>
      <c r="F376" s="41">
        <f>Data!K374</f>
        <v>0</v>
      </c>
      <c r="G376" s="33" t="str">
        <f>Data!M374</f>
        <v>Exceso Velocidad 10 Km/h</v>
      </c>
      <c r="H376" s="41" t="str">
        <f>Data!P374</f>
        <v>CAMPAMENTO QUIFA, ECOPETROL RUBIALES- Quifa - CAÑO SUR, Puerto Gaitan - Rubiales, Puerto Gaitán, Meta, Colombia, Campamento Quifa - CMA: Puerto Gaitan - Rubiales, Puerto Gaitán, Meta, Colombia</v>
      </c>
      <c r="I376" s="42" t="str">
        <f>Data!Q374</f>
        <v>Vel Max 10 Km/h, Cliente, Vel Max 40 Km/h, Centro de servicios del proveedor</v>
      </c>
      <c r="J376" s="43">
        <f>Data!S374</f>
        <v>46174.735034722224</v>
      </c>
      <c r="K376" s="44">
        <f>Data!S374</f>
        <v>46174.735034722224</v>
      </c>
      <c r="L376" s="45">
        <f>Data!T374</f>
        <v>6.9444444444444444E-5</v>
      </c>
      <c r="M376" s="46">
        <f>Data!U374</f>
        <v>1.630362868309021E-2</v>
      </c>
      <c r="N376" s="46" t="str">
        <f>CONCATENATE(Data!W374," (",Data!V374,")")</f>
        <v>Exceso Velocidad 10 Km/h (Velocidad máxima: 12 kmh)</v>
      </c>
      <c r="O376" s="42" t="str">
        <f>IF(Data!V374&lt;&gt;"",N376,Data!W374)</f>
        <v>Exceso Velocidad 10 Km/h (Velocidad máxima: 12 kmh)</v>
      </c>
      <c r="P376" s="47" t="str">
        <f>Data!X374</f>
        <v>Válido</v>
      </c>
    </row>
    <row r="377" spans="1:16">
      <c r="A377" s="41" t="str">
        <f>Data!A375</f>
        <v>PKU239</v>
      </c>
      <c r="B377" s="41" t="str">
        <f>Data!D375</f>
        <v>Vehicle, Diesel, Frontera Energy Col 2679</v>
      </c>
      <c r="C377" s="41">
        <f>Data!F375</f>
        <v>0</v>
      </c>
      <c r="D377" s="41">
        <f>Data!G375</f>
        <v>0</v>
      </c>
      <c r="E377" s="41">
        <f>Data!H375</f>
        <v>0</v>
      </c>
      <c r="F377" s="41">
        <f>Data!K375</f>
        <v>0</v>
      </c>
      <c r="G377" s="33" t="str">
        <f>Data!M375</f>
        <v>Exceso Velocidad 10 Km/h</v>
      </c>
      <c r="H377" s="41" t="str">
        <f>Data!P375</f>
        <v>CAMPAMENTO QUIFA, ECOPETROL RUBIALES- Quifa - CAÑO SUR, Puerto Gaitan - Rubiales, Puerto Gaitán, Meta, Colombia, Campamento Quifa - CMA: Ent. CAMPAMENTO, Puerto Gaitán, Meta, Colombia</v>
      </c>
      <c r="I377" s="42" t="str">
        <f>Data!Q375</f>
        <v>Vel Max 10 Km/h, Cliente, Vel Max 40 Km/h, Centro de servicios del proveedor</v>
      </c>
      <c r="J377" s="43">
        <f>Data!S375</f>
        <v>46174.756701388891</v>
      </c>
      <c r="K377" s="44">
        <f>Data!S375</f>
        <v>46174.756701388891</v>
      </c>
      <c r="L377" s="45">
        <f>Data!T375</f>
        <v>1.7361211111111111E-5</v>
      </c>
      <c r="M377" s="46">
        <f>Data!U375</f>
        <v>4.1178828105330467E-3</v>
      </c>
      <c r="N377" s="46" t="str">
        <f>CONCATENATE(Data!W375," (",Data!V375,")")</f>
        <v>Exceso Velocidad 10 Km/h (Velocidad máxima: 11 kmh)</v>
      </c>
      <c r="O377" s="42" t="str">
        <f>IF(Data!V375&lt;&gt;"",N377,Data!W375)</f>
        <v>Exceso Velocidad 10 Km/h (Velocidad máxima: 11 kmh)</v>
      </c>
      <c r="P377" s="47" t="str">
        <f>Data!X375</f>
        <v>Válido</v>
      </c>
    </row>
    <row r="378" spans="1:16">
      <c r="A378" s="41" t="str">
        <f>Data!A376</f>
        <v>PKU239</v>
      </c>
      <c r="B378" s="41" t="str">
        <f>Data!D376</f>
        <v>Vehicle, Diesel, Frontera Energy Col 2679</v>
      </c>
      <c r="C378" s="41">
        <f>Data!F376</f>
        <v>0</v>
      </c>
      <c r="D378" s="41">
        <f>Data!G376</f>
        <v>0</v>
      </c>
      <c r="E378" s="41">
        <f>Data!H376</f>
        <v>0</v>
      </c>
      <c r="F378" s="41">
        <f>Data!K376</f>
        <v>0</v>
      </c>
      <c r="G378" s="33" t="str">
        <f>Data!M376</f>
        <v>Exceso de velocidad (nuevo)</v>
      </c>
      <c r="H378" s="41" t="str">
        <f>Data!P376</f>
        <v>ECOPETROL RUBIALES- Quifa - CAÑO SUR, Puerto Triunfo - Estacion Policia: Puerto Gaitan - Rubiales, Puerto Gaitán, Meta, Colombia</v>
      </c>
      <c r="I378" s="42" t="str">
        <f>Data!Q376</f>
        <v>Cliente, Vel Max 40 Km/h, Vel Max 30 Km/h</v>
      </c>
      <c r="J378" s="43">
        <f>Data!S376</f>
        <v>46174.759062500001</v>
      </c>
      <c r="K378" s="44">
        <f>Data!S376</f>
        <v>46174.759062500001</v>
      </c>
      <c r="L378" s="45">
        <f>Data!T376</f>
        <v>5.9991898148148144E-4</v>
      </c>
      <c r="M378" s="46">
        <f>Data!U376</f>
        <v>0.30668511986732483</v>
      </c>
      <c r="N378" s="46" t="str">
        <f>CONCATENATE(Data!W376," (",Data!V376,")")</f>
        <v>Exceso de velocidad (nuevo) (Velocidad máxima: 28 kmh (Velocidad máxima en carretera: 7 kmh))</v>
      </c>
      <c r="O378" s="42" t="str">
        <f>IF(Data!V376&lt;&gt;"",N378,Data!W376)</f>
        <v>Exceso de velocidad (nuevo) (Velocidad máxima: 28 kmh (Velocidad máxima en carretera: 7 kmh))</v>
      </c>
      <c r="P378" s="47" t="str">
        <f>Data!X376</f>
        <v>Válido</v>
      </c>
    </row>
    <row r="379" spans="1:16">
      <c r="A379" s="41" t="str">
        <f>Data!A377</f>
        <v>PKU239</v>
      </c>
      <c r="B379" s="41" t="str">
        <f>Data!D377</f>
        <v>Vehicle, Diesel, Frontera Energy Col 2679</v>
      </c>
      <c r="C379" s="41">
        <f>Data!F377</f>
        <v>0</v>
      </c>
      <c r="D379" s="41">
        <f>Data!G377</f>
        <v>0</v>
      </c>
      <c r="E379" s="41">
        <f>Data!H377</f>
        <v>0</v>
      </c>
      <c r="F379" s="41">
        <f>Data!K377</f>
        <v>0</v>
      </c>
      <c r="G379" s="33" t="str">
        <f>Data!M377</f>
        <v>Exceso Velocidad 10 Km/h</v>
      </c>
      <c r="H379" s="41" t="str">
        <f>Data!P377</f>
        <v>ECOPETROL RUBIALES- Quifa - CAÑO SUR, Centralizado de combustible Quifa: Vía Sin Nombre, Puerto Gaitán, Meta, Colombia</v>
      </c>
      <c r="I379" s="42" t="str">
        <f>Data!Q377</f>
        <v>Cliente, Vel Max 40 Km/h, Vel Max 10 Km/h</v>
      </c>
      <c r="J379" s="43">
        <f>Data!S377</f>
        <v>46174.75972263889</v>
      </c>
      <c r="K379" s="44">
        <f>Data!S377</f>
        <v>46174.75972263889</v>
      </c>
      <c r="L379" s="45">
        <f>Data!T377</f>
        <v>2.3491898148148149E-4</v>
      </c>
      <c r="M379" s="46">
        <f>Data!U377</f>
        <v>8.2810245454311371E-2</v>
      </c>
      <c r="N379" s="46" t="str">
        <f>CONCATENATE(Data!W377," (",Data!V377,")")</f>
        <v>Exceso Velocidad 10 Km/h (Velocidad máxima: 18 kmh)</v>
      </c>
      <c r="O379" s="42" t="str">
        <f>IF(Data!V377&lt;&gt;"",N379,Data!W377)</f>
        <v>Exceso Velocidad 10 Km/h (Velocidad máxima: 18 kmh)</v>
      </c>
      <c r="P379" s="47" t="str">
        <f>Data!X377</f>
        <v>Válido</v>
      </c>
    </row>
    <row r="380" spans="1:16">
      <c r="A380" s="41" t="str">
        <f>Data!A378</f>
        <v>PKU239</v>
      </c>
      <c r="B380" s="41" t="str">
        <f>Data!D378</f>
        <v>Vehicle, Diesel, Frontera Energy Col 2679</v>
      </c>
      <c r="C380" s="41">
        <f>Data!F378</f>
        <v>0</v>
      </c>
      <c r="D380" s="41">
        <f>Data!G378</f>
        <v>0</v>
      </c>
      <c r="E380" s="41">
        <f>Data!H378</f>
        <v>0</v>
      </c>
      <c r="F380" s="41">
        <f>Data!K378</f>
        <v>0</v>
      </c>
      <c r="G380" s="33" t="str">
        <f>Data!M378</f>
        <v>Exceso Velocidad 10 Km/h</v>
      </c>
      <c r="H380" s="41" t="str">
        <f>Data!P378</f>
        <v>ECOPETROL RUBIALES- Quifa - CAÑO SUR, Centralizado de combustible Quifa: Vía Sin Nombre, Puerto Gaitán, Meta, Colombia</v>
      </c>
      <c r="I380" s="42" t="str">
        <f>Data!Q378</f>
        <v>Cliente, Vel Max 40 Km/h, Vel Max 10 Km/h</v>
      </c>
      <c r="J380" s="43">
        <f>Data!S378</f>
        <v>46174.760125659719</v>
      </c>
      <c r="K380" s="44">
        <f>Data!S378</f>
        <v>46174.760125659719</v>
      </c>
      <c r="L380" s="45">
        <f>Data!T378</f>
        <v>7.1099537037037038E-5</v>
      </c>
      <c r="M380" s="46">
        <f>Data!U378</f>
        <v>1.8350647762417793E-2</v>
      </c>
      <c r="N380" s="46" t="str">
        <f>CONCATENATE(Data!W378," (",Data!V378,")")</f>
        <v>Exceso Velocidad 10 Km/h (Velocidad máxima: 13 kmh)</v>
      </c>
      <c r="O380" s="42" t="str">
        <f>IF(Data!V378&lt;&gt;"",N380,Data!W378)</f>
        <v>Exceso Velocidad 10 Km/h (Velocidad máxima: 13 kmh)</v>
      </c>
      <c r="P380" s="47" t="str">
        <f>Data!X378</f>
        <v>Válido</v>
      </c>
    </row>
    <row r="381" spans="1:16">
      <c r="A381" s="41" t="str">
        <f>Data!A379</f>
        <v>PKU239</v>
      </c>
      <c r="B381" s="41" t="str">
        <f>Data!D379</f>
        <v>Vehicle, Diesel, Frontera Energy Col 2679</v>
      </c>
      <c r="C381" s="41">
        <f>Data!F379</f>
        <v>0</v>
      </c>
      <c r="D381" s="41">
        <f>Data!G379</f>
        <v>0</v>
      </c>
      <c r="E381" s="41">
        <f>Data!H379</f>
        <v>0</v>
      </c>
      <c r="F381" s="41">
        <f>Data!K379</f>
        <v>0</v>
      </c>
      <c r="G381" s="33" t="str">
        <f>Data!M379</f>
        <v>Tiempo en ralentí</v>
      </c>
      <c r="H381" s="41" t="str">
        <f>Data!P379</f>
        <v>ECOPETROL RUBIALES- Quifa - CAÑO SUR, Centralizado de combustible Quifa: Vía Sin Nombre, Puerto Gaitán, Meta, Colombia</v>
      </c>
      <c r="I381" s="42" t="str">
        <f>Data!Q379</f>
        <v>Cliente, Vel Max 40 Km/h, Vel Max 10 Km/h</v>
      </c>
      <c r="J381" s="43">
        <f>Data!S379</f>
        <v>46174.760555555556</v>
      </c>
      <c r="K381" s="44">
        <f>Data!S379</f>
        <v>46174.760555555556</v>
      </c>
      <c r="L381" s="45">
        <f>Data!T379</f>
        <v>3.5185185185185185E-3</v>
      </c>
      <c r="M381" s="46">
        <f>Data!U379</f>
        <v>0</v>
      </c>
      <c r="N381" s="46" t="str">
        <f>CONCATENATE(Data!W379," (",Data!V379,")")</f>
        <v>Tiempo en ralentí (Ignición: 1.00)</v>
      </c>
      <c r="O381" s="42" t="str">
        <f>IF(Data!V379&lt;&gt;"",N381,Data!W379)</f>
        <v>Tiempo en ralentí (Ignición: 1.00)</v>
      </c>
      <c r="P381" s="47" t="str">
        <f>Data!X379</f>
        <v>Válido</v>
      </c>
    </row>
    <row r="382" spans="1:16">
      <c r="A382" s="41" t="str">
        <f>Data!A380</f>
        <v>PKU239</v>
      </c>
      <c r="B382" s="41" t="str">
        <f>Data!D380</f>
        <v>Vehicle, Diesel, Frontera Energy Col 2679</v>
      </c>
      <c r="C382" s="41">
        <f>Data!F380</f>
        <v>0</v>
      </c>
      <c r="D382" s="41">
        <f>Data!G380</f>
        <v>0</v>
      </c>
      <c r="E382" s="41">
        <f>Data!H380</f>
        <v>0</v>
      </c>
      <c r="F382" s="41">
        <f>Data!K380</f>
        <v>0</v>
      </c>
      <c r="G382" s="33" t="str">
        <f>Data!M380</f>
        <v>Exceso Velocidad 10 Km/h</v>
      </c>
      <c r="H382" s="41" t="str">
        <f>Data!P380</f>
        <v>ECOPETROL RUBIALES- Quifa - CAÑO SUR, Centralizado de combustible Quifa: Vía Sin Nombre, Puerto Gaitán, Meta, Colombia</v>
      </c>
      <c r="I382" s="42" t="str">
        <f>Data!Q380</f>
        <v>Cliente, Vel Max 40 Km/h, Vel Max 10 Km/h</v>
      </c>
      <c r="J382" s="43">
        <f>Data!S380</f>
        <v>46174.76558738426</v>
      </c>
      <c r="K382" s="44">
        <f>Data!S380</f>
        <v>46174.76558738426</v>
      </c>
      <c r="L382" s="45">
        <f>Data!T380</f>
        <v>2.9166666666666669E-4</v>
      </c>
      <c r="M382" s="46">
        <f>Data!U380</f>
        <v>9.3228161334991455E-2</v>
      </c>
      <c r="N382" s="46" t="str">
        <f>CONCATENATE(Data!W380," (",Data!V380,")")</f>
        <v>Exceso Velocidad 10 Km/h (Velocidad máxima: 15 kmh)</v>
      </c>
      <c r="O382" s="42" t="str">
        <f>IF(Data!V380&lt;&gt;"",N382,Data!W380)</f>
        <v>Exceso Velocidad 10 Km/h (Velocidad máxima: 15 kmh)</v>
      </c>
      <c r="P382" s="47" t="str">
        <f>Data!X380</f>
        <v>Válido</v>
      </c>
    </row>
    <row r="383" spans="1:16">
      <c r="A383" s="41" t="str">
        <f>Data!A381</f>
        <v>PKU239</v>
      </c>
      <c r="B383" s="41" t="str">
        <f>Data!D381</f>
        <v>Vehicle, Diesel, Frontera Energy Col 2679</v>
      </c>
      <c r="C383" s="41">
        <f>Data!F381</f>
        <v>0</v>
      </c>
      <c r="D383" s="41">
        <f>Data!G381</f>
        <v>0</v>
      </c>
      <c r="E383" s="41">
        <f>Data!H381</f>
        <v>0</v>
      </c>
      <c r="F383" s="41">
        <f>Data!K381</f>
        <v>0</v>
      </c>
      <c r="G383" s="33" t="str">
        <f>Data!M381</f>
        <v>Exceso de velocidad (nuevo)</v>
      </c>
      <c r="H383" s="41" t="str">
        <f>Data!P381</f>
        <v>ECOPETROL RUBIALES- Quifa - CAÑO SUR: Puerto Gaitan - Rubiales, Puerto Gaitán, Meta, Colombia</v>
      </c>
      <c r="I383" s="42" t="str">
        <f>Data!Q381</f>
        <v>Cliente, Vel Max 40 Km/h</v>
      </c>
      <c r="J383" s="43">
        <f>Data!S381</f>
        <v>46174.765975312497</v>
      </c>
      <c r="K383" s="44">
        <f>Data!S381</f>
        <v>46174.765975312497</v>
      </c>
      <c r="L383" s="45">
        <f>Data!T381</f>
        <v>6.5663194444444449E-4</v>
      </c>
      <c r="M383" s="46">
        <f>Data!U381</f>
        <v>0.32938644289970398</v>
      </c>
      <c r="N383" s="46" t="str">
        <f>CONCATENATE(Data!W381," (",Data!V381,")")</f>
        <v>Exceso de velocidad (nuevo) (Velocidad máxima: 28 kmh (Velocidad máxima en carretera: 7 kmh))</v>
      </c>
      <c r="O383" s="42" t="str">
        <f>IF(Data!V381&lt;&gt;"",N383,Data!W381)</f>
        <v>Exceso de velocidad (nuevo) (Velocidad máxima: 28 kmh (Velocidad máxima en carretera: 7 kmh))</v>
      </c>
      <c r="P383" s="47" t="str">
        <f>Data!X381</f>
        <v>Válido</v>
      </c>
    </row>
    <row r="384" spans="1:16">
      <c r="A384" s="41" t="str">
        <f>Data!A382</f>
        <v>PKU239</v>
      </c>
      <c r="B384" s="41" t="str">
        <f>Data!D382</f>
        <v>Vehicle, Diesel, Frontera Energy Col 2679</v>
      </c>
      <c r="C384" s="41">
        <f>Data!F382</f>
        <v>0</v>
      </c>
      <c r="D384" s="41">
        <f>Data!G382</f>
        <v>0</v>
      </c>
      <c r="E384" s="41">
        <f>Data!H382</f>
        <v>0</v>
      </c>
      <c r="F384" s="41">
        <f>Data!K382</f>
        <v>0</v>
      </c>
      <c r="G384" s="33" t="str">
        <f>Data!M382</f>
        <v>Exceso Velocidad 10 Km/h</v>
      </c>
      <c r="H384" s="41" t="str">
        <f>Data!P382</f>
        <v>ECOPETROL RUBIALES- Quifa - CAÑO SUR, Puerto Triunfo - Estacion Policia, PUESTRO CONTROL QUIFA: Puerto Gaitan - Rubiales, Puerto Gaitán, Meta, Colombia</v>
      </c>
      <c r="I384" s="42" t="str">
        <f>Data!Q382</f>
        <v>Cliente, Vel Max 40 Km/h, Vel Max 30 Km/h, Vel Max 10 Km/h</v>
      </c>
      <c r="J384" s="43">
        <f>Data!S382</f>
        <v>46174.766785717591</v>
      </c>
      <c r="K384" s="44">
        <f>Data!S382</f>
        <v>46174.766785717591</v>
      </c>
      <c r="L384" s="45">
        <f>Data!T382</f>
        <v>5.6767361111111113E-4</v>
      </c>
      <c r="M384" s="46">
        <f>Data!U382</f>
        <v>0.25973892211914063</v>
      </c>
      <c r="N384" s="46" t="str">
        <f>CONCATENATE(Data!W382," (",Data!V382,")")</f>
        <v>Exceso Velocidad 10 Km/h (Velocidad máxima: 29 kmh)</v>
      </c>
      <c r="O384" s="42" t="str">
        <f>IF(Data!V382&lt;&gt;"",N384,Data!W382)</f>
        <v>Exceso Velocidad 10 Km/h (Velocidad máxima: 29 kmh)</v>
      </c>
      <c r="P384" s="47" t="str">
        <f>Data!X382</f>
        <v>Válido</v>
      </c>
    </row>
    <row r="385" spans="1:16">
      <c r="A385" s="41" t="str">
        <f>Data!A383</f>
        <v>PKU239</v>
      </c>
      <c r="B385" s="41" t="str">
        <f>Data!D383</f>
        <v>Vehicle, Diesel, Frontera Energy Col 2679</v>
      </c>
      <c r="C385" s="41">
        <f>Data!F383</f>
        <v>0</v>
      </c>
      <c r="D385" s="41">
        <f>Data!G383</f>
        <v>0</v>
      </c>
      <c r="E385" s="41">
        <f>Data!H383</f>
        <v>0</v>
      </c>
      <c r="F385" s="41">
        <f>Data!K383</f>
        <v>0</v>
      </c>
      <c r="G385" s="33" t="str">
        <f>Data!M383</f>
        <v>Exceso Velocidad 10 Km/h</v>
      </c>
      <c r="H385" s="41" t="str">
        <f>Data!P383</f>
        <v>ECOPETROL RUBIALES- Quifa - CAÑO SUR, Puerto Triunfo - Estacion Policia, PUESTRO CONTROL QUIFA: Puerto Gaitan - Rubiales, Puerto Gaitán, Meta, Colombia</v>
      </c>
      <c r="I385" s="42" t="str">
        <f>Data!Q383</f>
        <v>Cliente, Vel Max 40 Km/h, Vel Max 30 Km/h, Vel Max 10 Km/h</v>
      </c>
      <c r="J385" s="43">
        <f>Data!S383</f>
        <v>46174.769533726852</v>
      </c>
      <c r="K385" s="44">
        <f>Data!S383</f>
        <v>46174.769533726852</v>
      </c>
      <c r="L385" s="45">
        <f>Data!T383</f>
        <v>1.8024305555555556E-4</v>
      </c>
      <c r="M385" s="46">
        <f>Data!U383</f>
        <v>7.2291716933250427E-2</v>
      </c>
      <c r="N385" s="46" t="str">
        <f>CONCATENATE(Data!W383," (",Data!V383,")")</f>
        <v>Exceso Velocidad 10 Km/h (Velocidad máxima: 20 kmh)</v>
      </c>
      <c r="O385" s="42" t="str">
        <f>IF(Data!V383&lt;&gt;"",N385,Data!W383)</f>
        <v>Exceso Velocidad 10 Km/h (Velocidad máxima: 20 kmh)</v>
      </c>
      <c r="P385" s="47" t="str">
        <f>Data!X383</f>
        <v>Válido</v>
      </c>
    </row>
    <row r="386" spans="1:16">
      <c r="A386" s="41" t="str">
        <f>Data!A384</f>
        <v>PKU239</v>
      </c>
      <c r="B386" s="41" t="str">
        <f>Data!D384</f>
        <v>Vehicle, Diesel, Frontera Energy Col 2679</v>
      </c>
      <c r="C386" s="41">
        <f>Data!F384</f>
        <v>0</v>
      </c>
      <c r="D386" s="41">
        <f>Data!G384</f>
        <v>0</v>
      </c>
      <c r="E386" s="41">
        <f>Data!H384</f>
        <v>0</v>
      </c>
      <c r="F386" s="41">
        <f>Data!K384</f>
        <v>0</v>
      </c>
      <c r="G386" s="33" t="str">
        <f>Data!M384</f>
        <v>Exceso Velocidad 30 Km/h</v>
      </c>
      <c r="H386" s="41" t="str">
        <f>Data!P384</f>
        <v>ECOPETROL RUBIALES- Quifa - CAÑO SUR, Puerto Triunfo - Estacion Policia: Puerto Gaitan - Rubiales, Puerto Gaitán, Meta, Colombia</v>
      </c>
      <c r="I386" s="42" t="str">
        <f>Data!Q384</f>
        <v>Cliente, Vel Max 40 Km/h, Vel Max 30 Km/h</v>
      </c>
      <c r="J386" s="43">
        <f>Data!S384</f>
        <v>46174.770613425928</v>
      </c>
      <c r="K386" s="44">
        <f>Data!S384</f>
        <v>46174.770613425928</v>
      </c>
      <c r="L386" s="45">
        <f>Data!T384</f>
        <v>3.1412037037037035E-5</v>
      </c>
      <c r="M386" s="46">
        <f>Data!U384</f>
        <v>2.2081449627876282E-2</v>
      </c>
      <c r="N386" s="46" t="str">
        <f>CONCATENATE(Data!W384," (",Data!V384,")")</f>
        <v>Exceso Velocidad 30 Km/h (Velocidad máxima: 31 kmh)</v>
      </c>
      <c r="O386" s="42" t="str">
        <f>IF(Data!V384&lt;&gt;"",N386,Data!W384)</f>
        <v>Exceso Velocidad 30 Km/h (Velocidad máxima: 31 kmh)</v>
      </c>
      <c r="P386" s="47" t="str">
        <f>Data!X384</f>
        <v>Válido</v>
      </c>
    </row>
    <row r="387" spans="1:16">
      <c r="A387" s="41" t="str">
        <f>Data!A385</f>
        <v>PKU239</v>
      </c>
      <c r="B387" s="41" t="str">
        <f>Data!D385</f>
        <v>Vehicle, Diesel, Frontera Energy Col 2679</v>
      </c>
      <c r="C387" s="41">
        <f>Data!F385</f>
        <v>0</v>
      </c>
      <c r="D387" s="41">
        <f>Data!G385</f>
        <v>0</v>
      </c>
      <c r="E387" s="41">
        <f>Data!H385</f>
        <v>0</v>
      </c>
      <c r="F387" s="41">
        <f>Data!K385</f>
        <v>0</v>
      </c>
      <c r="G387" s="33" t="str">
        <f>Data!M385</f>
        <v>Exceso Velocidad 30 Km/h</v>
      </c>
      <c r="H387" s="41" t="str">
        <f>Data!P385</f>
        <v>ECOPETROL RUBIALES- Quifa - CAÑO SUR, Puerto Triunfo - Estacion Policia: Puerto Gaitan - Rubiales, Puerto Gaitán, Meta, Colombia</v>
      </c>
      <c r="I387" s="42" t="str">
        <f>Data!Q385</f>
        <v>Cliente, Vel Max 40 Km/h, Vel Max 30 Km/h</v>
      </c>
      <c r="J387" s="43">
        <f>Data!S385</f>
        <v>46174.770836226853</v>
      </c>
      <c r="K387" s="44">
        <f>Data!S385</f>
        <v>46174.770836226853</v>
      </c>
      <c r="L387" s="45">
        <f>Data!T385</f>
        <v>1.3020833333333333E-4</v>
      </c>
      <c r="M387" s="46">
        <f>Data!U385</f>
        <v>9.9145196378231049E-2</v>
      </c>
      <c r="N387" s="46" t="str">
        <f>CONCATENATE(Data!W385," (",Data!V385,")")</f>
        <v>Exceso Velocidad 30 Km/h (Velocidad máxima: 33 kmh)</v>
      </c>
      <c r="O387" s="42" t="str">
        <f>IF(Data!V385&lt;&gt;"",N387,Data!W385)</f>
        <v>Exceso Velocidad 30 Km/h (Velocidad máxima: 33 kmh)</v>
      </c>
      <c r="P387" s="47" t="str">
        <f>Data!X385</f>
        <v>Válido</v>
      </c>
    </row>
    <row r="388" spans="1:16">
      <c r="A388" s="41" t="str">
        <f>Data!A386</f>
        <v>PKU239</v>
      </c>
      <c r="B388" s="41" t="str">
        <f>Data!D386</f>
        <v>Vehicle, Diesel, Frontera Energy Col 2679</v>
      </c>
      <c r="C388" s="41">
        <f>Data!F386</f>
        <v>0</v>
      </c>
      <c r="D388" s="41">
        <f>Data!G386</f>
        <v>0</v>
      </c>
      <c r="E388" s="41">
        <f>Data!H386</f>
        <v>0</v>
      </c>
      <c r="F388" s="41">
        <f>Data!K386</f>
        <v>0</v>
      </c>
      <c r="G388" s="33" t="str">
        <f>Data!M386</f>
        <v>Exceso Velocidad 30 Km/h</v>
      </c>
      <c r="H388" s="41" t="str">
        <f>Data!P386</f>
        <v>ECOPETROL RUBIALES- Quifa - CAÑO SUR, Puerto Triunfo - Estacion Policia: Puerto Gaitan - Rubiales, Puerto Gaitán, Meta, Colombia</v>
      </c>
      <c r="I388" s="42" t="str">
        <f>Data!Q386</f>
        <v>Cliente, Vel Max 40 Km/h, Vel Max 30 Km/h</v>
      </c>
      <c r="J388" s="43">
        <f>Data!S386</f>
        <v>46174.770991030091</v>
      </c>
      <c r="K388" s="44">
        <f>Data!S386</f>
        <v>46174.770991030091</v>
      </c>
      <c r="L388" s="45">
        <f>Data!T386</f>
        <v>1.3826388888888889E-4</v>
      </c>
      <c r="M388" s="46">
        <f>Data!U386</f>
        <v>0.11048848181962967</v>
      </c>
      <c r="N388" s="46" t="str">
        <f>CONCATENATE(Data!W386," (",Data!V386,")")</f>
        <v>Exceso Velocidad 30 Km/h (Velocidad máxima: 37 kmh)</v>
      </c>
      <c r="O388" s="42" t="str">
        <f>IF(Data!V386&lt;&gt;"",N388,Data!W386)</f>
        <v>Exceso Velocidad 30 Km/h (Velocidad máxima: 37 kmh)</v>
      </c>
      <c r="P388" s="47" t="str">
        <f>Data!X386</f>
        <v>Válido</v>
      </c>
    </row>
    <row r="389" spans="1:16">
      <c r="A389" s="41" t="str">
        <f>Data!A387</f>
        <v>PKU239</v>
      </c>
      <c r="B389" s="41" t="str">
        <f>Data!D387</f>
        <v>Vehicle, Diesel, Frontera Energy Col 2679</v>
      </c>
      <c r="C389" s="41">
        <f>Data!F387</f>
        <v>0</v>
      </c>
      <c r="D389" s="41">
        <f>Data!G387</f>
        <v>0</v>
      </c>
      <c r="E389" s="41">
        <f>Data!H387</f>
        <v>0</v>
      </c>
      <c r="F389" s="41">
        <f>Data!K387</f>
        <v>0</v>
      </c>
      <c r="G389" s="33" t="str">
        <f>Data!M387</f>
        <v>Exceso Velocidad 30 Km/h</v>
      </c>
      <c r="H389" s="41" t="str">
        <f>Data!P387</f>
        <v>ECOPETROL RUBIALES- Quifa - CAÑO SUR, Puerto Triunfo - Estacion Policia: Puerto Gaitan - Rubiales, Puerto Gaitán, Meta, Colombia</v>
      </c>
      <c r="I389" s="42" t="str">
        <f>Data!Q387</f>
        <v>Cliente, Vel Max 40 Km/h, Vel Max 30 Km/h</v>
      </c>
      <c r="J389" s="43">
        <f>Data!S387</f>
        <v>46174.771315787038</v>
      </c>
      <c r="K389" s="44">
        <f>Data!S387</f>
        <v>46174.771315787038</v>
      </c>
      <c r="L389" s="45">
        <f>Data!T387</f>
        <v>1.1361111111111111E-4</v>
      </c>
      <c r="M389" s="46">
        <f>Data!U387</f>
        <v>8.8109038770198822E-2</v>
      </c>
      <c r="N389" s="46" t="str">
        <f>CONCATENATE(Data!W387," (",Data!V387,")")</f>
        <v>Exceso Velocidad 30 Km/h (Velocidad máxima: 35 kmh)</v>
      </c>
      <c r="O389" s="42" t="str">
        <f>IF(Data!V387&lt;&gt;"",N389,Data!W387)</f>
        <v>Exceso Velocidad 30 Km/h (Velocidad máxima: 35 kmh)</v>
      </c>
      <c r="P389" s="47" t="str">
        <f>Data!X387</f>
        <v>Válido</v>
      </c>
    </row>
    <row r="390" spans="1:16">
      <c r="A390" s="41" t="str">
        <f>Data!A388</f>
        <v>PKU239</v>
      </c>
      <c r="B390" s="41" t="str">
        <f>Data!D388</f>
        <v>Vehicle, Diesel, Frontera Energy Col 2679</v>
      </c>
      <c r="C390" s="41">
        <f>Data!F388</f>
        <v>0</v>
      </c>
      <c r="D390" s="41">
        <f>Data!G388</f>
        <v>0</v>
      </c>
      <c r="E390" s="41">
        <f>Data!H388</f>
        <v>0</v>
      </c>
      <c r="F390" s="41">
        <f>Data!K388</f>
        <v>0</v>
      </c>
      <c r="G390" s="33" t="str">
        <f>Data!M388</f>
        <v>Exceso Velocidad 10 Km/h</v>
      </c>
      <c r="H390" s="41" t="str">
        <f>Data!P388</f>
        <v>CAMPAMENTO QUIFA, ECOPETROL RUBIALES- Quifa - CAÑO SUR, Puerto Gaitan - Rubiales, Puerto Gaitán, Meta, Colombia: Ent. CAMPAMENTO, Puerto Gaitán, Meta, Colombia</v>
      </c>
      <c r="I390" s="42" t="str">
        <f>Data!Q388</f>
        <v>Vel Max 10 Km/h, Cliente, Vel Max 40 Km/h, Centro de servicios del proveedor</v>
      </c>
      <c r="J390" s="43">
        <f>Data!S388</f>
        <v>46174.771541296293</v>
      </c>
      <c r="K390" s="44">
        <f>Data!S388</f>
        <v>46174.771541296293</v>
      </c>
      <c r="L390" s="45">
        <f>Data!T388</f>
        <v>4.5798611111111108E-5</v>
      </c>
      <c r="M390" s="46">
        <f>Data!U388</f>
        <v>1.3508855365216732E-2</v>
      </c>
      <c r="N390" s="46" t="str">
        <f>CONCATENATE(Data!W388," (",Data!V388,")")</f>
        <v>Exceso Velocidad 10 Km/h (Velocidad máxima: 13 kmh)</v>
      </c>
      <c r="O390" s="42" t="str">
        <f>IF(Data!V388&lt;&gt;"",N390,Data!W388)</f>
        <v>Exceso Velocidad 10 Km/h (Velocidad máxima: 13 kmh)</v>
      </c>
      <c r="P390" s="47" t="str">
        <f>Data!X388</f>
        <v>Válido</v>
      </c>
    </row>
    <row r="391" spans="1:16">
      <c r="A391" s="41" t="str">
        <f>Data!A389</f>
        <v>PKU239</v>
      </c>
      <c r="B391" s="41" t="str">
        <f>Data!D389</f>
        <v>Vehicle, Diesel, Frontera Energy Col 2679</v>
      </c>
      <c r="C391" s="41">
        <f>Data!F389</f>
        <v>0</v>
      </c>
      <c r="D391" s="41">
        <f>Data!G389</f>
        <v>0</v>
      </c>
      <c r="E391" s="41">
        <f>Data!H389</f>
        <v>0</v>
      </c>
      <c r="F391" s="41">
        <f>Data!K389</f>
        <v>0</v>
      </c>
      <c r="G391" s="33" t="str">
        <f>Data!M389</f>
        <v>Exceso Velocidad 10 Km/h</v>
      </c>
      <c r="H391" s="41" t="str">
        <f>Data!P389</f>
        <v>CAMPAMENTO QUIFA, ECOPETROL RUBIALES- Quifa - CAÑO SUR, Puerto Gaitan - Rubiales, Puerto Gaitán, Meta, Colombia, Campamento Quifa - CMA: Ent. CAMPAMENTO, Puerto Gaitán, Meta, Colombia</v>
      </c>
      <c r="I391" s="42" t="str">
        <f>Data!Q389</f>
        <v>Vel Max 10 Km/h, Cliente, Vel Max 40 Km/h, Centro de servicios del proveedor</v>
      </c>
      <c r="J391" s="43">
        <f>Data!S389</f>
        <v>46174.772057870374</v>
      </c>
      <c r="K391" s="44">
        <f>Data!S389</f>
        <v>46174.772057870374</v>
      </c>
      <c r="L391" s="45">
        <f>Data!T389</f>
        <v>2.4537037037037035E-4</v>
      </c>
      <c r="M391" s="46">
        <f>Data!U389</f>
        <v>6.6404305398464203E-2</v>
      </c>
      <c r="N391" s="46" t="str">
        <f>CONCATENATE(Data!W389," (",Data!V389,")")</f>
        <v>Exceso Velocidad 10 Km/h (Velocidad máxima: 13 kmh)</v>
      </c>
      <c r="O391" s="42" t="str">
        <f>IF(Data!V389&lt;&gt;"",N391,Data!W389)</f>
        <v>Exceso Velocidad 10 Km/h (Velocidad máxima: 13 kmh)</v>
      </c>
      <c r="P391" s="47" t="str">
        <f>Data!X389</f>
        <v>Válido</v>
      </c>
    </row>
    <row r="392" spans="1:16">
      <c r="A392" s="41" t="str">
        <f>Data!A390</f>
        <v>PKU239</v>
      </c>
      <c r="B392" s="41" t="str">
        <f>Data!D390</f>
        <v>Vehicle, Diesel, Frontera Energy Col 2679</v>
      </c>
      <c r="C392" s="41">
        <f>Data!F390</f>
        <v>0</v>
      </c>
      <c r="D392" s="41">
        <f>Data!G390</f>
        <v>0</v>
      </c>
      <c r="E392" s="41">
        <f>Data!H390</f>
        <v>0</v>
      </c>
      <c r="F392" s="41">
        <f>Data!K390</f>
        <v>0</v>
      </c>
      <c r="G392" s="33" t="str">
        <f>Data!M390</f>
        <v>Exceso Velocidad 10 Km/h</v>
      </c>
      <c r="H392" s="41" t="str">
        <f>Data!P390</f>
        <v>CAMPAMENTO QUIFA, ECOPETROL RUBIALES- Quifa - CAÑO SUR, Campamento Quifa - CMA: Ent. CAMPAMENTO, Puerto Gaitán, Meta, Colombia</v>
      </c>
      <c r="I392" s="42" t="str">
        <f>Data!Q390</f>
        <v>Vel Max 10 Km/h, Cliente, Vel Max 40 Km/h</v>
      </c>
      <c r="J392" s="43">
        <f>Data!S390</f>
        <v>46174.772623460645</v>
      </c>
      <c r="K392" s="44">
        <f>Data!S390</f>
        <v>46174.772623460645</v>
      </c>
      <c r="L392" s="45">
        <f>Data!T390</f>
        <v>2.8163194444444443E-4</v>
      </c>
      <c r="M392" s="46">
        <f>Data!U390</f>
        <v>7.3393292725086212E-2</v>
      </c>
      <c r="N392" s="46" t="str">
        <f>CONCATENATE(Data!W390," (",Data!V390,")")</f>
        <v>Exceso Velocidad 10 Km/h (Velocidad máxima: 12 kmh)</v>
      </c>
      <c r="O392" s="42" t="str">
        <f>IF(Data!V390&lt;&gt;"",N392,Data!W390)</f>
        <v>Exceso Velocidad 10 Km/h (Velocidad máxima: 12 kmh)</v>
      </c>
      <c r="P392" s="47" t="str">
        <f>Data!X390</f>
        <v>Válido</v>
      </c>
    </row>
    <row r="393" spans="1:16">
      <c r="A393" s="41" t="str">
        <f>Data!A391</f>
        <v>PKU239</v>
      </c>
      <c r="B393" s="41" t="str">
        <f>Data!D391</f>
        <v>Vehicle, Diesel, Frontera Energy Col 2679</v>
      </c>
      <c r="C393" s="41">
        <f>Data!F391</f>
        <v>0</v>
      </c>
      <c r="D393" s="41">
        <f>Data!G391</f>
        <v>0</v>
      </c>
      <c r="E393" s="41">
        <f>Data!H391</f>
        <v>0</v>
      </c>
      <c r="F393" s="41">
        <f>Data!K391</f>
        <v>0</v>
      </c>
      <c r="G393" s="33" t="str">
        <f>Data!M391</f>
        <v>Exceso Velocidad 10 Km/h</v>
      </c>
      <c r="H393" s="41" t="str">
        <f>Data!P391</f>
        <v>CAMPAMENTO QUIFA, ECOPETROL RUBIALES- Quifa - CAÑO SUR, Puerto Gaitan - Rubiales, Puerto Gaitán, Meta, Colombia, Campamento Quifa - CMA: Ent. CAMPAMENTO, Puerto Gaitán, Meta, Colombia</v>
      </c>
      <c r="I393" s="42" t="str">
        <f>Data!Q391</f>
        <v>Vel Max 10 Km/h, Cliente, Vel Max 40 Km/h, Centro de servicios del proveedor</v>
      </c>
      <c r="J393" s="43">
        <f>Data!S391</f>
        <v>46174.77316203704</v>
      </c>
      <c r="K393" s="44">
        <f>Data!S391</f>
        <v>46174.77316203704</v>
      </c>
      <c r="L393" s="45">
        <f>Data!T391</f>
        <v>2.0833333333333333E-5</v>
      </c>
      <c r="M393" s="46">
        <f>Data!U391</f>
        <v>5.093058105558157E-3</v>
      </c>
      <c r="N393" s="46" t="str">
        <f>CONCATENATE(Data!W391," (",Data!V391,")")</f>
        <v>Exceso Velocidad 10 Km/h (Velocidad máxima: 11 kmh)</v>
      </c>
      <c r="O393" s="42" t="str">
        <f>IF(Data!V391&lt;&gt;"",N393,Data!W391)</f>
        <v>Exceso Velocidad 10 Km/h (Velocidad máxima: 11 kmh)</v>
      </c>
      <c r="P393" s="47" t="str">
        <f>Data!X391</f>
        <v>Válido</v>
      </c>
    </row>
    <row r="394" spans="1:16">
      <c r="A394" s="41" t="str">
        <f>Data!A392</f>
        <v>PKU239</v>
      </c>
      <c r="B394" s="41" t="str">
        <f>Data!D392</f>
        <v>Vehicle, Diesel, Frontera Energy Col 2679</v>
      </c>
      <c r="C394" s="41">
        <f>Data!F392</f>
        <v>0</v>
      </c>
      <c r="D394" s="41">
        <f>Data!G392</f>
        <v>0</v>
      </c>
      <c r="E394" s="41">
        <f>Data!H392</f>
        <v>0</v>
      </c>
      <c r="F394" s="41">
        <f>Data!K392</f>
        <v>0</v>
      </c>
      <c r="G394" s="33" t="str">
        <f>Data!M392</f>
        <v>Exceso Velocidad 10 Km/h</v>
      </c>
      <c r="H394" s="41" t="str">
        <f>Data!P392</f>
        <v>CAMPAMENTO QUIFA, ECOPETROL RUBIALES- Quifa - CAÑO SUR, Puerto Gaitan - Rubiales, Puerto Gaitán, Meta, Colombia, Puerto Triunfo - Estacion Policia: Ent. CAMPAMENTO, Puerto Gaitán, Meta, Colombia</v>
      </c>
      <c r="I394" s="42" t="str">
        <f>Data!Q392</f>
        <v>Vel Max 10 Km/h, Cliente, Vel Max 40 Km/h, Centro de servicios del proveedor, Vel Max 30 Km/h</v>
      </c>
      <c r="J394" s="43">
        <f>Data!S392</f>
        <v>46174.773199583331</v>
      </c>
      <c r="K394" s="44">
        <f>Data!S392</f>
        <v>46174.773199583331</v>
      </c>
      <c r="L394" s="45">
        <f>Data!T392</f>
        <v>1.3923611111111111E-5</v>
      </c>
      <c r="M394" s="46">
        <f>Data!U392</f>
        <v>4.9308524467051029E-3</v>
      </c>
      <c r="N394" s="46" t="str">
        <f>CONCATENATE(Data!W392," (",Data!V392,")")</f>
        <v>Exceso Velocidad 10 Km/h (Velocidad máxima: 13 kmh)</v>
      </c>
      <c r="O394" s="42" t="str">
        <f>IF(Data!V392&lt;&gt;"",N394,Data!W392)</f>
        <v>Exceso Velocidad 10 Km/h (Velocidad máxima: 13 kmh)</v>
      </c>
      <c r="P394" s="47" t="str">
        <f>Data!X392</f>
        <v>Válido</v>
      </c>
    </row>
    <row r="395" spans="1:16">
      <c r="A395" s="41" t="str">
        <f>Data!A393</f>
        <v>PKU239</v>
      </c>
      <c r="B395" s="41" t="str">
        <f>Data!D393</f>
        <v>Vehicle, Diesel, Frontera Energy Col 2679</v>
      </c>
      <c r="C395" s="41">
        <f>Data!F393</f>
        <v>0</v>
      </c>
      <c r="D395" s="41">
        <f>Data!G393</f>
        <v>0</v>
      </c>
      <c r="E395" s="41">
        <f>Data!H393</f>
        <v>0</v>
      </c>
      <c r="F395" s="41">
        <f>Data!K393</f>
        <v>0</v>
      </c>
      <c r="G395" s="33" t="str">
        <f>Data!M393</f>
        <v>Exceso Velocidad 30 Km/h</v>
      </c>
      <c r="H395" s="41" t="str">
        <f>Data!P393</f>
        <v>ECOPETROL RUBIALES- Quifa - CAÑO SUR, Puerto Triunfo - Estacion Policia: Puerto Gaitan - Rubiales, Puerto Gaitán, Meta, Colombia</v>
      </c>
      <c r="I395" s="42" t="str">
        <f>Data!Q393</f>
        <v>Cliente, Vel Max 40 Km/h, Vel Max 30 Km/h</v>
      </c>
      <c r="J395" s="43">
        <f>Data!S393</f>
        <v>46174.773856481479</v>
      </c>
      <c r="K395" s="44">
        <f>Data!S393</f>
        <v>46174.773856481479</v>
      </c>
      <c r="L395" s="45">
        <f>Data!T393</f>
        <v>3.764699074074074E-4</v>
      </c>
      <c r="M395" s="46">
        <f>Data!U393</f>
        <v>0.29025271534919739</v>
      </c>
      <c r="N395" s="46" t="str">
        <f>CONCATENATE(Data!W393," (",Data!V393,")")</f>
        <v>Exceso Velocidad 30 Km/h (Velocidad máxima: 35 kmh)</v>
      </c>
      <c r="O395" s="42" t="str">
        <f>IF(Data!V393&lt;&gt;"",N395,Data!W393)</f>
        <v>Exceso Velocidad 30 Km/h (Velocidad máxima: 35 kmh)</v>
      </c>
      <c r="P395" s="47" t="str">
        <f>Data!X393</f>
        <v>Válido</v>
      </c>
    </row>
    <row r="396" spans="1:16">
      <c r="A396" s="41" t="str">
        <f>Data!A394</f>
        <v>PKU239</v>
      </c>
      <c r="B396" s="41" t="str">
        <f>Data!D394</f>
        <v>Vehicle, Diesel, Frontera Energy Col 2679</v>
      </c>
      <c r="C396" s="41">
        <f>Data!F394</f>
        <v>0</v>
      </c>
      <c r="D396" s="41">
        <f>Data!G394</f>
        <v>0</v>
      </c>
      <c r="E396" s="41">
        <f>Data!H394</f>
        <v>0</v>
      </c>
      <c r="F396" s="41">
        <f>Data!K394</f>
        <v>0</v>
      </c>
      <c r="G396" s="33" t="str">
        <f>Data!M394</f>
        <v>Exceso Velocidad 30 Km/h</v>
      </c>
      <c r="H396" s="41" t="str">
        <f>Data!P394</f>
        <v>ECOPETROL RUBIALES- Quifa - CAÑO SUR, Puerto Triunfo - Estacion Policia: Puerto Gaitan - Rubiales, Puerto Gaitán, Meta, Colombia</v>
      </c>
      <c r="I396" s="42" t="str">
        <f>Data!Q394</f>
        <v>Cliente, Vel Max 40 Km/h, Vel Max 30 Km/h</v>
      </c>
      <c r="J396" s="43">
        <f>Data!S394</f>
        <v>46174.774352905093</v>
      </c>
      <c r="K396" s="44">
        <f>Data!S394</f>
        <v>46174.774352905093</v>
      </c>
      <c r="L396" s="45">
        <f>Data!T394</f>
        <v>1.6519675925925925E-4</v>
      </c>
      <c r="M396" s="46">
        <f>Data!U394</f>
        <v>0.1270257979631424</v>
      </c>
      <c r="N396" s="46" t="str">
        <f>CONCATENATE(Data!W394," (",Data!V394,")")</f>
        <v>Exceso Velocidad 30 Km/h (Velocidad máxima: 37 kmh)</v>
      </c>
      <c r="O396" s="42" t="str">
        <f>IF(Data!V394&lt;&gt;"",N396,Data!W394)</f>
        <v>Exceso Velocidad 30 Km/h (Velocidad máxima: 37 kmh)</v>
      </c>
      <c r="P396" s="47" t="str">
        <f>Data!X394</f>
        <v>Válido</v>
      </c>
    </row>
    <row r="397" spans="1:16">
      <c r="A397" s="41" t="str">
        <f>Data!A395</f>
        <v>PKU239</v>
      </c>
      <c r="B397" s="41" t="str">
        <f>Data!D395</f>
        <v>Vehicle, Diesel, Frontera Energy Col 2679</v>
      </c>
      <c r="C397" s="41">
        <f>Data!F395</f>
        <v>0</v>
      </c>
      <c r="D397" s="41">
        <f>Data!G395</f>
        <v>0</v>
      </c>
      <c r="E397" s="41">
        <f>Data!H395</f>
        <v>0</v>
      </c>
      <c r="F397" s="41">
        <f>Data!K395</f>
        <v>0</v>
      </c>
      <c r="G397" s="33" t="str">
        <f>Data!M395</f>
        <v>Exceso Velocidad 30 Km/h</v>
      </c>
      <c r="H397" s="41" t="str">
        <f>Data!P395</f>
        <v>ECOPETROL RUBIALES- Quifa - CAÑO SUR, Puerto Triunfo - Estacion Policia: Puerto Gaitan - Rubiales, Puerto Gaitán, Meta, Colombia</v>
      </c>
      <c r="I397" s="42" t="str">
        <f>Data!Q395</f>
        <v>Cliente, Vel Max 40 Km/h, Vel Max 30 Km/h</v>
      </c>
      <c r="J397" s="43">
        <f>Data!S395</f>
        <v>46174.774664351855</v>
      </c>
      <c r="K397" s="44">
        <f>Data!S395</f>
        <v>46174.774664351855</v>
      </c>
      <c r="L397" s="45">
        <f>Data!T395</f>
        <v>2.7777777777777779E-5</v>
      </c>
      <c r="M397" s="46">
        <f>Data!U395</f>
        <v>2.0732186734676361E-2</v>
      </c>
      <c r="N397" s="46" t="str">
        <f>CONCATENATE(Data!W395," (",Data!V395,")")</f>
        <v>Exceso Velocidad 30 Km/h (Velocidad máxima: 31 kmh)</v>
      </c>
      <c r="O397" s="42" t="str">
        <f>IF(Data!V395&lt;&gt;"",N397,Data!W395)</f>
        <v>Exceso Velocidad 30 Km/h (Velocidad máxima: 31 kmh)</v>
      </c>
      <c r="P397" s="47" t="str">
        <f>Data!X395</f>
        <v>Válido</v>
      </c>
    </row>
    <row r="398" spans="1:16">
      <c r="A398" s="41" t="str">
        <f>Data!A396</f>
        <v>PKU239</v>
      </c>
      <c r="B398" s="41" t="str">
        <f>Data!D396</f>
        <v>Vehicle, Diesel, Frontera Energy Col 2679</v>
      </c>
      <c r="C398" s="41">
        <f>Data!F396</f>
        <v>0</v>
      </c>
      <c r="D398" s="41">
        <f>Data!G396</f>
        <v>0</v>
      </c>
      <c r="E398" s="41">
        <f>Data!H396</f>
        <v>0</v>
      </c>
      <c r="F398" s="41">
        <f>Data!K396</f>
        <v>0</v>
      </c>
      <c r="G398" s="33" t="str">
        <f>Data!M396</f>
        <v>Exceso Velocidad 10 Km/h</v>
      </c>
      <c r="H398" s="41" t="str">
        <f>Data!P396</f>
        <v>ECOPETROL RUBIALES- Quifa - CAÑO SUR, Puerto Triunfo - Estacion Policia, PUESTRO CONTROL QUIFA: Puerto Gaitan - Rubiales, Puerto Gaitán, Meta, Colombia</v>
      </c>
      <c r="I398" s="42" t="str">
        <f>Data!Q396</f>
        <v>Cliente, Vel Max 40 Km/h, Vel Max 30 Km/h, Vel Max 10 Km/h</v>
      </c>
      <c r="J398" s="43">
        <f>Data!S396</f>
        <v>46174.7751446412</v>
      </c>
      <c r="K398" s="44">
        <f>Data!S396</f>
        <v>46174.7751446412</v>
      </c>
      <c r="L398" s="45">
        <f>Data!T396</f>
        <v>2.9387731481481479E-4</v>
      </c>
      <c r="M398" s="46">
        <f>Data!U396</f>
        <v>0.1829465925693512</v>
      </c>
      <c r="N398" s="46" t="str">
        <f>CONCATENATE(Data!W396," (",Data!V396,")")</f>
        <v>Exceso Velocidad 10 Km/h (Velocidad máxima: 29 kmh)</v>
      </c>
      <c r="O398" s="42" t="str">
        <f>IF(Data!V396&lt;&gt;"",N398,Data!W396)</f>
        <v>Exceso Velocidad 10 Km/h (Velocidad máxima: 29 kmh)</v>
      </c>
      <c r="P398" s="47" t="str">
        <f>Data!X396</f>
        <v>Válido</v>
      </c>
    </row>
    <row r="399" spans="1:16">
      <c r="A399" s="41" t="str">
        <f>Data!A397</f>
        <v>PKU239</v>
      </c>
      <c r="B399" s="41" t="str">
        <f>Data!D397</f>
        <v>Vehicle, Diesel, Frontera Energy Col 2679</v>
      </c>
      <c r="C399" s="41">
        <f>Data!F397</f>
        <v>0</v>
      </c>
      <c r="D399" s="41">
        <f>Data!G397</f>
        <v>0</v>
      </c>
      <c r="E399" s="41">
        <f>Data!H397</f>
        <v>0</v>
      </c>
      <c r="F399" s="41">
        <f>Data!K397</f>
        <v>0</v>
      </c>
      <c r="G399" s="33" t="str">
        <f>Data!M397</f>
        <v>Exceso Velocidad 30 Km/h</v>
      </c>
      <c r="H399" s="41" t="str">
        <f>Data!P397</f>
        <v>ECOPETROL RUBIALES- Quifa - CAÑO SUR, Puerto Triunfo - Estacion Policia: Puerto Gaitan - Rubiales, Puerto Gaitán, Meta, Colombia</v>
      </c>
      <c r="I399" s="42" t="str">
        <f>Data!Q397</f>
        <v>Cliente, Vel Max 40 Km/h, Vel Max 30 Km/h</v>
      </c>
      <c r="J399" s="43">
        <f>Data!S397</f>
        <v>46174.775680555555</v>
      </c>
      <c r="K399" s="44">
        <f>Data!S397</f>
        <v>46174.775680555555</v>
      </c>
      <c r="L399" s="45">
        <f>Data!T397</f>
        <v>2.0138888888888889E-4</v>
      </c>
      <c r="M399" s="46">
        <f>Data!U397</f>
        <v>0.15175941586494446</v>
      </c>
      <c r="N399" s="46" t="str">
        <f>CONCATENATE(Data!W397," (",Data!V397,")")</f>
        <v>Exceso Velocidad 30 Km/h (Velocidad máxima: 33 kmh)</v>
      </c>
      <c r="O399" s="42" t="str">
        <f>IF(Data!V397&lt;&gt;"",N399,Data!W397)</f>
        <v>Exceso Velocidad 30 Km/h (Velocidad máxima: 33 kmh)</v>
      </c>
      <c r="P399" s="47" t="str">
        <f>Data!X397</f>
        <v>Válido</v>
      </c>
    </row>
    <row r="400" spans="1:16">
      <c r="A400" s="41" t="str">
        <f>Data!A398</f>
        <v>PKU239</v>
      </c>
      <c r="B400" s="41" t="str">
        <f>Data!D398</f>
        <v>Vehicle, Diesel, Frontera Energy Col 2679</v>
      </c>
      <c r="C400" s="41">
        <f>Data!F398</f>
        <v>0</v>
      </c>
      <c r="D400" s="41">
        <f>Data!G398</f>
        <v>0</v>
      </c>
      <c r="E400" s="41">
        <f>Data!H398</f>
        <v>0</v>
      </c>
      <c r="F400" s="41">
        <f>Data!K398</f>
        <v>0</v>
      </c>
      <c r="G400" s="33" t="str">
        <f>Data!M398</f>
        <v>Exceso Velocidad 30 Km/h</v>
      </c>
      <c r="H400" s="41" t="str">
        <f>Data!P398</f>
        <v>ECOPETROL RUBIALES- Quifa - CAÑO SUR, Puerto Triunfo - Estacion Policia: Puerto Gaitan - Rubiales, Puerto Gaitán, Meta, Colombia</v>
      </c>
      <c r="I400" s="42" t="str">
        <f>Data!Q398</f>
        <v>Cliente, Vel Max 40 Km/h, Vel Max 30 Km/h</v>
      </c>
      <c r="J400" s="43">
        <f>Data!S398</f>
        <v>46174.776395497684</v>
      </c>
      <c r="K400" s="44">
        <f>Data!S398</f>
        <v>46174.776395497684</v>
      </c>
      <c r="L400" s="45">
        <f>Data!T398</f>
        <v>6.8622685185185182E-5</v>
      </c>
      <c r="M400" s="46">
        <f>Data!U398</f>
        <v>4.9961619079113007E-2</v>
      </c>
      <c r="N400" s="46" t="str">
        <f>CONCATENATE(Data!W398," (",Data!V398,")")</f>
        <v>Exceso Velocidad 30 Km/h (Velocidad máxima: 31 kmh)</v>
      </c>
      <c r="O400" s="42" t="str">
        <f>IF(Data!V398&lt;&gt;"",N400,Data!W398)</f>
        <v>Exceso Velocidad 30 Km/h (Velocidad máxima: 31 kmh)</v>
      </c>
      <c r="P400" s="47" t="str">
        <f>Data!X398</f>
        <v>Válido</v>
      </c>
    </row>
    <row r="401" spans="1:16">
      <c r="A401" s="41" t="str">
        <f>Data!A399</f>
        <v>PKU239</v>
      </c>
      <c r="B401" s="41" t="str">
        <f>Data!D399</f>
        <v>Vehicle, Diesel, Frontera Energy Col 2679</v>
      </c>
      <c r="C401" s="41">
        <f>Data!F399</f>
        <v>0</v>
      </c>
      <c r="D401" s="41">
        <f>Data!G399</f>
        <v>0</v>
      </c>
      <c r="E401" s="41">
        <f>Data!H399</f>
        <v>0</v>
      </c>
      <c r="F401" s="41">
        <f>Data!K399</f>
        <v>0</v>
      </c>
      <c r="G401" s="33" t="str">
        <f>Data!M399</f>
        <v>Tiempo en ralentí</v>
      </c>
      <c r="H401" s="41" t="str">
        <f>Data!P399</f>
        <v>ECOPETROL RUBIALES- Quifa - CAÑO SUR, Puerto Triunfo - Estacion Policia: Puerto Gaitan - Rubiales, Puerto Gaitán, Meta, Colombia</v>
      </c>
      <c r="I401" s="42" t="str">
        <f>Data!Q399</f>
        <v>Cliente, Vel Max 40 Km/h, Vel Max 30 Km/h</v>
      </c>
      <c r="J401" s="43">
        <f>Data!S399</f>
        <v>46174.777256944442</v>
      </c>
      <c r="K401" s="44">
        <f>Data!S399</f>
        <v>46174.777256944442</v>
      </c>
      <c r="L401" s="45">
        <f>Data!T399</f>
        <v>6.9097222222222225E-3</v>
      </c>
      <c r="M401" s="46">
        <f>Data!U399</f>
        <v>0</v>
      </c>
      <c r="N401" s="46" t="str">
        <f>CONCATENATE(Data!W399," (",Data!V399,")")</f>
        <v>Tiempo en ralentí (Ignición: 1.00)</v>
      </c>
      <c r="O401" s="42" t="str">
        <f>IF(Data!V399&lt;&gt;"",N401,Data!W399)</f>
        <v>Tiempo en ralentí (Ignición: 1.00)</v>
      </c>
      <c r="P401" s="47" t="str">
        <f>Data!X399</f>
        <v>Válido</v>
      </c>
    </row>
    <row r="402" spans="1:16">
      <c r="A402" s="41" t="str">
        <f>Data!A400</f>
        <v>PKU239</v>
      </c>
      <c r="B402" s="41" t="str">
        <f>Data!D400</f>
        <v>Vehicle, Diesel, Frontera Energy Col 2679</v>
      </c>
      <c r="C402" s="41">
        <f>Data!F400</f>
        <v>0</v>
      </c>
      <c r="D402" s="41">
        <f>Data!G400</f>
        <v>0</v>
      </c>
      <c r="E402" s="41">
        <f>Data!H400</f>
        <v>0</v>
      </c>
      <c r="F402" s="41">
        <f>Data!K400</f>
        <v>0</v>
      </c>
      <c r="G402" s="33" t="str">
        <f>Data!M400</f>
        <v>Exceso Velocidad 30 Km/h</v>
      </c>
      <c r="H402" s="41" t="str">
        <f>Data!P400</f>
        <v>ECOPETROL RUBIALES- Quifa - CAÑO SUR, Puerto Triunfo - Estacion Policia: Puerto Gaitan - Rubiales, Puerto Gaitán, Meta, Colombia</v>
      </c>
      <c r="I402" s="42" t="str">
        <f>Data!Q400</f>
        <v>Cliente, Vel Max 40 Km/h, Vel Max 30 Km/h</v>
      </c>
      <c r="J402" s="43">
        <f>Data!S400</f>
        <v>46174.785296400463</v>
      </c>
      <c r="K402" s="44">
        <f>Data!S400</f>
        <v>46174.785296400463</v>
      </c>
      <c r="L402" s="45">
        <f>Data!T400</f>
        <v>1.2219907407407408E-4</v>
      </c>
      <c r="M402" s="46">
        <f>Data!U400</f>
        <v>9.7075387835502625E-2</v>
      </c>
      <c r="N402" s="46" t="str">
        <f>CONCATENATE(Data!W400," (",Data!V400,")")</f>
        <v>Exceso Velocidad 30 Km/h (Velocidad máxima: 35 kmh)</v>
      </c>
      <c r="O402" s="42" t="str">
        <f>IF(Data!V400&lt;&gt;"",N402,Data!W400)</f>
        <v>Exceso Velocidad 30 Km/h (Velocidad máxima: 35 kmh)</v>
      </c>
      <c r="P402" s="47" t="str">
        <f>Data!X400</f>
        <v>Válido</v>
      </c>
    </row>
    <row r="403" spans="1:16">
      <c r="A403" s="41" t="str">
        <f>Data!A401</f>
        <v>PKU239</v>
      </c>
      <c r="B403" s="41" t="str">
        <f>Data!D401</f>
        <v>Vehicle, Diesel, Frontera Energy Col 2679</v>
      </c>
      <c r="C403" s="41">
        <f>Data!F401</f>
        <v>0</v>
      </c>
      <c r="D403" s="41">
        <f>Data!G401</f>
        <v>0</v>
      </c>
      <c r="E403" s="41">
        <f>Data!H401</f>
        <v>0</v>
      </c>
      <c r="F403" s="41">
        <f>Data!K401</f>
        <v>0</v>
      </c>
      <c r="G403" s="33" t="str">
        <f>Data!M401</f>
        <v>Giro brusco</v>
      </c>
      <c r="H403" s="41" t="str">
        <f>Data!P401</f>
        <v>ECOPETROL RUBIALES- Quifa - CAÑO SUR, Puerto Triunfo - Estacion Policia: Puerto Gaitan - Rubiales, Puerto Gaitán, Meta, Colombia</v>
      </c>
      <c r="I403" s="42" t="str">
        <f>Data!Q401</f>
        <v>Cliente, Vel Max 40 Km/h, Vel Max 30 Km/h</v>
      </c>
      <c r="J403" s="43">
        <f>Data!S401</f>
        <v>46174.794099675928</v>
      </c>
      <c r="K403" s="44">
        <f>Data!S401</f>
        <v>46174.794099675928</v>
      </c>
      <c r="L403" s="45">
        <f>Data!T401</f>
        <v>7.8703703703703708E-7</v>
      </c>
      <c r="M403" s="46">
        <f>Data!U401</f>
        <v>2.1849546465091407E-4</v>
      </c>
      <c r="N403" s="46" t="str">
        <f>CONCATENATE(Data!W401," (",Data!V401,")")</f>
        <v>Giro brusco (Velocidad máxima: 12 kmh Aceleración de lado a lado: -0.60 g-force, Ignición: 1.00)</v>
      </c>
      <c r="O403" s="42" t="str">
        <f>IF(Data!V401&lt;&gt;"",N403,Data!W401)</f>
        <v>Giro brusco (Velocidad máxima: 12 kmh Aceleración de lado a lado: -0.60 g-force, Ignición: 1.00)</v>
      </c>
      <c r="P403" s="47" t="str">
        <f>Data!X401</f>
        <v>Válido</v>
      </c>
    </row>
    <row r="404" spans="1:16">
      <c r="A404" s="41" t="str">
        <f>Data!A402</f>
        <v>PKU239</v>
      </c>
      <c r="B404" s="41" t="str">
        <f>Data!D402</f>
        <v>Vehicle, Diesel, Frontera Energy Col 2679</v>
      </c>
      <c r="C404" s="41">
        <f>Data!F402</f>
        <v>0</v>
      </c>
      <c r="D404" s="41">
        <f>Data!G402</f>
        <v>0</v>
      </c>
      <c r="E404" s="41">
        <f>Data!H402</f>
        <v>0</v>
      </c>
      <c r="F404" s="41">
        <f>Data!K402</f>
        <v>0</v>
      </c>
      <c r="G404" s="33" t="str">
        <f>Data!M402</f>
        <v>Exceso Velocidad 30 Km/h</v>
      </c>
      <c r="H404" s="41" t="str">
        <f>Data!P402</f>
        <v>ECOPETROL RUBIALES- Quifa - CAÑO SUR, Puerto Triunfo - Estacion Policia: Puerto Gaitan - Rubiales, Puerto Gaitán, Meta, Colombia</v>
      </c>
      <c r="I404" s="42" t="str">
        <f>Data!Q402</f>
        <v>Cliente, Vel Max 40 Km/h, Vel Max 30 Km/h</v>
      </c>
      <c r="J404" s="43">
        <f>Data!S402</f>
        <v>46174.794208749998</v>
      </c>
      <c r="K404" s="44">
        <f>Data!S402</f>
        <v>46174.794208749998</v>
      </c>
      <c r="L404" s="45">
        <f>Data!T402</f>
        <v>3.1215277777777775E-5</v>
      </c>
      <c r="M404" s="46">
        <f>Data!U402</f>
        <v>1.9816165789961815E-2</v>
      </c>
      <c r="N404" s="46" t="str">
        <f>CONCATENATE(Data!W402," (",Data!V402,")")</f>
        <v>Exceso Velocidad 30 Km/h (Velocidad máxima: 31 kmh)</v>
      </c>
      <c r="O404" s="42" t="str">
        <f>IF(Data!V402&lt;&gt;"",N404,Data!W402)</f>
        <v>Exceso Velocidad 30 Km/h (Velocidad máxima: 31 kmh)</v>
      </c>
      <c r="P404" s="47" t="str">
        <f>Data!X402</f>
        <v>Válido</v>
      </c>
    </row>
    <row r="405" spans="1:16">
      <c r="A405" s="41" t="str">
        <f>Data!A403</f>
        <v>PKU239</v>
      </c>
      <c r="B405" s="41" t="str">
        <f>Data!D403</f>
        <v>Vehicle, Diesel, Frontera Energy Col 2679</v>
      </c>
      <c r="C405" s="41">
        <f>Data!F403</f>
        <v>0</v>
      </c>
      <c r="D405" s="41">
        <f>Data!G403</f>
        <v>0</v>
      </c>
      <c r="E405" s="41">
        <f>Data!H403</f>
        <v>0</v>
      </c>
      <c r="F405" s="41">
        <f>Data!K403</f>
        <v>0</v>
      </c>
      <c r="G405" s="33" t="str">
        <f>Data!M403</f>
        <v>Exceso Velocidad 30 Km/h</v>
      </c>
      <c r="H405" s="41" t="str">
        <f>Data!P403</f>
        <v>ECOPETROL RUBIALES- Quifa - CAÑO SUR, Puerto Triunfo - Estacion Policia: vereda puerto triunfo Km 129+300 vía rubiales, Puerto Gaitán, Meta, Colombia</v>
      </c>
      <c r="I405" s="42" t="str">
        <f>Data!Q403</f>
        <v>Cliente, Vel Max 40 Km/h, Vel Max 30 Km/h</v>
      </c>
      <c r="J405" s="43">
        <f>Data!S403</f>
        <v>46174.797777777778</v>
      </c>
      <c r="K405" s="44">
        <f>Data!S403</f>
        <v>46174.797777777778</v>
      </c>
      <c r="L405" s="45">
        <f>Data!T403</f>
        <v>9.9201388888888893E-5</v>
      </c>
      <c r="M405" s="46">
        <f>Data!U403</f>
        <v>7.8148938715457916E-2</v>
      </c>
      <c r="N405" s="46" t="str">
        <f>CONCATENATE(Data!W403," (",Data!V403,")")</f>
        <v>Exceso Velocidad 30 Km/h (Velocidad máxima: 35 kmh)</v>
      </c>
      <c r="O405" s="42" t="str">
        <f>IF(Data!V403&lt;&gt;"",N405,Data!W403)</f>
        <v>Exceso Velocidad 30 Km/h (Velocidad máxima: 35 kmh)</v>
      </c>
      <c r="P405" s="47" t="str">
        <f>Data!X403</f>
        <v>Válido</v>
      </c>
    </row>
    <row r="406" spans="1:16">
      <c r="A406" s="41" t="str">
        <f>Data!A404</f>
        <v>PKU239</v>
      </c>
      <c r="B406" s="41" t="str">
        <f>Data!D404</f>
        <v>Vehicle, Diesel, Frontera Energy Col 2679</v>
      </c>
      <c r="C406" s="41">
        <f>Data!F404</f>
        <v>0</v>
      </c>
      <c r="D406" s="41">
        <f>Data!G404</f>
        <v>0</v>
      </c>
      <c r="E406" s="41">
        <f>Data!H404</f>
        <v>0</v>
      </c>
      <c r="F406" s="41">
        <f>Data!K404</f>
        <v>0</v>
      </c>
      <c r="G406" s="33" t="str">
        <f>Data!M404</f>
        <v>Exceso Velocidad 30 Km/h</v>
      </c>
      <c r="H406" s="41" t="str">
        <f>Data!P404</f>
        <v>ECOPETROL RUBIALES- Quifa - CAÑO SUR, Puerto Triunfo - Estacion Policia: Puerto Gaitan - Rubiales, Puerto Gaitán, Meta, Colombia</v>
      </c>
      <c r="I406" s="42" t="str">
        <f>Data!Q404</f>
        <v>Cliente, Vel Max 40 Km/h, Vel Max 30 Km/h</v>
      </c>
      <c r="J406" s="43">
        <f>Data!S404</f>
        <v>46174.797924386578</v>
      </c>
      <c r="K406" s="44">
        <f>Data!S404</f>
        <v>46174.797924386578</v>
      </c>
      <c r="L406" s="45">
        <f>Data!T404</f>
        <v>2.46875E-5</v>
      </c>
      <c r="M406" s="46">
        <f>Data!U404</f>
        <v>1.4726393856108189E-2</v>
      </c>
      <c r="N406" s="46" t="str">
        <f>CONCATENATE(Data!W404," (",Data!V404,")")</f>
        <v>Exceso Velocidad 30 Km/h (Velocidad máxima: 31 kmh)</v>
      </c>
      <c r="O406" s="42" t="str">
        <f>IF(Data!V404&lt;&gt;"",N406,Data!W404)</f>
        <v>Exceso Velocidad 30 Km/h (Velocidad máxima: 31 kmh)</v>
      </c>
      <c r="P406" s="47" t="str">
        <f>Data!X404</f>
        <v>Válido</v>
      </c>
    </row>
    <row r="407" spans="1:16">
      <c r="A407" s="41" t="str">
        <f>Data!A405</f>
        <v>PKU239</v>
      </c>
      <c r="B407" s="41" t="str">
        <f>Data!D405</f>
        <v>Vehicle, Diesel, Frontera Energy Col 2679</v>
      </c>
      <c r="C407" s="41">
        <f>Data!F405</f>
        <v>0</v>
      </c>
      <c r="D407" s="41">
        <f>Data!G405</f>
        <v>0</v>
      </c>
      <c r="E407" s="41">
        <f>Data!H405</f>
        <v>0</v>
      </c>
      <c r="F407" s="41">
        <f>Data!K405</f>
        <v>0</v>
      </c>
      <c r="G407" s="33" t="str">
        <f>Data!M405</f>
        <v>Uso del cinturón de seguridad</v>
      </c>
      <c r="H407" s="41" t="str">
        <f>Data!P405</f>
        <v>ECOPETROL RUBIALES- Quifa - CAÑO SUR, Puerto Triunfo - Estacion Policia: Puerto Gaitan - Rubiales, Puerto Gaitán, Meta, Colombia</v>
      </c>
      <c r="I407" s="42" t="str">
        <f>Data!Q405</f>
        <v>Cliente, Vel Max 40 Km/h, Vel Max 30 Km/h</v>
      </c>
      <c r="J407" s="43">
        <f>Data!S405</f>
        <v>46174.799020416664</v>
      </c>
      <c r="K407" s="44">
        <f>Data!S405</f>
        <v>46174.799020416664</v>
      </c>
      <c r="L407" s="45">
        <f>Data!T405</f>
        <v>8.5798611111111118E-5</v>
      </c>
      <c r="M407" s="46">
        <f>Data!U405</f>
        <v>4.0610548108816147E-2</v>
      </c>
      <c r="N407" s="46" t="str">
        <f>CONCATENATE(Data!W405," (",Data!V405,")")</f>
        <v>Uso del cinturón de seguridad (Velocidad máxima: 22 kmh Cinturón de seguridad del conductor (1. Desabrochado): 1.00)</v>
      </c>
      <c r="O407" s="42" t="str">
        <f>IF(Data!V405&lt;&gt;"",N407,Data!W405)</f>
        <v>Uso del cinturón de seguridad (Velocidad máxima: 22 kmh Cinturón de seguridad del conductor (1. Desabrochado): 1.00)</v>
      </c>
      <c r="P407" s="47" t="str">
        <f>Data!X405</f>
        <v>Válido</v>
      </c>
    </row>
    <row r="408" spans="1:16">
      <c r="A408" s="41" t="str">
        <f>Data!A406</f>
        <v>PKU239</v>
      </c>
      <c r="B408" s="41" t="str">
        <f>Data!D406</f>
        <v>Vehicle, Diesel, Frontera Energy Col 2679</v>
      </c>
      <c r="C408" s="41">
        <f>Data!F406</f>
        <v>0</v>
      </c>
      <c r="D408" s="41">
        <f>Data!G406</f>
        <v>0</v>
      </c>
      <c r="E408" s="41">
        <f>Data!H406</f>
        <v>0</v>
      </c>
      <c r="F408" s="41">
        <f>Data!K406</f>
        <v>0</v>
      </c>
      <c r="G408" s="33" t="str">
        <f>Data!M406</f>
        <v>Exceso Velocidad 30 Km/h</v>
      </c>
      <c r="H408" s="41" t="str">
        <f>Data!P406</f>
        <v>ECOPETROL RUBIALES- Quifa - CAÑO SUR, Puerto Triunfo - Estacion Policia: Puerto Gaitan - Rubiales, Puerto Gaitán, Meta, Colombia</v>
      </c>
      <c r="I408" s="42" t="str">
        <f>Data!Q406</f>
        <v>Cliente, Vel Max 40 Km/h, Vel Max 30 Km/h</v>
      </c>
      <c r="J408" s="43">
        <f>Data!S406</f>
        <v>46174.799218310189</v>
      </c>
      <c r="K408" s="44">
        <f>Data!S406</f>
        <v>46174.799218310189</v>
      </c>
      <c r="L408" s="45">
        <f>Data!T406</f>
        <v>2.5520833333333335E-5</v>
      </c>
      <c r="M408" s="46">
        <f>Data!U406</f>
        <v>1.6647385433316231E-2</v>
      </c>
      <c r="N408" s="46" t="str">
        <f>CONCATENATE(Data!W406," (",Data!V406,")")</f>
        <v>Exceso Velocidad 30 Km/h (Velocidad máxima: 31 kmh)</v>
      </c>
      <c r="O408" s="42" t="str">
        <f>IF(Data!V406&lt;&gt;"",N408,Data!W406)</f>
        <v>Exceso Velocidad 30 Km/h (Velocidad máxima: 31 kmh)</v>
      </c>
      <c r="P408" s="47" t="str">
        <f>Data!X406</f>
        <v>Válido</v>
      </c>
    </row>
    <row r="409" spans="1:16">
      <c r="A409" s="41" t="str">
        <f>Data!A407</f>
        <v>PKU239</v>
      </c>
      <c r="B409" s="41" t="str">
        <f>Data!D407</f>
        <v>Vehicle, Diesel, Frontera Energy Col 2679</v>
      </c>
      <c r="C409" s="41">
        <f>Data!F407</f>
        <v>0</v>
      </c>
      <c r="D409" s="41">
        <f>Data!G407</f>
        <v>0</v>
      </c>
      <c r="E409" s="41">
        <f>Data!H407</f>
        <v>0</v>
      </c>
      <c r="F409" s="41">
        <f>Data!K407</f>
        <v>0</v>
      </c>
      <c r="G409" s="33" t="str">
        <f>Data!M407</f>
        <v>Exceso Velocidad 30 Km/h</v>
      </c>
      <c r="H409" s="41" t="str">
        <f>Data!P407</f>
        <v>ECOPETROL RUBIALES- Quifa - CAÑO SUR, Puerto Triunfo - Estacion Policia: Puerto Gaitan - Rubiales, Puerto Gaitán, Meta, Colombia</v>
      </c>
      <c r="I409" s="42" t="str">
        <f>Data!Q407</f>
        <v>Cliente, Vel Max 40 Km/h, Vel Max 30 Km/h</v>
      </c>
      <c r="J409" s="43">
        <f>Data!S407</f>
        <v>46174.799546296294</v>
      </c>
      <c r="K409" s="44">
        <f>Data!S407</f>
        <v>46174.799546296294</v>
      </c>
      <c r="L409" s="45">
        <f>Data!T407</f>
        <v>2.5462962962962961E-5</v>
      </c>
      <c r="M409" s="46">
        <f>Data!U407</f>
        <v>1.7870286479592323E-2</v>
      </c>
      <c r="N409" s="46" t="str">
        <f>CONCATENATE(Data!W407," (",Data!V407,")")</f>
        <v>Exceso Velocidad 30 Km/h (Velocidad máxima: 31 kmh)</v>
      </c>
      <c r="O409" s="42" t="str">
        <f>IF(Data!V407&lt;&gt;"",N409,Data!W407)</f>
        <v>Exceso Velocidad 30 Km/h (Velocidad máxima: 31 kmh)</v>
      </c>
      <c r="P409" s="47" t="str">
        <f>Data!X407</f>
        <v>Válido</v>
      </c>
    </row>
    <row r="410" spans="1:16">
      <c r="A410" s="41" t="str">
        <f>Data!A408</f>
        <v>PKU239</v>
      </c>
      <c r="B410" s="41" t="str">
        <f>Data!D408</f>
        <v>Vehicle, Diesel, Frontera Energy Col 2679</v>
      </c>
      <c r="C410" s="41">
        <f>Data!F408</f>
        <v>0</v>
      </c>
      <c r="D410" s="41">
        <f>Data!G408</f>
        <v>0</v>
      </c>
      <c r="E410" s="41">
        <f>Data!H408</f>
        <v>0</v>
      </c>
      <c r="F410" s="41">
        <f>Data!K408</f>
        <v>0</v>
      </c>
      <c r="G410" s="33" t="str">
        <f>Data!M408</f>
        <v>Giro brusco</v>
      </c>
      <c r="H410" s="41" t="str">
        <f>Data!P408</f>
        <v>ECOPETROL RUBIALES- Quifa - CAÑO SUR, Puerto Triunfo - Estacion Policia: Puerto Gaitan - Rubiales, Puerto Gaitán, Meta, Colombia</v>
      </c>
      <c r="I410" s="42" t="str">
        <f>Data!Q408</f>
        <v>Cliente, Vel Max 40 Km/h, Vel Max 30 Km/h</v>
      </c>
      <c r="J410" s="43">
        <f>Data!S408</f>
        <v>46174.799806863426</v>
      </c>
      <c r="K410" s="44">
        <f>Data!S408</f>
        <v>46174.799806863426</v>
      </c>
      <c r="L410" s="45">
        <f>Data!T408</f>
        <v>3.1250000000000003E-7</v>
      </c>
      <c r="M410" s="46">
        <f>Data!U408</f>
        <v>1.251999638043344E-4</v>
      </c>
      <c r="N410" s="46" t="str">
        <f>CONCATENATE(Data!W408," (",Data!V408,")")</f>
        <v>Giro brusco (Velocidad máxima: 14 kmh Aceleración de lado a lado: -0.50 g-force, Ignición: 1.00)</v>
      </c>
      <c r="O410" s="42" t="str">
        <f>IF(Data!V408&lt;&gt;"",N410,Data!W408)</f>
        <v>Giro brusco (Velocidad máxima: 14 kmh Aceleración de lado a lado: -0.50 g-force, Ignición: 1.00)</v>
      </c>
      <c r="P410" s="47" t="str">
        <f>Data!X408</f>
        <v>Válido</v>
      </c>
    </row>
    <row r="411" spans="1:16">
      <c r="A411" s="41" t="str">
        <f>Data!A409</f>
        <v>PKU239</v>
      </c>
      <c r="B411" s="41" t="str">
        <f>Data!D409</f>
        <v>Vehicle, Diesel, Frontera Energy Col 2679</v>
      </c>
      <c r="C411" s="41">
        <f>Data!F409</f>
        <v>0</v>
      </c>
      <c r="D411" s="41">
        <f>Data!G409</f>
        <v>0</v>
      </c>
      <c r="E411" s="41">
        <f>Data!H409</f>
        <v>0</v>
      </c>
      <c r="F411" s="41">
        <f>Data!K409</f>
        <v>0</v>
      </c>
      <c r="G411" s="33" t="str">
        <f>Data!M409</f>
        <v>Giro brusco</v>
      </c>
      <c r="H411" s="41" t="str">
        <f>Data!P409</f>
        <v>ECOPETROL RUBIALES- Quifa - CAÑO SUR, Puerto Triunfo - Estacion Policia: Puerto Gaitan - Rubiales, Puerto Gaitán, Meta, Colombia</v>
      </c>
      <c r="I411" s="42" t="str">
        <f>Data!Q409</f>
        <v>Cliente, Vel Max 40 Km/h, Vel Max 30 Km/h</v>
      </c>
      <c r="J411" s="43">
        <f>Data!S409</f>
        <v>46174.799814166669</v>
      </c>
      <c r="K411" s="44">
        <f>Data!S409</f>
        <v>46174.799814166669</v>
      </c>
      <c r="L411" s="45">
        <f>Data!T409</f>
        <v>1.1689814814814815E-6</v>
      </c>
      <c r="M411" s="46">
        <f>Data!U409</f>
        <v>4.6834058593958616E-4</v>
      </c>
      <c r="N411" s="46" t="str">
        <f>CONCATENATE(Data!W409," (",Data!V409,")")</f>
        <v>Giro brusco (Velocidad máxima: 14 kmh Aceleración de lado a lado: -0.61 g-force, Ignición: 1.00)</v>
      </c>
      <c r="O411" s="42" t="str">
        <f>IF(Data!V409&lt;&gt;"",N411,Data!W409)</f>
        <v>Giro brusco (Velocidad máxima: 14 kmh Aceleración de lado a lado: -0.61 g-force, Ignición: 1.00)</v>
      </c>
      <c r="P411" s="47" t="str">
        <f>Data!X409</f>
        <v>Válido</v>
      </c>
    </row>
    <row r="412" spans="1:16">
      <c r="A412" s="41" t="str">
        <f>Data!A410</f>
        <v>PKU239</v>
      </c>
      <c r="B412" s="41" t="str">
        <f>Data!D410</f>
        <v>Vehicle, Diesel, Frontera Energy Col 2679</v>
      </c>
      <c r="C412" s="41">
        <f>Data!F410</f>
        <v>0</v>
      </c>
      <c r="D412" s="41">
        <f>Data!G410</f>
        <v>0</v>
      </c>
      <c r="E412" s="41">
        <f>Data!H410</f>
        <v>0</v>
      </c>
      <c r="F412" s="41">
        <f>Data!K410</f>
        <v>0</v>
      </c>
      <c r="G412" s="33" t="str">
        <f>Data!M410</f>
        <v>Exceso Velocidad 30 Km/h</v>
      </c>
      <c r="H412" s="41" t="str">
        <f>Data!P410</f>
        <v>ECOPETROL RUBIALES- Quifa - CAÑO SUR, Puerto Triunfo - Estacion Policia: Puerto Gaitan - Rubiales, Puerto Gaitán, Meta, Colombia</v>
      </c>
      <c r="I412" s="42" t="str">
        <f>Data!Q410</f>
        <v>Cliente, Vel Max 40 Km/h, Vel Max 30 Km/h</v>
      </c>
      <c r="J412" s="43">
        <f>Data!S410</f>
        <v>46174.799902268518</v>
      </c>
      <c r="K412" s="44">
        <f>Data!S410</f>
        <v>46174.799902268518</v>
      </c>
      <c r="L412" s="45">
        <f>Data!T410</f>
        <v>1.3939814814814815E-4</v>
      </c>
      <c r="M412" s="46">
        <f>Data!U410</f>
        <v>0.10551683604717255</v>
      </c>
      <c r="N412" s="46" t="str">
        <f>CONCATENATE(Data!W410," (",Data!V410,")")</f>
        <v>Exceso Velocidad 30 Km/h (Velocidad máxima: 33 kmh)</v>
      </c>
      <c r="O412" s="42" t="str">
        <f>IF(Data!V410&lt;&gt;"",N412,Data!W410)</f>
        <v>Exceso Velocidad 30 Km/h (Velocidad máxima: 33 kmh)</v>
      </c>
      <c r="P412" s="47" t="str">
        <f>Data!X410</f>
        <v>Válido</v>
      </c>
    </row>
    <row r="413" spans="1:16">
      <c r="A413" s="41" t="str">
        <f>Data!A411</f>
        <v>PKU239</v>
      </c>
      <c r="B413" s="41" t="str">
        <f>Data!D411</f>
        <v>Vehicle, Diesel, Frontera Energy Col 2679</v>
      </c>
      <c r="C413" s="41">
        <f>Data!F411</f>
        <v>0</v>
      </c>
      <c r="D413" s="41">
        <f>Data!G411</f>
        <v>0</v>
      </c>
      <c r="E413" s="41">
        <f>Data!H411</f>
        <v>0</v>
      </c>
      <c r="F413" s="41">
        <f>Data!K411</f>
        <v>0</v>
      </c>
      <c r="G413" s="33" t="str">
        <f>Data!M411</f>
        <v>Exceso Velocidad 10 Km/h</v>
      </c>
      <c r="H413" s="41" t="str">
        <f>Data!P411</f>
        <v>ECOPETROL RUBIALES- Quifa - CAÑO SUR, Puerto Triunfo - Estacion Policia, PUESTRO CONTROL QUIFA: Puerto Gaitan - Rubiales, Puerto Gaitán, Meta, Colombia</v>
      </c>
      <c r="I413" s="42" t="str">
        <f>Data!Q411</f>
        <v>Cliente, Vel Max 40 Km/h, Vel Max 30 Km/h, Vel Max 10 Km/h</v>
      </c>
      <c r="J413" s="43">
        <f>Data!S411</f>
        <v>46174.801700648146</v>
      </c>
      <c r="K413" s="44">
        <f>Data!S411</f>
        <v>46174.801700648146</v>
      </c>
      <c r="L413" s="45">
        <f>Data!T411</f>
        <v>4.0226851851851849E-4</v>
      </c>
      <c r="M413" s="46">
        <f>Data!U411</f>
        <v>0.1824304461479187</v>
      </c>
      <c r="N413" s="46" t="str">
        <f>CONCATENATE(Data!W411," (",Data!V411,")")</f>
        <v>Exceso Velocidad 10 Km/h (Velocidad máxima: 22 kmh)</v>
      </c>
      <c r="O413" s="42" t="str">
        <f>IF(Data!V411&lt;&gt;"",N413,Data!W411)</f>
        <v>Exceso Velocidad 10 Km/h (Velocidad máxima: 22 kmh)</v>
      </c>
      <c r="P413" s="47" t="str">
        <f>Data!X411</f>
        <v>Válido</v>
      </c>
    </row>
    <row r="414" spans="1:16">
      <c r="A414" s="41" t="str">
        <f>Data!A412</f>
        <v>PKU239</v>
      </c>
      <c r="B414" s="41" t="str">
        <f>Data!D412</f>
        <v>Vehicle, Diesel, Frontera Energy Col 2679</v>
      </c>
      <c r="C414" s="41">
        <f>Data!F412</f>
        <v>0</v>
      </c>
      <c r="D414" s="41">
        <f>Data!G412</f>
        <v>0</v>
      </c>
      <c r="E414" s="41">
        <f>Data!H412</f>
        <v>0</v>
      </c>
      <c r="F414" s="41">
        <f>Data!K412</f>
        <v>0</v>
      </c>
      <c r="G414" s="33" t="str">
        <f>Data!M412</f>
        <v>Exceso de velocidad (nuevo)</v>
      </c>
      <c r="H414" s="41" t="str">
        <f>Data!P412</f>
        <v>ECOPETROL RUBIALES- Quifa - CAÑO SUR: Puerto Gaitan - Rubiales, Puerto Gaitán, Meta, Colombia</v>
      </c>
      <c r="I414" s="42" t="str">
        <f>Data!Q412</f>
        <v>Cliente, Vel Max 40 Km/h</v>
      </c>
      <c r="J414" s="43">
        <f>Data!S412</f>
        <v>46174.802349537036</v>
      </c>
      <c r="K414" s="44">
        <f>Data!S412</f>
        <v>46174.802349537036</v>
      </c>
      <c r="L414" s="45">
        <f>Data!T412</f>
        <v>5.1157407407407412E-4</v>
      </c>
      <c r="M414" s="46">
        <f>Data!U412</f>
        <v>0.28074076771736145</v>
      </c>
      <c r="N414" s="46" t="str">
        <f>CONCATENATE(Data!W412," (",Data!V412,")")</f>
        <v>Exceso de velocidad (nuevo) (Velocidad máxima: 31 kmh (Velocidad máxima en carretera: 7 kmh))</v>
      </c>
      <c r="O414" s="42" t="str">
        <f>IF(Data!V412&lt;&gt;"",N414,Data!W412)</f>
        <v>Exceso de velocidad (nuevo) (Velocidad máxima: 31 kmh (Velocidad máxima en carretera: 7 kmh))</v>
      </c>
      <c r="P414" s="47" t="str">
        <f>Data!X412</f>
        <v>Válido</v>
      </c>
    </row>
    <row r="415" spans="1:16">
      <c r="A415" s="41" t="str">
        <f>Data!A413</f>
        <v>PKU239</v>
      </c>
      <c r="B415" s="41" t="str">
        <f>Data!D413</f>
        <v>Vehicle, Diesel, Frontera Energy Col 2679</v>
      </c>
      <c r="C415" s="41">
        <f>Data!F413</f>
        <v>0</v>
      </c>
      <c r="D415" s="41">
        <f>Data!G413</f>
        <v>0</v>
      </c>
      <c r="E415" s="41">
        <f>Data!H413</f>
        <v>0</v>
      </c>
      <c r="F415" s="41">
        <f>Data!K413</f>
        <v>0</v>
      </c>
      <c r="G415" s="33" t="str">
        <f>Data!M413</f>
        <v>Exceso Velocidad 10 Km/h</v>
      </c>
      <c r="H415" s="41" t="str">
        <f>Data!P413</f>
        <v>ECOPETROL RUBIALES- Quifa - CAÑO SUR, Centralizado de combustible Quifa: Vía Sin Nombre, Puerto Gaitán, Meta, Colombia</v>
      </c>
      <c r="I415" s="42" t="str">
        <f>Data!Q413</f>
        <v>Cliente, Vel Max 40 Km/h, Vel Max 10 Km/h</v>
      </c>
      <c r="J415" s="43">
        <f>Data!S413</f>
        <v>46174.802967928241</v>
      </c>
      <c r="K415" s="44">
        <f>Data!S413</f>
        <v>46174.802967928241</v>
      </c>
      <c r="L415" s="45">
        <f>Data!T413</f>
        <v>4.579976851851852E-4</v>
      </c>
      <c r="M415" s="46">
        <f>Data!U413</f>
        <v>0.14805571734905243</v>
      </c>
      <c r="N415" s="46" t="str">
        <f>CONCATENATE(Data!W413," (",Data!V413,")")</f>
        <v>Exceso Velocidad 10 Km/h (Velocidad máxima: 14 kmh)</v>
      </c>
      <c r="O415" s="42" t="str">
        <f>IF(Data!V413&lt;&gt;"",N415,Data!W413)</f>
        <v>Exceso Velocidad 10 Km/h (Velocidad máxima: 14 kmh)</v>
      </c>
      <c r="P415" s="47" t="str">
        <f>Data!X413</f>
        <v>Válido</v>
      </c>
    </row>
    <row r="416" spans="1:16">
      <c r="A416" s="41" t="str">
        <f>Data!A414</f>
        <v>PKU239</v>
      </c>
      <c r="B416" s="41" t="str">
        <f>Data!D414</f>
        <v>Vehicle, Diesel, Frontera Energy Col 2679</v>
      </c>
      <c r="C416" s="41">
        <f>Data!F414</f>
        <v>0</v>
      </c>
      <c r="D416" s="41">
        <f>Data!G414</f>
        <v>0</v>
      </c>
      <c r="E416" s="41">
        <f>Data!H414</f>
        <v>0</v>
      </c>
      <c r="F416" s="41">
        <f>Data!K414</f>
        <v>0</v>
      </c>
      <c r="G416" s="33" t="str">
        <f>Data!M414</f>
        <v>Exceso Velocidad 10 Km/h</v>
      </c>
      <c r="H416" s="41" t="str">
        <f>Data!P414</f>
        <v>ECOPETROL RUBIALES- Quifa - CAÑO SUR, Centralizado de combustible Quifa: Vía Sin Nombre, Puerto Gaitán, Meta, Colombia</v>
      </c>
      <c r="I416" s="42" t="str">
        <f>Data!Q414</f>
        <v>Cliente, Vel Max 40 Km/h, Vel Max 10 Km/h</v>
      </c>
      <c r="J416" s="43">
        <f>Data!S414</f>
        <v>46174.806570763889</v>
      </c>
      <c r="K416" s="44">
        <f>Data!S414</f>
        <v>46174.806570763889</v>
      </c>
      <c r="L416" s="45">
        <f>Data!T414</f>
        <v>3.7744212962962964E-4</v>
      </c>
      <c r="M416" s="46">
        <f>Data!U414</f>
        <v>0.11126343160867691</v>
      </c>
      <c r="N416" s="46" t="str">
        <f>CONCATENATE(Data!W414," (",Data!V414,")")</f>
        <v>Exceso Velocidad 10 Km/h (Velocidad máxima: 13 kmh)</v>
      </c>
      <c r="O416" s="42" t="str">
        <f>IF(Data!V414&lt;&gt;"",N416,Data!W414)</f>
        <v>Exceso Velocidad 10 Km/h (Velocidad máxima: 13 kmh)</v>
      </c>
      <c r="P416" s="47" t="str">
        <f>Data!X414</f>
        <v>Válido</v>
      </c>
    </row>
    <row r="417" spans="1:16">
      <c r="A417" s="41" t="str">
        <f>Data!A415</f>
        <v>PKU239</v>
      </c>
      <c r="B417" s="41" t="str">
        <f>Data!D415</f>
        <v>Vehicle, Diesel, Frontera Energy Col 2679</v>
      </c>
      <c r="C417" s="41">
        <f>Data!F415</f>
        <v>0</v>
      </c>
      <c r="D417" s="41">
        <f>Data!G415</f>
        <v>0</v>
      </c>
      <c r="E417" s="41">
        <f>Data!H415</f>
        <v>0</v>
      </c>
      <c r="F417" s="41">
        <f>Data!K415</f>
        <v>0</v>
      </c>
      <c r="G417" s="33" t="str">
        <f>Data!M415</f>
        <v>Exceso de velocidad (nuevo)</v>
      </c>
      <c r="H417" s="41" t="str">
        <f>Data!P415</f>
        <v>ECOPETROL RUBIALES- Quifa - CAÑO SUR: Puerto Gaitan - Rubiales, Puerto Gaitán, Meta, Colombia</v>
      </c>
      <c r="I417" s="42" t="str">
        <f>Data!Q415</f>
        <v>Cliente, Vel Max 40 Km/h</v>
      </c>
      <c r="J417" s="43">
        <f>Data!S415</f>
        <v>46174.807071759256</v>
      </c>
      <c r="K417" s="44">
        <f>Data!S415</f>
        <v>46174.807071759256</v>
      </c>
      <c r="L417" s="45">
        <f>Data!T415</f>
        <v>6.2500000000000001E-4</v>
      </c>
      <c r="M417" s="46">
        <f>Data!U415</f>
        <v>0.29594266414642334</v>
      </c>
      <c r="N417" s="46" t="str">
        <f>CONCATENATE(Data!W415," (",Data!V415,")")</f>
        <v>Exceso de velocidad (nuevo) (Velocidad máxima: 26 kmh (Velocidad máxima en carretera: 7 kmh))</v>
      </c>
      <c r="O417" s="42" t="str">
        <f>IF(Data!V415&lt;&gt;"",N417,Data!W415)</f>
        <v>Exceso de velocidad (nuevo) (Velocidad máxima: 26 kmh (Velocidad máxima en carretera: 7 kmh))</v>
      </c>
      <c r="P417" s="47" t="str">
        <f>Data!X415</f>
        <v>Válido</v>
      </c>
    </row>
    <row r="418" spans="1:16">
      <c r="A418" s="41" t="str">
        <f>Data!A416</f>
        <v>PKU239</v>
      </c>
      <c r="B418" s="41" t="str">
        <f>Data!D416</f>
        <v>Vehicle, Diesel, Frontera Energy Col 2679</v>
      </c>
      <c r="C418" s="41">
        <f>Data!F416</f>
        <v>0</v>
      </c>
      <c r="D418" s="41">
        <f>Data!G416</f>
        <v>0</v>
      </c>
      <c r="E418" s="41">
        <f>Data!H416</f>
        <v>0</v>
      </c>
      <c r="F418" s="41">
        <f>Data!K416</f>
        <v>0</v>
      </c>
      <c r="G418" s="33" t="str">
        <f>Data!M416</f>
        <v>Exceso Velocidad 30 Km/h</v>
      </c>
      <c r="H418" s="41" t="str">
        <f>Data!P416</f>
        <v>ECOPETROL RUBIALES- Quifa - CAÑO SUR, Puerto Triunfo - Estacion Policia: Puerto Gaitan - Rubiales, Puerto Gaitán, Meta, Colombia</v>
      </c>
      <c r="I418" s="42" t="str">
        <f>Data!Q416</f>
        <v>Cliente, Vel Max 40 Km/h, Vel Max 30 Km/h</v>
      </c>
      <c r="J418" s="43">
        <f>Data!S416</f>
        <v>46174.808685185184</v>
      </c>
      <c r="K418" s="44">
        <f>Data!S416</f>
        <v>46174.808685185184</v>
      </c>
      <c r="L418" s="45">
        <f>Data!T416</f>
        <v>7.6388888888888887E-5</v>
      </c>
      <c r="M418" s="46">
        <f>Data!U416</f>
        <v>5.434783548116684E-2</v>
      </c>
      <c r="N418" s="46" t="str">
        <f>CONCATENATE(Data!W416," (",Data!V416,")")</f>
        <v>Exceso Velocidad 30 Km/h (Velocidad máxima: 31 kmh)</v>
      </c>
      <c r="O418" s="42" t="str">
        <f>IF(Data!V416&lt;&gt;"",N418,Data!W416)</f>
        <v>Exceso Velocidad 30 Km/h (Velocidad máxima: 31 kmh)</v>
      </c>
      <c r="P418" s="47" t="str">
        <f>Data!X416</f>
        <v>Válido</v>
      </c>
    </row>
    <row r="419" spans="1:16">
      <c r="A419" s="41" t="str">
        <f>Data!A417</f>
        <v>PKU239</v>
      </c>
      <c r="B419" s="41" t="str">
        <f>Data!D417</f>
        <v>Vehicle, Diesel, Frontera Energy Col 2679</v>
      </c>
      <c r="C419" s="41">
        <f>Data!F417</f>
        <v>0</v>
      </c>
      <c r="D419" s="41">
        <f>Data!G417</f>
        <v>0</v>
      </c>
      <c r="E419" s="41">
        <f>Data!H417</f>
        <v>0</v>
      </c>
      <c r="F419" s="41">
        <f>Data!K417</f>
        <v>0</v>
      </c>
      <c r="G419" s="33" t="str">
        <f>Data!M417</f>
        <v>Exceso Velocidad 10 Km/h</v>
      </c>
      <c r="H419" s="41" t="str">
        <f>Data!P417</f>
        <v>CAMPAMENTO QUIFA, ECOPETROL RUBIALES- Quifa - CAÑO SUR, Puerto Gaitan - Rubiales, Puerto Gaitán, Meta, Colombia, Puerto Triunfo - Estacion Policia: Ent. CAMPAMENTO, Puerto Gaitán, Meta, Colombia</v>
      </c>
      <c r="I419" s="42" t="str">
        <f>Data!Q417</f>
        <v>Vel Max 10 Km/h, Cliente, Vel Max 40 Km/h, Centro de servicios del proveedor, Vel Max 30 Km/h</v>
      </c>
      <c r="J419" s="43">
        <f>Data!S417</f>
        <v>46174.809448321757</v>
      </c>
      <c r="K419" s="44">
        <f>Data!S417</f>
        <v>46174.809448321757</v>
      </c>
      <c r="L419" s="45">
        <f>Data!T417</f>
        <v>1.8130787037037036E-4</v>
      </c>
      <c r="M419" s="46">
        <f>Data!U417</f>
        <v>7.3243491351604462E-2</v>
      </c>
      <c r="N419" s="46" t="str">
        <f>CONCATENATE(Data!W417," (",Data!V417,")")</f>
        <v>Exceso Velocidad 10 Km/h (Velocidad máxima: 22 kmh)</v>
      </c>
      <c r="O419" s="42" t="str">
        <f>IF(Data!V417&lt;&gt;"",N419,Data!W417)</f>
        <v>Exceso Velocidad 10 Km/h (Velocidad máxima: 22 kmh)</v>
      </c>
      <c r="P419" s="47" t="str">
        <f>Data!X417</f>
        <v>Válido</v>
      </c>
    </row>
    <row r="420" spans="1:16">
      <c r="A420" s="41" t="str">
        <f>Data!A418</f>
        <v>PKU239</v>
      </c>
      <c r="B420" s="41" t="str">
        <f>Data!D418</f>
        <v>Vehicle, Diesel, Frontera Energy Col 2679</v>
      </c>
      <c r="C420" s="41">
        <f>Data!F418</f>
        <v>0</v>
      </c>
      <c r="D420" s="41">
        <f>Data!G418</f>
        <v>0</v>
      </c>
      <c r="E420" s="41">
        <f>Data!H418</f>
        <v>0</v>
      </c>
      <c r="F420" s="41">
        <f>Data!K418</f>
        <v>0</v>
      </c>
      <c r="G420" s="33" t="str">
        <f>Data!M418</f>
        <v>Exceso Velocidad 10 Km/h</v>
      </c>
      <c r="H420" s="41" t="str">
        <f>Data!P418</f>
        <v>CAMPAMENTO QUIFA, ECOPETROL RUBIALES- Quifa - CAÑO SUR, Puerto Triunfo - Estacion Policia: Puerto Gaitan - Rubiales, Puerto Gaitán, Meta, Colombia</v>
      </c>
      <c r="I420" s="42" t="str">
        <f>Data!Q418</f>
        <v>Vel Max 10 Km/h, Cliente, Vel Max 40 Km/h, Vel Max 30 Km/h</v>
      </c>
      <c r="J420" s="43">
        <f>Data!S418</f>
        <v>46174.809629629628</v>
      </c>
      <c r="K420" s="44">
        <f>Data!S418</f>
        <v>46174.809629629628</v>
      </c>
      <c r="L420" s="45">
        <f>Data!T418</f>
        <v>2.2774305555555555E-4</v>
      </c>
      <c r="M420" s="46">
        <f>Data!U418</f>
        <v>0.11484766006469727</v>
      </c>
      <c r="N420" s="46" t="str">
        <f>CONCATENATE(Data!W418," (",Data!V418,")")</f>
        <v>Exceso Velocidad 10 Km/h (Velocidad máxima: 28 kmh)</v>
      </c>
      <c r="O420" s="42" t="str">
        <f>IF(Data!V418&lt;&gt;"",N420,Data!W418)</f>
        <v>Exceso Velocidad 10 Km/h (Velocidad máxima: 28 kmh)</v>
      </c>
      <c r="P420" s="47" t="str">
        <f>Data!X418</f>
        <v>Válido</v>
      </c>
    </row>
    <row r="421" spans="1:16">
      <c r="A421" s="41" t="str">
        <f>Data!A419</f>
        <v>PKU239</v>
      </c>
      <c r="B421" s="41" t="str">
        <f>Data!D419</f>
        <v>Vehicle, Diesel, Frontera Energy Col 2679</v>
      </c>
      <c r="C421" s="41">
        <f>Data!F419</f>
        <v>0</v>
      </c>
      <c r="D421" s="41">
        <f>Data!G419</f>
        <v>0</v>
      </c>
      <c r="E421" s="41">
        <f>Data!H419</f>
        <v>0</v>
      </c>
      <c r="F421" s="41">
        <f>Data!K419</f>
        <v>0</v>
      </c>
      <c r="G421" s="33" t="str">
        <f>Data!M419</f>
        <v>Exceso Velocidad 30 Km/h</v>
      </c>
      <c r="H421" s="41" t="str">
        <f>Data!P419</f>
        <v>ECOPETROL RUBIALES- Quifa - CAÑO SUR, Puerto Triunfo - Estacion Policia: Puerto Gaitan - Rubiales, Puerto Gaitán, Meta, Colombia</v>
      </c>
      <c r="I421" s="42" t="str">
        <f>Data!Q419</f>
        <v>Cliente, Vel Max 40 Km/h, Vel Max 30 Km/h</v>
      </c>
      <c r="J421" s="43">
        <f>Data!S419</f>
        <v>46174.810644016201</v>
      </c>
      <c r="K421" s="44">
        <f>Data!S419</f>
        <v>46174.810644016201</v>
      </c>
      <c r="L421" s="45">
        <f>Data!T419</f>
        <v>8.3449074074074074E-6</v>
      </c>
      <c r="M421" s="46">
        <f>Data!U419</f>
        <v>5.2984221838414669E-3</v>
      </c>
      <c r="N421" s="46" t="str">
        <f>CONCATENATE(Data!W419," (",Data!V419,")")</f>
        <v>Exceso Velocidad 30 Km/h (Velocidad máxima: 31 kmh)</v>
      </c>
      <c r="O421" s="42" t="str">
        <f>IF(Data!V419&lt;&gt;"",N421,Data!W419)</f>
        <v>Exceso Velocidad 30 Km/h (Velocidad máxima: 31 kmh)</v>
      </c>
      <c r="P421" s="47" t="str">
        <f>Data!X419</f>
        <v>Válido</v>
      </c>
    </row>
    <row r="422" spans="1:16">
      <c r="A422" s="41" t="str">
        <f>Data!A420</f>
        <v>PKU239</v>
      </c>
      <c r="B422" s="41" t="str">
        <f>Data!D420</f>
        <v>Vehicle, Diesel, Frontera Energy Col 2679</v>
      </c>
      <c r="C422" s="41">
        <f>Data!F420</f>
        <v>0</v>
      </c>
      <c r="D422" s="41">
        <f>Data!G420</f>
        <v>0</v>
      </c>
      <c r="E422" s="41">
        <f>Data!H420</f>
        <v>0</v>
      </c>
      <c r="F422" s="41">
        <f>Data!K420</f>
        <v>0</v>
      </c>
      <c r="G422" s="33" t="str">
        <f>Data!M420</f>
        <v>Tiempo en ralentí</v>
      </c>
      <c r="H422" s="41" t="str">
        <f>Data!P420</f>
        <v>ECOPETROL RUBIALES- Quifa - CAÑO SUR: Puerto Gaitan - Rubiales, Puerto Gaitán, Meta, Colombia</v>
      </c>
      <c r="I422" s="42" t="str">
        <f>Data!Q420</f>
        <v>Cliente, Vel Max 40 Km/h</v>
      </c>
      <c r="J422" s="43">
        <f>Data!S420</f>
        <v>46174.845960648148</v>
      </c>
      <c r="K422" s="44">
        <f>Data!S420</f>
        <v>46174.845960648148</v>
      </c>
      <c r="L422" s="45">
        <f>Data!T420</f>
        <v>5.7754629629629631E-3</v>
      </c>
      <c r="M422" s="46">
        <f>Data!U420</f>
        <v>1.3223888527136296E-4</v>
      </c>
      <c r="N422" s="46" t="str">
        <f>CONCATENATE(Data!W420," (",Data!V420,")")</f>
        <v>Tiempo en ralentí (Ignición: 1.00)</v>
      </c>
      <c r="O422" s="42" t="str">
        <f>IF(Data!V420&lt;&gt;"",N422,Data!W420)</f>
        <v>Tiempo en ralentí (Ignición: 1.00)</v>
      </c>
      <c r="P422" s="47" t="str">
        <f>Data!X420</f>
        <v>Válido</v>
      </c>
    </row>
    <row r="423" spans="1:16">
      <c r="A423" s="41" t="str">
        <f>Data!A421</f>
        <v>PKU239</v>
      </c>
      <c r="B423" s="41" t="str">
        <f>Data!D421</f>
        <v>Vehicle, Diesel, Frontera Energy Col 2679</v>
      </c>
      <c r="C423" s="41">
        <f>Data!F421</f>
        <v>0</v>
      </c>
      <c r="D423" s="41">
        <f>Data!G421</f>
        <v>0</v>
      </c>
      <c r="E423" s="41">
        <f>Data!H421</f>
        <v>0</v>
      </c>
      <c r="F423" s="41">
        <f>Data!K421</f>
        <v>0</v>
      </c>
      <c r="G423" s="33" t="str">
        <f>Data!M421</f>
        <v>Tiempo en ralentí</v>
      </c>
      <c r="H423" s="41" t="str">
        <f>Data!P421</f>
        <v>ECOPETROL RUBIALES- Quifa - CAÑO SUR: Qf 12, Puerto Gaitán, Meta, Colombia</v>
      </c>
      <c r="I423" s="42" t="str">
        <f>Data!Q421</f>
        <v>Cliente, Vel Max 40 Km/h</v>
      </c>
      <c r="J423" s="43">
        <f>Data!S421</f>
        <v>46174.897256944445</v>
      </c>
      <c r="K423" s="44">
        <f>Data!S421</f>
        <v>46174.897256944445</v>
      </c>
      <c r="L423" s="45">
        <f>Data!T421</f>
        <v>8.1018518518518514E-3</v>
      </c>
      <c r="M423" s="46">
        <f>Data!U421</f>
        <v>0</v>
      </c>
      <c r="N423" s="46" t="str">
        <f>CONCATENATE(Data!W421," (",Data!V421,")")</f>
        <v>Tiempo en ralentí (Ignición: 1.00)</v>
      </c>
      <c r="O423" s="42" t="str">
        <f>IF(Data!V421&lt;&gt;"",N423,Data!W421)</f>
        <v>Tiempo en ralentí (Ignición: 1.00)</v>
      </c>
      <c r="P423" s="47" t="str">
        <f>Data!X421</f>
        <v>Válido</v>
      </c>
    </row>
    <row r="424" spans="1:16">
      <c r="A424" s="41" t="str">
        <f>Data!A422</f>
        <v>PKU239</v>
      </c>
      <c r="B424" s="41" t="str">
        <f>Data!D422</f>
        <v>Vehicle, Diesel, Frontera Energy Col 2679</v>
      </c>
      <c r="C424" s="41">
        <f>Data!F422</f>
        <v>0</v>
      </c>
      <c r="D424" s="41">
        <f>Data!G422</f>
        <v>0</v>
      </c>
      <c r="E424" s="41">
        <f>Data!H422</f>
        <v>0</v>
      </c>
      <c r="F424" s="41">
        <f>Data!K422</f>
        <v>0</v>
      </c>
      <c r="G424" s="33" t="str">
        <f>Data!M422</f>
        <v>Uso del cinturón de seguridad</v>
      </c>
      <c r="H424" s="41" t="str">
        <f>Data!P422</f>
        <v>ECOPETROL RUBIALES- Quifa - CAÑO SUR: Qf 12, Puerto Gaitán, Meta, Colombia</v>
      </c>
      <c r="I424" s="42" t="str">
        <f>Data!Q422</f>
        <v>Cliente, Vel Max 40 Km/h</v>
      </c>
      <c r="J424" s="43">
        <f>Data!S422</f>
        <v>46174.906163194544</v>
      </c>
      <c r="K424" s="44">
        <f>Data!S422</f>
        <v>46174.906163194544</v>
      </c>
      <c r="L424" s="45">
        <f>Data!T422</f>
        <v>1.0850694444444444E-4</v>
      </c>
      <c r="M424" s="46">
        <f>Data!U422</f>
        <v>2.5715751573443413E-2</v>
      </c>
      <c r="N424" s="46" t="str">
        <f>CONCATENATE(Data!W422," (",Data!V422,")")</f>
        <v>Uso del cinturón de seguridad (Velocidad máxima: 13 kmh Cinturón de seguridad del conductor (1. Desabrochado): 1.00)</v>
      </c>
      <c r="O424" s="42" t="str">
        <f>IF(Data!V422&lt;&gt;"",N424,Data!W422)</f>
        <v>Uso del cinturón de seguridad (Velocidad máxima: 13 kmh Cinturón de seguridad del conductor (1. Desabrochado): 1.00)</v>
      </c>
      <c r="P424" s="47" t="str">
        <f>Data!X422</f>
        <v>Válido</v>
      </c>
    </row>
    <row r="425" spans="1:16">
      <c r="A425" s="41" t="str">
        <f>Data!A423</f>
        <v>PKU239</v>
      </c>
      <c r="B425" s="41" t="str">
        <f>Data!D423</f>
        <v>Vehicle, Diesel, Frontera Energy Col 2679</v>
      </c>
      <c r="C425" s="41">
        <f>Data!F423</f>
        <v>0</v>
      </c>
      <c r="D425" s="41">
        <f>Data!G423</f>
        <v>0</v>
      </c>
      <c r="E425" s="41">
        <f>Data!H423</f>
        <v>0</v>
      </c>
      <c r="F425" s="41">
        <f>Data!K423</f>
        <v>0</v>
      </c>
      <c r="G425" s="33" t="str">
        <f>Data!M423</f>
        <v>Uso del cinturón de seguridad</v>
      </c>
      <c r="H425" s="41" t="str">
        <f>Data!P423</f>
        <v>ECOPETROL RUBIALES- Quifa - CAÑO SUR: Qf 12, Puerto Gaitán, Meta, Colombia</v>
      </c>
      <c r="I425" s="42" t="str">
        <f>Data!Q423</f>
        <v>Cliente, Vel Max 40 Km/h</v>
      </c>
      <c r="J425" s="43">
        <f>Data!S423</f>
        <v>46174.906983020832</v>
      </c>
      <c r="K425" s="44">
        <f>Data!S423</f>
        <v>46174.906983020832</v>
      </c>
      <c r="L425" s="45">
        <f>Data!T423</f>
        <v>3.665509259259259E-5</v>
      </c>
      <c r="M425" s="46">
        <f>Data!U423</f>
        <v>8.6021833121776581E-3</v>
      </c>
      <c r="N425" s="46" t="str">
        <f>CONCATENATE(Data!W423," (",Data!V423,")")</f>
        <v>Uso del cinturón de seguridad (Velocidad máxima: 11 kmh Cinturón de seguridad del conductor (1. Desabrochado): 1.00)</v>
      </c>
      <c r="O425" s="42" t="str">
        <f>IF(Data!V423&lt;&gt;"",N425,Data!W423)</f>
        <v>Uso del cinturón de seguridad (Velocidad máxima: 11 kmh Cinturón de seguridad del conductor (1. Desabrochado): 1.00)</v>
      </c>
      <c r="P425" s="47" t="str">
        <f>Data!X423</f>
        <v>Válido</v>
      </c>
    </row>
    <row r="426" spans="1:16">
      <c r="A426" s="41" t="str">
        <f>Data!A424</f>
        <v>PKU239</v>
      </c>
      <c r="B426" s="41" t="str">
        <f>Data!D424</f>
        <v>Vehicle, Diesel, Frontera Energy Col 2679</v>
      </c>
      <c r="C426" s="41">
        <f>Data!F424</f>
        <v>0</v>
      </c>
      <c r="D426" s="41">
        <f>Data!G424</f>
        <v>0</v>
      </c>
      <c r="E426" s="41">
        <f>Data!H424</f>
        <v>0</v>
      </c>
      <c r="F426" s="41">
        <f>Data!K424</f>
        <v>0</v>
      </c>
      <c r="G426" s="33" t="str">
        <f>Data!M424</f>
        <v>Exceso Velocidad 10 Km/h</v>
      </c>
      <c r="H426" s="41" t="str">
        <f>Data!P424</f>
        <v>CAMPAMENTO QUIFA, ECOPETROL RUBIALES- Quifa - CAÑO SUR, Puerto Triunfo - Estacion Policia: Puerto Gaitan - Rubiales, Puerto Gaitán, Meta, Colombia</v>
      </c>
      <c r="I426" s="42" t="str">
        <f>Data!Q424</f>
        <v>Vel Max 10 Km/h, Cliente, Vel Max 40 Km/h, Vel Max 30 Km/h</v>
      </c>
      <c r="J426" s="43">
        <f>Data!S424</f>
        <v>46174.912950497688</v>
      </c>
      <c r="K426" s="44">
        <f>Data!S424</f>
        <v>46174.912950497688</v>
      </c>
      <c r="L426" s="45">
        <f>Data!T424</f>
        <v>1.2675925925925927E-4</v>
      </c>
      <c r="M426" s="46">
        <f>Data!U424</f>
        <v>4.8341318964958191E-2</v>
      </c>
      <c r="N426" s="46" t="str">
        <f>CONCATENATE(Data!W424," (",Data!V424,")")</f>
        <v>Exceso Velocidad 10 Km/h (Velocidad máxima: 15 kmh)</v>
      </c>
      <c r="O426" s="42" t="str">
        <f>IF(Data!V424&lt;&gt;"",N426,Data!W424)</f>
        <v>Exceso Velocidad 10 Km/h (Velocidad máxima: 15 kmh)</v>
      </c>
      <c r="P426" s="47" t="str">
        <f>Data!X424</f>
        <v>Válido</v>
      </c>
    </row>
    <row r="427" spans="1:16">
      <c r="A427" s="41" t="str">
        <f>Data!A425</f>
        <v>PKU239</v>
      </c>
      <c r="B427" s="41" t="str">
        <f>Data!D425</f>
        <v>Vehicle, Diesel, Frontera Energy Col 2679</v>
      </c>
      <c r="C427" s="41">
        <f>Data!F425</f>
        <v>0</v>
      </c>
      <c r="D427" s="41">
        <f>Data!G425</f>
        <v>0</v>
      </c>
      <c r="E427" s="41">
        <f>Data!H425</f>
        <v>0</v>
      </c>
      <c r="F427" s="41">
        <f>Data!K425</f>
        <v>0</v>
      </c>
      <c r="G427" s="33" t="str">
        <f>Data!M425</f>
        <v>Exceso Velocidad 10 Km/h</v>
      </c>
      <c r="H427" s="41" t="str">
        <f>Data!P425</f>
        <v>CAMPAMENTO QUIFA, ECOPETROL RUBIALES- Quifa - CAÑO SUR, Puerto Triunfo - Estacion Policia: Puerto Gaitan - Rubiales, Puerto Gaitán, Meta, Colombia</v>
      </c>
      <c r="I427" s="42" t="str">
        <f>Data!Q425</f>
        <v>Vel Max 10 Km/h, Cliente, Vel Max 40 Km/h, Vel Max 30 Km/h</v>
      </c>
      <c r="J427" s="43">
        <f>Data!S425</f>
        <v>46174.91310416667</v>
      </c>
      <c r="K427" s="44">
        <f>Data!S425</f>
        <v>46174.91310416667</v>
      </c>
      <c r="L427" s="45">
        <f>Data!T425</f>
        <v>2.0364583333333332E-4</v>
      </c>
      <c r="M427" s="46">
        <f>Data!U425</f>
        <v>7.3740497231483459E-2</v>
      </c>
      <c r="N427" s="46" t="str">
        <f>CONCATENATE(Data!W425," (",Data!V425,")")</f>
        <v>Exceso Velocidad 10 Km/h (Velocidad máxima: 20 kmh)</v>
      </c>
      <c r="O427" s="42" t="str">
        <f>IF(Data!V425&lt;&gt;"",N427,Data!W425)</f>
        <v>Exceso Velocidad 10 Km/h (Velocidad máxima: 20 kmh)</v>
      </c>
      <c r="P427" s="47" t="str">
        <f>Data!X425</f>
        <v>Válido</v>
      </c>
    </row>
    <row r="428" spans="1:16">
      <c r="A428" s="41" t="str">
        <f>Data!A426</f>
        <v>PKU239</v>
      </c>
      <c r="B428" s="41" t="str">
        <f>Data!D426</f>
        <v>Vehicle, Diesel, Frontera Energy Col 2679</v>
      </c>
      <c r="C428" s="41">
        <f>Data!F426</f>
        <v>0</v>
      </c>
      <c r="D428" s="41">
        <f>Data!G426</f>
        <v>0</v>
      </c>
      <c r="E428" s="41">
        <f>Data!H426</f>
        <v>0</v>
      </c>
      <c r="F428" s="41">
        <f>Data!K426</f>
        <v>0</v>
      </c>
      <c r="G428" s="33" t="str">
        <f>Data!M426</f>
        <v>Exceso Velocidad 10 Km/h</v>
      </c>
      <c r="H428" s="41" t="str">
        <f>Data!P426</f>
        <v>ECOPETROL RUBIALES- Quifa - CAÑO SUR, Campamento Quifa - CMA: Puerto Gaitan - Rubiales, Puerto Gaitán, Meta, Colombia</v>
      </c>
      <c r="I428" s="42" t="str">
        <f>Data!Q426</f>
        <v>Cliente, Vel Max 40 Km/h, Vel Max 10 Km/h</v>
      </c>
      <c r="J428" s="43">
        <f>Data!S426</f>
        <v>46174.913727303239</v>
      </c>
      <c r="K428" s="44">
        <f>Data!S426</f>
        <v>46174.913727303239</v>
      </c>
      <c r="L428" s="45">
        <f>Data!T426</f>
        <v>1.0874305555555555E-3</v>
      </c>
      <c r="M428" s="46">
        <f>Data!U426</f>
        <v>0.53470879793167114</v>
      </c>
      <c r="N428" s="46" t="str">
        <f>CONCATENATE(Data!W426," (",Data!V426,")")</f>
        <v>Exceso Velocidad 10 Km/h (Velocidad máxima: 22 kmh)</v>
      </c>
      <c r="O428" s="42" t="str">
        <f>IF(Data!V426&lt;&gt;"",N428,Data!W426)</f>
        <v>Exceso Velocidad 10 Km/h (Velocidad máxima: 22 kmh)</v>
      </c>
      <c r="P428" s="47" t="str">
        <f>Data!X426</f>
        <v>Válido</v>
      </c>
    </row>
    <row r="429" spans="1:16">
      <c r="A429" s="41" t="str">
        <f>Data!A427</f>
        <v>PKU239</v>
      </c>
      <c r="B429" s="41" t="str">
        <f>Data!D427</f>
        <v>Vehicle, Diesel, Frontera Energy Col 2679</v>
      </c>
      <c r="C429" s="41">
        <f>Data!F427</f>
        <v>0</v>
      </c>
      <c r="D429" s="41">
        <f>Data!G427</f>
        <v>0</v>
      </c>
      <c r="E429" s="41">
        <f>Data!H427</f>
        <v>0</v>
      </c>
      <c r="F429" s="41">
        <f>Data!K427</f>
        <v>0</v>
      </c>
      <c r="G429" s="33" t="str">
        <f>Data!M427</f>
        <v>Uso del cinturón de seguridad</v>
      </c>
      <c r="H429" s="41" t="str">
        <f>Data!P427</f>
        <v>ECOPETROL RUBIALES- Quifa - CAÑO SUR: Vía Sin Nombre, Puerto Gaitán, Meta, Colombia</v>
      </c>
      <c r="I429" s="42" t="str">
        <f>Data!Q427</f>
        <v>Cliente, Vel Max 40 Km/h</v>
      </c>
      <c r="J429" s="43">
        <f>Data!S427</f>
        <v>46174.916288935186</v>
      </c>
      <c r="K429" s="44">
        <f>Data!S427</f>
        <v>46174.916288935186</v>
      </c>
      <c r="L429" s="45">
        <f>Data!T427</f>
        <v>9.9953703703703703E-5</v>
      </c>
      <c r="M429" s="46">
        <f>Data!U427</f>
        <v>2.6601267978549004E-2</v>
      </c>
      <c r="N429" s="46" t="str">
        <f>CONCATENATE(Data!W427," (",Data!V427,")")</f>
        <v>Uso del cinturón de seguridad (Velocidad máxima: 14 kmh Cinturón de seguridad del conductor (1. Desabrochado): 1.00)</v>
      </c>
      <c r="O429" s="42" t="str">
        <f>IF(Data!V427&lt;&gt;"",N429,Data!W427)</f>
        <v>Uso del cinturón de seguridad (Velocidad máxima: 14 kmh Cinturón de seguridad del conductor (1. Desabrochado): 1.00)</v>
      </c>
      <c r="P429" s="47" t="str">
        <f>Data!X427</f>
        <v>Válido</v>
      </c>
    </row>
    <row r="430" spans="1:16">
      <c r="A430" s="41" t="str">
        <f>Data!A428</f>
        <v>PKU239</v>
      </c>
      <c r="B430" s="41" t="str">
        <f>Data!D428</f>
        <v>Vehicle, Diesel, Frontera Energy Col 2679</v>
      </c>
      <c r="C430" s="41">
        <f>Data!F428</f>
        <v>0</v>
      </c>
      <c r="D430" s="41">
        <f>Data!G428</f>
        <v>0</v>
      </c>
      <c r="E430" s="41">
        <f>Data!H428</f>
        <v>0</v>
      </c>
      <c r="F430" s="41">
        <f>Data!K428</f>
        <v>0</v>
      </c>
      <c r="G430" s="33" t="str">
        <f>Data!M428</f>
        <v>Tiempo en ralentí</v>
      </c>
      <c r="H430" s="41" t="str">
        <f>Data!P428</f>
        <v>ECOPETROL RUBIALES- Quifa - CAÑO SUR: Vía Sin Nombre, Puerto Gaitán, Meta, Colombia</v>
      </c>
      <c r="I430" s="42" t="str">
        <f>Data!Q428</f>
        <v>Cliente, Vel Max 40 Km/h</v>
      </c>
      <c r="J430" s="43">
        <f>Data!S428</f>
        <v>46174.916562500002</v>
      </c>
      <c r="K430" s="44">
        <f>Data!S428</f>
        <v>46174.916562500002</v>
      </c>
      <c r="L430" s="45">
        <f>Data!T428</f>
        <v>5.347222222222222E-3</v>
      </c>
      <c r="M430" s="46">
        <f>Data!U428</f>
        <v>0</v>
      </c>
      <c r="N430" s="46" t="str">
        <f>CONCATENATE(Data!W428," (",Data!V428,")")</f>
        <v>Tiempo en ralentí (Ignición: 1.00)</v>
      </c>
      <c r="O430" s="42" t="str">
        <f>IF(Data!V428&lt;&gt;"",N430,Data!W428)</f>
        <v>Tiempo en ralentí (Ignición: 1.00)</v>
      </c>
      <c r="P430" s="47" t="str">
        <f>Data!X428</f>
        <v>Válido</v>
      </c>
    </row>
    <row r="431" spans="1:16">
      <c r="A431" s="41" t="str">
        <f>Data!A429</f>
        <v>PKU239</v>
      </c>
      <c r="B431" s="41" t="str">
        <f>Data!D429</f>
        <v>Vehicle, Diesel, Frontera Energy Col 2679</v>
      </c>
      <c r="C431" s="41">
        <f>Data!F429</f>
        <v>0</v>
      </c>
      <c r="D431" s="41">
        <f>Data!G429</f>
        <v>0</v>
      </c>
      <c r="E431" s="41">
        <f>Data!H429</f>
        <v>0</v>
      </c>
      <c r="F431" s="41">
        <f>Data!K429</f>
        <v>0</v>
      </c>
      <c r="G431" s="33" t="str">
        <f>Data!M429</f>
        <v>Exceso Velocidad 10 Km/h</v>
      </c>
      <c r="H431" s="41" t="str">
        <f>Data!P429</f>
        <v>ECOPETROL RUBIALES- Quifa - CAÑO SUR, Campamento Quifa - CMA: Vía Sin Nombre, Puerto Gaitán, Meta, Colombia</v>
      </c>
      <c r="I431" s="42" t="str">
        <f>Data!Q429</f>
        <v>Cliente, Vel Max 40 Km/h, Vel Max 10 Km/h</v>
      </c>
      <c r="J431" s="43">
        <f>Data!S429</f>
        <v>46174.922418564813</v>
      </c>
      <c r="K431" s="44">
        <f>Data!S429</f>
        <v>46174.922418564813</v>
      </c>
      <c r="L431" s="45">
        <f>Data!T429</f>
        <v>1.0267245370370369E-3</v>
      </c>
      <c r="M431" s="46">
        <f>Data!U429</f>
        <v>0.53702408075332642</v>
      </c>
      <c r="N431" s="46" t="str">
        <f>CONCATENATE(Data!W429," (",Data!V429,")")</f>
        <v>Exceso Velocidad 10 Km/h (Velocidad máxima: 28 kmh)</v>
      </c>
      <c r="O431" s="42" t="str">
        <f>IF(Data!V429&lt;&gt;"",N431,Data!W429)</f>
        <v>Exceso Velocidad 10 Km/h (Velocidad máxima: 28 kmh)</v>
      </c>
      <c r="P431" s="47" t="str">
        <f>Data!X429</f>
        <v>Válido</v>
      </c>
    </row>
    <row r="432" spans="1:16">
      <c r="A432" s="41" t="str">
        <f>Data!A430</f>
        <v>PKU239</v>
      </c>
      <c r="B432" s="41" t="str">
        <f>Data!D430</f>
        <v>Vehicle, Diesel, Frontera Energy Col 2679</v>
      </c>
      <c r="C432" s="41">
        <f>Data!F430</f>
        <v>0</v>
      </c>
      <c r="D432" s="41">
        <f>Data!G430</f>
        <v>0</v>
      </c>
      <c r="E432" s="41">
        <f>Data!H430</f>
        <v>0</v>
      </c>
      <c r="F432" s="41">
        <f>Data!K430</f>
        <v>0</v>
      </c>
      <c r="G432" s="33" t="str">
        <f>Data!M430</f>
        <v>Exceso de velocidad (nuevo)</v>
      </c>
      <c r="H432" s="41" t="str">
        <f>Data!P430</f>
        <v>ECOPETROL RUBIALES- Quifa - CAÑO SUR, Puerto Triunfo - Estacion Policia: Puerto Gaitan - Rubiales, Puerto Gaitán, Meta, Colombia</v>
      </c>
      <c r="I432" s="42" t="str">
        <f>Data!Q430</f>
        <v>Cliente, Vel Max 40 Km/h, Vel Max 30 Km/h</v>
      </c>
      <c r="J432" s="43">
        <f>Data!S430</f>
        <v>46174.925000000003</v>
      </c>
      <c r="K432" s="44">
        <f>Data!S430</f>
        <v>46174.925000000003</v>
      </c>
      <c r="L432" s="45">
        <f>Data!T430</f>
        <v>6.5277777777777773E-4</v>
      </c>
      <c r="M432" s="46">
        <f>Data!U430</f>
        <v>0.31224039196968079</v>
      </c>
      <c r="N432" s="46" t="str">
        <f>CONCATENATE(Data!W430," (",Data!V430,")")</f>
        <v>Exceso de velocidad (nuevo) (Velocidad máxima: 26 kmh (Velocidad máxima en carretera: 7 kmh))</v>
      </c>
      <c r="O432" s="42" t="str">
        <f>IF(Data!V430&lt;&gt;"",N432,Data!W430)</f>
        <v>Exceso de velocidad (nuevo) (Velocidad máxima: 26 kmh (Velocidad máxima en carretera: 7 kmh))</v>
      </c>
      <c r="P432" s="47" t="str">
        <f>Data!X430</f>
        <v>Válido</v>
      </c>
    </row>
    <row r="433" spans="1:16">
      <c r="A433" s="41" t="str">
        <f>Data!A431</f>
        <v>PKU239</v>
      </c>
      <c r="B433" s="41" t="str">
        <f>Data!D431</f>
        <v>Vehicle, Diesel, Frontera Energy Col 2679</v>
      </c>
      <c r="C433" s="41">
        <f>Data!F431</f>
        <v>0</v>
      </c>
      <c r="D433" s="41">
        <f>Data!G431</f>
        <v>0</v>
      </c>
      <c r="E433" s="41">
        <f>Data!H431</f>
        <v>0</v>
      </c>
      <c r="F433" s="41">
        <f>Data!K431</f>
        <v>0</v>
      </c>
      <c r="G433" s="33" t="str">
        <f>Data!M431</f>
        <v>Exceso Velocidad 10 Km/h</v>
      </c>
      <c r="H433" s="41" t="str">
        <f>Data!P431</f>
        <v>ECOPETROL RUBIALES- Quifa - CAÑO SUR, Centralizado de combustible Quifa: Vía Sin Nombre, Puerto Gaitán, Meta, Colombia</v>
      </c>
      <c r="I433" s="42" t="str">
        <f>Data!Q431</f>
        <v>Cliente, Vel Max 40 Km/h, Vel Max 10 Km/h</v>
      </c>
      <c r="J433" s="43">
        <f>Data!S431</f>
        <v>46174.925743101849</v>
      </c>
      <c r="K433" s="44">
        <f>Data!S431</f>
        <v>46174.925743101849</v>
      </c>
      <c r="L433" s="45">
        <f>Data!T431</f>
        <v>5.3004629629629626E-4</v>
      </c>
      <c r="M433" s="46">
        <f>Data!U431</f>
        <v>0.15075221657752991</v>
      </c>
      <c r="N433" s="46" t="str">
        <f>CONCATENATE(Data!W431," (",Data!V431,")")</f>
        <v>Exceso Velocidad 10 Km/h (Velocidad máxima: 14 kmh)</v>
      </c>
      <c r="O433" s="42" t="str">
        <f>IF(Data!V431&lt;&gt;"",N433,Data!W431)</f>
        <v>Exceso Velocidad 10 Km/h (Velocidad máxima: 14 kmh)</v>
      </c>
      <c r="P433" s="47" t="str">
        <f>Data!X431</f>
        <v>Válido</v>
      </c>
    </row>
    <row r="434" spans="1:16">
      <c r="A434" s="41" t="str">
        <f>Data!A432</f>
        <v>PKU239</v>
      </c>
      <c r="B434" s="41" t="str">
        <f>Data!D432</f>
        <v>Vehicle, Diesel, Frontera Energy Col 2679</v>
      </c>
      <c r="C434" s="41">
        <f>Data!F432</f>
        <v>0</v>
      </c>
      <c r="D434" s="41">
        <f>Data!G432</f>
        <v>0</v>
      </c>
      <c r="E434" s="41">
        <f>Data!H432</f>
        <v>0</v>
      </c>
      <c r="F434" s="41">
        <f>Data!K432</f>
        <v>0</v>
      </c>
      <c r="G434" s="33" t="str">
        <f>Data!M432</f>
        <v>Exceso Velocidad 10 Km/h</v>
      </c>
      <c r="H434" s="41" t="str">
        <f>Data!P432</f>
        <v>ECOPETROL RUBIALES- Quifa - CAÑO SUR, Centralizado de combustible Quifa: Vía Sin Nombre, Puerto Gaitán, Meta, Colombia</v>
      </c>
      <c r="I434" s="42" t="str">
        <f>Data!Q432</f>
        <v>Cliente, Vel Max 40 Km/h, Vel Max 10 Km/h</v>
      </c>
      <c r="J434" s="43">
        <f>Data!S432</f>
        <v>46174.958136574074</v>
      </c>
      <c r="K434" s="44">
        <f>Data!S432</f>
        <v>46174.958136574074</v>
      </c>
      <c r="L434" s="45">
        <f>Data!T432</f>
        <v>1.1574074074074075E-4</v>
      </c>
      <c r="M434" s="46">
        <f>Data!U432</f>
        <v>3.4105021506547928E-2</v>
      </c>
      <c r="N434" s="46" t="str">
        <f>CONCATENATE(Data!W432," (",Data!V432,")")</f>
        <v>Exceso Velocidad 10 Km/h (Velocidad máxima: 12 kmh)</v>
      </c>
      <c r="O434" s="42" t="str">
        <f>IF(Data!V432&lt;&gt;"",N434,Data!W432)</f>
        <v>Exceso Velocidad 10 Km/h (Velocidad máxima: 12 kmh)</v>
      </c>
      <c r="P434" s="47" t="str">
        <f>Data!X432</f>
        <v>Válido</v>
      </c>
    </row>
    <row r="435" spans="1:16">
      <c r="A435" s="41" t="str">
        <f>Data!A433</f>
        <v>PKU239</v>
      </c>
      <c r="B435" s="41" t="str">
        <f>Data!D433</f>
        <v>Vehicle, Diesel, Frontera Energy Col 2679</v>
      </c>
      <c r="C435" s="41">
        <f>Data!F433</f>
        <v>0</v>
      </c>
      <c r="D435" s="41">
        <f>Data!G433</f>
        <v>0</v>
      </c>
      <c r="E435" s="41">
        <f>Data!H433</f>
        <v>0</v>
      </c>
      <c r="F435" s="41">
        <f>Data!K433</f>
        <v>0</v>
      </c>
      <c r="G435" s="33" t="str">
        <f>Data!M433</f>
        <v>Exceso Velocidad 10 Km/h</v>
      </c>
      <c r="H435" s="41" t="str">
        <f>Data!P433</f>
        <v>ECOPETROL RUBIALES- Quifa - CAÑO SUR, Centralizado de combustible Quifa: Vía Sin Nombre, Puerto Gaitán, Meta, Colombia</v>
      </c>
      <c r="I435" s="42" t="str">
        <f>Data!Q433</f>
        <v>Cliente, Vel Max 40 Km/h, Vel Max 10 Km/h</v>
      </c>
      <c r="J435" s="43">
        <f>Data!S433</f>
        <v>46174.958252314813</v>
      </c>
      <c r="K435" s="44">
        <f>Data!S433</f>
        <v>46174.958252314813</v>
      </c>
      <c r="L435" s="45">
        <f>Data!T433</f>
        <v>3.0840277777777778E-4</v>
      </c>
      <c r="M435" s="46">
        <f>Data!U433</f>
        <v>9.4684794545173645E-2</v>
      </c>
      <c r="N435" s="46" t="str">
        <f>CONCATENATE(Data!W433," (",Data!V433,")")</f>
        <v>Exceso Velocidad 10 Km/h (Velocidad máxima: 14 kmh)</v>
      </c>
      <c r="O435" s="42" t="str">
        <f>IF(Data!V433&lt;&gt;"",N435,Data!W433)</f>
        <v>Exceso Velocidad 10 Km/h (Velocidad máxima: 14 kmh)</v>
      </c>
      <c r="P435" s="47" t="str">
        <f>Data!X433</f>
        <v>Válido</v>
      </c>
    </row>
    <row r="436" spans="1:16">
      <c r="A436" s="41" t="str">
        <f>Data!A434</f>
        <v>PKU239</v>
      </c>
      <c r="B436" s="41" t="str">
        <f>Data!D434</f>
        <v>Vehicle, Diesel, Frontera Energy Col 2679</v>
      </c>
      <c r="C436" s="41">
        <f>Data!F434</f>
        <v>0</v>
      </c>
      <c r="D436" s="41">
        <f>Data!G434</f>
        <v>0</v>
      </c>
      <c r="E436" s="41">
        <f>Data!H434</f>
        <v>0</v>
      </c>
      <c r="F436" s="41">
        <f>Data!K434</f>
        <v>0</v>
      </c>
      <c r="G436" s="33" t="str">
        <f>Data!M434</f>
        <v>Engine Fault Exception</v>
      </c>
      <c r="H436" s="41" t="str">
        <f>Data!P434</f>
        <v>ECOPETROL RUBIALES- Quifa - CAÑO SUR, Centralizado de combustible Quifa: Vía Sin Nombre, Puerto Gaitán, Meta, Colombia</v>
      </c>
      <c r="I436" s="42" t="str">
        <f>Data!Q434</f>
        <v>Cliente, Vel Max 40 Km/h, Vel Max 10 Km/h</v>
      </c>
      <c r="J436" s="43">
        <f>Data!S434</f>
        <v>46174.958494270832</v>
      </c>
      <c r="K436" s="44">
        <f>Data!S434</f>
        <v>46174.958494270832</v>
      </c>
      <c r="L436" s="45">
        <f>Data!T434</f>
        <v>0</v>
      </c>
      <c r="M436" s="46">
        <f>Data!U434</f>
        <v>0</v>
      </c>
      <c r="N436" s="46" t="str">
        <f>CONCATENATE(Data!W434," (",Data!V434,")")</f>
        <v>Engine Fault Exception (Presión del riel de combustible/sistema - banco demasiado alto 1)</v>
      </c>
      <c r="O436" s="42" t="str">
        <f>IF(Data!V434&lt;&gt;"",N436,Data!W434)</f>
        <v>Engine Fault Exception (Presión del riel de combustible/sistema - banco demasiado alto 1)</v>
      </c>
      <c r="P436" s="47" t="str">
        <f>Data!X434</f>
        <v>Válido</v>
      </c>
    </row>
    <row r="437" spans="1:16">
      <c r="A437" s="41" t="str">
        <f>Data!A435</f>
        <v>PKU239</v>
      </c>
      <c r="B437" s="41" t="str">
        <f>Data!D435</f>
        <v>Vehicle, Diesel, Frontera Energy Col 2679</v>
      </c>
      <c r="C437" s="41">
        <f>Data!F435</f>
        <v>0</v>
      </c>
      <c r="D437" s="41">
        <f>Data!G435</f>
        <v>0</v>
      </c>
      <c r="E437" s="41">
        <f>Data!H435</f>
        <v>0</v>
      </c>
      <c r="F437" s="41">
        <f>Data!K435</f>
        <v>0</v>
      </c>
      <c r="G437" s="33" t="str">
        <f>Data!M435</f>
        <v>Engine Fault Exception</v>
      </c>
      <c r="H437" s="41" t="str">
        <f>Data!P435</f>
        <v>ECOPETROL RUBIALES- Quifa - CAÑO SUR: Puerto Gaitan - Rubiales, Puerto Gaitán, Meta, Colombia</v>
      </c>
      <c r="I437" s="42" t="str">
        <f>Data!Q435</f>
        <v>Cliente, Vel Max 40 Km/h</v>
      </c>
      <c r="J437" s="43">
        <f>Data!S435</f>
        <v>46174.95872386574</v>
      </c>
      <c r="K437" s="44">
        <f>Data!S435</f>
        <v>46174.95872386574</v>
      </c>
      <c r="L437" s="45">
        <f>Data!T435</f>
        <v>5.5947453703703706E-3</v>
      </c>
      <c r="M437" s="46">
        <f>Data!U435</f>
        <v>0.28321126103401184</v>
      </c>
      <c r="N437" s="46" t="str">
        <f>CONCATENATE(Data!W435," (",Data!V435,")")</f>
        <v>Engine Fault Exception (La luz de advertencia del vehículo está encendida)</v>
      </c>
      <c r="O437" s="42" t="str">
        <f>IF(Data!V435&lt;&gt;"",N437,Data!W435)</f>
        <v>Engine Fault Exception (La luz de advertencia del vehículo está encendida)</v>
      </c>
      <c r="P437" s="47" t="str">
        <f>Data!X435</f>
        <v>Válido</v>
      </c>
    </row>
    <row r="438" spans="1:16">
      <c r="A438" s="41" t="str">
        <f>Data!A436</f>
        <v>PKU239</v>
      </c>
      <c r="B438" s="41" t="str">
        <f>Data!D436</f>
        <v>Vehicle, Diesel, Frontera Energy Col 2679</v>
      </c>
      <c r="C438" s="41">
        <f>Data!F436</f>
        <v>0</v>
      </c>
      <c r="D438" s="41">
        <f>Data!G436</f>
        <v>0</v>
      </c>
      <c r="E438" s="41">
        <f>Data!H436</f>
        <v>0</v>
      </c>
      <c r="F438" s="41">
        <f>Data!K436</f>
        <v>0</v>
      </c>
      <c r="G438" s="33" t="str">
        <f>Data!M436</f>
        <v>Alerta de problema en el motor</v>
      </c>
      <c r="H438" s="41" t="str">
        <f>Data!P436</f>
        <v>ECOPETROL RUBIALES- Quifa - CAÑO SUR: Puerto Gaitan - Rubiales, Puerto Gaitán, Meta, Colombia</v>
      </c>
      <c r="I438" s="42" t="str">
        <f>Data!Q436</f>
        <v>Cliente, Vel Max 40 Km/h</v>
      </c>
      <c r="J438" s="43">
        <f>Data!S436</f>
        <v>46174.95872386574</v>
      </c>
      <c r="K438" s="44">
        <f>Data!S436</f>
        <v>46174.95872386574</v>
      </c>
      <c r="L438" s="45">
        <f>Data!T436</f>
        <v>5.5947453703703706E-3</v>
      </c>
      <c r="M438" s="46">
        <f>Data!U436</f>
        <v>0.28321126103401184</v>
      </c>
      <c r="N438" s="46" t="str">
        <f>CONCATENATE(Data!W436," (",Data!V436,")")</f>
        <v>Alerta de problema en el motor (La luz de advertencia del vehículo está encendida)</v>
      </c>
      <c r="O438" s="42" t="str">
        <f>IF(Data!V436&lt;&gt;"",N438,Data!W436)</f>
        <v>Alerta de problema en el motor (La luz de advertencia del vehículo está encendida)</v>
      </c>
      <c r="P438" s="47" t="str">
        <f>Data!X436</f>
        <v>Válido</v>
      </c>
    </row>
    <row r="439" spans="1:16">
      <c r="A439" s="41" t="str">
        <f>Data!A437</f>
        <v>PKU239</v>
      </c>
      <c r="B439" s="41" t="str">
        <f>Data!D437</f>
        <v>Vehicle, Diesel, Frontera Energy Col 2679</v>
      </c>
      <c r="C439" s="41">
        <f>Data!F437</f>
        <v>0</v>
      </c>
      <c r="D439" s="41">
        <f>Data!G437</f>
        <v>0</v>
      </c>
      <c r="E439" s="41">
        <f>Data!H437</f>
        <v>0</v>
      </c>
      <c r="F439" s="41">
        <f>Data!K437</f>
        <v>0</v>
      </c>
      <c r="G439" s="33" t="str">
        <f>Data!M437</f>
        <v>Engine Fault Exception</v>
      </c>
      <c r="H439" s="41" t="str">
        <f>Data!P437</f>
        <v>ECOPETROL RUBIALES- Quifa - CAÑO SUR: Puerto Gaitan - Rubiales, Puerto Gaitán, Meta, Colombia</v>
      </c>
      <c r="I439" s="42" t="str">
        <f>Data!Q437</f>
        <v>Cliente, Vel Max 40 Km/h</v>
      </c>
      <c r="J439" s="43">
        <f>Data!S437</f>
        <v>46174.960102175923</v>
      </c>
      <c r="K439" s="44">
        <f>Data!S437</f>
        <v>46174.960102175923</v>
      </c>
      <c r="L439" s="45">
        <f>Data!T437</f>
        <v>0</v>
      </c>
      <c r="M439" s="46">
        <f>Data!U437</f>
        <v>0</v>
      </c>
      <c r="N439" s="46" t="str">
        <f>CONCATENATE(Data!W437," (",Data!V437,")")</f>
        <v>Engine Fault Exception (Presión del riel de combustible/sistema - banco demasiado alto 1)</v>
      </c>
      <c r="O439" s="42" t="str">
        <f>IF(Data!V437&lt;&gt;"",N439,Data!W437)</f>
        <v>Engine Fault Exception (Presión del riel de combustible/sistema - banco demasiado alto 1)</v>
      </c>
      <c r="P439" s="47" t="str">
        <f>Data!X437</f>
        <v>Válido</v>
      </c>
    </row>
    <row r="440" spans="1:16">
      <c r="A440" s="41" t="str">
        <f>Data!A438</f>
        <v>PKU239</v>
      </c>
      <c r="B440" s="41" t="str">
        <f>Data!D438</f>
        <v>Vehicle, Diesel, Frontera Energy Col 2679</v>
      </c>
      <c r="C440" s="41">
        <f>Data!F438</f>
        <v>0</v>
      </c>
      <c r="D440" s="41">
        <f>Data!G438</f>
        <v>0</v>
      </c>
      <c r="E440" s="41">
        <f>Data!H438</f>
        <v>0</v>
      </c>
      <c r="F440" s="41">
        <f>Data!K438</f>
        <v>0</v>
      </c>
      <c r="G440" s="33" t="str">
        <f>Data!M438</f>
        <v>Exceso Velocidad 10 Km/h</v>
      </c>
      <c r="H440" s="41" t="str">
        <f>Data!P438</f>
        <v>ECOPETROL RUBIALES- Quifa - CAÑO SUR, Centralizado de combustible Quifa: Vía Sin Nombre, Puerto Gaitán, Meta, Colombia</v>
      </c>
      <c r="I440" s="42" t="str">
        <f>Data!Q438</f>
        <v>Cliente, Vel Max 40 Km/h, Vel Max 10 Km/h</v>
      </c>
      <c r="J440" s="43">
        <f>Data!S438</f>
        <v>46174.963330439816</v>
      </c>
      <c r="K440" s="44">
        <f>Data!S438</f>
        <v>46174.963330439816</v>
      </c>
      <c r="L440" s="45">
        <f>Data!T438</f>
        <v>8.3912037037037031E-5</v>
      </c>
      <c r="M440" s="46">
        <f>Data!U438</f>
        <v>2.1446706727147102E-2</v>
      </c>
      <c r="N440" s="46" t="str">
        <f>CONCATENATE(Data!W438," (",Data!V438,")")</f>
        <v>Exceso Velocidad 10 Km/h (Velocidad máxima: 11 kmh)</v>
      </c>
      <c r="O440" s="42" t="str">
        <f>IF(Data!V438&lt;&gt;"",N440,Data!W438)</f>
        <v>Exceso Velocidad 10 Km/h (Velocidad máxima: 11 kmh)</v>
      </c>
      <c r="P440" s="47" t="str">
        <f>Data!X438</f>
        <v>Válido</v>
      </c>
    </row>
    <row r="441" spans="1:16">
      <c r="A441" s="41" t="str">
        <f>Data!A439</f>
        <v>PKU239</v>
      </c>
      <c r="B441" s="41" t="str">
        <f>Data!D439</f>
        <v>Vehicle, Diesel, Frontera Energy Col 2679</v>
      </c>
      <c r="C441" s="41">
        <f>Data!F439</f>
        <v>0</v>
      </c>
      <c r="D441" s="41">
        <f>Data!G439</f>
        <v>0</v>
      </c>
      <c r="E441" s="41">
        <f>Data!H439</f>
        <v>0</v>
      </c>
      <c r="F441" s="41">
        <f>Data!K439</f>
        <v>0</v>
      </c>
      <c r="G441" s="33" t="str">
        <f>Data!M439</f>
        <v>Exceso Velocidad 10 Km/h</v>
      </c>
      <c r="H441" s="41" t="str">
        <f>Data!P439</f>
        <v>ECOPETROL RUBIALES- Quifa - CAÑO SUR, Centralizado de combustible Quifa: Vía Sin Nombre, Puerto Gaitán, Meta, Colombia</v>
      </c>
      <c r="I441" s="42" t="str">
        <f>Data!Q439</f>
        <v>Cliente, Vel Max 40 Km/h, Vel Max 10 Km/h</v>
      </c>
      <c r="J441" s="43">
        <f>Data!S439</f>
        <v>46174.963522372687</v>
      </c>
      <c r="K441" s="44">
        <f>Data!S439</f>
        <v>46174.963522372687</v>
      </c>
      <c r="L441" s="45">
        <f>Data!T439</f>
        <v>2.3341435185185187E-4</v>
      </c>
      <c r="M441" s="46">
        <f>Data!U439</f>
        <v>5.8899704366922379E-2</v>
      </c>
      <c r="N441" s="46" t="str">
        <f>CONCATENATE(Data!W439," (",Data!V439,")")</f>
        <v>Exceso Velocidad 10 Km/h (Velocidad máxima: 12 kmh)</v>
      </c>
      <c r="O441" s="42" t="str">
        <f>IF(Data!V439&lt;&gt;"",N441,Data!W439)</f>
        <v>Exceso Velocidad 10 Km/h (Velocidad máxima: 12 kmh)</v>
      </c>
      <c r="P441" s="47" t="str">
        <f>Data!X439</f>
        <v>Válido</v>
      </c>
    </row>
    <row r="442" spans="1:16">
      <c r="A442" s="41" t="str">
        <f>Data!A440</f>
        <v>PKU239</v>
      </c>
      <c r="B442" s="41" t="str">
        <f>Data!D440</f>
        <v>Vehicle, Diesel, Frontera Energy Col 2679</v>
      </c>
      <c r="C442" s="41">
        <f>Data!F440</f>
        <v>0</v>
      </c>
      <c r="D442" s="41">
        <f>Data!G440</f>
        <v>0</v>
      </c>
      <c r="E442" s="41">
        <f>Data!H440</f>
        <v>0</v>
      </c>
      <c r="F442" s="41">
        <f>Data!K440</f>
        <v>0</v>
      </c>
      <c r="G442" s="33" t="str">
        <f>Data!M440</f>
        <v>Exceso Velocidad 10 Km/h</v>
      </c>
      <c r="H442" s="41" t="str">
        <f>Data!P440</f>
        <v>ECOPETROL RUBIALES- Quifa - CAÑO SUR, Centralizado de combustible Quifa: Vía Sin Nombre, Puerto Gaitán, Meta, Colombia</v>
      </c>
      <c r="I442" s="42" t="str">
        <f>Data!Q440</f>
        <v>Cliente, Vel Max 40 Km/h, Vel Max 10 Km/h</v>
      </c>
      <c r="J442" s="43">
        <f>Data!S440</f>
        <v>46174.967037037037</v>
      </c>
      <c r="K442" s="44">
        <f>Data!S440</f>
        <v>46174.967037037037</v>
      </c>
      <c r="L442" s="45">
        <f>Data!T440</f>
        <v>4.0741898148148148E-4</v>
      </c>
      <c r="M442" s="46">
        <f>Data!U440</f>
        <v>0.12728102505207062</v>
      </c>
      <c r="N442" s="46" t="str">
        <f>CONCATENATE(Data!W440," (",Data!V440,")")</f>
        <v>Exceso Velocidad 10 Km/h (Velocidad máxima: 14 kmh)</v>
      </c>
      <c r="O442" s="42" t="str">
        <f>IF(Data!V440&lt;&gt;"",N442,Data!W440)</f>
        <v>Exceso Velocidad 10 Km/h (Velocidad máxima: 14 kmh)</v>
      </c>
      <c r="P442" s="47" t="str">
        <f>Data!X440</f>
        <v>Válido</v>
      </c>
    </row>
    <row r="443" spans="1:16">
      <c r="A443" s="41" t="str">
        <f>Data!A441</f>
        <v>PKU239</v>
      </c>
      <c r="B443" s="41" t="str">
        <f>Data!D441</f>
        <v>Vehicle, Diesel, Frontera Energy Col 2679</v>
      </c>
      <c r="C443" s="41">
        <f>Data!F441</f>
        <v>0</v>
      </c>
      <c r="D443" s="41">
        <f>Data!G441</f>
        <v>0</v>
      </c>
      <c r="E443" s="41">
        <f>Data!H441</f>
        <v>0</v>
      </c>
      <c r="F443" s="41">
        <f>Data!K441</f>
        <v>0</v>
      </c>
      <c r="G443" s="33" t="str">
        <f>Data!M441</f>
        <v>Engine Fault Exception</v>
      </c>
      <c r="H443" s="41" t="str">
        <f>Data!P441</f>
        <v>ECOPETROL RUBIALES- Quifa - CAÑO SUR, Centralizado de combustible Quifa: Vía Sin Nombre, Puerto Gaitán, Meta, Colombia</v>
      </c>
      <c r="I443" s="42" t="str">
        <f>Data!Q441</f>
        <v>Cliente, Vel Max 40 Km/h, Vel Max 10 Km/h</v>
      </c>
      <c r="J443" s="43">
        <f>Data!S441</f>
        <v>46174.967509629627</v>
      </c>
      <c r="K443" s="44">
        <f>Data!S441</f>
        <v>46174.967509629627</v>
      </c>
      <c r="L443" s="45">
        <f>Data!T441</f>
        <v>0</v>
      </c>
      <c r="M443" s="46">
        <f>Data!U441</f>
        <v>0</v>
      </c>
      <c r="N443" s="46" t="str">
        <f>CONCATENATE(Data!W441," (",Data!V441,")")</f>
        <v>Engine Fault Exception (Presión del riel de combustible/sistema - banco demasiado alto 1)</v>
      </c>
      <c r="O443" s="42" t="str">
        <f>IF(Data!V441&lt;&gt;"",N443,Data!W441)</f>
        <v>Engine Fault Exception (Presión del riel de combustible/sistema - banco demasiado alto 1)</v>
      </c>
      <c r="P443" s="47" t="str">
        <f>Data!X441</f>
        <v>Válido</v>
      </c>
    </row>
    <row r="444" spans="1:16">
      <c r="A444" s="41" t="str">
        <f>Data!A442</f>
        <v>PKU239</v>
      </c>
      <c r="B444" s="41" t="str">
        <f>Data!D442</f>
        <v>Vehicle, Diesel, Frontera Energy Col 2679</v>
      </c>
      <c r="C444" s="41">
        <f>Data!F442</f>
        <v>0</v>
      </c>
      <c r="D444" s="41">
        <f>Data!G442</f>
        <v>0</v>
      </c>
      <c r="E444" s="41">
        <f>Data!H442</f>
        <v>0</v>
      </c>
      <c r="F444" s="41">
        <f>Data!K442</f>
        <v>0</v>
      </c>
      <c r="G444" s="33" t="str">
        <f>Data!M442</f>
        <v>Exceso de velocidad (nuevo)</v>
      </c>
      <c r="H444" s="41" t="str">
        <f>Data!P442</f>
        <v>ECOPETROL RUBIALES- Quifa - CAÑO SUR: Puerto Gaitan - Rubiales, Puerto Gaitán, Meta, Colombia</v>
      </c>
      <c r="I444" s="42" t="str">
        <f>Data!Q442</f>
        <v>Cliente, Vel Max 40 Km/h</v>
      </c>
      <c r="J444" s="43">
        <f>Data!S442</f>
        <v>46174.967546296299</v>
      </c>
      <c r="K444" s="44">
        <f>Data!S442</f>
        <v>46174.967546296299</v>
      </c>
      <c r="L444" s="45">
        <f>Data!T442</f>
        <v>1.4930555555555555E-4</v>
      </c>
      <c r="M444" s="46">
        <f>Data!U442</f>
        <v>4.1339889168739319E-2</v>
      </c>
      <c r="N444" s="46" t="str">
        <f>CONCATENATE(Data!W442," (",Data!V442,")")</f>
        <v>Exceso de velocidad (nuevo) (Velocidad máxima: 13 kmh (Velocidad máxima en carretera: 7 kmh))</v>
      </c>
      <c r="O444" s="42" t="str">
        <f>IF(Data!V442&lt;&gt;"",N444,Data!W442)</f>
        <v>Exceso de velocidad (nuevo) (Velocidad máxima: 13 kmh (Velocidad máxima en carretera: 7 kmh))</v>
      </c>
      <c r="P444" s="47" t="str">
        <f>Data!X442</f>
        <v>Válido</v>
      </c>
    </row>
    <row r="445" spans="1:16">
      <c r="A445" s="41" t="str">
        <f>Data!A443</f>
        <v>PKU239</v>
      </c>
      <c r="B445" s="41" t="str">
        <f>Data!D443</f>
        <v>Vehicle, Diesel, Frontera Energy Col 2679</v>
      </c>
      <c r="C445" s="41">
        <f>Data!F443</f>
        <v>0</v>
      </c>
      <c r="D445" s="41">
        <f>Data!G443</f>
        <v>0</v>
      </c>
      <c r="E445" s="41">
        <f>Data!H443</f>
        <v>0</v>
      </c>
      <c r="F445" s="41">
        <f>Data!K443</f>
        <v>0</v>
      </c>
      <c r="G445" s="33" t="str">
        <f>Data!M443</f>
        <v>Alerta de problema en el motor</v>
      </c>
      <c r="H445" s="41" t="str">
        <f>Data!P443</f>
        <v>ECOPETROL RUBIALES- Quifa - CAÑO SUR: Puerto Gaitan - Rubiales, Puerto Gaitán, Meta, Colombia</v>
      </c>
      <c r="I445" s="42" t="str">
        <f>Data!Q443</f>
        <v>Cliente, Vel Max 40 Km/h</v>
      </c>
      <c r="J445" s="43">
        <f>Data!S443</f>
        <v>46174.967739803244</v>
      </c>
      <c r="K445" s="44">
        <f>Data!S443</f>
        <v>46174.967739803244</v>
      </c>
      <c r="L445" s="45">
        <f>Data!T443</f>
        <v>0.23825599537037037</v>
      </c>
      <c r="M445" s="46">
        <f>Data!U443</f>
        <v>66.492233276367188</v>
      </c>
      <c r="N445" s="46" t="str">
        <f>CONCATENATE(Data!W443," (",Data!V443,")")</f>
        <v>Alerta de problema en el motor (La luz de advertencia del vehículo está encendida)</v>
      </c>
      <c r="O445" s="42" t="str">
        <f>IF(Data!V443&lt;&gt;"",N445,Data!W443)</f>
        <v>Alerta de problema en el motor (La luz de advertencia del vehículo está encendida)</v>
      </c>
      <c r="P445" s="47" t="str">
        <f>Data!X443</f>
        <v>Válido</v>
      </c>
    </row>
    <row r="446" spans="1:16">
      <c r="A446" s="41" t="str">
        <f>Data!A444</f>
        <v>PKU239</v>
      </c>
      <c r="B446" s="41" t="str">
        <f>Data!D444</f>
        <v>Vehicle, Diesel, Frontera Energy Col 2679</v>
      </c>
      <c r="C446" s="41">
        <f>Data!F444</f>
        <v>0</v>
      </c>
      <c r="D446" s="41">
        <f>Data!G444</f>
        <v>0</v>
      </c>
      <c r="E446" s="41">
        <f>Data!H444</f>
        <v>0</v>
      </c>
      <c r="F446" s="41">
        <f>Data!K444</f>
        <v>0</v>
      </c>
      <c r="G446" s="33" t="str">
        <f>Data!M444</f>
        <v>Engine Fault Exception</v>
      </c>
      <c r="H446" s="41" t="str">
        <f>Data!P444</f>
        <v>ECOPETROL RUBIALES- Quifa - CAÑO SUR: Puerto Gaitan - Rubiales, Puerto Gaitán, Meta, Colombia</v>
      </c>
      <c r="I446" s="42" t="str">
        <f>Data!Q444</f>
        <v>Cliente, Vel Max 40 Km/h</v>
      </c>
      <c r="J446" s="43">
        <f>Data!S444</f>
        <v>46174.967739803244</v>
      </c>
      <c r="K446" s="44">
        <f>Data!S444</f>
        <v>46174.967739803244</v>
      </c>
      <c r="L446" s="45">
        <f>Data!T444</f>
        <v>0.23825599537037037</v>
      </c>
      <c r="M446" s="46">
        <f>Data!U444</f>
        <v>66.492233276367188</v>
      </c>
      <c r="N446" s="46" t="str">
        <f>CONCATENATE(Data!W444," (",Data!V444,")")</f>
        <v>Engine Fault Exception (La luz de advertencia del vehículo está encendida)</v>
      </c>
      <c r="O446" s="42" t="str">
        <f>IF(Data!V444&lt;&gt;"",N446,Data!W444)</f>
        <v>Engine Fault Exception (La luz de advertencia del vehículo está encendida)</v>
      </c>
      <c r="P446" s="47" t="str">
        <f>Data!X444</f>
        <v>Válido</v>
      </c>
    </row>
    <row r="447" spans="1:16">
      <c r="A447" s="41" t="str">
        <f>Data!A445</f>
        <v>PKU239</v>
      </c>
      <c r="B447" s="41" t="str">
        <f>Data!D445</f>
        <v>Vehicle, Diesel, Frontera Energy Col 2679</v>
      </c>
      <c r="C447" s="41">
        <f>Data!F445</f>
        <v>0</v>
      </c>
      <c r="D447" s="41">
        <f>Data!G445</f>
        <v>0</v>
      </c>
      <c r="E447" s="41">
        <f>Data!H445</f>
        <v>0</v>
      </c>
      <c r="F447" s="41">
        <f>Data!K445</f>
        <v>0</v>
      </c>
      <c r="G447" s="33" t="str">
        <f>Data!M445</f>
        <v>Exceso de velocidad (nuevo)</v>
      </c>
      <c r="H447" s="41" t="str">
        <f>Data!P445</f>
        <v>ECOPETROL RUBIALES- Quifa - CAÑO SUR: Puerto Gaitan - Rubiales, Puerto Gaitán, Meta, Colombia</v>
      </c>
      <c r="I447" s="42" t="str">
        <f>Data!Q445</f>
        <v>Cliente, Vel Max 40 Km/h</v>
      </c>
      <c r="J447" s="43">
        <f>Data!S445</f>
        <v>46174.968075810182</v>
      </c>
      <c r="K447" s="44">
        <f>Data!S445</f>
        <v>46174.968075810182</v>
      </c>
      <c r="L447" s="45">
        <f>Data!T445</f>
        <v>5.7002314814814817E-4</v>
      </c>
      <c r="M447" s="46">
        <f>Data!U445</f>
        <v>0.25083208084106445</v>
      </c>
      <c r="N447" s="46" t="str">
        <f>CONCATENATE(Data!W445," (",Data!V445,")")</f>
        <v>Exceso de velocidad (nuevo) (Velocidad máxima: 28 kmh (Velocidad máxima en carretera: 7 kmh))</v>
      </c>
      <c r="O447" s="42" t="str">
        <f>IF(Data!V445&lt;&gt;"",N447,Data!W445)</f>
        <v>Exceso de velocidad (nuevo) (Velocidad máxima: 28 kmh (Velocidad máxima en carretera: 7 kmh))</v>
      </c>
      <c r="P447" s="47" t="str">
        <f>Data!X445</f>
        <v>Válido</v>
      </c>
    </row>
    <row r="448" spans="1:16">
      <c r="A448" s="41" t="str">
        <f>Data!A446</f>
        <v>PKU239</v>
      </c>
      <c r="B448" s="41" t="str">
        <f>Data!D446</f>
        <v>Vehicle, Diesel, Frontera Energy Col 2679</v>
      </c>
      <c r="C448" s="41">
        <f>Data!F446</f>
        <v>0</v>
      </c>
      <c r="D448" s="41">
        <f>Data!G446</f>
        <v>0</v>
      </c>
      <c r="E448" s="41">
        <f>Data!H446</f>
        <v>0</v>
      </c>
      <c r="F448" s="41">
        <f>Data!K446</f>
        <v>0</v>
      </c>
      <c r="G448" s="33" t="str">
        <f>Data!M446</f>
        <v>Exceso Velocidad 10 Km/h</v>
      </c>
      <c r="H448" s="41" t="str">
        <f>Data!P446</f>
        <v>ECOPETROL RUBIALES- Quifa - CAÑO SUR, Puerto Triunfo - Estacion Policia, PUESTRO CONTROL QUIFA: Puerto Gaitan - Rubiales, Puerto Gaitán, Meta, Colombia</v>
      </c>
      <c r="I448" s="42" t="str">
        <f>Data!Q446</f>
        <v>Cliente, Vel Max 40 Km/h, Vel Max 30 Km/h, Vel Max 10 Km/h</v>
      </c>
      <c r="J448" s="43">
        <f>Data!S446</f>
        <v>46174.968832407409</v>
      </c>
      <c r="K448" s="44">
        <f>Data!S446</f>
        <v>46174.968832407409</v>
      </c>
      <c r="L448" s="45">
        <f>Data!T446</f>
        <v>3.1400462962962963E-4</v>
      </c>
      <c r="M448" s="46">
        <f>Data!U446</f>
        <v>0.18354314565658569</v>
      </c>
      <c r="N448" s="46" t="str">
        <f>CONCATENATE(Data!W446," (",Data!V446,")")</f>
        <v>Exceso Velocidad 10 Km/h (Velocidad máxima: 28 kmh)</v>
      </c>
      <c r="O448" s="42" t="str">
        <f>IF(Data!V446&lt;&gt;"",N448,Data!W446)</f>
        <v>Exceso Velocidad 10 Km/h (Velocidad máxima: 28 kmh)</v>
      </c>
      <c r="P448" s="47" t="str">
        <f>Data!X446</f>
        <v>Válido</v>
      </c>
    </row>
    <row r="449" spans="1:16">
      <c r="A449" s="41" t="str">
        <f>Data!A447</f>
        <v>PKU239</v>
      </c>
      <c r="B449" s="41" t="str">
        <f>Data!D447</f>
        <v>Vehicle, Diesel, Frontera Energy Col 2679</v>
      </c>
      <c r="C449" s="41">
        <f>Data!F447</f>
        <v>0</v>
      </c>
      <c r="D449" s="41">
        <f>Data!G447</f>
        <v>0</v>
      </c>
      <c r="E449" s="41">
        <f>Data!H447</f>
        <v>0</v>
      </c>
      <c r="F449" s="41">
        <f>Data!K447</f>
        <v>0</v>
      </c>
      <c r="G449" s="33" t="str">
        <f>Data!M447</f>
        <v>Tiempo en ralentí</v>
      </c>
      <c r="H449" s="41" t="str">
        <f>Data!P447</f>
        <v>ECOPETROL RUBIALES- Quifa - CAÑO SUR: Vía QF-578, Puerto Gaitán, Meta, Colombia</v>
      </c>
      <c r="I449" s="42" t="str">
        <f>Data!Q447</f>
        <v>Cliente, Vel Max 40 Km/h</v>
      </c>
      <c r="J449" s="43">
        <f>Data!S447</f>
        <v>46174.987916666665</v>
      </c>
      <c r="K449" s="44">
        <f>Data!S447</f>
        <v>46174.987916666665</v>
      </c>
      <c r="L449" s="45">
        <f>Data!T447</f>
        <v>9.2592592592592587E-3</v>
      </c>
      <c r="M449" s="46">
        <f>Data!U447</f>
        <v>0</v>
      </c>
      <c r="N449" s="46" t="str">
        <f>CONCATENATE(Data!W447," (",Data!V447,")")</f>
        <v>Tiempo en ralentí (Ignición: 1.00)</v>
      </c>
      <c r="O449" s="42" t="str">
        <f>IF(Data!V447&lt;&gt;"",N449,Data!W447)</f>
        <v>Tiempo en ralentí (Ignición: 1.00)</v>
      </c>
      <c r="P449" s="47" t="str">
        <f>Data!X447</f>
        <v>Válido</v>
      </c>
    </row>
    <row r="450" spans="1:16">
      <c r="A450" s="41" t="str">
        <f>Data!A448</f>
        <v>PKU239</v>
      </c>
      <c r="B450" s="41" t="str">
        <f>Data!D448</f>
        <v>Vehicle, Diesel, Frontera Energy Col 2679</v>
      </c>
      <c r="C450" s="41">
        <f>Data!F448</f>
        <v>0</v>
      </c>
      <c r="D450" s="41">
        <f>Data!G448</f>
        <v>0</v>
      </c>
      <c r="E450" s="41">
        <f>Data!H448</f>
        <v>0</v>
      </c>
      <c r="F450" s="41">
        <f>Data!K448</f>
        <v>0</v>
      </c>
      <c r="G450" s="33" t="str">
        <f>Data!M448</f>
        <v>Exceso Velocidad 40 Km/h</v>
      </c>
      <c r="H450" s="41" t="str">
        <f>Data!P448</f>
        <v>ECOPETROL RUBIALES- Quifa - CAÑO SUR: Vía QF-578, Puerto Gaitán, Meta, Colombia</v>
      </c>
      <c r="I450" s="42" t="str">
        <f>Data!Q448</f>
        <v>Cliente, Vel Max 40 Km/h</v>
      </c>
      <c r="J450" s="43">
        <f>Data!S448</f>
        <v>46174.998975694543</v>
      </c>
      <c r="K450" s="44">
        <f>Data!S448</f>
        <v>46174.998975694543</v>
      </c>
      <c r="L450" s="45">
        <f>Data!T448</f>
        <v>1.542824074074074E-5</v>
      </c>
      <c r="M450" s="46">
        <f>Data!U448</f>
        <v>1.4226752333343029E-2</v>
      </c>
      <c r="N450" s="46" t="str">
        <f>CONCATENATE(Data!W448," (",Data!V448,")")</f>
        <v>Exceso Velocidad 40 Km/h (Velocidad máxima: 41 kmh)</v>
      </c>
      <c r="O450" s="42" t="str">
        <f>IF(Data!V448&lt;&gt;"",N450,Data!W448)</f>
        <v>Exceso Velocidad 40 Km/h (Velocidad máxima: 41 kmh)</v>
      </c>
      <c r="P450" s="47" t="str">
        <f>Data!X448</f>
        <v>Válido</v>
      </c>
    </row>
    <row r="451" spans="1:16">
      <c r="A451" s="41" t="str">
        <f>Data!A449</f>
        <v>PKU249</v>
      </c>
      <c r="B451" s="41" t="str">
        <f>Data!D449</f>
        <v>Vehicle, Diesel, Frontera Energy Col 2679</v>
      </c>
      <c r="C451" s="41">
        <f>Data!F449</f>
        <v>0</v>
      </c>
      <c r="D451" s="41">
        <f>Data!G449</f>
        <v>0</v>
      </c>
      <c r="E451" s="41">
        <f>Data!H449</f>
        <v>0</v>
      </c>
      <c r="F451" s="41">
        <f>Data!K449</f>
        <v>0</v>
      </c>
      <c r="G451" s="33" t="str">
        <f>Data!M449</f>
        <v>Exceso Velocidad 30 Km/h</v>
      </c>
      <c r="H451" s="41" t="str">
        <f>Data!P449</f>
        <v>ECOPETROL RUBIALES- Quifa - CAÑO SUR, Puerto Triunfo - Estacion Policia: Puerto Gaitan - Rubiales, Puerto Gaitán, Meta, Colombia</v>
      </c>
      <c r="I451" s="42" t="str">
        <f>Data!Q449</f>
        <v>Cliente, Vel Max 40 Km/h, Vel Max 30 Km/h</v>
      </c>
      <c r="J451" s="43">
        <f>Data!S449</f>
        <v>46174.263285868059</v>
      </c>
      <c r="K451" s="44">
        <f>Data!S449</f>
        <v>46174.263285868059</v>
      </c>
      <c r="L451" s="45">
        <f>Data!T449</f>
        <v>1.3354166666666666E-4</v>
      </c>
      <c r="M451" s="46">
        <f>Data!U449</f>
        <v>0.13265414535999298</v>
      </c>
      <c r="N451" s="46" t="str">
        <f>CONCATENATE(Data!W449," (",Data!V449,")")</f>
        <v>Exceso Velocidad 30 Km/h (Velocidad máxima: 47 kmh)</v>
      </c>
      <c r="O451" s="42" t="str">
        <f>IF(Data!V449&lt;&gt;"",N451,Data!W449)</f>
        <v>Exceso Velocidad 30 Km/h (Velocidad máxima: 47 kmh)</v>
      </c>
      <c r="P451" s="47" t="str">
        <f>Data!X449</f>
        <v>Válido</v>
      </c>
    </row>
    <row r="452" spans="1:16">
      <c r="A452" s="41" t="str">
        <f>Data!A450</f>
        <v>PKU249</v>
      </c>
      <c r="B452" s="41" t="str">
        <f>Data!D450</f>
        <v>Vehicle, Diesel, Frontera Energy Col 2679</v>
      </c>
      <c r="C452" s="41">
        <f>Data!F450</f>
        <v>0</v>
      </c>
      <c r="D452" s="41">
        <f>Data!G450</f>
        <v>0</v>
      </c>
      <c r="E452" s="41">
        <f>Data!H450</f>
        <v>0</v>
      </c>
      <c r="F452" s="41">
        <f>Data!K450</f>
        <v>0</v>
      </c>
      <c r="G452" s="33" t="str">
        <f>Data!M450</f>
        <v>Exceso Velocidad 40 Km/h</v>
      </c>
      <c r="H452" s="41" t="str">
        <f>Data!P450</f>
        <v>ECOPETROL RUBIALES- Quifa - CAÑO SUR, Puerto Triunfo - Estacion Policia: Puerto Gaitan - Rubiales, Puerto Gaitán, Meta, Colombia</v>
      </c>
      <c r="I452" s="42" t="str">
        <f>Data!Q450</f>
        <v>Cliente, Vel Max 40 Km/h, Vel Max 30 Km/h</v>
      </c>
      <c r="J452" s="43">
        <f>Data!S450</f>
        <v>46174.263313113428</v>
      </c>
      <c r="K452" s="44">
        <f>Data!S450</f>
        <v>46174.263313113428</v>
      </c>
      <c r="L452" s="45">
        <f>Data!T450</f>
        <v>7.703703703703704E-5</v>
      </c>
      <c r="M452" s="46">
        <f>Data!U450</f>
        <v>8.0934479832649231E-2</v>
      </c>
      <c r="N452" s="46" t="str">
        <f>CONCATENATE(Data!W450," (",Data!V450,")")</f>
        <v>Exceso Velocidad 40 Km/h (Velocidad máxima: 47 kmh)</v>
      </c>
      <c r="O452" s="42" t="str">
        <f>IF(Data!V450&lt;&gt;"",N452,Data!W450)</f>
        <v>Exceso Velocidad 40 Km/h (Velocidad máxima: 47 kmh)</v>
      </c>
      <c r="P452" s="47" t="str">
        <f>Data!X450</f>
        <v>Válido</v>
      </c>
    </row>
    <row r="453" spans="1:16">
      <c r="A453" s="41" t="str">
        <f>Data!A451</f>
        <v>PKU249</v>
      </c>
      <c r="B453" s="41" t="str">
        <f>Data!D451</f>
        <v>Vehicle, Diesel, Frontera Energy Col 2679</v>
      </c>
      <c r="C453" s="41">
        <f>Data!F451</f>
        <v>0</v>
      </c>
      <c r="D453" s="41">
        <f>Data!G451</f>
        <v>0</v>
      </c>
      <c r="E453" s="41">
        <f>Data!H451</f>
        <v>0</v>
      </c>
      <c r="F453" s="41">
        <f>Data!K451</f>
        <v>0</v>
      </c>
      <c r="G453" s="33" t="str">
        <f>Data!M451</f>
        <v>Exceso Velocidad 30 Km/h</v>
      </c>
      <c r="H453" s="41" t="str">
        <f>Data!P451</f>
        <v>ECOPETROL RUBIALES- Quifa - CAÑO SUR, Puerto Triunfo - Estacion Policia: Puerto Gaitan - Rubiales, Puerto Gaitán, Meta, Colombia</v>
      </c>
      <c r="I453" s="42" t="str">
        <f>Data!Q451</f>
        <v>Cliente, Vel Max 40 Km/h, Vel Max 30 Km/h</v>
      </c>
      <c r="J453" s="43">
        <f>Data!S451</f>
        <v>46174.263702662036</v>
      </c>
      <c r="K453" s="44">
        <f>Data!S451</f>
        <v>46174.263702662036</v>
      </c>
      <c r="L453" s="45">
        <f>Data!T451</f>
        <v>8.1006944444444448E-5</v>
      </c>
      <c r="M453" s="46">
        <f>Data!U451</f>
        <v>6.0546465218067169E-2</v>
      </c>
      <c r="N453" s="46" t="str">
        <f>CONCATENATE(Data!W451," (",Data!V451,")")</f>
        <v>Exceso Velocidad 30 Km/h (Velocidad máxima: 34 kmh)</v>
      </c>
      <c r="O453" s="42" t="str">
        <f>IF(Data!V451&lt;&gt;"",N453,Data!W451)</f>
        <v>Exceso Velocidad 30 Km/h (Velocidad máxima: 34 kmh)</v>
      </c>
      <c r="P453" s="47" t="str">
        <f>Data!X451</f>
        <v>Válido</v>
      </c>
    </row>
    <row r="454" spans="1:16">
      <c r="A454" s="41" t="str">
        <f>Data!A452</f>
        <v>PKU249</v>
      </c>
      <c r="B454" s="41" t="str">
        <f>Data!D452</f>
        <v>Vehicle, Diesel, Frontera Energy Col 2679</v>
      </c>
      <c r="C454" s="41">
        <f>Data!F452</f>
        <v>0</v>
      </c>
      <c r="D454" s="41">
        <f>Data!G452</f>
        <v>0</v>
      </c>
      <c r="E454" s="41">
        <f>Data!H452</f>
        <v>0</v>
      </c>
      <c r="F454" s="41">
        <f>Data!K452</f>
        <v>0</v>
      </c>
      <c r="G454" s="33" t="str">
        <f>Data!M452</f>
        <v>Exceso Velocidad 30 Km/h</v>
      </c>
      <c r="H454" s="41" t="str">
        <f>Data!P452</f>
        <v>ECOPETROL RUBIALES- Quifa - CAÑO SUR, Puerto Triunfo - Estacion Policia: Puerto Gaitan - Rubiales, Puerto Gaitán, Meta, Colombia</v>
      </c>
      <c r="I454" s="42" t="str">
        <f>Data!Q452</f>
        <v>Cliente, Vel Max 40 Km/h, Vel Max 30 Km/h</v>
      </c>
      <c r="J454" s="43">
        <f>Data!S452</f>
        <v>46174.26431608796</v>
      </c>
      <c r="K454" s="44">
        <f>Data!S452</f>
        <v>46174.26431608796</v>
      </c>
      <c r="L454" s="45">
        <f>Data!T452</f>
        <v>1.3879629629629629E-4</v>
      </c>
      <c r="M454" s="46">
        <f>Data!U452</f>
        <v>0.10378944873809814</v>
      </c>
      <c r="N454" s="46" t="str">
        <f>CONCATENATE(Data!W452," (",Data!V452,")")</f>
        <v>Exceso Velocidad 30 Km/h (Velocidad máxima: 36 kmh)</v>
      </c>
      <c r="O454" s="42" t="str">
        <f>IF(Data!V452&lt;&gt;"",N454,Data!W452)</f>
        <v>Exceso Velocidad 30 Km/h (Velocidad máxima: 36 kmh)</v>
      </c>
      <c r="P454" s="47" t="str">
        <f>Data!X452</f>
        <v>Válido</v>
      </c>
    </row>
    <row r="455" spans="1:16">
      <c r="A455" s="41" t="str">
        <f>Data!A453</f>
        <v>PKU249</v>
      </c>
      <c r="B455" s="41" t="str">
        <f>Data!D453</f>
        <v>Vehicle, Diesel, Frontera Energy Col 2679</v>
      </c>
      <c r="C455" s="41">
        <f>Data!F453</f>
        <v>0</v>
      </c>
      <c r="D455" s="41">
        <f>Data!G453</f>
        <v>0</v>
      </c>
      <c r="E455" s="41">
        <f>Data!H453</f>
        <v>0</v>
      </c>
      <c r="F455" s="41">
        <f>Data!K453</f>
        <v>0</v>
      </c>
      <c r="G455" s="33" t="str">
        <f>Data!M453</f>
        <v>Exceso Velocidad 30 Km/h</v>
      </c>
      <c r="H455" s="41" t="str">
        <f>Data!P453</f>
        <v>ECOPETROL RUBIALES- Quifa - CAÑO SUR, Puerto Triunfo - Estacion Policia: Puerto Gaitan - Rubiales, Puerto Gaitán, Meta, Colombia</v>
      </c>
      <c r="I455" s="42" t="str">
        <f>Data!Q453</f>
        <v>Cliente, Vel Max 40 Km/h, Vel Max 30 Km/h</v>
      </c>
      <c r="J455" s="43">
        <f>Data!S453</f>
        <v>46174.264864826386</v>
      </c>
      <c r="K455" s="44">
        <f>Data!S453</f>
        <v>46174.264864826386</v>
      </c>
      <c r="L455" s="45">
        <f>Data!T453</f>
        <v>6.66087962962963E-5</v>
      </c>
      <c r="M455" s="46">
        <f>Data!U453</f>
        <v>4.9795392900705338E-2</v>
      </c>
      <c r="N455" s="46" t="str">
        <f>CONCATENATE(Data!W453," (",Data!V453,")")</f>
        <v>Exceso Velocidad 30 Km/h (Velocidad máxima: 33 kmh)</v>
      </c>
      <c r="O455" s="42" t="str">
        <f>IF(Data!V453&lt;&gt;"",N455,Data!W453)</f>
        <v>Exceso Velocidad 30 Km/h (Velocidad máxima: 33 kmh)</v>
      </c>
      <c r="P455" s="47" t="str">
        <f>Data!X453</f>
        <v>Válido</v>
      </c>
    </row>
    <row r="456" spans="1:16">
      <c r="A456" s="41" t="str">
        <f>Data!A454</f>
        <v>PKU249</v>
      </c>
      <c r="B456" s="41" t="str">
        <f>Data!D454</f>
        <v>Vehicle, Diesel, Frontera Energy Col 2679</v>
      </c>
      <c r="C456" s="41">
        <f>Data!F454</f>
        <v>0</v>
      </c>
      <c r="D456" s="41">
        <f>Data!G454</f>
        <v>0</v>
      </c>
      <c r="E456" s="41">
        <f>Data!H454</f>
        <v>0</v>
      </c>
      <c r="F456" s="41">
        <f>Data!K454</f>
        <v>0</v>
      </c>
      <c r="G456" s="33" t="str">
        <f>Data!M454</f>
        <v>Exceso Velocidad 30 Km/h</v>
      </c>
      <c r="H456" s="41" t="str">
        <f>Data!P454</f>
        <v>ECOPETROL RUBIALES- Quifa - CAÑO SUR, Puerto Triunfo - Estacion Policia: Puerto Gaitan - Rubiales, Puerto Gaitán, Meta, Colombia</v>
      </c>
      <c r="I456" s="42" t="str">
        <f>Data!Q454</f>
        <v>Cliente, Vel Max 40 Km/h, Vel Max 30 Km/h</v>
      </c>
      <c r="J456" s="43">
        <f>Data!S454</f>
        <v>46174.26504525463</v>
      </c>
      <c r="K456" s="44">
        <f>Data!S454</f>
        <v>46174.26504525463</v>
      </c>
      <c r="L456" s="45">
        <f>Data!T454</f>
        <v>2.7313657407407408E-4</v>
      </c>
      <c r="M456" s="46">
        <f>Data!U454</f>
        <v>0.21304149925708771</v>
      </c>
      <c r="N456" s="46" t="str">
        <f>CONCATENATE(Data!W454," (",Data!V454,")")</f>
        <v>Exceso Velocidad 30 Km/h (Velocidad máxima: 37 kmh)</v>
      </c>
      <c r="O456" s="42" t="str">
        <f>IF(Data!V454&lt;&gt;"",N456,Data!W454)</f>
        <v>Exceso Velocidad 30 Km/h (Velocidad máxima: 37 kmh)</v>
      </c>
      <c r="P456" s="47" t="str">
        <f>Data!X454</f>
        <v>Válido</v>
      </c>
    </row>
    <row r="457" spans="1:16">
      <c r="A457" s="41" t="str">
        <f>Data!A455</f>
        <v>PKU249</v>
      </c>
      <c r="B457" s="41" t="str">
        <f>Data!D455</f>
        <v>Vehicle, Diesel, Frontera Energy Col 2679</v>
      </c>
      <c r="C457" s="41">
        <f>Data!F455</f>
        <v>0</v>
      </c>
      <c r="D457" s="41">
        <f>Data!G455</f>
        <v>0</v>
      </c>
      <c r="E457" s="41">
        <f>Data!H455</f>
        <v>0</v>
      </c>
      <c r="F457" s="41">
        <f>Data!K455</f>
        <v>0</v>
      </c>
      <c r="G457" s="33" t="str">
        <f>Data!M455</f>
        <v>Exceso Velocidad 10 Km/h</v>
      </c>
      <c r="H457" s="41" t="str">
        <f>Data!P455</f>
        <v>ECOPETROL RUBIALES- Quifa - CAÑO SUR, Puerto Triunfo - Estacion Policia, PUESTRO CONTROL QUIFA: Puerto Gaitan - Rubiales, Puerto Gaitán, Meta, Colombia</v>
      </c>
      <c r="I457" s="42" t="str">
        <f>Data!Q455</f>
        <v>Cliente, Vel Max 40 Km/h, Vel Max 30 Km/h, Vel Max 10 Km/h</v>
      </c>
      <c r="J457" s="43">
        <f>Data!S455</f>
        <v>46174.265561979169</v>
      </c>
      <c r="K457" s="44">
        <f>Data!S455</f>
        <v>46174.265561979169</v>
      </c>
      <c r="L457" s="45">
        <f>Data!T455</f>
        <v>3.2891203703703706E-4</v>
      </c>
      <c r="M457" s="46">
        <f>Data!U455</f>
        <v>0.18423068523406982</v>
      </c>
      <c r="N457" s="46" t="str">
        <f>CONCATENATE(Data!W455," (",Data!V455,")")</f>
        <v>Exceso Velocidad 10 Km/h (Velocidad máxima: 22 kmh)</v>
      </c>
      <c r="O457" s="42" t="str">
        <f>IF(Data!V455&lt;&gt;"",N457,Data!W455)</f>
        <v>Exceso Velocidad 10 Km/h (Velocidad máxima: 22 kmh)</v>
      </c>
      <c r="P457" s="47" t="str">
        <f>Data!X455</f>
        <v>Válido</v>
      </c>
    </row>
    <row r="458" spans="1:16">
      <c r="A458" s="41" t="str">
        <f>Data!A456</f>
        <v>PKU249</v>
      </c>
      <c r="B458" s="41" t="str">
        <f>Data!D456</f>
        <v>Vehicle, Diesel, Frontera Energy Col 2679</v>
      </c>
      <c r="C458" s="41">
        <f>Data!F456</f>
        <v>0</v>
      </c>
      <c r="D458" s="41">
        <f>Data!G456</f>
        <v>0</v>
      </c>
      <c r="E458" s="41">
        <f>Data!H456</f>
        <v>0</v>
      </c>
      <c r="F458" s="41">
        <f>Data!K456</f>
        <v>0</v>
      </c>
      <c r="G458" s="33" t="str">
        <f>Data!M456</f>
        <v>Exceso Velocidad 30 Km/h</v>
      </c>
      <c r="H458" s="41" t="str">
        <f>Data!P456</f>
        <v>ECOPETROL RUBIALES- Quifa - CAÑO SUR, Puerto Triunfo - Estacion Policia: Puerto Gaitan - Rubiales, Puerto Gaitán, Meta, Colombia</v>
      </c>
      <c r="I458" s="42" t="str">
        <f>Data!Q456</f>
        <v>Cliente, Vel Max 40 Km/h, Vel Max 30 Km/h</v>
      </c>
      <c r="J458" s="43">
        <f>Data!S456</f>
        <v>46174.266248958331</v>
      </c>
      <c r="K458" s="44">
        <f>Data!S456</f>
        <v>46174.266248958331</v>
      </c>
      <c r="L458" s="45">
        <f>Data!T456</f>
        <v>3.0266203703703704E-5</v>
      </c>
      <c r="M458" s="46">
        <f>Data!U456</f>
        <v>1.8530810251832008E-2</v>
      </c>
      <c r="N458" s="46" t="str">
        <f>CONCATENATE(Data!W456," (",Data!V456,")")</f>
        <v>Exceso Velocidad 30 Km/h (Velocidad máxima: 32 kmh)</v>
      </c>
      <c r="O458" s="42" t="str">
        <f>IF(Data!V456&lt;&gt;"",N458,Data!W456)</f>
        <v>Exceso Velocidad 30 Km/h (Velocidad máxima: 32 kmh)</v>
      </c>
      <c r="P458" s="47" t="str">
        <f>Data!X456</f>
        <v>Válido</v>
      </c>
    </row>
    <row r="459" spans="1:16">
      <c r="A459" s="41" t="str">
        <f>Data!A457</f>
        <v>PKU249</v>
      </c>
      <c r="B459" s="41" t="str">
        <f>Data!D457</f>
        <v>Vehicle, Diesel, Frontera Energy Col 2679</v>
      </c>
      <c r="C459" s="41">
        <f>Data!F457</f>
        <v>0</v>
      </c>
      <c r="D459" s="41">
        <f>Data!G457</f>
        <v>0</v>
      </c>
      <c r="E459" s="41">
        <f>Data!H457</f>
        <v>0</v>
      </c>
      <c r="F459" s="41">
        <f>Data!K457</f>
        <v>0</v>
      </c>
      <c r="G459" s="33" t="str">
        <f>Data!M457</f>
        <v>Exceso Velocidad 30 Km/h</v>
      </c>
      <c r="H459" s="41" t="str">
        <f>Data!P457</f>
        <v>ECOPETROL RUBIALES- Quifa - CAÑO SUR, Puerto Triunfo - Estacion Policia: Puerto Gaitan - Rubiales, Puerto Gaitán, Meta, Colombia</v>
      </c>
      <c r="I459" s="42" t="str">
        <f>Data!Q457</f>
        <v>Cliente, Vel Max 40 Km/h, Vel Max 30 Km/h</v>
      </c>
      <c r="J459" s="43">
        <f>Data!S457</f>
        <v>46174.266358182867</v>
      </c>
      <c r="K459" s="44">
        <f>Data!S457</f>
        <v>46174.266358182867</v>
      </c>
      <c r="L459" s="45">
        <f>Data!T457</f>
        <v>6.3321759259259264E-5</v>
      </c>
      <c r="M459" s="46">
        <f>Data!U457</f>
        <v>4.8700612038373947E-2</v>
      </c>
      <c r="N459" s="46" t="str">
        <f>CONCATENATE(Data!W457," (",Data!V457,")")</f>
        <v>Exceso Velocidad 30 Km/h (Velocidad máxima: 35 kmh)</v>
      </c>
      <c r="O459" s="42" t="str">
        <f>IF(Data!V457&lt;&gt;"",N459,Data!W457)</f>
        <v>Exceso Velocidad 30 Km/h (Velocidad máxima: 35 kmh)</v>
      </c>
      <c r="P459" s="47" t="str">
        <f>Data!X457</f>
        <v>Válido</v>
      </c>
    </row>
    <row r="460" spans="1:16">
      <c r="A460" s="41" t="str">
        <f>Data!A458</f>
        <v>PKU249</v>
      </c>
      <c r="B460" s="41" t="str">
        <f>Data!D458</f>
        <v>Vehicle, Diesel, Frontera Energy Col 2679</v>
      </c>
      <c r="C460" s="41">
        <f>Data!F458</f>
        <v>0</v>
      </c>
      <c r="D460" s="41">
        <f>Data!G458</f>
        <v>0</v>
      </c>
      <c r="E460" s="41">
        <f>Data!H458</f>
        <v>0</v>
      </c>
      <c r="F460" s="41">
        <f>Data!K458</f>
        <v>0</v>
      </c>
      <c r="G460" s="33" t="str">
        <f>Data!M458</f>
        <v>Exceso Velocidad 30 Km/h</v>
      </c>
      <c r="H460" s="41" t="str">
        <f>Data!P458</f>
        <v>ECOPETROL RUBIALES- Quifa - CAÑO SUR, Puerto Triunfo - Estacion Policia: Puerto Gaitan - Rubiales, Puerto Gaitán, Meta, Colombia</v>
      </c>
      <c r="I460" s="42" t="str">
        <f>Data!Q458</f>
        <v>Cliente, Vel Max 40 Km/h, Vel Max 30 Km/h</v>
      </c>
      <c r="J460" s="43">
        <f>Data!S458</f>
        <v>46174.266635335647</v>
      </c>
      <c r="K460" s="44">
        <f>Data!S458</f>
        <v>46174.266635335647</v>
      </c>
      <c r="L460" s="45">
        <f>Data!T458</f>
        <v>8.8148148148148151E-5</v>
      </c>
      <c r="M460" s="46">
        <f>Data!U458</f>
        <v>7.3205642402172089E-2</v>
      </c>
      <c r="N460" s="46" t="str">
        <f>CONCATENATE(Data!W458," (",Data!V458,")")</f>
        <v>Exceso Velocidad 30 Km/h (Velocidad máxima: 37 kmh)</v>
      </c>
      <c r="O460" s="42" t="str">
        <f>IF(Data!V458&lt;&gt;"",N460,Data!W458)</f>
        <v>Exceso Velocidad 30 Km/h (Velocidad máxima: 37 kmh)</v>
      </c>
      <c r="P460" s="47" t="str">
        <f>Data!X458</f>
        <v>Válido</v>
      </c>
    </row>
    <row r="461" spans="1:16">
      <c r="A461" s="41" t="str">
        <f>Data!A459</f>
        <v>PKU249</v>
      </c>
      <c r="B461" s="41" t="str">
        <f>Data!D459</f>
        <v>Vehicle, Diesel, Frontera Energy Col 2679</v>
      </c>
      <c r="C461" s="41">
        <f>Data!F459</f>
        <v>0</v>
      </c>
      <c r="D461" s="41">
        <f>Data!G459</f>
        <v>0</v>
      </c>
      <c r="E461" s="41">
        <f>Data!H459</f>
        <v>0</v>
      </c>
      <c r="F461" s="41">
        <f>Data!K459</f>
        <v>0</v>
      </c>
      <c r="G461" s="33" t="str">
        <f>Data!M459</f>
        <v>Exceso Velocidad 30 Km/h</v>
      </c>
      <c r="H461" s="41" t="str">
        <f>Data!P459</f>
        <v>ECOPETROL RUBIALES- Quifa - CAÑO SUR, Puerto Triunfo - Estacion Policia: Puerto Gaitan - Rubiales, Puerto Gaitán, Meta, Colombia</v>
      </c>
      <c r="I461" s="42" t="str">
        <f>Data!Q459</f>
        <v>Cliente, Vel Max 40 Km/h, Vel Max 30 Km/h</v>
      </c>
      <c r="J461" s="43">
        <f>Data!S459</f>
        <v>46174.266886840276</v>
      </c>
      <c r="K461" s="44">
        <f>Data!S459</f>
        <v>46174.266886840276</v>
      </c>
      <c r="L461" s="45">
        <f>Data!T459</f>
        <v>3.4020833333333331E-4</v>
      </c>
      <c r="M461" s="46">
        <f>Data!U459</f>
        <v>0.28761592507362366</v>
      </c>
      <c r="N461" s="46" t="str">
        <f>CONCATENATE(Data!W459," (",Data!V459,")")</f>
        <v>Exceso Velocidad 30 Km/h (Velocidad máxima: 40 kmh)</v>
      </c>
      <c r="O461" s="42" t="str">
        <f>IF(Data!V459&lt;&gt;"",N461,Data!W459)</f>
        <v>Exceso Velocidad 30 Km/h (Velocidad máxima: 40 kmh)</v>
      </c>
      <c r="P461" s="47" t="str">
        <f>Data!X459</f>
        <v>Válido</v>
      </c>
    </row>
    <row r="462" spans="1:16">
      <c r="A462" s="41" t="str">
        <f>Data!A460</f>
        <v>PKU249</v>
      </c>
      <c r="B462" s="41" t="str">
        <f>Data!D460</f>
        <v>Vehicle, Diesel, Frontera Energy Col 2679</v>
      </c>
      <c r="C462" s="41">
        <f>Data!F460</f>
        <v>0</v>
      </c>
      <c r="D462" s="41">
        <f>Data!G460</f>
        <v>0</v>
      </c>
      <c r="E462" s="41">
        <f>Data!H460</f>
        <v>0</v>
      </c>
      <c r="F462" s="41">
        <f>Data!K460</f>
        <v>0</v>
      </c>
      <c r="G462" s="33" t="str">
        <f>Data!M460</f>
        <v>Exceso Velocidad 30 Km/h</v>
      </c>
      <c r="H462" s="41" t="str">
        <f>Data!P460</f>
        <v>ECOPETROL RUBIALES- Quifa - CAÑO SUR, Puerto Gaitan - Rubiales, Puerto Gaitán, Meta, Colombia, Puerto Triunfo - Estacion Policia: Puerto Gaitan - Rubiales, Puerto Gaitán, Meta, Colombia</v>
      </c>
      <c r="I462" s="42" t="str">
        <f>Data!Q460</f>
        <v>Cliente, Vel Max 40 Km/h, Centro de servicios del proveedor, Vel Max 30 Km/h</v>
      </c>
      <c r="J462" s="43">
        <f>Data!S460</f>
        <v>46174.267516400461</v>
      </c>
      <c r="K462" s="44">
        <f>Data!S460</f>
        <v>46174.267516400461</v>
      </c>
      <c r="L462" s="45">
        <f>Data!T460</f>
        <v>4.3344907407407409E-5</v>
      </c>
      <c r="M462" s="46">
        <f>Data!U460</f>
        <v>3.1545098870992661E-2</v>
      </c>
      <c r="N462" s="46" t="str">
        <f>CONCATENATE(Data!W460," (",Data!V460,")")</f>
        <v>Exceso Velocidad 30 Km/h (Velocidad máxima: 33 kmh)</v>
      </c>
      <c r="O462" s="42" t="str">
        <f>IF(Data!V460&lt;&gt;"",N462,Data!W460)</f>
        <v>Exceso Velocidad 30 Km/h (Velocidad máxima: 33 kmh)</v>
      </c>
      <c r="P462" s="47" t="str">
        <f>Data!X460</f>
        <v>Válido</v>
      </c>
    </row>
    <row r="463" spans="1:16">
      <c r="A463" s="41" t="str">
        <f>Data!A461</f>
        <v>PKU249</v>
      </c>
      <c r="B463" s="41" t="str">
        <f>Data!D461</f>
        <v>Vehicle, Diesel, Frontera Energy Col 2679</v>
      </c>
      <c r="C463" s="41">
        <f>Data!F461</f>
        <v>0</v>
      </c>
      <c r="D463" s="41">
        <f>Data!G461</f>
        <v>0</v>
      </c>
      <c r="E463" s="41">
        <f>Data!H461</f>
        <v>0</v>
      </c>
      <c r="F463" s="41">
        <f>Data!K461</f>
        <v>0</v>
      </c>
      <c r="G463" s="33" t="str">
        <f>Data!M461</f>
        <v>Exceso Velocidad 10 Km/h</v>
      </c>
      <c r="H463" s="41" t="str">
        <f>Data!P461</f>
        <v>CAMPAMENTO QUIFA, ECOPETROL RUBIALES- Quifa - CAÑO SUR, Puerto Gaitan - Rubiales, Puerto Gaitán, Meta, Colombia, Campamento Quifa - CMA: Ent. CAMPAMENTO, Puerto Gaitán, Meta, Colombia</v>
      </c>
      <c r="I463" s="42" t="str">
        <f>Data!Q461</f>
        <v>Vel Max 10 Km/h, Cliente, Vel Max 40 Km/h, Centro de servicios del proveedor</v>
      </c>
      <c r="J463" s="43">
        <f>Data!S461</f>
        <v>46174.267876273145</v>
      </c>
      <c r="K463" s="44">
        <f>Data!S461</f>
        <v>46174.267876273145</v>
      </c>
      <c r="L463" s="45">
        <f>Data!T461</f>
        <v>5.8725694444444439E-4</v>
      </c>
      <c r="M463" s="46">
        <f>Data!U461</f>
        <v>0.15705810487270355</v>
      </c>
      <c r="N463" s="46" t="str">
        <f>CONCATENATE(Data!W461," (",Data!V461,")")</f>
        <v>Exceso Velocidad 10 Km/h (Velocidad máxima: 12 kmh)</v>
      </c>
      <c r="O463" s="42" t="str">
        <f>IF(Data!V461&lt;&gt;"",N463,Data!W461)</f>
        <v>Exceso Velocidad 10 Km/h (Velocidad máxima: 12 kmh)</v>
      </c>
      <c r="P463" s="47" t="str">
        <f>Data!X461</f>
        <v>Válido</v>
      </c>
    </row>
    <row r="464" spans="1:16">
      <c r="A464" s="41" t="str">
        <f>Data!A462</f>
        <v>PKU249</v>
      </c>
      <c r="B464" s="41" t="str">
        <f>Data!D462</f>
        <v>Vehicle, Diesel, Frontera Energy Col 2679</v>
      </c>
      <c r="C464" s="41">
        <f>Data!F462</f>
        <v>0</v>
      </c>
      <c r="D464" s="41">
        <f>Data!G462</f>
        <v>0</v>
      </c>
      <c r="E464" s="41">
        <f>Data!H462</f>
        <v>0</v>
      </c>
      <c r="F464" s="41">
        <f>Data!K462</f>
        <v>0</v>
      </c>
      <c r="G464" s="33" t="str">
        <f>Data!M462</f>
        <v>Tiempo en ralentí</v>
      </c>
      <c r="H464" s="41" t="str">
        <f>Data!P462</f>
        <v>CAMPAMENTO QUIFA, ECOPETROL RUBIALES- Quifa - CAÑO SUR, Campamento Quifa - CMA: Ent. CAMPAMENTO, Puerto Gaitán, Meta, Colombia</v>
      </c>
      <c r="I464" s="42" t="str">
        <f>Data!Q462</f>
        <v>Vel Max 10 Km/h, Cliente, Vel Max 40 Km/h</v>
      </c>
      <c r="J464" s="43">
        <f>Data!S462</f>
        <v>46174.28371491898</v>
      </c>
      <c r="K464" s="44">
        <f>Data!S462</f>
        <v>46174.28371491898</v>
      </c>
      <c r="L464" s="45">
        <f>Data!T462</f>
        <v>9.3295601851851855E-3</v>
      </c>
      <c r="M464" s="46">
        <f>Data!U462</f>
        <v>7.7517041936516762E-3</v>
      </c>
      <c r="N464" s="46" t="str">
        <f>CONCATENATE(Data!W462," (",Data!V462,")")</f>
        <v>Tiempo en ralentí (Ignición: 1.00)</v>
      </c>
      <c r="O464" s="42" t="str">
        <f>IF(Data!V462&lt;&gt;"",N464,Data!W462)</f>
        <v>Tiempo en ralentí (Ignición: 1.00)</v>
      </c>
      <c r="P464" s="47" t="str">
        <f>Data!X462</f>
        <v>Válido</v>
      </c>
    </row>
    <row r="465" spans="1:16">
      <c r="A465" s="41" t="str">
        <f>Data!A463</f>
        <v>PKU249</v>
      </c>
      <c r="B465" s="41" t="str">
        <f>Data!D463</f>
        <v>Vehicle, Diesel, Frontera Energy Col 2679</v>
      </c>
      <c r="C465" s="41">
        <f>Data!F463</f>
        <v>0</v>
      </c>
      <c r="D465" s="41">
        <f>Data!G463</f>
        <v>0</v>
      </c>
      <c r="E465" s="41">
        <f>Data!H463</f>
        <v>0</v>
      </c>
      <c r="F465" s="41">
        <f>Data!K463</f>
        <v>0</v>
      </c>
      <c r="G465" s="33" t="str">
        <f>Data!M463</f>
        <v>Tiempo en ralentí</v>
      </c>
      <c r="H465" s="41" t="str">
        <f>Data!P463</f>
        <v>CAMPAMENTO QUIFA, ECOPETROL RUBIALES- Quifa - CAÑO SUR, Campamento Quifa - CMA: Ent. CAMPAMENTO, Puerto Gaitán, Meta, Colombia</v>
      </c>
      <c r="I465" s="42" t="str">
        <f>Data!Q463</f>
        <v>Vel Max 10 Km/h, Cliente, Vel Max 40 Km/h</v>
      </c>
      <c r="J465" s="43">
        <f>Data!S463</f>
        <v>46174.36793158565</v>
      </c>
      <c r="K465" s="44">
        <f>Data!S463</f>
        <v>46174.36793158565</v>
      </c>
      <c r="L465" s="45">
        <f>Data!T463</f>
        <v>1.9838310185185185E-2</v>
      </c>
      <c r="M465" s="46">
        <f>Data!U463</f>
        <v>2.8444003313779831E-2</v>
      </c>
      <c r="N465" s="46" t="str">
        <f>CONCATENATE(Data!W463," (",Data!V463,")")</f>
        <v>Tiempo en ralentí (Ignición: 1.00)</v>
      </c>
      <c r="O465" s="42" t="str">
        <f>IF(Data!V463&lt;&gt;"",N465,Data!W463)</f>
        <v>Tiempo en ralentí (Ignición: 1.00)</v>
      </c>
      <c r="P465" s="47" t="str">
        <f>Data!X463</f>
        <v>Válido</v>
      </c>
    </row>
    <row r="466" spans="1:16">
      <c r="A466" s="41" t="str">
        <f>Data!A464</f>
        <v>PKU249</v>
      </c>
      <c r="B466" s="41" t="str">
        <f>Data!D464</f>
        <v>Vehicle, Diesel, Frontera Energy Col 2679</v>
      </c>
      <c r="C466" s="41">
        <f>Data!F464</f>
        <v>0</v>
      </c>
      <c r="D466" s="41">
        <f>Data!G464</f>
        <v>0</v>
      </c>
      <c r="E466" s="41">
        <f>Data!H464</f>
        <v>0</v>
      </c>
      <c r="F466" s="41">
        <f>Data!K464</f>
        <v>0</v>
      </c>
      <c r="G466" s="33" t="str">
        <f>Data!M464</f>
        <v>Exceso Velocidad 30 Km/h</v>
      </c>
      <c r="H466" s="41" t="str">
        <f>Data!P464</f>
        <v>ECOPETROL RUBIALES- Quifa - CAÑO SUR, Puerto Gaitan - Rubiales, Puerto Gaitán, Meta, Colombia, Puerto Triunfo - Estacion Policia: Puerto Gaitan - Rubiales, Puerto Gaitán, Meta, Colombia</v>
      </c>
      <c r="I466" s="42" t="str">
        <f>Data!Q464</f>
        <v>Cliente, Vel Max 40 Km/h, Centro de servicios del proveedor, Vel Max 30 Km/h</v>
      </c>
      <c r="J466" s="43">
        <f>Data!S464</f>
        <v>46174.389625115742</v>
      </c>
      <c r="K466" s="44">
        <f>Data!S464</f>
        <v>46174.389625115742</v>
      </c>
      <c r="L466" s="45">
        <f>Data!T464</f>
        <v>8.9340277777777771E-5</v>
      </c>
      <c r="M466" s="46">
        <f>Data!U464</f>
        <v>6.9939054548740387E-2</v>
      </c>
      <c r="N466" s="46" t="str">
        <f>CONCATENATE(Data!W464," (",Data!V464,")")</f>
        <v>Exceso Velocidad 30 Km/h (Velocidad máxima: 34 kmh)</v>
      </c>
      <c r="O466" s="42" t="str">
        <f>IF(Data!V464&lt;&gt;"",N466,Data!W464)</f>
        <v>Exceso Velocidad 30 Km/h (Velocidad máxima: 34 kmh)</v>
      </c>
      <c r="P466" s="47" t="str">
        <f>Data!X464</f>
        <v>Válido</v>
      </c>
    </row>
    <row r="467" spans="1:16">
      <c r="A467" s="41" t="str">
        <f>Data!A465</f>
        <v>PKU249</v>
      </c>
      <c r="B467" s="41" t="str">
        <f>Data!D465</f>
        <v>Vehicle, Diesel, Frontera Energy Col 2679</v>
      </c>
      <c r="C467" s="41">
        <f>Data!F465</f>
        <v>0</v>
      </c>
      <c r="D467" s="41">
        <f>Data!G465</f>
        <v>0</v>
      </c>
      <c r="E467" s="41">
        <f>Data!H465</f>
        <v>0</v>
      </c>
      <c r="F467" s="41">
        <f>Data!K465</f>
        <v>0</v>
      </c>
      <c r="G467" s="33" t="str">
        <f>Data!M465</f>
        <v>Exceso Velocidad 30 Km/h</v>
      </c>
      <c r="H467" s="41" t="str">
        <f>Data!P465</f>
        <v>ECOPETROL RUBIALES- Quifa - CAÑO SUR, Puerto Triunfo - Estacion Policia: Puerto Gaitan - Rubiales, Puerto Gaitán, Meta, Colombia</v>
      </c>
      <c r="I467" s="42" t="str">
        <f>Data!Q465</f>
        <v>Cliente, Vel Max 40 Km/h, Vel Max 30 Km/h</v>
      </c>
      <c r="J467" s="43">
        <f>Data!S465</f>
        <v>46174.389884212964</v>
      </c>
      <c r="K467" s="44">
        <f>Data!S465</f>
        <v>46174.389884212964</v>
      </c>
      <c r="L467" s="45">
        <f>Data!T465</f>
        <v>3.4414351851851853E-4</v>
      </c>
      <c r="M467" s="46">
        <f>Data!U465</f>
        <v>0.29524815082550049</v>
      </c>
      <c r="N467" s="46" t="str">
        <f>CONCATENATE(Data!W465," (",Data!V465,")")</f>
        <v>Exceso Velocidad 30 Km/h (Velocidad máxima: 37 kmh)</v>
      </c>
      <c r="O467" s="42" t="str">
        <f>IF(Data!V465&lt;&gt;"",N467,Data!W465)</f>
        <v>Exceso Velocidad 30 Km/h (Velocidad máxima: 37 kmh)</v>
      </c>
      <c r="P467" s="47" t="str">
        <f>Data!X465</f>
        <v>Válido</v>
      </c>
    </row>
    <row r="468" spans="1:16">
      <c r="A468" s="41" t="str">
        <f>Data!A466</f>
        <v>PKU249</v>
      </c>
      <c r="B468" s="41" t="str">
        <f>Data!D466</f>
        <v>Vehicle, Diesel, Frontera Energy Col 2679</v>
      </c>
      <c r="C468" s="41">
        <f>Data!F466</f>
        <v>0</v>
      </c>
      <c r="D468" s="41">
        <f>Data!G466</f>
        <v>0</v>
      </c>
      <c r="E468" s="41">
        <f>Data!H466</f>
        <v>0</v>
      </c>
      <c r="F468" s="41">
        <f>Data!K466</f>
        <v>0</v>
      </c>
      <c r="G468" s="33" t="str">
        <f>Data!M466</f>
        <v>Exceso Velocidad 30 Km/h</v>
      </c>
      <c r="H468" s="41" t="str">
        <f>Data!P466</f>
        <v>ECOPETROL RUBIALES- Quifa - CAÑO SUR, Puerto Triunfo - Estacion Policia: Puerto Gaitan - Rubiales, Puerto Gaitán, Meta, Colombia</v>
      </c>
      <c r="I468" s="42" t="str">
        <f>Data!Q466</f>
        <v>Cliente, Vel Max 40 Km/h, Vel Max 30 Km/h</v>
      </c>
      <c r="J468" s="43">
        <f>Data!S466</f>
        <v>46174.390391527777</v>
      </c>
      <c r="K468" s="44">
        <f>Data!S466</f>
        <v>46174.390391527777</v>
      </c>
      <c r="L468" s="45">
        <f>Data!T466</f>
        <v>9.5196759259259266E-5</v>
      </c>
      <c r="M468" s="46">
        <f>Data!U466</f>
        <v>7.6456665992736816E-2</v>
      </c>
      <c r="N468" s="46" t="str">
        <f>CONCATENATE(Data!W466," (",Data!V466,")")</f>
        <v>Exceso Velocidad 30 Km/h (Velocidad máxima: 34 kmh)</v>
      </c>
      <c r="O468" s="42" t="str">
        <f>IF(Data!V466&lt;&gt;"",N468,Data!W466)</f>
        <v>Exceso Velocidad 30 Km/h (Velocidad máxima: 34 kmh)</v>
      </c>
      <c r="P468" s="47" t="str">
        <f>Data!X466</f>
        <v>Válido</v>
      </c>
    </row>
    <row r="469" spans="1:16">
      <c r="A469" s="41" t="str">
        <f>Data!A467</f>
        <v>PKU249</v>
      </c>
      <c r="B469" s="41" t="str">
        <f>Data!D467</f>
        <v>Vehicle, Diesel, Frontera Energy Col 2679</v>
      </c>
      <c r="C469" s="41">
        <f>Data!F467</f>
        <v>0</v>
      </c>
      <c r="D469" s="41">
        <f>Data!G467</f>
        <v>0</v>
      </c>
      <c r="E469" s="41">
        <f>Data!H467</f>
        <v>0</v>
      </c>
      <c r="F469" s="41">
        <f>Data!K467</f>
        <v>0</v>
      </c>
      <c r="G469" s="33" t="str">
        <f>Data!M467</f>
        <v>Exceso Velocidad 30 Km/h</v>
      </c>
      <c r="H469" s="41" t="str">
        <f>Data!P467</f>
        <v>ECOPETROL RUBIALES- Quifa - CAÑO SUR, Puerto Triunfo - Estacion Policia: Puerto Gaitan - Rubiales, Puerto Gaitán, Meta, Colombia</v>
      </c>
      <c r="I469" s="42" t="str">
        <f>Data!Q467</f>
        <v>Cliente, Vel Max 40 Km/h, Vel Max 30 Km/h</v>
      </c>
      <c r="J469" s="43">
        <f>Data!S467</f>
        <v>46174.390761087961</v>
      </c>
      <c r="K469" s="44">
        <f>Data!S467</f>
        <v>46174.390761087961</v>
      </c>
      <c r="L469" s="45">
        <f>Data!T467</f>
        <v>9.1898148148148155E-6</v>
      </c>
      <c r="M469" s="46">
        <f>Data!U467</f>
        <v>5.9484592638909817E-3</v>
      </c>
      <c r="N469" s="46" t="str">
        <f>CONCATENATE(Data!W467," (",Data!V467,")")</f>
        <v>Exceso Velocidad 30 Km/h (Velocidad máxima: 31 kmh)</v>
      </c>
      <c r="O469" s="42" t="str">
        <f>IF(Data!V467&lt;&gt;"",N469,Data!W467)</f>
        <v>Exceso Velocidad 30 Km/h (Velocidad máxima: 31 kmh)</v>
      </c>
      <c r="P469" s="47" t="str">
        <f>Data!X467</f>
        <v>Válido</v>
      </c>
    </row>
    <row r="470" spans="1:16">
      <c r="A470" s="41" t="str">
        <f>Data!A468</f>
        <v>PKU249</v>
      </c>
      <c r="B470" s="41" t="str">
        <f>Data!D468</f>
        <v>Vehicle, Diesel, Frontera Energy Col 2679</v>
      </c>
      <c r="C470" s="41">
        <f>Data!F468</f>
        <v>0</v>
      </c>
      <c r="D470" s="41">
        <f>Data!G468</f>
        <v>0</v>
      </c>
      <c r="E470" s="41">
        <f>Data!H468</f>
        <v>0</v>
      </c>
      <c r="F470" s="41">
        <f>Data!K468</f>
        <v>0</v>
      </c>
      <c r="G470" s="33" t="str">
        <f>Data!M468</f>
        <v>Exceso Velocidad 30 Km/h</v>
      </c>
      <c r="H470" s="41" t="str">
        <f>Data!P468</f>
        <v>ECOPETROL RUBIALES- Quifa - CAÑO SUR, Puerto Triunfo - Estacion Policia: Puerto Gaitan - Rubiales, Puerto Gaitán, Meta, Colombia</v>
      </c>
      <c r="I470" s="42" t="str">
        <f>Data!Q468</f>
        <v>Cliente, Vel Max 40 Km/h, Vel Max 30 Km/h</v>
      </c>
      <c r="J470" s="43">
        <f>Data!S468</f>
        <v>46174.390850833333</v>
      </c>
      <c r="K470" s="44">
        <f>Data!S468</f>
        <v>46174.390850833333</v>
      </c>
      <c r="L470" s="45">
        <f>Data!T468</f>
        <v>5.7199074074074076E-5</v>
      </c>
      <c r="M470" s="46">
        <f>Data!U468</f>
        <v>4.1898567229509354E-2</v>
      </c>
      <c r="N470" s="46" t="str">
        <f>CONCATENATE(Data!W468," (",Data!V468,")")</f>
        <v>Exceso Velocidad 30 Km/h (Velocidad máxima: 33 kmh)</v>
      </c>
      <c r="O470" s="42" t="str">
        <f>IF(Data!V468&lt;&gt;"",N470,Data!W468)</f>
        <v>Exceso Velocidad 30 Km/h (Velocidad máxima: 33 kmh)</v>
      </c>
      <c r="P470" s="47" t="str">
        <f>Data!X468</f>
        <v>Válido</v>
      </c>
    </row>
    <row r="471" spans="1:16">
      <c r="A471" s="41" t="str">
        <f>Data!A469</f>
        <v>PKU249</v>
      </c>
      <c r="B471" s="41" t="str">
        <f>Data!D469</f>
        <v>Vehicle, Diesel, Frontera Energy Col 2679</v>
      </c>
      <c r="C471" s="41">
        <f>Data!F469</f>
        <v>0</v>
      </c>
      <c r="D471" s="41">
        <f>Data!G469</f>
        <v>0</v>
      </c>
      <c r="E471" s="41">
        <f>Data!H469</f>
        <v>0</v>
      </c>
      <c r="F471" s="41">
        <f>Data!K469</f>
        <v>0</v>
      </c>
      <c r="G471" s="33" t="str">
        <f>Data!M469</f>
        <v>Exceso Velocidad 10 Km/h</v>
      </c>
      <c r="H471" s="41" t="str">
        <f>Data!P469</f>
        <v>ECOPETROL RUBIALES- Quifa - CAÑO SUR, Puerto Triunfo - Estacion Policia, PUESTRO CONTROL QUIFA: Puerto Gaitan - Rubiales, Puerto Gaitán, Meta, Colombia</v>
      </c>
      <c r="I471" s="42" t="str">
        <f>Data!Q469</f>
        <v>Cliente, Vel Max 40 Km/h, Vel Max 30 Km/h, Vel Max 10 Km/h</v>
      </c>
      <c r="J471" s="43">
        <f>Data!S469</f>
        <v>46174.391267881947</v>
      </c>
      <c r="K471" s="44">
        <f>Data!S469</f>
        <v>46174.391267881947</v>
      </c>
      <c r="L471" s="45">
        <f>Data!T469</f>
        <v>4.0046296296296298E-4</v>
      </c>
      <c r="M471" s="46">
        <f>Data!U469</f>
        <v>0.18350416421890259</v>
      </c>
      <c r="N471" s="46" t="str">
        <f>CONCATENATE(Data!W469," (",Data!V469,")")</f>
        <v>Exceso Velocidad 10 Km/h (Velocidad máxima: 22 kmh)</v>
      </c>
      <c r="O471" s="42" t="str">
        <f>IF(Data!V469&lt;&gt;"",N471,Data!W469)</f>
        <v>Exceso Velocidad 10 Km/h (Velocidad máxima: 22 kmh)</v>
      </c>
      <c r="P471" s="47" t="str">
        <f>Data!X469</f>
        <v>Válido</v>
      </c>
    </row>
    <row r="472" spans="1:16">
      <c r="A472" s="41" t="str">
        <f>Data!A470</f>
        <v>PKU249</v>
      </c>
      <c r="B472" s="41" t="str">
        <f>Data!D470</f>
        <v>Vehicle, Diesel, Frontera Energy Col 2679</v>
      </c>
      <c r="C472" s="41">
        <f>Data!F470</f>
        <v>0</v>
      </c>
      <c r="D472" s="41">
        <f>Data!G470</f>
        <v>0</v>
      </c>
      <c r="E472" s="41">
        <f>Data!H470</f>
        <v>0</v>
      </c>
      <c r="F472" s="41">
        <f>Data!K470</f>
        <v>0</v>
      </c>
      <c r="G472" s="33" t="str">
        <f>Data!M470</f>
        <v>Exceso Velocidad 30 Km/h</v>
      </c>
      <c r="H472" s="41" t="str">
        <f>Data!P470</f>
        <v>ECOPETROL RUBIALES- Quifa - CAÑO SUR, Puerto Triunfo - Estacion Policia: Puerto Gaitan - Rubiales, Puerto Gaitán, Meta, Colombia</v>
      </c>
      <c r="I472" s="42" t="str">
        <f>Data!Q470</f>
        <v>Cliente, Vel Max 40 Km/h, Vel Max 30 Km/h</v>
      </c>
      <c r="J472" s="43">
        <f>Data!S470</f>
        <v>46174.391890381943</v>
      </c>
      <c r="K472" s="44">
        <f>Data!S470</f>
        <v>46174.391890381943</v>
      </c>
      <c r="L472" s="45">
        <f>Data!T470</f>
        <v>2.9079861111111109E-4</v>
      </c>
      <c r="M472" s="46">
        <f>Data!U470</f>
        <v>0.26322579383850098</v>
      </c>
      <c r="N472" s="46" t="str">
        <f>CONCATENATE(Data!W470," (",Data!V470,")")</f>
        <v>Exceso Velocidad 30 Km/h (Velocidad máxima: 40 kmh)</v>
      </c>
      <c r="O472" s="42" t="str">
        <f>IF(Data!V470&lt;&gt;"",N472,Data!W470)</f>
        <v>Exceso Velocidad 30 Km/h (Velocidad máxima: 40 kmh)</v>
      </c>
      <c r="P472" s="47" t="str">
        <f>Data!X470</f>
        <v>Válido</v>
      </c>
    </row>
    <row r="473" spans="1:16">
      <c r="A473" s="41" t="str">
        <f>Data!A471</f>
        <v>PKU249</v>
      </c>
      <c r="B473" s="41" t="str">
        <f>Data!D471</f>
        <v>Vehicle, Diesel, Frontera Energy Col 2679</v>
      </c>
      <c r="C473" s="41">
        <f>Data!F471</f>
        <v>0</v>
      </c>
      <c r="D473" s="41">
        <f>Data!G471</f>
        <v>0</v>
      </c>
      <c r="E473" s="41">
        <f>Data!H471</f>
        <v>0</v>
      </c>
      <c r="F473" s="41">
        <f>Data!K471</f>
        <v>0</v>
      </c>
      <c r="G473" s="33" t="str">
        <f>Data!M471</f>
        <v>Exceso Velocidad 30 Km/h</v>
      </c>
      <c r="H473" s="41" t="str">
        <f>Data!P471</f>
        <v>ECOPETROL RUBIALES- Quifa - CAÑO SUR, Puerto Triunfo - Estacion Policia: Puerto Gaitan - Rubiales, Puerto Gaitán, Meta, Colombia</v>
      </c>
      <c r="I473" s="42" t="str">
        <f>Data!Q471</f>
        <v>Cliente, Vel Max 40 Km/h, Vel Max 30 Km/h</v>
      </c>
      <c r="J473" s="43">
        <f>Data!S471</f>
        <v>46174.392247407406</v>
      </c>
      <c r="K473" s="44">
        <f>Data!S471</f>
        <v>46174.392247407406</v>
      </c>
      <c r="L473" s="45">
        <f>Data!T471</f>
        <v>8.9131944444444442E-5</v>
      </c>
      <c r="M473" s="46">
        <f>Data!U471</f>
        <v>6.8028122186660767E-2</v>
      </c>
      <c r="N473" s="46" t="str">
        <f>CONCATENATE(Data!W471," (",Data!V471,")")</f>
        <v>Exceso Velocidad 30 Km/h (Velocidad máxima: 33 kmh)</v>
      </c>
      <c r="O473" s="42" t="str">
        <f>IF(Data!V471&lt;&gt;"",N473,Data!W471)</f>
        <v>Exceso Velocidad 30 Km/h (Velocidad máxima: 33 kmh)</v>
      </c>
      <c r="P473" s="47" t="str">
        <f>Data!X471</f>
        <v>Válido</v>
      </c>
    </row>
    <row r="474" spans="1:16">
      <c r="A474" s="41" t="str">
        <f>Data!A472</f>
        <v>PKU249</v>
      </c>
      <c r="B474" s="41" t="str">
        <f>Data!D472</f>
        <v>Vehicle, Diesel, Frontera Energy Col 2679</v>
      </c>
      <c r="C474" s="41">
        <f>Data!F472</f>
        <v>0</v>
      </c>
      <c r="D474" s="41">
        <f>Data!G472</f>
        <v>0</v>
      </c>
      <c r="E474" s="41">
        <f>Data!H472</f>
        <v>0</v>
      </c>
      <c r="F474" s="41">
        <f>Data!K472</f>
        <v>0</v>
      </c>
      <c r="G474" s="33" t="str">
        <f>Data!M472</f>
        <v>Tiempo en ralentí</v>
      </c>
      <c r="H474" s="41" t="str">
        <f>Data!P472</f>
        <v>ECOPETROL RUBIALES- Quifa - CAÑO SUR, Puerto Triunfo - Estacion Policia: Puerto Gaitan - Rubiales, Puerto Gaitán, Meta, Colombia</v>
      </c>
      <c r="I474" s="42" t="str">
        <f>Data!Q472</f>
        <v>Cliente, Vel Max 40 Km/h, Vel Max 30 Km/h</v>
      </c>
      <c r="J474" s="43">
        <f>Data!S472</f>
        <v>46174.397110405094</v>
      </c>
      <c r="K474" s="44">
        <f>Data!S472</f>
        <v>46174.397110405094</v>
      </c>
      <c r="L474" s="45">
        <f>Data!T472</f>
        <v>1.2812395833333334E-2</v>
      </c>
      <c r="M474" s="46">
        <f>Data!U472</f>
        <v>1.5112000517547131E-2</v>
      </c>
      <c r="N474" s="46" t="str">
        <f>CONCATENATE(Data!W472," (",Data!V472,")")</f>
        <v>Tiempo en ralentí (Ignición: 1.00)</v>
      </c>
      <c r="O474" s="42" t="str">
        <f>IF(Data!V472&lt;&gt;"",N474,Data!W472)</f>
        <v>Tiempo en ralentí (Ignición: 1.00)</v>
      </c>
      <c r="P474" s="47" t="str">
        <f>Data!X472</f>
        <v>Válido</v>
      </c>
    </row>
    <row r="475" spans="1:16">
      <c r="A475" s="41" t="str">
        <f>Data!A473</f>
        <v>PKU249</v>
      </c>
      <c r="B475" s="41" t="str">
        <f>Data!D473</f>
        <v>Vehicle, Diesel, Frontera Energy Col 2679</v>
      </c>
      <c r="C475" s="41">
        <f>Data!F473</f>
        <v>0</v>
      </c>
      <c r="D475" s="41">
        <f>Data!G473</f>
        <v>0</v>
      </c>
      <c r="E475" s="41">
        <f>Data!H473</f>
        <v>0</v>
      </c>
      <c r="F475" s="41">
        <f>Data!K473</f>
        <v>0</v>
      </c>
      <c r="G475" s="33" t="str">
        <f>Data!M473</f>
        <v>Tiempo en ralentí</v>
      </c>
      <c r="H475" s="41" t="str">
        <f>Data!P473</f>
        <v>ECOPETROL RUBIALES- Quifa - CAÑO SUR, Puerto Triunfo - Estacion Policia: Puerto Gaitan - Rubiales, Puerto Gaitán, Meta, Colombia</v>
      </c>
      <c r="I475" s="42" t="str">
        <f>Data!Q473</f>
        <v>Cliente, Vel Max 40 Km/h, Vel Max 30 Km/h</v>
      </c>
      <c r="J475" s="43">
        <f>Data!S473</f>
        <v>46174.411091770831</v>
      </c>
      <c r="K475" s="44">
        <f>Data!S473</f>
        <v>46174.411091770831</v>
      </c>
      <c r="L475" s="45">
        <f>Data!T473</f>
        <v>6.9792824074074071E-3</v>
      </c>
      <c r="M475" s="46">
        <f>Data!U473</f>
        <v>9.6765747293829918E-3</v>
      </c>
      <c r="N475" s="46" t="str">
        <f>CONCATENATE(Data!W473," (",Data!V473,")")</f>
        <v>Tiempo en ralentí (Ignición: 1.00)</v>
      </c>
      <c r="O475" s="42" t="str">
        <f>IF(Data!V473&lt;&gt;"",N475,Data!W473)</f>
        <v>Tiempo en ralentí (Ignición: 1.00)</v>
      </c>
      <c r="P475" s="47" t="str">
        <f>Data!X473</f>
        <v>Válido</v>
      </c>
    </row>
    <row r="476" spans="1:16">
      <c r="A476" s="41" t="str">
        <f>Data!A474</f>
        <v>PKU249</v>
      </c>
      <c r="B476" s="41" t="str">
        <f>Data!D474</f>
        <v>Vehicle, Diesel, Frontera Energy Col 2679</v>
      </c>
      <c r="C476" s="41">
        <f>Data!F474</f>
        <v>0</v>
      </c>
      <c r="D476" s="41">
        <f>Data!G474</f>
        <v>0</v>
      </c>
      <c r="E476" s="41">
        <f>Data!H474</f>
        <v>0</v>
      </c>
      <c r="F476" s="41">
        <f>Data!K474</f>
        <v>0</v>
      </c>
      <c r="G476" s="33" t="str">
        <f>Data!M474</f>
        <v>Exceso Velocidad 30 Km/h</v>
      </c>
      <c r="H476" s="41" t="str">
        <f>Data!P474</f>
        <v>ECOPETROL RUBIALES- Quifa - CAÑO SUR, Puerto Triunfo - Estacion Policia: Puerto Gaitan - Rubiales, Puerto Gaitán, Meta, Colombia</v>
      </c>
      <c r="I476" s="42" t="str">
        <f>Data!Q474</f>
        <v>Cliente, Vel Max 40 Km/h, Vel Max 30 Km/h</v>
      </c>
      <c r="J476" s="43">
        <f>Data!S474</f>
        <v>46174.420342465281</v>
      </c>
      <c r="K476" s="44">
        <f>Data!S474</f>
        <v>46174.420342465281</v>
      </c>
      <c r="L476" s="45">
        <f>Data!T474</f>
        <v>1.2276620370370371E-4</v>
      </c>
      <c r="M476" s="46">
        <f>Data!U474</f>
        <v>9.5621556043624878E-2</v>
      </c>
      <c r="N476" s="46" t="str">
        <f>CONCATENATE(Data!W474," (",Data!V474,")")</f>
        <v>Exceso Velocidad 30 Km/h (Velocidad máxima: 36 kmh)</v>
      </c>
      <c r="O476" s="42" t="str">
        <f>IF(Data!V474&lt;&gt;"",N476,Data!W474)</f>
        <v>Exceso Velocidad 30 Km/h (Velocidad máxima: 36 kmh)</v>
      </c>
      <c r="P476" s="47" t="str">
        <f>Data!X474</f>
        <v>Válido</v>
      </c>
    </row>
    <row r="477" spans="1:16">
      <c r="A477" s="41" t="str">
        <f>Data!A475</f>
        <v>PKU249</v>
      </c>
      <c r="B477" s="41" t="str">
        <f>Data!D475</f>
        <v>Vehicle, Diesel, Frontera Energy Col 2679</v>
      </c>
      <c r="C477" s="41">
        <f>Data!F475</f>
        <v>0</v>
      </c>
      <c r="D477" s="41">
        <f>Data!G475</f>
        <v>0</v>
      </c>
      <c r="E477" s="41">
        <f>Data!H475</f>
        <v>0</v>
      </c>
      <c r="F477" s="41">
        <f>Data!K475</f>
        <v>0</v>
      </c>
      <c r="G477" s="33" t="str">
        <f>Data!M475</f>
        <v>Exceso Velocidad 30 Km/h</v>
      </c>
      <c r="H477" s="41" t="str">
        <f>Data!P475</f>
        <v>ECOPETROL RUBIALES- Quifa - CAÑO SUR, Puerto Triunfo - Estacion Policia: Puerto Gaitan - Rubiales, Puerto Gaitán, Meta, Colombia</v>
      </c>
      <c r="I477" s="42" t="str">
        <f>Data!Q475</f>
        <v>Cliente, Vel Max 40 Km/h, Vel Max 30 Km/h</v>
      </c>
      <c r="J477" s="43">
        <f>Data!S475</f>
        <v>46174.420488124997</v>
      </c>
      <c r="K477" s="44">
        <f>Data!S475</f>
        <v>46174.420488124997</v>
      </c>
      <c r="L477" s="45">
        <f>Data!T475</f>
        <v>1.1319444444444445E-4</v>
      </c>
      <c r="M477" s="46">
        <f>Data!U475</f>
        <v>8.951057493686676E-2</v>
      </c>
      <c r="N477" s="46" t="str">
        <f>CONCATENATE(Data!W475," (",Data!V475,")")</f>
        <v>Exceso Velocidad 30 Km/h (Velocidad máxima: 35 kmh)</v>
      </c>
      <c r="O477" s="42" t="str">
        <f>IF(Data!V475&lt;&gt;"",N477,Data!W475)</f>
        <v>Exceso Velocidad 30 Km/h (Velocidad máxima: 35 kmh)</v>
      </c>
      <c r="P477" s="47" t="str">
        <f>Data!X475</f>
        <v>Válido</v>
      </c>
    </row>
    <row r="478" spans="1:16">
      <c r="A478" s="41" t="str">
        <f>Data!A476</f>
        <v>PKU249</v>
      </c>
      <c r="B478" s="41" t="str">
        <f>Data!D476</f>
        <v>Vehicle, Diesel, Frontera Energy Col 2679</v>
      </c>
      <c r="C478" s="41">
        <f>Data!F476</f>
        <v>0</v>
      </c>
      <c r="D478" s="41">
        <f>Data!G476</f>
        <v>0</v>
      </c>
      <c r="E478" s="41">
        <f>Data!H476</f>
        <v>0</v>
      </c>
      <c r="F478" s="41">
        <f>Data!K476</f>
        <v>0</v>
      </c>
      <c r="G478" s="33" t="str">
        <f>Data!M476</f>
        <v>Exceso Velocidad 10 Km/h</v>
      </c>
      <c r="H478" s="41" t="str">
        <f>Data!P476</f>
        <v>ECOPETROL RUBIALES- Quifa - CAÑO SUR, Puerto Triunfo - Estacion Policia, PUESTRO CONTROL QUIFA: Puerto Gaitan - Rubiales, Puerto Gaitán, Meta, Colombia</v>
      </c>
      <c r="I478" s="42" t="str">
        <f>Data!Q476</f>
        <v>Cliente, Vel Max 40 Km/h, Vel Max 30 Km/h, Vel Max 10 Km/h</v>
      </c>
      <c r="J478" s="43">
        <f>Data!S476</f>
        <v>46174.423436793979</v>
      </c>
      <c r="K478" s="44">
        <f>Data!S476</f>
        <v>46174.423436793979</v>
      </c>
      <c r="L478" s="45">
        <f>Data!T476</f>
        <v>4.0880787037037036E-4</v>
      </c>
      <c r="M478" s="46">
        <f>Data!U476</f>
        <v>0.18242530524730682</v>
      </c>
      <c r="N478" s="46" t="str">
        <f>CONCATENATE(Data!W476," (",Data!V476,")")</f>
        <v>Exceso Velocidad 10 Km/h (Velocidad máxima: 22 kmh)</v>
      </c>
      <c r="O478" s="42" t="str">
        <f>IF(Data!V476&lt;&gt;"",N478,Data!W476)</f>
        <v>Exceso Velocidad 10 Km/h (Velocidad máxima: 22 kmh)</v>
      </c>
      <c r="P478" s="47" t="str">
        <f>Data!X476</f>
        <v>Válido</v>
      </c>
    </row>
    <row r="479" spans="1:16">
      <c r="A479" s="41" t="str">
        <f>Data!A477</f>
        <v>PKU249</v>
      </c>
      <c r="B479" s="41" t="str">
        <f>Data!D477</f>
        <v>Vehicle, Diesel, Frontera Energy Col 2679</v>
      </c>
      <c r="C479" s="41">
        <f>Data!F477</f>
        <v>0</v>
      </c>
      <c r="D479" s="41">
        <f>Data!G477</f>
        <v>0</v>
      </c>
      <c r="E479" s="41">
        <f>Data!H477</f>
        <v>0</v>
      </c>
      <c r="F479" s="41">
        <f>Data!K477</f>
        <v>0</v>
      </c>
      <c r="G479" s="33" t="str">
        <f>Data!M477</f>
        <v>Exceso Velocidad 30 Km/h</v>
      </c>
      <c r="H479" s="41" t="str">
        <f>Data!P477</f>
        <v>ECOPETROL RUBIALES- Quifa - CAÑO SUR, Puerto Triunfo - Estacion Policia: Puerto Gaitan - Rubiales, Puerto Gaitán, Meta, Colombia</v>
      </c>
      <c r="I479" s="42" t="str">
        <f>Data!Q477</f>
        <v>Cliente, Vel Max 40 Km/h, Vel Max 30 Km/h</v>
      </c>
      <c r="J479" s="43">
        <f>Data!S477</f>
        <v>46174.42477740741</v>
      </c>
      <c r="K479" s="44">
        <f>Data!S477</f>
        <v>46174.42477740741</v>
      </c>
      <c r="L479" s="45">
        <f>Data!T477</f>
        <v>6.8333333333333332E-5</v>
      </c>
      <c r="M479" s="46">
        <f>Data!U477</f>
        <v>5.1241524517536163E-2</v>
      </c>
      <c r="N479" s="46" t="str">
        <f>CONCATENATE(Data!W477," (",Data!V477,")")</f>
        <v>Exceso Velocidad 30 Km/h (Velocidad máxima: 34 kmh)</v>
      </c>
      <c r="O479" s="42" t="str">
        <f>IF(Data!V477&lt;&gt;"",N479,Data!W477)</f>
        <v>Exceso Velocidad 30 Km/h (Velocidad máxima: 34 kmh)</v>
      </c>
      <c r="P479" s="47" t="str">
        <f>Data!X477</f>
        <v>Válido</v>
      </c>
    </row>
    <row r="480" spans="1:16">
      <c r="A480" s="41" t="str">
        <f>Data!A478</f>
        <v>PKU249</v>
      </c>
      <c r="B480" s="41" t="str">
        <f>Data!D478</f>
        <v>Vehicle, Diesel, Frontera Energy Col 2679</v>
      </c>
      <c r="C480" s="41">
        <f>Data!F478</f>
        <v>0</v>
      </c>
      <c r="D480" s="41">
        <f>Data!G478</f>
        <v>0</v>
      </c>
      <c r="E480" s="41">
        <f>Data!H478</f>
        <v>0</v>
      </c>
      <c r="F480" s="41">
        <f>Data!K478</f>
        <v>0</v>
      </c>
      <c r="G480" s="33" t="str">
        <f>Data!M478</f>
        <v>Exceso Velocidad 30 Km/h</v>
      </c>
      <c r="H480" s="41" t="str">
        <f>Data!P478</f>
        <v>ECOPETROL RUBIALES- Quifa - CAÑO SUR, Puerto Triunfo - Estacion Policia: Puerto Gaitan - Rubiales, Puerto Gaitán, Meta, Colombia</v>
      </c>
      <c r="I480" s="42" t="str">
        <f>Data!Q478</f>
        <v>Cliente, Vel Max 40 Km/h, Vel Max 30 Km/h</v>
      </c>
      <c r="J480" s="43">
        <f>Data!S478</f>
        <v>46174.424992361113</v>
      </c>
      <c r="K480" s="44">
        <f>Data!S478</f>
        <v>46174.424992361113</v>
      </c>
      <c r="L480" s="45">
        <f>Data!T478</f>
        <v>3.293287037037037E-4</v>
      </c>
      <c r="M480" s="46">
        <f>Data!U478</f>
        <v>0.28630951046943665</v>
      </c>
      <c r="N480" s="46" t="str">
        <f>CONCATENATE(Data!W478," (",Data!V478,")")</f>
        <v>Exceso Velocidad 30 Km/h (Velocidad máxima: 39 kmh)</v>
      </c>
      <c r="O480" s="42" t="str">
        <f>IF(Data!V478&lt;&gt;"",N480,Data!W478)</f>
        <v>Exceso Velocidad 30 Km/h (Velocidad máxima: 39 kmh)</v>
      </c>
      <c r="P480" s="47" t="str">
        <f>Data!X478</f>
        <v>Válido</v>
      </c>
    </row>
    <row r="481" spans="1:16">
      <c r="A481" s="41" t="str">
        <f>Data!A479</f>
        <v>PKU249</v>
      </c>
      <c r="B481" s="41" t="str">
        <f>Data!D479</f>
        <v>Vehicle, Diesel, Frontera Energy Col 2679</v>
      </c>
      <c r="C481" s="41">
        <f>Data!F479</f>
        <v>0</v>
      </c>
      <c r="D481" s="41">
        <f>Data!G479</f>
        <v>0</v>
      </c>
      <c r="E481" s="41">
        <f>Data!H479</f>
        <v>0</v>
      </c>
      <c r="F481" s="41">
        <f>Data!K479</f>
        <v>0</v>
      </c>
      <c r="G481" s="33" t="str">
        <f>Data!M479</f>
        <v>Exceso Velocidad 30 Km/h</v>
      </c>
      <c r="H481" s="41" t="str">
        <f>Data!P479</f>
        <v>ECOPETROL RUBIALES- Quifa - CAÑO SUR, Puerto Gaitan - Rubiales, Puerto Gaitán, Meta, Colombia, Puerto Triunfo - Estacion Policia: Puerto Gaitan - Rubiales, Puerto Gaitán, Meta, Colombia</v>
      </c>
      <c r="I481" s="42" t="str">
        <f>Data!Q479</f>
        <v>Cliente, Vel Max 40 Km/h, Centro de servicios del proveedor, Vel Max 30 Km/h</v>
      </c>
      <c r="J481" s="43">
        <f>Data!S479</f>
        <v>46174.42549548611</v>
      </c>
      <c r="K481" s="44">
        <f>Data!S479</f>
        <v>46174.42549548611</v>
      </c>
      <c r="L481" s="45">
        <f>Data!T479</f>
        <v>9.1053240740740735E-5</v>
      </c>
      <c r="M481" s="46">
        <f>Data!U479</f>
        <v>6.9517523050308228E-2</v>
      </c>
      <c r="N481" s="46" t="str">
        <f>CONCATENATE(Data!W479," (",Data!V479,")")</f>
        <v>Exceso Velocidad 30 Km/h (Velocidad máxima: 34 kmh)</v>
      </c>
      <c r="O481" s="42" t="str">
        <f>IF(Data!V479&lt;&gt;"",N481,Data!W479)</f>
        <v>Exceso Velocidad 30 Km/h (Velocidad máxima: 34 kmh)</v>
      </c>
      <c r="P481" s="47" t="str">
        <f>Data!X479</f>
        <v>Válido</v>
      </c>
    </row>
    <row r="482" spans="1:16">
      <c r="A482" s="41" t="str">
        <f>Data!A480</f>
        <v>PKU249</v>
      </c>
      <c r="B482" s="41" t="str">
        <f>Data!D480</f>
        <v>Vehicle, Diesel, Frontera Energy Col 2679</v>
      </c>
      <c r="C482" s="41">
        <f>Data!F480</f>
        <v>0</v>
      </c>
      <c r="D482" s="41">
        <f>Data!G480</f>
        <v>0</v>
      </c>
      <c r="E482" s="41">
        <f>Data!H480</f>
        <v>0</v>
      </c>
      <c r="F482" s="41">
        <f>Data!K480</f>
        <v>0</v>
      </c>
      <c r="G482" s="33" t="str">
        <f>Data!M480</f>
        <v>Exceso Velocidad 10 Km/h</v>
      </c>
      <c r="H482" s="41" t="str">
        <f>Data!P480</f>
        <v>CAMPAMENTO QUIFA, ECOPETROL RUBIALES- Quifa - CAÑO SUR, Puerto Gaitan - Rubiales, Puerto Gaitán, Meta, Colombia, Puerto Triunfo - Estacion Policia: Ent. CAMPAMENTO, Puerto Gaitán, Meta, Colombia</v>
      </c>
      <c r="I482" s="42" t="str">
        <f>Data!Q480</f>
        <v>Vel Max 10 Km/h, Cliente, Vel Max 40 Km/h, Centro de servicios del proveedor, Vel Max 30 Km/h</v>
      </c>
      <c r="J482" s="43">
        <f>Data!S480</f>
        <v>46174.425688090276</v>
      </c>
      <c r="K482" s="44">
        <f>Data!S480</f>
        <v>46174.425688090276</v>
      </c>
      <c r="L482" s="45">
        <f>Data!T480</f>
        <v>2.4680555555555556E-4</v>
      </c>
      <c r="M482" s="46">
        <f>Data!U480</f>
        <v>0.12694023549556732</v>
      </c>
      <c r="N482" s="46" t="str">
        <f>CONCATENATE(Data!W480," (",Data!V480,")")</f>
        <v>Exceso Velocidad 10 Km/h (Velocidad máxima: 32 kmh)</v>
      </c>
      <c r="O482" s="42" t="str">
        <f>IF(Data!V480&lt;&gt;"",N482,Data!W480)</f>
        <v>Exceso Velocidad 10 Km/h (Velocidad máxima: 32 kmh)</v>
      </c>
      <c r="P482" s="47" t="str">
        <f>Data!X480</f>
        <v>Válido</v>
      </c>
    </row>
    <row r="483" spans="1:16">
      <c r="A483" s="41" t="str">
        <f>Data!A481</f>
        <v>PKU249</v>
      </c>
      <c r="B483" s="41" t="str">
        <f>Data!D481</f>
        <v>Vehicle, Diesel, Frontera Energy Col 2679</v>
      </c>
      <c r="C483" s="41">
        <f>Data!F481</f>
        <v>0</v>
      </c>
      <c r="D483" s="41">
        <f>Data!G481</f>
        <v>0</v>
      </c>
      <c r="E483" s="41">
        <f>Data!H481</f>
        <v>0</v>
      </c>
      <c r="F483" s="41">
        <f>Data!K481</f>
        <v>0</v>
      </c>
      <c r="G483" s="33" t="str">
        <f>Data!M481</f>
        <v>Exceso Velocidad 30 Km/h</v>
      </c>
      <c r="H483" s="41" t="str">
        <f>Data!P481</f>
        <v>CAMPAMENTO QUIFA, ECOPETROL RUBIALES- Quifa - CAÑO SUR, Puerto Triunfo - Estacion Policia: Puerto Gaitan - Rubiales, Puerto Gaitán, Meta, Colombia</v>
      </c>
      <c r="I483" s="42" t="str">
        <f>Data!Q481</f>
        <v>Vel Max 10 Km/h, Cliente, Vel Max 40 Km/h, Vel Max 30 Km/h</v>
      </c>
      <c r="J483" s="43">
        <f>Data!S481</f>
        <v>46174.425922141207</v>
      </c>
      <c r="K483" s="44">
        <f>Data!S481</f>
        <v>46174.425922141207</v>
      </c>
      <c r="L483" s="45">
        <f>Data!T481</f>
        <v>6.5590277777777777E-5</v>
      </c>
      <c r="M483" s="46">
        <f>Data!U481</f>
        <v>5.1360689103603363E-2</v>
      </c>
      <c r="N483" s="46" t="str">
        <f>CONCATENATE(Data!W481," (",Data!V481,")")</f>
        <v>Exceso Velocidad 30 Km/h (Velocidad máxima: 33 kmh)</v>
      </c>
      <c r="O483" s="42" t="str">
        <f>IF(Data!V481&lt;&gt;"",N483,Data!W481)</f>
        <v>Exceso Velocidad 30 Km/h (Velocidad máxima: 33 kmh)</v>
      </c>
      <c r="P483" s="47" t="str">
        <f>Data!X481</f>
        <v>Válido</v>
      </c>
    </row>
    <row r="484" spans="1:16">
      <c r="A484" s="41" t="str">
        <f>Data!A482</f>
        <v>PKU249</v>
      </c>
      <c r="B484" s="41" t="str">
        <f>Data!D482</f>
        <v>Vehicle, Diesel, Frontera Energy Col 2679</v>
      </c>
      <c r="C484" s="41">
        <f>Data!F482</f>
        <v>0</v>
      </c>
      <c r="D484" s="41">
        <f>Data!G482</f>
        <v>0</v>
      </c>
      <c r="E484" s="41">
        <f>Data!H482</f>
        <v>0</v>
      </c>
      <c r="F484" s="41">
        <f>Data!K482</f>
        <v>0</v>
      </c>
      <c r="G484" s="33" t="str">
        <f>Data!M482</f>
        <v>Exceso Velocidad 30 Km/h</v>
      </c>
      <c r="H484" s="41" t="str">
        <f>Data!P482</f>
        <v>ECOPETROL RUBIALES- Quifa - CAÑO SUR, Puerto Triunfo - Estacion Policia: Puerto Gaitan - Rubiales, Puerto Gaitán, Meta, Colombia</v>
      </c>
      <c r="I484" s="42" t="str">
        <f>Data!Q482</f>
        <v>Cliente, Vel Max 40 Km/h, Vel Max 30 Km/h</v>
      </c>
      <c r="J484" s="43">
        <f>Data!S482</f>
        <v>46174.4261428588</v>
      </c>
      <c r="K484" s="44">
        <f>Data!S482</f>
        <v>46174.4261428588</v>
      </c>
      <c r="L484" s="45">
        <f>Data!T482</f>
        <v>1.6607638888888889E-4</v>
      </c>
      <c r="M484" s="46">
        <f>Data!U482</f>
        <v>0.13453900814056396</v>
      </c>
      <c r="N484" s="46" t="str">
        <f>CONCATENATE(Data!W482," (",Data!V482,")")</f>
        <v>Exceso Velocidad 30 Km/h (Velocidad máxima: 37 kmh)</v>
      </c>
      <c r="O484" s="42" t="str">
        <f>IF(Data!V482&lt;&gt;"",N484,Data!W482)</f>
        <v>Exceso Velocidad 30 Km/h (Velocidad máxima: 37 kmh)</v>
      </c>
      <c r="P484" s="47" t="str">
        <f>Data!X482</f>
        <v>Válido</v>
      </c>
    </row>
    <row r="485" spans="1:16">
      <c r="A485" s="41" t="str">
        <f>Data!A483</f>
        <v>PKU249</v>
      </c>
      <c r="B485" s="41" t="str">
        <f>Data!D483</f>
        <v>Vehicle, Diesel, Frontera Energy Col 2679</v>
      </c>
      <c r="C485" s="41">
        <f>Data!F483</f>
        <v>0</v>
      </c>
      <c r="D485" s="41">
        <f>Data!G483</f>
        <v>0</v>
      </c>
      <c r="E485" s="41">
        <f>Data!H483</f>
        <v>0</v>
      </c>
      <c r="F485" s="41">
        <f>Data!K483</f>
        <v>0</v>
      </c>
      <c r="G485" s="33" t="str">
        <f>Data!M483</f>
        <v>Exceso Velocidad 30 Km/h</v>
      </c>
      <c r="H485" s="41" t="str">
        <f>Data!P483</f>
        <v>ECOPETROL RUBIALES- Quifa - CAÑO SUR, Puerto Triunfo - Estacion Policia: Puerto Gaitan - Rubiales, Puerto Gaitán, Meta, Colombia</v>
      </c>
      <c r="I485" s="42" t="str">
        <f>Data!Q483</f>
        <v>Cliente, Vel Max 40 Km/h, Vel Max 30 Km/h</v>
      </c>
      <c r="J485" s="43">
        <f>Data!S483</f>
        <v>46174.426488310186</v>
      </c>
      <c r="K485" s="44">
        <f>Data!S483</f>
        <v>46174.426488310186</v>
      </c>
      <c r="L485" s="45">
        <f>Data!T483</f>
        <v>2.6041666666666668E-5</v>
      </c>
      <c r="M485" s="46">
        <f>Data!U483</f>
        <v>1.8858930096030235E-2</v>
      </c>
      <c r="N485" s="46" t="str">
        <f>CONCATENATE(Data!W483," (",Data!V483,")")</f>
        <v>Exceso Velocidad 30 Km/h (Velocidad máxima: 31 kmh)</v>
      </c>
      <c r="O485" s="42" t="str">
        <f>IF(Data!V483&lt;&gt;"",N485,Data!W483)</f>
        <v>Exceso Velocidad 30 Km/h (Velocidad máxima: 31 kmh)</v>
      </c>
      <c r="P485" s="47" t="str">
        <f>Data!X483</f>
        <v>Válido</v>
      </c>
    </row>
    <row r="486" spans="1:16">
      <c r="A486" s="41" t="str">
        <f>Data!A484</f>
        <v>PKU249</v>
      </c>
      <c r="B486" s="41" t="str">
        <f>Data!D484</f>
        <v>Vehicle, Diesel, Frontera Energy Col 2679</v>
      </c>
      <c r="C486" s="41">
        <f>Data!F484</f>
        <v>0</v>
      </c>
      <c r="D486" s="41">
        <f>Data!G484</f>
        <v>0</v>
      </c>
      <c r="E486" s="41">
        <f>Data!H484</f>
        <v>0</v>
      </c>
      <c r="F486" s="41">
        <f>Data!K484</f>
        <v>0</v>
      </c>
      <c r="G486" s="33" t="str">
        <f>Data!M484</f>
        <v>Exceso Velocidad 30 Km/h</v>
      </c>
      <c r="H486" s="41" t="str">
        <f>Data!P484</f>
        <v>ECOPETROL RUBIALES- Quifa - CAÑO SUR, Puerto Triunfo - Estacion Policia: Puerto Gaitan - Rubiales, Puerto Gaitán, Meta, Colombia</v>
      </c>
      <c r="I486" s="42" t="str">
        <f>Data!Q484</f>
        <v>Cliente, Vel Max 40 Km/h, Vel Max 30 Km/h</v>
      </c>
      <c r="J486" s="43">
        <f>Data!S484</f>
        <v>46174.426634722222</v>
      </c>
      <c r="K486" s="44">
        <f>Data!S484</f>
        <v>46174.426634722222</v>
      </c>
      <c r="L486" s="45">
        <f>Data!T484</f>
        <v>3.8900462962962966E-5</v>
      </c>
      <c r="M486" s="46">
        <f>Data!U484</f>
        <v>3.0760129913687706E-2</v>
      </c>
      <c r="N486" s="46" t="str">
        <f>CONCATENATE(Data!W484," (",Data!V484,")")</f>
        <v>Exceso Velocidad 30 Km/h (Velocidad máxima: 37 kmh)</v>
      </c>
      <c r="O486" s="42" t="str">
        <f>IF(Data!V484&lt;&gt;"",N486,Data!W484)</f>
        <v>Exceso Velocidad 30 Km/h (Velocidad máxima: 37 kmh)</v>
      </c>
      <c r="P486" s="47" t="str">
        <f>Data!X484</f>
        <v>Válido</v>
      </c>
    </row>
    <row r="487" spans="1:16">
      <c r="A487" s="41" t="str">
        <f>Data!A485</f>
        <v>PKU249</v>
      </c>
      <c r="B487" s="41" t="str">
        <f>Data!D485</f>
        <v>Vehicle, Diesel, Frontera Energy Col 2679</v>
      </c>
      <c r="C487" s="41">
        <f>Data!F485</f>
        <v>0</v>
      </c>
      <c r="D487" s="41">
        <f>Data!G485</f>
        <v>0</v>
      </c>
      <c r="E487" s="41">
        <f>Data!H485</f>
        <v>0</v>
      </c>
      <c r="F487" s="41">
        <f>Data!K485</f>
        <v>0</v>
      </c>
      <c r="G487" s="33" t="str">
        <f>Data!M485</f>
        <v>Exceso Velocidad 40 Km/h</v>
      </c>
      <c r="H487" s="41" t="str">
        <f>Data!P485</f>
        <v>ECOPETROL RUBIALES- Quifa - CAÑO SUR: Qf 48 36 79 Dw1, Puerto Gaitán, Meta, Colombia</v>
      </c>
      <c r="I487" s="42" t="str">
        <f>Data!Q485</f>
        <v>Cliente, Vel Max 40 Km/h</v>
      </c>
      <c r="J487" s="43">
        <f>Data!S485</f>
        <v>46174.432289247685</v>
      </c>
      <c r="K487" s="44">
        <f>Data!S485</f>
        <v>46174.432289247685</v>
      </c>
      <c r="L487" s="45">
        <f>Data!T485</f>
        <v>2.9374999999999999E-5</v>
      </c>
      <c r="M487" s="46">
        <f>Data!U485</f>
        <v>2.7258321642875671E-2</v>
      </c>
      <c r="N487" s="46" t="str">
        <f>CONCATENATE(Data!W485," (",Data!V485,")")</f>
        <v>Exceso Velocidad 40 Km/h (Velocidad máxima: 41 kmh)</v>
      </c>
      <c r="O487" s="42" t="str">
        <f>IF(Data!V485&lt;&gt;"",N487,Data!W485)</f>
        <v>Exceso Velocidad 40 Km/h (Velocidad máxima: 41 kmh)</v>
      </c>
      <c r="P487" s="47" t="str">
        <f>Data!X485</f>
        <v>Válido</v>
      </c>
    </row>
    <row r="488" spans="1:16">
      <c r="A488" s="41" t="str">
        <f>Data!A486</f>
        <v>PKU249</v>
      </c>
      <c r="B488" s="41" t="str">
        <f>Data!D486</f>
        <v>Vehicle, Diesel, Frontera Energy Col 2679</v>
      </c>
      <c r="C488" s="41">
        <f>Data!F486</f>
        <v>0</v>
      </c>
      <c r="D488" s="41">
        <f>Data!G486</f>
        <v>0</v>
      </c>
      <c r="E488" s="41">
        <f>Data!H486</f>
        <v>0</v>
      </c>
      <c r="F488" s="41">
        <f>Data!K486</f>
        <v>0</v>
      </c>
      <c r="G488" s="33" t="str">
        <f>Data!M486</f>
        <v>Exceso Velocidad 40 Km/h</v>
      </c>
      <c r="H488" s="41" t="str">
        <f>Data!P486</f>
        <v>ECOPETROL RUBIALES- Quifa - CAÑO SUR: Via QF- 85, Puerto Gaitán, Meta, Colombia</v>
      </c>
      <c r="I488" s="42" t="str">
        <f>Data!Q486</f>
        <v>Cliente, Vel Max 40 Km/h</v>
      </c>
      <c r="J488" s="43">
        <f>Data!S486</f>
        <v>46174.433072870372</v>
      </c>
      <c r="K488" s="44">
        <f>Data!S486</f>
        <v>46174.433072870372</v>
      </c>
      <c r="L488" s="45">
        <f>Data!T486</f>
        <v>1.4270833333333334E-5</v>
      </c>
      <c r="M488" s="46">
        <f>Data!U486</f>
        <v>1.3229336589574814E-2</v>
      </c>
      <c r="N488" s="46" t="str">
        <f>CONCATENATE(Data!W486," (",Data!V486,")")</f>
        <v>Exceso Velocidad 40 Km/h (Velocidad máxima: 41 kmh)</v>
      </c>
      <c r="O488" s="42" t="str">
        <f>IF(Data!V486&lt;&gt;"",N488,Data!W486)</f>
        <v>Exceso Velocidad 40 Km/h (Velocidad máxima: 41 kmh)</v>
      </c>
      <c r="P488" s="47" t="str">
        <f>Data!X486</f>
        <v>Válido</v>
      </c>
    </row>
    <row r="489" spans="1:16">
      <c r="A489" s="41" t="str">
        <f>Data!A487</f>
        <v>PKU249</v>
      </c>
      <c r="B489" s="41" t="str">
        <f>Data!D487</f>
        <v>Vehicle, Diesel, Frontera Energy Col 2679</v>
      </c>
      <c r="C489" s="41">
        <f>Data!F487</f>
        <v>0</v>
      </c>
      <c r="D489" s="41">
        <f>Data!G487</f>
        <v>0</v>
      </c>
      <c r="E489" s="41">
        <f>Data!H487</f>
        <v>0</v>
      </c>
      <c r="F489" s="41">
        <f>Data!K487</f>
        <v>0</v>
      </c>
      <c r="G489" s="33" t="str">
        <f>Data!M487</f>
        <v>Exceso Velocidad 40 Km/h</v>
      </c>
      <c r="H489" s="41" t="str">
        <f>Data!P487</f>
        <v>ECOPETROL RUBIALES- Quifa - CAÑO SUR: Via QF- 85, Puerto Gaitán, Meta, Colombia</v>
      </c>
      <c r="I489" s="42" t="str">
        <f>Data!Q487</f>
        <v>Cliente, Vel Max 40 Km/h</v>
      </c>
      <c r="J489" s="43">
        <f>Data!S487</f>
        <v>46174.435055902781</v>
      </c>
      <c r="K489" s="44">
        <f>Data!S487</f>
        <v>46174.435055902781</v>
      </c>
      <c r="L489" s="45">
        <f>Data!T487</f>
        <v>6.1331018518518519E-5</v>
      </c>
      <c r="M489" s="46">
        <f>Data!U487</f>
        <v>5.9986162930727005E-2</v>
      </c>
      <c r="N489" s="46" t="str">
        <f>CONCATENATE(Data!W487," (",Data!V487,")")</f>
        <v>Exceso Velocidad 40 Km/h (Velocidad máxima: 43 kmh)</v>
      </c>
      <c r="O489" s="42" t="str">
        <f>IF(Data!V487&lt;&gt;"",N489,Data!W487)</f>
        <v>Exceso Velocidad 40 Km/h (Velocidad máxima: 43 kmh)</v>
      </c>
      <c r="P489" s="47" t="str">
        <f>Data!X487</f>
        <v>Válido</v>
      </c>
    </row>
    <row r="490" spans="1:16">
      <c r="A490" s="41" t="str">
        <f>Data!A488</f>
        <v>PKU249</v>
      </c>
      <c r="B490" s="41" t="str">
        <f>Data!D488</f>
        <v>Vehicle, Diesel, Frontera Energy Col 2679</v>
      </c>
      <c r="C490" s="41">
        <f>Data!F488</f>
        <v>0</v>
      </c>
      <c r="D490" s="41">
        <f>Data!G488</f>
        <v>0</v>
      </c>
      <c r="E490" s="41">
        <f>Data!H488</f>
        <v>0</v>
      </c>
      <c r="F490" s="41">
        <f>Data!K488</f>
        <v>0</v>
      </c>
      <c r="G490" s="33" t="str">
        <f>Data!M488</f>
        <v>Exceso Velocidad 40 Km/h</v>
      </c>
      <c r="H490" s="41" t="str">
        <f>Data!P488</f>
        <v>ECOPETROL RUBIALES- Quifa - CAÑO SUR: Via QF- 85, Puerto Gaitán, Meta, Colombia</v>
      </c>
      <c r="I490" s="42" t="str">
        <f>Data!Q488</f>
        <v>Cliente, Vel Max 40 Km/h</v>
      </c>
      <c r="J490" s="43">
        <f>Data!S488</f>
        <v>46174.435628807871</v>
      </c>
      <c r="K490" s="44">
        <f>Data!S488</f>
        <v>46174.435628807871</v>
      </c>
      <c r="L490" s="45">
        <f>Data!T488</f>
        <v>1.7216435185185184E-4</v>
      </c>
      <c r="M490" s="46">
        <f>Data!U488</f>
        <v>0.16901564598083496</v>
      </c>
      <c r="N490" s="46" t="str">
        <f>CONCATENATE(Data!W488," (",Data!V488,")")</f>
        <v>Exceso Velocidad 40 Km/h (Velocidad máxima: 43 kmh)</v>
      </c>
      <c r="O490" s="42" t="str">
        <f>IF(Data!V488&lt;&gt;"",N490,Data!W488)</f>
        <v>Exceso Velocidad 40 Km/h (Velocidad máxima: 43 kmh)</v>
      </c>
      <c r="P490" s="47" t="str">
        <f>Data!X488</f>
        <v>Válido</v>
      </c>
    </row>
    <row r="491" spans="1:16">
      <c r="A491" s="41" t="str">
        <f>Data!A489</f>
        <v>PKU249</v>
      </c>
      <c r="B491" s="41" t="str">
        <f>Data!D489</f>
        <v>Vehicle, Diesel, Frontera Energy Col 2679</v>
      </c>
      <c r="C491" s="41">
        <f>Data!F489</f>
        <v>0</v>
      </c>
      <c r="D491" s="41">
        <f>Data!G489</f>
        <v>0</v>
      </c>
      <c r="E491" s="41">
        <f>Data!H489</f>
        <v>0</v>
      </c>
      <c r="F491" s="41">
        <f>Data!K489</f>
        <v>0</v>
      </c>
      <c r="G491" s="33" t="str">
        <f>Data!M489</f>
        <v>Exceso Velocidad 40 Km/h</v>
      </c>
      <c r="H491" s="41" t="str">
        <f>Data!P489</f>
        <v>ECOPETROL RUBIALES- Quifa - CAÑO SUR: Via QF- 85, Puerto Gaitán, Meta, Colombia</v>
      </c>
      <c r="I491" s="42" t="str">
        <f>Data!Q489</f>
        <v>Cliente, Vel Max 40 Km/h</v>
      </c>
      <c r="J491" s="43">
        <f>Data!S489</f>
        <v>46174.43597835648</v>
      </c>
      <c r="K491" s="44">
        <f>Data!S489</f>
        <v>46174.43597835648</v>
      </c>
      <c r="L491" s="45">
        <f>Data!T489</f>
        <v>9.0266203703703705E-5</v>
      </c>
      <c r="M491" s="46">
        <f>Data!U489</f>
        <v>8.7563395500183105E-2</v>
      </c>
      <c r="N491" s="46" t="str">
        <f>CONCATENATE(Data!W489," (",Data!V489,")")</f>
        <v>Exceso Velocidad 40 Km/h (Velocidad máxima: 41 kmh)</v>
      </c>
      <c r="O491" s="42" t="str">
        <f>IF(Data!V489&lt;&gt;"",N491,Data!W489)</f>
        <v>Exceso Velocidad 40 Km/h (Velocidad máxima: 41 kmh)</v>
      </c>
      <c r="P491" s="47" t="str">
        <f>Data!X489</f>
        <v>Válido</v>
      </c>
    </row>
    <row r="492" spans="1:16">
      <c r="A492" s="41" t="str">
        <f>Data!A490</f>
        <v>PKU249</v>
      </c>
      <c r="B492" s="41" t="str">
        <f>Data!D490</f>
        <v>Vehicle, Diesel, Frontera Energy Col 2679</v>
      </c>
      <c r="C492" s="41">
        <f>Data!F490</f>
        <v>0</v>
      </c>
      <c r="D492" s="41">
        <f>Data!G490</f>
        <v>0</v>
      </c>
      <c r="E492" s="41">
        <f>Data!H490</f>
        <v>0</v>
      </c>
      <c r="F492" s="41">
        <f>Data!K490</f>
        <v>0</v>
      </c>
      <c r="G492" s="33" t="str">
        <f>Data!M490</f>
        <v>Exceso Velocidad 40 Km/h</v>
      </c>
      <c r="H492" s="41" t="str">
        <f>Data!P490</f>
        <v>ECOPETROL RUBIALES- Quifa - CAÑO SUR: Via QF- 85, Puerto Gaitán, Meta, Colombia</v>
      </c>
      <c r="I492" s="42" t="str">
        <f>Data!Q490</f>
        <v>Cliente, Vel Max 40 Km/h</v>
      </c>
      <c r="J492" s="43">
        <f>Data!S490</f>
        <v>46174.436068622686</v>
      </c>
      <c r="K492" s="44">
        <f>Data!S490</f>
        <v>46174.436068622686</v>
      </c>
      <c r="L492" s="45">
        <f>Data!T490</f>
        <v>2.8067129629629628E-4</v>
      </c>
      <c r="M492" s="46">
        <f>Data!U490</f>
        <v>0.2797989547252655</v>
      </c>
      <c r="N492" s="46" t="str">
        <f>CONCATENATE(Data!W490," (",Data!V490,")")</f>
        <v>Exceso Velocidad 40 Km/h (Velocidad máxima: 43 kmh)</v>
      </c>
      <c r="O492" s="42" t="str">
        <f>IF(Data!V490&lt;&gt;"",N492,Data!W490)</f>
        <v>Exceso Velocidad 40 Km/h (Velocidad máxima: 43 kmh)</v>
      </c>
      <c r="P492" s="47" t="str">
        <f>Data!X490</f>
        <v>Válido</v>
      </c>
    </row>
    <row r="493" spans="1:16">
      <c r="A493" s="41" t="str">
        <f>Data!A491</f>
        <v>PKU249</v>
      </c>
      <c r="B493" s="41" t="str">
        <f>Data!D491</f>
        <v>Vehicle, Diesel, Frontera Energy Col 2679</v>
      </c>
      <c r="C493" s="41">
        <f>Data!F491</f>
        <v>0</v>
      </c>
      <c r="D493" s="41">
        <f>Data!G491</f>
        <v>0</v>
      </c>
      <c r="E493" s="41">
        <f>Data!H491</f>
        <v>0</v>
      </c>
      <c r="F493" s="41">
        <f>Data!K491</f>
        <v>0</v>
      </c>
      <c r="G493" s="33" t="str">
        <f>Data!M491</f>
        <v>Exceso Velocidad 40 Km/h</v>
      </c>
      <c r="H493" s="41" t="str">
        <f>Data!P491</f>
        <v>ECOPETROL RUBIALES- Quifa - CAÑO SUR: Via QF- 85, Puerto Gaitán, Meta, Colombia</v>
      </c>
      <c r="I493" s="42" t="str">
        <f>Data!Q491</f>
        <v>Cliente, Vel Max 40 Km/h</v>
      </c>
      <c r="J493" s="43">
        <f>Data!S491</f>
        <v>46174.436410057868</v>
      </c>
      <c r="K493" s="44">
        <f>Data!S491</f>
        <v>46174.436410057868</v>
      </c>
      <c r="L493" s="45">
        <f>Data!T491</f>
        <v>1.5626157407407407E-4</v>
      </c>
      <c r="M493" s="46">
        <f>Data!U491</f>
        <v>0.1600678563117981</v>
      </c>
      <c r="N493" s="46" t="str">
        <f>CONCATENATE(Data!W491," (",Data!V491,")")</f>
        <v>Exceso Velocidad 40 Km/h (Velocidad máxima: 45 kmh)</v>
      </c>
      <c r="O493" s="42" t="str">
        <f>IF(Data!V491&lt;&gt;"",N493,Data!W491)</f>
        <v>Exceso Velocidad 40 Km/h (Velocidad máxima: 45 kmh)</v>
      </c>
      <c r="P493" s="47" t="str">
        <f>Data!X491</f>
        <v>Válido</v>
      </c>
    </row>
    <row r="494" spans="1:16">
      <c r="A494" s="41" t="str">
        <f>Data!A492</f>
        <v>PKU249</v>
      </c>
      <c r="B494" s="41" t="str">
        <f>Data!D492</f>
        <v>Vehicle, Diesel, Frontera Energy Col 2679</v>
      </c>
      <c r="C494" s="41">
        <f>Data!F492</f>
        <v>0</v>
      </c>
      <c r="D494" s="41">
        <f>Data!G492</f>
        <v>0</v>
      </c>
      <c r="E494" s="41">
        <f>Data!H492</f>
        <v>0</v>
      </c>
      <c r="F494" s="41">
        <f>Data!K492</f>
        <v>0</v>
      </c>
      <c r="G494" s="33" t="str">
        <f>Data!M492</f>
        <v>Exceso Velocidad 40 Km/h</v>
      </c>
      <c r="H494" s="41" t="str">
        <f>Data!P492</f>
        <v>ECOPETROL RUBIALES- Quifa - CAÑO SUR: Via QF- 85, Puerto Gaitán, Meta, Colombia</v>
      </c>
      <c r="I494" s="42" t="str">
        <f>Data!Q492</f>
        <v>Cliente, Vel Max 40 Km/h</v>
      </c>
      <c r="J494" s="43">
        <f>Data!S492</f>
        <v>46174.437552997682</v>
      </c>
      <c r="K494" s="44">
        <f>Data!S492</f>
        <v>46174.437552997682</v>
      </c>
      <c r="L494" s="45">
        <f>Data!T492</f>
        <v>3.7615740740740744E-5</v>
      </c>
      <c r="M494" s="46">
        <f>Data!U492</f>
        <v>3.6359939724206924E-2</v>
      </c>
      <c r="N494" s="46" t="str">
        <f>CONCATENATE(Data!W492," (",Data!V492,")")</f>
        <v>Exceso Velocidad 40 Km/h (Velocidad máxima: 41 kmh)</v>
      </c>
      <c r="O494" s="42" t="str">
        <f>IF(Data!V492&lt;&gt;"",N494,Data!W492)</f>
        <v>Exceso Velocidad 40 Km/h (Velocidad máxima: 41 kmh)</v>
      </c>
      <c r="P494" s="47" t="str">
        <f>Data!X492</f>
        <v>Válido</v>
      </c>
    </row>
    <row r="495" spans="1:16">
      <c r="A495" s="41" t="str">
        <f>Data!A493</f>
        <v>PKU249</v>
      </c>
      <c r="B495" s="41" t="str">
        <f>Data!D493</f>
        <v>Vehicle, Diesel, Frontera Energy Col 2679</v>
      </c>
      <c r="C495" s="41">
        <f>Data!F493</f>
        <v>0</v>
      </c>
      <c r="D495" s="41">
        <f>Data!G493</f>
        <v>0</v>
      </c>
      <c r="E495" s="41">
        <f>Data!H493</f>
        <v>0</v>
      </c>
      <c r="F495" s="41">
        <f>Data!K493</f>
        <v>0</v>
      </c>
      <c r="G495" s="33" t="str">
        <f>Data!M493</f>
        <v>Exceso Velocidad 40 Km/h</v>
      </c>
      <c r="H495" s="41" t="str">
        <f>Data!P493</f>
        <v>ECOPETROL RUBIALES- Quifa - CAÑO SUR: Via QF- 85, Puerto Gaitán, Meta, Colombia</v>
      </c>
      <c r="I495" s="42" t="str">
        <f>Data!Q493</f>
        <v>Cliente, Vel Max 40 Km/h</v>
      </c>
      <c r="J495" s="43">
        <f>Data!S493</f>
        <v>46174.438144340274</v>
      </c>
      <c r="K495" s="44">
        <f>Data!S493</f>
        <v>46174.438144340274</v>
      </c>
      <c r="L495" s="45">
        <f>Data!T493</f>
        <v>1.4652777777777779E-5</v>
      </c>
      <c r="M495" s="46">
        <f>Data!U493</f>
        <v>1.3652211986482143E-2</v>
      </c>
      <c r="N495" s="46" t="str">
        <f>CONCATENATE(Data!W493," (",Data!V493,")")</f>
        <v>Exceso Velocidad 40 Km/h (Velocidad máxima: 41 kmh)</v>
      </c>
      <c r="O495" s="42" t="str">
        <f>IF(Data!V493&lt;&gt;"",N495,Data!W493)</f>
        <v>Exceso Velocidad 40 Km/h (Velocidad máxima: 41 kmh)</v>
      </c>
      <c r="P495" s="47" t="str">
        <f>Data!X493</f>
        <v>Válido</v>
      </c>
    </row>
    <row r="496" spans="1:16">
      <c r="A496" s="41" t="str">
        <f>Data!A494</f>
        <v>PKU249</v>
      </c>
      <c r="B496" s="41" t="str">
        <f>Data!D494</f>
        <v>Vehicle, Diesel, Frontera Energy Col 2679</v>
      </c>
      <c r="C496" s="41">
        <f>Data!F494</f>
        <v>0</v>
      </c>
      <c r="D496" s="41">
        <f>Data!G494</f>
        <v>0</v>
      </c>
      <c r="E496" s="41">
        <f>Data!H494</f>
        <v>0</v>
      </c>
      <c r="F496" s="41">
        <f>Data!K494</f>
        <v>0</v>
      </c>
      <c r="G496" s="33" t="str">
        <f>Data!M494</f>
        <v>Exceso Velocidad 40 Km/h</v>
      </c>
      <c r="H496" s="41" t="str">
        <f>Data!P494</f>
        <v>ECOPETROL RUBIALES- Quifa - CAÑO SUR: Via QF- 85, Puerto Gaitán, Meta, Colombia</v>
      </c>
      <c r="I496" s="42" t="str">
        <f>Data!Q494</f>
        <v>Cliente, Vel Max 40 Km/h</v>
      </c>
      <c r="J496" s="43">
        <f>Data!S494</f>
        <v>46174.438352037039</v>
      </c>
      <c r="K496" s="44">
        <f>Data!S494</f>
        <v>46174.438352037039</v>
      </c>
      <c r="L496" s="45">
        <f>Data!T494</f>
        <v>8.9270833333333333E-5</v>
      </c>
      <c r="M496" s="46">
        <f>Data!U494</f>
        <v>8.5133984684944153E-2</v>
      </c>
      <c r="N496" s="46" t="str">
        <f>CONCATENATE(Data!W494," (",Data!V494,")")</f>
        <v>Exceso Velocidad 40 Km/h (Velocidad máxima: 42 kmh)</v>
      </c>
      <c r="O496" s="42" t="str">
        <f>IF(Data!V494&lt;&gt;"",N496,Data!W494)</f>
        <v>Exceso Velocidad 40 Km/h (Velocidad máxima: 42 kmh)</v>
      </c>
      <c r="P496" s="47" t="str">
        <f>Data!X494</f>
        <v>Válido</v>
      </c>
    </row>
    <row r="497" spans="1:16">
      <c r="A497" s="41" t="str">
        <f>Data!A495</f>
        <v>PKU249</v>
      </c>
      <c r="B497" s="41" t="str">
        <f>Data!D495</f>
        <v>Vehicle, Diesel, Frontera Energy Col 2679</v>
      </c>
      <c r="C497" s="41">
        <f>Data!F495</f>
        <v>0</v>
      </c>
      <c r="D497" s="41">
        <f>Data!G495</f>
        <v>0</v>
      </c>
      <c r="E497" s="41">
        <f>Data!H495</f>
        <v>0</v>
      </c>
      <c r="F497" s="41">
        <f>Data!K495</f>
        <v>0</v>
      </c>
      <c r="G497" s="33" t="str">
        <f>Data!M495</f>
        <v>Exceso Velocidad 40 Km/h</v>
      </c>
      <c r="H497" s="41" t="str">
        <f>Data!P495</f>
        <v>ECOPETROL RUBIALES- Quifa - CAÑO SUR: Via QF- 85, Puerto Gaitán, Meta, Colombia</v>
      </c>
      <c r="I497" s="42" t="str">
        <f>Data!Q495</f>
        <v>Cliente, Vel Max 40 Km/h</v>
      </c>
      <c r="J497" s="43">
        <f>Data!S495</f>
        <v>46174.438979502316</v>
      </c>
      <c r="K497" s="44">
        <f>Data!S495</f>
        <v>46174.438979502316</v>
      </c>
      <c r="L497" s="45">
        <f>Data!T495</f>
        <v>2.3728009259259259E-4</v>
      </c>
      <c r="M497" s="46">
        <f>Data!U495</f>
        <v>0.2356402575969696</v>
      </c>
      <c r="N497" s="46" t="str">
        <f>CONCATENATE(Data!W495," (",Data!V495,")")</f>
        <v>Exceso Velocidad 40 Km/h (Velocidad máxima: 43 kmh)</v>
      </c>
      <c r="O497" s="42" t="str">
        <f>IF(Data!V495&lt;&gt;"",N497,Data!W495)</f>
        <v>Exceso Velocidad 40 Km/h (Velocidad máxima: 43 kmh)</v>
      </c>
      <c r="P497" s="47" t="str">
        <f>Data!X495</f>
        <v>Válido</v>
      </c>
    </row>
    <row r="498" spans="1:16">
      <c r="A498" s="41" t="str">
        <f>Data!A496</f>
        <v>PKU249</v>
      </c>
      <c r="B498" s="41" t="str">
        <f>Data!D496</f>
        <v>Vehicle, Diesel, Frontera Energy Col 2679</v>
      </c>
      <c r="C498" s="41">
        <f>Data!F496</f>
        <v>0</v>
      </c>
      <c r="D498" s="41">
        <f>Data!G496</f>
        <v>0</v>
      </c>
      <c r="E498" s="41">
        <f>Data!H496</f>
        <v>0</v>
      </c>
      <c r="F498" s="41">
        <f>Data!K496</f>
        <v>0</v>
      </c>
      <c r="G498" s="33" t="str">
        <f>Data!M496</f>
        <v>Exceso Velocidad 40 Km/h</v>
      </c>
      <c r="H498" s="41" t="str">
        <f>Data!P496</f>
        <v>ECOPETROL RUBIALES- Quifa - CAÑO SUR: Via QF- 85, Puerto Gaitán, Meta, Colombia</v>
      </c>
      <c r="I498" s="42" t="str">
        <f>Data!Q496</f>
        <v>Cliente, Vel Max 40 Km/h</v>
      </c>
      <c r="J498" s="43">
        <f>Data!S496</f>
        <v>46174.439324803243</v>
      </c>
      <c r="K498" s="44">
        <f>Data!S496</f>
        <v>46174.439324803243</v>
      </c>
      <c r="L498" s="45">
        <f>Data!T496</f>
        <v>1.9293981481481483E-5</v>
      </c>
      <c r="M498" s="46">
        <f>Data!U496</f>
        <v>1.878822036087513E-2</v>
      </c>
      <c r="N498" s="46" t="str">
        <f>CONCATENATE(Data!W496," (",Data!V496,")")</f>
        <v>Exceso Velocidad 40 Km/h (Velocidad máxima: 41 kmh)</v>
      </c>
      <c r="O498" s="42" t="str">
        <f>IF(Data!V496&lt;&gt;"",N498,Data!W496)</f>
        <v>Exceso Velocidad 40 Km/h (Velocidad máxima: 41 kmh)</v>
      </c>
      <c r="P498" s="47" t="str">
        <f>Data!X496</f>
        <v>Válido</v>
      </c>
    </row>
    <row r="499" spans="1:16">
      <c r="A499" s="41" t="str">
        <f>Data!A497</f>
        <v>PKU249</v>
      </c>
      <c r="B499" s="41" t="str">
        <f>Data!D497</f>
        <v>Vehicle, Diesel, Frontera Energy Col 2679</v>
      </c>
      <c r="C499" s="41">
        <f>Data!F497</f>
        <v>0</v>
      </c>
      <c r="D499" s="41">
        <f>Data!G497</f>
        <v>0</v>
      </c>
      <c r="E499" s="41">
        <f>Data!H497</f>
        <v>0</v>
      </c>
      <c r="F499" s="41">
        <f>Data!K497</f>
        <v>0</v>
      </c>
      <c r="G499" s="33" t="str">
        <f>Data!M497</f>
        <v>Exceso Velocidad 40 Km/h</v>
      </c>
      <c r="H499" s="41" t="str">
        <f>Data!P497</f>
        <v>ECOPETROL RUBIALES- Quifa - CAÑO SUR: Via QF- 85, Puerto Gaitán, Meta, Colombia</v>
      </c>
      <c r="I499" s="42" t="str">
        <f>Data!Q497</f>
        <v>Cliente, Vel Max 40 Km/h</v>
      </c>
      <c r="J499" s="43">
        <f>Data!S497</f>
        <v>46174.439632164351</v>
      </c>
      <c r="K499" s="44">
        <f>Data!S497</f>
        <v>46174.439632164351</v>
      </c>
      <c r="L499" s="45">
        <f>Data!T497</f>
        <v>4.371527777777778E-5</v>
      </c>
      <c r="M499" s="46">
        <f>Data!U497</f>
        <v>4.2708747088909149E-2</v>
      </c>
      <c r="N499" s="46" t="str">
        <f>CONCATENATE(Data!W497," (",Data!V497,")")</f>
        <v>Exceso Velocidad 40 Km/h (Velocidad máxima: 42 kmh)</v>
      </c>
      <c r="O499" s="42" t="str">
        <f>IF(Data!V497&lt;&gt;"",N499,Data!W497)</f>
        <v>Exceso Velocidad 40 Km/h (Velocidad máxima: 42 kmh)</v>
      </c>
      <c r="P499" s="47" t="str">
        <f>Data!X497</f>
        <v>Válido</v>
      </c>
    </row>
    <row r="500" spans="1:16">
      <c r="A500" s="41" t="str">
        <f>Data!A498</f>
        <v>PKU249</v>
      </c>
      <c r="B500" s="41" t="str">
        <f>Data!D498</f>
        <v>Vehicle, Diesel, Frontera Energy Col 2679</v>
      </c>
      <c r="C500" s="41">
        <f>Data!F498</f>
        <v>0</v>
      </c>
      <c r="D500" s="41">
        <f>Data!G498</f>
        <v>0</v>
      </c>
      <c r="E500" s="41">
        <f>Data!H498</f>
        <v>0</v>
      </c>
      <c r="F500" s="41">
        <f>Data!K498</f>
        <v>0</v>
      </c>
      <c r="G500" s="33" t="str">
        <f>Data!M498</f>
        <v>Exceso Velocidad 40 Km/h</v>
      </c>
      <c r="H500" s="41" t="str">
        <f>Data!P498</f>
        <v>ECOPETROL RUBIALES- Quifa - CAÑO SUR: Via QF- 85, Puerto Gaitán, Meta, Colombia</v>
      </c>
      <c r="I500" s="42" t="str">
        <f>Data!Q498</f>
        <v>Cliente, Vel Max 40 Km/h</v>
      </c>
      <c r="J500" s="43">
        <f>Data!S498</f>
        <v>46174.439857199075</v>
      </c>
      <c r="K500" s="44">
        <f>Data!S498</f>
        <v>46174.439857199075</v>
      </c>
      <c r="L500" s="45">
        <f>Data!T498</f>
        <v>3.5958333333333334E-4</v>
      </c>
      <c r="M500" s="46">
        <f>Data!U498</f>
        <v>0.3624800443649292</v>
      </c>
      <c r="N500" s="46" t="str">
        <f>CONCATENATE(Data!W498," (",Data!V498,")")</f>
        <v>Exceso Velocidad 40 Km/h (Velocidad máxima: 44 kmh)</v>
      </c>
      <c r="O500" s="42" t="str">
        <f>IF(Data!V498&lt;&gt;"",N500,Data!W498)</f>
        <v>Exceso Velocidad 40 Km/h (Velocidad máxima: 44 kmh)</v>
      </c>
      <c r="P500" s="47" t="str">
        <f>Data!X498</f>
        <v>Válido</v>
      </c>
    </row>
    <row r="501" spans="1:16">
      <c r="A501" s="41" t="str">
        <f>Data!A499</f>
        <v>PKU249</v>
      </c>
      <c r="B501" s="41" t="str">
        <f>Data!D499</f>
        <v>Vehicle, Diesel, Frontera Energy Col 2679</v>
      </c>
      <c r="C501" s="41">
        <f>Data!F499</f>
        <v>0</v>
      </c>
      <c r="D501" s="41">
        <f>Data!G499</f>
        <v>0</v>
      </c>
      <c r="E501" s="41">
        <f>Data!H499</f>
        <v>0</v>
      </c>
      <c r="F501" s="41">
        <f>Data!K499</f>
        <v>0</v>
      </c>
      <c r="G501" s="33" t="str">
        <f>Data!M499</f>
        <v>Exceso Velocidad 40 Km/h</v>
      </c>
      <c r="H501" s="41" t="str">
        <f>Data!P499</f>
        <v>ECOPETROL RUBIALES- Quifa - CAÑO SUR: Via QF- 85, Puerto Gaitán, Meta, Colombia</v>
      </c>
      <c r="I501" s="42" t="str">
        <f>Data!Q499</f>
        <v>Cliente, Vel Max 40 Km/h</v>
      </c>
      <c r="J501" s="43">
        <f>Data!S499</f>
        <v>46174.445131122688</v>
      </c>
      <c r="K501" s="44">
        <f>Data!S499</f>
        <v>46174.445131122688</v>
      </c>
      <c r="L501" s="45">
        <f>Data!T499</f>
        <v>1.8710648148148148E-4</v>
      </c>
      <c r="M501" s="46">
        <f>Data!U499</f>
        <v>0.19149030745029449</v>
      </c>
      <c r="N501" s="46" t="str">
        <f>CONCATENATE(Data!W499," (",Data!V499,")")</f>
        <v>Exceso Velocidad 40 Km/h (Velocidad máxima: 45 kmh)</v>
      </c>
      <c r="O501" s="42" t="str">
        <f>IF(Data!V499&lt;&gt;"",N501,Data!W499)</f>
        <v>Exceso Velocidad 40 Km/h (Velocidad máxima: 45 kmh)</v>
      </c>
      <c r="P501" s="47" t="str">
        <f>Data!X499</f>
        <v>Válido</v>
      </c>
    </row>
    <row r="502" spans="1:16">
      <c r="A502" s="41" t="str">
        <f>Data!A500</f>
        <v>PKU249</v>
      </c>
      <c r="B502" s="41" t="str">
        <f>Data!D500</f>
        <v>Vehicle, Diesel, Frontera Energy Col 2679</v>
      </c>
      <c r="C502" s="41">
        <f>Data!F500</f>
        <v>0</v>
      </c>
      <c r="D502" s="41">
        <f>Data!G500</f>
        <v>0</v>
      </c>
      <c r="E502" s="41">
        <f>Data!H500</f>
        <v>0</v>
      </c>
      <c r="F502" s="41">
        <f>Data!K500</f>
        <v>0</v>
      </c>
      <c r="G502" s="33" t="str">
        <f>Data!M500</f>
        <v>Exceso Velocidad 40 Km/h</v>
      </c>
      <c r="H502" s="41" t="str">
        <f>Data!P500</f>
        <v>ECOPETROL RUBIALES- Quifa - CAÑO SUR: Via QF- 85, Puerto Gaitán, Meta, Colombia</v>
      </c>
      <c r="I502" s="42" t="str">
        <f>Data!Q500</f>
        <v>Cliente, Vel Max 40 Km/h</v>
      </c>
      <c r="J502" s="43">
        <f>Data!S500</f>
        <v>46174.445343287036</v>
      </c>
      <c r="K502" s="44">
        <f>Data!S500</f>
        <v>46174.445343287036</v>
      </c>
      <c r="L502" s="45">
        <f>Data!T500</f>
        <v>1.5643518518518518E-4</v>
      </c>
      <c r="M502" s="46">
        <f>Data!U500</f>
        <v>0.15722042322158813</v>
      </c>
      <c r="N502" s="46" t="str">
        <f>CONCATENATE(Data!W500," (",Data!V500,")")</f>
        <v>Exceso Velocidad 40 Km/h (Velocidad máxima: 42 kmh)</v>
      </c>
      <c r="O502" s="42" t="str">
        <f>IF(Data!V500&lt;&gt;"",N502,Data!W500)</f>
        <v>Exceso Velocidad 40 Km/h (Velocidad máxima: 42 kmh)</v>
      </c>
      <c r="P502" s="47" t="str">
        <f>Data!X500</f>
        <v>Válido</v>
      </c>
    </row>
    <row r="503" spans="1:16">
      <c r="A503" s="41" t="str">
        <f>Data!A501</f>
        <v>PKU249</v>
      </c>
      <c r="B503" s="41" t="str">
        <f>Data!D501</f>
        <v>Vehicle, Diesel, Frontera Energy Col 2679</v>
      </c>
      <c r="C503" s="41">
        <f>Data!F501</f>
        <v>0</v>
      </c>
      <c r="D503" s="41">
        <f>Data!G501</f>
        <v>0</v>
      </c>
      <c r="E503" s="41">
        <f>Data!H501</f>
        <v>0</v>
      </c>
      <c r="F503" s="41">
        <f>Data!K501</f>
        <v>0</v>
      </c>
      <c r="G503" s="33" t="str">
        <f>Data!M501</f>
        <v>Exceso Velocidad 40 Km/h</v>
      </c>
      <c r="H503" s="41" t="str">
        <f>Data!P501</f>
        <v>ECOPETROL RUBIALES- Quifa - CAÑO SUR: Via QF- 85, Puerto Gaitán, Meta, Colombia</v>
      </c>
      <c r="I503" s="42" t="str">
        <f>Data!Q501</f>
        <v>Cliente, Vel Max 40 Km/h</v>
      </c>
      <c r="J503" s="43">
        <f>Data!S501</f>
        <v>46174.447638726851</v>
      </c>
      <c r="K503" s="44">
        <f>Data!S501</f>
        <v>46174.447638726851</v>
      </c>
      <c r="L503" s="45">
        <f>Data!T501</f>
        <v>1.803587962962963E-4</v>
      </c>
      <c r="M503" s="46">
        <f>Data!U501</f>
        <v>0.17588217556476593</v>
      </c>
      <c r="N503" s="46" t="str">
        <f>CONCATENATE(Data!W501," (",Data!V501,")")</f>
        <v>Exceso Velocidad 40 Km/h (Velocidad máxima: 44 kmh)</v>
      </c>
      <c r="O503" s="42" t="str">
        <f>IF(Data!V501&lt;&gt;"",N503,Data!W501)</f>
        <v>Exceso Velocidad 40 Km/h (Velocidad máxima: 44 kmh)</v>
      </c>
      <c r="P503" s="47" t="str">
        <f>Data!X501</f>
        <v>Válido</v>
      </c>
    </row>
    <row r="504" spans="1:16">
      <c r="A504" s="41" t="str">
        <f>Data!A502</f>
        <v>PKU249</v>
      </c>
      <c r="B504" s="41" t="str">
        <f>Data!D502</f>
        <v>Vehicle, Diesel, Frontera Energy Col 2679</v>
      </c>
      <c r="C504" s="41">
        <f>Data!F502</f>
        <v>0</v>
      </c>
      <c r="D504" s="41">
        <f>Data!G502</f>
        <v>0</v>
      </c>
      <c r="E504" s="41">
        <f>Data!H502</f>
        <v>0</v>
      </c>
      <c r="F504" s="41">
        <f>Data!K502</f>
        <v>0</v>
      </c>
      <c r="G504" s="33" t="str">
        <f>Data!M502</f>
        <v>Exceso Velocidad 40 Km/h</v>
      </c>
      <c r="H504" s="41" t="str">
        <f>Data!P502</f>
        <v>ECOPETROL RUBIALES- Quifa - CAÑO SUR: Via QF- 85, Puerto Gaitán, Meta, Colombia</v>
      </c>
      <c r="I504" s="42" t="str">
        <f>Data!Q502</f>
        <v>Cliente, Vel Max 40 Km/h</v>
      </c>
      <c r="J504" s="43">
        <f>Data!S502</f>
        <v>46174.448360231479</v>
      </c>
      <c r="K504" s="44">
        <f>Data!S502</f>
        <v>46174.448360231479</v>
      </c>
      <c r="L504" s="45">
        <f>Data!T502</f>
        <v>1.0577546296296297E-4</v>
      </c>
      <c r="M504" s="46">
        <f>Data!U502</f>
        <v>0.10542929172515869</v>
      </c>
      <c r="N504" s="46" t="str">
        <f>CONCATENATE(Data!W502," (",Data!V502,")")</f>
        <v>Exceso Velocidad 40 Km/h (Velocidad máxima: 44 kmh)</v>
      </c>
      <c r="O504" s="42" t="str">
        <f>IF(Data!V502&lt;&gt;"",N504,Data!W502)</f>
        <v>Exceso Velocidad 40 Km/h (Velocidad máxima: 44 kmh)</v>
      </c>
      <c r="P504" s="47" t="str">
        <f>Data!X502</f>
        <v>Válido</v>
      </c>
    </row>
    <row r="505" spans="1:16">
      <c r="A505" s="41" t="str">
        <f>Data!A503</f>
        <v>PKU249</v>
      </c>
      <c r="B505" s="41" t="str">
        <f>Data!D503</f>
        <v>Vehicle, Diesel, Frontera Energy Col 2679</v>
      </c>
      <c r="C505" s="41">
        <f>Data!F503</f>
        <v>0</v>
      </c>
      <c r="D505" s="41">
        <f>Data!G503</f>
        <v>0</v>
      </c>
      <c r="E505" s="41">
        <f>Data!H503</f>
        <v>0</v>
      </c>
      <c r="F505" s="41">
        <f>Data!K503</f>
        <v>0</v>
      </c>
      <c r="G505" s="33" t="str">
        <f>Data!M503</f>
        <v>Exceso Velocidad 40 Km/h</v>
      </c>
      <c r="H505" s="41" t="str">
        <f>Data!P503</f>
        <v>ECOPETROL RUBIALES- Quifa - CAÑO SUR: Via QF- 85, Puerto Gaitán, Meta, Colombia</v>
      </c>
      <c r="I505" s="42" t="str">
        <f>Data!Q503</f>
        <v>Cliente, Vel Max 40 Km/h</v>
      </c>
      <c r="J505" s="43">
        <f>Data!S503</f>
        <v>46174.448606157406</v>
      </c>
      <c r="K505" s="44">
        <f>Data!S503</f>
        <v>46174.448606157406</v>
      </c>
      <c r="L505" s="45">
        <f>Data!T503</f>
        <v>1.829861111111111E-5</v>
      </c>
      <c r="M505" s="46">
        <f>Data!U503</f>
        <v>1.7324244603514671E-2</v>
      </c>
      <c r="N505" s="46" t="str">
        <f>CONCATENATE(Data!W503," (",Data!V503,")")</f>
        <v>Exceso Velocidad 40 Km/h (Velocidad máxima: 41 kmh)</v>
      </c>
      <c r="O505" s="42" t="str">
        <f>IF(Data!V503&lt;&gt;"",N505,Data!W503)</f>
        <v>Exceso Velocidad 40 Km/h (Velocidad máxima: 41 kmh)</v>
      </c>
      <c r="P505" s="47" t="str">
        <f>Data!X503</f>
        <v>Válido</v>
      </c>
    </row>
    <row r="506" spans="1:16">
      <c r="A506" s="41" t="str">
        <f>Data!A504</f>
        <v>PKU249</v>
      </c>
      <c r="B506" s="41" t="str">
        <f>Data!D504</f>
        <v>Vehicle, Diesel, Frontera Energy Col 2679</v>
      </c>
      <c r="C506" s="41">
        <f>Data!F504</f>
        <v>0</v>
      </c>
      <c r="D506" s="41">
        <f>Data!G504</f>
        <v>0</v>
      </c>
      <c r="E506" s="41">
        <f>Data!H504</f>
        <v>0</v>
      </c>
      <c r="F506" s="41">
        <f>Data!K504</f>
        <v>0</v>
      </c>
      <c r="G506" s="33" t="str">
        <f>Data!M504</f>
        <v>Exceso Velocidad 40 Km/h</v>
      </c>
      <c r="H506" s="41" t="str">
        <f>Data!P504</f>
        <v>ECOPETROL RUBIALES- Quifa - CAÑO SUR: Via QF- 85, Puerto Gaitán, Meta, Colombia</v>
      </c>
      <c r="I506" s="42" t="str">
        <f>Data!Q504</f>
        <v>Cliente, Vel Max 40 Km/h</v>
      </c>
      <c r="J506" s="43">
        <f>Data!S504</f>
        <v>46174.449797291665</v>
      </c>
      <c r="K506" s="44">
        <f>Data!S504</f>
        <v>46174.449797291665</v>
      </c>
      <c r="L506" s="45">
        <f>Data!T504</f>
        <v>3.2789351851851854E-5</v>
      </c>
      <c r="M506" s="46">
        <f>Data!U504</f>
        <v>3.1634312123060226E-2</v>
      </c>
      <c r="N506" s="46" t="str">
        <f>CONCATENATE(Data!W504," (",Data!V504,")")</f>
        <v>Exceso Velocidad 40 Km/h (Velocidad máxima: 41 kmh)</v>
      </c>
      <c r="O506" s="42" t="str">
        <f>IF(Data!V504&lt;&gt;"",N506,Data!W504)</f>
        <v>Exceso Velocidad 40 Km/h (Velocidad máxima: 41 kmh)</v>
      </c>
      <c r="P506" s="47" t="str">
        <f>Data!X504</f>
        <v>Válido</v>
      </c>
    </row>
    <row r="507" spans="1:16">
      <c r="A507" s="41" t="str">
        <f>Data!A505</f>
        <v>PKU249</v>
      </c>
      <c r="B507" s="41" t="str">
        <f>Data!D505</f>
        <v>Vehicle, Diesel, Frontera Energy Col 2679</v>
      </c>
      <c r="C507" s="41">
        <f>Data!F505</f>
        <v>0</v>
      </c>
      <c r="D507" s="41">
        <f>Data!G505</f>
        <v>0</v>
      </c>
      <c r="E507" s="41">
        <f>Data!H505</f>
        <v>0</v>
      </c>
      <c r="F507" s="41">
        <f>Data!K505</f>
        <v>0</v>
      </c>
      <c r="G507" s="33" t="str">
        <f>Data!M505</f>
        <v>Exceso Velocidad 40 Km/h</v>
      </c>
      <c r="H507" s="41" t="str">
        <f>Data!P505</f>
        <v>ECOPETROL RUBIALES- Quifa - CAÑO SUR: Via QF- 85, Puerto Gaitán, Meta, Colombia</v>
      </c>
      <c r="I507" s="42" t="str">
        <f>Data!Q505</f>
        <v>Cliente, Vel Max 40 Km/h</v>
      </c>
      <c r="J507" s="43">
        <f>Data!S505</f>
        <v>46174.449922673608</v>
      </c>
      <c r="K507" s="44">
        <f>Data!S505</f>
        <v>46174.449922673608</v>
      </c>
      <c r="L507" s="45">
        <f>Data!T505</f>
        <v>6.1736111111111109E-5</v>
      </c>
      <c r="M507" s="46">
        <f>Data!U505</f>
        <v>5.7450629770755768E-2</v>
      </c>
      <c r="N507" s="46" t="str">
        <f>CONCATENATE(Data!W505," (",Data!V505,")")</f>
        <v>Exceso Velocidad 40 Km/h (Velocidad máxima: 42 kmh)</v>
      </c>
      <c r="O507" s="42" t="str">
        <f>IF(Data!V505&lt;&gt;"",N507,Data!W505)</f>
        <v>Exceso Velocidad 40 Km/h (Velocidad máxima: 42 kmh)</v>
      </c>
      <c r="P507" s="47" t="str">
        <f>Data!X505</f>
        <v>Válido</v>
      </c>
    </row>
    <row r="508" spans="1:16">
      <c r="A508" s="41" t="str">
        <f>Data!A506</f>
        <v>PKU249</v>
      </c>
      <c r="B508" s="41" t="str">
        <f>Data!D506</f>
        <v>Vehicle, Diesel, Frontera Energy Col 2679</v>
      </c>
      <c r="C508" s="41">
        <f>Data!F506</f>
        <v>0</v>
      </c>
      <c r="D508" s="41">
        <f>Data!G506</f>
        <v>0</v>
      </c>
      <c r="E508" s="41">
        <f>Data!H506</f>
        <v>0</v>
      </c>
      <c r="F508" s="41">
        <f>Data!K506</f>
        <v>0</v>
      </c>
      <c r="G508" s="33" t="str">
        <f>Data!M506</f>
        <v>Exceso Velocidad 40 Km/h</v>
      </c>
      <c r="H508" s="41" t="str">
        <f>Data!P506</f>
        <v>ECOPETROL RUBIALES- Quifa - CAÑO SUR: Via QF- 85, Puerto Gaitán, Meta, Colombia</v>
      </c>
      <c r="I508" s="42" t="str">
        <f>Data!Q506</f>
        <v>Cliente, Vel Max 40 Km/h</v>
      </c>
      <c r="J508" s="43">
        <f>Data!S506</f>
        <v>46174.4502584375</v>
      </c>
      <c r="K508" s="44">
        <f>Data!S506</f>
        <v>46174.4502584375</v>
      </c>
      <c r="L508" s="45">
        <f>Data!T506</f>
        <v>1.6394675925925927E-4</v>
      </c>
      <c r="M508" s="46">
        <f>Data!U506</f>
        <v>0.16688662767410278</v>
      </c>
      <c r="N508" s="46" t="str">
        <f>CONCATENATE(Data!W506," (",Data!V506,")")</f>
        <v>Exceso Velocidad 40 Km/h (Velocidad máxima: 45 kmh)</v>
      </c>
      <c r="O508" s="42" t="str">
        <f>IF(Data!V506&lt;&gt;"",N508,Data!W506)</f>
        <v>Exceso Velocidad 40 Km/h (Velocidad máxima: 45 kmh)</v>
      </c>
      <c r="P508" s="47" t="str">
        <f>Data!X506</f>
        <v>Válido</v>
      </c>
    </row>
    <row r="509" spans="1:16">
      <c r="A509" s="41" t="str">
        <f>Data!A507</f>
        <v>PKU249</v>
      </c>
      <c r="B509" s="41" t="str">
        <f>Data!D507</f>
        <v>Vehicle, Diesel, Frontera Energy Col 2679</v>
      </c>
      <c r="C509" s="41">
        <f>Data!F507</f>
        <v>0</v>
      </c>
      <c r="D509" s="41">
        <f>Data!G507</f>
        <v>0</v>
      </c>
      <c r="E509" s="41">
        <f>Data!H507</f>
        <v>0</v>
      </c>
      <c r="F509" s="41">
        <f>Data!K507</f>
        <v>0</v>
      </c>
      <c r="G509" s="33" t="str">
        <f>Data!M507</f>
        <v>Exceso Velocidad 40 Km/h</v>
      </c>
      <c r="H509" s="41" t="str">
        <f>Data!P507</f>
        <v>ECOPETROL RUBIALES- Quifa - CAÑO SUR: Via QF- 85, Puerto Gaitán, Meta, Colombia</v>
      </c>
      <c r="I509" s="42" t="str">
        <f>Data!Q507</f>
        <v>Cliente, Vel Max 40 Km/h</v>
      </c>
      <c r="J509" s="43">
        <f>Data!S507</f>
        <v>46174.450820046295</v>
      </c>
      <c r="K509" s="44">
        <f>Data!S507</f>
        <v>46174.450820046295</v>
      </c>
      <c r="L509" s="45">
        <f>Data!T507</f>
        <v>2.283564814814815E-5</v>
      </c>
      <c r="M509" s="46">
        <f>Data!U507</f>
        <v>2.1146653220057487E-2</v>
      </c>
      <c r="N509" s="46" t="str">
        <f>CONCATENATE(Data!W507," (",Data!V507,")")</f>
        <v>Exceso Velocidad 40 Km/h (Velocidad máxima: 41 kmh)</v>
      </c>
      <c r="O509" s="42" t="str">
        <f>IF(Data!V507&lt;&gt;"",N509,Data!W507)</f>
        <v>Exceso Velocidad 40 Km/h (Velocidad máxima: 41 kmh)</v>
      </c>
      <c r="P509" s="47" t="str">
        <f>Data!X507</f>
        <v>Válido</v>
      </c>
    </row>
    <row r="510" spans="1:16">
      <c r="A510" s="41" t="str">
        <f>Data!A508</f>
        <v>PKU249</v>
      </c>
      <c r="B510" s="41" t="str">
        <f>Data!D508</f>
        <v>Vehicle, Diesel, Frontera Energy Col 2679</v>
      </c>
      <c r="C510" s="41">
        <f>Data!F508</f>
        <v>0</v>
      </c>
      <c r="D510" s="41">
        <f>Data!G508</f>
        <v>0</v>
      </c>
      <c r="E510" s="41">
        <f>Data!H508</f>
        <v>0</v>
      </c>
      <c r="F510" s="41">
        <f>Data!K508</f>
        <v>0</v>
      </c>
      <c r="G510" s="33" t="str">
        <f>Data!M508</f>
        <v>Exceso Velocidad 40 Km/h</v>
      </c>
      <c r="H510" s="41" t="str">
        <f>Data!P508</f>
        <v>ECOPETROL RUBIALES- Quifa - CAÑO SUR: Via QF- 85, Puerto Gaitán, Meta, Colombia</v>
      </c>
      <c r="I510" s="42" t="str">
        <f>Data!Q508</f>
        <v>Cliente, Vel Max 40 Km/h</v>
      </c>
      <c r="J510" s="43">
        <f>Data!S508</f>
        <v>46174.451791886575</v>
      </c>
      <c r="K510" s="44">
        <f>Data!S508</f>
        <v>46174.451791886575</v>
      </c>
      <c r="L510" s="45">
        <f>Data!T508</f>
        <v>7.688657407407408E-5</v>
      </c>
      <c r="M510" s="46">
        <f>Data!U508</f>
        <v>7.6033011078834534E-2</v>
      </c>
      <c r="N510" s="46" t="str">
        <f>CONCATENATE(Data!W508," (",Data!V508,")")</f>
        <v>Exceso Velocidad 40 Km/h (Velocidad máxima: 42 kmh)</v>
      </c>
      <c r="O510" s="42" t="str">
        <f>IF(Data!V508&lt;&gt;"",N510,Data!W508)</f>
        <v>Exceso Velocidad 40 Km/h (Velocidad máxima: 42 kmh)</v>
      </c>
      <c r="P510" s="47" t="str">
        <f>Data!X508</f>
        <v>Válido</v>
      </c>
    </row>
    <row r="511" spans="1:16">
      <c r="A511" s="41" t="str">
        <f>Data!A509</f>
        <v>PKU249</v>
      </c>
      <c r="B511" s="41" t="str">
        <f>Data!D509</f>
        <v>Vehicle, Diesel, Frontera Energy Col 2679</v>
      </c>
      <c r="C511" s="41">
        <f>Data!F509</f>
        <v>0</v>
      </c>
      <c r="D511" s="41">
        <f>Data!G509</f>
        <v>0</v>
      </c>
      <c r="E511" s="41">
        <f>Data!H509</f>
        <v>0</v>
      </c>
      <c r="F511" s="41">
        <f>Data!K509</f>
        <v>0</v>
      </c>
      <c r="G511" s="33" t="str">
        <f>Data!M509</f>
        <v>Exceso Velocidad 40 Km/h</v>
      </c>
      <c r="H511" s="41" t="str">
        <f>Data!P509</f>
        <v>ECOPETROL RUBIALES- Quifa - CAÑO SUR: Qf 48 36 79 Dw1, Puerto Gaitán, Meta, Colombia</v>
      </c>
      <c r="I511" s="42" t="str">
        <f>Data!Q509</f>
        <v>Cliente, Vel Max 40 Km/h</v>
      </c>
      <c r="J511" s="43">
        <f>Data!S509</f>
        <v>46174.454251377312</v>
      </c>
      <c r="K511" s="44">
        <f>Data!S509</f>
        <v>46174.454251377312</v>
      </c>
      <c r="L511" s="45">
        <f>Data!T509</f>
        <v>3.7037037037037037E-5</v>
      </c>
      <c r="M511" s="46">
        <f>Data!U509</f>
        <v>3.4707996994256973E-2</v>
      </c>
      <c r="N511" s="46" t="str">
        <f>CONCATENATE(Data!W509," (",Data!V509,")")</f>
        <v>Exceso Velocidad 40 Km/h (Velocidad máxima: 41 kmh)</v>
      </c>
      <c r="O511" s="42" t="str">
        <f>IF(Data!V509&lt;&gt;"",N511,Data!W509)</f>
        <v>Exceso Velocidad 40 Km/h (Velocidad máxima: 41 kmh)</v>
      </c>
      <c r="P511" s="47" t="str">
        <f>Data!X509</f>
        <v>Válido</v>
      </c>
    </row>
    <row r="512" spans="1:16">
      <c r="A512" s="41" t="str">
        <f>Data!A510</f>
        <v>PKU249</v>
      </c>
      <c r="B512" s="41" t="str">
        <f>Data!D510</f>
        <v>Vehicle, Diesel, Frontera Energy Col 2679</v>
      </c>
      <c r="C512" s="41">
        <f>Data!F510</f>
        <v>0</v>
      </c>
      <c r="D512" s="41">
        <f>Data!G510</f>
        <v>0</v>
      </c>
      <c r="E512" s="41">
        <f>Data!H510</f>
        <v>0</v>
      </c>
      <c r="F512" s="41">
        <f>Data!K510</f>
        <v>0</v>
      </c>
      <c r="G512" s="33" t="str">
        <f>Data!M510</f>
        <v>Exceso Velocidad 40 Km/h</v>
      </c>
      <c r="H512" s="41" t="str">
        <f>Data!P510</f>
        <v>ECOPETROL RUBIALES- Quifa - CAÑO SUR: Qf 48 36 79 Dw1, Puerto Gaitán, Meta, Colombia</v>
      </c>
      <c r="I512" s="42" t="str">
        <f>Data!Q510</f>
        <v>Cliente, Vel Max 40 Km/h</v>
      </c>
      <c r="J512" s="43">
        <f>Data!S510</f>
        <v>46174.455813761575</v>
      </c>
      <c r="K512" s="44">
        <f>Data!S510</f>
        <v>46174.455813761575</v>
      </c>
      <c r="L512" s="45">
        <f>Data!T510</f>
        <v>3.2414351851851853E-4</v>
      </c>
      <c r="M512" s="46">
        <f>Data!U510</f>
        <v>0.31228020787239075</v>
      </c>
      <c r="N512" s="46" t="str">
        <f>CONCATENATE(Data!W510," (",Data!V510,")")</f>
        <v>Exceso Velocidad 40 Km/h (Velocidad máxima: 42 kmh)</v>
      </c>
      <c r="O512" s="42" t="str">
        <f>IF(Data!V510&lt;&gt;"",N512,Data!W510)</f>
        <v>Exceso Velocidad 40 Km/h (Velocidad máxima: 42 kmh)</v>
      </c>
      <c r="P512" s="47" t="str">
        <f>Data!X510</f>
        <v>Válido</v>
      </c>
    </row>
    <row r="513" spans="1:16">
      <c r="A513" s="41" t="str">
        <f>Data!A511</f>
        <v>PKU249</v>
      </c>
      <c r="B513" s="41" t="str">
        <f>Data!D511</f>
        <v>Vehicle, Diesel, Frontera Energy Col 2679</v>
      </c>
      <c r="C513" s="41">
        <f>Data!F511</f>
        <v>0</v>
      </c>
      <c r="D513" s="41">
        <f>Data!G511</f>
        <v>0</v>
      </c>
      <c r="E513" s="41">
        <f>Data!H511</f>
        <v>0</v>
      </c>
      <c r="F513" s="41">
        <f>Data!K511</f>
        <v>0</v>
      </c>
      <c r="G513" s="33" t="str">
        <f>Data!M511</f>
        <v>Exceso Velocidad 40 Km/h</v>
      </c>
      <c r="H513" s="41" t="str">
        <f>Data!P511</f>
        <v>ECOPETROL RUBIALES- Quifa - CAÑO SUR: Qf 48 36 79 Dw1, Puerto Gaitán, Meta, Colombia</v>
      </c>
      <c r="I513" s="42" t="str">
        <f>Data!Q511</f>
        <v>Cliente, Vel Max 40 Km/h</v>
      </c>
      <c r="J513" s="43">
        <f>Data!S511</f>
        <v>46174.45625358796</v>
      </c>
      <c r="K513" s="44">
        <f>Data!S511</f>
        <v>46174.45625358796</v>
      </c>
      <c r="L513" s="45">
        <f>Data!T511</f>
        <v>5.2083433333333337E-5</v>
      </c>
      <c r="M513" s="46">
        <f>Data!U511</f>
        <v>4.8590872436761856E-2</v>
      </c>
      <c r="N513" s="46" t="str">
        <f>CONCATENATE(Data!W511," (",Data!V511,")")</f>
        <v>Exceso Velocidad 40 Km/h (Velocidad máxima: 41 kmh)</v>
      </c>
      <c r="O513" s="42" t="str">
        <f>IF(Data!V511&lt;&gt;"",N513,Data!W511)</f>
        <v>Exceso Velocidad 40 Km/h (Velocidad máxima: 41 kmh)</v>
      </c>
      <c r="P513" s="47" t="str">
        <f>Data!X511</f>
        <v>Válido</v>
      </c>
    </row>
    <row r="514" spans="1:16">
      <c r="A514" s="41" t="str">
        <f>Data!A512</f>
        <v>PKU249</v>
      </c>
      <c r="B514" s="41" t="str">
        <f>Data!D512</f>
        <v>Vehicle, Diesel, Frontera Energy Col 2679</v>
      </c>
      <c r="C514" s="41">
        <f>Data!F512</f>
        <v>0</v>
      </c>
      <c r="D514" s="41">
        <f>Data!G512</f>
        <v>0</v>
      </c>
      <c r="E514" s="41">
        <f>Data!H512</f>
        <v>0</v>
      </c>
      <c r="F514" s="41">
        <f>Data!K512</f>
        <v>0</v>
      </c>
      <c r="G514" s="33" t="str">
        <f>Data!M512</f>
        <v>Exceso Velocidad 40 Km/h</v>
      </c>
      <c r="H514" s="41" t="str">
        <f>Data!P512</f>
        <v>ECOPETROL RUBIALES- Quifa - CAÑO SUR: Qf 12 48 36 79 Dw1, Puerto Gaitán, Meta, Colombia</v>
      </c>
      <c r="I514" s="42" t="str">
        <f>Data!Q512</f>
        <v>Cliente, Vel Max 40 Km/h</v>
      </c>
      <c r="J514" s="43">
        <f>Data!S512</f>
        <v>46174.458128587961</v>
      </c>
      <c r="K514" s="44">
        <f>Data!S512</f>
        <v>46174.458128587961</v>
      </c>
      <c r="L514" s="45">
        <f>Data!T512</f>
        <v>8.6354166666666667E-5</v>
      </c>
      <c r="M514" s="46">
        <f>Data!U512</f>
        <v>8.5473693907260895E-2</v>
      </c>
      <c r="N514" s="46" t="str">
        <f>CONCATENATE(Data!W512," (",Data!V512,")")</f>
        <v>Exceso Velocidad 40 Km/h (Velocidad máxima: 44 kmh)</v>
      </c>
      <c r="O514" s="42" t="str">
        <f>IF(Data!V512&lt;&gt;"",N514,Data!W512)</f>
        <v>Exceso Velocidad 40 Km/h (Velocidad máxima: 44 kmh)</v>
      </c>
      <c r="P514" s="47" t="str">
        <f>Data!X512</f>
        <v>Válido</v>
      </c>
    </row>
    <row r="515" spans="1:16">
      <c r="A515" s="41" t="str">
        <f>Data!A513</f>
        <v>PKU249</v>
      </c>
      <c r="B515" s="41" t="str">
        <f>Data!D513</f>
        <v>Vehicle, Diesel, Frontera Energy Col 2679</v>
      </c>
      <c r="C515" s="41">
        <f>Data!F513</f>
        <v>0</v>
      </c>
      <c r="D515" s="41">
        <f>Data!G513</f>
        <v>0</v>
      </c>
      <c r="E515" s="41">
        <f>Data!H513</f>
        <v>0</v>
      </c>
      <c r="F515" s="41">
        <f>Data!K513</f>
        <v>0</v>
      </c>
      <c r="G515" s="33" t="str">
        <f>Data!M513</f>
        <v>Exceso Velocidad 40 Km/h</v>
      </c>
      <c r="H515" s="41" t="str">
        <f>Data!P513</f>
        <v>ECOPETROL RUBIALES- Quifa - CAÑO SUR: Puerto Gaitan - Rubiales, Puerto Gaitán, Meta, Colombia</v>
      </c>
      <c r="I515" s="42" t="str">
        <f>Data!Q513</f>
        <v>Cliente, Vel Max 40 Km/h</v>
      </c>
      <c r="J515" s="43">
        <f>Data!S513</f>
        <v>46174.459786053238</v>
      </c>
      <c r="K515" s="44">
        <f>Data!S513</f>
        <v>46174.459786053238</v>
      </c>
      <c r="L515" s="45">
        <f>Data!T513</f>
        <v>7.8634259259259263E-5</v>
      </c>
      <c r="M515" s="46">
        <f>Data!U513</f>
        <v>8.1450469791889191E-2</v>
      </c>
      <c r="N515" s="46" t="str">
        <f>CONCATENATE(Data!W513," (",Data!V513,")")</f>
        <v>Exceso Velocidad 40 Km/h (Velocidad máxima: 46 kmh)</v>
      </c>
      <c r="O515" s="42" t="str">
        <f>IF(Data!V513&lt;&gt;"",N515,Data!W513)</f>
        <v>Exceso Velocidad 40 Km/h (Velocidad máxima: 46 kmh)</v>
      </c>
      <c r="P515" s="47" t="str">
        <f>Data!X513</f>
        <v>Válido</v>
      </c>
    </row>
    <row r="516" spans="1:16">
      <c r="A516" s="41" t="str">
        <f>Data!A514</f>
        <v>PKU249</v>
      </c>
      <c r="B516" s="41" t="str">
        <f>Data!D514</f>
        <v>Vehicle, Diesel, Frontera Energy Col 2679</v>
      </c>
      <c r="C516" s="41">
        <f>Data!F514</f>
        <v>0</v>
      </c>
      <c r="D516" s="41">
        <f>Data!G514</f>
        <v>0</v>
      </c>
      <c r="E516" s="41">
        <f>Data!H514</f>
        <v>0</v>
      </c>
      <c r="F516" s="41">
        <f>Data!K514</f>
        <v>0</v>
      </c>
      <c r="G516" s="33" t="str">
        <f>Data!M514</f>
        <v>Exceso Velocidad 30 Km/h</v>
      </c>
      <c r="H516" s="41" t="str">
        <f>Data!P514</f>
        <v>ECOPETROL RUBIALES- Quifa - CAÑO SUR, Puerto Triunfo - Estacion Policia: Puerto Gaitan - Rubiales, Puerto Gaitán, Meta, Colombia</v>
      </c>
      <c r="I516" s="42" t="str">
        <f>Data!Q514</f>
        <v>Cliente, Vel Max 40 Km/h, Vel Max 30 Km/h</v>
      </c>
      <c r="J516" s="43">
        <f>Data!S514</f>
        <v>46174.459967800925</v>
      </c>
      <c r="K516" s="44">
        <f>Data!S514</f>
        <v>46174.459967800925</v>
      </c>
      <c r="L516" s="45">
        <f>Data!T514</f>
        <v>3.578703703703704E-5</v>
      </c>
      <c r="M516" s="46">
        <f>Data!U514</f>
        <v>2.6686124503612518E-2</v>
      </c>
      <c r="N516" s="46" t="str">
        <f>CONCATENATE(Data!W514," (",Data!V514,")")</f>
        <v>Exceso Velocidad 30 Km/h (Velocidad máxima: 33 kmh)</v>
      </c>
      <c r="O516" s="42" t="str">
        <f>IF(Data!V514&lt;&gt;"",N516,Data!W514)</f>
        <v>Exceso Velocidad 30 Km/h (Velocidad máxima: 33 kmh)</v>
      </c>
      <c r="P516" s="47" t="str">
        <f>Data!X514</f>
        <v>Válido</v>
      </c>
    </row>
    <row r="517" spans="1:16">
      <c r="A517" s="41" t="str">
        <f>Data!A515</f>
        <v>PKU249</v>
      </c>
      <c r="B517" s="41" t="str">
        <f>Data!D515</f>
        <v>Vehicle, Diesel, Frontera Energy Col 2679</v>
      </c>
      <c r="C517" s="41">
        <f>Data!F515</f>
        <v>0</v>
      </c>
      <c r="D517" s="41">
        <f>Data!G515</f>
        <v>0</v>
      </c>
      <c r="E517" s="41">
        <f>Data!H515</f>
        <v>0</v>
      </c>
      <c r="F517" s="41">
        <f>Data!K515</f>
        <v>0</v>
      </c>
      <c r="G517" s="33" t="str">
        <f>Data!M515</f>
        <v>Exceso Velocidad 30 Km/h</v>
      </c>
      <c r="H517" s="41" t="str">
        <f>Data!P515</f>
        <v>ECOPETROL RUBIALES- Quifa - CAÑO SUR, Puerto Triunfo - Estacion Policia: Puerto Gaitan - Rubiales, Puerto Gaitán, Meta, Colombia</v>
      </c>
      <c r="I517" s="42" t="str">
        <f>Data!Q515</f>
        <v>Cliente, Vel Max 40 Km/h, Vel Max 30 Km/h</v>
      </c>
      <c r="J517" s="43">
        <f>Data!S515</f>
        <v>46174.46012703704</v>
      </c>
      <c r="K517" s="44">
        <f>Data!S515</f>
        <v>46174.46012703704</v>
      </c>
      <c r="L517" s="45">
        <f>Data!T515</f>
        <v>4.2442129629629626E-5</v>
      </c>
      <c r="M517" s="46">
        <f>Data!U515</f>
        <v>3.1263820827007294E-2</v>
      </c>
      <c r="N517" s="46" t="str">
        <f>CONCATENATE(Data!W515," (",Data!V515,")")</f>
        <v>Exceso Velocidad 30 Km/h (Velocidad máxima: 32 kmh)</v>
      </c>
      <c r="O517" s="42" t="str">
        <f>IF(Data!V515&lt;&gt;"",N517,Data!W515)</f>
        <v>Exceso Velocidad 30 Km/h (Velocidad máxima: 32 kmh)</v>
      </c>
      <c r="P517" s="47" t="str">
        <f>Data!X515</f>
        <v>Válido</v>
      </c>
    </row>
    <row r="518" spans="1:16">
      <c r="A518" s="41" t="str">
        <f>Data!A516</f>
        <v>PKU249</v>
      </c>
      <c r="B518" s="41" t="str">
        <f>Data!D516</f>
        <v>Vehicle, Diesel, Frontera Energy Col 2679</v>
      </c>
      <c r="C518" s="41">
        <f>Data!F516</f>
        <v>0</v>
      </c>
      <c r="D518" s="41">
        <f>Data!G516</f>
        <v>0</v>
      </c>
      <c r="E518" s="41">
        <f>Data!H516</f>
        <v>0</v>
      </c>
      <c r="F518" s="41">
        <f>Data!K516</f>
        <v>0</v>
      </c>
      <c r="G518" s="33" t="str">
        <f>Data!M516</f>
        <v>Exceso Velocidad 10 Km/h</v>
      </c>
      <c r="H518" s="41" t="str">
        <f>Data!P516</f>
        <v>CAMPAMENTO QUIFA, ECOPETROL RUBIALES- Quifa - CAÑO SUR, Puerto Triunfo - Estacion Policia: Puerto Gaitan - Rubiales, Puerto Gaitán, Meta, Colombia</v>
      </c>
      <c r="I518" s="42" t="str">
        <f>Data!Q516</f>
        <v>Vel Max 10 Km/h, Cliente, Vel Max 40 Km/h, Vel Max 30 Km/h</v>
      </c>
      <c r="J518" s="43">
        <f>Data!S516</f>
        <v>46174.46089869213</v>
      </c>
      <c r="K518" s="44">
        <f>Data!S516</f>
        <v>46174.46089869213</v>
      </c>
      <c r="L518" s="45">
        <f>Data!T516</f>
        <v>1.6604166666666666E-4</v>
      </c>
      <c r="M518" s="46">
        <f>Data!U516</f>
        <v>6.4304627478122711E-2</v>
      </c>
      <c r="N518" s="46" t="str">
        <f>CONCATENATE(Data!W516," (",Data!V516,")")</f>
        <v>Exceso Velocidad 10 Km/h (Velocidad máxima: 21 kmh)</v>
      </c>
      <c r="O518" s="42" t="str">
        <f>IF(Data!V516&lt;&gt;"",N518,Data!W516)</f>
        <v>Exceso Velocidad 10 Km/h (Velocidad máxima: 21 kmh)</v>
      </c>
      <c r="P518" s="47" t="str">
        <f>Data!X516</f>
        <v>Válido</v>
      </c>
    </row>
    <row r="519" spans="1:16">
      <c r="A519" s="41" t="str">
        <f>Data!A517</f>
        <v>PKU249</v>
      </c>
      <c r="B519" s="41" t="str">
        <f>Data!D517</f>
        <v>Vehicle, Diesel, Frontera Energy Col 2679</v>
      </c>
      <c r="C519" s="41">
        <f>Data!F517</f>
        <v>0</v>
      </c>
      <c r="D519" s="41">
        <f>Data!G517</f>
        <v>0</v>
      </c>
      <c r="E519" s="41">
        <f>Data!H517</f>
        <v>0</v>
      </c>
      <c r="F519" s="41">
        <f>Data!K517</f>
        <v>0</v>
      </c>
      <c r="G519" s="33" t="str">
        <f>Data!M517</f>
        <v>Exceso Velocidad 10 Km/h</v>
      </c>
      <c r="H519" s="41" t="str">
        <f>Data!P517</f>
        <v>CAMPAMENTO QUIFA, ECOPETROL RUBIALES- Quifa - CAÑO SUR, Puerto Gaitan - Rubiales, Puerto Gaitán, Meta, Colombia, Puerto Triunfo - Estacion Policia: Puerto Gaitan - Rubiales, Puerto Gaitán, Meta, Colombia</v>
      </c>
      <c r="I519" s="42" t="str">
        <f>Data!Q517</f>
        <v>Vel Max 10 Km/h, Cliente, Vel Max 40 Km/h, Centro de servicios del proveedor, Vel Max 30 Km/h</v>
      </c>
      <c r="J519" s="43">
        <f>Data!S517</f>
        <v>46174.461069618053</v>
      </c>
      <c r="K519" s="44">
        <f>Data!S517</f>
        <v>46174.461069618053</v>
      </c>
      <c r="L519" s="45">
        <f>Data!T517</f>
        <v>1.1065972222222222E-4</v>
      </c>
      <c r="M519" s="46">
        <f>Data!U517</f>
        <v>3.1100485473871231E-2</v>
      </c>
      <c r="N519" s="46" t="str">
        <f>CONCATENATE(Data!W517," (",Data!V517,")")</f>
        <v>Exceso Velocidad 10 Km/h (Velocidad máxima: 14 kmh)</v>
      </c>
      <c r="O519" s="42" t="str">
        <f>IF(Data!V517&lt;&gt;"",N519,Data!W517)</f>
        <v>Exceso Velocidad 10 Km/h (Velocidad máxima: 14 kmh)</v>
      </c>
      <c r="P519" s="47" t="str">
        <f>Data!X517</f>
        <v>Válido</v>
      </c>
    </row>
    <row r="520" spans="1:16">
      <c r="A520" s="41" t="str">
        <f>Data!A518</f>
        <v>PKU249</v>
      </c>
      <c r="B520" s="41" t="str">
        <f>Data!D518</f>
        <v>Vehicle, Diesel, Frontera Energy Col 2679</v>
      </c>
      <c r="C520" s="41">
        <f>Data!F518</f>
        <v>0</v>
      </c>
      <c r="D520" s="41">
        <f>Data!G518</f>
        <v>0</v>
      </c>
      <c r="E520" s="41">
        <f>Data!H518</f>
        <v>0</v>
      </c>
      <c r="F520" s="41">
        <f>Data!K518</f>
        <v>0</v>
      </c>
      <c r="G520" s="33" t="str">
        <f>Data!M518</f>
        <v>Exceso Velocidad 10 Km/h</v>
      </c>
      <c r="H520" s="41" t="str">
        <f>Data!P518</f>
        <v>CAMPAMENTO QUIFA, ECOPETROL RUBIALES- Quifa - CAÑO SUR, Puerto Gaitan - Rubiales, Puerto Gaitán, Meta, Colombia, Campamento Quifa - CMA: Ent. CAMPAMENTO, Puerto Gaitán, Meta, Colombia</v>
      </c>
      <c r="I520" s="42" t="str">
        <f>Data!Q518</f>
        <v>Vel Max 10 Km/h, Cliente, Vel Max 40 Km/h, Centro de servicios del proveedor</v>
      </c>
      <c r="J520" s="43">
        <f>Data!S518</f>
        <v>46174.464847268522</v>
      </c>
      <c r="K520" s="44">
        <f>Data!S518</f>
        <v>46174.464847268522</v>
      </c>
      <c r="L520" s="45">
        <f>Data!T518</f>
        <v>5.0787037037037033E-4</v>
      </c>
      <c r="M520" s="46">
        <f>Data!U518</f>
        <v>0.13313852250576019</v>
      </c>
      <c r="N520" s="46" t="str">
        <f>CONCATENATE(Data!W518," (",Data!V518,")")</f>
        <v>Exceso Velocidad 10 Km/h (Velocidad máxima: 13 kmh)</v>
      </c>
      <c r="O520" s="42" t="str">
        <f>IF(Data!V518&lt;&gt;"",N520,Data!W518)</f>
        <v>Exceso Velocidad 10 Km/h (Velocidad máxima: 13 kmh)</v>
      </c>
      <c r="P520" s="47" t="str">
        <f>Data!X518</f>
        <v>Válido</v>
      </c>
    </row>
    <row r="521" spans="1:16">
      <c r="A521" s="41" t="str">
        <f>Data!A519</f>
        <v>PKU249</v>
      </c>
      <c r="B521" s="41" t="str">
        <f>Data!D519</f>
        <v>Vehicle, Diesel, Frontera Energy Col 2679</v>
      </c>
      <c r="C521" s="41">
        <f>Data!F519</f>
        <v>0</v>
      </c>
      <c r="D521" s="41">
        <f>Data!G519</f>
        <v>0</v>
      </c>
      <c r="E521" s="41">
        <f>Data!H519</f>
        <v>0</v>
      </c>
      <c r="F521" s="41">
        <f>Data!K519</f>
        <v>0</v>
      </c>
      <c r="G521" s="33" t="str">
        <f>Data!M519</f>
        <v>Tiempo en ralentí</v>
      </c>
      <c r="H521" s="41" t="str">
        <f>Data!P519</f>
        <v>CAMPAMENTO QUIFA, ECOPETROL RUBIALES- Quifa - CAÑO SUR, Campamento Quifa - CMA: Ent. CAMPAMENTO, Puerto Gaitán, Meta, Colombia</v>
      </c>
      <c r="I521" s="42" t="str">
        <f>Data!Q519</f>
        <v>Vel Max 10 Km/h, Cliente, Vel Max 40 Km/h</v>
      </c>
      <c r="J521" s="43">
        <f>Data!S519</f>
        <v>46174.465663182869</v>
      </c>
      <c r="K521" s="44">
        <f>Data!S519</f>
        <v>46174.465663182869</v>
      </c>
      <c r="L521" s="45">
        <f>Data!T519</f>
        <v>1.0115868055555555E-2</v>
      </c>
      <c r="M521" s="46">
        <f>Data!U519</f>
        <v>1.4691576361656189E-2</v>
      </c>
      <c r="N521" s="46" t="str">
        <f>CONCATENATE(Data!W519," (",Data!V519,")")</f>
        <v>Tiempo en ralentí (Ignición: 1.00)</v>
      </c>
      <c r="O521" s="42" t="str">
        <f>IF(Data!V519&lt;&gt;"",N521,Data!W519)</f>
        <v>Tiempo en ralentí (Ignición: 1.00)</v>
      </c>
      <c r="P521" s="47" t="str">
        <f>Data!X519</f>
        <v>Válido</v>
      </c>
    </row>
    <row r="522" spans="1:16">
      <c r="A522" s="41" t="str">
        <f>Data!A520</f>
        <v>PKU249</v>
      </c>
      <c r="B522" s="41" t="str">
        <f>Data!D520</f>
        <v>Vehicle, Diesel, Frontera Energy Col 2679</v>
      </c>
      <c r="C522" s="41">
        <f>Data!F520</f>
        <v>0</v>
      </c>
      <c r="D522" s="41">
        <f>Data!G520</f>
        <v>0</v>
      </c>
      <c r="E522" s="41">
        <f>Data!H520</f>
        <v>0</v>
      </c>
      <c r="F522" s="41">
        <f>Data!K520</f>
        <v>0</v>
      </c>
      <c r="G522" s="33" t="str">
        <f>Data!M520</f>
        <v>Exceso Velocidad 10 Km/h</v>
      </c>
      <c r="H522" s="41" t="str">
        <f>Data!P520</f>
        <v>CAMPAMENTO QUIFA, ECOPETROL RUBIALES- Quifa - CAÑO SUR, Campamento Quifa - CMA: Ent. CAMPAMENTO, Puerto Gaitán, Meta, Colombia</v>
      </c>
      <c r="I522" s="42" t="str">
        <f>Data!Q520</f>
        <v>Vel Max 10 Km/h, Cliente, Vel Max 40 Km/h</v>
      </c>
      <c r="J522" s="43">
        <f>Data!S520</f>
        <v>46174.489459942131</v>
      </c>
      <c r="K522" s="44">
        <f>Data!S520</f>
        <v>46174.489459942131</v>
      </c>
      <c r="L522" s="45">
        <f>Data!T520</f>
        <v>2.9699074074074073E-4</v>
      </c>
      <c r="M522" s="46">
        <f>Data!U520</f>
        <v>7.4848413467407227E-2</v>
      </c>
      <c r="N522" s="46" t="str">
        <f>CONCATENATE(Data!W520," (",Data!V520,")")</f>
        <v>Exceso Velocidad 10 Km/h (Velocidad máxima: 11 kmh)</v>
      </c>
      <c r="O522" s="42" t="str">
        <f>IF(Data!V520&lt;&gt;"",N522,Data!W520)</f>
        <v>Exceso Velocidad 10 Km/h (Velocidad máxima: 11 kmh)</v>
      </c>
      <c r="P522" s="47" t="str">
        <f>Data!X520</f>
        <v>Válido</v>
      </c>
    </row>
    <row r="523" spans="1:16">
      <c r="A523" s="41" t="str">
        <f>Data!A521</f>
        <v>PKU249</v>
      </c>
      <c r="B523" s="41" t="str">
        <f>Data!D521</f>
        <v>Vehicle, Diesel, Frontera Energy Col 2679</v>
      </c>
      <c r="C523" s="41">
        <f>Data!F521</f>
        <v>0</v>
      </c>
      <c r="D523" s="41">
        <f>Data!G521</f>
        <v>0</v>
      </c>
      <c r="E523" s="41">
        <f>Data!H521</f>
        <v>0</v>
      </c>
      <c r="F523" s="41">
        <f>Data!K521</f>
        <v>0</v>
      </c>
      <c r="G523" s="33" t="str">
        <f>Data!M521</f>
        <v>Exceso Velocidad 10 Km/h</v>
      </c>
      <c r="H523" s="41" t="str">
        <f>Data!P521</f>
        <v>CAMPAMENTO QUIFA, ECOPETROL RUBIALES- Quifa - CAÑO SUR, Puerto Gaitan - Rubiales, Puerto Gaitán, Meta, Colombia: Ent. CAMPAMENTO, Puerto Gaitán, Meta, Colombia</v>
      </c>
      <c r="I523" s="42" t="str">
        <f>Data!Q521</f>
        <v>Vel Max 10 Km/h, Cliente, Vel Max 40 Km/h, Centro de servicios del proveedor</v>
      </c>
      <c r="J523" s="43">
        <f>Data!S521</f>
        <v>46174.490251354167</v>
      </c>
      <c r="K523" s="44">
        <f>Data!S521</f>
        <v>46174.490251354167</v>
      </c>
      <c r="L523" s="45">
        <f>Data!T521</f>
        <v>2.5497685185185184E-5</v>
      </c>
      <c r="M523" s="46">
        <f>Data!U521</f>
        <v>6.0073155909776688E-3</v>
      </c>
      <c r="N523" s="46" t="str">
        <f>CONCATENATE(Data!W521," (",Data!V521,")")</f>
        <v>Exceso Velocidad 10 Km/h (Velocidad máxima: 13 kmh)</v>
      </c>
      <c r="O523" s="42" t="str">
        <f>IF(Data!V521&lt;&gt;"",N523,Data!W521)</f>
        <v>Exceso Velocidad 10 Km/h (Velocidad máxima: 13 kmh)</v>
      </c>
      <c r="P523" s="47" t="str">
        <f>Data!X521</f>
        <v>Válido</v>
      </c>
    </row>
    <row r="524" spans="1:16">
      <c r="A524" s="41" t="str">
        <f>Data!A522</f>
        <v>PKU249</v>
      </c>
      <c r="B524" s="41" t="str">
        <f>Data!D522</f>
        <v>Vehicle, Diesel, Frontera Energy Col 2679</v>
      </c>
      <c r="C524" s="41">
        <f>Data!F522</f>
        <v>0</v>
      </c>
      <c r="D524" s="41">
        <f>Data!G522</f>
        <v>0</v>
      </c>
      <c r="E524" s="41">
        <f>Data!H522</f>
        <v>0</v>
      </c>
      <c r="F524" s="41">
        <f>Data!K522</f>
        <v>0</v>
      </c>
      <c r="G524" s="33" t="str">
        <f>Data!M522</f>
        <v>Exceso Velocidad 30 Km/h</v>
      </c>
      <c r="H524" s="41" t="str">
        <f>Data!P522</f>
        <v>ECOPETROL RUBIALES- Quifa - CAÑO SUR, Puerto Triunfo - Estacion Policia: Puerto Gaitan - Rubiales, Puerto Gaitán, Meta, Colombia</v>
      </c>
      <c r="I524" s="42" t="str">
        <f>Data!Q522</f>
        <v>Cliente, Vel Max 40 Km/h, Vel Max 30 Km/h</v>
      </c>
      <c r="J524" s="43">
        <f>Data!S522</f>
        <v>46174.490708287034</v>
      </c>
      <c r="K524" s="44">
        <f>Data!S522</f>
        <v>46174.490708287034</v>
      </c>
      <c r="L524" s="45">
        <f>Data!T522</f>
        <v>3.3155092592592595E-4</v>
      </c>
      <c r="M524" s="46">
        <f>Data!U522</f>
        <v>0.28601384162902832</v>
      </c>
      <c r="N524" s="46" t="str">
        <f>CONCATENATE(Data!W522," (",Data!V522,")")</f>
        <v>Exceso Velocidad 30 Km/h (Velocidad máxima: 47 kmh)</v>
      </c>
      <c r="O524" s="42" t="str">
        <f>IF(Data!V522&lt;&gt;"",N524,Data!W522)</f>
        <v>Exceso Velocidad 30 Km/h (Velocidad máxima: 47 kmh)</v>
      </c>
      <c r="P524" s="47" t="str">
        <f>Data!X522</f>
        <v>Válido</v>
      </c>
    </row>
    <row r="525" spans="1:16">
      <c r="A525" s="41" t="str">
        <f>Data!A523</f>
        <v>PKU249</v>
      </c>
      <c r="B525" s="41" t="str">
        <f>Data!D523</f>
        <v>Vehicle, Diesel, Frontera Energy Col 2679</v>
      </c>
      <c r="C525" s="41">
        <f>Data!F523</f>
        <v>0</v>
      </c>
      <c r="D525" s="41">
        <f>Data!G523</f>
        <v>0</v>
      </c>
      <c r="E525" s="41">
        <f>Data!H523</f>
        <v>0</v>
      </c>
      <c r="F525" s="41">
        <f>Data!K523</f>
        <v>0</v>
      </c>
      <c r="G525" s="33" t="str">
        <f>Data!M523</f>
        <v>Exceso Velocidad 40 Km/h</v>
      </c>
      <c r="H525" s="41" t="str">
        <f>Data!P523</f>
        <v>ECOPETROL RUBIALES- Quifa - CAÑO SUR, Puerto Triunfo - Estacion Policia: Puerto Gaitan - Rubiales, Puerto Gaitán, Meta, Colombia</v>
      </c>
      <c r="I525" s="42" t="str">
        <f>Data!Q523</f>
        <v>Cliente, Vel Max 40 Km/h, Vel Max 30 Km/h</v>
      </c>
      <c r="J525" s="43">
        <f>Data!S523</f>
        <v>46174.490916620372</v>
      </c>
      <c r="K525" s="44">
        <f>Data!S523</f>
        <v>46174.490916620372</v>
      </c>
      <c r="L525" s="45">
        <f>Data!T523</f>
        <v>7.6493055555555559E-5</v>
      </c>
      <c r="M525" s="46">
        <f>Data!U523</f>
        <v>7.4477113783359528E-2</v>
      </c>
      <c r="N525" s="46" t="str">
        <f>CONCATENATE(Data!W523," (",Data!V523,")")</f>
        <v>Exceso Velocidad 40 Km/h (Velocidad máxima: 47 kmh)</v>
      </c>
      <c r="O525" s="42" t="str">
        <f>IF(Data!V523&lt;&gt;"",N525,Data!W523)</f>
        <v>Exceso Velocidad 40 Km/h (Velocidad máxima: 47 kmh)</v>
      </c>
      <c r="P525" s="47" t="str">
        <f>Data!X523</f>
        <v>Válido</v>
      </c>
    </row>
    <row r="526" spans="1:16">
      <c r="A526" s="41" t="str">
        <f>Data!A524</f>
        <v>PKU249</v>
      </c>
      <c r="B526" s="41" t="str">
        <f>Data!D524</f>
        <v>Vehicle, Diesel, Frontera Energy Col 2679</v>
      </c>
      <c r="C526" s="41">
        <f>Data!F524</f>
        <v>0</v>
      </c>
      <c r="D526" s="41">
        <f>Data!G524</f>
        <v>0</v>
      </c>
      <c r="E526" s="41">
        <f>Data!H524</f>
        <v>0</v>
      </c>
      <c r="F526" s="41">
        <f>Data!K524</f>
        <v>0</v>
      </c>
      <c r="G526" s="33" t="str">
        <f>Data!M524</f>
        <v>Exceso Velocidad 30 Km/h</v>
      </c>
      <c r="H526" s="41" t="str">
        <f>Data!P524</f>
        <v>ECOPETROL RUBIALES- Quifa - CAÑO SUR, Puerto Triunfo - Estacion Policia: Puerto Gaitan - Rubiales, Puerto Gaitán, Meta, Colombia</v>
      </c>
      <c r="I526" s="42" t="str">
        <f>Data!Q524</f>
        <v>Cliente, Vel Max 40 Km/h, Vel Max 30 Km/h</v>
      </c>
      <c r="J526" s="43">
        <f>Data!S524</f>
        <v>46174.491179872683</v>
      </c>
      <c r="K526" s="44">
        <f>Data!S524</f>
        <v>46174.491179872683</v>
      </c>
      <c r="L526" s="45">
        <f>Data!T524</f>
        <v>9.7210648148148148E-5</v>
      </c>
      <c r="M526" s="46">
        <f>Data!U524</f>
        <v>7.7378667891025543E-2</v>
      </c>
      <c r="N526" s="46" t="str">
        <f>CONCATENATE(Data!W524," (",Data!V524,")")</f>
        <v>Exceso Velocidad 30 Km/h (Velocidad máxima: 36 kmh)</v>
      </c>
      <c r="O526" s="42" t="str">
        <f>IF(Data!V524&lt;&gt;"",N526,Data!W524)</f>
        <v>Exceso Velocidad 30 Km/h (Velocidad máxima: 36 kmh)</v>
      </c>
      <c r="P526" s="47" t="str">
        <f>Data!X524</f>
        <v>Válido</v>
      </c>
    </row>
    <row r="527" spans="1:16">
      <c r="A527" s="41" t="str">
        <f>Data!A525</f>
        <v>PKU249</v>
      </c>
      <c r="B527" s="41" t="str">
        <f>Data!D525</f>
        <v>Vehicle, Diesel, Frontera Energy Col 2679</v>
      </c>
      <c r="C527" s="41">
        <f>Data!F525</f>
        <v>0</v>
      </c>
      <c r="D527" s="41">
        <f>Data!G525</f>
        <v>0</v>
      </c>
      <c r="E527" s="41">
        <f>Data!H525</f>
        <v>0</v>
      </c>
      <c r="F527" s="41">
        <f>Data!K525</f>
        <v>0</v>
      </c>
      <c r="G527" s="33" t="str">
        <f>Data!M525</f>
        <v>Exceso Velocidad 30 Km/h</v>
      </c>
      <c r="H527" s="41" t="str">
        <f>Data!P525</f>
        <v>ECOPETROL RUBIALES- Quifa - CAÑO SUR, Puerto Triunfo - Estacion Policia: Puerto Gaitan - Rubiales, Puerto Gaitán, Meta, Colombia</v>
      </c>
      <c r="I527" s="42" t="str">
        <f>Data!Q525</f>
        <v>Cliente, Vel Max 40 Km/h, Vel Max 30 Km/h</v>
      </c>
      <c r="J527" s="43">
        <f>Data!S525</f>
        <v>46174.491277083333</v>
      </c>
      <c r="K527" s="44">
        <f>Data!S525</f>
        <v>46174.491277083333</v>
      </c>
      <c r="L527" s="45">
        <f>Data!T525</f>
        <v>4.6261574074074075E-5</v>
      </c>
      <c r="M527" s="46">
        <f>Data!U525</f>
        <v>3.3784106373786926E-2</v>
      </c>
      <c r="N527" s="46" t="str">
        <f>CONCATENATE(Data!W525," (",Data!V525,")")</f>
        <v>Exceso Velocidad 30 Km/h (Velocidad máxima: 32 kmh)</v>
      </c>
      <c r="O527" s="42" t="str">
        <f>IF(Data!V525&lt;&gt;"",N527,Data!W525)</f>
        <v>Exceso Velocidad 30 Km/h (Velocidad máxima: 32 kmh)</v>
      </c>
      <c r="P527" s="47" t="str">
        <f>Data!X525</f>
        <v>Válido</v>
      </c>
    </row>
    <row r="528" spans="1:16">
      <c r="A528" s="41" t="str">
        <f>Data!A526</f>
        <v>PKU249</v>
      </c>
      <c r="B528" s="41" t="str">
        <f>Data!D526</f>
        <v>Vehicle, Diesel, Frontera Energy Col 2679</v>
      </c>
      <c r="C528" s="41">
        <f>Data!F526</f>
        <v>0</v>
      </c>
      <c r="D528" s="41">
        <f>Data!G526</f>
        <v>0</v>
      </c>
      <c r="E528" s="41">
        <f>Data!H526</f>
        <v>0</v>
      </c>
      <c r="F528" s="41">
        <f>Data!K526</f>
        <v>0</v>
      </c>
      <c r="G528" s="33" t="str">
        <f>Data!M526</f>
        <v>Exceso Velocidad 30 Km/h</v>
      </c>
      <c r="H528" s="41" t="str">
        <f>Data!P526</f>
        <v>ECOPETROL RUBIALES- Quifa - CAÑO SUR, Puerto Triunfo - Estacion Policia: Puerto Gaitan - Rubiales, Puerto Gaitán, Meta, Colombia</v>
      </c>
      <c r="I528" s="42" t="str">
        <f>Data!Q526</f>
        <v>Cliente, Vel Max 40 Km/h, Vel Max 30 Km/h</v>
      </c>
      <c r="J528" s="43">
        <f>Data!S526</f>
        <v>46174.491439224534</v>
      </c>
      <c r="K528" s="44">
        <f>Data!S526</f>
        <v>46174.491439224534</v>
      </c>
      <c r="L528" s="45">
        <f>Data!T526</f>
        <v>6.3564814814814812E-5</v>
      </c>
      <c r="M528" s="46">
        <f>Data!U526</f>
        <v>4.8839043825864792E-2</v>
      </c>
      <c r="N528" s="46" t="str">
        <f>CONCATENATE(Data!W526," (",Data!V526,")")</f>
        <v>Exceso Velocidad 30 Km/h (Velocidad máxima: 33 kmh)</v>
      </c>
      <c r="O528" s="42" t="str">
        <f>IF(Data!V526&lt;&gt;"",N528,Data!W526)</f>
        <v>Exceso Velocidad 30 Km/h (Velocidad máxima: 33 kmh)</v>
      </c>
      <c r="P528" s="47" t="str">
        <f>Data!X526</f>
        <v>Válido</v>
      </c>
    </row>
    <row r="529" spans="1:16">
      <c r="A529" s="41" t="str">
        <f>Data!A527</f>
        <v>PKU249</v>
      </c>
      <c r="B529" s="41" t="str">
        <f>Data!D527</f>
        <v>Vehicle, Diesel, Frontera Energy Col 2679</v>
      </c>
      <c r="C529" s="41">
        <f>Data!F527</f>
        <v>0</v>
      </c>
      <c r="D529" s="41">
        <f>Data!G527</f>
        <v>0</v>
      </c>
      <c r="E529" s="41">
        <f>Data!H527</f>
        <v>0</v>
      </c>
      <c r="F529" s="41">
        <f>Data!K527</f>
        <v>0</v>
      </c>
      <c r="G529" s="33" t="str">
        <f>Data!M527</f>
        <v>Exceso Velocidad 30 Km/h</v>
      </c>
      <c r="H529" s="41" t="str">
        <f>Data!P527</f>
        <v>ECOPETROL RUBIALES- Quifa - CAÑO SUR, Puerto Triunfo - Estacion Policia: Puerto Gaitan - Rubiales, Puerto Gaitán, Meta, Colombia</v>
      </c>
      <c r="I529" s="42" t="str">
        <f>Data!Q527</f>
        <v>Cliente, Vel Max 40 Km/h, Vel Max 30 Km/h</v>
      </c>
      <c r="J529" s="43">
        <f>Data!S527</f>
        <v>46174.49155111111</v>
      </c>
      <c r="K529" s="44">
        <f>Data!S527</f>
        <v>46174.49155111111</v>
      </c>
      <c r="L529" s="45">
        <f>Data!T527</f>
        <v>2.9320601851851854E-4</v>
      </c>
      <c r="M529" s="46">
        <f>Data!U527</f>
        <v>0.24033507704734802</v>
      </c>
      <c r="N529" s="46" t="str">
        <f>CONCATENATE(Data!W527," (",Data!V527,")")</f>
        <v>Exceso Velocidad 30 Km/h (Velocidad máxima: 36 kmh)</v>
      </c>
      <c r="O529" s="42" t="str">
        <f>IF(Data!V527&lt;&gt;"",N529,Data!W527)</f>
        <v>Exceso Velocidad 30 Km/h (Velocidad máxima: 36 kmh)</v>
      </c>
      <c r="P529" s="47" t="str">
        <f>Data!X527</f>
        <v>Válido</v>
      </c>
    </row>
    <row r="530" spans="1:16">
      <c r="A530" s="41" t="str">
        <f>Data!A528</f>
        <v>PKU249</v>
      </c>
      <c r="B530" s="41" t="str">
        <f>Data!D528</f>
        <v>Vehicle, Diesel, Frontera Energy Col 2679</v>
      </c>
      <c r="C530" s="41">
        <f>Data!F528</f>
        <v>0</v>
      </c>
      <c r="D530" s="41">
        <f>Data!G528</f>
        <v>0</v>
      </c>
      <c r="E530" s="41">
        <f>Data!H528</f>
        <v>0</v>
      </c>
      <c r="F530" s="41">
        <f>Data!K528</f>
        <v>0</v>
      </c>
      <c r="G530" s="33" t="str">
        <f>Data!M528</f>
        <v>Exceso Velocidad 10 Km/h</v>
      </c>
      <c r="H530" s="41" t="str">
        <f>Data!P528</f>
        <v>ECOPETROL RUBIALES- Quifa - CAÑO SUR, Puerto Triunfo - Estacion Policia, PUESTRO CONTROL QUIFA: Puerto Gaitan - Rubiales, Puerto Gaitán, Meta, Colombia</v>
      </c>
      <c r="I530" s="42" t="str">
        <f>Data!Q528</f>
        <v>Cliente, Vel Max 40 Km/h, Vel Max 30 Km/h, Vel Max 10 Km/h</v>
      </c>
      <c r="J530" s="43">
        <f>Data!S528</f>
        <v>46174.491831678242</v>
      </c>
      <c r="K530" s="44">
        <f>Data!S528</f>
        <v>46174.491831678242</v>
      </c>
      <c r="L530" s="45">
        <f>Data!T528</f>
        <v>2.6408564814814817E-4</v>
      </c>
      <c r="M530" s="46">
        <f>Data!U528</f>
        <v>0.18346928060054779</v>
      </c>
      <c r="N530" s="46" t="str">
        <f>CONCATENATE(Data!W528," (",Data!V528,")")</f>
        <v>Exceso Velocidad 10 Km/h (Velocidad máxima: 33 kmh)</v>
      </c>
      <c r="O530" s="42" t="str">
        <f>IF(Data!V528&lt;&gt;"",N530,Data!W528)</f>
        <v>Exceso Velocidad 10 Km/h (Velocidad máxima: 33 kmh)</v>
      </c>
      <c r="P530" s="47" t="str">
        <f>Data!X528</f>
        <v>Válido</v>
      </c>
    </row>
    <row r="531" spans="1:16">
      <c r="A531" s="41" t="str">
        <f>Data!A529</f>
        <v>PKU249</v>
      </c>
      <c r="B531" s="41" t="str">
        <f>Data!D529</f>
        <v>Vehicle, Diesel, Frontera Energy Col 2679</v>
      </c>
      <c r="C531" s="41">
        <f>Data!F529</f>
        <v>0</v>
      </c>
      <c r="D531" s="41">
        <f>Data!G529</f>
        <v>0</v>
      </c>
      <c r="E531" s="41">
        <f>Data!H529</f>
        <v>0</v>
      </c>
      <c r="F531" s="41">
        <f>Data!K529</f>
        <v>0</v>
      </c>
      <c r="G531" s="33" t="str">
        <f>Data!M529</f>
        <v>Exceso Velocidad 30 Km/h</v>
      </c>
      <c r="H531" s="41" t="str">
        <f>Data!P529</f>
        <v>ECOPETROL RUBIALES- Quifa - CAÑO SUR, Puerto Triunfo - Estacion Policia, PUESTRO CONTROL QUIFA: Puerto Gaitan - Rubiales, Puerto Gaitán, Meta, Colombia</v>
      </c>
      <c r="I531" s="42" t="str">
        <f>Data!Q529</f>
        <v>Cliente, Vel Max 40 Km/h, Vel Max 30 Km/h, Vel Max 10 Km/h</v>
      </c>
      <c r="J531" s="43">
        <f>Data!S529</f>
        <v>46174.492064212965</v>
      </c>
      <c r="K531" s="44">
        <f>Data!S529</f>
        <v>46174.492064212965</v>
      </c>
      <c r="L531" s="45">
        <f>Data!T529</f>
        <v>8.0983796296296297E-5</v>
      </c>
      <c r="M531" s="46">
        <f>Data!U529</f>
        <v>6.1499588191509247E-2</v>
      </c>
      <c r="N531" s="46" t="str">
        <f>CONCATENATE(Data!W529," (",Data!V529,")")</f>
        <v>Exceso Velocidad 30 Km/h (Velocidad máxima: 35 kmh)</v>
      </c>
      <c r="O531" s="42" t="str">
        <f>IF(Data!V529&lt;&gt;"",N531,Data!W529)</f>
        <v>Exceso Velocidad 30 Km/h (Velocidad máxima: 35 kmh)</v>
      </c>
      <c r="P531" s="47" t="str">
        <f>Data!X529</f>
        <v>Válido</v>
      </c>
    </row>
    <row r="532" spans="1:16">
      <c r="A532" s="41" t="str">
        <f>Data!A530</f>
        <v>PKU249</v>
      </c>
      <c r="B532" s="41" t="str">
        <f>Data!D530</f>
        <v>Vehicle, Diesel, Frontera Energy Col 2679</v>
      </c>
      <c r="C532" s="41">
        <f>Data!F530</f>
        <v>0</v>
      </c>
      <c r="D532" s="41">
        <f>Data!G530</f>
        <v>0</v>
      </c>
      <c r="E532" s="41">
        <f>Data!H530</f>
        <v>0</v>
      </c>
      <c r="F532" s="41">
        <f>Data!K530</f>
        <v>0</v>
      </c>
      <c r="G532" s="33" t="str">
        <f>Data!M530</f>
        <v>Exceso Velocidad 30 Km/h</v>
      </c>
      <c r="H532" s="41" t="str">
        <f>Data!P530</f>
        <v>ECOPETROL RUBIALES- Quifa - CAÑO SUR, Puerto Triunfo - Estacion Policia: Puerto Gaitan - Rubiales, Puerto Gaitán, Meta, Colombia</v>
      </c>
      <c r="I532" s="42" t="str">
        <f>Data!Q530</f>
        <v>Cliente, Vel Max 40 Km/h, Vel Max 30 Km/h</v>
      </c>
      <c r="J532" s="43">
        <f>Data!S530</f>
        <v>46174.492203125003</v>
      </c>
      <c r="K532" s="44">
        <f>Data!S530</f>
        <v>46174.492203125003</v>
      </c>
      <c r="L532" s="45">
        <f>Data!T530</f>
        <v>3.0192129629629628E-4</v>
      </c>
      <c r="M532" s="46">
        <f>Data!U530</f>
        <v>0.30267438292503357</v>
      </c>
      <c r="N532" s="46" t="str">
        <f>CONCATENATE(Data!W530," (",Data!V530,")")</f>
        <v>Exceso Velocidad 30 Km/h (Velocidad máxima: 45 kmh)</v>
      </c>
      <c r="O532" s="42" t="str">
        <f>IF(Data!V530&lt;&gt;"",N532,Data!W530)</f>
        <v>Exceso Velocidad 30 Km/h (Velocidad máxima: 45 kmh)</v>
      </c>
      <c r="P532" s="47" t="str">
        <f>Data!X530</f>
        <v>Válido</v>
      </c>
    </row>
    <row r="533" spans="1:16">
      <c r="A533" s="41" t="str">
        <f>Data!A531</f>
        <v>PKU249</v>
      </c>
      <c r="B533" s="41" t="str">
        <f>Data!D531</f>
        <v>Vehicle, Diesel, Frontera Energy Col 2679</v>
      </c>
      <c r="C533" s="41">
        <f>Data!F531</f>
        <v>0</v>
      </c>
      <c r="D533" s="41">
        <f>Data!G531</f>
        <v>0</v>
      </c>
      <c r="E533" s="41">
        <f>Data!H531</f>
        <v>0</v>
      </c>
      <c r="F533" s="41">
        <f>Data!K531</f>
        <v>0</v>
      </c>
      <c r="G533" s="33" t="str">
        <f>Data!M531</f>
        <v>Exceso Velocidad 40 Km/h</v>
      </c>
      <c r="H533" s="41" t="str">
        <f>Data!P531</f>
        <v>ECOPETROL RUBIALES- Quifa - CAÑO SUR, Puerto Triunfo - Estacion Policia: Puerto Gaitan - Rubiales, Puerto Gaitán, Meta, Colombia</v>
      </c>
      <c r="I533" s="42" t="str">
        <f>Data!Q531</f>
        <v>Cliente, Vel Max 40 Km/h, Vel Max 30 Km/h</v>
      </c>
      <c r="J533" s="43">
        <f>Data!S531</f>
        <v>46174.492272569441</v>
      </c>
      <c r="K533" s="44">
        <f>Data!S531</f>
        <v>46174.492272569441</v>
      </c>
      <c r="L533" s="45">
        <f>Data!T531</f>
        <v>2.0827546296296295E-4</v>
      </c>
      <c r="M533" s="46">
        <f>Data!U531</f>
        <v>0.21824637055397034</v>
      </c>
      <c r="N533" s="46" t="str">
        <f>CONCATENATE(Data!W531," (",Data!V531,")")</f>
        <v>Exceso Velocidad 40 Km/h (Velocidad máxima: 45 kmh)</v>
      </c>
      <c r="O533" s="42" t="str">
        <f>IF(Data!V531&lt;&gt;"",N533,Data!W531)</f>
        <v>Exceso Velocidad 40 Km/h (Velocidad máxima: 45 kmh)</v>
      </c>
      <c r="P533" s="47" t="str">
        <f>Data!X531</f>
        <v>Válido</v>
      </c>
    </row>
    <row r="534" spans="1:16">
      <c r="A534" s="41" t="str">
        <f>Data!A532</f>
        <v>PKU249</v>
      </c>
      <c r="B534" s="41" t="str">
        <f>Data!D532</f>
        <v>Vehicle, Diesel, Frontera Energy Col 2679</v>
      </c>
      <c r="C534" s="41">
        <f>Data!F532</f>
        <v>0</v>
      </c>
      <c r="D534" s="41">
        <f>Data!G532</f>
        <v>0</v>
      </c>
      <c r="E534" s="41">
        <f>Data!H532</f>
        <v>0</v>
      </c>
      <c r="F534" s="41">
        <f>Data!K532</f>
        <v>0</v>
      </c>
      <c r="G534" s="33" t="str">
        <f>Data!M532</f>
        <v>Exceso Velocidad 30 Km/h</v>
      </c>
      <c r="H534" s="41" t="str">
        <f>Data!P532</f>
        <v>ECOPETROL RUBIALES- Quifa - CAÑO SUR, Puerto Triunfo - Estacion Policia: Puerto Gaitan - Rubiales, Puerto Gaitán, Meta, Colombia</v>
      </c>
      <c r="I534" s="42" t="str">
        <f>Data!Q532</f>
        <v>Cliente, Vel Max 40 Km/h, Vel Max 30 Km/h</v>
      </c>
      <c r="J534" s="43">
        <f>Data!S532</f>
        <v>46174.492544548608</v>
      </c>
      <c r="K534" s="44">
        <f>Data!S532</f>
        <v>46174.492544548608</v>
      </c>
      <c r="L534" s="45">
        <f>Data!T532</f>
        <v>8.3495370370370372E-5</v>
      </c>
      <c r="M534" s="46">
        <f>Data!U532</f>
        <v>6.1495743691921234E-2</v>
      </c>
      <c r="N534" s="46" t="str">
        <f>CONCATENATE(Data!W532," (",Data!V532,")")</f>
        <v>Exceso Velocidad 30 Km/h (Velocidad máxima: 31 kmh)</v>
      </c>
      <c r="O534" s="42" t="str">
        <f>IF(Data!V532&lt;&gt;"",N534,Data!W532)</f>
        <v>Exceso Velocidad 30 Km/h (Velocidad máxima: 31 kmh)</v>
      </c>
      <c r="P534" s="47" t="str">
        <f>Data!X532</f>
        <v>Válido</v>
      </c>
    </row>
    <row r="535" spans="1:16">
      <c r="A535" s="41" t="str">
        <f>Data!A533</f>
        <v>PKU249</v>
      </c>
      <c r="B535" s="41" t="str">
        <f>Data!D533</f>
        <v>Vehicle, Diesel, Frontera Energy Col 2679</v>
      </c>
      <c r="C535" s="41">
        <f>Data!F533</f>
        <v>0</v>
      </c>
      <c r="D535" s="41">
        <f>Data!G533</f>
        <v>0</v>
      </c>
      <c r="E535" s="41">
        <f>Data!H533</f>
        <v>0</v>
      </c>
      <c r="F535" s="41">
        <f>Data!K533</f>
        <v>0</v>
      </c>
      <c r="G535" s="33" t="str">
        <f>Data!M533</f>
        <v>Exceso Velocidad 30 Km/h</v>
      </c>
      <c r="H535" s="41" t="str">
        <f>Data!P533</f>
        <v>ECOPETROL RUBIALES- Quifa - CAÑO SUR, Puerto Triunfo - Estacion Policia: Puerto Gaitan - Rubiales, Puerto Gaitán, Meta, Colombia</v>
      </c>
      <c r="I535" s="42" t="str">
        <f>Data!Q533</f>
        <v>Cliente, Vel Max 40 Km/h, Vel Max 30 Km/h</v>
      </c>
      <c r="J535" s="43">
        <f>Data!S533</f>
        <v>46174.492793391204</v>
      </c>
      <c r="K535" s="44">
        <f>Data!S533</f>
        <v>46174.492793391204</v>
      </c>
      <c r="L535" s="45">
        <f>Data!T533</f>
        <v>3.0092592592592595E-4</v>
      </c>
      <c r="M535" s="46">
        <f>Data!U533</f>
        <v>0.22900021076202393</v>
      </c>
      <c r="N535" s="46" t="str">
        <f>CONCATENATE(Data!W533," (",Data!V533,")")</f>
        <v>Exceso Velocidad 30 Km/h (Velocidad máxima: 34 kmh)</v>
      </c>
      <c r="O535" s="42" t="str">
        <f>IF(Data!V533&lt;&gt;"",N535,Data!W533)</f>
        <v>Exceso Velocidad 30 Km/h (Velocidad máxima: 34 kmh)</v>
      </c>
      <c r="P535" s="47" t="str">
        <f>Data!X533</f>
        <v>Válido</v>
      </c>
    </row>
    <row r="536" spans="1:16">
      <c r="A536" s="41" t="str">
        <f>Data!A534</f>
        <v>PKU249</v>
      </c>
      <c r="B536" s="41" t="str">
        <f>Data!D534</f>
        <v>Vehicle, Diesel, Frontera Energy Col 2679</v>
      </c>
      <c r="C536" s="41">
        <f>Data!F534</f>
        <v>0</v>
      </c>
      <c r="D536" s="41">
        <f>Data!G534</f>
        <v>0</v>
      </c>
      <c r="E536" s="41">
        <f>Data!H534</f>
        <v>0</v>
      </c>
      <c r="F536" s="41">
        <f>Data!K534</f>
        <v>0</v>
      </c>
      <c r="G536" s="33" t="str">
        <f>Data!M534</f>
        <v>Exceso Velocidad 30 Km/h</v>
      </c>
      <c r="H536" s="41" t="str">
        <f>Data!P534</f>
        <v>ECOPETROL RUBIALES- Quifa - CAÑO SUR, Puerto Triunfo - Estacion Policia: Puerto Gaitan - Rubiales, Puerto Gaitán, Meta, Colombia</v>
      </c>
      <c r="I536" s="42" t="str">
        <f>Data!Q534</f>
        <v>Cliente, Vel Max 40 Km/h, Vel Max 30 Km/h</v>
      </c>
      <c r="J536" s="43">
        <f>Data!S534</f>
        <v>46174.493449652779</v>
      </c>
      <c r="K536" s="44">
        <f>Data!S534</f>
        <v>46174.493449652779</v>
      </c>
      <c r="L536" s="45">
        <f>Data!T534</f>
        <v>1.7917824074074074E-4</v>
      </c>
      <c r="M536" s="46">
        <f>Data!U534</f>
        <v>0.14866650104522705</v>
      </c>
      <c r="N536" s="46" t="str">
        <f>CONCATENATE(Data!W534," (",Data!V534,")")</f>
        <v>Exceso Velocidad 30 Km/h (Velocidad máxima: 41 kmh)</v>
      </c>
      <c r="O536" s="42" t="str">
        <f>IF(Data!V534&lt;&gt;"",N536,Data!W534)</f>
        <v>Exceso Velocidad 30 Km/h (Velocidad máxima: 41 kmh)</v>
      </c>
      <c r="P536" s="47" t="str">
        <f>Data!X534</f>
        <v>Válido</v>
      </c>
    </row>
    <row r="537" spans="1:16">
      <c r="A537" s="41" t="str">
        <f>Data!A535</f>
        <v>PKU249</v>
      </c>
      <c r="B537" s="41" t="str">
        <f>Data!D535</f>
        <v>Vehicle, Diesel, Frontera Energy Col 2679</v>
      </c>
      <c r="C537" s="41">
        <f>Data!F535</f>
        <v>0</v>
      </c>
      <c r="D537" s="41">
        <f>Data!G535</f>
        <v>0</v>
      </c>
      <c r="E537" s="41">
        <f>Data!H535</f>
        <v>0</v>
      </c>
      <c r="F537" s="41">
        <f>Data!K535</f>
        <v>0</v>
      </c>
      <c r="G537" s="33" t="str">
        <f>Data!M535</f>
        <v>Exceso Velocidad 40 Km/h</v>
      </c>
      <c r="H537" s="41" t="str">
        <f>Data!P535</f>
        <v>ECOPETROL RUBIALES- Quifa - CAÑO SUR, Puerto Triunfo - Estacion Policia: Puerto Gaitan - Rubiales, Puerto Gaitán, Meta, Colombia</v>
      </c>
      <c r="I537" s="42" t="str">
        <f>Data!Q535</f>
        <v>Cliente, Vel Max 40 Km/h, Vel Max 30 Km/h</v>
      </c>
      <c r="J537" s="43">
        <f>Data!S535</f>
        <v>46174.493547500002</v>
      </c>
      <c r="K537" s="44">
        <f>Data!S535</f>
        <v>46174.493547500002</v>
      </c>
      <c r="L537" s="45">
        <f>Data!T535</f>
        <v>2.1331018518518519E-5</v>
      </c>
      <c r="M537" s="46">
        <f>Data!U535</f>
        <v>1.8793715164065361E-2</v>
      </c>
      <c r="N537" s="46" t="str">
        <f>CONCATENATE(Data!W535," (",Data!V535,")")</f>
        <v>Exceso Velocidad 40 Km/h (Velocidad máxima: 41 kmh)</v>
      </c>
      <c r="O537" s="42" t="str">
        <f>IF(Data!V535&lt;&gt;"",N537,Data!W535)</f>
        <v>Exceso Velocidad 40 Km/h (Velocidad máxima: 41 kmh)</v>
      </c>
      <c r="P537" s="47" t="str">
        <f>Data!X535</f>
        <v>Válido</v>
      </c>
    </row>
    <row r="538" spans="1:16">
      <c r="A538" s="41" t="str">
        <f>Data!A536</f>
        <v>PKU249</v>
      </c>
      <c r="B538" s="41" t="str">
        <f>Data!D536</f>
        <v>Vehicle, Diesel, Frontera Energy Col 2679</v>
      </c>
      <c r="C538" s="41">
        <f>Data!F536</f>
        <v>0</v>
      </c>
      <c r="D538" s="41">
        <f>Data!G536</f>
        <v>0</v>
      </c>
      <c r="E538" s="41">
        <f>Data!H536</f>
        <v>0</v>
      </c>
      <c r="F538" s="41">
        <f>Data!K536</f>
        <v>0</v>
      </c>
      <c r="G538" s="33" t="str">
        <f>Data!M536</f>
        <v>Exceso Velocidad 30 Km/h</v>
      </c>
      <c r="H538" s="41" t="str">
        <f>Data!P536</f>
        <v>ECOPETROL RUBIALES- Quifa - CAÑO SUR, Puerto Triunfo - Estacion Policia: Puerto Gaitan - Rubiales, Puerto Gaitán, Meta, Colombia</v>
      </c>
      <c r="I538" s="42" t="str">
        <f>Data!Q536</f>
        <v>Cliente, Vel Max 40 Km/h, Vel Max 30 Km/h</v>
      </c>
      <c r="J538" s="43">
        <f>Data!S536</f>
        <v>46174.493852858795</v>
      </c>
      <c r="K538" s="44">
        <f>Data!S536</f>
        <v>46174.493852858795</v>
      </c>
      <c r="L538" s="45">
        <f>Data!T536</f>
        <v>9.9386574074074072E-5</v>
      </c>
      <c r="M538" s="46">
        <f>Data!U536</f>
        <v>7.7934771776199341E-2</v>
      </c>
      <c r="N538" s="46" t="str">
        <f>CONCATENATE(Data!W536," (",Data!V536,")")</f>
        <v>Exceso Velocidad 30 Km/h (Velocidad máxima: 35 kmh)</v>
      </c>
      <c r="O538" s="42" t="str">
        <f>IF(Data!V536&lt;&gt;"",N538,Data!W536)</f>
        <v>Exceso Velocidad 30 Km/h (Velocidad máxima: 35 kmh)</v>
      </c>
      <c r="P538" s="47" t="str">
        <f>Data!X536</f>
        <v>Válido</v>
      </c>
    </row>
    <row r="539" spans="1:16">
      <c r="A539" s="41" t="str">
        <f>Data!A537</f>
        <v>PKU249</v>
      </c>
      <c r="B539" s="41" t="str">
        <f>Data!D537</f>
        <v>Vehicle, Diesel, Frontera Energy Col 2679</v>
      </c>
      <c r="C539" s="41">
        <f>Data!F537</f>
        <v>0</v>
      </c>
      <c r="D539" s="41">
        <f>Data!G537</f>
        <v>0</v>
      </c>
      <c r="E539" s="41">
        <f>Data!H537</f>
        <v>0</v>
      </c>
      <c r="F539" s="41">
        <f>Data!K537</f>
        <v>0</v>
      </c>
      <c r="G539" s="33" t="str">
        <f>Data!M537</f>
        <v>Exceso Velocidad 30 Km/h</v>
      </c>
      <c r="H539" s="41" t="str">
        <f>Data!P537</f>
        <v>ECOPETROL RUBIALES- Quifa - CAÑO SUR, Puerto Triunfo - Estacion Policia: Puerto Gaitan - Rubiales, Puerto Gaitán, Meta, Colombia</v>
      </c>
      <c r="I539" s="42" t="str">
        <f>Data!Q537</f>
        <v>Cliente, Vel Max 40 Km/h, Vel Max 30 Km/h</v>
      </c>
      <c r="J539" s="43">
        <f>Data!S537</f>
        <v>46174.494750543985</v>
      </c>
      <c r="K539" s="44">
        <f>Data!S537</f>
        <v>46174.494750543985</v>
      </c>
      <c r="L539" s="45">
        <f>Data!T537</f>
        <v>6.5162037037037036E-5</v>
      </c>
      <c r="M539" s="46">
        <f>Data!U537</f>
        <v>4.841633141040802E-2</v>
      </c>
      <c r="N539" s="46" t="str">
        <f>CONCATENATE(Data!W537," (",Data!V537,")")</f>
        <v>Exceso Velocidad 30 Km/h (Velocidad máxima: 35 kmh)</v>
      </c>
      <c r="O539" s="42" t="str">
        <f>IF(Data!V537&lt;&gt;"",N539,Data!W537)</f>
        <v>Exceso Velocidad 30 Km/h (Velocidad máxima: 35 kmh)</v>
      </c>
      <c r="P539" s="47" t="str">
        <f>Data!X537</f>
        <v>Válido</v>
      </c>
    </row>
    <row r="540" spans="1:16">
      <c r="A540" s="41" t="str">
        <f>Data!A538</f>
        <v>PKU249</v>
      </c>
      <c r="B540" s="41" t="str">
        <f>Data!D538</f>
        <v>Vehicle, Diesel, Frontera Energy Col 2679</v>
      </c>
      <c r="C540" s="41">
        <f>Data!F538</f>
        <v>0</v>
      </c>
      <c r="D540" s="41">
        <f>Data!G538</f>
        <v>0</v>
      </c>
      <c r="E540" s="41">
        <f>Data!H538</f>
        <v>0</v>
      </c>
      <c r="F540" s="41">
        <f>Data!K538</f>
        <v>0</v>
      </c>
      <c r="G540" s="33" t="str">
        <f>Data!M538</f>
        <v>Exceso Velocidad 30 Km/h</v>
      </c>
      <c r="H540" s="41" t="str">
        <f>Data!P538</f>
        <v>ECOPETROL RUBIALES- Quifa - CAÑO SUR, Puerto Triunfo - Estacion Policia: Puerto Gaitan - Rubiales, Puerto Gaitán, Meta, Colombia</v>
      </c>
      <c r="I540" s="42" t="str">
        <f>Data!Q538</f>
        <v>Cliente, Vel Max 40 Km/h, Vel Max 30 Km/h</v>
      </c>
      <c r="J540" s="43">
        <f>Data!S538</f>
        <v>46174.494893206022</v>
      </c>
      <c r="K540" s="44">
        <f>Data!S538</f>
        <v>46174.494893206022</v>
      </c>
      <c r="L540" s="45">
        <f>Data!T538</f>
        <v>1.2821759259259259E-4</v>
      </c>
      <c r="M540" s="46">
        <f>Data!U538</f>
        <v>0.10115490853786469</v>
      </c>
      <c r="N540" s="46" t="str">
        <f>CONCATENATE(Data!W538," (",Data!V538,")")</f>
        <v>Exceso Velocidad 30 Km/h (Velocidad máxima: 34 kmh)</v>
      </c>
      <c r="O540" s="42" t="str">
        <f>IF(Data!V538&lt;&gt;"",N540,Data!W538)</f>
        <v>Exceso Velocidad 30 Km/h (Velocidad máxima: 34 kmh)</v>
      </c>
      <c r="P540" s="47" t="str">
        <f>Data!X538</f>
        <v>Válido</v>
      </c>
    </row>
    <row r="541" spans="1:16">
      <c r="A541" s="41" t="str">
        <f>Data!A539</f>
        <v>PKU249</v>
      </c>
      <c r="B541" s="41" t="str">
        <f>Data!D539</f>
        <v>Vehicle, Diesel, Frontera Energy Col 2679</v>
      </c>
      <c r="C541" s="41">
        <f>Data!F539</f>
        <v>0</v>
      </c>
      <c r="D541" s="41">
        <f>Data!G539</f>
        <v>0</v>
      </c>
      <c r="E541" s="41">
        <f>Data!H539</f>
        <v>0</v>
      </c>
      <c r="F541" s="41">
        <f>Data!K539</f>
        <v>0</v>
      </c>
      <c r="G541" s="33" t="str">
        <f>Data!M539</f>
        <v>Exceso Velocidad 30 Km/h</v>
      </c>
      <c r="H541" s="41" t="str">
        <f>Data!P539</f>
        <v>ECOPETROL RUBIALES- Quifa - CAÑO SUR, Puerto Triunfo - Estacion Policia: vereda puerto triunfo Km 129+300 vía rubiales, Puerto Gaitán, Meta, Colombia</v>
      </c>
      <c r="I541" s="42" t="str">
        <f>Data!Q539</f>
        <v>Cliente, Vel Max 40 Km/h, Vel Max 30 Km/h</v>
      </c>
      <c r="J541" s="43">
        <f>Data!S539</f>
        <v>46174.574863240741</v>
      </c>
      <c r="K541" s="44">
        <f>Data!S539</f>
        <v>46174.574863240741</v>
      </c>
      <c r="L541" s="45">
        <f>Data!T539</f>
        <v>1.7940972222222222E-4</v>
      </c>
      <c r="M541" s="46">
        <f>Data!U539</f>
        <v>0.14503468573093414</v>
      </c>
      <c r="N541" s="46" t="str">
        <f>CONCATENATE(Data!W539," (",Data!V539,")")</f>
        <v>Exceso Velocidad 30 Km/h (Velocidad máxima: 36 kmh)</v>
      </c>
      <c r="O541" s="42" t="str">
        <f>IF(Data!V539&lt;&gt;"",N541,Data!W539)</f>
        <v>Exceso Velocidad 30 Km/h (Velocidad máxima: 36 kmh)</v>
      </c>
      <c r="P541" s="47" t="str">
        <f>Data!X539</f>
        <v>Válido</v>
      </c>
    </row>
    <row r="542" spans="1:16">
      <c r="A542" s="41" t="str">
        <f>Data!A540</f>
        <v>PKU249</v>
      </c>
      <c r="B542" s="41" t="str">
        <f>Data!D540</f>
        <v>Vehicle, Diesel, Frontera Energy Col 2679</v>
      </c>
      <c r="C542" s="41">
        <f>Data!F540</f>
        <v>0</v>
      </c>
      <c r="D542" s="41">
        <f>Data!G540</f>
        <v>0</v>
      </c>
      <c r="E542" s="41">
        <f>Data!H540</f>
        <v>0</v>
      </c>
      <c r="F542" s="41">
        <f>Data!K540</f>
        <v>0</v>
      </c>
      <c r="G542" s="33" t="str">
        <f>Data!M540</f>
        <v>Exceso Velocidad 30 Km/h</v>
      </c>
      <c r="H542" s="41" t="str">
        <f>Data!P540</f>
        <v>ECOPETROL RUBIALES- Quifa - CAÑO SUR, Puerto Triunfo - Estacion Policia: Puerto Gaitan - Rubiales, Puerto Gaitán, Meta, Colombia</v>
      </c>
      <c r="I542" s="42" t="str">
        <f>Data!Q540</f>
        <v>Cliente, Vel Max 40 Km/h, Vel Max 30 Km/h</v>
      </c>
      <c r="J542" s="43">
        <f>Data!S540</f>
        <v>46174.575107581019</v>
      </c>
      <c r="K542" s="44">
        <f>Data!S540</f>
        <v>46174.575107581019</v>
      </c>
      <c r="L542" s="45">
        <f>Data!T540</f>
        <v>5.7465277777777776E-5</v>
      </c>
      <c r="M542" s="46">
        <f>Data!U540</f>
        <v>4.3528281152248383E-2</v>
      </c>
      <c r="N542" s="46" t="str">
        <f>CONCATENATE(Data!W540," (",Data!V540,")")</f>
        <v>Exceso Velocidad 30 Km/h (Velocidad máxima: 33 kmh)</v>
      </c>
      <c r="O542" s="42" t="str">
        <f>IF(Data!V540&lt;&gt;"",N542,Data!W540)</f>
        <v>Exceso Velocidad 30 Km/h (Velocidad máxima: 33 kmh)</v>
      </c>
      <c r="P542" s="47" t="str">
        <f>Data!X540</f>
        <v>Válido</v>
      </c>
    </row>
    <row r="543" spans="1:16">
      <c r="A543" s="41" t="str">
        <f>Data!A541</f>
        <v>PKU249</v>
      </c>
      <c r="B543" s="41" t="str">
        <f>Data!D541</f>
        <v>Vehicle, Diesel, Frontera Energy Col 2679</v>
      </c>
      <c r="C543" s="41">
        <f>Data!F541</f>
        <v>0</v>
      </c>
      <c r="D543" s="41">
        <f>Data!G541</f>
        <v>0</v>
      </c>
      <c r="E543" s="41">
        <f>Data!H541</f>
        <v>0</v>
      </c>
      <c r="F543" s="41">
        <f>Data!K541</f>
        <v>0</v>
      </c>
      <c r="G543" s="33" t="str">
        <f>Data!M541</f>
        <v>Exceso Velocidad 30 Km/h</v>
      </c>
      <c r="H543" s="41" t="str">
        <f>Data!P541</f>
        <v>ECOPETROL RUBIALES- Quifa - CAÑO SUR, Puerto Triunfo - Estacion Policia: Puerto Gaitan - Rubiales, Puerto Gaitán, Meta, Colombia</v>
      </c>
      <c r="I543" s="42" t="str">
        <f>Data!Q541</f>
        <v>Cliente, Vel Max 40 Km/h, Vel Max 30 Km/h</v>
      </c>
      <c r="J543" s="43">
        <f>Data!S541</f>
        <v>46174.575308900465</v>
      </c>
      <c r="K543" s="44">
        <f>Data!S541</f>
        <v>46174.575308900465</v>
      </c>
      <c r="L543" s="45">
        <f>Data!T541</f>
        <v>1.244212962962963E-4</v>
      </c>
      <c r="M543" s="46">
        <f>Data!U541</f>
        <v>9.8795279860496521E-2</v>
      </c>
      <c r="N543" s="46" t="str">
        <f>CONCATENATE(Data!W541," (",Data!V541,")")</f>
        <v>Exceso Velocidad 30 Km/h (Velocidad máxima: 33 kmh)</v>
      </c>
      <c r="O543" s="42" t="str">
        <f>IF(Data!V541&lt;&gt;"",N543,Data!W541)</f>
        <v>Exceso Velocidad 30 Km/h (Velocidad máxima: 33 kmh)</v>
      </c>
      <c r="P543" s="47" t="str">
        <f>Data!X541</f>
        <v>Válido</v>
      </c>
    </row>
    <row r="544" spans="1:16">
      <c r="A544" s="41" t="str">
        <f>Data!A542</f>
        <v>PKU249</v>
      </c>
      <c r="B544" s="41" t="str">
        <f>Data!D542</f>
        <v>Vehicle, Diesel, Frontera Energy Col 2679</v>
      </c>
      <c r="C544" s="41">
        <f>Data!F542</f>
        <v>0</v>
      </c>
      <c r="D544" s="41">
        <f>Data!G542</f>
        <v>0</v>
      </c>
      <c r="E544" s="41">
        <f>Data!H542</f>
        <v>0</v>
      </c>
      <c r="F544" s="41">
        <f>Data!K542</f>
        <v>0</v>
      </c>
      <c r="G544" s="33" t="str">
        <f>Data!M542</f>
        <v>Exceso Velocidad 30 Km/h</v>
      </c>
      <c r="H544" s="41" t="str">
        <f>Data!P542</f>
        <v>ECOPETROL RUBIALES- Quifa - CAÑO SUR, Puerto Triunfo - Estacion Policia: Puerto Gaitan - Rubiales, Puerto Gaitán, Meta, Colombia</v>
      </c>
      <c r="I544" s="42" t="str">
        <f>Data!Q542</f>
        <v>Cliente, Vel Max 40 Km/h, Vel Max 30 Km/h</v>
      </c>
      <c r="J544" s="43">
        <f>Data!S542</f>
        <v>46174.57546709491</v>
      </c>
      <c r="K544" s="44">
        <f>Data!S542</f>
        <v>46174.57546709491</v>
      </c>
      <c r="L544" s="45">
        <f>Data!T542</f>
        <v>1.8672453703703703E-4</v>
      </c>
      <c r="M544" s="46">
        <f>Data!U542</f>
        <v>0.15462189912796021</v>
      </c>
      <c r="N544" s="46" t="str">
        <f>CONCATENATE(Data!W542," (",Data!V542,")")</f>
        <v>Exceso Velocidad 30 Km/h (Velocidad máxima: 37 kmh)</v>
      </c>
      <c r="O544" s="42" t="str">
        <f>IF(Data!V542&lt;&gt;"",N544,Data!W542)</f>
        <v>Exceso Velocidad 30 Km/h (Velocidad máxima: 37 kmh)</v>
      </c>
      <c r="P544" s="47" t="str">
        <f>Data!X542</f>
        <v>Válido</v>
      </c>
    </row>
    <row r="545" spans="1:16">
      <c r="A545" s="41" t="str">
        <f>Data!A543</f>
        <v>PKU249</v>
      </c>
      <c r="B545" s="41" t="str">
        <f>Data!D543</f>
        <v>Vehicle, Diesel, Frontera Energy Col 2679</v>
      </c>
      <c r="C545" s="41">
        <f>Data!F543</f>
        <v>0</v>
      </c>
      <c r="D545" s="41">
        <f>Data!G543</f>
        <v>0</v>
      </c>
      <c r="E545" s="41">
        <f>Data!H543</f>
        <v>0</v>
      </c>
      <c r="F545" s="41">
        <f>Data!K543</f>
        <v>0</v>
      </c>
      <c r="G545" s="33" t="str">
        <f>Data!M543</f>
        <v>Exceso Velocidad 30 Km/h</v>
      </c>
      <c r="H545" s="41" t="str">
        <f>Data!P543</f>
        <v>ECOPETROL RUBIALES- Quifa - CAÑO SUR, Puerto Triunfo - Estacion Policia: Puerto Gaitan - Rubiales, Puerto Gaitán, Meta, Colombia</v>
      </c>
      <c r="I545" s="42" t="str">
        <f>Data!Q543</f>
        <v>Cliente, Vel Max 40 Km/h, Vel Max 30 Km/h</v>
      </c>
      <c r="J545" s="43">
        <f>Data!S543</f>
        <v>46174.57569085648</v>
      </c>
      <c r="K545" s="44">
        <f>Data!S543</f>
        <v>46174.57569085648</v>
      </c>
      <c r="L545" s="45">
        <f>Data!T543</f>
        <v>1.273148148148148E-4</v>
      </c>
      <c r="M545" s="46">
        <f>Data!U543</f>
        <v>0.10373880714178085</v>
      </c>
      <c r="N545" s="46" t="str">
        <f>CONCATENATE(Data!W543," (",Data!V543,")")</f>
        <v>Exceso Velocidad 30 Km/h (Velocidad máxima: 36 kmh)</v>
      </c>
      <c r="O545" s="42" t="str">
        <f>IF(Data!V543&lt;&gt;"",N545,Data!W543)</f>
        <v>Exceso Velocidad 30 Km/h (Velocidad máxima: 36 kmh)</v>
      </c>
      <c r="P545" s="47" t="str">
        <f>Data!X543</f>
        <v>Válido</v>
      </c>
    </row>
    <row r="546" spans="1:16">
      <c r="A546" s="41" t="str">
        <f>Data!A544</f>
        <v>PKU249</v>
      </c>
      <c r="B546" s="41" t="str">
        <f>Data!D544</f>
        <v>Vehicle, Diesel, Frontera Energy Col 2679</v>
      </c>
      <c r="C546" s="41">
        <f>Data!F544</f>
        <v>0</v>
      </c>
      <c r="D546" s="41">
        <f>Data!G544</f>
        <v>0</v>
      </c>
      <c r="E546" s="41">
        <f>Data!H544</f>
        <v>0</v>
      </c>
      <c r="F546" s="41">
        <f>Data!K544</f>
        <v>0</v>
      </c>
      <c r="G546" s="33" t="str">
        <f>Data!M544</f>
        <v>Exceso Velocidad 30 Km/h</v>
      </c>
      <c r="H546" s="41" t="str">
        <f>Data!P544</f>
        <v>ECOPETROL RUBIALES- Quifa - CAÑO SUR, Puerto Triunfo - Estacion Policia: Puerto Gaitan - Rubiales, Puerto Gaitán, Meta, Colombia</v>
      </c>
      <c r="I546" s="42" t="str">
        <f>Data!Q544</f>
        <v>Cliente, Vel Max 40 Km/h, Vel Max 30 Km/h</v>
      </c>
      <c r="J546" s="43">
        <f>Data!S544</f>
        <v>46174.576133333336</v>
      </c>
      <c r="K546" s="44">
        <f>Data!S544</f>
        <v>46174.576133333336</v>
      </c>
      <c r="L546" s="45">
        <f>Data!T544</f>
        <v>1.9184027777777778E-4</v>
      </c>
      <c r="M546" s="46">
        <f>Data!U544</f>
        <v>0.16324156522750854</v>
      </c>
      <c r="N546" s="46" t="str">
        <f>CONCATENATE(Data!W544," (",Data!V544,")")</f>
        <v>Exceso Velocidad 30 Km/h (Velocidad máxima: 37 kmh)</v>
      </c>
      <c r="O546" s="42" t="str">
        <f>IF(Data!V544&lt;&gt;"",N546,Data!W544)</f>
        <v>Exceso Velocidad 30 Km/h (Velocidad máxima: 37 kmh)</v>
      </c>
      <c r="P546" s="47" t="str">
        <f>Data!X544</f>
        <v>Válido</v>
      </c>
    </row>
    <row r="547" spans="1:16">
      <c r="A547" s="41" t="str">
        <f>Data!A545</f>
        <v>PKU249</v>
      </c>
      <c r="B547" s="41" t="str">
        <f>Data!D545</f>
        <v>Vehicle, Diesel, Frontera Energy Col 2679</v>
      </c>
      <c r="C547" s="41">
        <f>Data!F545</f>
        <v>0</v>
      </c>
      <c r="D547" s="41">
        <f>Data!G545</f>
        <v>0</v>
      </c>
      <c r="E547" s="41">
        <f>Data!H545</f>
        <v>0</v>
      </c>
      <c r="F547" s="41">
        <f>Data!K545</f>
        <v>0</v>
      </c>
      <c r="G547" s="33" t="str">
        <f>Data!M545</f>
        <v>Exceso Velocidad 30 Km/h</v>
      </c>
      <c r="H547" s="41" t="str">
        <f>Data!P545</f>
        <v>ECOPETROL RUBIALES- Quifa - CAÑO SUR, Puerto Triunfo - Estacion Policia: Puerto Gaitan - Rubiales, Puerto Gaitán, Meta, Colombia</v>
      </c>
      <c r="I547" s="42" t="str">
        <f>Data!Q545</f>
        <v>Cliente, Vel Max 40 Km/h, Vel Max 30 Km/h</v>
      </c>
      <c r="J547" s="43">
        <f>Data!S545</f>
        <v>46174.576540902781</v>
      </c>
      <c r="K547" s="44">
        <f>Data!S545</f>
        <v>46174.576540902781</v>
      </c>
      <c r="L547" s="45">
        <f>Data!T545</f>
        <v>3.0570601851851852E-4</v>
      </c>
      <c r="M547" s="46">
        <f>Data!U545</f>
        <v>0.24637722969055176</v>
      </c>
      <c r="N547" s="46" t="str">
        <f>CONCATENATE(Data!W545," (",Data!V545,")")</f>
        <v>Exceso Velocidad 30 Km/h (Velocidad máxima: 35 kmh)</v>
      </c>
      <c r="O547" s="42" t="str">
        <f>IF(Data!V545&lt;&gt;"",N547,Data!W545)</f>
        <v>Exceso Velocidad 30 Km/h (Velocidad máxima: 35 kmh)</v>
      </c>
      <c r="P547" s="47" t="str">
        <f>Data!X545</f>
        <v>Válido</v>
      </c>
    </row>
    <row r="548" spans="1:16">
      <c r="A548" s="41" t="str">
        <f>Data!A546</f>
        <v>PKU249</v>
      </c>
      <c r="B548" s="41" t="str">
        <f>Data!D546</f>
        <v>Vehicle, Diesel, Frontera Energy Col 2679</v>
      </c>
      <c r="C548" s="41">
        <f>Data!F546</f>
        <v>0</v>
      </c>
      <c r="D548" s="41">
        <f>Data!G546</f>
        <v>0</v>
      </c>
      <c r="E548" s="41">
        <f>Data!H546</f>
        <v>0</v>
      </c>
      <c r="F548" s="41">
        <f>Data!K546</f>
        <v>0</v>
      </c>
      <c r="G548" s="33" t="str">
        <f>Data!M546</f>
        <v>Exceso Velocidad 30 Km/h</v>
      </c>
      <c r="H548" s="41" t="str">
        <f>Data!P546</f>
        <v>ECOPETROL RUBIALES- Quifa - CAÑO SUR, Puerto Triunfo - Estacion Policia: Puerto Gaitan - Rubiales, Puerto Gaitán, Meta, Colombia</v>
      </c>
      <c r="I548" s="42" t="str">
        <f>Data!Q546</f>
        <v>Cliente, Vel Max 40 Km/h, Vel Max 30 Km/h</v>
      </c>
      <c r="J548" s="43">
        <f>Data!S546</f>
        <v>46174.576894560189</v>
      </c>
      <c r="K548" s="44">
        <f>Data!S546</f>
        <v>46174.576894560189</v>
      </c>
      <c r="L548" s="45">
        <f>Data!T546</f>
        <v>2.0821759259259261E-5</v>
      </c>
      <c r="M548" s="46">
        <f>Data!U546</f>
        <v>1.4501107856631279E-2</v>
      </c>
      <c r="N548" s="46" t="str">
        <f>CONCATENATE(Data!W546," (",Data!V546,")")</f>
        <v>Exceso Velocidad 30 Km/h (Velocidad máxima: 32 kmh)</v>
      </c>
      <c r="O548" s="42" t="str">
        <f>IF(Data!V546&lt;&gt;"",N548,Data!W546)</f>
        <v>Exceso Velocidad 30 Km/h (Velocidad máxima: 32 kmh)</v>
      </c>
      <c r="P548" s="47" t="str">
        <f>Data!X546</f>
        <v>Válido</v>
      </c>
    </row>
    <row r="549" spans="1:16">
      <c r="A549" s="41" t="str">
        <f>Data!A547</f>
        <v>PKU249</v>
      </c>
      <c r="B549" s="41" t="str">
        <f>Data!D547</f>
        <v>Vehicle, Diesel, Frontera Energy Col 2679</v>
      </c>
      <c r="C549" s="41">
        <f>Data!F547</f>
        <v>0</v>
      </c>
      <c r="D549" s="41">
        <f>Data!G547</f>
        <v>0</v>
      </c>
      <c r="E549" s="41">
        <f>Data!H547</f>
        <v>0</v>
      </c>
      <c r="F549" s="41">
        <f>Data!K547</f>
        <v>0</v>
      </c>
      <c r="G549" s="33" t="str">
        <f>Data!M547</f>
        <v>Exceso Velocidad 30 Km/h</v>
      </c>
      <c r="H549" s="41" t="str">
        <f>Data!P547</f>
        <v>ECOPETROL RUBIALES- Quifa - CAÑO SUR, Puerto Triunfo - Estacion Policia: Puerto Gaitan - Rubiales, Puerto Gaitán, Meta, Colombia</v>
      </c>
      <c r="I549" s="42" t="str">
        <f>Data!Q547</f>
        <v>Cliente, Vel Max 40 Km/h, Vel Max 30 Km/h</v>
      </c>
      <c r="J549" s="43">
        <f>Data!S547</f>
        <v>46174.576975578704</v>
      </c>
      <c r="K549" s="44">
        <f>Data!S547</f>
        <v>46174.576975578704</v>
      </c>
      <c r="L549" s="45">
        <f>Data!T547</f>
        <v>9.771990740740741E-5</v>
      </c>
      <c r="M549" s="46">
        <f>Data!U547</f>
        <v>8.69331955909729E-2</v>
      </c>
      <c r="N549" s="46" t="str">
        <f>CONCATENATE(Data!W547," (",Data!V547,")")</f>
        <v>Exceso Velocidad 30 Km/h (Velocidad máxima: 40 kmh)</v>
      </c>
      <c r="O549" s="42" t="str">
        <f>IF(Data!V547&lt;&gt;"",N549,Data!W547)</f>
        <v>Exceso Velocidad 30 Km/h (Velocidad máxima: 40 kmh)</v>
      </c>
      <c r="P549" s="47" t="str">
        <f>Data!X547</f>
        <v>Válido</v>
      </c>
    </row>
    <row r="550" spans="1:16">
      <c r="A550" s="41" t="str">
        <f>Data!A548</f>
        <v>PKU249</v>
      </c>
      <c r="B550" s="41" t="str">
        <f>Data!D548</f>
        <v>Vehicle, Diesel, Frontera Energy Col 2679</v>
      </c>
      <c r="C550" s="41">
        <f>Data!F548</f>
        <v>0</v>
      </c>
      <c r="D550" s="41">
        <f>Data!G548</f>
        <v>0</v>
      </c>
      <c r="E550" s="41">
        <f>Data!H548</f>
        <v>0</v>
      </c>
      <c r="F550" s="41">
        <f>Data!K548</f>
        <v>0</v>
      </c>
      <c r="G550" s="33" t="str">
        <f>Data!M548</f>
        <v>Exceso Velocidad 30 Km/h</v>
      </c>
      <c r="H550" s="41" t="str">
        <f>Data!P548</f>
        <v>ECOPETROL RUBIALES- Quifa - CAÑO SUR, Puerto Triunfo - Estacion Policia: Puerto Gaitan - Rubiales, Puerto Gaitán, Meta, Colombia</v>
      </c>
      <c r="I550" s="42" t="str">
        <f>Data!Q548</f>
        <v>Cliente, Vel Max 40 Km/h, Vel Max 30 Km/h</v>
      </c>
      <c r="J550" s="43">
        <f>Data!S548</f>
        <v>46174.577148124998</v>
      </c>
      <c r="K550" s="44">
        <f>Data!S548</f>
        <v>46174.577148124998</v>
      </c>
      <c r="L550" s="45">
        <f>Data!T548</f>
        <v>2.6725694444444442E-4</v>
      </c>
      <c r="M550" s="46">
        <f>Data!U548</f>
        <v>0.24372832477092743</v>
      </c>
      <c r="N550" s="46" t="str">
        <f>CONCATENATE(Data!W548," (",Data!V548,")")</f>
        <v>Exceso Velocidad 30 Km/h (Velocidad máxima: 40 kmh)</v>
      </c>
      <c r="O550" s="42" t="str">
        <f>IF(Data!V548&lt;&gt;"",N550,Data!W548)</f>
        <v>Exceso Velocidad 30 Km/h (Velocidad máxima: 40 kmh)</v>
      </c>
      <c r="P550" s="47" t="str">
        <f>Data!X548</f>
        <v>Válido</v>
      </c>
    </row>
    <row r="551" spans="1:16">
      <c r="A551" s="41" t="str">
        <f>Data!A549</f>
        <v>PKU249</v>
      </c>
      <c r="B551" s="41" t="str">
        <f>Data!D549</f>
        <v>Vehicle, Diesel, Frontera Energy Col 2679</v>
      </c>
      <c r="C551" s="41">
        <f>Data!F549</f>
        <v>0</v>
      </c>
      <c r="D551" s="41">
        <f>Data!G549</f>
        <v>0</v>
      </c>
      <c r="E551" s="41">
        <f>Data!H549</f>
        <v>0</v>
      </c>
      <c r="F551" s="41">
        <f>Data!K549</f>
        <v>0</v>
      </c>
      <c r="G551" s="33" t="str">
        <f>Data!M549</f>
        <v>Exceso Velocidad 10 Km/h</v>
      </c>
      <c r="H551" s="41" t="str">
        <f>Data!P549</f>
        <v>ECOPETROL RUBIALES- Quifa - CAÑO SUR, Puerto Triunfo - Estacion Policia, PUESTRO CONTROL QUIFA: Puerto Gaitan - Rubiales, Puerto Gaitán, Meta, Colombia</v>
      </c>
      <c r="I551" s="42" t="str">
        <f>Data!Q549</f>
        <v>Cliente, Vel Max 40 Km/h, Vel Max 30 Km/h, Vel Max 10 Km/h</v>
      </c>
      <c r="J551" s="43">
        <f>Data!S549</f>
        <v>46174.577600833334</v>
      </c>
      <c r="K551" s="44">
        <f>Data!S549</f>
        <v>46174.577600833334</v>
      </c>
      <c r="L551" s="45">
        <f>Data!T549</f>
        <v>3.1138888888888888E-4</v>
      </c>
      <c r="M551" s="46">
        <f>Data!U549</f>
        <v>0.18434272706508636</v>
      </c>
      <c r="N551" s="46" t="str">
        <f>CONCATENATE(Data!W549," (",Data!V549,")")</f>
        <v>Exceso Velocidad 10 Km/h (Velocidad máxima: 27 kmh)</v>
      </c>
      <c r="O551" s="42" t="str">
        <f>IF(Data!V549&lt;&gt;"",N551,Data!W549)</f>
        <v>Exceso Velocidad 10 Km/h (Velocidad máxima: 27 kmh)</v>
      </c>
      <c r="P551" s="47" t="str">
        <f>Data!X549</f>
        <v>Válido</v>
      </c>
    </row>
    <row r="552" spans="1:16">
      <c r="A552" s="41" t="str">
        <f>Data!A550</f>
        <v>PKU249</v>
      </c>
      <c r="B552" s="41" t="str">
        <f>Data!D550</f>
        <v>Vehicle, Diesel, Frontera Energy Col 2679</v>
      </c>
      <c r="C552" s="41">
        <f>Data!F550</f>
        <v>0</v>
      </c>
      <c r="D552" s="41">
        <f>Data!G550</f>
        <v>0</v>
      </c>
      <c r="E552" s="41">
        <f>Data!H550</f>
        <v>0</v>
      </c>
      <c r="F552" s="41">
        <f>Data!K550</f>
        <v>0</v>
      </c>
      <c r="G552" s="33" t="str">
        <f>Data!M550</f>
        <v>Exceso Velocidad 30 Km/h</v>
      </c>
      <c r="H552" s="41" t="str">
        <f>Data!P550</f>
        <v>ECOPETROL RUBIALES- Quifa - CAÑO SUR, Puerto Triunfo - Estacion Policia: Puerto Gaitan - Rubiales, Puerto Gaitán, Meta, Colombia</v>
      </c>
      <c r="I552" s="42" t="str">
        <f>Data!Q550</f>
        <v>Cliente, Vel Max 40 Km/h, Vel Max 30 Km/h</v>
      </c>
      <c r="J552" s="43">
        <f>Data!S550</f>
        <v>46174.578657164355</v>
      </c>
      <c r="K552" s="44">
        <f>Data!S550</f>
        <v>46174.578657164355</v>
      </c>
      <c r="L552" s="45">
        <f>Data!T550</f>
        <v>7.9444444444444444E-5</v>
      </c>
      <c r="M552" s="46">
        <f>Data!U550</f>
        <v>5.9004053473472595E-2</v>
      </c>
      <c r="N552" s="46" t="str">
        <f>CONCATENATE(Data!W550," (",Data!V550,")")</f>
        <v>Exceso Velocidad 30 Km/h (Velocidad máxima: 34 kmh)</v>
      </c>
      <c r="O552" s="42" t="str">
        <f>IF(Data!V550&lt;&gt;"",N552,Data!W550)</f>
        <v>Exceso Velocidad 30 Km/h (Velocidad máxima: 34 kmh)</v>
      </c>
      <c r="P552" s="47" t="str">
        <f>Data!X550</f>
        <v>Válido</v>
      </c>
    </row>
    <row r="553" spans="1:16">
      <c r="A553" s="41" t="str">
        <f>Data!A551</f>
        <v>PKU249</v>
      </c>
      <c r="B553" s="41" t="str">
        <f>Data!D551</f>
        <v>Vehicle, Diesel, Frontera Energy Col 2679</v>
      </c>
      <c r="C553" s="41">
        <f>Data!F551</f>
        <v>0</v>
      </c>
      <c r="D553" s="41">
        <f>Data!G551</f>
        <v>0</v>
      </c>
      <c r="E553" s="41">
        <f>Data!H551</f>
        <v>0</v>
      </c>
      <c r="F553" s="41">
        <f>Data!K551</f>
        <v>0</v>
      </c>
      <c r="G553" s="33" t="str">
        <f>Data!M551</f>
        <v>Exceso Velocidad 30 Km/h</v>
      </c>
      <c r="H553" s="41" t="str">
        <f>Data!P551</f>
        <v>ECOPETROL RUBIALES- Quifa - CAÑO SUR, Puerto Triunfo - Estacion Policia: Puerto Gaitan - Rubiales, Puerto Gaitán, Meta, Colombia</v>
      </c>
      <c r="I553" s="42" t="str">
        <f>Data!Q551</f>
        <v>Cliente, Vel Max 40 Km/h, Vel Max 30 Km/h</v>
      </c>
      <c r="J553" s="43">
        <f>Data!S551</f>
        <v>46174.578886990741</v>
      </c>
      <c r="K553" s="44">
        <f>Data!S551</f>
        <v>46174.578886990741</v>
      </c>
      <c r="L553" s="45">
        <f>Data!T551</f>
        <v>3.2240740740740743E-4</v>
      </c>
      <c r="M553" s="46">
        <f>Data!U551</f>
        <v>0.27329912781715393</v>
      </c>
      <c r="N553" s="46" t="str">
        <f>CONCATENATE(Data!W551," (",Data!V551,")")</f>
        <v>Exceso Velocidad 30 Km/h (Velocidad máxima: 37 kmh)</v>
      </c>
      <c r="O553" s="42" t="str">
        <f>IF(Data!V551&lt;&gt;"",N553,Data!W551)</f>
        <v>Exceso Velocidad 30 Km/h (Velocidad máxima: 37 kmh)</v>
      </c>
      <c r="P553" s="47" t="str">
        <f>Data!X551</f>
        <v>Válido</v>
      </c>
    </row>
    <row r="554" spans="1:16">
      <c r="A554" s="41" t="str">
        <f>Data!A552</f>
        <v>PKU249</v>
      </c>
      <c r="B554" s="41" t="str">
        <f>Data!D552</f>
        <v>Vehicle, Diesel, Frontera Energy Col 2679</v>
      </c>
      <c r="C554" s="41">
        <f>Data!F552</f>
        <v>0</v>
      </c>
      <c r="D554" s="41">
        <f>Data!G552</f>
        <v>0</v>
      </c>
      <c r="E554" s="41">
        <f>Data!H552</f>
        <v>0</v>
      </c>
      <c r="F554" s="41">
        <f>Data!K552</f>
        <v>0</v>
      </c>
      <c r="G554" s="33" t="str">
        <f>Data!M552</f>
        <v>Exceso Velocidad 10 Km/h</v>
      </c>
      <c r="H554" s="41" t="str">
        <f>Data!P552</f>
        <v>CAMPAMENTO QUIFA, ECOPETROL RUBIALES- Quifa - CAÑO SUR, Puerto Gaitan - Rubiales, Puerto Gaitán, Meta, Colombia: Ent. CAMPAMENTO, Puerto Gaitán, Meta, Colombia</v>
      </c>
      <c r="I554" s="42" t="str">
        <f>Data!Q552</f>
        <v>Vel Max 10 Km/h, Cliente, Vel Max 40 Km/h, Centro de servicios del proveedor</v>
      </c>
      <c r="J554" s="43">
        <f>Data!S552</f>
        <v>46174.579710046295</v>
      </c>
      <c r="K554" s="44">
        <f>Data!S552</f>
        <v>46174.579710046295</v>
      </c>
      <c r="L554" s="45">
        <f>Data!T552</f>
        <v>4.3368055555555553E-5</v>
      </c>
      <c r="M554" s="46">
        <f>Data!U552</f>
        <v>1.0137693956494331E-2</v>
      </c>
      <c r="N554" s="46" t="str">
        <f>CONCATENATE(Data!W552," (",Data!V552,")")</f>
        <v>Exceso Velocidad 10 Km/h (Velocidad máxima: 12 kmh)</v>
      </c>
      <c r="O554" s="42" t="str">
        <f>IF(Data!V552&lt;&gt;"",N554,Data!W552)</f>
        <v>Exceso Velocidad 10 Km/h (Velocidad máxima: 12 kmh)</v>
      </c>
      <c r="P554" s="47" t="str">
        <f>Data!X552</f>
        <v>Válido</v>
      </c>
    </row>
    <row r="555" spans="1:16">
      <c r="A555" s="41" t="str">
        <f>Data!A553</f>
        <v>PKU249</v>
      </c>
      <c r="B555" s="41" t="str">
        <f>Data!D553</f>
        <v>Vehicle, Diesel, Frontera Energy Col 2679</v>
      </c>
      <c r="C555" s="41">
        <f>Data!F553</f>
        <v>0</v>
      </c>
      <c r="D555" s="41">
        <f>Data!G553</f>
        <v>0</v>
      </c>
      <c r="E555" s="41">
        <f>Data!H553</f>
        <v>0</v>
      </c>
      <c r="F555" s="41">
        <f>Data!K553</f>
        <v>0</v>
      </c>
      <c r="G555" s="33" t="str">
        <f>Data!M553</f>
        <v>Exceso Velocidad 10 Km/h</v>
      </c>
      <c r="H555" s="41" t="str">
        <f>Data!P553</f>
        <v>CAMPAMENTO QUIFA, ECOPETROL RUBIALES- Quifa - CAÑO SUR, Puerto Gaitan - Rubiales, Puerto Gaitán, Meta, Colombia, Campamento Quifa - CMA: Ent. CAMPAMENTO, Puerto Gaitán, Meta, Colombia</v>
      </c>
      <c r="I555" s="42" t="str">
        <f>Data!Q553</f>
        <v>Vel Max 10 Km/h, Cliente, Vel Max 40 Km/h, Centro de servicios del proveedor</v>
      </c>
      <c r="J555" s="43">
        <f>Data!S553</f>
        <v>46174.579896215277</v>
      </c>
      <c r="K555" s="44">
        <f>Data!S553</f>
        <v>46174.579896215277</v>
      </c>
      <c r="L555" s="45">
        <f>Data!T553</f>
        <v>1.7548611111111112E-4</v>
      </c>
      <c r="M555" s="46">
        <f>Data!U553</f>
        <v>4.35667484998703E-2</v>
      </c>
      <c r="N555" s="46" t="str">
        <f>CONCATENATE(Data!W553," (",Data!V553,")")</f>
        <v>Exceso Velocidad 10 Km/h (Velocidad máxima: 12 kmh)</v>
      </c>
      <c r="O555" s="42" t="str">
        <f>IF(Data!V553&lt;&gt;"",N555,Data!W553)</f>
        <v>Exceso Velocidad 10 Km/h (Velocidad máxima: 12 kmh)</v>
      </c>
      <c r="P555" s="47" t="str">
        <f>Data!X553</f>
        <v>Válido</v>
      </c>
    </row>
    <row r="556" spans="1:16">
      <c r="A556" s="41" t="str">
        <f>Data!A554</f>
        <v>PKU249</v>
      </c>
      <c r="B556" s="41" t="str">
        <f>Data!D554</f>
        <v>Vehicle, Diesel, Frontera Energy Col 2679</v>
      </c>
      <c r="C556" s="41">
        <f>Data!F554</f>
        <v>0</v>
      </c>
      <c r="D556" s="41">
        <f>Data!G554</f>
        <v>0</v>
      </c>
      <c r="E556" s="41">
        <f>Data!H554</f>
        <v>0</v>
      </c>
      <c r="F556" s="41">
        <f>Data!K554</f>
        <v>0</v>
      </c>
      <c r="G556" s="33" t="str">
        <f>Data!M554</f>
        <v>Tiempo en ralentí</v>
      </c>
      <c r="H556" s="41" t="str">
        <f>Data!P554</f>
        <v>CAMPAMENTO QUIFA, ECOPETROL RUBIALES- Quifa - CAÑO SUR, Campamento Quifa - CMA: Ent. CAMPAMENTO, Puerto Gaitán, Meta, Colombia</v>
      </c>
      <c r="I556" s="42" t="str">
        <f>Data!Q554</f>
        <v>Vel Max 10 Km/h, Cliente, Vel Max 40 Km/h</v>
      </c>
      <c r="J556" s="43">
        <f>Data!S554</f>
        <v>46174.582508101848</v>
      </c>
      <c r="K556" s="44">
        <f>Data!S554</f>
        <v>46174.582508101848</v>
      </c>
      <c r="L556" s="45">
        <f>Data!T554</f>
        <v>7.8587847222222219E-3</v>
      </c>
      <c r="M556" s="46">
        <f>Data!U554</f>
        <v>8.0472556874155998E-3</v>
      </c>
      <c r="N556" s="46" t="str">
        <f>CONCATENATE(Data!W554," (",Data!V554,")")</f>
        <v>Tiempo en ralentí (Ignición: 1.00)</v>
      </c>
      <c r="O556" s="42" t="str">
        <f>IF(Data!V554&lt;&gt;"",N556,Data!W554)</f>
        <v>Tiempo en ralentí (Ignición: 1.00)</v>
      </c>
      <c r="P556" s="47" t="str">
        <f>Data!X554</f>
        <v>Válido</v>
      </c>
    </row>
    <row r="557" spans="1:16">
      <c r="A557" s="41" t="str">
        <f>Data!A555</f>
        <v>PKU249</v>
      </c>
      <c r="B557" s="41" t="str">
        <f>Data!D555</f>
        <v>Vehicle, Diesel, Frontera Energy Col 2679</v>
      </c>
      <c r="C557" s="41">
        <f>Data!F555</f>
        <v>0</v>
      </c>
      <c r="D557" s="41">
        <f>Data!G555</f>
        <v>0</v>
      </c>
      <c r="E557" s="41">
        <f>Data!H555</f>
        <v>0</v>
      </c>
      <c r="F557" s="41">
        <f>Data!K555</f>
        <v>0</v>
      </c>
      <c r="G557" s="33" t="str">
        <f>Data!M555</f>
        <v>Exceso Velocidad 10 Km/h</v>
      </c>
      <c r="H557" s="41" t="str">
        <f>Data!P555</f>
        <v>CAMPAMENTO QUIFA, ECOPETROL RUBIALES- Quifa - CAÑO SUR, Puerto Gaitan - Rubiales, Puerto Gaitán, Meta, Colombia, Campamento Quifa - CMA: Puerto Gaitan - Rubiales, Puerto Gaitán, Meta, Colombia</v>
      </c>
      <c r="I557" s="42" t="str">
        <f>Data!Q555</f>
        <v>Vel Max 10 Km/h, Cliente, Vel Max 40 Km/h, Centro de servicios del proveedor</v>
      </c>
      <c r="J557" s="43">
        <f>Data!S555</f>
        <v>46174.590459490741</v>
      </c>
      <c r="K557" s="44">
        <f>Data!S555</f>
        <v>46174.590459490741</v>
      </c>
      <c r="L557" s="45">
        <f>Data!T555</f>
        <v>4.6296296296296294E-5</v>
      </c>
      <c r="M557" s="46">
        <f>Data!U555</f>
        <v>1.1009937152266502E-2</v>
      </c>
      <c r="N557" s="46" t="str">
        <f>CONCATENATE(Data!W555," (",Data!V555,")")</f>
        <v>Exceso Velocidad 10 Km/h (Velocidad máxima: 11 kmh)</v>
      </c>
      <c r="O557" s="42" t="str">
        <f>IF(Data!V555&lt;&gt;"",N557,Data!W555)</f>
        <v>Exceso Velocidad 10 Km/h (Velocidad máxima: 11 kmh)</v>
      </c>
      <c r="P557" s="47" t="str">
        <f>Data!X555</f>
        <v>Válido</v>
      </c>
    </row>
    <row r="558" spans="1:16">
      <c r="A558" s="41" t="str">
        <f>Data!A556</f>
        <v>PKU249</v>
      </c>
      <c r="B558" s="41" t="str">
        <f>Data!D556</f>
        <v>Vehicle, Diesel, Frontera Energy Col 2679</v>
      </c>
      <c r="C558" s="41">
        <f>Data!F556</f>
        <v>0</v>
      </c>
      <c r="D558" s="41">
        <f>Data!G556</f>
        <v>0</v>
      </c>
      <c r="E558" s="41">
        <f>Data!H556</f>
        <v>0</v>
      </c>
      <c r="F558" s="41">
        <f>Data!K556</f>
        <v>0</v>
      </c>
      <c r="G558" s="33" t="str">
        <f>Data!M556</f>
        <v>Exceso Velocidad 10 Km/h</v>
      </c>
      <c r="H558" s="41" t="str">
        <f>Data!P556</f>
        <v>CAMPAMENTO QUIFA, ECOPETROL RUBIALES- Quifa - CAÑO SUR, Puerto Gaitan - Rubiales, Puerto Gaitán, Meta, Colombia: Ent. CAMPAMENTO, Puerto Gaitán, Meta, Colombia</v>
      </c>
      <c r="I558" s="42" t="str">
        <f>Data!Q556</f>
        <v>Vel Max 10 Km/h, Cliente, Vel Max 40 Km/h, Centro de servicios del proveedor</v>
      </c>
      <c r="J558" s="43">
        <f>Data!S556</f>
        <v>46174.590841458332</v>
      </c>
      <c r="K558" s="44">
        <f>Data!S556</f>
        <v>46174.590841458332</v>
      </c>
      <c r="L558" s="45">
        <f>Data!T556</f>
        <v>3.0443287037037038E-4</v>
      </c>
      <c r="M558" s="46">
        <f>Data!U556</f>
        <v>0.13162775337696075</v>
      </c>
      <c r="N558" s="46" t="str">
        <f>CONCATENATE(Data!W556," (",Data!V556,")")</f>
        <v>Exceso Velocidad 10 Km/h (Velocidad máxima: 29 kmh)</v>
      </c>
      <c r="O558" s="42" t="str">
        <f>IF(Data!V556&lt;&gt;"",N558,Data!W556)</f>
        <v>Exceso Velocidad 10 Km/h (Velocidad máxima: 29 kmh)</v>
      </c>
      <c r="P558" s="47" t="str">
        <f>Data!X556</f>
        <v>Válido</v>
      </c>
    </row>
    <row r="559" spans="1:16">
      <c r="A559" s="41" t="str">
        <f>Data!A557</f>
        <v>PKU249</v>
      </c>
      <c r="B559" s="41" t="str">
        <f>Data!D557</f>
        <v>Vehicle, Diesel, Frontera Energy Col 2679</v>
      </c>
      <c r="C559" s="41">
        <f>Data!F557</f>
        <v>0</v>
      </c>
      <c r="D559" s="41">
        <f>Data!G557</f>
        <v>0</v>
      </c>
      <c r="E559" s="41">
        <f>Data!H557</f>
        <v>0</v>
      </c>
      <c r="F559" s="41">
        <f>Data!K557</f>
        <v>0</v>
      </c>
      <c r="G559" s="33" t="str">
        <f>Data!M557</f>
        <v>Exceso Velocidad 30 Km/h</v>
      </c>
      <c r="H559" s="41" t="str">
        <f>Data!P557</f>
        <v>ECOPETROL RUBIALES- Quifa - CAÑO SUR, Puerto Triunfo - Estacion Policia: Puerto Gaitan - Rubiales, Puerto Gaitán, Meta, Colombia</v>
      </c>
      <c r="I559" s="42" t="str">
        <f>Data!Q557</f>
        <v>Cliente, Vel Max 40 Km/h, Vel Max 30 Km/h</v>
      </c>
      <c r="J559" s="43">
        <f>Data!S557</f>
        <v>46174.591403923609</v>
      </c>
      <c r="K559" s="44">
        <f>Data!S557</f>
        <v>46174.591403923609</v>
      </c>
      <c r="L559" s="45">
        <f>Data!T557</f>
        <v>1.5193287037037036E-4</v>
      </c>
      <c r="M559" s="46">
        <f>Data!U557</f>
        <v>0.13314418494701385</v>
      </c>
      <c r="N559" s="46" t="str">
        <f>CONCATENATE(Data!W557," (",Data!V557,")")</f>
        <v>Exceso Velocidad 30 Km/h (Velocidad máxima: 40 kmh)</v>
      </c>
      <c r="O559" s="42" t="str">
        <f>IF(Data!V557&lt;&gt;"",N559,Data!W557)</f>
        <v>Exceso Velocidad 30 Km/h (Velocidad máxima: 40 kmh)</v>
      </c>
      <c r="P559" s="47" t="str">
        <f>Data!X557</f>
        <v>Válido</v>
      </c>
    </row>
    <row r="560" spans="1:16">
      <c r="A560" s="41" t="str">
        <f>Data!A558</f>
        <v>PKU249</v>
      </c>
      <c r="B560" s="41" t="str">
        <f>Data!D558</f>
        <v>Vehicle, Diesel, Frontera Energy Col 2679</v>
      </c>
      <c r="C560" s="41">
        <f>Data!F558</f>
        <v>0</v>
      </c>
      <c r="D560" s="41">
        <f>Data!G558</f>
        <v>0</v>
      </c>
      <c r="E560" s="41">
        <f>Data!H558</f>
        <v>0</v>
      </c>
      <c r="F560" s="41">
        <f>Data!K558</f>
        <v>0</v>
      </c>
      <c r="G560" s="33" t="str">
        <f>Data!M558</f>
        <v>Exceso Velocidad 30 Km/h</v>
      </c>
      <c r="H560" s="41" t="str">
        <f>Data!P558</f>
        <v>ECOPETROL RUBIALES- Quifa - CAÑO SUR, Puerto Triunfo - Estacion Policia: Puerto Gaitan - Rubiales, Puerto Gaitán, Meta, Colombia</v>
      </c>
      <c r="I560" s="42" t="str">
        <f>Data!Q558</f>
        <v>Cliente, Vel Max 40 Km/h, Vel Max 30 Km/h</v>
      </c>
      <c r="J560" s="43">
        <f>Data!S558</f>
        <v>46174.591777280089</v>
      </c>
      <c r="K560" s="44">
        <f>Data!S558</f>
        <v>46174.591777280089</v>
      </c>
      <c r="L560" s="45">
        <f>Data!T558</f>
        <v>3.6377314814814816E-5</v>
      </c>
      <c r="M560" s="46">
        <f>Data!U558</f>
        <v>2.6990305632352829E-2</v>
      </c>
      <c r="N560" s="46" t="str">
        <f>CONCATENATE(Data!W558," (",Data!V558,")")</f>
        <v>Exceso Velocidad 30 Km/h (Velocidad máxima: 32 kmh)</v>
      </c>
      <c r="O560" s="42" t="str">
        <f>IF(Data!V558&lt;&gt;"",N560,Data!W558)</f>
        <v>Exceso Velocidad 30 Km/h (Velocidad máxima: 32 kmh)</v>
      </c>
      <c r="P560" s="47" t="str">
        <f>Data!X558</f>
        <v>Válido</v>
      </c>
    </row>
    <row r="561" spans="1:16">
      <c r="A561" s="41" t="str">
        <f>Data!A559</f>
        <v>PKU249</v>
      </c>
      <c r="B561" s="41" t="str">
        <f>Data!D559</f>
        <v>Vehicle, Diesel, Frontera Energy Col 2679</v>
      </c>
      <c r="C561" s="41">
        <f>Data!F559</f>
        <v>0</v>
      </c>
      <c r="D561" s="41">
        <f>Data!G559</f>
        <v>0</v>
      </c>
      <c r="E561" s="41">
        <f>Data!H559</f>
        <v>0</v>
      </c>
      <c r="F561" s="41">
        <f>Data!K559</f>
        <v>0</v>
      </c>
      <c r="G561" s="33" t="str">
        <f>Data!M559</f>
        <v>Exceso Velocidad 30 Km/h</v>
      </c>
      <c r="H561" s="41" t="str">
        <f>Data!P559</f>
        <v>ECOPETROL RUBIALES- Quifa - CAÑO SUR, Puerto Triunfo - Estacion Policia: Puerto Gaitan - Rubiales, Puerto Gaitán, Meta, Colombia</v>
      </c>
      <c r="I561" s="42" t="str">
        <f>Data!Q559</f>
        <v>Cliente, Vel Max 40 Km/h, Vel Max 30 Km/h</v>
      </c>
      <c r="J561" s="43">
        <f>Data!S559</f>
        <v>46174.591894664351</v>
      </c>
      <c r="K561" s="44">
        <f>Data!S559</f>
        <v>46174.591894664351</v>
      </c>
      <c r="L561" s="45">
        <f>Data!T559</f>
        <v>3.8194444444444444E-5</v>
      </c>
      <c r="M561" s="46">
        <f>Data!U559</f>
        <v>3.0951771885156631E-2</v>
      </c>
      <c r="N561" s="46" t="str">
        <f>CONCATENATE(Data!W559," (",Data!V559,")")</f>
        <v>Exceso Velocidad 30 Km/h (Velocidad máxima: 38 kmh)</v>
      </c>
      <c r="O561" s="42" t="str">
        <f>IF(Data!V559&lt;&gt;"",N561,Data!W559)</f>
        <v>Exceso Velocidad 30 Km/h (Velocidad máxima: 38 kmh)</v>
      </c>
      <c r="P561" s="47" t="str">
        <f>Data!X559</f>
        <v>Válido</v>
      </c>
    </row>
    <row r="562" spans="1:16">
      <c r="A562" s="41" t="str">
        <f>Data!A560</f>
        <v>PKU249</v>
      </c>
      <c r="B562" s="41" t="str">
        <f>Data!D560</f>
        <v>Vehicle, Diesel, Frontera Energy Col 2679</v>
      </c>
      <c r="C562" s="41">
        <f>Data!F560</f>
        <v>0</v>
      </c>
      <c r="D562" s="41">
        <f>Data!G560</f>
        <v>0</v>
      </c>
      <c r="E562" s="41">
        <f>Data!H560</f>
        <v>0</v>
      </c>
      <c r="F562" s="41">
        <f>Data!K560</f>
        <v>0</v>
      </c>
      <c r="G562" s="33" t="str">
        <f>Data!M560</f>
        <v>Exceso Velocidad 40 Km/h</v>
      </c>
      <c r="H562" s="41" t="str">
        <f>Data!P560</f>
        <v>ECOPETROL RUBIALES- Quifa - CAÑO SUR: Puerto Gaitan - Rubiales, Puerto Gaitán, Meta, Colombia</v>
      </c>
      <c r="I562" s="42" t="str">
        <f>Data!Q560</f>
        <v>Cliente, Vel Max 40 Km/h</v>
      </c>
      <c r="J562" s="43">
        <f>Data!S560</f>
        <v>46174.592073252315</v>
      </c>
      <c r="K562" s="44">
        <f>Data!S560</f>
        <v>46174.592073252315</v>
      </c>
      <c r="L562" s="45">
        <f>Data!T560</f>
        <v>2.2071759259259261E-5</v>
      </c>
      <c r="M562" s="46">
        <f>Data!U560</f>
        <v>2.1298743784427643E-2</v>
      </c>
      <c r="N562" s="46" t="str">
        <f>CONCATENATE(Data!W560," (",Data!V560,")")</f>
        <v>Exceso Velocidad 40 Km/h (Velocidad máxima: 41 kmh)</v>
      </c>
      <c r="O562" s="42" t="str">
        <f>IF(Data!V560&lt;&gt;"",N562,Data!W560)</f>
        <v>Exceso Velocidad 40 Km/h (Velocidad máxima: 41 kmh)</v>
      </c>
      <c r="P562" s="47" t="str">
        <f>Data!X560</f>
        <v>Válido</v>
      </c>
    </row>
    <row r="563" spans="1:16">
      <c r="A563" s="41" t="str">
        <f>Data!A561</f>
        <v>PKU249</v>
      </c>
      <c r="B563" s="41" t="str">
        <f>Data!D561</f>
        <v>Vehicle, Diesel, Frontera Energy Col 2679</v>
      </c>
      <c r="C563" s="41">
        <f>Data!F561</f>
        <v>0</v>
      </c>
      <c r="D563" s="41">
        <f>Data!G561</f>
        <v>0</v>
      </c>
      <c r="E563" s="41">
        <f>Data!H561</f>
        <v>0</v>
      </c>
      <c r="F563" s="41">
        <f>Data!K561</f>
        <v>0</v>
      </c>
      <c r="G563" s="33" t="str">
        <f>Data!M561</f>
        <v>Exceso Velocidad 10 Km/h</v>
      </c>
      <c r="H563" s="41" t="str">
        <f>Data!P561</f>
        <v>ECOPETROL RUBIALES- Quifa - CAÑO SUR, BATERIA 4: Rb 4 324 126 129 195 14 325 316 143 217 1 26 523 256 28, Meta, 502057, Colombia</v>
      </c>
      <c r="I563" s="42" t="str">
        <f>Data!Q561</f>
        <v>Cliente, Vel Max 40 Km/h, Vel Max 10 Km/h</v>
      </c>
      <c r="J563" s="43">
        <f>Data!S561</f>
        <v>46174.613790949072</v>
      </c>
      <c r="K563" s="44">
        <f>Data!S561</f>
        <v>46174.613790949072</v>
      </c>
      <c r="L563" s="45">
        <f>Data!T561</f>
        <v>1.5233796296296295E-4</v>
      </c>
      <c r="M563" s="46">
        <f>Data!U561</f>
        <v>4.3179839849472046E-2</v>
      </c>
      <c r="N563" s="46" t="str">
        <f>CONCATENATE(Data!W561," (",Data!V561,")")</f>
        <v>Exceso Velocidad 10 Km/h (Velocidad máxima: 11 kmh)</v>
      </c>
      <c r="O563" s="42" t="str">
        <f>IF(Data!V561&lt;&gt;"",N563,Data!W561)</f>
        <v>Exceso Velocidad 10 Km/h (Velocidad máxima: 11 kmh)</v>
      </c>
      <c r="P563" s="47" t="str">
        <f>Data!X561</f>
        <v>Válido</v>
      </c>
    </row>
    <row r="564" spans="1:16">
      <c r="A564" s="41" t="str">
        <f>Data!A562</f>
        <v>PKU249</v>
      </c>
      <c r="B564" s="41" t="str">
        <f>Data!D562</f>
        <v>Vehicle, Diesel, Frontera Energy Col 2679</v>
      </c>
      <c r="C564" s="41">
        <f>Data!F562</f>
        <v>0</v>
      </c>
      <c r="D564" s="41">
        <f>Data!G562</f>
        <v>0</v>
      </c>
      <c r="E564" s="41">
        <f>Data!H562</f>
        <v>0</v>
      </c>
      <c r="F564" s="41">
        <f>Data!K562</f>
        <v>0</v>
      </c>
      <c r="G564" s="33" t="str">
        <f>Data!M562</f>
        <v>Exceso Velocidad 10 Km/h</v>
      </c>
      <c r="H564" s="41" t="str">
        <f>Data!P562</f>
        <v>ECOPETROL RUBIALES- Quifa - CAÑO SUR, BATERIA 4: Rb 4 324 126 129 195 14 325 316 143 217 1 26 523 256 28, Puerto Gaitán, Meta, Colombia</v>
      </c>
      <c r="I564" s="42" t="str">
        <f>Data!Q562</f>
        <v>Cliente, Vel Max 40 Km/h, Vel Max 10 Km/h</v>
      </c>
      <c r="J564" s="43">
        <f>Data!S562</f>
        <v>46174.61394328704</v>
      </c>
      <c r="K564" s="44">
        <f>Data!S562</f>
        <v>46174.61394328704</v>
      </c>
      <c r="L564" s="45">
        <f>Data!T562</f>
        <v>8.0186342592592592E-4</v>
      </c>
      <c r="M564" s="46">
        <f>Data!U562</f>
        <v>0.25404554605484009</v>
      </c>
      <c r="N564" s="46" t="str">
        <f>CONCATENATE(Data!W562," (",Data!V562,")")</f>
        <v>Exceso Velocidad 10 Km/h (Velocidad máxima: 15 kmh)</v>
      </c>
      <c r="O564" s="42" t="str">
        <f>IF(Data!V562&lt;&gt;"",N564,Data!W562)</f>
        <v>Exceso Velocidad 10 Km/h (Velocidad máxima: 15 kmh)</v>
      </c>
      <c r="P564" s="47" t="str">
        <f>Data!X562</f>
        <v>Válido</v>
      </c>
    </row>
    <row r="565" spans="1:16">
      <c r="A565" s="41" t="str">
        <f>Data!A563</f>
        <v>PKU249</v>
      </c>
      <c r="B565" s="41" t="str">
        <f>Data!D563</f>
        <v>Vehicle, Diesel, Frontera Energy Col 2679</v>
      </c>
      <c r="C565" s="41">
        <f>Data!F563</f>
        <v>0</v>
      </c>
      <c r="D565" s="41">
        <f>Data!G563</f>
        <v>0</v>
      </c>
      <c r="E565" s="41">
        <f>Data!H563</f>
        <v>0</v>
      </c>
      <c r="F565" s="41">
        <f>Data!K563</f>
        <v>0</v>
      </c>
      <c r="G565" s="33" t="str">
        <f>Data!M563</f>
        <v>Exceso Velocidad 10 Km/h</v>
      </c>
      <c r="H565" s="41" t="str">
        <f>Data!P563</f>
        <v>ECOPETROL RUBIALES- Quifa - CAÑO SUR, BATERIA 4: Rb 4 324 126 129 195 14 325 316 143 217 1 26 523 256 28, Puerto Gaitán, Meta, Colombia</v>
      </c>
      <c r="I565" s="42" t="str">
        <f>Data!Q563</f>
        <v>Cliente, Vel Max 40 Km/h, Vel Max 10 Km/h</v>
      </c>
      <c r="J565" s="43">
        <f>Data!S563</f>
        <v>46174.614822905096</v>
      </c>
      <c r="K565" s="44">
        <f>Data!S563</f>
        <v>46174.614822905096</v>
      </c>
      <c r="L565" s="45">
        <f>Data!T563</f>
        <v>1.2726851851851853E-4</v>
      </c>
      <c r="M565" s="46">
        <f>Data!U563</f>
        <v>3.4463744610548019E-2</v>
      </c>
      <c r="N565" s="46" t="str">
        <f>CONCATENATE(Data!W563," (",Data!V563,")")</f>
        <v>Exceso Velocidad 10 Km/h (Velocidad máxima: 13 kmh)</v>
      </c>
      <c r="O565" s="42" t="str">
        <f>IF(Data!V563&lt;&gt;"",N565,Data!W563)</f>
        <v>Exceso Velocidad 10 Km/h (Velocidad máxima: 13 kmh)</v>
      </c>
      <c r="P565" s="47" t="str">
        <f>Data!X563</f>
        <v>Válido</v>
      </c>
    </row>
    <row r="566" spans="1:16">
      <c r="A566" s="41" t="str">
        <f>Data!A564</f>
        <v>PKU249</v>
      </c>
      <c r="B566" s="41" t="str">
        <f>Data!D564</f>
        <v>Vehicle, Diesel, Frontera Energy Col 2679</v>
      </c>
      <c r="C566" s="41">
        <f>Data!F564</f>
        <v>0</v>
      </c>
      <c r="D566" s="41">
        <f>Data!G564</f>
        <v>0</v>
      </c>
      <c r="E566" s="41">
        <f>Data!H564</f>
        <v>0</v>
      </c>
      <c r="F566" s="41">
        <f>Data!K564</f>
        <v>0</v>
      </c>
      <c r="G566" s="33" t="str">
        <f>Data!M564</f>
        <v>Exceso Velocidad 10 Km/h</v>
      </c>
      <c r="H566" s="41" t="str">
        <f>Data!P564</f>
        <v>ECOPETROL RUBIALES- Quifa - CAÑO SUR, BATERIA 4: Rb 4 324 126 129 195 14 325 316 143 217 1 26 523 256 28, Puerto Gaitán, Meta, Colombia</v>
      </c>
      <c r="I566" s="42" t="str">
        <f>Data!Q564</f>
        <v>Cliente, Vel Max 40 Km/h, Vel Max 10 Km/h</v>
      </c>
      <c r="J566" s="43">
        <f>Data!S564</f>
        <v>46174.615116886576</v>
      </c>
      <c r="K566" s="44">
        <f>Data!S564</f>
        <v>46174.615116886576</v>
      </c>
      <c r="L566" s="45">
        <f>Data!T564</f>
        <v>4.0046296296296298E-4</v>
      </c>
      <c r="M566" s="46">
        <f>Data!U564</f>
        <v>0.11368998140096664</v>
      </c>
      <c r="N566" s="46" t="str">
        <f>CONCATENATE(Data!W564," (",Data!V564,")")</f>
        <v>Exceso Velocidad 10 Km/h (Velocidad máxima: 13 kmh)</v>
      </c>
      <c r="O566" s="42" t="str">
        <f>IF(Data!V564&lt;&gt;"",N566,Data!W564)</f>
        <v>Exceso Velocidad 10 Km/h (Velocidad máxima: 13 kmh)</v>
      </c>
      <c r="P566" s="47" t="str">
        <f>Data!X564</f>
        <v>Válido</v>
      </c>
    </row>
    <row r="567" spans="1:16">
      <c r="A567" s="41" t="str">
        <f>Data!A565</f>
        <v>PKU249</v>
      </c>
      <c r="B567" s="41" t="str">
        <f>Data!D565</f>
        <v>Vehicle, Diesel, Frontera Energy Col 2679</v>
      </c>
      <c r="C567" s="41">
        <f>Data!F565</f>
        <v>0</v>
      </c>
      <c r="D567" s="41">
        <f>Data!G565</f>
        <v>0</v>
      </c>
      <c r="E567" s="41">
        <f>Data!H565</f>
        <v>0</v>
      </c>
      <c r="F567" s="41">
        <f>Data!K565</f>
        <v>0</v>
      </c>
      <c r="G567" s="33" t="str">
        <f>Data!M565</f>
        <v>Exceso Velocidad 10 Km/h</v>
      </c>
      <c r="H567" s="41" t="str">
        <f>Data!P565</f>
        <v>ECOPETROL RUBIALES- Quifa - CAÑO SUR, BATERIA 4: Rb 4 324 126 129 195 14 325 316 143 217 1 26 523 256 28, Puerto Gaitán, Meta, Colombia</v>
      </c>
      <c r="I567" s="42" t="str">
        <f>Data!Q565</f>
        <v>Cliente, Vel Max 40 Km/h, Vel Max 10 Km/h</v>
      </c>
      <c r="J567" s="43">
        <f>Data!S565</f>
        <v>46174.615517349535</v>
      </c>
      <c r="K567" s="44">
        <f>Data!S565</f>
        <v>46174.615517349535</v>
      </c>
      <c r="L567" s="45">
        <f>Data!T565</f>
        <v>1.9907407407407406E-4</v>
      </c>
      <c r="M567" s="46">
        <f>Data!U565</f>
        <v>6.1549656093120575E-2</v>
      </c>
      <c r="N567" s="46" t="str">
        <f>CONCATENATE(Data!W565," (",Data!V565,")")</f>
        <v>Exceso Velocidad 10 Km/h (Velocidad máxima: 13 kmh)</v>
      </c>
      <c r="O567" s="42" t="str">
        <f>IF(Data!V565&lt;&gt;"",N567,Data!W565)</f>
        <v>Exceso Velocidad 10 Km/h (Velocidad máxima: 13 kmh)</v>
      </c>
      <c r="P567" s="47" t="str">
        <f>Data!X565</f>
        <v>Válido</v>
      </c>
    </row>
    <row r="568" spans="1:16">
      <c r="A568" s="41" t="str">
        <f>Data!A566</f>
        <v>PKU249</v>
      </c>
      <c r="B568" s="41" t="str">
        <f>Data!D566</f>
        <v>Vehicle, Diesel, Frontera Energy Col 2679</v>
      </c>
      <c r="C568" s="41">
        <f>Data!F566</f>
        <v>0</v>
      </c>
      <c r="D568" s="41">
        <f>Data!G566</f>
        <v>0</v>
      </c>
      <c r="E568" s="41">
        <f>Data!H566</f>
        <v>0</v>
      </c>
      <c r="F568" s="41">
        <f>Data!K566</f>
        <v>0</v>
      </c>
      <c r="G568" s="33" t="str">
        <f>Data!M566</f>
        <v>Exceso Velocidad 10 Km/h</v>
      </c>
      <c r="H568" s="41" t="str">
        <f>Data!P566</f>
        <v>ECOPETROL RUBIALES- Quifa - CAÑO SUR, BATERIA 4: Rb 4, Puerto Gaitán, Meta, Colombia</v>
      </c>
      <c r="I568" s="42" t="str">
        <f>Data!Q566</f>
        <v>Cliente, Vel Max 40 Km/h, Vel Max 10 Km/h</v>
      </c>
      <c r="J568" s="43">
        <f>Data!S566</f>
        <v>46174.61608216435</v>
      </c>
      <c r="K568" s="44">
        <f>Data!S566</f>
        <v>46174.61608216435</v>
      </c>
      <c r="L568" s="45">
        <f>Data!T566</f>
        <v>4.8843750000000005E-4</v>
      </c>
      <c r="M568" s="46">
        <f>Data!U566</f>
        <v>0.15262296795845032</v>
      </c>
      <c r="N568" s="46" t="str">
        <f>CONCATENATE(Data!W566," (",Data!V566,")")</f>
        <v>Exceso Velocidad 10 Km/h (Velocidad máxima: 15 kmh)</v>
      </c>
      <c r="O568" s="42" t="str">
        <f>IF(Data!V566&lt;&gt;"",N568,Data!W566)</f>
        <v>Exceso Velocidad 10 Km/h (Velocidad máxima: 15 kmh)</v>
      </c>
      <c r="P568" s="47" t="str">
        <f>Data!X566</f>
        <v>Válido</v>
      </c>
    </row>
    <row r="569" spans="1:16">
      <c r="A569" s="41" t="str">
        <f>Data!A567</f>
        <v>PKU249</v>
      </c>
      <c r="B569" s="41" t="str">
        <f>Data!D567</f>
        <v>Vehicle, Diesel, Frontera Energy Col 2679</v>
      </c>
      <c r="C569" s="41">
        <f>Data!F567</f>
        <v>0</v>
      </c>
      <c r="D569" s="41">
        <f>Data!G567</f>
        <v>0</v>
      </c>
      <c r="E569" s="41">
        <f>Data!H567</f>
        <v>0</v>
      </c>
      <c r="F569" s="41">
        <f>Data!K567</f>
        <v>0</v>
      </c>
      <c r="G569" s="33" t="str">
        <f>Data!M567</f>
        <v>Exceso Velocidad 10 Km/h</v>
      </c>
      <c r="H569" s="41" t="str">
        <f>Data!P567</f>
        <v>ECOPETROL RUBIALES- Quifa - CAÑO SUR, BATERIA 4: Rb 4, Puerto Gaitán, Meta, Colombia</v>
      </c>
      <c r="I569" s="42" t="str">
        <f>Data!Q567</f>
        <v>Cliente, Vel Max 40 Km/h, Vel Max 10 Km/h</v>
      </c>
      <c r="J569" s="43">
        <f>Data!S567</f>
        <v>46174.616570601851</v>
      </c>
      <c r="K569" s="44">
        <f>Data!S567</f>
        <v>46174.616570601851</v>
      </c>
      <c r="L569" s="45">
        <f>Data!T567</f>
        <v>9.1434027777777781E-4</v>
      </c>
      <c r="M569" s="46">
        <f>Data!U567</f>
        <v>0.26514816284179688</v>
      </c>
      <c r="N569" s="46" t="str">
        <f>CONCATENATE(Data!W567," (",Data!V567,")")</f>
        <v>Exceso Velocidad 10 Km/h (Velocidad máxima: 14 kmh)</v>
      </c>
      <c r="O569" s="42" t="str">
        <f>IF(Data!V567&lt;&gt;"",N569,Data!W567)</f>
        <v>Exceso Velocidad 10 Km/h (Velocidad máxima: 14 kmh)</v>
      </c>
      <c r="P569" s="47" t="str">
        <f>Data!X567</f>
        <v>Válido</v>
      </c>
    </row>
    <row r="570" spans="1:16">
      <c r="A570" s="41" t="str">
        <f>Data!A568</f>
        <v>PKU249</v>
      </c>
      <c r="B570" s="41" t="str">
        <f>Data!D568</f>
        <v>Vehicle, Diesel, Frontera Energy Col 2679</v>
      </c>
      <c r="C570" s="41">
        <f>Data!F568</f>
        <v>0</v>
      </c>
      <c r="D570" s="41">
        <f>Data!G568</f>
        <v>0</v>
      </c>
      <c r="E570" s="41">
        <f>Data!H568</f>
        <v>0</v>
      </c>
      <c r="F570" s="41">
        <f>Data!K568</f>
        <v>0</v>
      </c>
      <c r="G570" s="33" t="str">
        <f>Data!M568</f>
        <v>Exceso Velocidad 10 Km/h</v>
      </c>
      <c r="H570" s="41" t="str">
        <f>Data!P568</f>
        <v>ECOPETROL RUBIALES- Quifa - CAÑO SUR, BATERIA 4: Rb 4, Puerto Gaitán, Meta, Colombia</v>
      </c>
      <c r="I570" s="42" t="str">
        <f>Data!Q568</f>
        <v>Cliente, Vel Max 40 Km/h, Vel Max 10 Km/h</v>
      </c>
      <c r="J570" s="43">
        <f>Data!S568</f>
        <v>46174.617565960645</v>
      </c>
      <c r="K570" s="44">
        <f>Data!S568</f>
        <v>46174.617565960645</v>
      </c>
      <c r="L570" s="45">
        <f>Data!T568</f>
        <v>1.8518518518518518E-4</v>
      </c>
      <c r="M570" s="46">
        <f>Data!U568</f>
        <v>4.9337048083543777E-2</v>
      </c>
      <c r="N570" s="46" t="str">
        <f>CONCATENATE(Data!W568," (",Data!V568,")")</f>
        <v>Exceso Velocidad 10 Km/h (Velocidad máxima: 12 kmh)</v>
      </c>
      <c r="O570" s="42" t="str">
        <f>IF(Data!V568&lt;&gt;"",N570,Data!W568)</f>
        <v>Exceso Velocidad 10 Km/h (Velocidad máxima: 12 kmh)</v>
      </c>
      <c r="P570" s="47" t="str">
        <f>Data!X568</f>
        <v>Válido</v>
      </c>
    </row>
    <row r="571" spans="1:16">
      <c r="A571" s="41" t="str">
        <f>Data!A569</f>
        <v>PKU249</v>
      </c>
      <c r="B571" s="41" t="str">
        <f>Data!D569</f>
        <v>Vehicle, Diesel, Frontera Energy Col 2679</v>
      </c>
      <c r="C571" s="41">
        <f>Data!F569</f>
        <v>0</v>
      </c>
      <c r="D571" s="41">
        <f>Data!G569</f>
        <v>0</v>
      </c>
      <c r="E571" s="41">
        <f>Data!H569</f>
        <v>0</v>
      </c>
      <c r="F571" s="41">
        <f>Data!K569</f>
        <v>0</v>
      </c>
      <c r="G571" s="33" t="str">
        <f>Data!M569</f>
        <v>Tiempo en ralentí</v>
      </c>
      <c r="H571" s="41" t="str">
        <f>Data!P569</f>
        <v>ECOPETROL RUBIALES- Quifa - CAÑO SUR, BATERIA 4: Rb 4, Puerto Gaitán, Meta, Colombia</v>
      </c>
      <c r="I571" s="42" t="str">
        <f>Data!Q569</f>
        <v>Cliente, Vel Max 40 Km/h, Vel Max 10 Km/h</v>
      </c>
      <c r="J571" s="43">
        <f>Data!S569</f>
        <v>46174.619383090278</v>
      </c>
      <c r="K571" s="44">
        <f>Data!S569</f>
        <v>46174.619383090278</v>
      </c>
      <c r="L571" s="45">
        <f>Data!T569</f>
        <v>7.789351851851852E-3</v>
      </c>
      <c r="M571" s="46">
        <f>Data!U569</f>
        <v>1.5888718888163567E-2</v>
      </c>
      <c r="N571" s="46" t="str">
        <f>CONCATENATE(Data!W569," (",Data!V569,")")</f>
        <v>Tiempo en ralentí (Ignición: 1.00)</v>
      </c>
      <c r="O571" s="42" t="str">
        <f>IF(Data!V569&lt;&gt;"",N571,Data!W569)</f>
        <v>Tiempo en ralentí (Ignición: 1.00)</v>
      </c>
      <c r="P571" s="47" t="str">
        <f>Data!X569</f>
        <v>Válido</v>
      </c>
    </row>
    <row r="572" spans="1:16">
      <c r="A572" s="41" t="str">
        <f>Data!A570</f>
        <v>PKU249</v>
      </c>
      <c r="B572" s="41" t="str">
        <f>Data!D570</f>
        <v>Vehicle, Diesel, Frontera Energy Col 2679</v>
      </c>
      <c r="C572" s="41">
        <f>Data!F570</f>
        <v>0</v>
      </c>
      <c r="D572" s="41">
        <f>Data!G570</f>
        <v>0</v>
      </c>
      <c r="E572" s="41">
        <f>Data!H570</f>
        <v>0</v>
      </c>
      <c r="F572" s="41">
        <f>Data!K570</f>
        <v>0</v>
      </c>
      <c r="G572" s="33" t="str">
        <f>Data!M570</f>
        <v>Exceso Velocidad 10 Km/h</v>
      </c>
      <c r="H572" s="41" t="str">
        <f>Data!P570</f>
        <v>ECOPETROL RUBIALES- Quifa - CAÑO SUR, BATERIA 4: Rb 4, Puerto Gaitán, Meta, Colombia</v>
      </c>
      <c r="I572" s="42" t="str">
        <f>Data!Q570</f>
        <v>Cliente, Vel Max 40 Km/h, Vel Max 10 Km/h</v>
      </c>
      <c r="J572" s="43">
        <f>Data!S570</f>
        <v>46174.628692662038</v>
      </c>
      <c r="K572" s="44">
        <f>Data!S570</f>
        <v>46174.628692662038</v>
      </c>
      <c r="L572" s="45">
        <f>Data!T570</f>
        <v>1.1188657407407408E-4</v>
      </c>
      <c r="M572" s="46">
        <f>Data!U570</f>
        <v>2.663254551589489E-2</v>
      </c>
      <c r="N572" s="46" t="str">
        <f>CONCATENATE(Data!W570," (",Data!V570,")")</f>
        <v>Exceso Velocidad 10 Km/h (Velocidad máxima: 11 kmh)</v>
      </c>
      <c r="O572" s="42" t="str">
        <f>IF(Data!V570&lt;&gt;"",N572,Data!W570)</f>
        <v>Exceso Velocidad 10 Km/h (Velocidad máxima: 11 kmh)</v>
      </c>
      <c r="P572" s="47" t="str">
        <f>Data!X570</f>
        <v>Válido</v>
      </c>
    </row>
    <row r="573" spans="1:16">
      <c r="A573" s="41" t="str">
        <f>Data!A571</f>
        <v>PKU249</v>
      </c>
      <c r="B573" s="41" t="str">
        <f>Data!D571</f>
        <v>Vehicle, Diesel, Frontera Energy Col 2679</v>
      </c>
      <c r="C573" s="41">
        <f>Data!F571</f>
        <v>0</v>
      </c>
      <c r="D573" s="41">
        <f>Data!G571</f>
        <v>0</v>
      </c>
      <c r="E573" s="41">
        <f>Data!H571</f>
        <v>0</v>
      </c>
      <c r="F573" s="41">
        <f>Data!K571</f>
        <v>0</v>
      </c>
      <c r="G573" s="33" t="str">
        <f>Data!M571</f>
        <v>Exceso Velocidad 10 Km/h</v>
      </c>
      <c r="H573" s="41" t="str">
        <f>Data!P571</f>
        <v>ECOPETROL RUBIALES- Quifa - CAÑO SUR, BATERIA 4: Vía Sin Nombre, Puerto Gaitán, Meta, Colombia</v>
      </c>
      <c r="I573" s="42" t="str">
        <f>Data!Q571</f>
        <v>Cliente, Vel Max 40 Km/h, Vel Max 10 Km/h</v>
      </c>
      <c r="J573" s="43">
        <f>Data!S571</f>
        <v>46174.62898050926</v>
      </c>
      <c r="K573" s="44">
        <f>Data!S571</f>
        <v>46174.62898050926</v>
      </c>
      <c r="L573" s="45">
        <f>Data!T571</f>
        <v>1.479513888888889E-4</v>
      </c>
      <c r="M573" s="46">
        <f>Data!U571</f>
        <v>4.175235703587532E-2</v>
      </c>
      <c r="N573" s="46" t="str">
        <f>CONCATENATE(Data!W571," (",Data!V571,")")</f>
        <v>Exceso Velocidad 10 Km/h (Velocidad máxima: 13 kmh)</v>
      </c>
      <c r="O573" s="42" t="str">
        <f>IF(Data!V571&lt;&gt;"",N573,Data!W571)</f>
        <v>Exceso Velocidad 10 Km/h (Velocidad máxima: 13 kmh)</v>
      </c>
      <c r="P573" s="47" t="str">
        <f>Data!X571</f>
        <v>Válido</v>
      </c>
    </row>
    <row r="574" spans="1:16">
      <c r="A574" s="41" t="str">
        <f>Data!A572</f>
        <v>PKU249</v>
      </c>
      <c r="B574" s="41" t="str">
        <f>Data!D572</f>
        <v>Vehicle, Diesel, Frontera Energy Col 2679</v>
      </c>
      <c r="C574" s="41">
        <f>Data!F572</f>
        <v>0</v>
      </c>
      <c r="D574" s="41">
        <f>Data!G572</f>
        <v>0</v>
      </c>
      <c r="E574" s="41">
        <f>Data!H572</f>
        <v>0</v>
      </c>
      <c r="F574" s="41">
        <f>Data!K572</f>
        <v>0</v>
      </c>
      <c r="G574" s="33" t="str">
        <f>Data!M572</f>
        <v>Exceso Velocidad 10 Km/h</v>
      </c>
      <c r="H574" s="41" t="str">
        <f>Data!P572</f>
        <v>ECOPETROL RUBIALES- Quifa - CAÑO SUR, BATERIA 4: Rb 4, Puerto Gaitán, Meta, Colombia</v>
      </c>
      <c r="I574" s="42" t="str">
        <f>Data!Q572</f>
        <v>Cliente, Vel Max 40 Km/h, Vel Max 10 Km/h</v>
      </c>
      <c r="J574" s="43">
        <f>Data!S572</f>
        <v>46174.629128460649</v>
      </c>
      <c r="K574" s="44">
        <f>Data!S572</f>
        <v>46174.629128460649</v>
      </c>
      <c r="L574" s="45">
        <f>Data!T572</f>
        <v>6.0197916666666668E-4</v>
      </c>
      <c r="M574" s="46">
        <f>Data!U572</f>
        <v>0.17989502847194672</v>
      </c>
      <c r="N574" s="46" t="str">
        <f>CONCATENATE(Data!W572," (",Data!V572,")")</f>
        <v>Exceso Velocidad 10 Km/h (Velocidad máxima: 12 kmh)</v>
      </c>
      <c r="O574" s="42" t="str">
        <f>IF(Data!V572&lt;&gt;"",N574,Data!W572)</f>
        <v>Exceso Velocidad 10 Km/h (Velocidad máxima: 12 kmh)</v>
      </c>
      <c r="P574" s="47" t="str">
        <f>Data!X572</f>
        <v>Válido</v>
      </c>
    </row>
    <row r="575" spans="1:16">
      <c r="A575" s="41" t="str">
        <f>Data!A573</f>
        <v>PKU249</v>
      </c>
      <c r="B575" s="41" t="str">
        <f>Data!D573</f>
        <v>Vehicle, Diesel, Frontera Energy Col 2679</v>
      </c>
      <c r="C575" s="41">
        <f>Data!F573</f>
        <v>0</v>
      </c>
      <c r="D575" s="41">
        <f>Data!G573</f>
        <v>0</v>
      </c>
      <c r="E575" s="41">
        <f>Data!H573</f>
        <v>0</v>
      </c>
      <c r="F575" s="41">
        <f>Data!K573</f>
        <v>0</v>
      </c>
      <c r="G575" s="33" t="str">
        <f>Data!M573</f>
        <v>Exceso Velocidad 10 Km/h</v>
      </c>
      <c r="H575" s="41" t="str">
        <f>Data!P573</f>
        <v>ECOPETROL RUBIALES- Quifa - CAÑO SUR, BATERIA 4: Rb 4 324 126 129 195 14 325 316 143 217 1 26 523 256 28, Meta, 502057, Colombia</v>
      </c>
      <c r="I575" s="42" t="str">
        <f>Data!Q573</f>
        <v>Cliente, Vel Max 40 Km/h, Vel Max 10 Km/h</v>
      </c>
      <c r="J575" s="43">
        <f>Data!S573</f>
        <v>46174.629865358795</v>
      </c>
      <c r="K575" s="44">
        <f>Data!S573</f>
        <v>46174.629865358795</v>
      </c>
      <c r="L575" s="45">
        <f>Data!T573</f>
        <v>9.4131944444444441E-5</v>
      </c>
      <c r="M575" s="46">
        <f>Data!U573</f>
        <v>2.3920470848679543E-2</v>
      </c>
      <c r="N575" s="46" t="str">
        <f>CONCATENATE(Data!W573," (",Data!V573,")")</f>
        <v>Exceso Velocidad 10 Km/h (Velocidad máxima: 12 kmh)</v>
      </c>
      <c r="O575" s="42" t="str">
        <f>IF(Data!V573&lt;&gt;"",N575,Data!W573)</f>
        <v>Exceso Velocidad 10 Km/h (Velocidad máxima: 12 kmh)</v>
      </c>
      <c r="P575" s="47" t="str">
        <f>Data!X573</f>
        <v>Válido</v>
      </c>
    </row>
    <row r="576" spans="1:16">
      <c r="A576" s="41" t="str">
        <f>Data!A574</f>
        <v>PKU249</v>
      </c>
      <c r="B576" s="41" t="str">
        <f>Data!D574</f>
        <v>Vehicle, Diesel, Frontera Energy Col 2679</v>
      </c>
      <c r="C576" s="41">
        <f>Data!F574</f>
        <v>0</v>
      </c>
      <c r="D576" s="41">
        <f>Data!G574</f>
        <v>0</v>
      </c>
      <c r="E576" s="41">
        <f>Data!H574</f>
        <v>0</v>
      </c>
      <c r="F576" s="41">
        <f>Data!K574</f>
        <v>0</v>
      </c>
      <c r="G576" s="33" t="str">
        <f>Data!M574</f>
        <v>Exceso Velocidad 10 Km/h</v>
      </c>
      <c r="H576" s="41" t="str">
        <f>Data!P574</f>
        <v>ECOPETROL RUBIALES- Quifa - CAÑO SUR, BATERIA 4: Rb 4 324 126 129 195 14 325 316 143 217 1 26 523 256 28, Puerto Gaitán, Meta, Colombia</v>
      </c>
      <c r="I576" s="42" t="str">
        <f>Data!Q574</f>
        <v>Cliente, Vel Max 40 Km/h, Vel Max 10 Km/h</v>
      </c>
      <c r="J576" s="43">
        <f>Data!S574</f>
        <v>46174.630719953704</v>
      </c>
      <c r="K576" s="44">
        <f>Data!S574</f>
        <v>46174.630719953704</v>
      </c>
      <c r="L576" s="45">
        <f>Data!T574</f>
        <v>2.9739583333333332E-4</v>
      </c>
      <c r="M576" s="46">
        <f>Data!U574</f>
        <v>8.1958010792732239E-2</v>
      </c>
      <c r="N576" s="46" t="str">
        <f>CONCATENATE(Data!W574," (",Data!V574,")")</f>
        <v>Exceso Velocidad 10 Km/h (Velocidad máxima: 13 kmh)</v>
      </c>
      <c r="O576" s="42" t="str">
        <f>IF(Data!V574&lt;&gt;"",N576,Data!W574)</f>
        <v>Exceso Velocidad 10 Km/h (Velocidad máxima: 13 kmh)</v>
      </c>
      <c r="P576" s="47" t="str">
        <f>Data!X574</f>
        <v>Válido</v>
      </c>
    </row>
    <row r="577" spans="1:16">
      <c r="A577" s="41" t="str">
        <f>Data!A575</f>
        <v>PKU249</v>
      </c>
      <c r="B577" s="41" t="str">
        <f>Data!D575</f>
        <v>Vehicle, Diesel, Frontera Energy Col 2679</v>
      </c>
      <c r="C577" s="41">
        <f>Data!F575</f>
        <v>0</v>
      </c>
      <c r="D577" s="41">
        <f>Data!G575</f>
        <v>0</v>
      </c>
      <c r="E577" s="41">
        <f>Data!H575</f>
        <v>0</v>
      </c>
      <c r="F577" s="41">
        <f>Data!K575</f>
        <v>0</v>
      </c>
      <c r="G577" s="33" t="str">
        <f>Data!M575</f>
        <v>Exceso Velocidad 10 Km/h</v>
      </c>
      <c r="H577" s="41" t="str">
        <f>Data!P575</f>
        <v>ECOPETROL RUBIALES- Quifa - CAÑO SUR, BATERIA 4: Rb 4 324 126 129 195 14 325 316 143 217 1 26 523 256 28, Puerto Gaitán, Meta, Colombia</v>
      </c>
      <c r="I577" s="42" t="str">
        <f>Data!Q575</f>
        <v>Cliente, Vel Max 40 Km/h, Vel Max 10 Km/h</v>
      </c>
      <c r="J577" s="43">
        <f>Data!S575</f>
        <v>46174.631072905089</v>
      </c>
      <c r="K577" s="44">
        <f>Data!S575</f>
        <v>46174.631072905089</v>
      </c>
      <c r="L577" s="45">
        <f>Data!T575</f>
        <v>9.8165509259259256E-4</v>
      </c>
      <c r="M577" s="46">
        <f>Data!U575</f>
        <v>0.30722028017044067</v>
      </c>
      <c r="N577" s="46" t="str">
        <f>CONCATENATE(Data!W575," (",Data!V575,")")</f>
        <v>Exceso Velocidad 10 Km/h (Velocidad máxima: 14 kmh)</v>
      </c>
      <c r="O577" s="42" t="str">
        <f>IF(Data!V575&lt;&gt;"",N577,Data!W575)</f>
        <v>Exceso Velocidad 10 Km/h (Velocidad máxima: 14 kmh)</v>
      </c>
      <c r="P577" s="47" t="str">
        <f>Data!X575</f>
        <v>Válido</v>
      </c>
    </row>
    <row r="578" spans="1:16">
      <c r="A578" s="41" t="str">
        <f>Data!A576</f>
        <v>PKU249</v>
      </c>
      <c r="B578" s="41" t="str">
        <f>Data!D576</f>
        <v>Vehicle, Diesel, Frontera Energy Col 2679</v>
      </c>
      <c r="C578" s="41">
        <f>Data!F576</f>
        <v>0</v>
      </c>
      <c r="D578" s="41">
        <f>Data!G576</f>
        <v>0</v>
      </c>
      <c r="E578" s="41">
        <f>Data!H576</f>
        <v>0</v>
      </c>
      <c r="F578" s="41">
        <f>Data!K576</f>
        <v>0</v>
      </c>
      <c r="G578" s="33" t="str">
        <f>Data!M576</f>
        <v>Exceso Velocidad 40 Km/h</v>
      </c>
      <c r="H578" s="41" t="str">
        <f>Data!P576</f>
        <v>ECOPETROL RUBIALES- Quifa - CAÑO SUR: Rb 320 4 324 126 129 195 14 325 316 143 217 1 26 523 256 28, Puerto Gaitán, Meta, Colombia</v>
      </c>
      <c r="I578" s="42" t="str">
        <f>Data!Q576</f>
        <v>Cliente, Vel Max 40 Km/h</v>
      </c>
      <c r="J578" s="43">
        <f>Data!S576</f>
        <v>46174.634689155093</v>
      </c>
      <c r="K578" s="44">
        <f>Data!S576</f>
        <v>46174.634689155093</v>
      </c>
      <c r="L578" s="45">
        <f>Data!T576</f>
        <v>1.2222222222222222E-5</v>
      </c>
      <c r="M578" s="46">
        <f>Data!U576</f>
        <v>1.1403921991586685E-2</v>
      </c>
      <c r="N578" s="46" t="str">
        <f>CONCATENATE(Data!W576," (",Data!V576,")")</f>
        <v>Exceso Velocidad 40 Km/h (Velocidad máxima: 41 kmh)</v>
      </c>
      <c r="O578" s="42" t="str">
        <f>IF(Data!V576&lt;&gt;"",N578,Data!W576)</f>
        <v>Exceso Velocidad 40 Km/h (Velocidad máxima: 41 kmh)</v>
      </c>
      <c r="P578" s="47" t="str">
        <f>Data!X576</f>
        <v>Válido</v>
      </c>
    </row>
    <row r="579" spans="1:16">
      <c r="A579" s="41" t="str">
        <f>Data!A577</f>
        <v>PKU249</v>
      </c>
      <c r="B579" s="41" t="str">
        <f>Data!D577</f>
        <v>Vehicle, Diesel, Frontera Energy Col 2679</v>
      </c>
      <c r="C579" s="41">
        <f>Data!F577</f>
        <v>0</v>
      </c>
      <c r="D579" s="41">
        <f>Data!G577</f>
        <v>0</v>
      </c>
      <c r="E579" s="41">
        <f>Data!H577</f>
        <v>0</v>
      </c>
      <c r="F579" s="41">
        <f>Data!K577</f>
        <v>0</v>
      </c>
      <c r="G579" s="33" t="str">
        <f>Data!M577</f>
        <v>Exceso Velocidad 40 Km/h</v>
      </c>
      <c r="H579" s="41" t="str">
        <f>Data!P577</f>
        <v>ECOPETROL RUBIALES- Quifa - CAÑO SUR: Rb 320 4 324 126 129 195 14 325 316 143 217 1 26 523 256 28, Puerto Gaitán, Meta, Colombia</v>
      </c>
      <c r="I579" s="42" t="str">
        <f>Data!Q577</f>
        <v>Cliente, Vel Max 40 Km/h</v>
      </c>
      <c r="J579" s="43">
        <f>Data!S577</f>
        <v>46174.635096053244</v>
      </c>
      <c r="K579" s="44">
        <f>Data!S577</f>
        <v>46174.635096053244</v>
      </c>
      <c r="L579" s="45">
        <f>Data!T577</f>
        <v>1.3581018518518518E-4</v>
      </c>
      <c r="M579" s="46">
        <f>Data!U577</f>
        <v>0.12963134050369263</v>
      </c>
      <c r="N579" s="46" t="str">
        <f>CONCATENATE(Data!W577," (",Data!V577,")")</f>
        <v>Exceso Velocidad 40 Km/h (Velocidad máxima: 42 kmh)</v>
      </c>
      <c r="O579" s="42" t="str">
        <f>IF(Data!V577&lt;&gt;"",N579,Data!W577)</f>
        <v>Exceso Velocidad 40 Km/h (Velocidad máxima: 42 kmh)</v>
      </c>
      <c r="P579" s="47" t="str">
        <f>Data!X577</f>
        <v>Válido</v>
      </c>
    </row>
    <row r="580" spans="1:16">
      <c r="A580" s="41" t="str">
        <f>Data!A578</f>
        <v>PKU249</v>
      </c>
      <c r="B580" s="41" t="str">
        <f>Data!D578</f>
        <v>Vehicle, Diesel, Frontera Energy Col 2679</v>
      </c>
      <c r="C580" s="41">
        <f>Data!F578</f>
        <v>0</v>
      </c>
      <c r="D580" s="41">
        <f>Data!G578</f>
        <v>0</v>
      </c>
      <c r="E580" s="41">
        <f>Data!H578</f>
        <v>0</v>
      </c>
      <c r="F580" s="41">
        <f>Data!K578</f>
        <v>0</v>
      </c>
      <c r="G580" s="33" t="str">
        <f>Data!M578</f>
        <v>Exceso Velocidad 40 Km/h</v>
      </c>
      <c r="H580" s="41" t="str">
        <f>Data!P578</f>
        <v>ECOPETROL RUBIALES- Quifa - CAÑO SUR: Rb 280 320 4 324 126 129 195 14 325 316 143 217 1 26 523 256 28, Puerto Gaitán, Meta, Colombia</v>
      </c>
      <c r="I580" s="42" t="str">
        <f>Data!Q578</f>
        <v>Cliente, Vel Max 40 Km/h</v>
      </c>
      <c r="J580" s="43">
        <f>Data!S578</f>
        <v>46174.636103773148</v>
      </c>
      <c r="K580" s="44">
        <f>Data!S578</f>
        <v>46174.636103773148</v>
      </c>
      <c r="L580" s="45">
        <f>Data!T578</f>
        <v>5.710648148148148E-5</v>
      </c>
      <c r="M580" s="46">
        <f>Data!U578</f>
        <v>5.5746335536241531E-2</v>
      </c>
      <c r="N580" s="46" t="str">
        <f>CONCATENATE(Data!W578," (",Data!V578,")")</f>
        <v>Exceso Velocidad 40 Km/h (Velocidad máxima: 46 kmh)</v>
      </c>
      <c r="O580" s="42" t="str">
        <f>IF(Data!V578&lt;&gt;"",N580,Data!W578)</f>
        <v>Exceso Velocidad 40 Km/h (Velocidad máxima: 46 kmh)</v>
      </c>
      <c r="P580" s="47" t="str">
        <f>Data!X578</f>
        <v>Válido</v>
      </c>
    </row>
    <row r="581" spans="1:16">
      <c r="A581" s="41" t="str">
        <f>Data!A579</f>
        <v>PKU249</v>
      </c>
      <c r="B581" s="41" t="str">
        <f>Data!D579</f>
        <v>Vehicle, Diesel, Frontera Energy Col 2679</v>
      </c>
      <c r="C581" s="41">
        <f>Data!F579</f>
        <v>0</v>
      </c>
      <c r="D581" s="41">
        <f>Data!G579</f>
        <v>0</v>
      </c>
      <c r="E581" s="41">
        <f>Data!H579</f>
        <v>0</v>
      </c>
      <c r="F581" s="41">
        <f>Data!K579</f>
        <v>0</v>
      </c>
      <c r="G581" s="33" t="str">
        <f>Data!M579</f>
        <v>Exceso Velocidad 40 Km/h</v>
      </c>
      <c r="H581" s="41" t="str">
        <f>Data!P579</f>
        <v>ECOPETROL RUBIALES- Quifa - CAÑO SUR: Puerto Gaitan - Rubiales, Puerto Gaitán, Meta, Colombia</v>
      </c>
      <c r="I581" s="42" t="str">
        <f>Data!Q579</f>
        <v>Cliente, Vel Max 40 Km/h</v>
      </c>
      <c r="J581" s="43">
        <f>Data!S579</f>
        <v>46174.639664027774</v>
      </c>
      <c r="K581" s="44">
        <f>Data!S579</f>
        <v>46174.639664027774</v>
      </c>
      <c r="L581" s="45">
        <f>Data!T579</f>
        <v>7.7858796296296302E-5</v>
      </c>
      <c r="M581" s="46">
        <f>Data!U579</f>
        <v>7.7265083789825439E-2</v>
      </c>
      <c r="N581" s="46" t="str">
        <f>CONCATENATE(Data!W579," (",Data!V579,")")</f>
        <v>Exceso Velocidad 40 Km/h (Velocidad máxima: 42 kmh)</v>
      </c>
      <c r="O581" s="42" t="str">
        <f>IF(Data!V579&lt;&gt;"",N581,Data!W579)</f>
        <v>Exceso Velocidad 40 Km/h (Velocidad máxima: 42 kmh)</v>
      </c>
      <c r="P581" s="47" t="str">
        <f>Data!X579</f>
        <v>Válido</v>
      </c>
    </row>
    <row r="582" spans="1:16">
      <c r="A582" s="41" t="str">
        <f>Data!A580</f>
        <v>PKU249</v>
      </c>
      <c r="B582" s="41" t="str">
        <f>Data!D580</f>
        <v>Vehicle, Diesel, Frontera Energy Col 2679</v>
      </c>
      <c r="C582" s="41">
        <f>Data!F580</f>
        <v>0</v>
      </c>
      <c r="D582" s="41">
        <f>Data!G580</f>
        <v>0</v>
      </c>
      <c r="E582" s="41">
        <f>Data!H580</f>
        <v>0</v>
      </c>
      <c r="F582" s="41">
        <f>Data!K580</f>
        <v>0</v>
      </c>
      <c r="G582" s="33" t="str">
        <f>Data!M580</f>
        <v>Exceso Velocidad 40 Km/h</v>
      </c>
      <c r="H582" s="41" t="str">
        <f>Data!P580</f>
        <v>ECOPETROL RUBIALES- Quifa - CAÑO SUR: Puerto Gaitan - Rubiales, Puerto Gaitán, Meta, Colombia</v>
      </c>
      <c r="I582" s="42" t="str">
        <f>Data!Q580</f>
        <v>Cliente, Vel Max 40 Km/h</v>
      </c>
      <c r="J582" s="43">
        <f>Data!S580</f>
        <v>46174.640578530096</v>
      </c>
      <c r="K582" s="44">
        <f>Data!S580</f>
        <v>46174.640578530096</v>
      </c>
      <c r="L582" s="45">
        <f>Data!T580</f>
        <v>1.2604166666666667E-5</v>
      </c>
      <c r="M582" s="46">
        <f>Data!U580</f>
        <v>1.1527338065207005E-2</v>
      </c>
      <c r="N582" s="46" t="str">
        <f>CONCATENATE(Data!W580," (",Data!V580,")")</f>
        <v>Exceso Velocidad 40 Km/h (Velocidad máxima: 41 kmh)</v>
      </c>
      <c r="O582" s="42" t="str">
        <f>IF(Data!V580&lt;&gt;"",N582,Data!W580)</f>
        <v>Exceso Velocidad 40 Km/h (Velocidad máxima: 41 kmh)</v>
      </c>
      <c r="P582" s="47" t="str">
        <f>Data!X580</f>
        <v>Válido</v>
      </c>
    </row>
    <row r="583" spans="1:16">
      <c r="A583" s="41" t="str">
        <f>Data!A581</f>
        <v>PKU249</v>
      </c>
      <c r="B583" s="41" t="str">
        <f>Data!D581</f>
        <v>Vehicle, Diesel, Frontera Energy Col 2679</v>
      </c>
      <c r="C583" s="41">
        <f>Data!F581</f>
        <v>0</v>
      </c>
      <c r="D583" s="41">
        <f>Data!G581</f>
        <v>0</v>
      </c>
      <c r="E583" s="41">
        <f>Data!H581</f>
        <v>0</v>
      </c>
      <c r="F583" s="41">
        <f>Data!K581</f>
        <v>0</v>
      </c>
      <c r="G583" s="33" t="str">
        <f>Data!M581</f>
        <v>Giro brusco</v>
      </c>
      <c r="H583" s="41" t="str">
        <f>Data!P581</f>
        <v>ECOPETROL RUBIALES- Quifa - CAÑO SUR: Puerto Gaitan - Rubiales, Puerto Gaitán, Meta, Colombia</v>
      </c>
      <c r="I583" s="42" t="str">
        <f>Data!Q581</f>
        <v>Cliente, Vel Max 40 Km/h</v>
      </c>
      <c r="J583" s="43">
        <f>Data!S581</f>
        <v>46174.640700358796</v>
      </c>
      <c r="K583" s="44">
        <f>Data!S581</f>
        <v>46174.640700358796</v>
      </c>
      <c r="L583" s="45">
        <f>Data!T581</f>
        <v>1.7361111111111112E-7</v>
      </c>
      <c r="M583" s="46">
        <f>Data!U581</f>
        <v>8.8062835857272148E-5</v>
      </c>
      <c r="N583" s="46" t="str">
        <f>CONCATENATE(Data!W581," (",Data!V581,")")</f>
        <v>Giro brusco (Velocidad máxima: 12 kmh Aceleración de lado a lado: -0.48 g-force, Ignición: 1.00)</v>
      </c>
      <c r="O583" s="42" t="str">
        <f>IF(Data!V581&lt;&gt;"",N583,Data!W581)</f>
        <v>Giro brusco (Velocidad máxima: 12 kmh Aceleración de lado a lado: -0.48 g-force, Ignición: 1.00)</v>
      </c>
      <c r="P583" s="47" t="str">
        <f>Data!X581</f>
        <v>Válido</v>
      </c>
    </row>
    <row r="584" spans="1:16">
      <c r="A584" s="41" t="str">
        <f>Data!A582</f>
        <v>PKU249</v>
      </c>
      <c r="B584" s="41" t="str">
        <f>Data!D582</f>
        <v>Vehicle, Diesel, Frontera Energy Col 2679</v>
      </c>
      <c r="C584" s="41">
        <f>Data!F582</f>
        <v>0</v>
      </c>
      <c r="D584" s="41">
        <f>Data!G582</f>
        <v>0</v>
      </c>
      <c r="E584" s="41">
        <f>Data!H582</f>
        <v>0</v>
      </c>
      <c r="F584" s="41">
        <f>Data!K582</f>
        <v>0</v>
      </c>
      <c r="G584" s="33" t="str">
        <f>Data!M582</f>
        <v>Exceso Velocidad 40 Km/h</v>
      </c>
      <c r="H584" s="41" t="str">
        <f>Data!P582</f>
        <v>ECOPETROL RUBIALES- Quifa - CAÑO SUR: Puerto Gaitan - Rubiales, Puerto Gaitán, Meta, Colombia</v>
      </c>
      <c r="I584" s="42" t="str">
        <f>Data!Q582</f>
        <v>Cliente, Vel Max 40 Km/h</v>
      </c>
      <c r="J584" s="43">
        <f>Data!S582</f>
        <v>46174.645491041665</v>
      </c>
      <c r="K584" s="44">
        <f>Data!S582</f>
        <v>46174.645491041665</v>
      </c>
      <c r="L584" s="45">
        <f>Data!T582</f>
        <v>9.8078703703703698E-5</v>
      </c>
      <c r="M584" s="46">
        <f>Data!U582</f>
        <v>9.3482151627540588E-2</v>
      </c>
      <c r="N584" s="46" t="str">
        <f>CONCATENATE(Data!W582," (",Data!V582,")")</f>
        <v>Exceso Velocidad 40 Km/h (Velocidad máxima: 49 kmh)</v>
      </c>
      <c r="O584" s="42" t="str">
        <f>IF(Data!V582&lt;&gt;"",N584,Data!W582)</f>
        <v>Exceso Velocidad 40 Km/h (Velocidad máxima: 49 kmh)</v>
      </c>
      <c r="P584" s="47" t="str">
        <f>Data!X582</f>
        <v>Válido</v>
      </c>
    </row>
    <row r="585" spans="1:16">
      <c r="A585" s="41" t="str">
        <f>Data!A583</f>
        <v>PKU249</v>
      </c>
      <c r="B585" s="41" t="str">
        <f>Data!D583</f>
        <v>Vehicle, Diesel, Frontera Energy Col 2679</v>
      </c>
      <c r="C585" s="41">
        <f>Data!F583</f>
        <v>0</v>
      </c>
      <c r="D585" s="41">
        <f>Data!G583</f>
        <v>0</v>
      </c>
      <c r="E585" s="41">
        <f>Data!H583</f>
        <v>0</v>
      </c>
      <c r="F585" s="41">
        <f>Data!K583</f>
        <v>0</v>
      </c>
      <c r="G585" s="33" t="str">
        <f>Data!M583</f>
        <v>Exceso Velocidad 40 Km/h</v>
      </c>
      <c r="H585" s="41" t="str">
        <f>Data!P583</f>
        <v>ECOPETROL RUBIALES- Quifa - CAÑO SUR: Puerto Gaitan - Rubiales, Puerto Gaitán, Meta, Colombia</v>
      </c>
      <c r="I585" s="42" t="str">
        <f>Data!Q583</f>
        <v>Cliente, Vel Max 40 Km/h</v>
      </c>
      <c r="J585" s="43">
        <f>Data!S583</f>
        <v>46174.646589108794</v>
      </c>
      <c r="K585" s="44">
        <f>Data!S583</f>
        <v>46174.646589108794</v>
      </c>
      <c r="L585" s="45">
        <f>Data!T583</f>
        <v>3.4722222222222222E-5</v>
      </c>
      <c r="M585" s="46">
        <f>Data!U583</f>
        <v>3.2437395304441452E-2</v>
      </c>
      <c r="N585" s="46" t="str">
        <f>CONCATENATE(Data!W583," (",Data!V583,")")</f>
        <v>Exceso Velocidad 40 Km/h (Velocidad máxima: 42 kmh)</v>
      </c>
      <c r="O585" s="42" t="str">
        <f>IF(Data!V583&lt;&gt;"",N585,Data!W583)</f>
        <v>Exceso Velocidad 40 Km/h (Velocidad máxima: 42 kmh)</v>
      </c>
      <c r="P585" s="47" t="str">
        <f>Data!X583</f>
        <v>Válido</v>
      </c>
    </row>
    <row r="586" spans="1:16">
      <c r="A586" s="41" t="str">
        <f>Data!A584</f>
        <v>PKU249</v>
      </c>
      <c r="B586" s="41" t="str">
        <f>Data!D584</f>
        <v>Vehicle, Diesel, Frontera Energy Col 2679</v>
      </c>
      <c r="C586" s="41">
        <f>Data!F584</f>
        <v>0</v>
      </c>
      <c r="D586" s="41">
        <f>Data!G584</f>
        <v>0</v>
      </c>
      <c r="E586" s="41">
        <f>Data!H584</f>
        <v>0</v>
      </c>
      <c r="F586" s="41">
        <f>Data!K584</f>
        <v>0</v>
      </c>
      <c r="G586" s="33" t="str">
        <f>Data!M584</f>
        <v>Exceso Velocidad 10 Km/h</v>
      </c>
      <c r="H586" s="41" t="str">
        <f>Data!P584</f>
        <v>CAMPAMENTO QUIFA, ECOPETROL RUBIALES- Quifa - CAÑO SUR, Puerto Triunfo - Estacion Policia: Puerto Gaitan - Rubiales, Puerto Gaitán, Meta, Colombia</v>
      </c>
      <c r="I586" s="42" t="str">
        <f>Data!Q584</f>
        <v>Vel Max 10 Km/h, Cliente, Vel Max 40 Km/h, Vel Max 30 Km/h</v>
      </c>
      <c r="J586" s="43">
        <f>Data!S584</f>
        <v>46174.652445231484</v>
      </c>
      <c r="K586" s="44">
        <f>Data!S584</f>
        <v>46174.652445231484</v>
      </c>
      <c r="L586" s="45">
        <f>Data!T584</f>
        <v>1.0143518518518519E-4</v>
      </c>
      <c r="M586" s="46">
        <f>Data!U584</f>
        <v>2.8380200266838074E-2</v>
      </c>
      <c r="N586" s="46" t="str">
        <f>CONCATENATE(Data!W584," (",Data!V584,")")</f>
        <v>Exceso Velocidad 10 Km/h (Velocidad máxima: 12 kmh)</v>
      </c>
      <c r="O586" s="42" t="str">
        <f>IF(Data!V584&lt;&gt;"",N586,Data!W584)</f>
        <v>Exceso Velocidad 10 Km/h (Velocidad máxima: 12 kmh)</v>
      </c>
      <c r="P586" s="47" t="str">
        <f>Data!X584</f>
        <v>Válido</v>
      </c>
    </row>
    <row r="587" spans="1:16">
      <c r="A587" s="41" t="str">
        <f>Data!A585</f>
        <v>PKU249</v>
      </c>
      <c r="B587" s="41" t="str">
        <f>Data!D585</f>
        <v>Vehicle, Diesel, Frontera Energy Col 2679</v>
      </c>
      <c r="C587" s="41">
        <f>Data!F585</f>
        <v>0</v>
      </c>
      <c r="D587" s="41">
        <f>Data!G585</f>
        <v>0</v>
      </c>
      <c r="E587" s="41">
        <f>Data!H585</f>
        <v>0</v>
      </c>
      <c r="F587" s="41">
        <f>Data!K585</f>
        <v>0</v>
      </c>
      <c r="G587" s="33" t="str">
        <f>Data!M585</f>
        <v>Exceso Velocidad 10 Km/h</v>
      </c>
      <c r="H587" s="41" t="str">
        <f>Data!P585</f>
        <v>CAMPAMENTO QUIFA, ECOPETROL RUBIALES- Quifa - CAÑO SUR, Campamento Quifa - CMA: Puerto Gaitan - Rubiales, Puerto Gaitán, Meta, Colombia</v>
      </c>
      <c r="I587" s="42" t="str">
        <f>Data!Q585</f>
        <v>Vel Max 10 Km/h, Cliente, Vel Max 40 Km/h</v>
      </c>
      <c r="J587" s="43">
        <f>Data!S585</f>
        <v>46174.652637361112</v>
      </c>
      <c r="K587" s="44">
        <f>Data!S585</f>
        <v>46174.652637361112</v>
      </c>
      <c r="L587" s="45">
        <f>Data!T585</f>
        <v>1.0222222222222222E-4</v>
      </c>
      <c r="M587" s="46">
        <f>Data!U585</f>
        <v>2.5725360959768295E-2</v>
      </c>
      <c r="N587" s="46" t="str">
        <f>CONCATENATE(Data!W585," (",Data!V585,")")</f>
        <v>Exceso Velocidad 10 Km/h (Velocidad máxima: 12 kmh)</v>
      </c>
      <c r="O587" s="42" t="str">
        <f>IF(Data!V585&lt;&gt;"",N587,Data!W585)</f>
        <v>Exceso Velocidad 10 Km/h (Velocidad máxima: 12 kmh)</v>
      </c>
      <c r="P587" s="47" t="str">
        <f>Data!X585</f>
        <v>Válido</v>
      </c>
    </row>
    <row r="588" spans="1:16">
      <c r="A588" s="41" t="str">
        <f>Data!A586</f>
        <v>PKU249</v>
      </c>
      <c r="B588" s="41" t="str">
        <f>Data!D586</f>
        <v>Vehicle, Diesel, Frontera Energy Col 2679</v>
      </c>
      <c r="C588" s="41">
        <f>Data!F586</f>
        <v>0</v>
      </c>
      <c r="D588" s="41">
        <f>Data!G586</f>
        <v>0</v>
      </c>
      <c r="E588" s="41">
        <f>Data!H586</f>
        <v>0</v>
      </c>
      <c r="F588" s="41">
        <f>Data!K586</f>
        <v>0</v>
      </c>
      <c r="G588" s="33" t="str">
        <f>Data!M586</f>
        <v>Tiempo en ralentí</v>
      </c>
      <c r="H588" s="41" t="str">
        <f>Data!P586</f>
        <v>CAMPAMENTO QUIFA, ECOPETROL RUBIALES- Quifa - CAÑO SUR, Campamento Quifa - CMA: Puerto Gaitan - Rubiales, Puerto Gaitán, Meta, Colombia</v>
      </c>
      <c r="I588" s="42" t="str">
        <f>Data!Q586</f>
        <v>Vel Max 10 Km/h, Cliente, Vel Max 40 Km/h</v>
      </c>
      <c r="J588" s="43">
        <f>Data!S586</f>
        <v>46174.652878460649</v>
      </c>
      <c r="K588" s="44">
        <f>Data!S586</f>
        <v>46174.652878460649</v>
      </c>
      <c r="L588" s="45">
        <f>Data!T586</f>
        <v>4.9653935185185183E-3</v>
      </c>
      <c r="M588" s="46">
        <f>Data!U586</f>
        <v>2.6287776418030262E-3</v>
      </c>
      <c r="N588" s="46" t="str">
        <f>CONCATENATE(Data!W586," (",Data!V586,")")</f>
        <v>Tiempo en ralentí (Ignición: 1.00)</v>
      </c>
      <c r="O588" s="42" t="str">
        <f>IF(Data!V586&lt;&gt;"",N588,Data!W586)</f>
        <v>Tiempo en ralentí (Ignición: 1.00)</v>
      </c>
      <c r="P588" s="47" t="str">
        <f>Data!X586</f>
        <v>Válido</v>
      </c>
    </row>
    <row r="589" spans="1:16">
      <c r="A589" s="41" t="str">
        <f>Data!A587</f>
        <v>PKU249</v>
      </c>
      <c r="B589" s="41" t="str">
        <f>Data!D587</f>
        <v>Vehicle, Diesel, Frontera Energy Col 2679</v>
      </c>
      <c r="C589" s="41">
        <f>Data!F587</f>
        <v>0</v>
      </c>
      <c r="D589" s="41">
        <f>Data!G587</f>
        <v>0</v>
      </c>
      <c r="E589" s="41">
        <f>Data!H587</f>
        <v>0</v>
      </c>
      <c r="F589" s="41">
        <f>Data!K587</f>
        <v>0</v>
      </c>
      <c r="G589" s="33" t="str">
        <f>Data!M587</f>
        <v>Exceso Velocidad 10 Km/h</v>
      </c>
      <c r="H589" s="41" t="str">
        <f>Data!P587</f>
        <v>CAMPAMENTO QUIFA, ECOPETROL RUBIALES- Quifa - CAÑO SUR, Campamento Quifa - CMA: Puerto Gaitan - Rubiales, Puerto Gaitán, Meta, Colombia</v>
      </c>
      <c r="I589" s="42" t="str">
        <f>Data!Q587</f>
        <v>Vel Max 10 Km/h, Cliente, Vel Max 40 Km/h</v>
      </c>
      <c r="J589" s="43">
        <f>Data!S587</f>
        <v>46174.658202534723</v>
      </c>
      <c r="K589" s="44">
        <f>Data!S587</f>
        <v>46174.658202534723</v>
      </c>
      <c r="L589" s="45">
        <f>Data!T587</f>
        <v>3.0092592592592595E-4</v>
      </c>
      <c r="M589" s="46">
        <f>Data!U587</f>
        <v>7.276751846075058E-2</v>
      </c>
      <c r="N589" s="46" t="str">
        <f>CONCATENATE(Data!W587," (",Data!V587,")")</f>
        <v>Exceso Velocidad 10 Km/h (Velocidad máxima: 12 kmh)</v>
      </c>
      <c r="O589" s="42" t="str">
        <f>IF(Data!V587&lt;&gt;"",N589,Data!W587)</f>
        <v>Exceso Velocidad 10 Km/h (Velocidad máxima: 12 kmh)</v>
      </c>
      <c r="P589" s="47" t="str">
        <f>Data!X587</f>
        <v>Válido</v>
      </c>
    </row>
    <row r="590" spans="1:16">
      <c r="A590" s="41" t="str">
        <f>Data!A588</f>
        <v>PKU249</v>
      </c>
      <c r="B590" s="41" t="str">
        <f>Data!D588</f>
        <v>Vehicle, Diesel, Frontera Energy Col 2679</v>
      </c>
      <c r="C590" s="41">
        <f>Data!F588</f>
        <v>0</v>
      </c>
      <c r="D590" s="41">
        <f>Data!G588</f>
        <v>0</v>
      </c>
      <c r="E590" s="41">
        <f>Data!H588</f>
        <v>0</v>
      </c>
      <c r="F590" s="41">
        <f>Data!K588</f>
        <v>0</v>
      </c>
      <c r="G590" s="33" t="str">
        <f>Data!M588</f>
        <v>Exceso Velocidad 10 Km/h</v>
      </c>
      <c r="H590" s="41" t="str">
        <f>Data!P588</f>
        <v>CAMPAMENTO QUIFA, ECOPETROL RUBIALES- Quifa - CAÑO SUR, Puerto Triunfo - Estacion Policia: Puerto Gaitan - Rubiales, Puerto Gaitán, Meta, Colombia</v>
      </c>
      <c r="I590" s="42" t="str">
        <f>Data!Q588</f>
        <v>Vel Max 10 Km/h, Cliente, Vel Max 40 Km/h, Vel Max 30 Km/h</v>
      </c>
      <c r="J590" s="43">
        <f>Data!S588</f>
        <v>46174.658917465276</v>
      </c>
      <c r="K590" s="44">
        <f>Data!S588</f>
        <v>46174.658917465276</v>
      </c>
      <c r="L590" s="45">
        <f>Data!T588</f>
        <v>1.6493055555555554E-5</v>
      </c>
      <c r="M590" s="46">
        <f>Data!U588</f>
        <v>4.7668726183474064E-3</v>
      </c>
      <c r="N590" s="46" t="str">
        <f>CONCATENATE(Data!W588," (",Data!V588,")")</f>
        <v>Exceso Velocidad 10 Km/h (Velocidad máxima: 12 kmh)</v>
      </c>
      <c r="O590" s="42" t="str">
        <f>IF(Data!V588&lt;&gt;"",N590,Data!W588)</f>
        <v>Exceso Velocidad 10 Km/h (Velocidad máxima: 12 kmh)</v>
      </c>
      <c r="P590" s="47" t="str">
        <f>Data!X588</f>
        <v>Válido</v>
      </c>
    </row>
    <row r="591" spans="1:16">
      <c r="A591" s="41" t="str">
        <f>Data!A589</f>
        <v>PKU249</v>
      </c>
      <c r="B591" s="41" t="str">
        <f>Data!D589</f>
        <v>Vehicle, Diesel, Frontera Energy Col 2679</v>
      </c>
      <c r="C591" s="41">
        <f>Data!F589</f>
        <v>0</v>
      </c>
      <c r="D591" s="41">
        <f>Data!G589</f>
        <v>0</v>
      </c>
      <c r="E591" s="41">
        <f>Data!H589</f>
        <v>0</v>
      </c>
      <c r="F591" s="41">
        <f>Data!K589</f>
        <v>0</v>
      </c>
      <c r="G591" s="33" t="str">
        <f>Data!M589</f>
        <v>Exceso Velocidad 10 Km/h</v>
      </c>
      <c r="H591" s="41" t="str">
        <f>Data!P589</f>
        <v>CAMPAMENTO QUIFA, ECOPETROL RUBIALES- Quifa - CAÑO SUR, Puerto Triunfo - Estacion Policia: Puerto Gaitan - Rubiales, Puerto Gaitán, Meta, Colombia</v>
      </c>
      <c r="I591" s="42" t="str">
        <f>Data!Q589</f>
        <v>Vel Max 10 Km/h, Cliente, Vel Max 40 Km/h, Vel Max 30 Km/h</v>
      </c>
      <c r="J591" s="43">
        <f>Data!S589</f>
        <v>46174.659577754632</v>
      </c>
      <c r="K591" s="44">
        <f>Data!S589</f>
        <v>46174.659577754632</v>
      </c>
      <c r="L591" s="45">
        <f>Data!T589</f>
        <v>9.7581018518518519E-5</v>
      </c>
      <c r="M591" s="46">
        <f>Data!U589</f>
        <v>4.194047674536705E-2</v>
      </c>
      <c r="N591" s="46" t="str">
        <f>CONCATENATE(Data!W589," (",Data!V589,")")</f>
        <v>Exceso Velocidad 10 Km/h (Velocidad máxima: 23 kmh)</v>
      </c>
      <c r="O591" s="42" t="str">
        <f>IF(Data!V589&lt;&gt;"",N591,Data!W589)</f>
        <v>Exceso Velocidad 10 Km/h (Velocidad máxima: 23 kmh)</v>
      </c>
      <c r="P591" s="47" t="str">
        <f>Data!X589</f>
        <v>Válido</v>
      </c>
    </row>
    <row r="592" spans="1:16">
      <c r="A592" s="41" t="str">
        <f>Data!A590</f>
        <v>PKU249</v>
      </c>
      <c r="B592" s="41" t="str">
        <f>Data!D590</f>
        <v>Vehicle, Diesel, Frontera Energy Col 2679</v>
      </c>
      <c r="C592" s="41">
        <f>Data!F590</f>
        <v>0</v>
      </c>
      <c r="D592" s="41">
        <f>Data!G590</f>
        <v>0</v>
      </c>
      <c r="E592" s="41">
        <f>Data!H590</f>
        <v>0</v>
      </c>
      <c r="F592" s="41">
        <f>Data!K590</f>
        <v>0</v>
      </c>
      <c r="G592" s="33" t="str">
        <f>Data!M590</f>
        <v>Exceso Velocidad 10 Km/h</v>
      </c>
      <c r="H592" s="41" t="str">
        <f>Data!P590</f>
        <v>CAMPAMENTO QUIFA, ECOPETROL RUBIALES- Quifa - CAÑO SUR, Puerto Triunfo - Estacion Policia: Puerto Gaitan - Rubiales, Puerto Gaitán, Meta, Colombia</v>
      </c>
      <c r="I592" s="42" t="str">
        <f>Data!Q590</f>
        <v>Vel Max 10 Km/h, Cliente, Vel Max 40 Km/h, Vel Max 30 Km/h</v>
      </c>
      <c r="J592" s="43">
        <f>Data!S590</f>
        <v>46174.659695590279</v>
      </c>
      <c r="K592" s="44">
        <f>Data!S590</f>
        <v>46174.659695590279</v>
      </c>
      <c r="L592" s="45">
        <f>Data!T590</f>
        <v>1.8210648148148147E-4</v>
      </c>
      <c r="M592" s="46">
        <f>Data!U590</f>
        <v>7.3845133185386658E-2</v>
      </c>
      <c r="N592" s="46" t="str">
        <f>CONCATENATE(Data!W590," (",Data!V590,")")</f>
        <v>Exceso Velocidad 10 Km/h (Velocidad máxima: 22 kmh)</v>
      </c>
      <c r="O592" s="42" t="str">
        <f>IF(Data!V590&lt;&gt;"",N592,Data!W590)</f>
        <v>Exceso Velocidad 10 Km/h (Velocidad máxima: 22 kmh)</v>
      </c>
      <c r="P592" s="47" t="str">
        <f>Data!X590</f>
        <v>Válido</v>
      </c>
    </row>
    <row r="593" spans="1:16">
      <c r="A593" s="41" t="str">
        <f>Data!A591</f>
        <v>PKU249</v>
      </c>
      <c r="B593" s="41" t="str">
        <f>Data!D591</f>
        <v>Vehicle, Diesel, Frontera Energy Col 2679</v>
      </c>
      <c r="C593" s="41">
        <f>Data!F591</f>
        <v>0</v>
      </c>
      <c r="D593" s="41">
        <f>Data!G591</f>
        <v>0</v>
      </c>
      <c r="E593" s="41">
        <f>Data!H591</f>
        <v>0</v>
      </c>
      <c r="F593" s="41">
        <f>Data!K591</f>
        <v>0</v>
      </c>
      <c r="G593" s="33" t="str">
        <f>Data!M591</f>
        <v>Exceso Velocidad 30 Km/h</v>
      </c>
      <c r="H593" s="41" t="str">
        <f>Data!P591</f>
        <v>ECOPETROL RUBIALES- Quifa - CAÑO SUR, Puerto Triunfo - Estacion Policia: Puerto Gaitan - Rubiales, Puerto Gaitán, Meta, Colombia</v>
      </c>
      <c r="I593" s="42" t="str">
        <f>Data!Q591</f>
        <v>Cliente, Vel Max 40 Km/h, Vel Max 30 Km/h</v>
      </c>
      <c r="J593" s="43">
        <f>Data!S591</f>
        <v>46174.660476851852</v>
      </c>
      <c r="K593" s="44">
        <f>Data!S591</f>
        <v>46174.660476851852</v>
      </c>
      <c r="L593" s="45">
        <f>Data!T591</f>
        <v>3.3383101851851852E-4</v>
      </c>
      <c r="M593" s="46">
        <f>Data!U591</f>
        <v>0.28228306770324707</v>
      </c>
      <c r="N593" s="46" t="str">
        <f>CONCATENATE(Data!W591," (",Data!V591,")")</f>
        <v>Exceso Velocidad 30 Km/h (Velocidad máxima: 37 kmh)</v>
      </c>
      <c r="O593" s="42" t="str">
        <f>IF(Data!V591&lt;&gt;"",N593,Data!W591)</f>
        <v>Exceso Velocidad 30 Km/h (Velocidad máxima: 37 kmh)</v>
      </c>
      <c r="P593" s="47" t="str">
        <f>Data!X591</f>
        <v>Válido</v>
      </c>
    </row>
    <row r="594" spans="1:16">
      <c r="A594" s="41" t="str">
        <f>Data!A592</f>
        <v>PKU249</v>
      </c>
      <c r="B594" s="41" t="str">
        <f>Data!D592</f>
        <v>Vehicle, Diesel, Frontera Energy Col 2679</v>
      </c>
      <c r="C594" s="41">
        <f>Data!F592</f>
        <v>0</v>
      </c>
      <c r="D594" s="41">
        <f>Data!G592</f>
        <v>0</v>
      </c>
      <c r="E594" s="41">
        <f>Data!H592</f>
        <v>0</v>
      </c>
      <c r="F594" s="41">
        <f>Data!K592</f>
        <v>0</v>
      </c>
      <c r="G594" s="33" t="str">
        <f>Data!M592</f>
        <v>Exceso de velocidad (nuevo)</v>
      </c>
      <c r="H594" s="41" t="str">
        <f>Data!P592</f>
        <v>ECOPETROL RUBIALES- Quifa - CAÑO SUR, Puerto Triunfo - Estacion Policia: Puerto Gaitan - Rubiales, Puerto Gaitán, Meta, Colombia</v>
      </c>
      <c r="I594" s="42" t="str">
        <f>Data!Q592</f>
        <v>Cliente, Vel Max 40 Km/h, Vel Max 30 Km/h</v>
      </c>
      <c r="J594" s="43">
        <f>Data!S592</f>
        <v>46174.661778923612</v>
      </c>
      <c r="K594" s="44">
        <f>Data!S592</f>
        <v>46174.661778923612</v>
      </c>
      <c r="L594" s="45">
        <f>Data!T592</f>
        <v>6.7805555555555555E-4</v>
      </c>
      <c r="M594" s="46">
        <f>Data!U592</f>
        <v>0.30702447891235352</v>
      </c>
      <c r="N594" s="46" t="str">
        <f>CONCATENATE(Data!W592," (",Data!V592,")")</f>
        <v>Exceso de velocidad (nuevo) (Velocidad máxima: 24 kmh (Velocidad máxima en carretera: 7 kmh))</v>
      </c>
      <c r="O594" s="42" t="str">
        <f>IF(Data!V592&lt;&gt;"",N594,Data!W592)</f>
        <v>Exceso de velocidad (nuevo) (Velocidad máxima: 24 kmh (Velocidad máxima en carretera: 7 kmh))</v>
      </c>
      <c r="P594" s="47" t="str">
        <f>Data!X592</f>
        <v>Válido</v>
      </c>
    </row>
    <row r="595" spans="1:16">
      <c r="A595" s="41" t="str">
        <f>Data!A593</f>
        <v>PKU249</v>
      </c>
      <c r="B595" s="41" t="str">
        <f>Data!D593</f>
        <v>Vehicle, Diesel, Frontera Energy Col 2679</v>
      </c>
      <c r="C595" s="41">
        <f>Data!F593</f>
        <v>0</v>
      </c>
      <c r="D595" s="41">
        <f>Data!G593</f>
        <v>0</v>
      </c>
      <c r="E595" s="41">
        <f>Data!H593</f>
        <v>0</v>
      </c>
      <c r="F595" s="41">
        <f>Data!K593</f>
        <v>0</v>
      </c>
      <c r="G595" s="33" t="str">
        <f>Data!M593</f>
        <v>Exceso de velocidad (nuevo)</v>
      </c>
      <c r="H595" s="41" t="str">
        <f>Data!P593</f>
        <v>ECOPETROL RUBIALES- Quifa - CAÑO SUR: Puerto Gaitan - Rubiales, Puerto Gaitán, Meta, Colombia</v>
      </c>
      <c r="I595" s="42" t="str">
        <f>Data!Q593</f>
        <v>Cliente, Vel Max 40 Km/h</v>
      </c>
      <c r="J595" s="43">
        <f>Data!S593</f>
        <v>46174.6704521875</v>
      </c>
      <c r="K595" s="44">
        <f>Data!S593</f>
        <v>46174.6704521875</v>
      </c>
      <c r="L595" s="45">
        <f>Data!T593</f>
        <v>5.8623842592592592E-4</v>
      </c>
      <c r="M595" s="46">
        <f>Data!U593</f>
        <v>0.31852486729621887</v>
      </c>
      <c r="N595" s="46" t="str">
        <f>CONCATENATE(Data!W593," (",Data!V593,")")</f>
        <v>Exceso de velocidad (nuevo) (Velocidad máxima: 29 kmh (Velocidad máxima en carretera: 7 kmh))</v>
      </c>
      <c r="O595" s="42" t="str">
        <f>IF(Data!V593&lt;&gt;"",N595,Data!W593)</f>
        <v>Exceso de velocidad (nuevo) (Velocidad máxima: 29 kmh (Velocidad máxima en carretera: 7 kmh))</v>
      </c>
      <c r="P595" s="47" t="str">
        <f>Data!X593</f>
        <v>Válido</v>
      </c>
    </row>
    <row r="596" spans="1:16">
      <c r="A596" s="41" t="str">
        <f>Data!A594</f>
        <v>PKU249</v>
      </c>
      <c r="B596" s="41" t="str">
        <f>Data!D594</f>
        <v>Vehicle, Diesel, Frontera Energy Col 2679</v>
      </c>
      <c r="C596" s="41">
        <f>Data!F594</f>
        <v>0</v>
      </c>
      <c r="D596" s="41">
        <f>Data!G594</f>
        <v>0</v>
      </c>
      <c r="E596" s="41">
        <f>Data!H594</f>
        <v>0</v>
      </c>
      <c r="F596" s="41">
        <f>Data!K594</f>
        <v>0</v>
      </c>
      <c r="G596" s="33" t="str">
        <f>Data!M594</f>
        <v>Exceso Velocidad 10 Km/h</v>
      </c>
      <c r="H596" s="41" t="str">
        <f>Data!P594</f>
        <v>ECOPETROL RUBIALES- Quifa - CAÑO SUR, Puerto Triunfo - Estacion Policia, PUESTRO CONTROL QUIFA: Puerto Gaitan - Rubiales, Puerto Gaitán, Meta, Colombia</v>
      </c>
      <c r="I596" s="42" t="str">
        <f>Data!Q594</f>
        <v>Cliente, Vel Max 40 Km/h, Vel Max 30 Km/h, Vel Max 10 Km/h</v>
      </c>
      <c r="J596" s="43">
        <f>Data!S594</f>
        <v>46174.671192581016</v>
      </c>
      <c r="K596" s="44">
        <f>Data!S594</f>
        <v>46174.671192581016</v>
      </c>
      <c r="L596" s="45">
        <f>Data!T594</f>
        <v>3.118287037037037E-4</v>
      </c>
      <c r="M596" s="46">
        <f>Data!U594</f>
        <v>0.18378856778144836</v>
      </c>
      <c r="N596" s="46" t="str">
        <f>CONCATENATE(Data!W594," (",Data!V594,")")</f>
        <v>Exceso Velocidad 10 Km/h (Velocidad máxima: 26 kmh)</v>
      </c>
      <c r="O596" s="42" t="str">
        <f>IF(Data!V594&lt;&gt;"",N596,Data!W594)</f>
        <v>Exceso Velocidad 10 Km/h (Velocidad máxima: 26 kmh)</v>
      </c>
      <c r="P596" s="47" t="str">
        <f>Data!X594</f>
        <v>Válido</v>
      </c>
    </row>
    <row r="597" spans="1:16">
      <c r="A597" s="41" t="str">
        <f>Data!A595</f>
        <v>PKU249</v>
      </c>
      <c r="B597" s="41" t="str">
        <f>Data!D595</f>
        <v>Vehicle, Diesel, Frontera Energy Col 2679</v>
      </c>
      <c r="C597" s="41">
        <f>Data!F595</f>
        <v>0</v>
      </c>
      <c r="D597" s="41">
        <f>Data!G595</f>
        <v>0</v>
      </c>
      <c r="E597" s="41">
        <f>Data!H595</f>
        <v>0</v>
      </c>
      <c r="F597" s="41">
        <f>Data!K595</f>
        <v>0</v>
      </c>
      <c r="G597" s="33" t="str">
        <f>Data!M595</f>
        <v>Exceso Velocidad 30 Km/h</v>
      </c>
      <c r="H597" s="41" t="str">
        <f>Data!P595</f>
        <v>ECOPETROL RUBIALES- Quifa - CAÑO SUR, Puerto Triunfo - Estacion Policia: Puerto Gaitan - Rubiales, Puerto Gaitán, Meta, Colombia</v>
      </c>
      <c r="I597" s="42" t="str">
        <f>Data!Q595</f>
        <v>Cliente, Vel Max 40 Km/h, Vel Max 30 Km/h</v>
      </c>
      <c r="J597" s="43">
        <f>Data!S595</f>
        <v>46174.671617118052</v>
      </c>
      <c r="K597" s="44">
        <f>Data!S595</f>
        <v>46174.671617118052</v>
      </c>
      <c r="L597" s="45">
        <f>Data!T595</f>
        <v>3.3832175925925924E-4</v>
      </c>
      <c r="M597" s="46">
        <f>Data!U595</f>
        <v>0.29939433932304382</v>
      </c>
      <c r="N597" s="46" t="str">
        <f>CONCATENATE(Data!W595," (",Data!V595,")")</f>
        <v>Exceso Velocidad 30 Km/h (Velocidad máxima: 42 kmh)</v>
      </c>
      <c r="O597" s="42" t="str">
        <f>IF(Data!V595&lt;&gt;"",N597,Data!W595)</f>
        <v>Exceso Velocidad 30 Km/h (Velocidad máxima: 42 kmh)</v>
      </c>
      <c r="P597" s="47" t="str">
        <f>Data!X595</f>
        <v>Válido</v>
      </c>
    </row>
    <row r="598" spans="1:16">
      <c r="A598" s="41" t="str">
        <f>Data!A596</f>
        <v>PKU249</v>
      </c>
      <c r="B598" s="41" t="str">
        <f>Data!D596</f>
        <v>Vehicle, Diesel, Frontera Energy Col 2679</v>
      </c>
      <c r="C598" s="41">
        <f>Data!F596</f>
        <v>0</v>
      </c>
      <c r="D598" s="41">
        <f>Data!G596</f>
        <v>0</v>
      </c>
      <c r="E598" s="41">
        <f>Data!H596</f>
        <v>0</v>
      </c>
      <c r="F598" s="41">
        <f>Data!K596</f>
        <v>0</v>
      </c>
      <c r="G598" s="33" t="str">
        <f>Data!M596</f>
        <v>Exceso Velocidad 40 Km/h</v>
      </c>
      <c r="H598" s="41" t="str">
        <f>Data!P596</f>
        <v>ECOPETROL RUBIALES- Quifa - CAÑO SUR, Puerto Triunfo - Estacion Policia: Puerto Gaitan - Rubiales, Puerto Gaitán, Meta, Colombia</v>
      </c>
      <c r="I598" s="42" t="str">
        <f>Data!Q596</f>
        <v>Cliente, Vel Max 40 Km/h, Vel Max 30 Km/h</v>
      </c>
      <c r="J598" s="43">
        <f>Data!S596</f>
        <v>46174.67176759259</v>
      </c>
      <c r="K598" s="44">
        <f>Data!S596</f>
        <v>46174.67176759259</v>
      </c>
      <c r="L598" s="45">
        <f>Data!T596</f>
        <v>1.4729166666666666E-4</v>
      </c>
      <c r="M598" s="46">
        <f>Data!U596</f>
        <v>0.14160086214542389</v>
      </c>
      <c r="N598" s="46" t="str">
        <f>CONCATENATE(Data!W596," (",Data!V596,")")</f>
        <v>Exceso Velocidad 40 Km/h (Velocidad máxima: 42 kmh)</v>
      </c>
      <c r="O598" s="42" t="str">
        <f>IF(Data!V596&lt;&gt;"",N598,Data!W596)</f>
        <v>Exceso Velocidad 40 Km/h (Velocidad máxima: 42 kmh)</v>
      </c>
      <c r="P598" s="47" t="str">
        <f>Data!X596</f>
        <v>Válido</v>
      </c>
    </row>
    <row r="599" spans="1:16">
      <c r="A599" s="41" t="str">
        <f>Data!A597</f>
        <v>PKU249</v>
      </c>
      <c r="B599" s="41" t="str">
        <f>Data!D597</f>
        <v>Vehicle, Diesel, Frontera Energy Col 2679</v>
      </c>
      <c r="C599" s="41">
        <f>Data!F597</f>
        <v>0</v>
      </c>
      <c r="D599" s="41">
        <f>Data!G597</f>
        <v>0</v>
      </c>
      <c r="E599" s="41">
        <f>Data!H597</f>
        <v>0</v>
      </c>
      <c r="F599" s="41">
        <f>Data!K597</f>
        <v>0</v>
      </c>
      <c r="G599" s="33" t="str">
        <f>Data!M597</f>
        <v>Exceso Velocidad 30 Km/h</v>
      </c>
      <c r="H599" s="41" t="str">
        <f>Data!P597</f>
        <v>ECOPETROL RUBIALES- Quifa - CAÑO SUR, Puerto Triunfo - Estacion Policia: Puerto Gaitan - Rubiales, Puerto Gaitán, Meta, Colombia</v>
      </c>
      <c r="I599" s="42" t="str">
        <f>Data!Q597</f>
        <v>Cliente, Vel Max 40 Km/h, Vel Max 30 Km/h</v>
      </c>
      <c r="J599" s="43">
        <f>Data!S597</f>
        <v>46174.673322800925</v>
      </c>
      <c r="K599" s="44">
        <f>Data!S597</f>
        <v>46174.673322800925</v>
      </c>
      <c r="L599" s="45">
        <f>Data!T597</f>
        <v>1.4039351851851851E-4</v>
      </c>
      <c r="M599" s="46">
        <f>Data!U597</f>
        <v>0.11489559710025787</v>
      </c>
      <c r="N599" s="46" t="str">
        <f>CONCATENATE(Data!W597," (",Data!V597,")")</f>
        <v>Exceso Velocidad 30 Km/h (Velocidad máxima: 36 kmh)</v>
      </c>
      <c r="O599" s="42" t="str">
        <f>IF(Data!V597&lt;&gt;"",N599,Data!W597)</f>
        <v>Exceso Velocidad 30 Km/h (Velocidad máxima: 36 kmh)</v>
      </c>
      <c r="P599" s="47" t="str">
        <f>Data!X597</f>
        <v>Válido</v>
      </c>
    </row>
    <row r="600" spans="1:16">
      <c r="A600" s="41" t="str">
        <f>Data!A598</f>
        <v>PKU249</v>
      </c>
      <c r="B600" s="41" t="str">
        <f>Data!D598</f>
        <v>Vehicle, Diesel, Frontera Energy Col 2679</v>
      </c>
      <c r="C600" s="41">
        <f>Data!F598</f>
        <v>0</v>
      </c>
      <c r="D600" s="41">
        <f>Data!G598</f>
        <v>0</v>
      </c>
      <c r="E600" s="41">
        <f>Data!H598</f>
        <v>0</v>
      </c>
      <c r="F600" s="41">
        <f>Data!K598</f>
        <v>0</v>
      </c>
      <c r="G600" s="33" t="str">
        <f>Data!M598</f>
        <v>Exceso Velocidad 30 Km/h</v>
      </c>
      <c r="H600" s="41" t="str">
        <f>Data!P598</f>
        <v>ECOPETROL RUBIALES- Quifa - CAÑO SUR, Puerto Triunfo - Estacion Policia: Puerto Gaitan - Rubiales, Puerto Gaitán, Meta, Colombia</v>
      </c>
      <c r="I600" s="42" t="str">
        <f>Data!Q598</f>
        <v>Cliente, Vel Max 40 Km/h, Vel Max 30 Km/h</v>
      </c>
      <c r="J600" s="43">
        <f>Data!S598</f>
        <v>46174.673723599539</v>
      </c>
      <c r="K600" s="44">
        <f>Data!S598</f>
        <v>46174.673723599539</v>
      </c>
      <c r="L600" s="45">
        <f>Data!T598</f>
        <v>1.196412037037037E-4</v>
      </c>
      <c r="M600" s="46">
        <f>Data!U598</f>
        <v>9.6916913986206055E-2</v>
      </c>
      <c r="N600" s="46" t="str">
        <f>CONCATENATE(Data!W598," (",Data!V598,")")</f>
        <v>Exceso Velocidad 30 Km/h (Velocidad máxima: 36 kmh)</v>
      </c>
      <c r="O600" s="42" t="str">
        <f>IF(Data!V598&lt;&gt;"",N600,Data!W598)</f>
        <v>Exceso Velocidad 30 Km/h (Velocidad máxima: 36 kmh)</v>
      </c>
      <c r="P600" s="47" t="str">
        <f>Data!X598</f>
        <v>Válido</v>
      </c>
    </row>
    <row r="601" spans="1:16">
      <c r="A601" s="41" t="str">
        <f>Data!A599</f>
        <v>PKU249</v>
      </c>
      <c r="B601" s="41" t="str">
        <f>Data!D599</f>
        <v>Vehicle, Diesel, Frontera Energy Col 2679</v>
      </c>
      <c r="C601" s="41">
        <f>Data!F599</f>
        <v>0</v>
      </c>
      <c r="D601" s="41">
        <f>Data!G599</f>
        <v>0</v>
      </c>
      <c r="E601" s="41">
        <f>Data!H599</f>
        <v>0</v>
      </c>
      <c r="F601" s="41">
        <f>Data!K599</f>
        <v>0</v>
      </c>
      <c r="G601" s="33" t="str">
        <f>Data!M599</f>
        <v>Exceso Velocidad 30 Km/h</v>
      </c>
      <c r="H601" s="41" t="str">
        <f>Data!P599</f>
        <v>ECOPETROL RUBIALES- Quifa - CAÑO SUR, Puerto Triunfo - Estacion Policia: Puerto Gaitan - Rubiales, Puerto Gaitán, Meta, Colombia</v>
      </c>
      <c r="I601" s="42" t="str">
        <f>Data!Q599</f>
        <v>Cliente, Vel Max 40 Km/h, Vel Max 30 Km/h</v>
      </c>
      <c r="J601" s="43">
        <f>Data!S599</f>
        <v>46174.673897222223</v>
      </c>
      <c r="K601" s="44">
        <f>Data!S599</f>
        <v>46174.673897222223</v>
      </c>
      <c r="L601" s="45">
        <f>Data!T599</f>
        <v>1.986111111111111E-4</v>
      </c>
      <c r="M601" s="46">
        <f>Data!U599</f>
        <v>0.15982340276241302</v>
      </c>
      <c r="N601" s="46" t="str">
        <f>CONCATENATE(Data!W599," (",Data!V599,")")</f>
        <v>Exceso Velocidad 30 Km/h (Velocidad máxima: 35 kmh)</v>
      </c>
      <c r="O601" s="42" t="str">
        <f>IF(Data!V599&lt;&gt;"",N601,Data!W599)</f>
        <v>Exceso Velocidad 30 Km/h (Velocidad máxima: 35 kmh)</v>
      </c>
      <c r="P601" s="47" t="str">
        <f>Data!X599</f>
        <v>Válido</v>
      </c>
    </row>
    <row r="602" spans="1:16">
      <c r="A602" s="41" t="str">
        <f>Data!A600</f>
        <v>PKU249</v>
      </c>
      <c r="B602" s="41" t="str">
        <f>Data!D600</f>
        <v>Vehicle, Diesel, Frontera Energy Col 2679</v>
      </c>
      <c r="C602" s="41">
        <f>Data!F600</f>
        <v>0</v>
      </c>
      <c r="D602" s="41">
        <f>Data!G600</f>
        <v>0</v>
      </c>
      <c r="E602" s="41">
        <f>Data!H600</f>
        <v>0</v>
      </c>
      <c r="F602" s="41">
        <f>Data!K600</f>
        <v>0</v>
      </c>
      <c r="G602" s="33" t="str">
        <f>Data!M600</f>
        <v>Exceso Velocidad 30 Km/h</v>
      </c>
      <c r="H602" s="41" t="str">
        <f>Data!P600</f>
        <v>ECOPETROL RUBIALES- Quifa - CAÑO SUR, Puerto Triunfo - Estacion Policia: Puerto Gaitan - Rubiales, Puerto Gaitán, Meta, Colombia</v>
      </c>
      <c r="I602" s="42" t="str">
        <f>Data!Q600</f>
        <v>Cliente, Vel Max 40 Km/h, Vel Max 30 Km/h</v>
      </c>
      <c r="J602" s="43">
        <f>Data!S600</f>
        <v>46174.674167268517</v>
      </c>
      <c r="K602" s="44">
        <f>Data!S600</f>
        <v>46174.674167268517</v>
      </c>
      <c r="L602" s="45">
        <f>Data!T600</f>
        <v>8.0057870370370377E-5</v>
      </c>
      <c r="M602" s="46">
        <f>Data!U600</f>
        <v>6.3250795006752014E-2</v>
      </c>
      <c r="N602" s="46" t="str">
        <f>CONCATENATE(Data!W600," (",Data!V600,")")</f>
        <v>Exceso Velocidad 30 Km/h (Velocidad máxima: 36 kmh)</v>
      </c>
      <c r="O602" s="42" t="str">
        <f>IF(Data!V600&lt;&gt;"",N602,Data!W600)</f>
        <v>Exceso Velocidad 30 Km/h (Velocidad máxima: 36 kmh)</v>
      </c>
      <c r="P602" s="47" t="str">
        <f>Data!X600</f>
        <v>Válido</v>
      </c>
    </row>
    <row r="603" spans="1:16">
      <c r="A603" s="41" t="str">
        <f>Data!A601</f>
        <v>PKU249</v>
      </c>
      <c r="B603" s="41" t="str">
        <f>Data!D601</f>
        <v>Vehicle, Diesel, Frontera Energy Col 2679</v>
      </c>
      <c r="C603" s="41">
        <f>Data!F601</f>
        <v>0</v>
      </c>
      <c r="D603" s="41">
        <f>Data!G601</f>
        <v>0</v>
      </c>
      <c r="E603" s="41">
        <f>Data!H601</f>
        <v>0</v>
      </c>
      <c r="F603" s="41">
        <f>Data!K601</f>
        <v>0</v>
      </c>
      <c r="G603" s="33" t="str">
        <f>Data!M601</f>
        <v>Exceso Velocidad 30 Km/h</v>
      </c>
      <c r="H603" s="41" t="str">
        <f>Data!P601</f>
        <v>ECOPETROL RUBIALES- Quifa - CAÑO SUR, Puerto Triunfo - Estacion Policia: Puerto Gaitan - Rubiales, Puerto Gaitán, Meta, Colombia</v>
      </c>
      <c r="I603" s="42" t="str">
        <f>Data!Q601</f>
        <v>Cliente, Vel Max 40 Km/h, Vel Max 30 Km/h</v>
      </c>
      <c r="J603" s="43">
        <f>Data!S601</f>
        <v>46174.674564745372</v>
      </c>
      <c r="K603" s="44">
        <f>Data!S601</f>
        <v>46174.674564745372</v>
      </c>
      <c r="L603" s="45">
        <f>Data!T601</f>
        <v>6.4201388888888883E-5</v>
      </c>
      <c r="M603" s="46">
        <f>Data!U601</f>
        <v>5.1247052848339081E-2</v>
      </c>
      <c r="N603" s="46" t="str">
        <f>CONCATENATE(Data!W601," (",Data!V601,")")</f>
        <v>Exceso Velocidad 30 Km/h (Velocidad máxima: 35 kmh)</v>
      </c>
      <c r="O603" s="42" t="str">
        <f>IF(Data!V601&lt;&gt;"",N603,Data!W601)</f>
        <v>Exceso Velocidad 30 Km/h (Velocidad máxima: 35 kmh)</v>
      </c>
      <c r="P603" s="47" t="str">
        <f>Data!X601</f>
        <v>Válido</v>
      </c>
    </row>
    <row r="604" spans="1:16">
      <c r="A604" s="41" t="str">
        <f>Data!A602</f>
        <v>PKU249</v>
      </c>
      <c r="B604" s="41" t="str">
        <f>Data!D602</f>
        <v>Vehicle, Diesel, Frontera Energy Col 2679</v>
      </c>
      <c r="C604" s="41">
        <f>Data!F602</f>
        <v>0</v>
      </c>
      <c r="D604" s="41">
        <f>Data!G602</f>
        <v>0</v>
      </c>
      <c r="E604" s="41">
        <f>Data!H602</f>
        <v>0</v>
      </c>
      <c r="F604" s="41">
        <f>Data!K602</f>
        <v>0</v>
      </c>
      <c r="G604" s="33" t="str">
        <f>Data!M602</f>
        <v>Exceso Velocidad 30 Km/h</v>
      </c>
      <c r="H604" s="41" t="str">
        <f>Data!P602</f>
        <v>ECOPETROL RUBIALES- Quifa - CAÑO SUR, Puerto Triunfo - Estacion Policia: Puerto Gaitan - Rubiales, Puerto Gaitán, Meta, Colombia</v>
      </c>
      <c r="I604" s="42" t="str">
        <f>Data!Q602</f>
        <v>Cliente, Vel Max 40 Km/h, Vel Max 30 Km/h</v>
      </c>
      <c r="J604" s="43">
        <f>Data!S602</f>
        <v>46174.674694386573</v>
      </c>
      <c r="K604" s="44">
        <f>Data!S602</f>
        <v>46174.674694386573</v>
      </c>
      <c r="L604" s="45">
        <f>Data!T602</f>
        <v>1.3717592592592593E-4</v>
      </c>
      <c r="M604" s="46">
        <f>Data!U602</f>
        <v>0.11317462474107742</v>
      </c>
      <c r="N604" s="46" t="str">
        <f>CONCATENATE(Data!W602," (",Data!V602,")")</f>
        <v>Exceso Velocidad 30 Km/h (Velocidad máxima: 37 kmh)</v>
      </c>
      <c r="O604" s="42" t="str">
        <f>IF(Data!V602&lt;&gt;"",N604,Data!W602)</f>
        <v>Exceso Velocidad 30 Km/h (Velocidad máxima: 37 kmh)</v>
      </c>
      <c r="P604" s="47" t="str">
        <f>Data!X602</f>
        <v>Válido</v>
      </c>
    </row>
    <row r="605" spans="1:16">
      <c r="A605" s="41" t="str">
        <f>Data!A603</f>
        <v>PKU249</v>
      </c>
      <c r="B605" s="41" t="str">
        <f>Data!D603</f>
        <v>Vehicle, Diesel, Frontera Energy Col 2679</v>
      </c>
      <c r="C605" s="41">
        <f>Data!F603</f>
        <v>0</v>
      </c>
      <c r="D605" s="41">
        <f>Data!G603</f>
        <v>0</v>
      </c>
      <c r="E605" s="41">
        <f>Data!H603</f>
        <v>0</v>
      </c>
      <c r="F605" s="41">
        <f>Data!K603</f>
        <v>0</v>
      </c>
      <c r="G605" s="33" t="str">
        <f>Data!M603</f>
        <v>Exceso Velocidad 40 Km/h</v>
      </c>
      <c r="H605" s="41" t="str">
        <f>Data!P603</f>
        <v>ECOPETROL RUBIALES- Quifa - CAÑO SUR: Vía Sin Nombre, Puerto Gaitán, Meta, Colombia</v>
      </c>
      <c r="I605" s="42" t="str">
        <f>Data!Q603</f>
        <v>Cliente, Vel Max 40 Km/h</v>
      </c>
      <c r="J605" s="43">
        <f>Data!S603</f>
        <v>46174.677363703704</v>
      </c>
      <c r="K605" s="44">
        <f>Data!S603</f>
        <v>46174.677363703704</v>
      </c>
      <c r="L605" s="45">
        <f>Data!T603</f>
        <v>3.0567129629629629E-5</v>
      </c>
      <c r="M605" s="46">
        <f>Data!U603</f>
        <v>2.9388992115855217E-2</v>
      </c>
      <c r="N605" s="46" t="str">
        <f>CONCATENATE(Data!W603," (",Data!V603,")")</f>
        <v>Exceso Velocidad 40 Km/h (Velocidad máxima: 42 kmh)</v>
      </c>
      <c r="O605" s="42" t="str">
        <f>IF(Data!V603&lt;&gt;"",N605,Data!W603)</f>
        <v>Exceso Velocidad 40 Km/h (Velocidad máxima: 42 kmh)</v>
      </c>
      <c r="P605" s="47" t="str">
        <f>Data!X603</f>
        <v>Válido</v>
      </c>
    </row>
    <row r="606" spans="1:16">
      <c r="A606" s="41" t="str">
        <f>Data!A604</f>
        <v>PKU249</v>
      </c>
      <c r="B606" s="41" t="str">
        <f>Data!D604</f>
        <v>Vehicle, Diesel, Frontera Energy Col 2679</v>
      </c>
      <c r="C606" s="41">
        <f>Data!F604</f>
        <v>0</v>
      </c>
      <c r="D606" s="41">
        <f>Data!G604</f>
        <v>0</v>
      </c>
      <c r="E606" s="41">
        <f>Data!H604</f>
        <v>0</v>
      </c>
      <c r="F606" s="41">
        <f>Data!K604</f>
        <v>0</v>
      </c>
      <c r="G606" s="33" t="str">
        <f>Data!M604</f>
        <v>Exceso Velocidad 40 Km/h</v>
      </c>
      <c r="H606" s="41" t="str">
        <f>Data!P604</f>
        <v>ECOPETROL RUBIALES- Quifa - CAÑO SUR: Vía Sin Nombre, Puerto Gaitán, Meta, Colombia</v>
      </c>
      <c r="I606" s="42" t="str">
        <f>Data!Q604</f>
        <v>Cliente, Vel Max 40 Km/h</v>
      </c>
      <c r="J606" s="43">
        <f>Data!S604</f>
        <v>46174.677992245372</v>
      </c>
      <c r="K606" s="44">
        <f>Data!S604</f>
        <v>46174.677992245372</v>
      </c>
      <c r="L606" s="45">
        <f>Data!T604</f>
        <v>1.550925925925926E-4</v>
      </c>
      <c r="M606" s="46">
        <f>Data!U604</f>
        <v>0.15184254944324493</v>
      </c>
      <c r="N606" s="46" t="str">
        <f>CONCATENATE(Data!W604," (",Data!V604,")")</f>
        <v>Exceso Velocidad 40 Km/h (Velocidad máxima: 42 kmh)</v>
      </c>
      <c r="O606" s="42" t="str">
        <f>IF(Data!V604&lt;&gt;"",N606,Data!W604)</f>
        <v>Exceso Velocidad 40 Km/h (Velocidad máxima: 42 kmh)</v>
      </c>
      <c r="P606" s="47" t="str">
        <f>Data!X604</f>
        <v>Válido</v>
      </c>
    </row>
    <row r="607" spans="1:16">
      <c r="A607" s="41" t="str">
        <f>Data!A605</f>
        <v>PKU249</v>
      </c>
      <c r="B607" s="41" t="str">
        <f>Data!D605</f>
        <v>Vehicle, Diesel, Frontera Energy Col 2679</v>
      </c>
      <c r="C607" s="41">
        <f>Data!F605</f>
        <v>0</v>
      </c>
      <c r="D607" s="41">
        <f>Data!G605</f>
        <v>0</v>
      </c>
      <c r="E607" s="41">
        <f>Data!H605</f>
        <v>0</v>
      </c>
      <c r="F607" s="41">
        <f>Data!K605</f>
        <v>0</v>
      </c>
      <c r="G607" s="33" t="str">
        <f>Data!M605</f>
        <v>Exceso Velocidad 40 Km/h</v>
      </c>
      <c r="H607" s="41" t="str">
        <f>Data!P605</f>
        <v>ECOPETROL RUBIALES- Quifa - CAÑO SUR: Vía Sin Nombre, Puerto Gaitán, Meta, Colombia</v>
      </c>
      <c r="I607" s="42" t="str">
        <f>Data!Q605</f>
        <v>Cliente, Vel Max 40 Km/h</v>
      </c>
      <c r="J607" s="43">
        <f>Data!S605</f>
        <v>46174.678700509263</v>
      </c>
      <c r="K607" s="44">
        <f>Data!S605</f>
        <v>46174.678700509263</v>
      </c>
      <c r="L607" s="45">
        <f>Data!T605</f>
        <v>1.9670138888888889E-4</v>
      </c>
      <c r="M607" s="46">
        <f>Data!U605</f>
        <v>0.18039876222610474</v>
      </c>
      <c r="N607" s="46" t="str">
        <f>CONCATENATE(Data!W605," (",Data!V605,")")</f>
        <v>Exceso Velocidad 40 Km/h (Velocidad máxima: 41 kmh)</v>
      </c>
      <c r="O607" s="42" t="str">
        <f>IF(Data!V605&lt;&gt;"",N607,Data!W605)</f>
        <v>Exceso Velocidad 40 Km/h (Velocidad máxima: 41 kmh)</v>
      </c>
      <c r="P607" s="47" t="str">
        <f>Data!X605</f>
        <v>Válido</v>
      </c>
    </row>
    <row r="608" spans="1:16">
      <c r="A608" s="41" t="str">
        <f>Data!A606</f>
        <v>PKU249</v>
      </c>
      <c r="B608" s="41" t="str">
        <f>Data!D606</f>
        <v>Vehicle, Diesel, Frontera Energy Col 2679</v>
      </c>
      <c r="C608" s="41">
        <f>Data!F606</f>
        <v>0</v>
      </c>
      <c r="D608" s="41">
        <f>Data!G606</f>
        <v>0</v>
      </c>
      <c r="E608" s="41">
        <f>Data!H606</f>
        <v>0</v>
      </c>
      <c r="F608" s="41">
        <f>Data!K606</f>
        <v>0</v>
      </c>
      <c r="G608" s="33" t="str">
        <f>Data!M606</f>
        <v>Exceso Velocidad 40 Km/h</v>
      </c>
      <c r="H608" s="41" t="str">
        <f>Data!P606</f>
        <v>ECOPETROL RUBIALES- Quifa - CAÑO SUR: Vía Sin Nombre, Puerto Gaitán, Meta, Colombia</v>
      </c>
      <c r="I608" s="42" t="str">
        <f>Data!Q606</f>
        <v>Cliente, Vel Max 40 Km/h</v>
      </c>
      <c r="J608" s="43">
        <f>Data!S606</f>
        <v>46174.67905353009</v>
      </c>
      <c r="K608" s="44">
        <f>Data!S606</f>
        <v>46174.67905353009</v>
      </c>
      <c r="L608" s="45">
        <f>Data!T606</f>
        <v>1.4600694444444446E-4</v>
      </c>
      <c r="M608" s="46">
        <f>Data!U606</f>
        <v>0.14251084625720978</v>
      </c>
      <c r="N608" s="46" t="str">
        <f>CONCATENATE(Data!W606," (",Data!V606,")")</f>
        <v>Exceso Velocidad 40 Km/h (Velocidad máxima: 42 kmh)</v>
      </c>
      <c r="O608" s="42" t="str">
        <f>IF(Data!V606&lt;&gt;"",N608,Data!W606)</f>
        <v>Exceso Velocidad 40 Km/h (Velocidad máxima: 42 kmh)</v>
      </c>
      <c r="P608" s="47" t="str">
        <f>Data!X606</f>
        <v>Válido</v>
      </c>
    </row>
    <row r="609" spans="1:16">
      <c r="A609" s="41" t="str">
        <f>Data!A607</f>
        <v>PKU249</v>
      </c>
      <c r="B609" s="41" t="str">
        <f>Data!D607</f>
        <v>Vehicle, Diesel, Frontera Energy Col 2679</v>
      </c>
      <c r="C609" s="41">
        <f>Data!F607</f>
        <v>0</v>
      </c>
      <c r="D609" s="41">
        <f>Data!G607</f>
        <v>0</v>
      </c>
      <c r="E609" s="41">
        <f>Data!H607</f>
        <v>0</v>
      </c>
      <c r="F609" s="41">
        <f>Data!K607</f>
        <v>0</v>
      </c>
      <c r="G609" s="33" t="str">
        <f>Data!M607</f>
        <v>Tiempo en ralentí</v>
      </c>
      <c r="H609" s="41" t="str">
        <f>Data!P607</f>
        <v>ECOPETROL RUBIALES- Quifa - CAÑO SUR: Via QF-149, Puerto Gaitán, Meta, Colombia</v>
      </c>
      <c r="I609" s="42" t="str">
        <f>Data!Q607</f>
        <v>Cliente, Vel Max 40 Km/h</v>
      </c>
      <c r="J609" s="43">
        <f>Data!S607</f>
        <v>46174.68311017361</v>
      </c>
      <c r="K609" s="44">
        <f>Data!S607</f>
        <v>46174.68311017361</v>
      </c>
      <c r="L609" s="45">
        <f>Data!T607</f>
        <v>6.4120486111111114E-3</v>
      </c>
      <c r="M609" s="46">
        <f>Data!U607</f>
        <v>5.4729124531149864E-3</v>
      </c>
      <c r="N609" s="46" t="str">
        <f>CONCATENATE(Data!W607," (",Data!V607,")")</f>
        <v>Tiempo en ralentí (Ignición: 1.00)</v>
      </c>
      <c r="O609" s="42" t="str">
        <f>IF(Data!V607&lt;&gt;"",N609,Data!W607)</f>
        <v>Tiempo en ralentí (Ignición: 1.00)</v>
      </c>
      <c r="P609" s="47" t="str">
        <f>Data!X607</f>
        <v>Válido</v>
      </c>
    </row>
    <row r="610" spans="1:16">
      <c r="A610" s="41" t="str">
        <f>Data!A608</f>
        <v>PKU249</v>
      </c>
      <c r="B610" s="41" t="str">
        <f>Data!D608</f>
        <v>Vehicle, Diesel, Frontera Energy Col 2679</v>
      </c>
      <c r="C610" s="41">
        <f>Data!F608</f>
        <v>0</v>
      </c>
      <c r="D610" s="41">
        <f>Data!G608</f>
        <v>0</v>
      </c>
      <c r="E610" s="41">
        <f>Data!H608</f>
        <v>0</v>
      </c>
      <c r="F610" s="41">
        <f>Data!K608</f>
        <v>0</v>
      </c>
      <c r="G610" s="33" t="str">
        <f>Data!M608</f>
        <v>Exceso Velocidad 40 Km/h</v>
      </c>
      <c r="H610" s="41" t="str">
        <f>Data!P608</f>
        <v>ECOPETROL RUBIALES- Quifa - CAÑO SUR: Via QF-149, Puerto Gaitán, Meta, Colombia</v>
      </c>
      <c r="I610" s="42" t="str">
        <f>Data!Q608</f>
        <v>Cliente, Vel Max 40 Km/h</v>
      </c>
      <c r="J610" s="43">
        <f>Data!S608</f>
        <v>46174.691756006941</v>
      </c>
      <c r="K610" s="44">
        <f>Data!S608</f>
        <v>46174.691756006941</v>
      </c>
      <c r="L610" s="45">
        <f>Data!T608</f>
        <v>1.1574074074074075E-4</v>
      </c>
      <c r="M610" s="46">
        <f>Data!U608</f>
        <v>0.11365161091089249</v>
      </c>
      <c r="N610" s="46" t="str">
        <f>CONCATENATE(Data!W608," (",Data!V608,")")</f>
        <v>Exceso Velocidad 40 Km/h (Velocidad máxima: 41 kmh)</v>
      </c>
      <c r="O610" s="42" t="str">
        <f>IF(Data!V608&lt;&gt;"",N610,Data!W608)</f>
        <v>Exceso Velocidad 40 Km/h (Velocidad máxima: 41 kmh)</v>
      </c>
      <c r="P610" s="47" t="str">
        <f>Data!X608</f>
        <v>Válido</v>
      </c>
    </row>
    <row r="611" spans="1:16">
      <c r="A611" s="41" t="str">
        <f>Data!A609</f>
        <v>PKU249</v>
      </c>
      <c r="B611" s="41" t="str">
        <f>Data!D609</f>
        <v>Vehicle, Diesel, Frontera Energy Col 2679</v>
      </c>
      <c r="C611" s="41">
        <f>Data!F609</f>
        <v>0</v>
      </c>
      <c r="D611" s="41">
        <f>Data!G609</f>
        <v>0</v>
      </c>
      <c r="E611" s="41">
        <f>Data!H609</f>
        <v>0</v>
      </c>
      <c r="F611" s="41">
        <f>Data!K609</f>
        <v>0</v>
      </c>
      <c r="G611" s="33" t="str">
        <f>Data!M609</f>
        <v>Exceso Velocidad 40 Km/h</v>
      </c>
      <c r="H611" s="41" t="str">
        <f>Data!P609</f>
        <v>ECOPETROL RUBIALES- Quifa - CAÑO SUR: Vía Sin Nombre, Puerto Gaitán, Meta, Colombia</v>
      </c>
      <c r="I611" s="42" t="str">
        <f>Data!Q609</f>
        <v>Cliente, Vel Max 40 Km/h</v>
      </c>
      <c r="J611" s="43">
        <f>Data!S609</f>
        <v>46174.692700949076</v>
      </c>
      <c r="K611" s="44">
        <f>Data!S609</f>
        <v>46174.692700949076</v>
      </c>
      <c r="L611" s="45">
        <f>Data!T609</f>
        <v>1.0252314814814815E-4</v>
      </c>
      <c r="M611" s="46">
        <f>Data!U609</f>
        <v>0.10366442799568176</v>
      </c>
      <c r="N611" s="46" t="str">
        <f>CONCATENATE(Data!W609," (",Data!V609,")")</f>
        <v>Exceso Velocidad 40 Km/h (Velocidad máxima: 43 kmh)</v>
      </c>
      <c r="O611" s="42" t="str">
        <f>IF(Data!V609&lt;&gt;"",N611,Data!W609)</f>
        <v>Exceso Velocidad 40 Km/h (Velocidad máxima: 43 kmh)</v>
      </c>
      <c r="P611" s="47" t="str">
        <f>Data!X609</f>
        <v>Válido</v>
      </c>
    </row>
    <row r="612" spans="1:16">
      <c r="A612" s="41" t="str">
        <f>Data!A610</f>
        <v>PKU249</v>
      </c>
      <c r="B612" s="41" t="str">
        <f>Data!D610</f>
        <v>Vehicle, Diesel, Frontera Energy Col 2679</v>
      </c>
      <c r="C612" s="41">
        <f>Data!F610</f>
        <v>0</v>
      </c>
      <c r="D612" s="41">
        <f>Data!G610</f>
        <v>0</v>
      </c>
      <c r="E612" s="41">
        <f>Data!H610</f>
        <v>0</v>
      </c>
      <c r="F612" s="41">
        <f>Data!K610</f>
        <v>0</v>
      </c>
      <c r="G612" s="33" t="str">
        <f>Data!M610</f>
        <v>Exceso Velocidad 40 Km/h</v>
      </c>
      <c r="H612" s="41" t="str">
        <f>Data!P610</f>
        <v>ECOPETROL RUBIALES- Quifa - CAÑO SUR: Vía Sin Nombre, Puerto Gaitán, Meta, Colombia</v>
      </c>
      <c r="I612" s="42" t="str">
        <f>Data!Q610</f>
        <v>Cliente, Vel Max 40 Km/h</v>
      </c>
      <c r="J612" s="43">
        <f>Data!S610</f>
        <v>46174.693678958334</v>
      </c>
      <c r="K612" s="44">
        <f>Data!S610</f>
        <v>46174.693678958334</v>
      </c>
      <c r="L612" s="45">
        <f>Data!T610</f>
        <v>3.8491898148148147E-4</v>
      </c>
      <c r="M612" s="46">
        <f>Data!U610</f>
        <v>0.39720970392227173</v>
      </c>
      <c r="N612" s="46" t="str">
        <f>CONCATENATE(Data!W610," (",Data!V610,")")</f>
        <v>Exceso Velocidad 40 Km/h (Velocidad máxima: 45 kmh)</v>
      </c>
      <c r="O612" s="42" t="str">
        <f>IF(Data!V610&lt;&gt;"",N612,Data!W610)</f>
        <v>Exceso Velocidad 40 Km/h (Velocidad máxima: 45 kmh)</v>
      </c>
      <c r="P612" s="47" t="str">
        <f>Data!X610</f>
        <v>Válido</v>
      </c>
    </row>
    <row r="613" spans="1:16">
      <c r="A613" s="41" t="str">
        <f>Data!A611</f>
        <v>PKU249</v>
      </c>
      <c r="B613" s="41" t="str">
        <f>Data!D611</f>
        <v>Vehicle, Diesel, Frontera Energy Col 2679</v>
      </c>
      <c r="C613" s="41">
        <f>Data!F611</f>
        <v>0</v>
      </c>
      <c r="D613" s="41">
        <f>Data!G611</f>
        <v>0</v>
      </c>
      <c r="E613" s="41">
        <f>Data!H611</f>
        <v>0</v>
      </c>
      <c r="F613" s="41">
        <f>Data!K611</f>
        <v>0</v>
      </c>
      <c r="G613" s="33" t="str">
        <f>Data!M611</f>
        <v>Tiempo en ralentí</v>
      </c>
      <c r="H613" s="41" t="str">
        <f>Data!P611</f>
        <v>ECOPETROL RUBIALES- Quifa - CAÑO SUR: Vía Sin Nombre, Puerto Gaitán, Meta, Colombia</v>
      </c>
      <c r="I613" s="42" t="str">
        <f>Data!Q611</f>
        <v>Cliente, Vel Max 40 Km/h</v>
      </c>
      <c r="J613" s="43">
        <f>Data!S611</f>
        <v>46174.695691203706</v>
      </c>
      <c r="K613" s="44">
        <f>Data!S611</f>
        <v>46174.695691203706</v>
      </c>
      <c r="L613" s="45">
        <f>Data!T611</f>
        <v>5.9605324074074074E-3</v>
      </c>
      <c r="M613" s="46">
        <f>Data!U611</f>
        <v>4.2568030767142773E-3</v>
      </c>
      <c r="N613" s="46" t="str">
        <f>CONCATENATE(Data!W611," (",Data!V611,")")</f>
        <v>Tiempo en ralentí (Ignición: 1.00)</v>
      </c>
      <c r="O613" s="42" t="str">
        <f>IF(Data!V611&lt;&gt;"",N613,Data!W611)</f>
        <v>Tiempo en ralentí (Ignición: 1.00)</v>
      </c>
      <c r="P613" s="47" t="str">
        <f>Data!X611</f>
        <v>Válido</v>
      </c>
    </row>
    <row r="614" spans="1:16">
      <c r="A614" s="41" t="str">
        <f>Data!A612</f>
        <v>PKU249</v>
      </c>
      <c r="B614" s="41" t="str">
        <f>Data!D612</f>
        <v>Vehicle, Diesel, Frontera Energy Col 2679</v>
      </c>
      <c r="C614" s="41">
        <f>Data!F612</f>
        <v>0</v>
      </c>
      <c r="D614" s="41">
        <f>Data!G612</f>
        <v>0</v>
      </c>
      <c r="E614" s="41">
        <f>Data!H612</f>
        <v>0</v>
      </c>
      <c r="F614" s="41">
        <f>Data!K612</f>
        <v>0</v>
      </c>
      <c r="G614" s="33" t="str">
        <f>Data!M612</f>
        <v>Exceso Velocidad 30 Km/h</v>
      </c>
      <c r="H614" s="41" t="str">
        <f>Data!P612</f>
        <v>ECOPETROL RUBIALES- Quifa - CAÑO SUR, Puerto Triunfo - Estacion Policia: Puerto Gaitan - Rubiales, Puerto Gaitán, Meta, Colombia</v>
      </c>
      <c r="I614" s="42" t="str">
        <f>Data!Q612</f>
        <v>Cliente, Vel Max 40 Km/h, Vel Max 30 Km/h</v>
      </c>
      <c r="J614" s="43">
        <f>Data!S612</f>
        <v>46174.705940023145</v>
      </c>
      <c r="K614" s="44">
        <f>Data!S612</f>
        <v>46174.705940023145</v>
      </c>
      <c r="L614" s="45">
        <f>Data!T612</f>
        <v>1.3630787037037038E-4</v>
      </c>
      <c r="M614" s="46">
        <f>Data!U612</f>
        <v>0.10690014809370041</v>
      </c>
      <c r="N614" s="46" t="str">
        <f>CONCATENATE(Data!W612," (",Data!V612,")")</f>
        <v>Exceso Velocidad 30 Km/h (Velocidad máxima: 35 kmh)</v>
      </c>
      <c r="O614" s="42" t="str">
        <f>IF(Data!V612&lt;&gt;"",N614,Data!W612)</f>
        <v>Exceso Velocidad 30 Km/h (Velocidad máxima: 35 kmh)</v>
      </c>
      <c r="P614" s="47" t="str">
        <f>Data!X612</f>
        <v>Válido</v>
      </c>
    </row>
    <row r="615" spans="1:16">
      <c r="A615" s="41" t="str">
        <f>Data!A613</f>
        <v>PKU249</v>
      </c>
      <c r="B615" s="41" t="str">
        <f>Data!D613</f>
        <v>Vehicle, Diesel, Frontera Energy Col 2679</v>
      </c>
      <c r="C615" s="41">
        <f>Data!F613</f>
        <v>0</v>
      </c>
      <c r="D615" s="41">
        <f>Data!G613</f>
        <v>0</v>
      </c>
      <c r="E615" s="41">
        <f>Data!H613</f>
        <v>0</v>
      </c>
      <c r="F615" s="41">
        <f>Data!K613</f>
        <v>0</v>
      </c>
      <c r="G615" s="33" t="str">
        <f>Data!M613</f>
        <v>Exceso Velocidad 30 Km/h</v>
      </c>
      <c r="H615" s="41" t="str">
        <f>Data!P613</f>
        <v>ECOPETROL RUBIALES- Quifa - CAÑO SUR, Puerto Triunfo - Estacion Policia: Puerto Gaitan - Rubiales, Puerto Gaitán, Meta, Colombia</v>
      </c>
      <c r="I615" s="42" t="str">
        <f>Data!Q613</f>
        <v>Cliente, Vel Max 40 Km/h, Vel Max 30 Km/h</v>
      </c>
      <c r="J615" s="43">
        <f>Data!S613</f>
        <v>46174.70612703704</v>
      </c>
      <c r="K615" s="44">
        <f>Data!S613</f>
        <v>46174.70612703704</v>
      </c>
      <c r="L615" s="45">
        <f>Data!T613</f>
        <v>6.178240740740741E-5</v>
      </c>
      <c r="M615" s="46">
        <f>Data!U613</f>
        <v>4.4815611094236374E-2</v>
      </c>
      <c r="N615" s="46" t="str">
        <f>CONCATENATE(Data!W613," (",Data!V613,")")</f>
        <v>Exceso Velocidad 30 Km/h (Velocidad máxima: 31 kmh)</v>
      </c>
      <c r="O615" s="42" t="str">
        <f>IF(Data!V613&lt;&gt;"",N615,Data!W613)</f>
        <v>Exceso Velocidad 30 Km/h (Velocidad máxima: 31 kmh)</v>
      </c>
      <c r="P615" s="47" t="str">
        <f>Data!X613</f>
        <v>Válido</v>
      </c>
    </row>
    <row r="616" spans="1:16">
      <c r="A616" s="41" t="str">
        <f>Data!A614</f>
        <v>PKU249</v>
      </c>
      <c r="B616" s="41" t="str">
        <f>Data!D614</f>
        <v>Vehicle, Diesel, Frontera Energy Col 2679</v>
      </c>
      <c r="C616" s="41">
        <f>Data!F614</f>
        <v>0</v>
      </c>
      <c r="D616" s="41">
        <f>Data!G614</f>
        <v>0</v>
      </c>
      <c r="E616" s="41">
        <f>Data!H614</f>
        <v>0</v>
      </c>
      <c r="F616" s="41">
        <f>Data!K614</f>
        <v>0</v>
      </c>
      <c r="G616" s="33" t="str">
        <f>Data!M614</f>
        <v>Exceso Velocidad 30 Km/h</v>
      </c>
      <c r="H616" s="41" t="str">
        <f>Data!P614</f>
        <v>ECOPETROL RUBIALES- Quifa - CAÑO SUR, Puerto Triunfo - Estacion Policia: Puerto Gaitan - Rubiales, Puerto Gaitán, Meta, Colombia</v>
      </c>
      <c r="I616" s="42" t="str">
        <f>Data!Q614</f>
        <v>Cliente, Vel Max 40 Km/h, Vel Max 30 Km/h</v>
      </c>
      <c r="J616" s="43">
        <f>Data!S614</f>
        <v>46174.706614895833</v>
      </c>
      <c r="K616" s="44">
        <f>Data!S614</f>
        <v>46174.706614895833</v>
      </c>
      <c r="L616" s="45">
        <f>Data!T614</f>
        <v>9.5659722222222226E-5</v>
      </c>
      <c r="M616" s="46">
        <f>Data!U614</f>
        <v>7.0703513920307159E-2</v>
      </c>
      <c r="N616" s="46" t="str">
        <f>CONCATENATE(Data!W614," (",Data!V614,")")</f>
        <v>Exceso Velocidad 30 Km/h (Velocidad máxima: 33 kmh)</v>
      </c>
      <c r="O616" s="42" t="str">
        <f>IF(Data!V614&lt;&gt;"",N616,Data!W614)</f>
        <v>Exceso Velocidad 30 Km/h (Velocidad máxima: 33 kmh)</v>
      </c>
      <c r="P616" s="47" t="str">
        <f>Data!X614</f>
        <v>Válido</v>
      </c>
    </row>
    <row r="617" spans="1:16">
      <c r="A617" s="41" t="str">
        <f>Data!A615</f>
        <v>PKU249</v>
      </c>
      <c r="B617" s="41" t="str">
        <f>Data!D615</f>
        <v>Vehicle, Diesel, Frontera Energy Col 2679</v>
      </c>
      <c r="C617" s="41">
        <f>Data!F615</f>
        <v>0</v>
      </c>
      <c r="D617" s="41">
        <f>Data!G615</f>
        <v>0</v>
      </c>
      <c r="E617" s="41">
        <f>Data!H615</f>
        <v>0</v>
      </c>
      <c r="F617" s="41">
        <f>Data!K615</f>
        <v>0</v>
      </c>
      <c r="G617" s="33" t="str">
        <f>Data!M615</f>
        <v>Exceso Velocidad 30 Km/h</v>
      </c>
      <c r="H617" s="41" t="str">
        <f>Data!P615</f>
        <v>ECOPETROL RUBIALES- Quifa - CAÑO SUR, Puerto Triunfo - Estacion Policia: Puerto Gaitan - Rubiales, Puerto Gaitán, Meta, Colombia</v>
      </c>
      <c r="I617" s="42" t="str">
        <f>Data!Q615</f>
        <v>Cliente, Vel Max 40 Km/h, Vel Max 30 Km/h</v>
      </c>
      <c r="J617" s="43">
        <f>Data!S615</f>
        <v>46174.707774409719</v>
      </c>
      <c r="K617" s="44">
        <f>Data!S615</f>
        <v>46174.707774409719</v>
      </c>
      <c r="L617" s="45">
        <f>Data!T615</f>
        <v>5.5949074074074073E-5</v>
      </c>
      <c r="M617" s="46">
        <f>Data!U615</f>
        <v>4.1410494595766068E-2</v>
      </c>
      <c r="N617" s="46" t="str">
        <f>CONCATENATE(Data!W615," (",Data!V615,")")</f>
        <v>Exceso Velocidad 30 Km/h (Velocidad máxima: 31 kmh)</v>
      </c>
      <c r="O617" s="42" t="str">
        <f>IF(Data!V615&lt;&gt;"",N617,Data!W615)</f>
        <v>Exceso Velocidad 30 Km/h (Velocidad máxima: 31 kmh)</v>
      </c>
      <c r="P617" s="47" t="str">
        <f>Data!X615</f>
        <v>Válido</v>
      </c>
    </row>
    <row r="618" spans="1:16">
      <c r="A618" s="41" t="str">
        <f>Data!A616</f>
        <v>PKU249</v>
      </c>
      <c r="B618" s="41" t="str">
        <f>Data!D616</f>
        <v>Vehicle, Diesel, Frontera Energy Col 2679</v>
      </c>
      <c r="C618" s="41">
        <f>Data!F616</f>
        <v>0</v>
      </c>
      <c r="D618" s="41">
        <f>Data!G616</f>
        <v>0</v>
      </c>
      <c r="E618" s="41">
        <f>Data!H616</f>
        <v>0</v>
      </c>
      <c r="F618" s="41">
        <f>Data!K616</f>
        <v>0</v>
      </c>
      <c r="G618" s="33" t="str">
        <f>Data!M616</f>
        <v>Exceso Velocidad 30 Km/h</v>
      </c>
      <c r="H618" s="41" t="str">
        <f>Data!P616</f>
        <v>ECOPETROL RUBIALES- Quifa - CAÑO SUR, Puerto Triunfo - Estacion Policia: Puerto Gaitan - Rubiales, Puerto Gaitán, Meta, Colombia</v>
      </c>
      <c r="I618" s="42" t="str">
        <f>Data!Q616</f>
        <v>Cliente, Vel Max 40 Km/h, Vel Max 30 Km/h</v>
      </c>
      <c r="J618" s="43">
        <f>Data!S616</f>
        <v>46174.708055081021</v>
      </c>
      <c r="K618" s="44">
        <f>Data!S616</f>
        <v>46174.708055081021</v>
      </c>
      <c r="L618" s="45">
        <f>Data!T616</f>
        <v>1.7650462962962962E-4</v>
      </c>
      <c r="M618" s="46">
        <f>Data!U616</f>
        <v>0.1357806921005249</v>
      </c>
      <c r="N618" s="46" t="str">
        <f>CONCATENATE(Data!W616," (",Data!V616,")")</f>
        <v>Exceso Velocidad 30 Km/h (Velocidad máxima: 32 kmh)</v>
      </c>
      <c r="O618" s="42" t="str">
        <f>IF(Data!V616&lt;&gt;"",N618,Data!W616)</f>
        <v>Exceso Velocidad 30 Km/h (Velocidad máxima: 32 kmh)</v>
      </c>
      <c r="P618" s="47" t="str">
        <f>Data!X616</f>
        <v>Válido</v>
      </c>
    </row>
    <row r="619" spans="1:16">
      <c r="A619" s="41" t="str">
        <f>Data!A617</f>
        <v>PKU249</v>
      </c>
      <c r="B619" s="41" t="str">
        <f>Data!D617</f>
        <v>Vehicle, Diesel, Frontera Energy Col 2679</v>
      </c>
      <c r="C619" s="41">
        <f>Data!F617</f>
        <v>0</v>
      </c>
      <c r="D619" s="41">
        <f>Data!G617</f>
        <v>0</v>
      </c>
      <c r="E619" s="41">
        <f>Data!H617</f>
        <v>0</v>
      </c>
      <c r="F619" s="41">
        <f>Data!K617</f>
        <v>0</v>
      </c>
      <c r="G619" s="33" t="str">
        <f>Data!M617</f>
        <v>Exceso Velocidad 10 Km/h</v>
      </c>
      <c r="H619" s="41" t="str">
        <f>Data!P617</f>
        <v>ECOPETROL RUBIALES- Quifa - CAÑO SUR, Puerto Triunfo - Estacion Policia, PUESTRO CONTROL QUIFA: Puerto Gaitan - Rubiales, Puerto Gaitán, Meta, Colombia</v>
      </c>
      <c r="I619" s="42" t="str">
        <f>Data!Q617</f>
        <v>Cliente, Vel Max 40 Km/h, Vel Max 30 Km/h, Vel Max 10 Km/h</v>
      </c>
      <c r="J619" s="43">
        <f>Data!S617</f>
        <v>46174.708542696761</v>
      </c>
      <c r="K619" s="44">
        <f>Data!S617</f>
        <v>46174.708542696761</v>
      </c>
      <c r="L619" s="45">
        <f>Data!T617</f>
        <v>3.0870370370370372E-4</v>
      </c>
      <c r="M619" s="46">
        <f>Data!U617</f>
        <v>0.18495450913906097</v>
      </c>
      <c r="N619" s="46" t="str">
        <f>CONCATENATE(Data!W617," (",Data!V617,")")</f>
        <v>Exceso Velocidad 10 Km/h (Velocidad máxima: 33 kmh)</v>
      </c>
      <c r="O619" s="42" t="str">
        <f>IF(Data!V617&lt;&gt;"",N619,Data!W617)</f>
        <v>Exceso Velocidad 10 Km/h (Velocidad máxima: 33 kmh)</v>
      </c>
      <c r="P619" s="47" t="str">
        <f>Data!X617</f>
        <v>Válido</v>
      </c>
    </row>
    <row r="620" spans="1:16">
      <c r="A620" s="41" t="str">
        <f>Data!A618</f>
        <v>PKU249</v>
      </c>
      <c r="B620" s="41" t="str">
        <f>Data!D618</f>
        <v>Vehicle, Diesel, Frontera Energy Col 2679</v>
      </c>
      <c r="C620" s="41">
        <f>Data!F618</f>
        <v>0</v>
      </c>
      <c r="D620" s="41">
        <f>Data!G618</f>
        <v>0</v>
      </c>
      <c r="E620" s="41">
        <f>Data!H618</f>
        <v>0</v>
      </c>
      <c r="F620" s="41">
        <f>Data!K618</f>
        <v>0</v>
      </c>
      <c r="G620" s="33" t="str">
        <f>Data!M618</f>
        <v>Exceso Velocidad 30 Km/h</v>
      </c>
      <c r="H620" s="41" t="str">
        <f>Data!P618</f>
        <v>ECOPETROL RUBIALES- Quifa - CAÑO SUR, Puerto Triunfo - Estacion Policia, PUESTRO CONTROL QUIFA: Puerto Gaitan - Rubiales, Puerto Gaitán, Meta, Colombia</v>
      </c>
      <c r="I620" s="42" t="str">
        <f>Data!Q618</f>
        <v>Cliente, Vel Max 40 Km/h, Vel Max 30 Km/h, Vel Max 10 Km/h</v>
      </c>
      <c r="J620" s="43">
        <f>Data!S618</f>
        <v>46174.708802187502</v>
      </c>
      <c r="K620" s="44">
        <f>Data!S618</f>
        <v>46174.708802187502</v>
      </c>
      <c r="L620" s="45">
        <f>Data!T618</f>
        <v>1.6049768518518518E-4</v>
      </c>
      <c r="M620" s="46">
        <f>Data!U618</f>
        <v>0.1236380934715271</v>
      </c>
      <c r="N620" s="46" t="str">
        <f>CONCATENATE(Data!W618," (",Data!V618,")")</f>
        <v>Exceso Velocidad 30 Km/h (Velocidad máxima: 34 kmh)</v>
      </c>
      <c r="O620" s="42" t="str">
        <f>IF(Data!V618&lt;&gt;"",N620,Data!W618)</f>
        <v>Exceso Velocidad 30 Km/h (Velocidad máxima: 34 kmh)</v>
      </c>
      <c r="P620" s="47" t="str">
        <f>Data!X618</f>
        <v>Válido</v>
      </c>
    </row>
    <row r="621" spans="1:16">
      <c r="A621" s="41" t="str">
        <f>Data!A619</f>
        <v>PKU249</v>
      </c>
      <c r="B621" s="41" t="str">
        <f>Data!D619</f>
        <v>Vehicle, Diesel, Frontera Energy Col 2679</v>
      </c>
      <c r="C621" s="41">
        <f>Data!F619</f>
        <v>0</v>
      </c>
      <c r="D621" s="41">
        <f>Data!G619</f>
        <v>0</v>
      </c>
      <c r="E621" s="41">
        <f>Data!H619</f>
        <v>0</v>
      </c>
      <c r="F621" s="41">
        <f>Data!K619</f>
        <v>0</v>
      </c>
      <c r="G621" s="33" t="str">
        <f>Data!M619</f>
        <v>Exceso Velocidad 30 Km/h</v>
      </c>
      <c r="H621" s="41" t="str">
        <f>Data!P619</f>
        <v>ECOPETROL RUBIALES- Quifa - CAÑO SUR, Puerto Triunfo - Estacion Policia: Puerto Gaitan - Rubiales, Puerto Gaitán, Meta, Colombia</v>
      </c>
      <c r="I621" s="42" t="str">
        <f>Data!Q619</f>
        <v>Cliente, Vel Max 40 Km/h, Vel Max 30 Km/h</v>
      </c>
      <c r="J621" s="43">
        <f>Data!S619</f>
        <v>46174.709561782409</v>
      </c>
      <c r="K621" s="44">
        <f>Data!S619</f>
        <v>46174.709561782409</v>
      </c>
      <c r="L621" s="45">
        <f>Data!T619</f>
        <v>7.6053240740740736E-5</v>
      </c>
      <c r="M621" s="46">
        <f>Data!U619</f>
        <v>5.8625217527151108E-2</v>
      </c>
      <c r="N621" s="46" t="str">
        <f>CONCATENATE(Data!W619," (",Data!V619,")")</f>
        <v>Exceso Velocidad 30 Km/h (Velocidad máxima: 34 kmh)</v>
      </c>
      <c r="O621" s="42" t="str">
        <f>IF(Data!V619&lt;&gt;"",N621,Data!W619)</f>
        <v>Exceso Velocidad 30 Km/h (Velocidad máxima: 34 kmh)</v>
      </c>
      <c r="P621" s="47" t="str">
        <f>Data!X619</f>
        <v>Válido</v>
      </c>
    </row>
    <row r="622" spans="1:16">
      <c r="A622" s="41" t="str">
        <f>Data!A620</f>
        <v>PKU249</v>
      </c>
      <c r="B622" s="41" t="str">
        <f>Data!D620</f>
        <v>Vehicle, Diesel, Frontera Energy Col 2679</v>
      </c>
      <c r="C622" s="41">
        <f>Data!F620</f>
        <v>0</v>
      </c>
      <c r="D622" s="41">
        <f>Data!G620</f>
        <v>0</v>
      </c>
      <c r="E622" s="41">
        <f>Data!H620</f>
        <v>0</v>
      </c>
      <c r="F622" s="41">
        <f>Data!K620</f>
        <v>0</v>
      </c>
      <c r="G622" s="33" t="str">
        <f>Data!M620</f>
        <v>Exceso Velocidad 30 Km/h</v>
      </c>
      <c r="H622" s="41" t="str">
        <f>Data!P620</f>
        <v>ECOPETROL RUBIALES- Quifa - CAÑO SUR, Puerto Triunfo - Estacion Policia: Puerto Gaitan - Rubiales, Puerto Gaitán, Meta, Colombia</v>
      </c>
      <c r="I622" s="42" t="str">
        <f>Data!Q620</f>
        <v>Cliente, Vel Max 40 Km/h, Vel Max 30 Km/h</v>
      </c>
      <c r="J622" s="43">
        <f>Data!S620</f>
        <v>46174.709904039351</v>
      </c>
      <c r="K622" s="44">
        <f>Data!S620</f>
        <v>46174.709904039351</v>
      </c>
      <c r="L622" s="45">
        <f>Data!T620</f>
        <v>2.0172453703703704E-4</v>
      </c>
      <c r="M622" s="46">
        <f>Data!U620</f>
        <v>0.15199515223503113</v>
      </c>
      <c r="N622" s="46" t="str">
        <f>CONCATENATE(Data!W620," (",Data!V620,")")</f>
        <v>Exceso Velocidad 30 Km/h (Velocidad máxima: 31 kmh)</v>
      </c>
      <c r="O622" s="42" t="str">
        <f>IF(Data!V620&lt;&gt;"",N622,Data!W620)</f>
        <v>Exceso Velocidad 30 Km/h (Velocidad máxima: 31 kmh)</v>
      </c>
      <c r="P622" s="47" t="str">
        <f>Data!X620</f>
        <v>Válido</v>
      </c>
    </row>
    <row r="623" spans="1:16">
      <c r="A623" s="41" t="str">
        <f>Data!A621</f>
        <v>PKU249</v>
      </c>
      <c r="B623" s="41" t="str">
        <f>Data!D621</f>
        <v>Vehicle, Diesel, Frontera Energy Col 2679</v>
      </c>
      <c r="C623" s="41">
        <f>Data!F621</f>
        <v>0</v>
      </c>
      <c r="D623" s="41">
        <f>Data!G621</f>
        <v>0</v>
      </c>
      <c r="E623" s="41">
        <f>Data!H621</f>
        <v>0</v>
      </c>
      <c r="F623" s="41">
        <f>Data!K621</f>
        <v>0</v>
      </c>
      <c r="G623" s="33" t="str">
        <f>Data!M621</f>
        <v>Exceso Velocidad 30 Km/h</v>
      </c>
      <c r="H623" s="41" t="str">
        <f>Data!P621</f>
        <v>ECOPETROL RUBIALES- Quifa - CAÑO SUR, Puerto Triunfo - Estacion Policia: Puerto Gaitan - Rubiales, Puerto Gaitán, Meta, Colombia</v>
      </c>
      <c r="I623" s="42" t="str">
        <f>Data!Q621</f>
        <v>Cliente, Vel Max 40 Km/h, Vel Max 30 Km/h</v>
      </c>
      <c r="J623" s="43">
        <f>Data!S621</f>
        <v>46174.73301650463</v>
      </c>
      <c r="K623" s="44">
        <f>Data!S621</f>
        <v>46174.73301650463</v>
      </c>
      <c r="L623" s="45">
        <f>Data!T621</f>
        <v>3.5752314814814815E-4</v>
      </c>
      <c r="M623" s="46">
        <f>Data!U621</f>
        <v>0.29280775785446167</v>
      </c>
      <c r="N623" s="46" t="str">
        <f>CONCATENATE(Data!W621," (",Data!V621,")")</f>
        <v>Exceso Velocidad 30 Km/h (Velocidad máxima: 36 kmh)</v>
      </c>
      <c r="O623" s="42" t="str">
        <f>IF(Data!V621&lt;&gt;"",N623,Data!W621)</f>
        <v>Exceso Velocidad 30 Km/h (Velocidad máxima: 36 kmh)</v>
      </c>
      <c r="P623" s="47" t="str">
        <f>Data!X621</f>
        <v>Válido</v>
      </c>
    </row>
    <row r="624" spans="1:16">
      <c r="A624" s="41" t="str">
        <f>Data!A622</f>
        <v>PKU249</v>
      </c>
      <c r="B624" s="41" t="str">
        <f>Data!D622</f>
        <v>Vehicle, Diesel, Frontera Energy Col 2679</v>
      </c>
      <c r="C624" s="41">
        <f>Data!F622</f>
        <v>0</v>
      </c>
      <c r="D624" s="41">
        <f>Data!G622</f>
        <v>0</v>
      </c>
      <c r="E624" s="41">
        <f>Data!H622</f>
        <v>0</v>
      </c>
      <c r="F624" s="41">
        <f>Data!K622</f>
        <v>0</v>
      </c>
      <c r="G624" s="33" t="str">
        <f>Data!M622</f>
        <v>Exceso Velocidad 30 Km/h</v>
      </c>
      <c r="H624" s="41" t="str">
        <f>Data!P622</f>
        <v>ECOPETROL RUBIALES- Quifa - CAÑO SUR, Puerto Triunfo - Estacion Policia: Puerto Gaitan - Rubiales, Puerto Gaitán, Meta, Colombia</v>
      </c>
      <c r="I624" s="42" t="str">
        <f>Data!Q622</f>
        <v>Cliente, Vel Max 40 Km/h, Vel Max 30 Km/h</v>
      </c>
      <c r="J624" s="43">
        <f>Data!S622</f>
        <v>46174.733556805557</v>
      </c>
      <c r="K624" s="44">
        <f>Data!S622</f>
        <v>46174.733556805557</v>
      </c>
      <c r="L624" s="45">
        <f>Data!T622</f>
        <v>7.790509259259259E-5</v>
      </c>
      <c r="M624" s="46">
        <f>Data!U622</f>
        <v>6.0556892305612564E-2</v>
      </c>
      <c r="N624" s="46" t="str">
        <f>CONCATENATE(Data!W622," (",Data!V622,")")</f>
        <v>Exceso Velocidad 30 Km/h (Velocidad máxima: 35 kmh)</v>
      </c>
      <c r="O624" s="42" t="str">
        <f>IF(Data!V622&lt;&gt;"",N624,Data!W622)</f>
        <v>Exceso Velocidad 30 Km/h (Velocidad máxima: 35 kmh)</v>
      </c>
      <c r="P624" s="47" t="str">
        <f>Data!X622</f>
        <v>Válido</v>
      </c>
    </row>
    <row r="625" spans="1:16">
      <c r="A625" s="41" t="str">
        <f>Data!A623</f>
        <v>PKU249</v>
      </c>
      <c r="B625" s="41" t="str">
        <f>Data!D623</f>
        <v>Vehicle, Diesel, Frontera Energy Col 2679</v>
      </c>
      <c r="C625" s="41">
        <f>Data!F623</f>
        <v>0</v>
      </c>
      <c r="D625" s="41">
        <f>Data!G623</f>
        <v>0</v>
      </c>
      <c r="E625" s="41">
        <f>Data!H623</f>
        <v>0</v>
      </c>
      <c r="F625" s="41">
        <f>Data!K623</f>
        <v>0</v>
      </c>
      <c r="G625" s="33" t="str">
        <f>Data!M623</f>
        <v>Exceso Velocidad 10 Km/h</v>
      </c>
      <c r="H625" s="41" t="str">
        <f>Data!P623</f>
        <v>ECOPETROL RUBIALES- Quifa - CAÑO SUR, Puerto Triunfo - Estacion Policia, PUESTRO CONTROL QUIFA: Puerto Gaitan - Rubiales, Puerto Gaitán, Meta, Colombia</v>
      </c>
      <c r="I625" s="42" t="str">
        <f>Data!Q623</f>
        <v>Cliente, Vel Max 40 Km/h, Vel Max 30 Km/h, Vel Max 10 Km/h</v>
      </c>
      <c r="J625" s="43">
        <f>Data!S623</f>
        <v>46174.73462116898</v>
      </c>
      <c r="K625" s="44">
        <f>Data!S623</f>
        <v>46174.73462116898</v>
      </c>
      <c r="L625" s="45">
        <f>Data!T623</f>
        <v>3.052546296296296E-4</v>
      </c>
      <c r="M625" s="46">
        <f>Data!U623</f>
        <v>0.18322302401065826</v>
      </c>
      <c r="N625" s="46" t="str">
        <f>CONCATENATE(Data!W623," (",Data!V623,")")</f>
        <v>Exceso Velocidad 10 Km/h (Velocidad máxima: 38 kmh)</v>
      </c>
      <c r="O625" s="42" t="str">
        <f>IF(Data!V623&lt;&gt;"",N625,Data!W623)</f>
        <v>Exceso Velocidad 10 Km/h (Velocidad máxima: 38 kmh)</v>
      </c>
      <c r="P625" s="47" t="str">
        <f>Data!X623</f>
        <v>Válido</v>
      </c>
    </row>
    <row r="626" spans="1:16">
      <c r="A626" s="41" t="str">
        <f>Data!A624</f>
        <v>PKU249</v>
      </c>
      <c r="B626" s="41" t="str">
        <f>Data!D624</f>
        <v>Vehicle, Diesel, Frontera Energy Col 2679</v>
      </c>
      <c r="C626" s="41">
        <f>Data!F624</f>
        <v>0</v>
      </c>
      <c r="D626" s="41">
        <f>Data!G624</f>
        <v>0</v>
      </c>
      <c r="E626" s="41">
        <f>Data!H624</f>
        <v>0</v>
      </c>
      <c r="F626" s="41">
        <f>Data!K624</f>
        <v>0</v>
      </c>
      <c r="G626" s="33" t="str">
        <f>Data!M624</f>
        <v>Exceso Velocidad 30 Km/h</v>
      </c>
      <c r="H626" s="41" t="str">
        <f>Data!P624</f>
        <v>ECOPETROL RUBIALES- Quifa - CAÑO SUR, Puerto Triunfo - Estacion Policia, PUESTRO CONTROL QUIFA: Puerto Gaitan - Rubiales, Puerto Gaitán, Meta, Colombia</v>
      </c>
      <c r="I626" s="42" t="str">
        <f>Data!Q624</f>
        <v>Cliente, Vel Max 40 Km/h, Vel Max 30 Km/h, Vel Max 10 Km/h</v>
      </c>
      <c r="J626" s="43">
        <f>Data!S624</f>
        <v>46174.734886030092</v>
      </c>
      <c r="K626" s="44">
        <f>Data!S624</f>
        <v>46174.734886030092</v>
      </c>
      <c r="L626" s="45">
        <f>Data!T624</f>
        <v>4.7033564814814816E-4</v>
      </c>
      <c r="M626" s="46">
        <f>Data!U624</f>
        <v>0.40296053886413574</v>
      </c>
      <c r="N626" s="46" t="str">
        <f>CONCATENATE(Data!W624," (",Data!V624,")")</f>
        <v>Exceso Velocidad 30 Km/h (Velocidad máxima: 38 kmh)</v>
      </c>
      <c r="O626" s="42" t="str">
        <f>IF(Data!V624&lt;&gt;"",N626,Data!W624)</f>
        <v>Exceso Velocidad 30 Km/h (Velocidad máxima: 38 kmh)</v>
      </c>
      <c r="P626" s="47" t="str">
        <f>Data!X624</f>
        <v>Válido</v>
      </c>
    </row>
    <row r="627" spans="1:16">
      <c r="A627" s="41" t="str">
        <f>Data!A625</f>
        <v>PKU249</v>
      </c>
      <c r="B627" s="41" t="str">
        <f>Data!D625</f>
        <v>Vehicle, Diesel, Frontera Energy Col 2679</v>
      </c>
      <c r="C627" s="41">
        <f>Data!F625</f>
        <v>0</v>
      </c>
      <c r="D627" s="41">
        <f>Data!G625</f>
        <v>0</v>
      </c>
      <c r="E627" s="41">
        <f>Data!H625</f>
        <v>0</v>
      </c>
      <c r="F627" s="41">
        <f>Data!K625</f>
        <v>0</v>
      </c>
      <c r="G627" s="33" t="str">
        <f>Data!M625</f>
        <v>Exceso Velocidad 30 Km/h</v>
      </c>
      <c r="H627" s="41" t="str">
        <f>Data!P625</f>
        <v>ECOPETROL RUBIALES- Quifa - CAÑO SUR, Puerto Triunfo - Estacion Policia: Puerto Gaitan - Rubiales, Puerto Gaitán, Meta, Colombia</v>
      </c>
      <c r="I627" s="42" t="str">
        <f>Data!Q625</f>
        <v>Cliente, Vel Max 40 Km/h, Vel Max 30 Km/h</v>
      </c>
      <c r="J627" s="43">
        <f>Data!S625</f>
        <v>46174.737363298613</v>
      </c>
      <c r="K627" s="44">
        <f>Data!S625</f>
        <v>46174.737363298613</v>
      </c>
      <c r="L627" s="45">
        <f>Data!T625</f>
        <v>4.7453703703703701E-5</v>
      </c>
      <c r="M627" s="46">
        <f>Data!U625</f>
        <v>3.545369952917099E-2</v>
      </c>
      <c r="N627" s="46" t="str">
        <f>CONCATENATE(Data!W625," (",Data!V625,")")</f>
        <v>Exceso Velocidad 30 Km/h (Velocidad máxima: 32 kmh)</v>
      </c>
      <c r="O627" s="42" t="str">
        <f>IF(Data!V625&lt;&gt;"",N627,Data!W625)</f>
        <v>Exceso Velocidad 30 Km/h (Velocidad máxima: 32 kmh)</v>
      </c>
      <c r="P627" s="47" t="str">
        <f>Data!X625</f>
        <v>Válido</v>
      </c>
    </row>
    <row r="628" spans="1:16">
      <c r="A628" s="41" t="str">
        <f>Data!A626</f>
        <v>PKU249</v>
      </c>
      <c r="B628" s="41" t="str">
        <f>Data!D626</f>
        <v>Vehicle, Diesel, Frontera Energy Col 2679</v>
      </c>
      <c r="C628" s="41">
        <f>Data!F626</f>
        <v>0</v>
      </c>
      <c r="D628" s="41">
        <f>Data!G626</f>
        <v>0</v>
      </c>
      <c r="E628" s="41">
        <f>Data!H626</f>
        <v>0</v>
      </c>
      <c r="F628" s="41">
        <f>Data!K626</f>
        <v>0</v>
      </c>
      <c r="G628" s="33" t="str">
        <f>Data!M626</f>
        <v>Exceso Velocidad 30 Km/h</v>
      </c>
      <c r="H628" s="41" t="str">
        <f>Data!P626</f>
        <v>ECOPETROL RUBIALES- Quifa - CAÑO SUR, Puerto Triunfo - Estacion Policia: vereda puerto triunfo Km 129+300 vía rubiales, Puerto Gaitán, Meta, Colombia</v>
      </c>
      <c r="I628" s="42" t="str">
        <f>Data!Q626</f>
        <v>Cliente, Vel Max 40 Km/h, Vel Max 30 Km/h</v>
      </c>
      <c r="J628" s="43">
        <f>Data!S626</f>
        <v>46174.751733645833</v>
      </c>
      <c r="K628" s="44">
        <f>Data!S626</f>
        <v>46174.751733645833</v>
      </c>
      <c r="L628" s="45">
        <f>Data!T626</f>
        <v>6.9444444444444444E-5</v>
      </c>
      <c r="M628" s="46">
        <f>Data!U626</f>
        <v>5.6236539036035538E-2</v>
      </c>
      <c r="N628" s="46" t="str">
        <f>CONCATENATE(Data!W626," (",Data!V626,")")</f>
        <v>Exceso Velocidad 30 Km/h (Velocidad máxima: 32 kmh)</v>
      </c>
      <c r="O628" s="42" t="str">
        <f>IF(Data!V626&lt;&gt;"",N628,Data!W626)</f>
        <v>Exceso Velocidad 30 Km/h (Velocidad máxima: 32 kmh)</v>
      </c>
      <c r="P628" s="47" t="str">
        <f>Data!X626</f>
        <v>Válido</v>
      </c>
    </row>
    <row r="629" spans="1:16">
      <c r="A629" s="41" t="str">
        <f>Data!A627</f>
        <v>PKU249</v>
      </c>
      <c r="B629" s="41" t="str">
        <f>Data!D627</f>
        <v>Vehicle, Diesel, Frontera Energy Col 2679</v>
      </c>
      <c r="C629" s="41">
        <f>Data!F627</f>
        <v>0</v>
      </c>
      <c r="D629" s="41">
        <f>Data!G627</f>
        <v>0</v>
      </c>
      <c r="E629" s="41">
        <f>Data!H627</f>
        <v>0</v>
      </c>
      <c r="F629" s="41">
        <f>Data!K627</f>
        <v>0</v>
      </c>
      <c r="G629" s="33" t="str">
        <f>Data!M627</f>
        <v>Exceso Velocidad 30 Km/h</v>
      </c>
      <c r="H629" s="41" t="str">
        <f>Data!P627</f>
        <v>ECOPETROL RUBIALES- Quifa - CAÑO SUR, Puerto Triunfo - Estacion Policia: Puerto Gaitan - Rubiales, Puerto Gaitán, Meta, Colombia</v>
      </c>
      <c r="I629" s="42" t="str">
        <f>Data!Q627</f>
        <v>Cliente, Vel Max 40 Km/h, Vel Max 30 Km/h</v>
      </c>
      <c r="J629" s="43">
        <f>Data!S627</f>
        <v>46174.752204317127</v>
      </c>
      <c r="K629" s="44">
        <f>Data!S627</f>
        <v>46174.752204317127</v>
      </c>
      <c r="L629" s="45">
        <f>Data!T627</f>
        <v>2.3148148148148147E-5</v>
      </c>
      <c r="M629" s="46">
        <f>Data!U627</f>
        <v>1.6849186271429062E-2</v>
      </c>
      <c r="N629" s="46" t="str">
        <f>CONCATENATE(Data!W627," (",Data!V627,")")</f>
        <v>Exceso Velocidad 30 Km/h (Velocidad máxima: 31 kmh)</v>
      </c>
      <c r="O629" s="42" t="str">
        <f>IF(Data!V627&lt;&gt;"",N629,Data!W627)</f>
        <v>Exceso Velocidad 30 Km/h (Velocidad máxima: 31 kmh)</v>
      </c>
      <c r="P629" s="47" t="str">
        <f>Data!X627</f>
        <v>Válido</v>
      </c>
    </row>
    <row r="630" spans="1:16">
      <c r="A630" s="41" t="str">
        <f>Data!A628</f>
        <v>PKU249</v>
      </c>
      <c r="B630" s="41" t="str">
        <f>Data!D628</f>
        <v>Vehicle, Diesel, Frontera Energy Col 2679</v>
      </c>
      <c r="C630" s="41">
        <f>Data!F628</f>
        <v>0</v>
      </c>
      <c r="D630" s="41">
        <f>Data!G628</f>
        <v>0</v>
      </c>
      <c r="E630" s="41">
        <f>Data!H628</f>
        <v>0</v>
      </c>
      <c r="F630" s="41">
        <f>Data!K628</f>
        <v>0</v>
      </c>
      <c r="G630" s="33" t="str">
        <f>Data!M628</f>
        <v>Exceso Velocidad 30 Km/h</v>
      </c>
      <c r="H630" s="41" t="str">
        <f>Data!P628</f>
        <v>ECOPETROL RUBIALES- Quifa - CAÑO SUR, Puerto Triunfo - Estacion Policia: Puerto Gaitan - Rubiales, Puerto Gaitán, Meta, Colombia</v>
      </c>
      <c r="I630" s="42" t="str">
        <f>Data!Q628</f>
        <v>Cliente, Vel Max 40 Km/h, Vel Max 30 Km/h</v>
      </c>
      <c r="J630" s="43">
        <f>Data!S628</f>
        <v>46174.752462037039</v>
      </c>
      <c r="K630" s="44">
        <f>Data!S628</f>
        <v>46174.752462037039</v>
      </c>
      <c r="L630" s="45">
        <f>Data!T628</f>
        <v>1.6666666666666666E-4</v>
      </c>
      <c r="M630" s="46">
        <f>Data!U628</f>
        <v>0.15271709859371185</v>
      </c>
      <c r="N630" s="46" t="str">
        <f>CONCATENATE(Data!W628," (",Data!V628,")")</f>
        <v>Exceso Velocidad 30 Km/h (Velocidad máxima: 41 kmh)</v>
      </c>
      <c r="O630" s="42" t="str">
        <f>IF(Data!V628&lt;&gt;"",N630,Data!W628)</f>
        <v>Exceso Velocidad 30 Km/h (Velocidad máxima: 41 kmh)</v>
      </c>
      <c r="P630" s="47" t="str">
        <f>Data!X628</f>
        <v>Válido</v>
      </c>
    </row>
    <row r="631" spans="1:16">
      <c r="A631" s="41" t="str">
        <f>Data!A629</f>
        <v>PKU249</v>
      </c>
      <c r="B631" s="41" t="str">
        <f>Data!D629</f>
        <v>Vehicle, Diesel, Frontera Energy Col 2679</v>
      </c>
      <c r="C631" s="41">
        <f>Data!F629</f>
        <v>0</v>
      </c>
      <c r="D631" s="41">
        <f>Data!G629</f>
        <v>0</v>
      </c>
      <c r="E631" s="41">
        <f>Data!H629</f>
        <v>0</v>
      </c>
      <c r="F631" s="41">
        <f>Data!K629</f>
        <v>0</v>
      </c>
      <c r="G631" s="33" t="str">
        <f>Data!M629</f>
        <v>Exceso Velocidad 40 Km/h</v>
      </c>
      <c r="H631" s="41" t="str">
        <f>Data!P629</f>
        <v>ECOPETROL RUBIALES- Quifa - CAÑO SUR, Puerto Triunfo - Estacion Policia: Puerto Gaitan - Rubiales, Puerto Gaitán, Meta, Colombia</v>
      </c>
      <c r="I631" s="42" t="str">
        <f>Data!Q629</f>
        <v>Cliente, Vel Max 40 Km/h, Vel Max 30 Km/h</v>
      </c>
      <c r="J631" s="43">
        <f>Data!S629</f>
        <v>46174.752508333331</v>
      </c>
      <c r="K631" s="44">
        <f>Data!S629</f>
        <v>46174.752508333331</v>
      </c>
      <c r="L631" s="45">
        <f>Data!T629</f>
        <v>4.6712962962962966E-5</v>
      </c>
      <c r="M631" s="46">
        <f>Data!U629</f>
        <v>4.5018091797828674E-2</v>
      </c>
      <c r="N631" s="46" t="str">
        <f>CONCATENATE(Data!W629," (",Data!V629,")")</f>
        <v>Exceso Velocidad 40 Km/h (Velocidad máxima: 41 kmh)</v>
      </c>
      <c r="O631" s="42" t="str">
        <f>IF(Data!V629&lt;&gt;"",N631,Data!W629)</f>
        <v>Exceso Velocidad 40 Km/h (Velocidad máxima: 41 kmh)</v>
      </c>
      <c r="P631" s="47" t="str">
        <f>Data!X629</f>
        <v>Válido</v>
      </c>
    </row>
    <row r="632" spans="1:16">
      <c r="A632" s="41" t="str">
        <f>Data!A630</f>
        <v>PKU249</v>
      </c>
      <c r="B632" s="41" t="str">
        <f>Data!D630</f>
        <v>Vehicle, Diesel, Frontera Energy Col 2679</v>
      </c>
      <c r="C632" s="41">
        <f>Data!F630</f>
        <v>0</v>
      </c>
      <c r="D632" s="41">
        <f>Data!G630</f>
        <v>0</v>
      </c>
      <c r="E632" s="41">
        <f>Data!H630</f>
        <v>0</v>
      </c>
      <c r="F632" s="41">
        <f>Data!K630</f>
        <v>0</v>
      </c>
      <c r="G632" s="33" t="str">
        <f>Data!M630</f>
        <v>Exceso Velocidad 30 Km/h</v>
      </c>
      <c r="H632" s="41" t="str">
        <f>Data!P630</f>
        <v>ECOPETROL RUBIALES- Quifa - CAÑO SUR, Puerto Triunfo - Estacion Policia: Puerto Gaitan - Rubiales, Puerto Gaitán, Meta, Colombia</v>
      </c>
      <c r="I632" s="42" t="str">
        <f>Data!Q630</f>
        <v>Cliente, Vel Max 40 Km/h, Vel Max 30 Km/h</v>
      </c>
      <c r="J632" s="43">
        <f>Data!S630</f>
        <v>46174.752628703704</v>
      </c>
      <c r="K632" s="44">
        <f>Data!S630</f>
        <v>46174.752628703704</v>
      </c>
      <c r="L632" s="45">
        <f>Data!T630</f>
        <v>1.4917824074074074E-4</v>
      </c>
      <c r="M632" s="46">
        <f>Data!U630</f>
        <v>0.12915985286235809</v>
      </c>
      <c r="N632" s="46" t="str">
        <f>CONCATENATE(Data!W630," (",Data!V630,")")</f>
        <v>Exceso Velocidad 30 Km/h (Velocidad máxima: 38 kmh)</v>
      </c>
      <c r="O632" s="42" t="str">
        <f>IF(Data!V630&lt;&gt;"",N632,Data!W630)</f>
        <v>Exceso Velocidad 30 Km/h (Velocidad máxima: 38 kmh)</v>
      </c>
      <c r="P632" s="47" t="str">
        <f>Data!X630</f>
        <v>Válido</v>
      </c>
    </row>
    <row r="633" spans="1:16">
      <c r="A633" s="41" t="str">
        <f>Data!A631</f>
        <v>PKU249</v>
      </c>
      <c r="B633" s="41" t="str">
        <f>Data!D631</f>
        <v>Vehicle, Diesel, Frontera Energy Col 2679</v>
      </c>
      <c r="C633" s="41">
        <f>Data!F631</f>
        <v>0</v>
      </c>
      <c r="D633" s="41">
        <f>Data!G631</f>
        <v>0</v>
      </c>
      <c r="E633" s="41">
        <f>Data!H631</f>
        <v>0</v>
      </c>
      <c r="F633" s="41">
        <f>Data!K631</f>
        <v>0</v>
      </c>
      <c r="G633" s="33" t="str">
        <f>Data!M631</f>
        <v>Exceso Velocidad 30 Km/h</v>
      </c>
      <c r="H633" s="41" t="str">
        <f>Data!P631</f>
        <v>ECOPETROL RUBIALES- Quifa - CAÑO SUR, Puerto Triunfo - Estacion Policia: Puerto Gaitan - Rubiales, Puerto Gaitán, Meta, Colombia</v>
      </c>
      <c r="I633" s="42" t="str">
        <f>Data!Q631</f>
        <v>Cliente, Vel Max 40 Km/h, Vel Max 30 Km/h</v>
      </c>
      <c r="J633" s="43">
        <f>Data!S631</f>
        <v>46174.753809374997</v>
      </c>
      <c r="K633" s="44">
        <f>Data!S631</f>
        <v>46174.753809374997</v>
      </c>
      <c r="L633" s="45">
        <f>Data!T631</f>
        <v>2.9216435185185183E-4</v>
      </c>
      <c r="M633" s="46">
        <f>Data!U631</f>
        <v>0.22823844850063324</v>
      </c>
      <c r="N633" s="46" t="str">
        <f>CONCATENATE(Data!W631," (",Data!V631,")")</f>
        <v>Exceso Velocidad 30 Km/h (Velocidad máxima: 36 kmh)</v>
      </c>
      <c r="O633" s="42" t="str">
        <f>IF(Data!V631&lt;&gt;"",N633,Data!W631)</f>
        <v>Exceso Velocidad 30 Km/h (Velocidad máxima: 36 kmh)</v>
      </c>
      <c r="P633" s="47" t="str">
        <f>Data!X631</f>
        <v>Válido</v>
      </c>
    </row>
    <row r="634" spans="1:16">
      <c r="A634" s="41" t="str">
        <f>Data!A632</f>
        <v>PKU249</v>
      </c>
      <c r="B634" s="41" t="str">
        <f>Data!D632</f>
        <v>Vehicle, Diesel, Frontera Energy Col 2679</v>
      </c>
      <c r="C634" s="41">
        <f>Data!F632</f>
        <v>0</v>
      </c>
      <c r="D634" s="41">
        <f>Data!G632</f>
        <v>0</v>
      </c>
      <c r="E634" s="41">
        <f>Data!H632</f>
        <v>0</v>
      </c>
      <c r="F634" s="41">
        <f>Data!K632</f>
        <v>0</v>
      </c>
      <c r="G634" s="33" t="str">
        <f>Data!M632</f>
        <v>Exceso Velocidad 30 Km/h</v>
      </c>
      <c r="H634" s="41" t="str">
        <f>Data!P632</f>
        <v>ECOPETROL RUBIALES- Quifa - CAÑO SUR, Puerto Triunfo - Estacion Policia: Puerto Gaitan - Rubiales, Puerto Gaitán, Meta, Colombia</v>
      </c>
      <c r="I634" s="42" t="str">
        <f>Data!Q632</f>
        <v>Cliente, Vel Max 40 Km/h, Vel Max 30 Km/h</v>
      </c>
      <c r="J634" s="43">
        <f>Data!S632</f>
        <v>46174.754301273148</v>
      </c>
      <c r="K634" s="44">
        <f>Data!S632</f>
        <v>46174.754301273148</v>
      </c>
      <c r="L634" s="45">
        <f>Data!T632</f>
        <v>7.5231581481481481E-5</v>
      </c>
      <c r="M634" s="46">
        <f>Data!U632</f>
        <v>5.3617700934410095E-2</v>
      </c>
      <c r="N634" s="46" t="str">
        <f>CONCATENATE(Data!W632," (",Data!V632,")")</f>
        <v>Exceso Velocidad 30 Km/h (Velocidad máxima: 32 kmh)</v>
      </c>
      <c r="O634" s="42" t="str">
        <f>IF(Data!V632&lt;&gt;"",N634,Data!W632)</f>
        <v>Exceso Velocidad 30 Km/h (Velocidad máxima: 32 kmh)</v>
      </c>
      <c r="P634" s="47" t="str">
        <f>Data!X632</f>
        <v>Válido</v>
      </c>
    </row>
    <row r="635" spans="1:16">
      <c r="A635" s="41" t="str">
        <f>Data!A633</f>
        <v>PKU249</v>
      </c>
      <c r="B635" s="41" t="str">
        <f>Data!D633</f>
        <v>Vehicle, Diesel, Frontera Energy Col 2679</v>
      </c>
      <c r="C635" s="41">
        <f>Data!F633</f>
        <v>0</v>
      </c>
      <c r="D635" s="41">
        <f>Data!G633</f>
        <v>0</v>
      </c>
      <c r="E635" s="41">
        <f>Data!H633</f>
        <v>0</v>
      </c>
      <c r="F635" s="41">
        <f>Data!K633</f>
        <v>0</v>
      </c>
      <c r="G635" s="33" t="str">
        <f>Data!M633</f>
        <v>Exceso Velocidad 30 Km/h</v>
      </c>
      <c r="H635" s="41" t="str">
        <f>Data!P633</f>
        <v>ECOPETROL RUBIALES- Quifa - CAÑO SUR, Puerto Triunfo - Estacion Policia: Puerto Gaitan - Rubiales, Puerto Gaitán, Meta, Colombia</v>
      </c>
      <c r="I635" s="42" t="str">
        <f>Data!Q633</f>
        <v>Cliente, Vel Max 40 Km/h, Vel Max 30 Km/h</v>
      </c>
      <c r="J635" s="43">
        <f>Data!S633</f>
        <v>46174.754503715281</v>
      </c>
      <c r="K635" s="44">
        <f>Data!S633</f>
        <v>46174.754503715281</v>
      </c>
      <c r="L635" s="45">
        <f>Data!T633</f>
        <v>2.633449074074074E-4</v>
      </c>
      <c r="M635" s="46">
        <f>Data!U633</f>
        <v>0.20239907503128052</v>
      </c>
      <c r="N635" s="46" t="str">
        <f>CONCATENATE(Data!W633," (",Data!V633,")")</f>
        <v>Exceso Velocidad 30 Km/h (Velocidad máxima: 35 kmh)</v>
      </c>
      <c r="O635" s="42" t="str">
        <f>IF(Data!V633&lt;&gt;"",N635,Data!W633)</f>
        <v>Exceso Velocidad 30 Km/h (Velocidad máxima: 35 kmh)</v>
      </c>
      <c r="P635" s="47" t="str">
        <f>Data!X633</f>
        <v>Válido</v>
      </c>
    </row>
    <row r="636" spans="1:16">
      <c r="A636" s="41" t="str">
        <f>Data!A634</f>
        <v>PKU249</v>
      </c>
      <c r="B636" s="41" t="str">
        <f>Data!D634</f>
        <v>Vehicle, Diesel, Frontera Energy Col 2679</v>
      </c>
      <c r="C636" s="41">
        <f>Data!F634</f>
        <v>0</v>
      </c>
      <c r="D636" s="41">
        <f>Data!G634</f>
        <v>0</v>
      </c>
      <c r="E636" s="41">
        <f>Data!H634</f>
        <v>0</v>
      </c>
      <c r="F636" s="41">
        <f>Data!K634</f>
        <v>0</v>
      </c>
      <c r="G636" s="33" t="str">
        <f>Data!M634</f>
        <v>Exceso Velocidad 10 Km/h</v>
      </c>
      <c r="H636" s="41" t="str">
        <f>Data!P634</f>
        <v>ECOPETROL RUBIALES- Quifa - CAÑO SUR, Puerto Triunfo - Estacion Policia, PUESTRO CONTROL QUIFA: Puerto Gaitan - Rubiales, Puerto Gaitán, Meta, Colombia</v>
      </c>
      <c r="I636" s="42" t="str">
        <f>Data!Q634</f>
        <v>Cliente, Vel Max 40 Km/h, Vel Max 30 Km/h, Vel Max 10 Km/h</v>
      </c>
      <c r="J636" s="43">
        <f>Data!S634</f>
        <v>46174.754991643516</v>
      </c>
      <c r="K636" s="44">
        <f>Data!S634</f>
        <v>46174.754991643516</v>
      </c>
      <c r="L636" s="45">
        <f>Data!T634</f>
        <v>3.5936342592592595E-4</v>
      </c>
      <c r="M636" s="46">
        <f>Data!U634</f>
        <v>0.18424198031425476</v>
      </c>
      <c r="N636" s="46" t="str">
        <f>CONCATENATE(Data!W634," (",Data!V634,")")</f>
        <v>Exceso Velocidad 10 Km/h (Velocidad máxima: 22 kmh)</v>
      </c>
      <c r="O636" s="42" t="str">
        <f>IF(Data!V634&lt;&gt;"",N636,Data!W634)</f>
        <v>Exceso Velocidad 10 Km/h (Velocidad máxima: 22 kmh)</v>
      </c>
      <c r="P636" s="47" t="str">
        <f>Data!X634</f>
        <v>Válido</v>
      </c>
    </row>
    <row r="637" spans="1:16">
      <c r="A637" s="41" t="str">
        <f>Data!A635</f>
        <v>PKU249</v>
      </c>
      <c r="B637" s="41" t="str">
        <f>Data!D635</f>
        <v>Vehicle, Diesel, Frontera Energy Col 2679</v>
      </c>
      <c r="C637" s="41">
        <f>Data!F635</f>
        <v>0</v>
      </c>
      <c r="D637" s="41">
        <f>Data!G635</f>
        <v>0</v>
      </c>
      <c r="E637" s="41">
        <f>Data!H635</f>
        <v>0</v>
      </c>
      <c r="F637" s="41">
        <f>Data!K635</f>
        <v>0</v>
      </c>
      <c r="G637" s="33" t="str">
        <f>Data!M635</f>
        <v>Exceso Velocidad 30 Km/h</v>
      </c>
      <c r="H637" s="41" t="str">
        <f>Data!P635</f>
        <v>ECOPETROL RUBIALES- Quifa - CAÑO SUR, Puerto Triunfo - Estacion Policia: Puerto Gaitan - Rubiales, Puerto Gaitán, Meta, Colombia</v>
      </c>
      <c r="I637" s="42" t="str">
        <f>Data!Q635</f>
        <v>Cliente, Vel Max 40 Km/h, Vel Max 30 Km/h</v>
      </c>
      <c r="J637" s="43">
        <f>Data!S635</f>
        <v>46174.756582187503</v>
      </c>
      <c r="K637" s="44">
        <f>Data!S635</f>
        <v>46174.756582187503</v>
      </c>
      <c r="L637" s="45">
        <f>Data!T635</f>
        <v>2.4275462962962963E-4</v>
      </c>
      <c r="M637" s="46">
        <f>Data!U635</f>
        <v>0.19282133877277374</v>
      </c>
      <c r="N637" s="46" t="str">
        <f>CONCATENATE(Data!W635," (",Data!V635,")")</f>
        <v>Exceso Velocidad 30 Km/h (Velocidad máxima: 34 kmh)</v>
      </c>
      <c r="O637" s="42" t="str">
        <f>IF(Data!V635&lt;&gt;"",N637,Data!W635)</f>
        <v>Exceso Velocidad 30 Km/h (Velocidad máxima: 34 kmh)</v>
      </c>
      <c r="P637" s="47" t="str">
        <f>Data!X635</f>
        <v>Válido</v>
      </c>
    </row>
    <row r="638" spans="1:16">
      <c r="A638" s="41" t="str">
        <f>Data!A636</f>
        <v>PKU249</v>
      </c>
      <c r="B638" s="41" t="str">
        <f>Data!D636</f>
        <v>Vehicle, Diesel, Frontera Energy Col 2679</v>
      </c>
      <c r="C638" s="41">
        <f>Data!F636</f>
        <v>0</v>
      </c>
      <c r="D638" s="41">
        <f>Data!G636</f>
        <v>0</v>
      </c>
      <c r="E638" s="41">
        <f>Data!H636</f>
        <v>0</v>
      </c>
      <c r="F638" s="41">
        <f>Data!K636</f>
        <v>0</v>
      </c>
      <c r="G638" s="33" t="str">
        <f>Data!M636</f>
        <v>Exceso Velocidad 10 Km/h</v>
      </c>
      <c r="H638" s="41" t="str">
        <f>Data!P636</f>
        <v>ECOPETROL RUBIALES- Quifa - CAÑO SUR, Campamento Quifa - CMA: Puerto Gaitan - Rubiales, Puerto Gaitán, Meta, Colombia</v>
      </c>
      <c r="I638" s="42" t="str">
        <f>Data!Q636</f>
        <v>Cliente, Vel Max 40 Km/h, Vel Max 10 Km/h</v>
      </c>
      <c r="J638" s="43">
        <f>Data!S636</f>
        <v>46174.764554513888</v>
      </c>
      <c r="K638" s="44">
        <f>Data!S636</f>
        <v>46174.764554513888</v>
      </c>
      <c r="L638" s="45">
        <f>Data!T636</f>
        <v>1.0751388888888889E-3</v>
      </c>
      <c r="M638" s="46">
        <f>Data!U636</f>
        <v>0.53204405307769775</v>
      </c>
      <c r="N638" s="46" t="str">
        <f>CONCATENATE(Data!W636," (",Data!V636,")")</f>
        <v>Exceso Velocidad 10 Km/h (Velocidad máxima: 24 kmh)</v>
      </c>
      <c r="O638" s="42" t="str">
        <f>IF(Data!V636&lt;&gt;"",N638,Data!W636)</f>
        <v>Exceso Velocidad 10 Km/h (Velocidad máxima: 24 kmh)</v>
      </c>
      <c r="P638" s="47" t="str">
        <f>Data!X636</f>
        <v>Válido</v>
      </c>
    </row>
    <row r="639" spans="1:16">
      <c r="A639" s="41" t="str">
        <f>Data!A637</f>
        <v>PKU249</v>
      </c>
      <c r="B639" s="41" t="str">
        <f>Data!D637</f>
        <v>Vehicle, Diesel, Frontera Energy Col 2679</v>
      </c>
      <c r="C639" s="41">
        <f>Data!F637</f>
        <v>0</v>
      </c>
      <c r="D639" s="41">
        <f>Data!G637</f>
        <v>0</v>
      </c>
      <c r="E639" s="41">
        <f>Data!H637</f>
        <v>0</v>
      </c>
      <c r="F639" s="41">
        <f>Data!K637</f>
        <v>0</v>
      </c>
      <c r="G639" s="33" t="str">
        <f>Data!M637</f>
        <v>Tiempo en ralentí</v>
      </c>
      <c r="H639" s="41" t="str">
        <f>Data!P637</f>
        <v>ECOPETROL RUBIALES- Quifa - CAÑO SUR: Vía Sin Nombre, Puerto Gaitán, Meta, Colombia</v>
      </c>
      <c r="I639" s="42" t="str">
        <f>Data!Q637</f>
        <v>Cliente, Vel Max 40 Km/h</v>
      </c>
      <c r="J639" s="43">
        <f>Data!S637</f>
        <v>46174.76656423611</v>
      </c>
      <c r="K639" s="44">
        <f>Data!S637</f>
        <v>46174.76656423611</v>
      </c>
      <c r="L639" s="45">
        <f>Data!T637</f>
        <v>4.3889351851851853E-2</v>
      </c>
      <c r="M639" s="46">
        <f>Data!U637</f>
        <v>5.1453102380037308E-2</v>
      </c>
      <c r="N639" s="46" t="str">
        <f>CONCATENATE(Data!W637," (",Data!V637,")")</f>
        <v>Tiempo en ralentí (Ignición: 1.00)</v>
      </c>
      <c r="O639" s="42" t="str">
        <f>IF(Data!V637&lt;&gt;"",N639,Data!W637)</f>
        <v>Tiempo en ralentí (Ignición: 1.00)</v>
      </c>
      <c r="P639" s="47" t="str">
        <f>Data!X637</f>
        <v>Válido</v>
      </c>
    </row>
    <row r="640" spans="1:16">
      <c r="A640" s="41" t="str">
        <f>Data!A638</f>
        <v>PKU249</v>
      </c>
      <c r="B640" s="41" t="str">
        <f>Data!D638</f>
        <v>Vehicle, Diesel, Frontera Energy Col 2679</v>
      </c>
      <c r="C640" s="41">
        <f>Data!F638</f>
        <v>0</v>
      </c>
      <c r="D640" s="41">
        <f>Data!G638</f>
        <v>0</v>
      </c>
      <c r="E640" s="41">
        <f>Data!H638</f>
        <v>0</v>
      </c>
      <c r="F640" s="41">
        <f>Data!K638</f>
        <v>0</v>
      </c>
      <c r="G640" s="33" t="str">
        <f>Data!M638</f>
        <v>Tiempo en ralentí</v>
      </c>
      <c r="H640" s="41" t="str">
        <f>Data!P638</f>
        <v>ECOPETROL RUBIALES- Quifa - CAÑO SUR: Vía Sin Nombre, Puerto Gaitán, Meta, Colombia</v>
      </c>
      <c r="I640" s="42" t="str">
        <f>Data!Q638</f>
        <v>Cliente, Vel Max 40 Km/h</v>
      </c>
      <c r="J640" s="43">
        <f>Data!S638</f>
        <v>46174.811622569447</v>
      </c>
      <c r="K640" s="44">
        <f>Data!S638</f>
        <v>46174.811622569447</v>
      </c>
      <c r="L640" s="45">
        <f>Data!T638</f>
        <v>3.8391319444444447E-2</v>
      </c>
      <c r="M640" s="46">
        <f>Data!U638</f>
        <v>4.5948490500450134E-2</v>
      </c>
      <c r="N640" s="46" t="str">
        <f>CONCATENATE(Data!W638," (",Data!V638,")")</f>
        <v>Tiempo en ralentí (Ignición: 1.00)</v>
      </c>
      <c r="O640" s="42" t="str">
        <f>IF(Data!V638&lt;&gt;"",N640,Data!W638)</f>
        <v>Tiempo en ralentí (Ignición: 1.00)</v>
      </c>
      <c r="P640" s="47" t="str">
        <f>Data!X638</f>
        <v>Válido</v>
      </c>
    </row>
    <row r="641" spans="1:16">
      <c r="A641" s="41" t="str">
        <f>Data!A639</f>
        <v>PKU249</v>
      </c>
      <c r="B641" s="41" t="str">
        <f>Data!D639</f>
        <v>Vehicle, Diesel, Frontera Energy Col 2679</v>
      </c>
      <c r="C641" s="41">
        <f>Data!F639</f>
        <v>0</v>
      </c>
      <c r="D641" s="41">
        <f>Data!G639</f>
        <v>0</v>
      </c>
      <c r="E641" s="41">
        <f>Data!H639</f>
        <v>0</v>
      </c>
      <c r="F641" s="41">
        <f>Data!K639</f>
        <v>0</v>
      </c>
      <c r="G641" s="33" t="str">
        <f>Data!M639</f>
        <v>Tiempo en ralentí</v>
      </c>
      <c r="H641" s="41" t="str">
        <f>Data!P639</f>
        <v>ECOPETROL RUBIALES- Quifa - CAÑO SUR: Vía Sin Nombre, Puerto Gaitán, Meta, Colombia</v>
      </c>
      <c r="I641" s="42" t="str">
        <f>Data!Q639</f>
        <v>Cliente, Vel Max 40 Km/h</v>
      </c>
      <c r="J641" s="43">
        <f>Data!S639</f>
        <v>46174.850719907408</v>
      </c>
      <c r="K641" s="44">
        <f>Data!S639</f>
        <v>46174.850719907408</v>
      </c>
      <c r="L641" s="45">
        <f>Data!T639</f>
        <v>5.17349537037037E-3</v>
      </c>
      <c r="M641" s="46">
        <f>Data!U639</f>
        <v>2.3495678324252367E-3</v>
      </c>
      <c r="N641" s="46" t="str">
        <f>CONCATENATE(Data!W639," (",Data!V639,")")</f>
        <v>Tiempo en ralentí (Ignición: 1.00)</v>
      </c>
      <c r="O641" s="42" t="str">
        <f>IF(Data!V639&lt;&gt;"",N641,Data!W639)</f>
        <v>Tiempo en ralentí (Ignición: 1.00)</v>
      </c>
      <c r="P641" s="47" t="str">
        <f>Data!X639</f>
        <v>Válido</v>
      </c>
    </row>
    <row r="642" spans="1:16">
      <c r="A642" s="41" t="str">
        <f>Data!A640</f>
        <v>PKU249</v>
      </c>
      <c r="B642" s="41" t="str">
        <f>Data!D640</f>
        <v>Vehicle, Diesel, Frontera Energy Col 2679</v>
      </c>
      <c r="C642" s="41">
        <f>Data!F640</f>
        <v>0</v>
      </c>
      <c r="D642" s="41">
        <f>Data!G640</f>
        <v>0</v>
      </c>
      <c r="E642" s="41">
        <f>Data!H640</f>
        <v>0</v>
      </c>
      <c r="F642" s="41">
        <f>Data!K640</f>
        <v>0</v>
      </c>
      <c r="G642" s="33" t="str">
        <f>Data!M640</f>
        <v>Exceso Velocidad 10 Km/h</v>
      </c>
      <c r="H642" s="41" t="str">
        <f>Data!P640</f>
        <v>ECOPETROL RUBIALES- Quifa - CAÑO SUR, Campamento Quifa - CMA: Vía Sin Nombre, Puerto Gaitán, Meta, Colombia</v>
      </c>
      <c r="I642" s="42" t="str">
        <f>Data!Q640</f>
        <v>Cliente, Vel Max 40 Km/h, Vel Max 10 Km/h</v>
      </c>
      <c r="J642" s="43">
        <f>Data!S640</f>
        <v>46174.856276562503</v>
      </c>
      <c r="K642" s="44">
        <f>Data!S640</f>
        <v>46174.856276562503</v>
      </c>
      <c r="L642" s="45">
        <f>Data!T640</f>
        <v>6.974768518518519E-4</v>
      </c>
      <c r="M642" s="46">
        <f>Data!U640</f>
        <v>0.53662317991256714</v>
      </c>
      <c r="N642" s="46" t="str">
        <f>CONCATENATE(Data!W640," (",Data!V640,")")</f>
        <v>Exceso Velocidad 10 Km/h (Velocidad máxima: 37 kmh)</v>
      </c>
      <c r="O642" s="42" t="str">
        <f>IF(Data!V640&lt;&gt;"",N642,Data!W640)</f>
        <v>Exceso Velocidad 10 Km/h (Velocidad máxima: 37 kmh)</v>
      </c>
      <c r="P642" s="47" t="str">
        <f>Data!X640</f>
        <v>Válido</v>
      </c>
    </row>
    <row r="643" spans="1:16">
      <c r="A643" s="41" t="str">
        <f>Data!A641</f>
        <v>PKU249</v>
      </c>
      <c r="B643" s="41" t="str">
        <f>Data!D641</f>
        <v>Vehicle, Diesel, Frontera Energy Col 2679</v>
      </c>
      <c r="C643" s="41">
        <f>Data!F641</f>
        <v>0</v>
      </c>
      <c r="D643" s="41">
        <f>Data!G641</f>
        <v>0</v>
      </c>
      <c r="E643" s="41">
        <f>Data!H641</f>
        <v>0</v>
      </c>
      <c r="F643" s="41">
        <f>Data!K641</f>
        <v>0</v>
      </c>
      <c r="G643" s="33" t="str">
        <f>Data!M641</f>
        <v>Exceso Velocidad 30 Km/h</v>
      </c>
      <c r="H643" s="41" t="str">
        <f>Data!P641</f>
        <v>ECOPETROL RUBIALES- Quifa - CAÑO SUR, Puerto Triunfo - Estacion Policia: Puerto Gaitan - Rubiales, Puerto Gaitán, Meta, Colombia</v>
      </c>
      <c r="I643" s="42" t="str">
        <f>Data!Q641</f>
        <v>Cliente, Vel Max 40 Km/h, Vel Max 30 Km/h</v>
      </c>
      <c r="J643" s="43">
        <f>Data!S641</f>
        <v>46174.857119097222</v>
      </c>
      <c r="K643" s="44">
        <f>Data!S641</f>
        <v>46174.857119097222</v>
      </c>
      <c r="L643" s="45">
        <f>Data!T641</f>
        <v>2.5490740740740742E-4</v>
      </c>
      <c r="M643" s="46">
        <f>Data!U641</f>
        <v>0.24041588604450226</v>
      </c>
      <c r="N643" s="46" t="str">
        <f>CONCATENATE(Data!W641," (",Data!V641,")")</f>
        <v>Exceso Velocidad 30 Km/h (Velocidad máxima: 47 kmh)</v>
      </c>
      <c r="O643" s="42" t="str">
        <f>IF(Data!V641&lt;&gt;"",N643,Data!W641)</f>
        <v>Exceso Velocidad 30 Km/h (Velocidad máxima: 47 kmh)</v>
      </c>
      <c r="P643" s="47" t="str">
        <f>Data!X641</f>
        <v>Válido</v>
      </c>
    </row>
    <row r="644" spans="1:16">
      <c r="A644" s="41" t="str">
        <f>Data!A642</f>
        <v>PKU249</v>
      </c>
      <c r="B644" s="41" t="str">
        <f>Data!D642</f>
        <v>Vehicle, Diesel, Frontera Energy Col 2679</v>
      </c>
      <c r="C644" s="41">
        <f>Data!F642</f>
        <v>0</v>
      </c>
      <c r="D644" s="41">
        <f>Data!G642</f>
        <v>0</v>
      </c>
      <c r="E644" s="41">
        <f>Data!H642</f>
        <v>0</v>
      </c>
      <c r="F644" s="41">
        <f>Data!K642</f>
        <v>0</v>
      </c>
      <c r="G644" s="33" t="str">
        <f>Data!M642</f>
        <v>Exceso Velocidad 40 Km/h</v>
      </c>
      <c r="H644" s="41" t="str">
        <f>Data!P642</f>
        <v>ECOPETROL RUBIALES- Quifa - CAÑO SUR, Puerto Triunfo - Estacion Policia: Puerto Gaitan - Rubiales, Puerto Gaitán, Meta, Colombia</v>
      </c>
      <c r="I644" s="42" t="str">
        <f>Data!Q642</f>
        <v>Cliente, Vel Max 40 Km/h, Vel Max 30 Km/h</v>
      </c>
      <c r="J644" s="43">
        <f>Data!S642</f>
        <v>46174.857153819445</v>
      </c>
      <c r="K644" s="44">
        <f>Data!S642</f>
        <v>46174.857153819445</v>
      </c>
      <c r="L644" s="45">
        <f>Data!T642</f>
        <v>1.2118055555555555E-4</v>
      </c>
      <c r="M644" s="46">
        <f>Data!U642</f>
        <v>0.11774864792823792</v>
      </c>
      <c r="N644" s="46" t="str">
        <f>CONCATENATE(Data!W642," (",Data!V642,")")</f>
        <v>Exceso Velocidad 40 Km/h (Velocidad máxima: 47 kmh)</v>
      </c>
      <c r="O644" s="42" t="str">
        <f>IF(Data!V642&lt;&gt;"",N644,Data!W642)</f>
        <v>Exceso Velocidad 40 Km/h (Velocidad máxima: 47 kmh)</v>
      </c>
      <c r="P644" s="47" t="str">
        <f>Data!X642</f>
        <v>Válido</v>
      </c>
    </row>
    <row r="645" spans="1:16">
      <c r="A645" s="41" t="str">
        <f>Data!A643</f>
        <v>PKU249</v>
      </c>
      <c r="B645" s="41" t="str">
        <f>Data!D643</f>
        <v>Vehicle, Diesel, Frontera Energy Col 2679</v>
      </c>
      <c r="C645" s="41">
        <f>Data!F643</f>
        <v>0</v>
      </c>
      <c r="D645" s="41">
        <f>Data!G643</f>
        <v>0</v>
      </c>
      <c r="E645" s="41">
        <f>Data!H643</f>
        <v>0</v>
      </c>
      <c r="F645" s="41">
        <f>Data!K643</f>
        <v>0</v>
      </c>
      <c r="G645" s="33" t="str">
        <f>Data!M643</f>
        <v>Exceso Velocidad 30 Km/h</v>
      </c>
      <c r="H645" s="41" t="str">
        <f>Data!P643</f>
        <v>ECOPETROL RUBIALES- Quifa - CAÑO SUR, Puerto Triunfo - Estacion Policia: Puerto Gaitan - Rubiales, Puerto Gaitán, Meta, Colombia</v>
      </c>
      <c r="I645" s="42" t="str">
        <f>Data!Q643</f>
        <v>Cliente, Vel Max 40 Km/h, Vel Max 30 Km/h</v>
      </c>
      <c r="J645" s="43">
        <f>Data!S643</f>
        <v>46174.857606944446</v>
      </c>
      <c r="K645" s="44">
        <f>Data!S643</f>
        <v>46174.857606944446</v>
      </c>
      <c r="L645" s="45">
        <f>Data!T643</f>
        <v>1.54375E-4</v>
      </c>
      <c r="M645" s="46">
        <f>Data!U643</f>
        <v>0.13849242031574249</v>
      </c>
      <c r="N645" s="46" t="str">
        <f>CONCATENATE(Data!W643," (",Data!V643,")")</f>
        <v>Exceso Velocidad 30 Km/h (Velocidad máxima: 39 kmh)</v>
      </c>
      <c r="O645" s="42" t="str">
        <f>IF(Data!V643&lt;&gt;"",N645,Data!W643)</f>
        <v>Exceso Velocidad 30 Km/h (Velocidad máxima: 39 kmh)</v>
      </c>
      <c r="P645" s="47" t="str">
        <f>Data!X643</f>
        <v>Válido</v>
      </c>
    </row>
    <row r="646" spans="1:16">
      <c r="A646" s="41" t="str">
        <f>Data!A644</f>
        <v>PKU249</v>
      </c>
      <c r="B646" s="41" t="str">
        <f>Data!D644</f>
        <v>Vehicle, Diesel, Frontera Energy Col 2679</v>
      </c>
      <c r="C646" s="41">
        <f>Data!F644</f>
        <v>0</v>
      </c>
      <c r="D646" s="41">
        <f>Data!G644</f>
        <v>0</v>
      </c>
      <c r="E646" s="41">
        <f>Data!H644</f>
        <v>0</v>
      </c>
      <c r="F646" s="41">
        <f>Data!K644</f>
        <v>0</v>
      </c>
      <c r="G646" s="33" t="str">
        <f>Data!M644</f>
        <v>Exceso Velocidad 30 Km/h</v>
      </c>
      <c r="H646" s="41" t="str">
        <f>Data!P644</f>
        <v>ECOPETROL RUBIALES- Quifa - CAÑO SUR, Puerto Triunfo - Estacion Policia: Puerto Gaitan - Rubiales, Puerto Gaitán, Meta, Colombia</v>
      </c>
      <c r="I646" s="42" t="str">
        <f>Data!Q644</f>
        <v>Cliente, Vel Max 40 Km/h, Vel Max 30 Km/h</v>
      </c>
      <c r="J646" s="43">
        <f>Data!S644</f>
        <v>46174.857844456019</v>
      </c>
      <c r="K646" s="44">
        <f>Data!S644</f>
        <v>46174.857844456019</v>
      </c>
      <c r="L646" s="45">
        <f>Data!T644</f>
        <v>7.7569444444444439E-5</v>
      </c>
      <c r="M646" s="46">
        <f>Data!U644</f>
        <v>6.7182682454586029E-2</v>
      </c>
      <c r="N646" s="46" t="str">
        <f>CONCATENATE(Data!W644," (",Data!V644,")")</f>
        <v>Exceso Velocidad 30 Km/h (Velocidad máxima: 37 kmh)</v>
      </c>
      <c r="O646" s="42" t="str">
        <f>IF(Data!V644&lt;&gt;"",N646,Data!W644)</f>
        <v>Exceso Velocidad 30 Km/h (Velocidad máxima: 37 kmh)</v>
      </c>
      <c r="P646" s="47" t="str">
        <f>Data!X644</f>
        <v>Válido</v>
      </c>
    </row>
    <row r="647" spans="1:16">
      <c r="A647" s="41" t="str">
        <f>Data!A645</f>
        <v>PKU249</v>
      </c>
      <c r="B647" s="41" t="str">
        <f>Data!D645</f>
        <v>Vehicle, Diesel, Frontera Energy Col 2679</v>
      </c>
      <c r="C647" s="41">
        <f>Data!F645</f>
        <v>0</v>
      </c>
      <c r="D647" s="41">
        <f>Data!G645</f>
        <v>0</v>
      </c>
      <c r="E647" s="41">
        <f>Data!H645</f>
        <v>0</v>
      </c>
      <c r="F647" s="41">
        <f>Data!K645</f>
        <v>0</v>
      </c>
      <c r="G647" s="33" t="str">
        <f>Data!M645</f>
        <v>Exceso Velocidad 30 Km/h</v>
      </c>
      <c r="H647" s="41" t="str">
        <f>Data!P645</f>
        <v>ECOPETROL RUBIALES- Quifa - CAÑO SUR, Puerto Triunfo - Estacion Policia: Puerto Gaitan - Rubiales, Puerto Gaitán, Meta, Colombia</v>
      </c>
      <c r="I647" s="42" t="str">
        <f>Data!Q645</f>
        <v>Cliente, Vel Max 40 Km/h, Vel Max 30 Km/h</v>
      </c>
      <c r="J647" s="43">
        <f>Data!S645</f>
        <v>46174.857953587962</v>
      </c>
      <c r="K647" s="44">
        <f>Data!S645</f>
        <v>46174.857953587962</v>
      </c>
      <c r="L647" s="45">
        <f>Data!T645</f>
        <v>9.9293981481481482E-5</v>
      </c>
      <c r="M647" s="46">
        <f>Data!U645</f>
        <v>8.2933239638805389E-2</v>
      </c>
      <c r="N647" s="46" t="str">
        <f>CONCATENATE(Data!W645," (",Data!V645,")")</f>
        <v>Exceso Velocidad 30 Km/h (Velocidad máxima: 43 kmh)</v>
      </c>
      <c r="O647" s="42" t="str">
        <f>IF(Data!V645&lt;&gt;"",N647,Data!W645)</f>
        <v>Exceso Velocidad 30 Km/h (Velocidad máxima: 43 kmh)</v>
      </c>
      <c r="P647" s="47" t="str">
        <f>Data!X645</f>
        <v>Válido</v>
      </c>
    </row>
    <row r="648" spans="1:16">
      <c r="A648" s="41" t="str">
        <f>Data!A646</f>
        <v>PKU249</v>
      </c>
      <c r="B648" s="41" t="str">
        <f>Data!D646</f>
        <v>Vehicle, Diesel, Frontera Energy Col 2679</v>
      </c>
      <c r="C648" s="41">
        <f>Data!F646</f>
        <v>0</v>
      </c>
      <c r="D648" s="41">
        <f>Data!G646</f>
        <v>0</v>
      </c>
      <c r="E648" s="41">
        <f>Data!H646</f>
        <v>0</v>
      </c>
      <c r="F648" s="41">
        <f>Data!K646</f>
        <v>0</v>
      </c>
      <c r="G648" s="33" t="str">
        <f>Data!M646</f>
        <v>Exceso Velocidad 40 Km/h</v>
      </c>
      <c r="H648" s="41" t="str">
        <f>Data!P646</f>
        <v>ECOPETROL RUBIALES- Quifa - CAÑO SUR, Puerto Triunfo - Estacion Policia: Puerto Gaitan - Rubiales, Puerto Gaitán, Meta, Colombia</v>
      </c>
      <c r="I648" s="42" t="str">
        <f>Data!Q646</f>
        <v>Cliente, Vel Max 40 Km/h, Vel Max 30 Km/h</v>
      </c>
      <c r="J648" s="43">
        <f>Data!S646</f>
        <v>46174.857980300927</v>
      </c>
      <c r="K648" s="44">
        <f>Data!S646</f>
        <v>46174.857980300927</v>
      </c>
      <c r="L648" s="45">
        <f>Data!T646</f>
        <v>2.5370370370370372E-5</v>
      </c>
      <c r="M648" s="46">
        <f>Data!U646</f>
        <v>2.4262096732854843E-2</v>
      </c>
      <c r="N648" s="46" t="str">
        <f>CONCATENATE(Data!W646," (",Data!V646,")")</f>
        <v>Exceso Velocidad 40 Km/h (Velocidad máxima: 43 kmh)</v>
      </c>
      <c r="O648" s="42" t="str">
        <f>IF(Data!V646&lt;&gt;"",N648,Data!W646)</f>
        <v>Exceso Velocidad 40 Km/h (Velocidad máxima: 43 kmh)</v>
      </c>
      <c r="P648" s="47" t="str">
        <f>Data!X646</f>
        <v>Válido</v>
      </c>
    </row>
    <row r="649" spans="1:16">
      <c r="A649" s="41" t="str">
        <f>Data!A647</f>
        <v>PKU249</v>
      </c>
      <c r="B649" s="41" t="str">
        <f>Data!D647</f>
        <v>Vehicle, Diesel, Frontera Energy Col 2679</v>
      </c>
      <c r="C649" s="41">
        <f>Data!F647</f>
        <v>0</v>
      </c>
      <c r="D649" s="41">
        <f>Data!G647</f>
        <v>0</v>
      </c>
      <c r="E649" s="41">
        <f>Data!H647</f>
        <v>0</v>
      </c>
      <c r="F649" s="41">
        <f>Data!K647</f>
        <v>0</v>
      </c>
      <c r="G649" s="33" t="str">
        <f>Data!M647</f>
        <v>Exceso de velocidad (nuevo)</v>
      </c>
      <c r="H649" s="41" t="str">
        <f>Data!P647</f>
        <v>ECOPETROL RUBIALES- Quifa - CAÑO SUR, Puerto Triunfo - Estacion Policia: Puerto Gaitan - Rubiales, Puerto Gaitán, Meta, Colombia</v>
      </c>
      <c r="I649" s="42" t="str">
        <f>Data!Q647</f>
        <v>Cliente, Vel Max 40 Km/h, Vel Max 30 Km/h</v>
      </c>
      <c r="J649" s="43">
        <f>Data!S647</f>
        <v>46174.858104050923</v>
      </c>
      <c r="K649" s="44">
        <f>Data!S647</f>
        <v>46174.858104050923</v>
      </c>
      <c r="L649" s="45">
        <f>Data!T647</f>
        <v>1.4351851851851852E-3</v>
      </c>
      <c r="M649" s="46">
        <f>Data!U647</f>
        <v>1.0787606239318848</v>
      </c>
      <c r="N649" s="46" t="str">
        <f>CONCATENATE(Data!W647," (",Data!V647,")")</f>
        <v>Exceso de velocidad (nuevo) (Velocidad máxima: 40 kmh (Velocidad máxima en carretera: 7 kmh))</v>
      </c>
      <c r="O649" s="42" t="str">
        <f>IF(Data!V647&lt;&gt;"",N649,Data!W647)</f>
        <v>Exceso de velocidad (nuevo) (Velocidad máxima: 40 kmh (Velocidad máxima en carretera: 7 kmh))</v>
      </c>
      <c r="P649" s="47" t="str">
        <f>Data!X647</f>
        <v>Válido</v>
      </c>
    </row>
    <row r="650" spans="1:16">
      <c r="A650" s="41" t="str">
        <f>Data!A648</f>
        <v>PKU249</v>
      </c>
      <c r="B650" s="41" t="str">
        <f>Data!D648</f>
        <v>Vehicle, Diesel, Frontera Energy Col 2679</v>
      </c>
      <c r="C650" s="41">
        <f>Data!F648</f>
        <v>0</v>
      </c>
      <c r="D650" s="41">
        <f>Data!G648</f>
        <v>0</v>
      </c>
      <c r="E650" s="41">
        <f>Data!H648</f>
        <v>0</v>
      </c>
      <c r="F650" s="41">
        <f>Data!K648</f>
        <v>0</v>
      </c>
      <c r="G650" s="33" t="str">
        <f>Data!M648</f>
        <v>Exceso Velocidad 40 Km/h</v>
      </c>
      <c r="H650" s="41" t="str">
        <f>Data!P648</f>
        <v>ECOPETROL RUBIALES- Quifa - CAÑO SUR: Vía Sin Nombre, Puerto Gaitán, Meta, Colombia</v>
      </c>
      <c r="I650" s="42" t="str">
        <f>Data!Q648</f>
        <v>Cliente, Vel Max 40 Km/h</v>
      </c>
      <c r="J650" s="43">
        <f>Data!S648</f>
        <v>46174.85957980324</v>
      </c>
      <c r="K650" s="44">
        <f>Data!S648</f>
        <v>46174.85957980324</v>
      </c>
      <c r="L650" s="45">
        <f>Data!T648</f>
        <v>6.6585648148148149E-5</v>
      </c>
      <c r="M650" s="46">
        <f>Data!U648</f>
        <v>6.2953628599643707E-2</v>
      </c>
      <c r="N650" s="46" t="str">
        <f>CONCATENATE(Data!W648," (",Data!V648,")")</f>
        <v>Exceso Velocidad 40 Km/h (Velocidad máxima: 42 kmh)</v>
      </c>
      <c r="O650" s="42" t="str">
        <f>IF(Data!V648&lt;&gt;"",N650,Data!W648)</f>
        <v>Exceso Velocidad 40 Km/h (Velocidad máxima: 42 kmh)</v>
      </c>
      <c r="P650" s="47" t="str">
        <f>Data!X648</f>
        <v>Válido</v>
      </c>
    </row>
    <row r="651" spans="1:16">
      <c r="A651" s="41" t="str">
        <f>Data!A649</f>
        <v>PKU249</v>
      </c>
      <c r="B651" s="41" t="str">
        <f>Data!D649</f>
        <v>Vehicle, Diesel, Frontera Energy Col 2679</v>
      </c>
      <c r="C651" s="41">
        <f>Data!F649</f>
        <v>0</v>
      </c>
      <c r="D651" s="41">
        <f>Data!G649</f>
        <v>0</v>
      </c>
      <c r="E651" s="41">
        <f>Data!H649</f>
        <v>0</v>
      </c>
      <c r="F651" s="41">
        <f>Data!K649</f>
        <v>0</v>
      </c>
      <c r="G651" s="33" t="str">
        <f>Data!M649</f>
        <v>Exceso de velocidad (nuevo)</v>
      </c>
      <c r="H651" s="41" t="str">
        <f>Data!P649</f>
        <v>ECOPETROL RUBIALES- Quifa - CAÑO SUR: Vía Sin Nombre, Puerto Gaitán, Meta, Colombia</v>
      </c>
      <c r="I651" s="42" t="str">
        <f>Data!Q649</f>
        <v>Cliente, Vel Max 40 Km/h</v>
      </c>
      <c r="J651" s="43">
        <f>Data!S649</f>
        <v>46174.863138773151</v>
      </c>
      <c r="K651" s="44">
        <f>Data!S649</f>
        <v>46174.863138773151</v>
      </c>
      <c r="L651" s="45">
        <f>Data!T649</f>
        <v>1.4930555555555556E-3</v>
      </c>
      <c r="M651" s="46">
        <f>Data!U649</f>
        <v>1.0542818307876587</v>
      </c>
      <c r="N651" s="46" t="str">
        <f>CONCATENATE(Data!W649," (",Data!V649,")")</f>
        <v>Exceso de velocidad (nuevo) (Velocidad máxima: 40 kmh (Velocidad máxima en carretera: 7 kmh))</v>
      </c>
      <c r="O651" s="42" t="str">
        <f>IF(Data!V649&lt;&gt;"",N651,Data!W649)</f>
        <v>Exceso de velocidad (nuevo) (Velocidad máxima: 40 kmh (Velocidad máxima en carretera: 7 kmh))</v>
      </c>
      <c r="P651" s="47" t="str">
        <f>Data!X649</f>
        <v>Válido</v>
      </c>
    </row>
    <row r="652" spans="1:16">
      <c r="A652" s="41" t="str">
        <f>Data!A650</f>
        <v>PKU249</v>
      </c>
      <c r="B652" s="41" t="str">
        <f>Data!D650</f>
        <v>Vehicle, Diesel, Frontera Energy Col 2679</v>
      </c>
      <c r="C652" s="41">
        <f>Data!F650</f>
        <v>0</v>
      </c>
      <c r="D652" s="41">
        <f>Data!G650</f>
        <v>0</v>
      </c>
      <c r="E652" s="41">
        <f>Data!H650</f>
        <v>0</v>
      </c>
      <c r="F652" s="41">
        <f>Data!K650</f>
        <v>0</v>
      </c>
      <c r="G652" s="33" t="str">
        <f>Data!M650</f>
        <v>Exceso Velocidad 10 Km/h</v>
      </c>
      <c r="H652" s="41" t="str">
        <f>Data!P650</f>
        <v>ECOPETROL RUBIALES- Quifa - CAÑO SUR, Puerto Triunfo - Estacion Policia, PUESTRO CONTROL QUIFA: Puerto Gaitan - Rubiales, Puerto Gaitán, Meta, Colombia</v>
      </c>
      <c r="I652" s="42" t="str">
        <f>Data!Q650</f>
        <v>Cliente, Vel Max 40 Km/h, Vel Max 30 Km/h, Vel Max 10 Km/h</v>
      </c>
      <c r="J652" s="43">
        <f>Data!S650</f>
        <v>46174.864797881943</v>
      </c>
      <c r="K652" s="44">
        <f>Data!S650</f>
        <v>46174.864797881943</v>
      </c>
      <c r="L652" s="45">
        <f>Data!T650</f>
        <v>3.0144675925925928E-4</v>
      </c>
      <c r="M652" s="46">
        <f>Data!U650</f>
        <v>0.1833396852016449</v>
      </c>
      <c r="N652" s="46" t="str">
        <f>CONCATENATE(Data!W650," (",Data!V650,")")</f>
        <v>Exceso Velocidad 10 Km/h (Velocidad máxima: 29 kmh)</v>
      </c>
      <c r="O652" s="42" t="str">
        <f>IF(Data!V650&lt;&gt;"",N652,Data!W650)</f>
        <v>Exceso Velocidad 10 Km/h (Velocidad máxima: 29 kmh)</v>
      </c>
      <c r="P652" s="47" t="str">
        <f>Data!X650</f>
        <v>Válido</v>
      </c>
    </row>
    <row r="653" spans="1:16">
      <c r="A653" s="41" t="str">
        <f>Data!A651</f>
        <v>PKU249</v>
      </c>
      <c r="B653" s="41" t="str">
        <f>Data!D651</f>
        <v>Vehicle, Diesel, Frontera Energy Col 2679</v>
      </c>
      <c r="C653" s="41">
        <f>Data!F651</f>
        <v>0</v>
      </c>
      <c r="D653" s="41">
        <f>Data!G651</f>
        <v>0</v>
      </c>
      <c r="E653" s="41">
        <f>Data!H651</f>
        <v>0</v>
      </c>
      <c r="F653" s="41">
        <f>Data!K651</f>
        <v>0</v>
      </c>
      <c r="G653" s="33" t="str">
        <f>Data!M651</f>
        <v>Exceso Velocidad 30 Km/h</v>
      </c>
      <c r="H653" s="41" t="str">
        <f>Data!P651</f>
        <v>ECOPETROL RUBIALES- Quifa - CAÑO SUR, Puerto Triunfo - Estacion Policia: Puerto Gaitan - Rubiales, Puerto Gaitán, Meta, Colombia</v>
      </c>
      <c r="I653" s="42" t="str">
        <f>Data!Q651</f>
        <v>Cliente, Vel Max 40 Km/h, Vel Max 30 Km/h</v>
      </c>
      <c r="J653" s="43">
        <f>Data!S651</f>
        <v>46174.865129398146</v>
      </c>
      <c r="K653" s="44">
        <f>Data!S651</f>
        <v>46174.865129398146</v>
      </c>
      <c r="L653" s="45">
        <f>Data!T651</f>
        <v>4.1163194444444445E-4</v>
      </c>
      <c r="M653" s="46">
        <f>Data!U651</f>
        <v>0.35162687301635742</v>
      </c>
      <c r="N653" s="46" t="str">
        <f>CONCATENATE(Data!W651," (",Data!V651,")")</f>
        <v>Exceso Velocidad 30 Km/h (Velocidad máxima: 40 kmh)</v>
      </c>
      <c r="O653" s="42" t="str">
        <f>IF(Data!V651&lt;&gt;"",N653,Data!W651)</f>
        <v>Exceso Velocidad 30 Km/h (Velocidad máxima: 40 kmh)</v>
      </c>
      <c r="P653" s="47" t="str">
        <f>Data!X651</f>
        <v>Válido</v>
      </c>
    </row>
    <row r="654" spans="1:16">
      <c r="A654" s="41" t="str">
        <f>Data!A652</f>
        <v>PKU249</v>
      </c>
      <c r="B654" s="41" t="str">
        <f>Data!D652</f>
        <v>Vehicle, Diesel, Frontera Energy Col 2679</v>
      </c>
      <c r="C654" s="41">
        <f>Data!F652</f>
        <v>0</v>
      </c>
      <c r="D654" s="41">
        <f>Data!G652</f>
        <v>0</v>
      </c>
      <c r="E654" s="41">
        <f>Data!H652</f>
        <v>0</v>
      </c>
      <c r="F654" s="41">
        <f>Data!K652</f>
        <v>0</v>
      </c>
      <c r="G654" s="33" t="str">
        <f>Data!M652</f>
        <v>Exceso Velocidad 30 Km/h</v>
      </c>
      <c r="H654" s="41" t="str">
        <f>Data!P652</f>
        <v>ECOPETROL RUBIALES- Quifa - CAÑO SUR, Puerto Triunfo - Estacion Policia: Puerto Gaitan - Rubiales, Puerto Gaitán, Meta, Colombia</v>
      </c>
      <c r="I654" s="42" t="str">
        <f>Data!Q652</f>
        <v>Cliente, Vel Max 40 Km/h, Vel Max 30 Km/h</v>
      </c>
      <c r="J654" s="43">
        <f>Data!S652</f>
        <v>46174.865615509261</v>
      </c>
      <c r="K654" s="44">
        <f>Data!S652</f>
        <v>46174.865615509261</v>
      </c>
      <c r="L654" s="45">
        <f>Data!T652</f>
        <v>1.2280092592592591E-4</v>
      </c>
      <c r="M654" s="46">
        <f>Data!U652</f>
        <v>9.7759909927845001E-2</v>
      </c>
      <c r="N654" s="46" t="str">
        <f>CONCATENATE(Data!W652," (",Data!V652,")")</f>
        <v>Exceso Velocidad 30 Km/h (Velocidad máxima: 35 kmh)</v>
      </c>
      <c r="O654" s="42" t="str">
        <f>IF(Data!V652&lt;&gt;"",N654,Data!W652)</f>
        <v>Exceso Velocidad 30 Km/h (Velocidad máxima: 35 kmh)</v>
      </c>
      <c r="P654" s="47" t="str">
        <f>Data!X652</f>
        <v>Válido</v>
      </c>
    </row>
    <row r="655" spans="1:16">
      <c r="A655" s="41" t="str">
        <f>Data!A653</f>
        <v>PKU249</v>
      </c>
      <c r="B655" s="41" t="str">
        <f>Data!D653</f>
        <v>Vehicle, Diesel, Frontera Energy Col 2679</v>
      </c>
      <c r="C655" s="41">
        <f>Data!F653</f>
        <v>0</v>
      </c>
      <c r="D655" s="41">
        <f>Data!G653</f>
        <v>0</v>
      </c>
      <c r="E655" s="41">
        <f>Data!H653</f>
        <v>0</v>
      </c>
      <c r="F655" s="41">
        <f>Data!K653</f>
        <v>0</v>
      </c>
      <c r="G655" s="33" t="str">
        <f>Data!M653</f>
        <v>Exceso Velocidad 30 Km/h</v>
      </c>
      <c r="H655" s="41" t="str">
        <f>Data!P653</f>
        <v>ECOPETROL RUBIALES- Quifa - CAÑO SUR, Puerto Triunfo - Estacion Policia: Puerto Gaitan - Rubiales, Puerto Gaitán, Meta, Colombia</v>
      </c>
      <c r="I655" s="42" t="str">
        <f>Data!Q653</f>
        <v>Cliente, Vel Max 40 Km/h, Vel Max 30 Km/h</v>
      </c>
      <c r="J655" s="43">
        <f>Data!S653</f>
        <v>46174.865936689814</v>
      </c>
      <c r="K655" s="44">
        <f>Data!S653</f>
        <v>46174.865936689814</v>
      </c>
      <c r="L655" s="45">
        <f>Data!T653</f>
        <v>2.4594907407407405E-4</v>
      </c>
      <c r="M655" s="46">
        <f>Data!U653</f>
        <v>0.19589577615261078</v>
      </c>
      <c r="N655" s="46" t="str">
        <f>CONCATENATE(Data!W653," (",Data!V653,")")</f>
        <v>Exceso Velocidad 30 Km/h (Velocidad máxima: 35 kmh)</v>
      </c>
      <c r="O655" s="42" t="str">
        <f>IF(Data!V653&lt;&gt;"",N655,Data!W653)</f>
        <v>Exceso Velocidad 30 Km/h (Velocidad máxima: 35 kmh)</v>
      </c>
      <c r="P655" s="47" t="str">
        <f>Data!X653</f>
        <v>Válido</v>
      </c>
    </row>
    <row r="656" spans="1:16">
      <c r="A656" s="41" t="str">
        <f>Data!A654</f>
        <v>PKU249</v>
      </c>
      <c r="B656" s="41" t="str">
        <f>Data!D654</f>
        <v>Vehicle, Diesel, Frontera Energy Col 2679</v>
      </c>
      <c r="C656" s="41">
        <f>Data!F654</f>
        <v>0</v>
      </c>
      <c r="D656" s="41">
        <f>Data!G654</f>
        <v>0</v>
      </c>
      <c r="E656" s="41">
        <f>Data!H654</f>
        <v>0</v>
      </c>
      <c r="F656" s="41">
        <f>Data!K654</f>
        <v>0</v>
      </c>
      <c r="G656" s="33" t="str">
        <f>Data!M654</f>
        <v>Exceso Velocidad 30 Km/h</v>
      </c>
      <c r="H656" s="41" t="str">
        <f>Data!P654</f>
        <v>ECOPETROL RUBIALES- Quifa - CAÑO SUR, Puerto Triunfo - Estacion Policia: Puerto Gaitan - Rubiales, Puerto Gaitán, Meta, Colombia</v>
      </c>
      <c r="I656" s="42" t="str">
        <f>Data!Q654</f>
        <v>Cliente, Vel Max 40 Km/h, Vel Max 30 Km/h</v>
      </c>
      <c r="J656" s="43">
        <f>Data!S654</f>
        <v>46174.866518391202</v>
      </c>
      <c r="K656" s="44">
        <f>Data!S654</f>
        <v>46174.866518391202</v>
      </c>
      <c r="L656" s="45">
        <f>Data!T654</f>
        <v>1.6362268518518519E-4</v>
      </c>
      <c r="M656" s="46">
        <f>Data!U654</f>
        <v>0.13139264285564423</v>
      </c>
      <c r="N656" s="46" t="str">
        <f>CONCATENATE(Data!W654," (",Data!V654,")")</f>
        <v>Exceso Velocidad 30 Km/h (Velocidad máxima: 35 kmh)</v>
      </c>
      <c r="O656" s="42" t="str">
        <f>IF(Data!V654&lt;&gt;"",N656,Data!W654)</f>
        <v>Exceso Velocidad 30 Km/h (Velocidad máxima: 35 kmh)</v>
      </c>
      <c r="P656" s="47" t="str">
        <f>Data!X654</f>
        <v>Válido</v>
      </c>
    </row>
    <row r="657" spans="1:16">
      <c r="A657" s="41" t="str">
        <f>Data!A655</f>
        <v>PKU249</v>
      </c>
      <c r="B657" s="41" t="str">
        <f>Data!D655</f>
        <v>Vehicle, Diesel, Frontera Energy Col 2679</v>
      </c>
      <c r="C657" s="41">
        <f>Data!F655</f>
        <v>0</v>
      </c>
      <c r="D657" s="41">
        <f>Data!G655</f>
        <v>0</v>
      </c>
      <c r="E657" s="41">
        <f>Data!H655</f>
        <v>0</v>
      </c>
      <c r="F657" s="41">
        <f>Data!K655</f>
        <v>0</v>
      </c>
      <c r="G657" s="33" t="str">
        <f>Data!M655</f>
        <v>Exceso Velocidad 30 Km/h</v>
      </c>
      <c r="H657" s="41" t="str">
        <f>Data!P655</f>
        <v>ECOPETROL RUBIALES- Quifa - CAÑO SUR, Puerto Triunfo - Estacion Policia: Puerto Gaitan - Rubiales, Puerto Gaitán, Meta, Colombia</v>
      </c>
      <c r="I657" s="42" t="str">
        <f>Data!Q655</f>
        <v>Cliente, Vel Max 40 Km/h, Vel Max 30 Km/h</v>
      </c>
      <c r="J657" s="43">
        <f>Data!S655</f>
        <v>46174.866954317127</v>
      </c>
      <c r="K657" s="44">
        <f>Data!S655</f>
        <v>46174.866954317127</v>
      </c>
      <c r="L657" s="45">
        <f>Data!T655</f>
        <v>9.306712962962963E-5</v>
      </c>
      <c r="M657" s="46">
        <f>Data!U655</f>
        <v>6.5896742045879364E-2</v>
      </c>
      <c r="N657" s="46" t="str">
        <f>CONCATENATE(Data!W655," (",Data!V655,")")</f>
        <v>Exceso Velocidad 30 Km/h (Velocidad máxima: 32 kmh)</v>
      </c>
      <c r="O657" s="42" t="str">
        <f>IF(Data!V655&lt;&gt;"",N657,Data!W655)</f>
        <v>Exceso Velocidad 30 Km/h (Velocidad máxima: 32 kmh)</v>
      </c>
      <c r="P657" s="47" t="str">
        <f>Data!X655</f>
        <v>Válido</v>
      </c>
    </row>
    <row r="658" spans="1:16">
      <c r="A658" s="41" t="str">
        <f>Data!A656</f>
        <v>PKU249</v>
      </c>
      <c r="B658" s="41" t="str">
        <f>Data!D656</f>
        <v>Vehicle, Diesel, Frontera Energy Col 2679</v>
      </c>
      <c r="C658" s="41">
        <f>Data!F656</f>
        <v>0</v>
      </c>
      <c r="D658" s="41">
        <f>Data!G656</f>
        <v>0</v>
      </c>
      <c r="E658" s="41">
        <f>Data!H656</f>
        <v>0</v>
      </c>
      <c r="F658" s="41">
        <f>Data!K656</f>
        <v>0</v>
      </c>
      <c r="G658" s="33" t="str">
        <f>Data!M656</f>
        <v>Exceso Velocidad 30 Km/h</v>
      </c>
      <c r="H658" s="41" t="str">
        <f>Data!P656</f>
        <v>ECOPETROL RUBIALES- Quifa - CAÑO SUR, Puerto Triunfo - Estacion Policia: Puerto Gaitan - Rubiales, Puerto Gaitán, Meta, Colombia</v>
      </c>
      <c r="I658" s="42" t="str">
        <f>Data!Q656</f>
        <v>Cliente, Vel Max 40 Km/h, Vel Max 30 Km/h</v>
      </c>
      <c r="J658" s="43">
        <f>Data!S656</f>
        <v>46174.867692233798</v>
      </c>
      <c r="K658" s="44">
        <f>Data!S656</f>
        <v>46174.867692233798</v>
      </c>
      <c r="L658" s="45">
        <f>Data!T656</f>
        <v>8.0254629629629624E-5</v>
      </c>
      <c r="M658" s="46">
        <f>Data!U656</f>
        <v>6.7259468138217926E-2</v>
      </c>
      <c r="N658" s="46" t="str">
        <f>CONCATENATE(Data!W656," (",Data!V656,")")</f>
        <v>Exceso Velocidad 30 Km/h (Velocidad máxima: 40 kmh)</v>
      </c>
      <c r="O658" s="42" t="str">
        <f>IF(Data!V656&lt;&gt;"",N658,Data!W656)</f>
        <v>Exceso Velocidad 30 Km/h (Velocidad máxima: 40 kmh)</v>
      </c>
      <c r="P658" s="47" t="str">
        <f>Data!X656</f>
        <v>Válido</v>
      </c>
    </row>
    <row r="659" spans="1:16">
      <c r="A659" s="41" t="str">
        <f>Data!A657</f>
        <v>PKU249</v>
      </c>
      <c r="B659" s="41" t="str">
        <f>Data!D657</f>
        <v>Vehicle, Diesel, Frontera Energy Col 2679</v>
      </c>
      <c r="C659" s="41">
        <f>Data!F657</f>
        <v>0</v>
      </c>
      <c r="D659" s="41">
        <f>Data!G657</f>
        <v>0</v>
      </c>
      <c r="E659" s="41">
        <f>Data!H657</f>
        <v>0</v>
      </c>
      <c r="F659" s="41">
        <f>Data!K657</f>
        <v>0</v>
      </c>
      <c r="G659" s="33" t="str">
        <f>Data!M657</f>
        <v>Exceso Velocidad 30 Km/h</v>
      </c>
      <c r="H659" s="41" t="str">
        <f>Data!P657</f>
        <v>ECOPETROL RUBIALES- Quifa - CAÑO SUR, Puerto Triunfo - Estacion Policia: Puerto Gaitan - Rubiales, Puerto Gaitán, Meta, Colombia</v>
      </c>
      <c r="I659" s="42" t="str">
        <f>Data!Q657</f>
        <v>Cliente, Vel Max 40 Km/h, Vel Max 30 Km/h</v>
      </c>
      <c r="J659" s="43">
        <f>Data!S657</f>
        <v>46174.870299155089</v>
      </c>
      <c r="K659" s="44">
        <f>Data!S657</f>
        <v>46174.870299155089</v>
      </c>
      <c r="L659" s="45">
        <f>Data!T657</f>
        <v>1.2880787037037038E-4</v>
      </c>
      <c r="M659" s="46">
        <f>Data!U657</f>
        <v>0.1101367324590683</v>
      </c>
      <c r="N659" s="46" t="str">
        <f>CONCATENATE(Data!W657," (",Data!V657,")")</f>
        <v>Exceso Velocidad 30 Km/h (Velocidad máxima: 38 kmh)</v>
      </c>
      <c r="O659" s="42" t="str">
        <f>IF(Data!V657&lt;&gt;"",N659,Data!W657)</f>
        <v>Exceso Velocidad 30 Km/h (Velocidad máxima: 38 kmh)</v>
      </c>
      <c r="P659" s="47" t="str">
        <f>Data!X657</f>
        <v>Válido</v>
      </c>
    </row>
    <row r="660" spans="1:16">
      <c r="A660" s="41" t="str">
        <f>Data!A658</f>
        <v>PKU249</v>
      </c>
      <c r="B660" s="41" t="str">
        <f>Data!D658</f>
        <v>Vehicle, Diesel, Frontera Energy Col 2679</v>
      </c>
      <c r="C660" s="41">
        <f>Data!F658</f>
        <v>0</v>
      </c>
      <c r="D660" s="41">
        <f>Data!G658</f>
        <v>0</v>
      </c>
      <c r="E660" s="41">
        <f>Data!H658</f>
        <v>0</v>
      </c>
      <c r="F660" s="41">
        <f>Data!K658</f>
        <v>0</v>
      </c>
      <c r="G660" s="33" t="str">
        <f>Data!M658</f>
        <v>Exceso Velocidad 30 Km/h</v>
      </c>
      <c r="H660" s="41" t="str">
        <f>Data!P658</f>
        <v>ECOPETROL RUBIALES- Quifa - CAÑO SUR, Puerto Triunfo - Estacion Policia: Km 128 +500, Lavadero De Autos EL OASIS, Puerto Gaitan - Rubiales, Puerto Gaitán, Meta, Colombia</v>
      </c>
      <c r="I660" s="42" t="str">
        <f>Data!Q658</f>
        <v>Cliente, Vel Max 40 Km/h, Vel Max 30 Km/h</v>
      </c>
      <c r="J660" s="43">
        <f>Data!S658</f>
        <v>46174.874208356479</v>
      </c>
      <c r="K660" s="44">
        <f>Data!S658</f>
        <v>46174.874208356479</v>
      </c>
      <c r="L660" s="45">
        <f>Data!T658</f>
        <v>9.2337962962962957E-5</v>
      </c>
      <c r="M660" s="46">
        <f>Data!U658</f>
        <v>7.5165398418903351E-2</v>
      </c>
      <c r="N660" s="46" t="str">
        <f>CONCATENATE(Data!W658," (",Data!V658,")")</f>
        <v>Exceso Velocidad 30 Km/h (Velocidad máxima: 39 kmh)</v>
      </c>
      <c r="O660" s="42" t="str">
        <f>IF(Data!V658&lt;&gt;"",N660,Data!W658)</f>
        <v>Exceso Velocidad 30 Km/h (Velocidad máxima: 39 kmh)</v>
      </c>
      <c r="P660" s="47" t="str">
        <f>Data!X658</f>
        <v>Válido</v>
      </c>
    </row>
    <row r="661" spans="1:16">
      <c r="A661" s="41" t="str">
        <f>Data!A659</f>
        <v>PKU249</v>
      </c>
      <c r="B661" s="41" t="str">
        <f>Data!D659</f>
        <v>Vehicle, Diesel, Frontera Energy Col 2679</v>
      </c>
      <c r="C661" s="41">
        <f>Data!F659</f>
        <v>0</v>
      </c>
      <c r="D661" s="41">
        <f>Data!G659</f>
        <v>0</v>
      </c>
      <c r="E661" s="41">
        <f>Data!H659</f>
        <v>0</v>
      </c>
      <c r="F661" s="41">
        <f>Data!K659</f>
        <v>0</v>
      </c>
      <c r="G661" s="33" t="str">
        <f>Data!M659</f>
        <v>Exceso Velocidad 30 Km/h</v>
      </c>
      <c r="H661" s="41" t="str">
        <f>Data!P659</f>
        <v>ECOPETROL RUBIALES- Quifa - CAÑO SUR, Puerto Triunfo - Estacion Policia: Puerto Gaitan - Rubiales, Puerto Gaitán, Meta, Colombia</v>
      </c>
      <c r="I661" s="42" t="str">
        <f>Data!Q659</f>
        <v>Cliente, Vel Max 40 Km/h, Vel Max 30 Km/h</v>
      </c>
      <c r="J661" s="43">
        <f>Data!S659</f>
        <v>46174.87453671296</v>
      </c>
      <c r="K661" s="44">
        <f>Data!S659</f>
        <v>46174.87453671296</v>
      </c>
      <c r="L661" s="45">
        <f>Data!T659</f>
        <v>3.7025462962962961E-5</v>
      </c>
      <c r="M661" s="46">
        <f>Data!U659</f>
        <v>2.592039667069912E-2</v>
      </c>
      <c r="N661" s="46" t="str">
        <f>CONCATENATE(Data!W659," (",Data!V659,")")</f>
        <v>Exceso Velocidad 30 Km/h (Velocidad máxima: 32 kmh)</v>
      </c>
      <c r="O661" s="42" t="str">
        <f>IF(Data!V659&lt;&gt;"",N661,Data!W659)</f>
        <v>Exceso Velocidad 30 Km/h (Velocidad máxima: 32 kmh)</v>
      </c>
      <c r="P661" s="47" t="str">
        <f>Data!X659</f>
        <v>Válido</v>
      </c>
    </row>
    <row r="662" spans="1:16">
      <c r="A662" s="41" t="str">
        <f>Data!A660</f>
        <v>PKU249</v>
      </c>
      <c r="B662" s="41" t="str">
        <f>Data!D660</f>
        <v>Vehicle, Diesel, Frontera Energy Col 2679</v>
      </c>
      <c r="C662" s="41">
        <f>Data!F660</f>
        <v>0</v>
      </c>
      <c r="D662" s="41">
        <f>Data!G660</f>
        <v>0</v>
      </c>
      <c r="E662" s="41">
        <f>Data!H660</f>
        <v>0</v>
      </c>
      <c r="F662" s="41">
        <f>Data!K660</f>
        <v>0</v>
      </c>
      <c r="G662" s="33" t="str">
        <f>Data!M660</f>
        <v>Uso del cinturón de seguridad</v>
      </c>
      <c r="H662" s="41" t="str">
        <f>Data!P660</f>
        <v>ECOPETROL RUBIALES- Quifa - CAÑO SUR, Puerto Triunfo - Estacion Policia: Puerto Gaitan - Rubiales, Puerto Gaitán, Meta, Colombia</v>
      </c>
      <c r="I662" s="42" t="str">
        <f>Data!Q660</f>
        <v>Cliente, Vel Max 40 Km/h, Vel Max 30 Km/h</v>
      </c>
      <c r="J662" s="43">
        <f>Data!S660</f>
        <v>46174.894299837964</v>
      </c>
      <c r="K662" s="44">
        <f>Data!S660</f>
        <v>46174.894299837964</v>
      </c>
      <c r="L662" s="45">
        <f>Data!T660</f>
        <v>2.3775462962962962E-4</v>
      </c>
      <c r="M662" s="46">
        <f>Data!U660</f>
        <v>8.4825165569782257E-2</v>
      </c>
      <c r="N662" s="46" t="str">
        <f>CONCATENATE(Data!W660," (",Data!V660,")")</f>
        <v>Uso del cinturón de seguridad (Velocidad máxima: 18 kmh Cinturón de seguridad del conductor (1. Desabrochado): 1.00)</v>
      </c>
      <c r="O662" s="42" t="str">
        <f>IF(Data!V660&lt;&gt;"",N662,Data!W660)</f>
        <v>Uso del cinturón de seguridad (Velocidad máxima: 18 kmh Cinturón de seguridad del conductor (1. Desabrochado): 1.00)</v>
      </c>
      <c r="P662" s="47" t="str">
        <f>Data!X660</f>
        <v>Válido</v>
      </c>
    </row>
    <row r="663" spans="1:16">
      <c r="A663" s="41" t="str">
        <f>Data!A661</f>
        <v>PKU269</v>
      </c>
      <c r="B663" s="41" t="str">
        <f>Data!D661</f>
        <v>Vehicle, Diesel, Frontera Energy Col 2679</v>
      </c>
      <c r="C663" s="41">
        <f>Data!F661</f>
        <v>0</v>
      </c>
      <c r="D663" s="41">
        <f>Data!G661</f>
        <v>0</v>
      </c>
      <c r="E663" s="41">
        <f>Data!H661</f>
        <v>0</v>
      </c>
      <c r="F663" s="41">
        <f>Data!K661</f>
        <v>0</v>
      </c>
      <c r="G663" s="33" t="str">
        <f>Data!M661</f>
        <v>Exceso de velocidad (nuevo)</v>
      </c>
      <c r="H663" s="41" t="str">
        <f>Data!P661</f>
        <v>ECOPETROL RUBIALES- Quifa - CAÑO SUR: Puerto Gaitan - Rubiales, Puerto Gaitán, Meta, Colombia</v>
      </c>
      <c r="I663" s="42" t="str">
        <f>Data!Q661</f>
        <v>Cliente, Vel Max 40 Km/h</v>
      </c>
      <c r="J663" s="43">
        <f>Data!S661</f>
        <v>46174.057907986113</v>
      </c>
      <c r="K663" s="44">
        <f>Data!S661</f>
        <v>46174.057907986113</v>
      </c>
      <c r="L663" s="45">
        <f>Data!T661</f>
        <v>1.0619212962962963E-3</v>
      </c>
      <c r="M663" s="46">
        <f>Data!U661</f>
        <v>0.316600501537323</v>
      </c>
      <c r="N663" s="46" t="str">
        <f>CONCATENATE(Data!W661," (",Data!V661,")")</f>
        <v>Exceso de velocidad (nuevo) (Velocidad máxima: 18 kmh (Velocidad máxima en carretera: 7 kmh))</v>
      </c>
      <c r="O663" s="42" t="str">
        <f>IF(Data!V661&lt;&gt;"",N663,Data!W661)</f>
        <v>Exceso de velocidad (nuevo) (Velocidad máxima: 18 kmh (Velocidad máxima en carretera: 7 kmh))</v>
      </c>
      <c r="P663" s="47" t="str">
        <f>Data!X661</f>
        <v>Válido</v>
      </c>
    </row>
    <row r="664" spans="1:16">
      <c r="A664" s="41" t="str">
        <f>Data!A662</f>
        <v>PKU269</v>
      </c>
      <c r="B664" s="41" t="str">
        <f>Data!D662</f>
        <v>Vehicle, Diesel, Frontera Energy Col 2679</v>
      </c>
      <c r="C664" s="41">
        <f>Data!F662</f>
        <v>0</v>
      </c>
      <c r="D664" s="41">
        <f>Data!G662</f>
        <v>0</v>
      </c>
      <c r="E664" s="41">
        <f>Data!H662</f>
        <v>0</v>
      </c>
      <c r="F664" s="41">
        <f>Data!K662</f>
        <v>0</v>
      </c>
      <c r="G664" s="33" t="str">
        <f>Data!M662</f>
        <v>Exceso Velocidad 10 Km/h</v>
      </c>
      <c r="H664" s="41" t="str">
        <f>Data!P662</f>
        <v>CAMPAMENTO QUIFA, ECOPETROL RUBIALES- Quifa - CAÑO SUR, Puerto Gaitan - Rubiales, Puerto Gaitán, Meta, Colombia, Puerto Triunfo - Estacion Policia: Ent. CAMPAMENTO, Puerto Gaitán, Meta, Colombia</v>
      </c>
      <c r="I664" s="42" t="str">
        <f>Data!Q662</f>
        <v>Vel Max 10 Km/h, Cliente, Vel Max 40 Km/h, Centro de servicios del proveedor, Vel Max 30 Km/h</v>
      </c>
      <c r="J664" s="43">
        <f>Data!S662</f>
        <v>46174.060823472224</v>
      </c>
      <c r="K664" s="44">
        <f>Data!S662</f>
        <v>46174.060823472224</v>
      </c>
      <c r="L664" s="45">
        <f>Data!T662</f>
        <v>6.7731481481481481E-5</v>
      </c>
      <c r="M664" s="46">
        <f>Data!U662</f>
        <v>2.2469980642199516E-2</v>
      </c>
      <c r="N664" s="46" t="str">
        <f>CONCATENATE(Data!W662," (",Data!V662,")")</f>
        <v>Exceso Velocidad 10 Km/h (Velocidad máxima: 17 kmh)</v>
      </c>
      <c r="O664" s="42" t="str">
        <f>IF(Data!V662&lt;&gt;"",N664,Data!W662)</f>
        <v>Exceso Velocidad 10 Km/h (Velocidad máxima: 17 kmh)</v>
      </c>
      <c r="P664" s="47" t="str">
        <f>Data!X662</f>
        <v>Válido</v>
      </c>
    </row>
    <row r="665" spans="1:16">
      <c r="A665" s="41" t="str">
        <f>Data!A663</f>
        <v>PKU269</v>
      </c>
      <c r="B665" s="41" t="str">
        <f>Data!D663</f>
        <v>Vehicle, Diesel, Frontera Energy Col 2679</v>
      </c>
      <c r="C665" s="41">
        <f>Data!F663</f>
        <v>0</v>
      </c>
      <c r="D665" s="41">
        <f>Data!G663</f>
        <v>0</v>
      </c>
      <c r="E665" s="41">
        <f>Data!H663</f>
        <v>0</v>
      </c>
      <c r="F665" s="41">
        <f>Data!K663</f>
        <v>0</v>
      </c>
      <c r="G665" s="33" t="str">
        <f>Data!M663</f>
        <v>Exceso Velocidad 10 Km/h</v>
      </c>
      <c r="H665" s="41" t="str">
        <f>Data!P663</f>
        <v>CAMPAMENTO QUIFA, ECOPETROL RUBIALES- Quifa - CAÑO SUR, Puerto Gaitan - Rubiales, Puerto Gaitán, Meta, Colombia, Puerto Triunfo - Estacion Policia: Puerto Gaitan - Rubiales, Puerto Gaitán, Meta, Colombia</v>
      </c>
      <c r="I665" s="42" t="str">
        <f>Data!Q663</f>
        <v>Vel Max 10 Km/h, Cliente, Vel Max 40 Km/h, Centro de servicios del proveedor, Vel Max 30 Km/h</v>
      </c>
      <c r="J665" s="43">
        <f>Data!S663</f>
        <v>46174.060891203706</v>
      </c>
      <c r="K665" s="44">
        <f>Data!S663</f>
        <v>46174.060891203706</v>
      </c>
      <c r="L665" s="45">
        <f>Data!T663</f>
        <v>3.0150462962962965E-4</v>
      </c>
      <c r="M665" s="46">
        <f>Data!U663</f>
        <v>0.1179933175444603</v>
      </c>
      <c r="N665" s="46" t="str">
        <f>CONCATENATE(Data!W663," (",Data!V663,")")</f>
        <v>Exceso Velocidad 10 Km/h (Velocidad máxima: 22 kmh)</v>
      </c>
      <c r="O665" s="42" t="str">
        <f>IF(Data!V663&lt;&gt;"",N665,Data!W663)</f>
        <v>Exceso Velocidad 10 Km/h (Velocidad máxima: 22 kmh)</v>
      </c>
      <c r="P665" s="47" t="str">
        <f>Data!X663</f>
        <v>Válido</v>
      </c>
    </row>
    <row r="666" spans="1:16">
      <c r="A666" s="41" t="str">
        <f>Data!A664</f>
        <v>PKU269</v>
      </c>
      <c r="B666" s="41" t="str">
        <f>Data!D664</f>
        <v>Vehicle, Diesel, Frontera Energy Col 2679</v>
      </c>
      <c r="C666" s="41">
        <f>Data!F664</f>
        <v>0</v>
      </c>
      <c r="D666" s="41">
        <f>Data!G664</f>
        <v>0</v>
      </c>
      <c r="E666" s="41">
        <f>Data!H664</f>
        <v>0</v>
      </c>
      <c r="F666" s="41">
        <f>Data!K664</f>
        <v>0</v>
      </c>
      <c r="G666" s="33" t="str">
        <f>Data!M664</f>
        <v>Tiempo en ralentí</v>
      </c>
      <c r="H666" s="41" t="str">
        <f>Data!P664</f>
        <v>ECOPETROL RUBIALES- Quifa - CAÑO SUR: Qf 12 48 36 79 Dw1, Puerto Gaitán, Meta, Colombia</v>
      </c>
      <c r="I666" s="42" t="str">
        <f>Data!Q664</f>
        <v>Cliente, Vel Max 40 Km/h</v>
      </c>
      <c r="J666" s="43">
        <f>Data!S664</f>
        <v>46174.097905092596</v>
      </c>
      <c r="K666" s="44">
        <f>Data!S664</f>
        <v>46174.097905092596</v>
      </c>
      <c r="L666" s="45">
        <f>Data!T664</f>
        <v>4.3518518518518515E-3</v>
      </c>
      <c r="M666" s="46">
        <f>Data!U664</f>
        <v>0</v>
      </c>
      <c r="N666" s="46" t="str">
        <f>CONCATENATE(Data!W664," (",Data!V664,")")</f>
        <v>Tiempo en ralentí (Ignición: 1.00)</v>
      </c>
      <c r="O666" s="42" t="str">
        <f>IF(Data!V664&lt;&gt;"",N666,Data!W664)</f>
        <v>Tiempo en ralentí (Ignición: 1.00)</v>
      </c>
      <c r="P666" s="47" t="str">
        <f>Data!X664</f>
        <v>Válido</v>
      </c>
    </row>
    <row r="667" spans="1:16">
      <c r="A667" s="41" t="str">
        <f>Data!A665</f>
        <v>PKU269</v>
      </c>
      <c r="B667" s="41" t="str">
        <f>Data!D665</f>
        <v>Vehicle, Diesel, Frontera Energy Col 2679</v>
      </c>
      <c r="C667" s="41">
        <f>Data!F665</f>
        <v>0</v>
      </c>
      <c r="D667" s="41">
        <f>Data!G665</f>
        <v>0</v>
      </c>
      <c r="E667" s="41">
        <f>Data!H665</f>
        <v>0</v>
      </c>
      <c r="F667" s="41">
        <f>Data!K665</f>
        <v>0</v>
      </c>
      <c r="G667" s="33" t="str">
        <f>Data!M665</f>
        <v>Exceso Velocidad 40 Km/h</v>
      </c>
      <c r="H667" s="41" t="str">
        <f>Data!P665</f>
        <v>ECOPETROL RUBIALES- Quifa - CAÑO SUR: Qf 12 48 36 79 Dw1, Puerto Gaitán, Meta, Colombia</v>
      </c>
      <c r="I667" s="42" t="str">
        <f>Data!Q665</f>
        <v>Cliente, Vel Max 40 Km/h</v>
      </c>
      <c r="J667" s="43">
        <f>Data!S665</f>
        <v>46174.1094212963</v>
      </c>
      <c r="K667" s="44">
        <f>Data!S665</f>
        <v>46174.1094212963</v>
      </c>
      <c r="L667" s="45">
        <f>Data!T665</f>
        <v>2.8935285185185187E-5</v>
      </c>
      <c r="M667" s="46">
        <f>Data!U665</f>
        <v>2.6930242776870728E-2</v>
      </c>
      <c r="N667" s="46" t="str">
        <f>CONCATENATE(Data!W665," (",Data!V665,")")</f>
        <v>Exceso Velocidad 40 Km/h (Velocidad máxima: 41 kmh)</v>
      </c>
      <c r="O667" s="42" t="str">
        <f>IF(Data!V665&lt;&gt;"",N667,Data!W665)</f>
        <v>Exceso Velocidad 40 Km/h (Velocidad máxima: 41 kmh)</v>
      </c>
      <c r="P667" s="47" t="str">
        <f>Data!X665</f>
        <v>Válido</v>
      </c>
    </row>
    <row r="668" spans="1:16">
      <c r="A668" s="41" t="str">
        <f>Data!A666</f>
        <v>PKU269</v>
      </c>
      <c r="B668" s="41" t="str">
        <f>Data!D666</f>
        <v>Vehicle, Diesel, Frontera Energy Col 2679</v>
      </c>
      <c r="C668" s="41">
        <f>Data!F666</f>
        <v>0</v>
      </c>
      <c r="D668" s="41">
        <f>Data!G666</f>
        <v>0</v>
      </c>
      <c r="E668" s="41">
        <f>Data!H666</f>
        <v>0</v>
      </c>
      <c r="F668" s="41">
        <f>Data!K666</f>
        <v>0</v>
      </c>
      <c r="G668" s="33" t="str">
        <f>Data!M666</f>
        <v>Exceso Velocidad 10 Km/h</v>
      </c>
      <c r="H668" s="41" t="str">
        <f>Data!P666</f>
        <v>CAMPAMENTO QUIFA, ECOPETROL RUBIALES- Quifa - CAÑO SUR, Puerto Triunfo - Estacion Policia: Puerto Gaitan - Rubiales, Puerto Gaitán, Meta, Colombia</v>
      </c>
      <c r="I668" s="42" t="str">
        <f>Data!Q666</f>
        <v>Vel Max 10 Km/h, Cliente, Vel Max 40 Km/h, Vel Max 30 Km/h</v>
      </c>
      <c r="J668" s="43">
        <f>Data!S666</f>
        <v>46174.121325231587</v>
      </c>
      <c r="K668" s="44">
        <f>Data!S666</f>
        <v>46174.121325231587</v>
      </c>
      <c r="L668" s="45">
        <f>Data!T666</f>
        <v>2.8050925925925926E-4</v>
      </c>
      <c r="M668" s="46">
        <f>Data!U666</f>
        <v>0.11669921875</v>
      </c>
      <c r="N668" s="46" t="str">
        <f>CONCATENATE(Data!W666," (",Data!V666,")")</f>
        <v>Exceso Velocidad 10 Km/h (Velocidad máxima: 21 kmh)</v>
      </c>
      <c r="O668" s="42" t="str">
        <f>IF(Data!V666&lt;&gt;"",N668,Data!W666)</f>
        <v>Exceso Velocidad 10 Km/h (Velocidad máxima: 21 kmh)</v>
      </c>
      <c r="P668" s="47" t="str">
        <f>Data!X666</f>
        <v>Válido</v>
      </c>
    </row>
    <row r="669" spans="1:16">
      <c r="A669" s="41" t="str">
        <f>Data!A667</f>
        <v>PKU269</v>
      </c>
      <c r="B669" s="41" t="str">
        <f>Data!D667</f>
        <v>Vehicle, Diesel, Frontera Energy Col 2679</v>
      </c>
      <c r="C669" s="41">
        <f>Data!F667</f>
        <v>0</v>
      </c>
      <c r="D669" s="41">
        <f>Data!G667</f>
        <v>0</v>
      </c>
      <c r="E669" s="41">
        <f>Data!H667</f>
        <v>0</v>
      </c>
      <c r="F669" s="41">
        <f>Data!K667</f>
        <v>0</v>
      </c>
      <c r="G669" s="33" t="str">
        <f>Data!M667</f>
        <v>Exceso Velocidad 10 Km/h</v>
      </c>
      <c r="H669" s="41" t="str">
        <f>Data!P667</f>
        <v>ECOPETROL RUBIALES- Quifa - CAÑO SUR, Campamento Quifa - CMA: Puerto Gaitan - Rubiales, Puerto Gaitán, Meta, Colombia</v>
      </c>
      <c r="I669" s="42" t="str">
        <f>Data!Q667</f>
        <v>Cliente, Vel Max 40 Km/h, Vel Max 10 Km/h</v>
      </c>
      <c r="J669" s="43">
        <f>Data!S667</f>
        <v>46174.121974363428</v>
      </c>
      <c r="K669" s="44">
        <f>Data!S667</f>
        <v>46174.121974363428</v>
      </c>
      <c r="L669" s="45">
        <f>Data!T667</f>
        <v>1.390625E-4</v>
      </c>
      <c r="M669" s="46">
        <f>Data!U667</f>
        <v>6.9877207279205322E-2</v>
      </c>
      <c r="N669" s="46" t="str">
        <f>CONCATENATE(Data!W667," (",Data!V667,")")</f>
        <v>Exceso Velocidad 10 Km/h (Velocidad máxima: 24 kmh)</v>
      </c>
      <c r="O669" s="42" t="str">
        <f>IF(Data!V667&lt;&gt;"",N669,Data!W667)</f>
        <v>Exceso Velocidad 10 Km/h (Velocidad máxima: 24 kmh)</v>
      </c>
      <c r="P669" s="47" t="str">
        <f>Data!X667</f>
        <v>Válido</v>
      </c>
    </row>
    <row r="670" spans="1:16">
      <c r="A670" s="41" t="str">
        <f>Data!A668</f>
        <v>PKU269</v>
      </c>
      <c r="B670" s="41" t="str">
        <f>Data!D668</f>
        <v>Vehicle, Diesel, Frontera Energy Col 2679</v>
      </c>
      <c r="C670" s="41">
        <f>Data!F668</f>
        <v>0</v>
      </c>
      <c r="D670" s="41">
        <f>Data!G668</f>
        <v>0</v>
      </c>
      <c r="E670" s="41">
        <f>Data!H668</f>
        <v>0</v>
      </c>
      <c r="F670" s="41">
        <f>Data!K668</f>
        <v>0</v>
      </c>
      <c r="G670" s="33" t="str">
        <f>Data!M668</f>
        <v>Exceso Velocidad 10 Km/h</v>
      </c>
      <c r="H670" s="41" t="str">
        <f>Data!P668</f>
        <v>ECOPETROL RUBIALES- Quifa - CAÑO SUR, Campamento Quifa - CMA: Puerto Gaitan - Rubiales, Puerto Gaitán, Meta, Colombia</v>
      </c>
      <c r="I670" s="42" t="str">
        <f>Data!Q668</f>
        <v>Cliente, Vel Max 40 Km/h, Vel Max 10 Km/h</v>
      </c>
      <c r="J670" s="43">
        <f>Data!S668</f>
        <v>46174.123942905091</v>
      </c>
      <c r="K670" s="44">
        <f>Data!S668</f>
        <v>46174.123942905091</v>
      </c>
      <c r="L670" s="45">
        <f>Data!T668</f>
        <v>1.0657407407407408E-4</v>
      </c>
      <c r="M670" s="46">
        <f>Data!U668</f>
        <v>2.5230372324585915E-2</v>
      </c>
      <c r="N670" s="46" t="str">
        <f>CONCATENATE(Data!W668," (",Data!V668,")")</f>
        <v>Exceso Velocidad 10 Km/h (Velocidad máxima: 11 kmh)</v>
      </c>
      <c r="O670" s="42" t="str">
        <f>IF(Data!V668&lt;&gt;"",N670,Data!W668)</f>
        <v>Exceso Velocidad 10 Km/h (Velocidad máxima: 11 kmh)</v>
      </c>
      <c r="P670" s="47" t="str">
        <f>Data!X668</f>
        <v>Válido</v>
      </c>
    </row>
    <row r="671" spans="1:16">
      <c r="A671" s="41" t="str">
        <f>Data!A669</f>
        <v>PKU269</v>
      </c>
      <c r="B671" s="41" t="str">
        <f>Data!D669</f>
        <v>Vehicle, Diesel, Frontera Energy Col 2679</v>
      </c>
      <c r="C671" s="41">
        <f>Data!F669</f>
        <v>0</v>
      </c>
      <c r="D671" s="41">
        <f>Data!G669</f>
        <v>0</v>
      </c>
      <c r="E671" s="41">
        <f>Data!H669</f>
        <v>0</v>
      </c>
      <c r="F671" s="41">
        <f>Data!K669</f>
        <v>0</v>
      </c>
      <c r="G671" s="33" t="str">
        <f>Data!M669</f>
        <v>Exceso Velocidad 10 Km/h</v>
      </c>
      <c r="H671" s="41" t="str">
        <f>Data!P669</f>
        <v>ECOPETROL RUBIALES- Quifa - CAÑO SUR, Campamento Quifa - CMA: Puerto Gaitan - Rubiales, Puerto Gaitán, Meta, Colombia</v>
      </c>
      <c r="I671" s="42" t="str">
        <f>Data!Q669</f>
        <v>Cliente, Vel Max 40 Km/h, Vel Max 10 Km/h</v>
      </c>
      <c r="J671" s="43">
        <f>Data!S669</f>
        <v>46174.187291666669</v>
      </c>
      <c r="K671" s="44">
        <f>Data!S669</f>
        <v>46174.187291666669</v>
      </c>
      <c r="L671" s="45">
        <f>Data!T669</f>
        <v>1.880787037037037E-4</v>
      </c>
      <c r="M671" s="46">
        <f>Data!U669</f>
        <v>5.5230490863323212E-2</v>
      </c>
      <c r="N671" s="46" t="str">
        <f>CONCATENATE(Data!W669," (",Data!V669,")")</f>
        <v>Exceso Velocidad 10 Km/h (Velocidad máxima: 12 kmh)</v>
      </c>
      <c r="O671" s="42" t="str">
        <f>IF(Data!V669&lt;&gt;"",N671,Data!W669)</f>
        <v>Exceso Velocidad 10 Km/h (Velocidad máxima: 12 kmh)</v>
      </c>
      <c r="P671" s="47" t="str">
        <f>Data!X669</f>
        <v>Válido</v>
      </c>
    </row>
    <row r="672" spans="1:16">
      <c r="A672" s="41" t="str">
        <f>Data!A670</f>
        <v>PKU269</v>
      </c>
      <c r="B672" s="41" t="str">
        <f>Data!D670</f>
        <v>Vehicle, Diesel, Frontera Energy Col 2679</v>
      </c>
      <c r="C672" s="41">
        <f>Data!F670</f>
        <v>0</v>
      </c>
      <c r="D672" s="41">
        <f>Data!G670</f>
        <v>0</v>
      </c>
      <c r="E672" s="41">
        <f>Data!H670</f>
        <v>0</v>
      </c>
      <c r="F672" s="41">
        <f>Data!K670</f>
        <v>0</v>
      </c>
      <c r="G672" s="33" t="str">
        <f>Data!M670</f>
        <v>Exceso Velocidad 10 Km/h</v>
      </c>
      <c r="H672" s="41" t="str">
        <f>Data!P670</f>
        <v>ECOPETROL RUBIALES- Quifa - CAÑO SUR, Campamento Quifa - CMA: Puerto Gaitan - Rubiales, Puerto Gaitán, Meta, Colombia</v>
      </c>
      <c r="I672" s="42" t="str">
        <f>Data!Q670</f>
        <v>Cliente, Vel Max 40 Km/h, Vel Max 10 Km/h</v>
      </c>
      <c r="J672" s="43">
        <f>Data!S670</f>
        <v>46174.189043692131</v>
      </c>
      <c r="K672" s="44">
        <f>Data!S670</f>
        <v>46174.189043692131</v>
      </c>
      <c r="L672" s="45">
        <f>Data!T670</f>
        <v>1.7662037037037036E-4</v>
      </c>
      <c r="M672" s="46">
        <f>Data!U670</f>
        <v>5.9472441673278809E-2</v>
      </c>
      <c r="N672" s="46" t="str">
        <f>CONCATENATE(Data!W670," (",Data!V670,")")</f>
        <v>Exceso Velocidad 10 Km/h (Velocidad máxima: 15 kmh)</v>
      </c>
      <c r="O672" s="42" t="str">
        <f>IF(Data!V670&lt;&gt;"",N672,Data!W670)</f>
        <v>Exceso Velocidad 10 Km/h (Velocidad máxima: 15 kmh)</v>
      </c>
      <c r="P672" s="47" t="str">
        <f>Data!X670</f>
        <v>Válido</v>
      </c>
    </row>
    <row r="673" spans="1:16">
      <c r="A673" s="41" t="str">
        <f>Data!A671</f>
        <v>PKU269</v>
      </c>
      <c r="B673" s="41" t="str">
        <f>Data!D671</f>
        <v>Vehicle, Diesel, Frontera Energy Col 2679</v>
      </c>
      <c r="C673" s="41">
        <f>Data!F671</f>
        <v>0</v>
      </c>
      <c r="D673" s="41">
        <f>Data!G671</f>
        <v>0</v>
      </c>
      <c r="E673" s="41">
        <f>Data!H671</f>
        <v>0</v>
      </c>
      <c r="F673" s="41">
        <f>Data!K671</f>
        <v>0</v>
      </c>
      <c r="G673" s="33" t="str">
        <f>Data!M671</f>
        <v>Exceso de velocidad (nuevo)</v>
      </c>
      <c r="H673" s="41" t="str">
        <f>Data!P671</f>
        <v>ECOPETROL RUBIALES- Quifa - CAÑO SUR, Puerto Triunfo - Estacion Policia: Puerto Gaitan - Rubiales, Puerto Gaitán, Meta, Colombia</v>
      </c>
      <c r="I673" s="42" t="str">
        <f>Data!Q671</f>
        <v>Cliente, Vel Max 40 Km/h, Vel Max 30 Km/h</v>
      </c>
      <c r="J673" s="43">
        <f>Data!S671</f>
        <v>46174.190972222219</v>
      </c>
      <c r="K673" s="44">
        <f>Data!S671</f>
        <v>46174.190972222219</v>
      </c>
      <c r="L673" s="45">
        <f>Data!T671</f>
        <v>7.8703703703703705E-4</v>
      </c>
      <c r="M673" s="46">
        <f>Data!U671</f>
        <v>0.27985435724258423</v>
      </c>
      <c r="N673" s="46" t="str">
        <f>CONCATENATE(Data!W671," (",Data!V671,")")</f>
        <v>Exceso de velocidad (nuevo) (Velocidad máxima: 20 kmh (Velocidad máxima en carretera: 7 kmh))</v>
      </c>
      <c r="O673" s="42" t="str">
        <f>IF(Data!V671&lt;&gt;"",N673,Data!W671)</f>
        <v>Exceso de velocidad (nuevo) (Velocidad máxima: 20 kmh (Velocidad máxima en carretera: 7 kmh))</v>
      </c>
      <c r="P673" s="47" t="str">
        <f>Data!X671</f>
        <v>Válido</v>
      </c>
    </row>
    <row r="674" spans="1:16">
      <c r="A674" s="41" t="str">
        <f>Data!A672</f>
        <v>PKU269</v>
      </c>
      <c r="B674" s="41" t="str">
        <f>Data!D672</f>
        <v>Vehicle, Diesel, Frontera Energy Col 2679</v>
      </c>
      <c r="C674" s="41">
        <f>Data!F672</f>
        <v>0</v>
      </c>
      <c r="D674" s="41">
        <f>Data!G672</f>
        <v>0</v>
      </c>
      <c r="E674" s="41">
        <f>Data!H672</f>
        <v>0</v>
      </c>
      <c r="F674" s="41">
        <f>Data!K672</f>
        <v>0</v>
      </c>
      <c r="G674" s="33" t="str">
        <f>Data!M672</f>
        <v>Exceso Velocidad 10 Km/h</v>
      </c>
      <c r="H674" s="41" t="str">
        <f>Data!P672</f>
        <v>ECOPETROL RUBIALES- Quifa - CAÑO SUR, Centralizado de combustible Quifa: Vía Sin Nombre, Puerto Gaitán, Meta, Colombia</v>
      </c>
      <c r="I674" s="42" t="str">
        <f>Data!Q672</f>
        <v>Cliente, Vel Max 40 Km/h, Vel Max 10 Km/h</v>
      </c>
      <c r="J674" s="43">
        <f>Data!S672</f>
        <v>46174.191875196761</v>
      </c>
      <c r="K674" s="44">
        <f>Data!S672</f>
        <v>46174.191875196761</v>
      </c>
      <c r="L674" s="45">
        <f>Data!T672</f>
        <v>4.5450231481481481E-4</v>
      </c>
      <c r="M674" s="46">
        <f>Data!U672</f>
        <v>0.14949381351470947</v>
      </c>
      <c r="N674" s="46" t="str">
        <f>CONCATENATE(Data!W672," (",Data!V672,")")</f>
        <v>Exceso Velocidad 10 Km/h (Velocidad máxima: 16 kmh)</v>
      </c>
      <c r="O674" s="42" t="str">
        <f>IF(Data!V672&lt;&gt;"",N674,Data!W672)</f>
        <v>Exceso Velocidad 10 Km/h (Velocidad máxima: 16 kmh)</v>
      </c>
      <c r="P674" s="47" t="str">
        <f>Data!X672</f>
        <v>Válido</v>
      </c>
    </row>
    <row r="675" spans="1:16">
      <c r="A675" s="41" t="str">
        <f>Data!A673</f>
        <v>PKU269</v>
      </c>
      <c r="B675" s="41" t="str">
        <f>Data!D673</f>
        <v>Vehicle, Diesel, Frontera Energy Col 2679</v>
      </c>
      <c r="C675" s="41">
        <f>Data!F673</f>
        <v>0</v>
      </c>
      <c r="D675" s="41">
        <f>Data!G673</f>
        <v>0</v>
      </c>
      <c r="E675" s="41">
        <f>Data!H673</f>
        <v>0</v>
      </c>
      <c r="F675" s="41">
        <f>Data!K673</f>
        <v>0</v>
      </c>
      <c r="G675" s="33" t="str">
        <f>Data!M673</f>
        <v>Exceso de velocidad (nuevo)</v>
      </c>
      <c r="H675" s="41" t="str">
        <f>Data!P673</f>
        <v>ECOPETROL RUBIALES- Quifa - CAÑO SUR: Puerto Gaitan - Rubiales, Puerto Gaitán, Meta, Colombia</v>
      </c>
      <c r="I675" s="42" t="str">
        <f>Data!Q673</f>
        <v>Cliente, Vel Max 40 Km/h</v>
      </c>
      <c r="J675" s="43">
        <f>Data!S673</f>
        <v>46174.207013888888</v>
      </c>
      <c r="K675" s="44">
        <f>Data!S673</f>
        <v>46174.207013888888</v>
      </c>
      <c r="L675" s="45">
        <f>Data!T673</f>
        <v>6.2500000000000001E-4</v>
      </c>
      <c r="M675" s="46">
        <f>Data!U673</f>
        <v>0.32408386468887329</v>
      </c>
      <c r="N675" s="46" t="str">
        <f>CONCATENATE(Data!W673," (",Data!V673,")")</f>
        <v>Exceso de velocidad (nuevo) (Velocidad máxima: 24 kmh (Velocidad máxima en carretera: 7 kmh))</v>
      </c>
      <c r="O675" s="42" t="str">
        <f>IF(Data!V673&lt;&gt;"",N675,Data!W673)</f>
        <v>Exceso de velocidad (nuevo) (Velocidad máxima: 24 kmh (Velocidad máxima en carretera: 7 kmh))</v>
      </c>
      <c r="P675" s="47" t="str">
        <f>Data!X673</f>
        <v>Válido</v>
      </c>
    </row>
    <row r="676" spans="1:16">
      <c r="A676" s="41" t="str">
        <f>Data!A674</f>
        <v>PKU269</v>
      </c>
      <c r="B676" s="41" t="str">
        <f>Data!D674</f>
        <v>Vehicle, Diesel, Frontera Energy Col 2679</v>
      </c>
      <c r="C676" s="41">
        <f>Data!F674</f>
        <v>0</v>
      </c>
      <c r="D676" s="41">
        <f>Data!G674</f>
        <v>0</v>
      </c>
      <c r="E676" s="41">
        <f>Data!H674</f>
        <v>0</v>
      </c>
      <c r="F676" s="41">
        <f>Data!K674</f>
        <v>0</v>
      </c>
      <c r="G676" s="33" t="str">
        <f>Data!M674</f>
        <v>Exceso Velocidad 10 Km/h</v>
      </c>
      <c r="H676" s="41" t="str">
        <f>Data!P674</f>
        <v>ECOPETROL RUBIALES- Quifa - CAÑO SUR, Puerto Triunfo - Estacion Policia, PUESTRO CONTROL QUIFA: Puerto Gaitan - Rubiales, Puerto Gaitán, Meta, Colombia</v>
      </c>
      <c r="I676" s="42" t="str">
        <f>Data!Q674</f>
        <v>Cliente, Vel Max 40 Km/h, Vel Max 30 Km/h, Vel Max 10 Km/h</v>
      </c>
      <c r="J676" s="43">
        <f>Data!S674</f>
        <v>46174.207785254628</v>
      </c>
      <c r="K676" s="44">
        <f>Data!S674</f>
        <v>46174.207785254628</v>
      </c>
      <c r="L676" s="45">
        <f>Data!T674</f>
        <v>3.7633101851851852E-4</v>
      </c>
      <c r="M676" s="46">
        <f>Data!U674</f>
        <v>0.1836627870798111</v>
      </c>
      <c r="N676" s="46" t="str">
        <f>CONCATENATE(Data!W674," (",Data!V674,")")</f>
        <v>Exceso Velocidad 10 Km/h (Velocidad máxima: 22 kmh)</v>
      </c>
      <c r="O676" s="42" t="str">
        <f>IF(Data!V674&lt;&gt;"",N676,Data!W674)</f>
        <v>Exceso Velocidad 10 Km/h (Velocidad máxima: 22 kmh)</v>
      </c>
      <c r="P676" s="47" t="str">
        <f>Data!X674</f>
        <v>Válido</v>
      </c>
    </row>
    <row r="677" spans="1:16">
      <c r="A677" s="41" t="str">
        <f>Data!A675</f>
        <v>PKU269</v>
      </c>
      <c r="B677" s="41" t="str">
        <f>Data!D675</f>
        <v>Vehicle, Diesel, Frontera Energy Col 2679</v>
      </c>
      <c r="C677" s="41">
        <f>Data!F675</f>
        <v>0</v>
      </c>
      <c r="D677" s="41">
        <f>Data!G675</f>
        <v>0</v>
      </c>
      <c r="E677" s="41">
        <f>Data!H675</f>
        <v>0</v>
      </c>
      <c r="F677" s="41">
        <f>Data!K675</f>
        <v>0</v>
      </c>
      <c r="G677" s="33" t="str">
        <f>Data!M675</f>
        <v>Tiempo en ralentí</v>
      </c>
      <c r="H677" s="41" t="str">
        <f>Data!P675</f>
        <v>ECOPETROL RUBIALES- Quifa - CAÑO SUR, Puerto Triunfo - Estacion Policia: Puerto Gaitan - Rubiales, Puerto Gaitán, Meta, Colombia</v>
      </c>
      <c r="I677" s="42" t="str">
        <f>Data!Q675</f>
        <v>Cliente, Vel Max 40 Km/h, Vel Max 30 Km/h</v>
      </c>
      <c r="J677" s="43">
        <f>Data!S675</f>
        <v>46174.210636574076</v>
      </c>
      <c r="K677" s="44">
        <f>Data!S675</f>
        <v>46174.210636574076</v>
      </c>
      <c r="L677" s="45">
        <f>Data!T675</f>
        <v>4.386574074074074E-3</v>
      </c>
      <c r="M677" s="46">
        <f>Data!U675</f>
        <v>0</v>
      </c>
      <c r="N677" s="46" t="str">
        <f>CONCATENATE(Data!W675," (",Data!V675,")")</f>
        <v>Tiempo en ralentí (Ignición: 1.00)</v>
      </c>
      <c r="O677" s="42" t="str">
        <f>IF(Data!V675&lt;&gt;"",N677,Data!W675)</f>
        <v>Tiempo en ralentí (Ignición: 1.00)</v>
      </c>
      <c r="P677" s="47" t="str">
        <f>Data!X675</f>
        <v>Válido</v>
      </c>
    </row>
    <row r="678" spans="1:16">
      <c r="A678" s="41" t="str">
        <f>Data!A676</f>
        <v>PKU269</v>
      </c>
      <c r="B678" s="41" t="str">
        <f>Data!D676</f>
        <v>Vehicle, Diesel, Frontera Energy Col 2679</v>
      </c>
      <c r="C678" s="41">
        <f>Data!F676</f>
        <v>0</v>
      </c>
      <c r="D678" s="41">
        <f>Data!G676</f>
        <v>0</v>
      </c>
      <c r="E678" s="41">
        <f>Data!H676</f>
        <v>0</v>
      </c>
      <c r="F678" s="41">
        <f>Data!K676</f>
        <v>0</v>
      </c>
      <c r="G678" s="33" t="str">
        <f>Data!M676</f>
        <v>Exceso Velocidad 10 Km/h</v>
      </c>
      <c r="H678" s="41" t="str">
        <f>Data!P676</f>
        <v>CAMPAMENTO QUIFA, ECOPETROL RUBIALES- Quifa - CAÑO SUR, Puerto Gaitan - Rubiales, Puerto Gaitán, Meta, Colombia, Puerto Triunfo - Estacion Policia: Ent. CAMPAMENTO, Puerto Gaitán, Meta, Colombia</v>
      </c>
      <c r="I678" s="42" t="str">
        <f>Data!Q676</f>
        <v>Vel Max 10 Km/h, Cliente, Vel Max 40 Km/h, Centro de servicios del proveedor, Vel Max 30 Km/h</v>
      </c>
      <c r="J678" s="43">
        <f>Data!S676</f>
        <v>46174.258347222225</v>
      </c>
      <c r="K678" s="44">
        <f>Data!S676</f>
        <v>46174.258347222225</v>
      </c>
      <c r="L678" s="45">
        <f>Data!T676</f>
        <v>4.398148148148148E-5</v>
      </c>
      <c r="M678" s="46">
        <f>Data!U676</f>
        <v>1.0627889074385166E-2</v>
      </c>
      <c r="N678" s="46" t="str">
        <f>CONCATENATE(Data!W676," (",Data!V676,")")</f>
        <v>Exceso Velocidad 10 Km/h (Velocidad máxima: 13 kmh)</v>
      </c>
      <c r="O678" s="42" t="str">
        <f>IF(Data!V676&lt;&gt;"",N678,Data!W676)</f>
        <v>Exceso Velocidad 10 Km/h (Velocidad máxima: 13 kmh)</v>
      </c>
      <c r="P678" s="47" t="str">
        <f>Data!X676</f>
        <v>Válido</v>
      </c>
    </row>
    <row r="679" spans="1:16">
      <c r="A679" s="41" t="str">
        <f>Data!A677</f>
        <v>PKU269</v>
      </c>
      <c r="B679" s="41" t="str">
        <f>Data!D677</f>
        <v>Vehicle, Diesel, Frontera Energy Col 2679</v>
      </c>
      <c r="C679" s="41">
        <f>Data!F677</f>
        <v>0</v>
      </c>
      <c r="D679" s="41">
        <f>Data!G677</f>
        <v>0</v>
      </c>
      <c r="E679" s="41">
        <f>Data!H677</f>
        <v>0</v>
      </c>
      <c r="F679" s="41">
        <f>Data!K677</f>
        <v>0</v>
      </c>
      <c r="G679" s="33" t="str">
        <f>Data!M677</f>
        <v>Exceso Velocidad 10 Km/h</v>
      </c>
      <c r="H679" s="41" t="str">
        <f>Data!P677</f>
        <v>CAMPAMENTO QUIFA, ECOPETROL RUBIALES- Quifa - CAÑO SUR, Puerto Gaitan - Rubiales, Puerto Gaitán, Meta, Colombia, Puerto Triunfo - Estacion Policia: Puerto Gaitan - Rubiales, Puerto Gaitán, Meta, Colombia</v>
      </c>
      <c r="I679" s="42" t="str">
        <f>Data!Q677</f>
        <v>Vel Max 10 Km/h, Cliente, Vel Max 40 Km/h, Centro de servicios del proveedor, Vel Max 30 Km/h</v>
      </c>
      <c r="J679" s="43">
        <f>Data!S677</f>
        <v>46174.258437500001</v>
      </c>
      <c r="K679" s="44">
        <f>Data!S677</f>
        <v>46174.258437500001</v>
      </c>
      <c r="L679" s="45">
        <f>Data!T677</f>
        <v>1.7592592592592592E-4</v>
      </c>
      <c r="M679" s="46">
        <f>Data!U677</f>
        <v>4.8140600323677063E-2</v>
      </c>
      <c r="N679" s="46" t="str">
        <f>CONCATENATE(Data!W677," (",Data!V677,")")</f>
        <v>Exceso Velocidad 10 Km/h (Velocidad máxima: 13 kmh)</v>
      </c>
      <c r="O679" s="42" t="str">
        <f>IF(Data!V677&lt;&gt;"",N679,Data!W677)</f>
        <v>Exceso Velocidad 10 Km/h (Velocidad máxima: 13 kmh)</v>
      </c>
      <c r="P679" s="47" t="str">
        <f>Data!X677</f>
        <v>Válido</v>
      </c>
    </row>
    <row r="680" spans="1:16">
      <c r="A680" s="41" t="str">
        <f>Data!A678</f>
        <v>PKU269</v>
      </c>
      <c r="B680" s="41" t="str">
        <f>Data!D678</f>
        <v>Vehicle, Diesel, Frontera Energy Col 2679</v>
      </c>
      <c r="C680" s="41">
        <f>Data!F678</f>
        <v>0</v>
      </c>
      <c r="D680" s="41">
        <f>Data!G678</f>
        <v>0</v>
      </c>
      <c r="E680" s="41">
        <f>Data!H678</f>
        <v>0</v>
      </c>
      <c r="F680" s="41">
        <f>Data!K678</f>
        <v>0</v>
      </c>
      <c r="G680" s="33" t="str">
        <f>Data!M678</f>
        <v>Exceso Velocidad 10 Km/h</v>
      </c>
      <c r="H680" s="41" t="str">
        <f>Data!P678</f>
        <v>CAMPAMENTO QUIFA, ECOPETROL RUBIALES- Quifa - CAÑO SUR, Puerto Triunfo - Estacion Policia: Puerto Gaitan - Rubiales, Puerto Gaitán, Meta, Colombia</v>
      </c>
      <c r="I680" s="42" t="str">
        <f>Data!Q678</f>
        <v>Vel Max 10 Km/h, Cliente, Vel Max 40 Km/h, Vel Max 30 Km/h</v>
      </c>
      <c r="J680" s="43">
        <f>Data!S678</f>
        <v>46174.258666666668</v>
      </c>
      <c r="K680" s="44">
        <f>Data!S678</f>
        <v>46174.258666666668</v>
      </c>
      <c r="L680" s="45">
        <f>Data!T678</f>
        <v>6.2731481481481481E-5</v>
      </c>
      <c r="M680" s="46">
        <f>Data!U678</f>
        <v>1.8834087997674942E-2</v>
      </c>
      <c r="N680" s="46" t="str">
        <f>CONCATENATE(Data!W678," (",Data!V678,")")</f>
        <v>Exceso Velocidad 10 Km/h (Velocidad máxima: 12 kmh)</v>
      </c>
      <c r="O680" s="42" t="str">
        <f>IF(Data!V678&lt;&gt;"",N680,Data!W678)</f>
        <v>Exceso Velocidad 10 Km/h (Velocidad máxima: 12 kmh)</v>
      </c>
      <c r="P680" s="47" t="str">
        <f>Data!X678</f>
        <v>Válido</v>
      </c>
    </row>
    <row r="681" spans="1:16">
      <c r="A681" s="41" t="str">
        <f>Data!A679</f>
        <v>PKU269</v>
      </c>
      <c r="B681" s="41" t="str">
        <f>Data!D679</f>
        <v>Vehicle, Diesel, Frontera Energy Col 2679</v>
      </c>
      <c r="C681" s="41">
        <f>Data!F679</f>
        <v>0</v>
      </c>
      <c r="D681" s="41">
        <f>Data!G679</f>
        <v>0</v>
      </c>
      <c r="E681" s="41">
        <f>Data!H679</f>
        <v>0</v>
      </c>
      <c r="F681" s="41">
        <f>Data!K679</f>
        <v>0</v>
      </c>
      <c r="G681" s="33" t="str">
        <f>Data!M679</f>
        <v>Giro brusco</v>
      </c>
      <c r="H681" s="41" t="str">
        <f>Data!P679</f>
        <v>ECOPETROL RUBIALES- Quifa - CAÑO SUR: Puerto Gaitan - Rubiales, Puerto Gaitán, Meta, Colombia</v>
      </c>
      <c r="I681" s="42" t="str">
        <f>Data!Q679</f>
        <v>Cliente, Vel Max 40 Km/h</v>
      </c>
      <c r="J681" s="43">
        <f>Data!S679</f>
        <v>46174.266300787036</v>
      </c>
      <c r="K681" s="44">
        <f>Data!S679</f>
        <v>46174.266300787036</v>
      </c>
      <c r="L681" s="45">
        <f>Data!T679</f>
        <v>9.1435185185185185E-7</v>
      </c>
      <c r="M681" s="46">
        <f>Data!U679</f>
        <v>2.5464288773946464E-4</v>
      </c>
      <c r="N681" s="46" t="str">
        <f>CONCATENATE(Data!W679," (",Data!V679,")")</f>
        <v>Giro brusco (Velocidad máxima: 12 kmh Aceleración de lado a lado: -0.56 g-force, Ignición: 1.00)</v>
      </c>
      <c r="O681" s="42" t="str">
        <f>IF(Data!V679&lt;&gt;"",N681,Data!W679)</f>
        <v>Giro brusco (Velocidad máxima: 12 kmh Aceleración de lado a lado: -0.56 g-force, Ignición: 1.00)</v>
      </c>
      <c r="P681" s="47" t="str">
        <f>Data!X679</f>
        <v>Válido</v>
      </c>
    </row>
    <row r="682" spans="1:16">
      <c r="A682" s="41" t="str">
        <f>Data!A680</f>
        <v>PKU269</v>
      </c>
      <c r="B682" s="41" t="str">
        <f>Data!D680</f>
        <v>Vehicle, Diesel, Frontera Energy Col 2679</v>
      </c>
      <c r="C682" s="41">
        <f>Data!F680</f>
        <v>0</v>
      </c>
      <c r="D682" s="41">
        <f>Data!G680</f>
        <v>0</v>
      </c>
      <c r="E682" s="41">
        <f>Data!H680</f>
        <v>0</v>
      </c>
      <c r="F682" s="41">
        <f>Data!K680</f>
        <v>0</v>
      </c>
      <c r="G682" s="33" t="str">
        <f>Data!M680</f>
        <v>Exceso Velocidad 10 Km/h</v>
      </c>
      <c r="H682" s="41" t="str">
        <f>Data!P680</f>
        <v>CAMPAMENTO QUIFA, ECOPETROL RUBIALES- Quifa - CAÑO SUR, Puerto Triunfo - Estacion Policia: Puerto Gaitan - Rubiales, Puerto Gaitán, Meta, Colombia</v>
      </c>
      <c r="I682" s="42" t="str">
        <f>Data!Q680</f>
        <v>Vel Max 10 Km/h, Cliente, Vel Max 40 Km/h, Vel Max 30 Km/h</v>
      </c>
      <c r="J682" s="43">
        <f>Data!S680</f>
        <v>46174.2691362037</v>
      </c>
      <c r="K682" s="44">
        <f>Data!S680</f>
        <v>46174.2691362037</v>
      </c>
      <c r="L682" s="45">
        <f>Data!T680</f>
        <v>7.6759259259259258E-5</v>
      </c>
      <c r="M682" s="46">
        <f>Data!U680</f>
        <v>2.0555019378662109E-2</v>
      </c>
      <c r="N682" s="46" t="str">
        <f>CONCATENATE(Data!W680," (",Data!V680,")")</f>
        <v>Exceso Velocidad 10 Km/h (Velocidad máxima: 12 kmh)</v>
      </c>
      <c r="O682" s="42" t="str">
        <f>IF(Data!V680&lt;&gt;"",N682,Data!W680)</f>
        <v>Exceso Velocidad 10 Km/h (Velocidad máxima: 12 kmh)</v>
      </c>
      <c r="P682" s="47" t="str">
        <f>Data!X680</f>
        <v>Válido</v>
      </c>
    </row>
    <row r="683" spans="1:16">
      <c r="A683" s="41" t="str">
        <f>Data!A681</f>
        <v>PKU269</v>
      </c>
      <c r="B683" s="41" t="str">
        <f>Data!D681</f>
        <v>Vehicle, Diesel, Frontera Energy Col 2679</v>
      </c>
      <c r="C683" s="41">
        <f>Data!F681</f>
        <v>0</v>
      </c>
      <c r="D683" s="41">
        <f>Data!G681</f>
        <v>0</v>
      </c>
      <c r="E683" s="41">
        <f>Data!H681</f>
        <v>0</v>
      </c>
      <c r="F683" s="41">
        <f>Data!K681</f>
        <v>0</v>
      </c>
      <c r="G683" s="33" t="str">
        <f>Data!M681</f>
        <v>Exceso Velocidad 10 Km/h</v>
      </c>
      <c r="H683" s="41" t="str">
        <f>Data!P681</f>
        <v>CAMPAMENTO QUIFA, ECOPETROL RUBIALES- Quifa - CAÑO SUR, Campamento Quifa - CMA: Puerto Gaitan - Rubiales, Puerto Gaitán, Meta, Colombia</v>
      </c>
      <c r="I683" s="42" t="str">
        <f>Data!Q681</f>
        <v>Vel Max 10 Km/h, Cliente, Vel Max 40 Km/h</v>
      </c>
      <c r="J683" s="43">
        <f>Data!S681</f>
        <v>46174.26939814815</v>
      </c>
      <c r="K683" s="44">
        <f>Data!S681</f>
        <v>46174.26939814815</v>
      </c>
      <c r="L683" s="45">
        <f>Data!T681</f>
        <v>3.631365740740741E-4</v>
      </c>
      <c r="M683" s="46">
        <f>Data!U681</f>
        <v>9.0909555554389954E-2</v>
      </c>
      <c r="N683" s="46" t="str">
        <f>CONCATENATE(Data!W681," (",Data!V681,")")</f>
        <v>Exceso Velocidad 10 Km/h (Velocidad máxima: 11 kmh)</v>
      </c>
      <c r="O683" s="42" t="str">
        <f>IF(Data!V681&lt;&gt;"",N683,Data!W681)</f>
        <v>Exceso Velocidad 10 Km/h (Velocidad máxima: 11 kmh)</v>
      </c>
      <c r="P683" s="47" t="str">
        <f>Data!X681</f>
        <v>Válido</v>
      </c>
    </row>
    <row r="684" spans="1:16">
      <c r="A684" s="41" t="str">
        <f>Data!A682</f>
        <v>PKU269</v>
      </c>
      <c r="B684" s="41" t="str">
        <f>Data!D682</f>
        <v>Vehicle, Diesel, Frontera Energy Col 2679</v>
      </c>
      <c r="C684" s="41">
        <f>Data!F682</f>
        <v>0</v>
      </c>
      <c r="D684" s="41">
        <f>Data!G682</f>
        <v>0</v>
      </c>
      <c r="E684" s="41">
        <f>Data!H682</f>
        <v>0</v>
      </c>
      <c r="F684" s="41">
        <f>Data!K682</f>
        <v>0</v>
      </c>
      <c r="G684" s="33" t="str">
        <f>Data!M682</f>
        <v>Exceso Velocidad 10 Km/h</v>
      </c>
      <c r="H684" s="41" t="str">
        <f>Data!P682</f>
        <v>CAMPAMENTO QUIFA, ECOPETROL RUBIALES- Quifa - CAÑO SUR, Campamento Quifa - CMA: Puerto Gaitan - Rubiales, Puerto Gaitán, Meta, Colombia</v>
      </c>
      <c r="I684" s="42" t="str">
        <f>Data!Q682</f>
        <v>Vel Max 10 Km/h, Cliente, Vel Max 40 Km/h</v>
      </c>
      <c r="J684" s="43">
        <f>Data!S682</f>
        <v>46174.27074652788</v>
      </c>
      <c r="K684" s="44">
        <f>Data!S682</f>
        <v>46174.27074652788</v>
      </c>
      <c r="L684" s="45">
        <f>Data!T682</f>
        <v>5.6481481481481479E-5</v>
      </c>
      <c r="M684" s="46">
        <f>Data!U682</f>
        <v>1.1113349348306656E-2</v>
      </c>
      <c r="N684" s="46" t="str">
        <f>CONCATENATE(Data!W682," (",Data!V682,")")</f>
        <v>Exceso Velocidad 10 Km/h (Velocidad máxima: 12 kmh)</v>
      </c>
      <c r="O684" s="42" t="str">
        <f>IF(Data!V682&lt;&gt;"",N684,Data!W682)</f>
        <v>Exceso Velocidad 10 Km/h (Velocidad máxima: 12 kmh)</v>
      </c>
      <c r="P684" s="47" t="str">
        <f>Data!X682</f>
        <v>Válido</v>
      </c>
    </row>
    <row r="685" spans="1:16">
      <c r="A685" s="41" t="str">
        <f>Data!A683</f>
        <v>PKU269</v>
      </c>
      <c r="B685" s="41" t="str">
        <f>Data!D683</f>
        <v>Vehicle, Diesel, Frontera Energy Col 2679</v>
      </c>
      <c r="C685" s="41">
        <f>Data!F683</f>
        <v>0</v>
      </c>
      <c r="D685" s="41">
        <f>Data!G683</f>
        <v>0</v>
      </c>
      <c r="E685" s="41">
        <f>Data!H683</f>
        <v>0</v>
      </c>
      <c r="F685" s="41">
        <f>Data!K683</f>
        <v>0</v>
      </c>
      <c r="G685" s="33" t="str">
        <f>Data!M683</f>
        <v>Exceso Velocidad 10 Km/h</v>
      </c>
      <c r="H685" s="41" t="str">
        <f>Data!P683</f>
        <v>CAMPAMENTO QUIFA, ECOPETROL RUBIALES- Quifa - CAÑO SUR, Puerto Triunfo - Estacion Policia: Puerto Gaitan - Rubiales, Puerto Gaitán, Meta, Colombia</v>
      </c>
      <c r="I685" s="42" t="str">
        <f>Data!Q683</f>
        <v>Vel Max 10 Km/h, Cliente, Vel Max 40 Km/h, Vel Max 30 Km/h</v>
      </c>
      <c r="J685" s="43">
        <f>Data!S683</f>
        <v>46174.27211662037</v>
      </c>
      <c r="K685" s="44">
        <f>Data!S683</f>
        <v>46174.27211662037</v>
      </c>
      <c r="L685" s="45">
        <f>Data!T683</f>
        <v>2.6466435185185187E-4</v>
      </c>
      <c r="M685" s="46">
        <f>Data!U683</f>
        <v>8.5156798362731934E-2</v>
      </c>
      <c r="N685" s="46" t="str">
        <f>CONCATENATE(Data!W683," (",Data!V683,")")</f>
        <v>Exceso Velocidad 10 Km/h (Velocidad máxima: 14 kmh)</v>
      </c>
      <c r="O685" s="42" t="str">
        <f>IF(Data!V683&lt;&gt;"",N685,Data!W683)</f>
        <v>Exceso Velocidad 10 Km/h (Velocidad máxima: 14 kmh)</v>
      </c>
      <c r="P685" s="47" t="str">
        <f>Data!X683</f>
        <v>Válido</v>
      </c>
    </row>
    <row r="686" spans="1:16">
      <c r="A686" s="41" t="str">
        <f>Data!A684</f>
        <v>PKU269</v>
      </c>
      <c r="B686" s="41" t="str">
        <f>Data!D684</f>
        <v>Vehicle, Diesel, Frontera Energy Col 2679</v>
      </c>
      <c r="C686" s="41">
        <f>Data!F684</f>
        <v>0</v>
      </c>
      <c r="D686" s="41">
        <f>Data!G684</f>
        <v>0</v>
      </c>
      <c r="E686" s="41">
        <f>Data!H684</f>
        <v>0</v>
      </c>
      <c r="F686" s="41">
        <f>Data!K684</f>
        <v>0</v>
      </c>
      <c r="G686" s="33" t="str">
        <f>Data!M684</f>
        <v>Exceso Velocidad 10 Km/h</v>
      </c>
      <c r="H686" s="41" t="str">
        <f>Data!P684</f>
        <v>ECOPETROL RUBIALES- Quifa - CAÑO SUR, Puerto Triunfo - Estacion Policia, PUESTRO CONTROL QUIFA: Puerto Gaitan - Rubiales, Puerto Gaitán, Meta, Colombia</v>
      </c>
      <c r="I686" s="42" t="str">
        <f>Data!Q684</f>
        <v>Cliente, Vel Max 40 Km/h, Vel Max 30 Km/h, Vel Max 10 Km/h</v>
      </c>
      <c r="J686" s="43">
        <f>Data!S684</f>
        <v>46174.275097858794</v>
      </c>
      <c r="K686" s="44">
        <f>Data!S684</f>
        <v>46174.275097858794</v>
      </c>
      <c r="L686" s="45">
        <f>Data!T684</f>
        <v>3.7733796296296295E-4</v>
      </c>
      <c r="M686" s="46">
        <f>Data!U684</f>
        <v>0.18332812190055847</v>
      </c>
      <c r="N686" s="46" t="str">
        <f>CONCATENATE(Data!W684," (",Data!V684,")")</f>
        <v>Exceso Velocidad 10 Km/h (Velocidad máxima: 20 kmh)</v>
      </c>
      <c r="O686" s="42" t="str">
        <f>IF(Data!V684&lt;&gt;"",N686,Data!W684)</f>
        <v>Exceso Velocidad 10 Km/h (Velocidad máxima: 20 kmh)</v>
      </c>
      <c r="P686" s="47" t="str">
        <f>Data!X684</f>
        <v>Válido</v>
      </c>
    </row>
    <row r="687" spans="1:16">
      <c r="A687" s="41" t="str">
        <f>Data!A685</f>
        <v>PKU269</v>
      </c>
      <c r="B687" s="41" t="str">
        <f>Data!D685</f>
        <v>Vehicle, Diesel, Frontera Energy Col 2679</v>
      </c>
      <c r="C687" s="41">
        <f>Data!F685</f>
        <v>0</v>
      </c>
      <c r="D687" s="41">
        <f>Data!G685</f>
        <v>0</v>
      </c>
      <c r="E687" s="41">
        <f>Data!H685</f>
        <v>0</v>
      </c>
      <c r="F687" s="41">
        <f>Data!K685</f>
        <v>0</v>
      </c>
      <c r="G687" s="33" t="str">
        <f>Data!M685</f>
        <v>Exceso Velocidad 10 Km/h</v>
      </c>
      <c r="H687" s="41" t="str">
        <f>Data!P685</f>
        <v>ECOPETROL RUBIALES- Quifa - CAÑO SUR, Puerto Triunfo - Estacion Policia, PUESTRO CONTROL QUIFA: Puerto Gaitan - Rubiales, Puerto Gaitán, Meta, Colombia</v>
      </c>
      <c r="I687" s="42" t="str">
        <f>Data!Q685</f>
        <v>Cliente, Vel Max 40 Km/h, Vel Max 30 Km/h, Vel Max 10 Km/h</v>
      </c>
      <c r="J687" s="43">
        <f>Data!S685</f>
        <v>46174.282709548614</v>
      </c>
      <c r="K687" s="44">
        <f>Data!S685</f>
        <v>46174.282709548614</v>
      </c>
      <c r="L687" s="45">
        <f>Data!T685</f>
        <v>3.8605324074074074E-4</v>
      </c>
      <c r="M687" s="46">
        <f>Data!U685</f>
        <v>0.18414017558097839</v>
      </c>
      <c r="N687" s="46" t="str">
        <f>CONCATENATE(Data!W685," (",Data!V685,")")</f>
        <v>Exceso Velocidad 10 Km/h (Velocidad máxima: 19 kmh)</v>
      </c>
      <c r="O687" s="42" t="str">
        <f>IF(Data!V685&lt;&gt;"",N687,Data!W685)</f>
        <v>Exceso Velocidad 10 Km/h (Velocidad máxima: 19 kmh)</v>
      </c>
      <c r="P687" s="47" t="str">
        <f>Data!X685</f>
        <v>Válido</v>
      </c>
    </row>
    <row r="688" spans="1:16">
      <c r="A688" s="41" t="str">
        <f>Data!A686</f>
        <v>PKU269</v>
      </c>
      <c r="B688" s="41" t="str">
        <f>Data!D686</f>
        <v>Vehicle, Diesel, Frontera Energy Col 2679</v>
      </c>
      <c r="C688" s="41">
        <f>Data!F686</f>
        <v>0</v>
      </c>
      <c r="D688" s="41">
        <f>Data!G686</f>
        <v>0</v>
      </c>
      <c r="E688" s="41">
        <f>Data!H686</f>
        <v>0</v>
      </c>
      <c r="F688" s="41">
        <f>Data!K686</f>
        <v>0</v>
      </c>
      <c r="G688" s="33" t="str">
        <f>Data!M686</f>
        <v>Exceso de velocidad (nuevo)</v>
      </c>
      <c r="H688" s="41" t="str">
        <f>Data!P686</f>
        <v>ECOPETROL RUBIALES- Quifa - CAÑO SUR: Puerto Gaitan - Rubiales, Puerto Gaitán, Meta, Colombia</v>
      </c>
      <c r="I688" s="42" t="str">
        <f>Data!Q686</f>
        <v>Cliente, Vel Max 40 Km/h</v>
      </c>
      <c r="J688" s="43">
        <f>Data!S686</f>
        <v>46174.283460648148</v>
      </c>
      <c r="K688" s="44">
        <f>Data!S686</f>
        <v>46174.283460648148</v>
      </c>
      <c r="L688" s="45">
        <f>Data!T686</f>
        <v>3.8194444444444446E-4</v>
      </c>
      <c r="M688" s="46">
        <f>Data!U686</f>
        <v>0.19174717366695404</v>
      </c>
      <c r="N688" s="46" t="str">
        <f>CONCATENATE(Data!W686," (",Data!V686,")")</f>
        <v>Exceso de velocidad (nuevo) (Velocidad máxima: 22 kmh (Velocidad máxima en carretera: 7 kmh))</v>
      </c>
      <c r="O688" s="42" t="str">
        <f>IF(Data!V686&lt;&gt;"",N688,Data!W686)</f>
        <v>Exceso de velocidad (nuevo) (Velocidad máxima: 22 kmh (Velocidad máxima en carretera: 7 kmh))</v>
      </c>
      <c r="P688" s="47" t="str">
        <f>Data!X686</f>
        <v>Válido</v>
      </c>
    </row>
    <row r="689" spans="1:16">
      <c r="A689" s="41" t="str">
        <f>Data!A687</f>
        <v>PKU269</v>
      </c>
      <c r="B689" s="41" t="str">
        <f>Data!D687</f>
        <v>Vehicle, Diesel, Frontera Energy Col 2679</v>
      </c>
      <c r="C689" s="41">
        <f>Data!F687</f>
        <v>0</v>
      </c>
      <c r="D689" s="41">
        <f>Data!G687</f>
        <v>0</v>
      </c>
      <c r="E689" s="41">
        <f>Data!H687</f>
        <v>0</v>
      </c>
      <c r="F689" s="41">
        <f>Data!K687</f>
        <v>0</v>
      </c>
      <c r="G689" s="33" t="str">
        <f>Data!M687</f>
        <v>Exceso Velocidad 10 Km/h</v>
      </c>
      <c r="H689" s="41" t="str">
        <f>Data!P687</f>
        <v>ECOPETROL RUBIALES- Quifa - CAÑO SUR, Centralizado de combustible Quifa: Vía Sin Nombre, Puerto Gaitán, Meta, Colombia</v>
      </c>
      <c r="I689" s="42" t="str">
        <f>Data!Q687</f>
        <v>Cliente, Vel Max 40 Km/h, Vel Max 10 Km/h</v>
      </c>
      <c r="J689" s="43">
        <f>Data!S687</f>
        <v>46174.284074537034</v>
      </c>
      <c r="K689" s="44">
        <f>Data!S687</f>
        <v>46174.284074537034</v>
      </c>
      <c r="L689" s="45">
        <f>Data!T687</f>
        <v>5.4351851851851848E-4</v>
      </c>
      <c r="M689" s="46">
        <f>Data!U687</f>
        <v>0.14340506494045258</v>
      </c>
      <c r="N689" s="46" t="str">
        <f>CONCATENATE(Data!W687," (",Data!V687,")")</f>
        <v>Exceso Velocidad 10 Km/h (Velocidad máxima: 12 kmh)</v>
      </c>
      <c r="O689" s="42" t="str">
        <f>IF(Data!V687&lt;&gt;"",N689,Data!W687)</f>
        <v>Exceso Velocidad 10 Km/h (Velocidad máxima: 12 kmh)</v>
      </c>
      <c r="P689" s="47" t="str">
        <f>Data!X687</f>
        <v>Válido</v>
      </c>
    </row>
    <row r="690" spans="1:16">
      <c r="A690" s="41" t="str">
        <f>Data!A688</f>
        <v>PKU269</v>
      </c>
      <c r="B690" s="41" t="str">
        <f>Data!D688</f>
        <v>Vehicle, Diesel, Frontera Energy Col 2679</v>
      </c>
      <c r="C690" s="41">
        <f>Data!F688</f>
        <v>0</v>
      </c>
      <c r="D690" s="41">
        <f>Data!G688</f>
        <v>0</v>
      </c>
      <c r="E690" s="41">
        <f>Data!H688</f>
        <v>0</v>
      </c>
      <c r="F690" s="41">
        <f>Data!K688</f>
        <v>0</v>
      </c>
      <c r="G690" s="33" t="str">
        <f>Data!M688</f>
        <v>Exceso Velocidad 10 Km/h</v>
      </c>
      <c r="H690" s="41" t="str">
        <f>Data!P688</f>
        <v>ECOPETROL RUBIALES- Quifa - CAÑO SUR, Centralizado de combustible Quifa: Vía Sin Nombre, Puerto Gaitán, Meta, Colombia</v>
      </c>
      <c r="I690" s="42" t="str">
        <f>Data!Q688</f>
        <v>Cliente, Vel Max 40 Km/h, Vel Max 10 Km/h</v>
      </c>
      <c r="J690" s="43">
        <f>Data!S688</f>
        <v>46174.325697326392</v>
      </c>
      <c r="K690" s="44">
        <f>Data!S688</f>
        <v>46174.325697326392</v>
      </c>
      <c r="L690" s="45">
        <f>Data!T688</f>
        <v>1.3523148148148148E-4</v>
      </c>
      <c r="M690" s="46">
        <f>Data!U688</f>
        <v>3.0430762097239494E-2</v>
      </c>
      <c r="N690" s="46" t="str">
        <f>CONCATENATE(Data!W688," (",Data!V688,")")</f>
        <v>Exceso Velocidad 10 Km/h (Velocidad máxima: 11 kmh)</v>
      </c>
      <c r="O690" s="42" t="str">
        <f>IF(Data!V688&lt;&gt;"",N690,Data!W688)</f>
        <v>Exceso Velocidad 10 Km/h (Velocidad máxima: 11 kmh)</v>
      </c>
      <c r="P690" s="47" t="str">
        <f>Data!X688</f>
        <v>Válido</v>
      </c>
    </row>
    <row r="691" spans="1:16">
      <c r="A691" s="41" t="str">
        <f>Data!A689</f>
        <v>PKU269</v>
      </c>
      <c r="B691" s="41" t="str">
        <f>Data!D689</f>
        <v>Vehicle, Diesel, Frontera Energy Col 2679</v>
      </c>
      <c r="C691" s="41">
        <f>Data!F689</f>
        <v>0</v>
      </c>
      <c r="D691" s="41">
        <f>Data!G689</f>
        <v>0</v>
      </c>
      <c r="E691" s="41">
        <f>Data!H689</f>
        <v>0</v>
      </c>
      <c r="F691" s="41">
        <f>Data!K689</f>
        <v>0</v>
      </c>
      <c r="G691" s="33" t="str">
        <f>Data!M689</f>
        <v>Exceso de velocidad (nuevo)</v>
      </c>
      <c r="H691" s="41" t="str">
        <f>Data!P689</f>
        <v>ECOPETROL RUBIALES- Quifa - CAÑO SUR: Puerto Gaitan - Rubiales, Puerto Gaitán, Meta, Colombia</v>
      </c>
      <c r="I691" s="42" t="str">
        <f>Data!Q689</f>
        <v>Cliente, Vel Max 40 Km/h</v>
      </c>
      <c r="J691" s="43">
        <f>Data!S689</f>
        <v>46174.325902777775</v>
      </c>
      <c r="K691" s="44">
        <f>Data!S689</f>
        <v>46174.325902777775</v>
      </c>
      <c r="L691" s="45">
        <f>Data!T689</f>
        <v>8.564814814814815E-4</v>
      </c>
      <c r="M691" s="46">
        <f>Data!U689</f>
        <v>0.32392680644989014</v>
      </c>
      <c r="N691" s="46" t="str">
        <f>CONCATENATE(Data!W689," (",Data!V689,")")</f>
        <v>Exceso de velocidad (nuevo) (Velocidad máxima: 18 kmh (Velocidad máxima en carretera: 7 kmh))</v>
      </c>
      <c r="O691" s="42" t="str">
        <f>IF(Data!V689&lt;&gt;"",N691,Data!W689)</f>
        <v>Exceso de velocidad (nuevo) (Velocidad máxima: 18 kmh (Velocidad máxima en carretera: 7 kmh))</v>
      </c>
      <c r="P691" s="47" t="str">
        <f>Data!X689</f>
        <v>Válido</v>
      </c>
    </row>
    <row r="692" spans="1:16">
      <c r="A692" s="41" t="str">
        <f>Data!A690</f>
        <v>PKU269</v>
      </c>
      <c r="B692" s="41" t="str">
        <f>Data!D690</f>
        <v>Vehicle, Diesel, Frontera Energy Col 2679</v>
      </c>
      <c r="C692" s="41">
        <f>Data!F690</f>
        <v>0</v>
      </c>
      <c r="D692" s="41">
        <f>Data!G690</f>
        <v>0</v>
      </c>
      <c r="E692" s="41">
        <f>Data!H690</f>
        <v>0</v>
      </c>
      <c r="F692" s="41">
        <f>Data!K690</f>
        <v>0</v>
      </c>
      <c r="G692" s="33" t="str">
        <f>Data!M690</f>
        <v>Exceso Velocidad 10 Km/h</v>
      </c>
      <c r="H692" s="41" t="str">
        <f>Data!P690</f>
        <v>CAMPAMENTO QUIFA, ECOPETROL RUBIALES- Quifa - CAÑO SUR, Puerto Gaitan - Rubiales, Puerto Gaitán, Meta, Colombia, Puerto Triunfo - Estacion Policia: Ent. CAMPAMENTO, Puerto Gaitán, Meta, Colombia</v>
      </c>
      <c r="I692" s="42" t="str">
        <f>Data!Q690</f>
        <v>Vel Max 10 Km/h, Cliente, Vel Max 40 Km/h, Centro de servicios del proveedor, Vel Max 30 Km/h</v>
      </c>
      <c r="J692" s="43">
        <f>Data!S690</f>
        <v>46174.329205405091</v>
      </c>
      <c r="K692" s="44">
        <f>Data!S690</f>
        <v>46174.329205405091</v>
      </c>
      <c r="L692" s="45">
        <f>Data!T690</f>
        <v>3.1966435185185185E-4</v>
      </c>
      <c r="M692" s="46">
        <f>Data!U690</f>
        <v>0.11092357337474823</v>
      </c>
      <c r="N692" s="46" t="str">
        <f>CONCATENATE(Data!W690," (",Data!V690,")")</f>
        <v>Exceso Velocidad 10 Km/h (Velocidad máxima: 16 kmh)</v>
      </c>
      <c r="O692" s="42" t="str">
        <f>IF(Data!V690&lt;&gt;"",N692,Data!W690)</f>
        <v>Exceso Velocidad 10 Km/h (Velocidad máxima: 16 kmh)</v>
      </c>
      <c r="P692" s="47" t="str">
        <f>Data!X690</f>
        <v>Válido</v>
      </c>
    </row>
    <row r="693" spans="1:16">
      <c r="A693" s="41" t="str">
        <f>Data!A691</f>
        <v>PKU269</v>
      </c>
      <c r="B693" s="41" t="str">
        <f>Data!D691</f>
        <v>Vehicle, Diesel, Frontera Energy Col 2679</v>
      </c>
      <c r="C693" s="41">
        <f>Data!F691</f>
        <v>0</v>
      </c>
      <c r="D693" s="41">
        <f>Data!G691</f>
        <v>0</v>
      </c>
      <c r="E693" s="41">
        <f>Data!H691</f>
        <v>0</v>
      </c>
      <c r="F693" s="41">
        <f>Data!K691</f>
        <v>0</v>
      </c>
      <c r="G693" s="33" t="str">
        <f>Data!M691</f>
        <v>Tiempo en ralentí</v>
      </c>
      <c r="H693" s="41" t="str">
        <f>Data!P691</f>
        <v>ECOPETROL RUBIALES- Quifa - CAÑO SUR: Vía Sin Nombre, Puerto Gaitán, Meta, Colombia</v>
      </c>
      <c r="I693" s="42" t="str">
        <f>Data!Q691</f>
        <v>Cliente, Vel Max 40 Km/h</v>
      </c>
      <c r="J693" s="43">
        <f>Data!S691</f>
        <v>46174.379756944443</v>
      </c>
      <c r="K693" s="44">
        <f>Data!S691</f>
        <v>46174.379756944443</v>
      </c>
      <c r="L693" s="45">
        <f>Data!T691</f>
        <v>6.6096990740740743E-3</v>
      </c>
      <c r="M693" s="46">
        <f>Data!U691</f>
        <v>2.1770887542515993E-3</v>
      </c>
      <c r="N693" s="46" t="str">
        <f>CONCATENATE(Data!W691," (",Data!V691,")")</f>
        <v>Tiempo en ralentí (Ignición: 1.00)</v>
      </c>
      <c r="O693" s="42" t="str">
        <f>IF(Data!V691&lt;&gt;"",N693,Data!W691)</f>
        <v>Tiempo en ralentí (Ignición: 1.00)</v>
      </c>
      <c r="P693" s="47" t="str">
        <f>Data!X691</f>
        <v>Válido</v>
      </c>
    </row>
    <row r="694" spans="1:16">
      <c r="A694" s="41" t="str">
        <f>Data!A692</f>
        <v>PKU269</v>
      </c>
      <c r="B694" s="41" t="str">
        <f>Data!D692</f>
        <v>Vehicle, Diesel, Frontera Energy Col 2679</v>
      </c>
      <c r="C694" s="41">
        <f>Data!F692</f>
        <v>0</v>
      </c>
      <c r="D694" s="41">
        <f>Data!G692</f>
        <v>0</v>
      </c>
      <c r="E694" s="41">
        <f>Data!H692</f>
        <v>0</v>
      </c>
      <c r="F694" s="41">
        <f>Data!K692</f>
        <v>0</v>
      </c>
      <c r="G694" s="33" t="str">
        <f>Data!M692</f>
        <v>Tiempo en ralentí</v>
      </c>
      <c r="H694" s="41" t="str">
        <f>Data!P692</f>
        <v>ECOPETROL RUBIALES- Quifa - CAÑO SUR: Qf 12 48 36 79 Dw1, Puerto Gaitán, Meta, Colombia</v>
      </c>
      <c r="I694" s="42" t="str">
        <f>Data!Q692</f>
        <v>Cliente, Vel Max 40 Km/h</v>
      </c>
      <c r="J694" s="43">
        <f>Data!S692</f>
        <v>46174.414930555555</v>
      </c>
      <c r="K694" s="44">
        <f>Data!S692</f>
        <v>46174.414930555555</v>
      </c>
      <c r="L694" s="45">
        <f>Data!T692</f>
        <v>6.1354050925925925E-3</v>
      </c>
      <c r="M694" s="46">
        <f>Data!U692</f>
        <v>1.4384320238605142E-3</v>
      </c>
      <c r="N694" s="46" t="str">
        <f>CONCATENATE(Data!W692," (",Data!V692,")")</f>
        <v>Tiempo en ralentí (Ignición: 1.00)</v>
      </c>
      <c r="O694" s="42" t="str">
        <f>IF(Data!V692&lt;&gt;"",N694,Data!W692)</f>
        <v>Tiempo en ralentí (Ignición: 1.00)</v>
      </c>
      <c r="P694" s="47" t="str">
        <f>Data!X692</f>
        <v>Válido</v>
      </c>
    </row>
    <row r="695" spans="1:16">
      <c r="A695" s="41" t="str">
        <f>Data!A693</f>
        <v>PKU269</v>
      </c>
      <c r="B695" s="41" t="str">
        <f>Data!D693</f>
        <v>Vehicle, Diesel, Frontera Energy Col 2679</v>
      </c>
      <c r="C695" s="41">
        <f>Data!F693</f>
        <v>0</v>
      </c>
      <c r="D695" s="41">
        <f>Data!G693</f>
        <v>0</v>
      </c>
      <c r="E695" s="41">
        <f>Data!H693</f>
        <v>0</v>
      </c>
      <c r="F695" s="41">
        <f>Data!K693</f>
        <v>0</v>
      </c>
      <c r="G695" s="33" t="str">
        <f>Data!M693</f>
        <v>Exceso Velocidad 10 Km/h</v>
      </c>
      <c r="H695" s="41" t="str">
        <f>Data!P693</f>
        <v>CAMPAMENTO QUIFA, ECOPETROL RUBIALES- Quifa - CAÑO SUR, Puerto Triunfo - Estacion Policia: Puerto Gaitan - Rubiales, Puerto Gaitán, Meta, Colombia</v>
      </c>
      <c r="I695" s="42" t="str">
        <f>Data!Q693</f>
        <v>Vel Max 10 Km/h, Cliente, Vel Max 40 Km/h, Vel Max 30 Km/h</v>
      </c>
      <c r="J695" s="43">
        <f>Data!S693</f>
        <v>46174.536042106483</v>
      </c>
      <c r="K695" s="44">
        <f>Data!S693</f>
        <v>46174.536042106483</v>
      </c>
      <c r="L695" s="45">
        <f>Data!T693</f>
        <v>3.3006944444444446E-4</v>
      </c>
      <c r="M695" s="46">
        <f>Data!U693</f>
        <v>0.11332234740257263</v>
      </c>
      <c r="N695" s="46" t="str">
        <f>CONCATENATE(Data!W693," (",Data!V693,")")</f>
        <v>Exceso Velocidad 10 Km/h (Velocidad máxima: 21 kmh)</v>
      </c>
      <c r="O695" s="42" t="str">
        <f>IF(Data!V693&lt;&gt;"",N695,Data!W693)</f>
        <v>Exceso Velocidad 10 Km/h (Velocidad máxima: 21 kmh)</v>
      </c>
      <c r="P695" s="47" t="str">
        <f>Data!X693</f>
        <v>Válido</v>
      </c>
    </row>
    <row r="696" spans="1:16">
      <c r="A696" s="41" t="str">
        <f>Data!A694</f>
        <v>PKU269</v>
      </c>
      <c r="B696" s="41" t="str">
        <f>Data!D694</f>
        <v>Vehicle, Diesel, Frontera Energy Col 2679</v>
      </c>
      <c r="C696" s="41">
        <f>Data!F694</f>
        <v>0</v>
      </c>
      <c r="D696" s="41">
        <f>Data!G694</f>
        <v>0</v>
      </c>
      <c r="E696" s="41">
        <f>Data!H694</f>
        <v>0</v>
      </c>
      <c r="F696" s="41">
        <f>Data!K694</f>
        <v>0</v>
      </c>
      <c r="G696" s="33" t="str">
        <f>Data!M694</f>
        <v>Exceso Velocidad 10 Km/h</v>
      </c>
      <c r="H696" s="41" t="str">
        <f>Data!P694</f>
        <v>CAMPAMENTO QUIFA, ECOPETROL RUBIALES- Quifa - CAÑO SUR, Puerto Gaitan - Rubiales, Puerto Gaitán, Meta, Colombia, Campamento Quifa - CMA: Ent. CAMPAMENTO, Puerto Gaitán, Meta, Colombia</v>
      </c>
      <c r="I696" s="42" t="str">
        <f>Data!Q694</f>
        <v>Vel Max 10 Km/h, Cliente, Vel Max 40 Km/h, Centro de servicios del proveedor</v>
      </c>
      <c r="J696" s="43">
        <f>Data!S694</f>
        <v>46174.537090277779</v>
      </c>
      <c r="K696" s="44">
        <f>Data!S694</f>
        <v>46174.537090277779</v>
      </c>
      <c r="L696" s="45">
        <f>Data!T694</f>
        <v>1.1265046296296296E-4</v>
      </c>
      <c r="M696" s="46">
        <f>Data!U694</f>
        <v>2.447451651096344E-2</v>
      </c>
      <c r="N696" s="46" t="str">
        <f>CONCATENATE(Data!W694," (",Data!V694,")")</f>
        <v>Exceso Velocidad 10 Km/h (Velocidad máxima: 12 kmh)</v>
      </c>
      <c r="O696" s="42" t="str">
        <f>IF(Data!V694&lt;&gt;"",N696,Data!W694)</f>
        <v>Exceso Velocidad 10 Km/h (Velocidad máxima: 12 kmh)</v>
      </c>
      <c r="P696" s="47" t="str">
        <f>Data!X694</f>
        <v>Válido</v>
      </c>
    </row>
    <row r="697" spans="1:16">
      <c r="A697" s="41" t="str">
        <f>Data!A695</f>
        <v>PKU269</v>
      </c>
      <c r="B697" s="41" t="str">
        <f>Data!D695</f>
        <v>Vehicle, Diesel, Frontera Energy Col 2679</v>
      </c>
      <c r="C697" s="41">
        <f>Data!F695</f>
        <v>0</v>
      </c>
      <c r="D697" s="41">
        <f>Data!G695</f>
        <v>0</v>
      </c>
      <c r="E697" s="41">
        <f>Data!H695</f>
        <v>0</v>
      </c>
      <c r="F697" s="41">
        <f>Data!K695</f>
        <v>0</v>
      </c>
      <c r="G697" s="33" t="str">
        <f>Data!M695</f>
        <v>Exceso Velocidad 10 Km/h</v>
      </c>
      <c r="H697" s="41" t="str">
        <f>Data!P695</f>
        <v>CAMPAMENTO QUIFA, ECOPETROL RUBIALES- Quifa - CAÑO SUR, Puerto Gaitan - Rubiales, Puerto Gaitán, Meta, Colombia, Campamento Quifa - CMA: Ent. CAMPAMENTO, Puerto Gaitán, Meta, Colombia</v>
      </c>
      <c r="I697" s="42" t="str">
        <f>Data!Q695</f>
        <v>Vel Max 10 Km/h, Cliente, Vel Max 40 Km/h, Centro de servicios del proveedor</v>
      </c>
      <c r="J697" s="43">
        <f>Data!S695</f>
        <v>46174.588053240739</v>
      </c>
      <c r="K697" s="44">
        <f>Data!S695</f>
        <v>46174.588053240739</v>
      </c>
      <c r="L697" s="45">
        <f>Data!T695</f>
        <v>5.4398148148148151E-5</v>
      </c>
      <c r="M697" s="46">
        <f>Data!U695</f>
        <v>1.6433326527476311E-2</v>
      </c>
      <c r="N697" s="46" t="str">
        <f>CONCATENATE(Data!W695," (",Data!V695,")")</f>
        <v>Exceso Velocidad 10 Km/h (Velocidad máxima: 12 kmh)</v>
      </c>
      <c r="O697" s="42" t="str">
        <f>IF(Data!V695&lt;&gt;"",N697,Data!W695)</f>
        <v>Exceso Velocidad 10 Km/h (Velocidad máxima: 12 kmh)</v>
      </c>
      <c r="P697" s="47" t="str">
        <f>Data!X695</f>
        <v>Válido</v>
      </c>
    </row>
    <row r="698" spans="1:16">
      <c r="A698" s="41" t="str">
        <f>Data!A696</f>
        <v>PKU269</v>
      </c>
      <c r="B698" s="41" t="str">
        <f>Data!D696</f>
        <v>Vehicle, Diesel, Frontera Energy Col 2679</v>
      </c>
      <c r="C698" s="41">
        <f>Data!F696</f>
        <v>0</v>
      </c>
      <c r="D698" s="41">
        <f>Data!G696</f>
        <v>0</v>
      </c>
      <c r="E698" s="41">
        <f>Data!H696</f>
        <v>0</v>
      </c>
      <c r="F698" s="41">
        <f>Data!K696</f>
        <v>0</v>
      </c>
      <c r="G698" s="33" t="str">
        <f>Data!M696</f>
        <v>Exceso Velocidad 10 Km/h</v>
      </c>
      <c r="H698" s="41" t="str">
        <f>Data!P696</f>
        <v>CAMPAMENTO QUIFA, ECOPETROL RUBIALES- Quifa - CAÑO SUR, Puerto Gaitan - Rubiales, Puerto Gaitán, Meta, Colombia, Campamento Quifa - CMA: Ent. CAMPAMENTO, Puerto Gaitán, Meta, Colombia</v>
      </c>
      <c r="I698" s="42" t="str">
        <f>Data!Q696</f>
        <v>Vel Max 10 Km/h, Cliente, Vel Max 40 Km/h, Centro de servicios del proveedor</v>
      </c>
      <c r="J698" s="43">
        <f>Data!S696</f>
        <v>46174.588155868056</v>
      </c>
      <c r="K698" s="44">
        <f>Data!S696</f>
        <v>46174.588155868056</v>
      </c>
      <c r="L698" s="45">
        <f>Data!T696</f>
        <v>2.9895833333333333E-5</v>
      </c>
      <c r="M698" s="46">
        <f>Data!U696</f>
        <v>6.8623526021838188E-3</v>
      </c>
      <c r="N698" s="46" t="str">
        <f>CONCATENATE(Data!W696," (",Data!V696,")")</f>
        <v>Exceso Velocidad 10 Km/h (Velocidad máxima: 11 kmh)</v>
      </c>
      <c r="O698" s="42" t="str">
        <f>IF(Data!V696&lt;&gt;"",N698,Data!W696)</f>
        <v>Exceso Velocidad 10 Km/h (Velocidad máxima: 11 kmh)</v>
      </c>
      <c r="P698" s="47" t="str">
        <f>Data!X696</f>
        <v>Válido</v>
      </c>
    </row>
    <row r="699" spans="1:16">
      <c r="A699" s="41" t="str">
        <f>Data!A697</f>
        <v>PKU269</v>
      </c>
      <c r="B699" s="41" t="str">
        <f>Data!D697</f>
        <v>Vehicle, Diesel, Frontera Energy Col 2679</v>
      </c>
      <c r="C699" s="41">
        <f>Data!F697</f>
        <v>0</v>
      </c>
      <c r="D699" s="41">
        <f>Data!G697</f>
        <v>0</v>
      </c>
      <c r="E699" s="41">
        <f>Data!H697</f>
        <v>0</v>
      </c>
      <c r="F699" s="41">
        <f>Data!K697</f>
        <v>0</v>
      </c>
      <c r="G699" s="33" t="str">
        <f>Data!M697</f>
        <v>Exceso Velocidad 10 Km/h</v>
      </c>
      <c r="H699" s="41" t="str">
        <f>Data!P697</f>
        <v>CAMPAMENTO QUIFA, ECOPETROL RUBIALES- Quifa - CAÑO SUR, Puerto Gaitan - Rubiales, Puerto Gaitán, Meta, Colombia, Puerto Triunfo - Estacion Policia: Puerto Gaitan - Rubiales, Puerto Gaitán, Meta, Colombia</v>
      </c>
      <c r="I699" s="42" t="str">
        <f>Data!Q697</f>
        <v>Vel Max 10 Km/h, Cliente, Vel Max 40 Km/h, Centro de servicios del proveedor, Vel Max 30 Km/h</v>
      </c>
      <c r="J699" s="43">
        <f>Data!S697</f>
        <v>46174.588441354164</v>
      </c>
      <c r="K699" s="44">
        <f>Data!S697</f>
        <v>46174.588441354164</v>
      </c>
      <c r="L699" s="45">
        <f>Data!T697</f>
        <v>3.2803240740740742E-4</v>
      </c>
      <c r="M699" s="46">
        <f>Data!U697</f>
        <v>0.1171836256980896</v>
      </c>
      <c r="N699" s="46" t="str">
        <f>CONCATENATE(Data!W697," (",Data!V697,")")</f>
        <v>Exceso Velocidad 10 Km/h (Velocidad máxima: 18 kmh)</v>
      </c>
      <c r="O699" s="42" t="str">
        <f>IF(Data!V697&lt;&gt;"",N699,Data!W697)</f>
        <v>Exceso Velocidad 10 Km/h (Velocidad máxima: 18 kmh)</v>
      </c>
      <c r="P699" s="47" t="str">
        <f>Data!X697</f>
        <v>Válido</v>
      </c>
    </row>
    <row r="700" spans="1:16">
      <c r="A700" s="41" t="str">
        <f>Data!A698</f>
        <v>PKU269</v>
      </c>
      <c r="B700" s="41" t="str">
        <f>Data!D698</f>
        <v>Vehicle, Diesel, Frontera Energy Col 2679</v>
      </c>
      <c r="C700" s="41">
        <f>Data!F698</f>
        <v>0</v>
      </c>
      <c r="D700" s="41">
        <f>Data!G698</f>
        <v>0</v>
      </c>
      <c r="E700" s="41">
        <f>Data!H698</f>
        <v>0</v>
      </c>
      <c r="F700" s="41">
        <f>Data!K698</f>
        <v>0</v>
      </c>
      <c r="G700" s="33" t="str">
        <f>Data!M698</f>
        <v>Tiempo en ralentí</v>
      </c>
      <c r="H700" s="41" t="str">
        <f>Data!P698</f>
        <v>ECOPETROL RUBIALES- Quifa - CAÑO SUR: Qf 12, Puerto Gaitán, Meta, Colombia</v>
      </c>
      <c r="I700" s="42" t="str">
        <f>Data!Q698</f>
        <v>Cliente, Vel Max 40 Km/h</v>
      </c>
      <c r="J700" s="43">
        <f>Data!S698</f>
        <v>46174.594247685185</v>
      </c>
      <c r="K700" s="44">
        <f>Data!S698</f>
        <v>46174.594247685185</v>
      </c>
      <c r="L700" s="45">
        <f>Data!T698</f>
        <v>4.9785185185185184E-3</v>
      </c>
      <c r="M700" s="46">
        <f>Data!U698</f>
        <v>2.6534618809819221E-3</v>
      </c>
      <c r="N700" s="46" t="str">
        <f>CONCATENATE(Data!W698," (",Data!V698,")")</f>
        <v>Tiempo en ralentí (Ignición: 1.00)</v>
      </c>
      <c r="O700" s="42" t="str">
        <f>IF(Data!V698&lt;&gt;"",N700,Data!W698)</f>
        <v>Tiempo en ralentí (Ignición: 1.00)</v>
      </c>
      <c r="P700" s="47" t="str">
        <f>Data!X698</f>
        <v>Válido</v>
      </c>
    </row>
    <row r="701" spans="1:16">
      <c r="A701" s="41" t="str">
        <f>Data!A699</f>
        <v>PKU269</v>
      </c>
      <c r="B701" s="41" t="str">
        <f>Data!D699</f>
        <v>Vehicle, Diesel, Frontera Energy Col 2679</v>
      </c>
      <c r="C701" s="41">
        <f>Data!F699</f>
        <v>0</v>
      </c>
      <c r="D701" s="41">
        <f>Data!G699</f>
        <v>0</v>
      </c>
      <c r="E701" s="41">
        <f>Data!H699</f>
        <v>0</v>
      </c>
      <c r="F701" s="41">
        <f>Data!K699</f>
        <v>0</v>
      </c>
      <c r="G701" s="33" t="str">
        <f>Data!M699</f>
        <v>Tiempo en ralentí</v>
      </c>
      <c r="H701" s="41" t="str">
        <f>Data!P699</f>
        <v>ECOPETROL RUBIALES- Quifa - CAÑO SUR: Qf 12, Puerto Gaitán, Meta, Colombia</v>
      </c>
      <c r="I701" s="42" t="str">
        <f>Data!Q699</f>
        <v>Cliente, Vel Max 40 Km/h</v>
      </c>
      <c r="J701" s="43">
        <f>Data!S699</f>
        <v>46174.661133402777</v>
      </c>
      <c r="K701" s="44">
        <f>Data!S699</f>
        <v>46174.661133402777</v>
      </c>
      <c r="L701" s="45">
        <f>Data!T699</f>
        <v>5.1281712962962965E-3</v>
      </c>
      <c r="M701" s="46">
        <f>Data!U699</f>
        <v>2.6556128636002541E-2</v>
      </c>
      <c r="N701" s="46" t="str">
        <f>CONCATENATE(Data!W699," (",Data!V699,")")</f>
        <v>Tiempo en ralentí (Ignición: 1.00)</v>
      </c>
      <c r="O701" s="42" t="str">
        <f>IF(Data!V699&lt;&gt;"",N701,Data!W699)</f>
        <v>Tiempo en ralentí (Ignición: 1.00)</v>
      </c>
      <c r="P701" s="47" t="str">
        <f>Data!X699</f>
        <v>Válido</v>
      </c>
    </row>
    <row r="702" spans="1:16">
      <c r="A702" s="41" t="str">
        <f>Data!A700</f>
        <v>PKU269</v>
      </c>
      <c r="B702" s="41" t="str">
        <f>Data!D700</f>
        <v>Vehicle, Diesel, Frontera Energy Col 2679</v>
      </c>
      <c r="C702" s="41">
        <f>Data!F700</f>
        <v>0</v>
      </c>
      <c r="D702" s="41">
        <f>Data!G700</f>
        <v>0</v>
      </c>
      <c r="E702" s="41">
        <f>Data!H700</f>
        <v>0</v>
      </c>
      <c r="F702" s="41">
        <f>Data!K700</f>
        <v>0</v>
      </c>
      <c r="G702" s="33" t="str">
        <f>Data!M700</f>
        <v>Exceso Velocidad 10 Km/h</v>
      </c>
      <c r="H702" s="41" t="str">
        <f>Data!P700</f>
        <v>CAMPAMENTO QUIFA, ECOPETROL RUBIALES- Quifa - CAÑO SUR, Puerto Triunfo - Estacion Policia: Puerto Gaitan - Rubiales, Puerto Gaitán, Meta, Colombia</v>
      </c>
      <c r="I702" s="42" t="str">
        <f>Data!Q700</f>
        <v>Vel Max 10 Km/h, Cliente, Vel Max 40 Km/h, Vel Max 30 Km/h</v>
      </c>
      <c r="J702" s="43">
        <f>Data!S700</f>
        <v>46174.684898912034</v>
      </c>
      <c r="K702" s="44">
        <f>Data!S700</f>
        <v>46174.684898912034</v>
      </c>
      <c r="L702" s="45">
        <f>Data!T700</f>
        <v>2.7775462962962964E-4</v>
      </c>
      <c r="M702" s="46">
        <f>Data!U700</f>
        <v>0.10745974630117416</v>
      </c>
      <c r="N702" s="46" t="str">
        <f>CONCATENATE(Data!W700," (",Data!V700,")")</f>
        <v>Exceso Velocidad 10 Km/h (Velocidad máxima: 18 kmh)</v>
      </c>
      <c r="O702" s="42" t="str">
        <f>IF(Data!V700&lt;&gt;"",N702,Data!W700)</f>
        <v>Exceso Velocidad 10 Km/h (Velocidad máxima: 18 kmh)</v>
      </c>
      <c r="P702" s="47" t="str">
        <f>Data!X700</f>
        <v>Válido</v>
      </c>
    </row>
    <row r="703" spans="1:16">
      <c r="A703" s="41" t="str">
        <f>Data!A701</f>
        <v>PKU269</v>
      </c>
      <c r="B703" s="41" t="str">
        <f>Data!D701</f>
        <v>Vehicle, Diesel, Frontera Energy Col 2679</v>
      </c>
      <c r="C703" s="41">
        <f>Data!F701</f>
        <v>0</v>
      </c>
      <c r="D703" s="41">
        <f>Data!G701</f>
        <v>0</v>
      </c>
      <c r="E703" s="41">
        <f>Data!H701</f>
        <v>0</v>
      </c>
      <c r="F703" s="41">
        <f>Data!K701</f>
        <v>0</v>
      </c>
      <c r="G703" s="33" t="str">
        <f>Data!M701</f>
        <v>Giro brusco</v>
      </c>
      <c r="H703" s="41" t="str">
        <f>Data!P701</f>
        <v>ECOPETROL RUBIALES- Quifa - CAÑO SUR, Puerto Triunfo - Estacion Policia: Puerto Gaitan - Rubiales, Puerto Gaitán, Meta, Colombia</v>
      </c>
      <c r="I703" s="42" t="str">
        <f>Data!Q701</f>
        <v>Cliente, Vel Max 40 Km/h, Vel Max 30 Km/h</v>
      </c>
      <c r="J703" s="43">
        <f>Data!S701</f>
        <v>46174.686191909721</v>
      </c>
      <c r="K703" s="44">
        <f>Data!S701</f>
        <v>46174.686191909721</v>
      </c>
      <c r="L703" s="45">
        <f>Data!T701</f>
        <v>2.6620370370370372E-7</v>
      </c>
      <c r="M703" s="46">
        <f>Data!U701</f>
        <v>8.2073165685869753E-5</v>
      </c>
      <c r="N703" s="46" t="str">
        <f>CONCATENATE(Data!W701," (",Data!V701,")")</f>
        <v>Giro brusco (Velocidad máxima: 14 kmh Aceleración de lado a lado: 0.50 g-force, Ignición: 1.00)</v>
      </c>
      <c r="O703" s="42" t="str">
        <f>IF(Data!V701&lt;&gt;"",N703,Data!W701)</f>
        <v>Giro brusco (Velocidad máxima: 14 kmh Aceleración de lado a lado: 0.50 g-force, Ignición: 1.00)</v>
      </c>
      <c r="P703" s="47" t="str">
        <f>Data!X701</f>
        <v>Válido</v>
      </c>
    </row>
    <row r="704" spans="1:16">
      <c r="A704" s="41" t="str">
        <f>Data!A702</f>
        <v>PKU269</v>
      </c>
      <c r="B704" s="41" t="str">
        <f>Data!D702</f>
        <v>Vehicle, Diesel, Frontera Energy Col 2679</v>
      </c>
      <c r="C704" s="41">
        <f>Data!F702</f>
        <v>0</v>
      </c>
      <c r="D704" s="41">
        <f>Data!G702</f>
        <v>0</v>
      </c>
      <c r="E704" s="41">
        <f>Data!H702</f>
        <v>0</v>
      </c>
      <c r="F704" s="41">
        <f>Data!K702</f>
        <v>0</v>
      </c>
      <c r="G704" s="33" t="str">
        <f>Data!M702</f>
        <v>Exceso de velocidad (nuevo)</v>
      </c>
      <c r="H704" s="41" t="str">
        <f>Data!P702</f>
        <v>ECOPETROL RUBIALES- Quifa - CAÑO SUR, Puerto Triunfo - Estacion Policia: Puerto Gaitan - Rubiales, Puerto Gaitán, Meta, Colombia</v>
      </c>
      <c r="I704" s="42" t="str">
        <f>Data!Q702</f>
        <v>Cliente, Vel Max 40 Km/h, Vel Max 30 Km/h</v>
      </c>
      <c r="J704" s="43">
        <f>Data!S702</f>
        <v>46174.687002314815</v>
      </c>
      <c r="K704" s="44">
        <f>Data!S702</f>
        <v>46174.687002314815</v>
      </c>
      <c r="L704" s="45">
        <f>Data!T702</f>
        <v>6.134259259259259E-4</v>
      </c>
      <c r="M704" s="46">
        <f>Data!U702</f>
        <v>0.23709195852279663</v>
      </c>
      <c r="N704" s="46" t="str">
        <f>CONCATENATE(Data!W702," (",Data!V702,")")</f>
        <v>Exceso de velocidad (nuevo) (Velocidad máxima: 18 kmh (Velocidad máxima en carretera: 7 kmh))</v>
      </c>
      <c r="O704" s="42" t="str">
        <f>IF(Data!V702&lt;&gt;"",N704,Data!W702)</f>
        <v>Exceso de velocidad (nuevo) (Velocidad máxima: 18 kmh (Velocidad máxima en carretera: 7 kmh))</v>
      </c>
      <c r="P704" s="47" t="str">
        <f>Data!X702</f>
        <v>Válido</v>
      </c>
    </row>
    <row r="705" spans="1:16">
      <c r="A705" s="41" t="str">
        <f>Data!A703</f>
        <v>PKU269</v>
      </c>
      <c r="B705" s="41" t="str">
        <f>Data!D703</f>
        <v>Vehicle, Diesel, Frontera Energy Col 2679</v>
      </c>
      <c r="C705" s="41">
        <f>Data!F703</f>
        <v>0</v>
      </c>
      <c r="D705" s="41">
        <f>Data!G703</f>
        <v>0</v>
      </c>
      <c r="E705" s="41">
        <f>Data!H703</f>
        <v>0</v>
      </c>
      <c r="F705" s="41">
        <f>Data!K703</f>
        <v>0</v>
      </c>
      <c r="G705" s="33" t="str">
        <f>Data!M703</f>
        <v>Exceso Velocidad 10 Km/h</v>
      </c>
      <c r="H705" s="41" t="str">
        <f>Data!P703</f>
        <v>ECOPETROL RUBIALES- Quifa - CAÑO SUR, Centralizado de combustible Quifa: Vía Sin Nombre, Puerto Gaitán, Meta, Colombia</v>
      </c>
      <c r="I705" s="42" t="str">
        <f>Data!Q703</f>
        <v>Cliente, Vel Max 40 Km/h, Vel Max 10 Km/h</v>
      </c>
      <c r="J705" s="43">
        <f>Data!S703</f>
        <v>46174.68785548611</v>
      </c>
      <c r="K705" s="44">
        <f>Data!S703</f>
        <v>46174.68785548611</v>
      </c>
      <c r="L705" s="45">
        <f>Data!T703</f>
        <v>2.2818287037037037E-4</v>
      </c>
      <c r="M705" s="46">
        <f>Data!U703</f>
        <v>5.765099823474884E-2</v>
      </c>
      <c r="N705" s="46" t="str">
        <f>CONCATENATE(Data!W703," (",Data!V703,")")</f>
        <v>Exceso Velocidad 10 Km/h (Velocidad máxima: 11 kmh)</v>
      </c>
      <c r="O705" s="42" t="str">
        <f>IF(Data!V703&lt;&gt;"",N705,Data!W703)</f>
        <v>Exceso Velocidad 10 Km/h (Velocidad máxima: 11 kmh)</v>
      </c>
      <c r="P705" s="47" t="str">
        <f>Data!X703</f>
        <v>Válido</v>
      </c>
    </row>
    <row r="706" spans="1:16">
      <c r="A706" s="41" t="str">
        <f>Data!A704</f>
        <v>PKU269</v>
      </c>
      <c r="B706" s="41" t="str">
        <f>Data!D704</f>
        <v>Vehicle, Diesel, Frontera Energy Col 2679</v>
      </c>
      <c r="C706" s="41">
        <f>Data!F704</f>
        <v>0</v>
      </c>
      <c r="D706" s="41">
        <f>Data!G704</f>
        <v>0</v>
      </c>
      <c r="E706" s="41">
        <f>Data!H704</f>
        <v>0</v>
      </c>
      <c r="F706" s="41">
        <f>Data!K704</f>
        <v>0</v>
      </c>
      <c r="G706" s="33" t="str">
        <f>Data!M704</f>
        <v>Tiempo en ralentí</v>
      </c>
      <c r="H706" s="41" t="str">
        <f>Data!P704</f>
        <v>ECOPETROL RUBIALES- Quifa - CAÑO SUR, Centralizado de combustible Quifa: Vía Sin Nombre, Puerto Gaitán, Meta, Colombia</v>
      </c>
      <c r="I706" s="42" t="str">
        <f>Data!Q704</f>
        <v>Cliente, Vel Max 40 Km/h, Vel Max 10 Km/h</v>
      </c>
      <c r="J706" s="43">
        <f>Data!S704</f>
        <v>46174.69553326389</v>
      </c>
      <c r="K706" s="44">
        <f>Data!S704</f>
        <v>46174.69553326389</v>
      </c>
      <c r="L706" s="45">
        <f>Data!T704</f>
        <v>6.3764583333333329E-3</v>
      </c>
      <c r="M706" s="46">
        <f>Data!U704</f>
        <v>2.5426673237234354E-3</v>
      </c>
      <c r="N706" s="46" t="str">
        <f>CONCATENATE(Data!W704," (",Data!V704,")")</f>
        <v>Tiempo en ralentí (Ignición: 1.00)</v>
      </c>
      <c r="O706" s="42" t="str">
        <f>IF(Data!V704&lt;&gt;"",N706,Data!W704)</f>
        <v>Tiempo en ralentí (Ignición: 1.00)</v>
      </c>
      <c r="P706" s="47" t="str">
        <f>Data!X704</f>
        <v>Válido</v>
      </c>
    </row>
    <row r="707" spans="1:16">
      <c r="A707" s="41" t="str">
        <f>Data!A705</f>
        <v>PKU269</v>
      </c>
      <c r="B707" s="41" t="str">
        <f>Data!D705</f>
        <v>Vehicle, Diesel, Frontera Energy Col 2679</v>
      </c>
      <c r="C707" s="41">
        <f>Data!F705</f>
        <v>0</v>
      </c>
      <c r="D707" s="41">
        <f>Data!G705</f>
        <v>0</v>
      </c>
      <c r="E707" s="41">
        <f>Data!H705</f>
        <v>0</v>
      </c>
      <c r="F707" s="41">
        <f>Data!K705</f>
        <v>0</v>
      </c>
      <c r="G707" s="33" t="str">
        <f>Data!M705</f>
        <v>Exceso de velocidad (nuevo)</v>
      </c>
      <c r="H707" s="41" t="str">
        <f>Data!P705</f>
        <v>ECOPETROL RUBIALES- Quifa - CAÑO SUR: Puerto Gaitan - Rubiales, Puerto Gaitán, Meta, Colombia</v>
      </c>
      <c r="I707" s="42" t="str">
        <f>Data!Q705</f>
        <v>Cliente, Vel Max 40 Km/h</v>
      </c>
      <c r="J707" s="43">
        <f>Data!S705</f>
        <v>46174.704433645835</v>
      </c>
      <c r="K707" s="44">
        <f>Data!S705</f>
        <v>46174.704433645835</v>
      </c>
      <c r="L707" s="45">
        <f>Data!T705</f>
        <v>9.2515046296296301E-4</v>
      </c>
      <c r="M707" s="46">
        <f>Data!U705</f>
        <v>0.2893650233745575</v>
      </c>
      <c r="N707" s="46" t="str">
        <f>CONCATENATE(Data!W705," (",Data!V705,")")</f>
        <v>Exceso de velocidad (nuevo) (Velocidad máxima: 15 kmh (Velocidad máxima en carretera: 7 kmh))</v>
      </c>
      <c r="O707" s="42" t="str">
        <f>IF(Data!V705&lt;&gt;"",N707,Data!W705)</f>
        <v>Exceso de velocidad (nuevo) (Velocidad máxima: 15 kmh (Velocidad máxima en carretera: 7 kmh))</v>
      </c>
      <c r="P707" s="47" t="str">
        <f>Data!X705</f>
        <v>Válido</v>
      </c>
    </row>
    <row r="708" spans="1:16">
      <c r="A708" s="41" t="str">
        <f>Data!A706</f>
        <v>PKU269</v>
      </c>
      <c r="B708" s="41" t="str">
        <f>Data!D706</f>
        <v>Vehicle, Diesel, Frontera Energy Col 2679</v>
      </c>
      <c r="C708" s="41">
        <f>Data!F706</f>
        <v>0</v>
      </c>
      <c r="D708" s="41">
        <f>Data!G706</f>
        <v>0</v>
      </c>
      <c r="E708" s="41">
        <f>Data!H706</f>
        <v>0</v>
      </c>
      <c r="F708" s="41">
        <f>Data!K706</f>
        <v>0</v>
      </c>
      <c r="G708" s="33" t="str">
        <f>Data!M706</f>
        <v>Exceso Velocidad 10 Km/h</v>
      </c>
      <c r="H708" s="41" t="str">
        <f>Data!P706</f>
        <v>ECOPETROL RUBIALES- Quifa - CAÑO SUR, Puerto Triunfo - Estacion Policia, PUESTRO CONTROL QUIFA: Puerto Gaitan - Rubiales, Puerto Gaitán, Meta, Colombia</v>
      </c>
      <c r="I708" s="42" t="str">
        <f>Data!Q706</f>
        <v>Cliente, Vel Max 40 Km/h, Vel Max 30 Km/h, Vel Max 10 Km/h</v>
      </c>
      <c r="J708" s="43">
        <f>Data!S706</f>
        <v>46174.705671296295</v>
      </c>
      <c r="K708" s="44">
        <f>Data!S706</f>
        <v>46174.705671296295</v>
      </c>
      <c r="L708" s="45">
        <f>Data!T706</f>
        <v>4.3736111111111113E-4</v>
      </c>
      <c r="M708" s="46">
        <f>Data!U706</f>
        <v>0.1837875097990036</v>
      </c>
      <c r="N708" s="46" t="str">
        <f>CONCATENATE(Data!W706," (",Data!V706,")")</f>
        <v>Exceso Velocidad 10 Km/h (Velocidad máxima: 20 kmh)</v>
      </c>
      <c r="O708" s="42" t="str">
        <f>IF(Data!V706&lt;&gt;"",N708,Data!W706)</f>
        <v>Exceso Velocidad 10 Km/h (Velocidad máxima: 20 kmh)</v>
      </c>
      <c r="P708" s="47" t="str">
        <f>Data!X706</f>
        <v>Válido</v>
      </c>
    </row>
    <row r="709" spans="1:16">
      <c r="A709" s="41" t="str">
        <f>Data!A707</f>
        <v>PKU269</v>
      </c>
      <c r="B709" s="41" t="str">
        <f>Data!D707</f>
        <v>Vehicle, Diesel, Frontera Energy Col 2679</v>
      </c>
      <c r="C709" s="41">
        <f>Data!F707</f>
        <v>0</v>
      </c>
      <c r="D709" s="41">
        <f>Data!G707</f>
        <v>0</v>
      </c>
      <c r="E709" s="41">
        <f>Data!H707</f>
        <v>0</v>
      </c>
      <c r="F709" s="41">
        <f>Data!K707</f>
        <v>0</v>
      </c>
      <c r="G709" s="33" t="str">
        <f>Data!M707</f>
        <v>Tiempo en ralentí</v>
      </c>
      <c r="H709" s="41" t="str">
        <f>Data!P707</f>
        <v>ECOPETROL RUBIALES- Quifa - CAÑO SUR, Puerto Triunfo - Estacion Policia: Puerto Gaitan - Rubiales, Puerto Gaitán, Meta, Colombia</v>
      </c>
      <c r="I709" s="42" t="str">
        <f>Data!Q707</f>
        <v>Cliente, Vel Max 40 Km/h, Vel Max 30 Km/h</v>
      </c>
      <c r="J709" s="43">
        <f>Data!S707</f>
        <v>46174.708495370367</v>
      </c>
      <c r="K709" s="44">
        <f>Data!S707</f>
        <v>46174.708495370367</v>
      </c>
      <c r="L709" s="45">
        <f>Data!T707</f>
        <v>4.5486111111111109E-3</v>
      </c>
      <c r="M709" s="46">
        <f>Data!U707</f>
        <v>0</v>
      </c>
      <c r="N709" s="46" t="str">
        <f>CONCATENATE(Data!W707," (",Data!V707,")")</f>
        <v>Tiempo en ralentí (Ignición: 1.00)</v>
      </c>
      <c r="O709" s="42" t="str">
        <f>IF(Data!V707&lt;&gt;"",N709,Data!W707)</f>
        <v>Tiempo en ralentí (Ignición: 1.00)</v>
      </c>
      <c r="P709" s="47" t="str">
        <f>Data!X707</f>
        <v>Válido</v>
      </c>
    </row>
    <row r="710" spans="1:16">
      <c r="A710" s="41" t="str">
        <f>Data!A708</f>
        <v>PKU269</v>
      </c>
      <c r="B710" s="41" t="str">
        <f>Data!D708</f>
        <v>Vehicle, Diesel, Frontera Energy Col 2679</v>
      </c>
      <c r="C710" s="41">
        <f>Data!F708</f>
        <v>0</v>
      </c>
      <c r="D710" s="41">
        <f>Data!G708</f>
        <v>0</v>
      </c>
      <c r="E710" s="41">
        <f>Data!H708</f>
        <v>0</v>
      </c>
      <c r="F710" s="41">
        <f>Data!K708</f>
        <v>0</v>
      </c>
      <c r="G710" s="33" t="str">
        <f>Data!M708</f>
        <v>Exceso Velocidad 10 Km/h</v>
      </c>
      <c r="H710" s="41" t="str">
        <f>Data!P708</f>
        <v>ECOPETROL RUBIALES- Quifa - CAÑO SUR, Puerto Triunfo - Estacion Policia, PUESTRO CONTROL QUIFA: Puerto Gaitan - Rubiales, Puerto Gaitán, Meta, Colombia</v>
      </c>
      <c r="I710" s="42" t="str">
        <f>Data!Q708</f>
        <v>Cliente, Vel Max 40 Km/h, Vel Max 30 Km/h, Vel Max 10 Km/h</v>
      </c>
      <c r="J710" s="43">
        <f>Data!S708</f>
        <v>46174.715474999997</v>
      </c>
      <c r="K710" s="44">
        <f>Data!S708</f>
        <v>46174.715474999997</v>
      </c>
      <c r="L710" s="45">
        <f>Data!T708</f>
        <v>4.4005787037037039E-4</v>
      </c>
      <c r="M710" s="46">
        <f>Data!U708</f>
        <v>0.1853221207857132</v>
      </c>
      <c r="N710" s="46" t="str">
        <f>CONCATENATE(Data!W708," (",Data!V708,")")</f>
        <v>Exceso Velocidad 10 Km/h (Velocidad máxima: 18 kmh)</v>
      </c>
      <c r="O710" s="42" t="str">
        <f>IF(Data!V708&lt;&gt;"",N710,Data!W708)</f>
        <v>Exceso Velocidad 10 Km/h (Velocidad máxima: 18 kmh)</v>
      </c>
      <c r="P710" s="47" t="str">
        <f>Data!X708</f>
        <v>Válido</v>
      </c>
    </row>
    <row r="711" spans="1:16">
      <c r="A711" s="41" t="str">
        <f>Data!A709</f>
        <v>PKU269</v>
      </c>
      <c r="B711" s="41" t="str">
        <f>Data!D709</f>
        <v>Vehicle, Diesel, Frontera Energy Col 2679</v>
      </c>
      <c r="C711" s="41">
        <f>Data!F709</f>
        <v>0</v>
      </c>
      <c r="D711" s="41">
        <f>Data!G709</f>
        <v>0</v>
      </c>
      <c r="E711" s="41">
        <f>Data!H709</f>
        <v>0</v>
      </c>
      <c r="F711" s="41">
        <f>Data!K709</f>
        <v>0</v>
      </c>
      <c r="G711" s="33" t="str">
        <f>Data!M709</f>
        <v>Exceso Velocidad 10 Km/h</v>
      </c>
      <c r="H711" s="41" t="str">
        <f>Data!P709</f>
        <v>CAMPAMENTO QUIFA, ECOPETROL RUBIALES- Quifa - CAÑO SUR, Puerto Gaitan - Rubiales, Puerto Gaitán, Meta, Colombia: Ent. CAMPAMENTO, Puerto Gaitán, Meta, Colombia</v>
      </c>
      <c r="I711" s="42" t="str">
        <f>Data!Q709</f>
        <v>Vel Max 10 Km/h, Cliente, Vel Max 40 Km/h, Centro de servicios del proveedor</v>
      </c>
      <c r="J711" s="43">
        <f>Data!S709</f>
        <v>46174.71832753472</v>
      </c>
      <c r="K711" s="44">
        <f>Data!S709</f>
        <v>46174.71832753472</v>
      </c>
      <c r="L711" s="45">
        <f>Data!T709</f>
        <v>5.7986111111111113E-6</v>
      </c>
      <c r="M711" s="46">
        <f>Data!U709</f>
        <v>1.3423075433820486E-3</v>
      </c>
      <c r="N711" s="46" t="str">
        <f>CONCATENATE(Data!W709," (",Data!V709,")")</f>
        <v>Exceso Velocidad 10 Km/h (Velocidad máxima: 11 kmh)</v>
      </c>
      <c r="O711" s="42" t="str">
        <f>IF(Data!V709&lt;&gt;"",N711,Data!W709)</f>
        <v>Exceso Velocidad 10 Km/h (Velocidad máxima: 11 kmh)</v>
      </c>
      <c r="P711" s="47" t="str">
        <f>Data!X709</f>
        <v>Válido</v>
      </c>
    </row>
    <row r="712" spans="1:16">
      <c r="A712" s="41" t="str">
        <f>Data!A710</f>
        <v>PKU269</v>
      </c>
      <c r="B712" s="41" t="str">
        <f>Data!D710</f>
        <v>Vehicle, Diesel, Frontera Energy Col 2679</v>
      </c>
      <c r="C712" s="41">
        <f>Data!F710</f>
        <v>0</v>
      </c>
      <c r="D712" s="41">
        <f>Data!G710</f>
        <v>0</v>
      </c>
      <c r="E712" s="41">
        <f>Data!H710</f>
        <v>0</v>
      </c>
      <c r="F712" s="41">
        <f>Data!K710</f>
        <v>0</v>
      </c>
      <c r="G712" s="33" t="str">
        <f>Data!M710</f>
        <v>Exceso Velocidad 10 Km/h</v>
      </c>
      <c r="H712" s="41" t="str">
        <f>Data!P710</f>
        <v>CAMPAMENTO QUIFA, ECOPETROL RUBIALES- Quifa - CAÑO SUR, Puerto Gaitan - Rubiales, Puerto Gaitán, Meta, Colombia, Puerto Triunfo - Estacion Policia: Puerto Gaitan - Rubiales, Puerto Gaitán, Meta, Colombia</v>
      </c>
      <c r="I712" s="42" t="str">
        <f>Data!Q710</f>
        <v>Vel Max 10 Km/h, Cliente, Vel Max 40 Km/h, Centro de servicios del proveedor, Vel Max 30 Km/h</v>
      </c>
      <c r="J712" s="43">
        <f>Data!S710</f>
        <v>46174.754348958333</v>
      </c>
      <c r="K712" s="44">
        <f>Data!S710</f>
        <v>46174.754348958333</v>
      </c>
      <c r="L712" s="45">
        <f>Data!T710</f>
        <v>1.7650462962962962E-4</v>
      </c>
      <c r="M712" s="46">
        <f>Data!U710</f>
        <v>5.9910118579864502E-2</v>
      </c>
      <c r="N712" s="46" t="str">
        <f>CONCATENATE(Data!W710," (",Data!V710,")")</f>
        <v>Exceso Velocidad 10 Km/h (Velocidad máxima: 16 kmh)</v>
      </c>
      <c r="O712" s="42" t="str">
        <f>IF(Data!V710&lt;&gt;"",N712,Data!W710)</f>
        <v>Exceso Velocidad 10 Km/h (Velocidad máxima: 16 kmh)</v>
      </c>
      <c r="P712" s="47" t="str">
        <f>Data!X710</f>
        <v>Válido</v>
      </c>
    </row>
    <row r="713" spans="1:16">
      <c r="A713" s="41" t="str">
        <f>Data!A711</f>
        <v>PKU269</v>
      </c>
      <c r="B713" s="41" t="str">
        <f>Data!D711</f>
        <v>Vehicle, Diesel, Frontera Energy Col 2679</v>
      </c>
      <c r="C713" s="41">
        <f>Data!F711</f>
        <v>0</v>
      </c>
      <c r="D713" s="41">
        <f>Data!G711</f>
        <v>0</v>
      </c>
      <c r="E713" s="41">
        <f>Data!H711</f>
        <v>0</v>
      </c>
      <c r="F713" s="41">
        <f>Data!K711</f>
        <v>0</v>
      </c>
      <c r="G713" s="33" t="str">
        <f>Data!M711</f>
        <v>Exceso Velocidad 10 Km/h</v>
      </c>
      <c r="H713" s="41" t="str">
        <f>Data!P711</f>
        <v>CAMPAMENTO QUIFA, ECOPETROL RUBIALES- Quifa - CAÑO SUR, Puerto Triunfo - Estacion Policia: Puerto Gaitan - Rubiales, Puerto Gaitán, Meta, Colombia</v>
      </c>
      <c r="I713" s="42" t="str">
        <f>Data!Q711</f>
        <v>Vel Max 10 Km/h, Cliente, Vel Max 40 Km/h, Vel Max 30 Km/h</v>
      </c>
      <c r="J713" s="43">
        <f>Data!S711</f>
        <v>46174.754525462966</v>
      </c>
      <c r="K713" s="44">
        <f>Data!S711</f>
        <v>46174.754525462966</v>
      </c>
      <c r="L713" s="45">
        <f>Data!T711</f>
        <v>1.6487268518518519E-4</v>
      </c>
      <c r="M713" s="46">
        <f>Data!U711</f>
        <v>6.6007077693939209E-2</v>
      </c>
      <c r="N713" s="46" t="str">
        <f>CONCATENATE(Data!W711," (",Data!V711,")")</f>
        <v>Exceso Velocidad 10 Km/h (Velocidad máxima: 18 kmh)</v>
      </c>
      <c r="O713" s="42" t="str">
        <f>IF(Data!V711&lt;&gt;"",N713,Data!W711)</f>
        <v>Exceso Velocidad 10 Km/h (Velocidad máxima: 18 kmh)</v>
      </c>
      <c r="P713" s="47" t="str">
        <f>Data!X711</f>
        <v>Válido</v>
      </c>
    </row>
    <row r="714" spans="1:16">
      <c r="A714" s="41" t="str">
        <f>Data!A712</f>
        <v>PKU269</v>
      </c>
      <c r="B714" s="41" t="str">
        <f>Data!D712</f>
        <v>Vehicle, Diesel, Frontera Energy Col 2679</v>
      </c>
      <c r="C714" s="41">
        <f>Data!F712</f>
        <v>0</v>
      </c>
      <c r="D714" s="41">
        <f>Data!G712</f>
        <v>0</v>
      </c>
      <c r="E714" s="41">
        <f>Data!H712</f>
        <v>0</v>
      </c>
      <c r="F714" s="41">
        <f>Data!K712</f>
        <v>0</v>
      </c>
      <c r="G714" s="33" t="str">
        <f>Data!M712</f>
        <v>Tiempo en ralentí</v>
      </c>
      <c r="H714" s="41" t="str">
        <f>Data!P712</f>
        <v>ECOPETROL RUBIALES- Quifa - CAÑO SUR: Rb 443 358, Puerto Gaitán, Meta, Colombia</v>
      </c>
      <c r="I714" s="42" t="str">
        <f>Data!Q712</f>
        <v>Cliente, Vel Max 40 Km/h</v>
      </c>
      <c r="J714" s="43">
        <f>Data!S712</f>
        <v>46174.758287037039</v>
      </c>
      <c r="K714" s="44">
        <f>Data!S712</f>
        <v>46174.758287037039</v>
      </c>
      <c r="L714" s="45">
        <f>Data!T712</f>
        <v>7.1875000000000003E-3</v>
      </c>
      <c r="M714" s="46">
        <f>Data!U712</f>
        <v>2.6670028091757558E-5</v>
      </c>
      <c r="N714" s="46" t="str">
        <f>CONCATENATE(Data!W712," (",Data!V712,")")</f>
        <v>Tiempo en ralentí (Ignición: 1.00)</v>
      </c>
      <c r="O714" s="42" t="str">
        <f>IF(Data!V712&lt;&gt;"",N714,Data!W712)</f>
        <v>Tiempo en ralentí (Ignición: 1.00)</v>
      </c>
      <c r="P714" s="47" t="str">
        <f>Data!X712</f>
        <v>Válido</v>
      </c>
    </row>
    <row r="715" spans="1:16">
      <c r="A715" s="41" t="str">
        <f>Data!A713</f>
        <v>PKU269</v>
      </c>
      <c r="B715" s="41" t="str">
        <f>Data!D713</f>
        <v>Vehicle, Diesel, Frontera Energy Col 2679</v>
      </c>
      <c r="C715" s="41">
        <f>Data!F713</f>
        <v>0</v>
      </c>
      <c r="D715" s="41">
        <f>Data!G713</f>
        <v>0</v>
      </c>
      <c r="E715" s="41">
        <f>Data!H713</f>
        <v>0</v>
      </c>
      <c r="F715" s="41">
        <f>Data!K713</f>
        <v>0</v>
      </c>
      <c r="G715" s="33" t="str">
        <f>Data!M713</f>
        <v>Exceso Velocidad 10 Km/h</v>
      </c>
      <c r="H715" s="41" t="str">
        <f>Data!P713</f>
        <v>CAMPAMENTO QUIFA, ECOPETROL RUBIALES- Quifa - CAÑO SUR, Puerto Triunfo - Estacion Policia: Puerto Gaitan - Rubiales, Puerto Gaitán, Meta, Colombia</v>
      </c>
      <c r="I715" s="42" t="str">
        <f>Data!Q713</f>
        <v>Vel Max 10 Km/h, Cliente, Vel Max 40 Km/h, Vel Max 30 Km/h</v>
      </c>
      <c r="J715" s="43">
        <f>Data!S713</f>
        <v>46174.768569687498</v>
      </c>
      <c r="K715" s="44">
        <f>Data!S713</f>
        <v>46174.768569687498</v>
      </c>
      <c r="L715" s="45">
        <f>Data!T713</f>
        <v>2.9890046296296294E-4</v>
      </c>
      <c r="M715" s="46">
        <f>Data!U713</f>
        <v>0.12143582850694656</v>
      </c>
      <c r="N715" s="46" t="str">
        <f>CONCATENATE(Data!W713," (",Data!V713,")")</f>
        <v>Exceso Velocidad 10 Km/h (Velocidad máxima: 22 kmh)</v>
      </c>
      <c r="O715" s="42" t="str">
        <f>IF(Data!V713&lt;&gt;"",N715,Data!W713)</f>
        <v>Exceso Velocidad 10 Km/h (Velocidad máxima: 22 kmh)</v>
      </c>
      <c r="P715" s="47" t="str">
        <f>Data!X713</f>
        <v>Válido</v>
      </c>
    </row>
    <row r="716" spans="1:16">
      <c r="A716" s="41" t="str">
        <f>Data!A714</f>
        <v>PKU269</v>
      </c>
      <c r="B716" s="41" t="str">
        <f>Data!D714</f>
        <v>Vehicle, Diesel, Frontera Energy Col 2679</v>
      </c>
      <c r="C716" s="41">
        <f>Data!F714</f>
        <v>0</v>
      </c>
      <c r="D716" s="41">
        <f>Data!G714</f>
        <v>0</v>
      </c>
      <c r="E716" s="41">
        <f>Data!H714</f>
        <v>0</v>
      </c>
      <c r="F716" s="41">
        <f>Data!K714</f>
        <v>0</v>
      </c>
      <c r="G716" s="33" t="str">
        <f>Data!M714</f>
        <v>Exceso Velocidad 10 Km/h</v>
      </c>
      <c r="H716" s="41" t="str">
        <f>Data!P714</f>
        <v>ECOPETROL RUBIALES- Quifa - CAÑO SUR, Puerto Triunfo - Estacion Policia, PUESTRO CONTROL QUIFA: Puerto Gaitan - Rubiales, Puerto Gaitán, Meta, Colombia</v>
      </c>
      <c r="I716" s="42" t="str">
        <f>Data!Q714</f>
        <v>Cliente, Vel Max 40 Km/h, Vel Max 30 Km/h, Vel Max 10 Km/h</v>
      </c>
      <c r="J716" s="43">
        <f>Data!S714</f>
        <v>46174.770824861109</v>
      </c>
      <c r="K716" s="44">
        <f>Data!S714</f>
        <v>46174.770824861109</v>
      </c>
      <c r="L716" s="45">
        <f>Data!T714</f>
        <v>3.176273148148148E-4</v>
      </c>
      <c r="M716" s="46">
        <f>Data!U714</f>
        <v>0.18372516334056854</v>
      </c>
      <c r="N716" s="46" t="str">
        <f>CONCATENATE(Data!W714," (",Data!V714,")")</f>
        <v>Exceso Velocidad 10 Km/h (Velocidad máxima: 25 kmh)</v>
      </c>
      <c r="O716" s="42" t="str">
        <f>IF(Data!V714&lt;&gt;"",N716,Data!W714)</f>
        <v>Exceso Velocidad 10 Km/h (Velocidad máxima: 25 kmh)</v>
      </c>
      <c r="P716" s="47" t="str">
        <f>Data!X714</f>
        <v>Válido</v>
      </c>
    </row>
    <row r="717" spans="1:16">
      <c r="A717" s="41" t="str">
        <f>Data!A715</f>
        <v>PKU269</v>
      </c>
      <c r="B717" s="41" t="str">
        <f>Data!D715</f>
        <v>Vehicle, Diesel, Frontera Energy Col 2679</v>
      </c>
      <c r="C717" s="41">
        <f>Data!F715</f>
        <v>0</v>
      </c>
      <c r="D717" s="41">
        <f>Data!G715</f>
        <v>0</v>
      </c>
      <c r="E717" s="41">
        <f>Data!H715</f>
        <v>0</v>
      </c>
      <c r="F717" s="41">
        <f>Data!K715</f>
        <v>0</v>
      </c>
      <c r="G717" s="33" t="str">
        <f>Data!M715</f>
        <v>Exceso Velocidad 30 Km/h</v>
      </c>
      <c r="H717" s="41" t="str">
        <f>Data!P715</f>
        <v>ECOPETROL RUBIALES- Quifa - CAÑO SUR, Puerto Triunfo - Estacion Policia: Puerto Gaitan - Rubiales, Puerto Gaitán, Meta, Colombia</v>
      </c>
      <c r="I717" s="42" t="str">
        <f>Data!Q715</f>
        <v>Cliente, Vel Max 40 Km/h, Vel Max 30 Km/h</v>
      </c>
      <c r="J717" s="43">
        <f>Data!S715</f>
        <v>46174.771413692128</v>
      </c>
      <c r="K717" s="44">
        <f>Data!S715</f>
        <v>46174.771413692128</v>
      </c>
      <c r="L717" s="45">
        <f>Data!T715</f>
        <v>1.0251157407407408E-4</v>
      </c>
      <c r="M717" s="46">
        <f>Data!U715</f>
        <v>7.3324181139469147E-2</v>
      </c>
      <c r="N717" s="46" t="str">
        <f>CONCATENATE(Data!W715," (",Data!V715,")")</f>
        <v>Exceso Velocidad 30 Km/h (Velocidad máxima: 31 kmh)</v>
      </c>
      <c r="O717" s="42" t="str">
        <f>IF(Data!V715&lt;&gt;"",N717,Data!W715)</f>
        <v>Exceso Velocidad 30 Km/h (Velocidad máxima: 31 kmh)</v>
      </c>
      <c r="P717" s="47" t="str">
        <f>Data!X715</f>
        <v>Válido</v>
      </c>
    </row>
    <row r="718" spans="1:16">
      <c r="A718" s="41" t="str">
        <f>Data!A716</f>
        <v>PKU269</v>
      </c>
      <c r="B718" s="41" t="str">
        <f>Data!D716</f>
        <v>Vehicle, Diesel, Frontera Energy Col 2679</v>
      </c>
      <c r="C718" s="41">
        <f>Data!F716</f>
        <v>0</v>
      </c>
      <c r="D718" s="41">
        <f>Data!G716</f>
        <v>0</v>
      </c>
      <c r="E718" s="41">
        <f>Data!H716</f>
        <v>0</v>
      </c>
      <c r="F718" s="41">
        <f>Data!K716</f>
        <v>0</v>
      </c>
      <c r="G718" s="33" t="str">
        <f>Data!M716</f>
        <v>Exceso Velocidad 30 Km/h</v>
      </c>
      <c r="H718" s="41" t="str">
        <f>Data!P716</f>
        <v>ECOPETROL RUBIALES- Quifa - CAÑO SUR, Puerto Triunfo - Estacion Policia: Puerto Gaitan - Rubiales, Puerto Gaitán, Meta, Colombia</v>
      </c>
      <c r="I718" s="42" t="str">
        <f>Data!Q716</f>
        <v>Cliente, Vel Max 40 Km/h, Vel Max 30 Km/h</v>
      </c>
      <c r="J718" s="43">
        <f>Data!S716</f>
        <v>46174.776247685186</v>
      </c>
      <c r="K718" s="44">
        <f>Data!S716</f>
        <v>46174.776247685186</v>
      </c>
      <c r="L718" s="45">
        <f>Data!T716</f>
        <v>1.5972222222222223E-4</v>
      </c>
      <c r="M718" s="46">
        <f>Data!U716</f>
        <v>0.12090085446834564</v>
      </c>
      <c r="N718" s="46" t="str">
        <f>CONCATENATE(Data!W716," (",Data!V716,")")</f>
        <v>Exceso Velocidad 30 Km/h (Velocidad máxima: 31 kmh)</v>
      </c>
      <c r="O718" s="42" t="str">
        <f>IF(Data!V716&lt;&gt;"",N718,Data!W716)</f>
        <v>Exceso Velocidad 30 Km/h (Velocidad máxima: 31 kmh)</v>
      </c>
      <c r="P718" s="47" t="str">
        <f>Data!X716</f>
        <v>Válido</v>
      </c>
    </row>
    <row r="719" spans="1:16">
      <c r="A719" s="41" t="str">
        <f>Data!A717</f>
        <v>PKU269</v>
      </c>
      <c r="B719" s="41" t="str">
        <f>Data!D717</f>
        <v>Vehicle, Diesel, Frontera Energy Col 2679</v>
      </c>
      <c r="C719" s="41">
        <f>Data!F717</f>
        <v>0</v>
      </c>
      <c r="D719" s="41">
        <f>Data!G717</f>
        <v>0</v>
      </c>
      <c r="E719" s="41">
        <f>Data!H717</f>
        <v>0</v>
      </c>
      <c r="F719" s="41">
        <f>Data!K717</f>
        <v>0</v>
      </c>
      <c r="G719" s="33" t="str">
        <f>Data!M717</f>
        <v>Exceso Velocidad 10 Km/h</v>
      </c>
      <c r="H719" s="41" t="str">
        <f>Data!P717</f>
        <v>ECOPETROL RUBIALES- Quifa - CAÑO SUR, Puerto Triunfo - Estacion Policia, PUESTRO CONTROL QUIFA: Puerto Gaitan - Rubiales, Puerto Gaitán, Meta, Colombia</v>
      </c>
      <c r="I719" s="42" t="str">
        <f>Data!Q717</f>
        <v>Cliente, Vel Max 40 Km/h, Vel Max 30 Km/h, Vel Max 10 Km/h</v>
      </c>
      <c r="J719" s="43">
        <f>Data!S717</f>
        <v>46174.776590162037</v>
      </c>
      <c r="K719" s="44">
        <f>Data!S717</f>
        <v>46174.776590162037</v>
      </c>
      <c r="L719" s="45">
        <f>Data!T717</f>
        <v>2.8935185185185184E-4</v>
      </c>
      <c r="M719" s="46">
        <f>Data!U717</f>
        <v>0.18426470458507538</v>
      </c>
      <c r="N719" s="46" t="str">
        <f>CONCATENATE(Data!W717," (",Data!V717,")")</f>
        <v>Exceso Velocidad 10 Km/h (Velocidad máxima: 29 kmh)</v>
      </c>
      <c r="O719" s="42" t="str">
        <f>IF(Data!V717&lt;&gt;"",N719,Data!W717)</f>
        <v>Exceso Velocidad 10 Km/h (Velocidad máxima: 29 kmh)</v>
      </c>
      <c r="P719" s="47" t="str">
        <f>Data!X717</f>
        <v>Válido</v>
      </c>
    </row>
    <row r="720" spans="1:16">
      <c r="A720" s="41" t="str">
        <f>Data!A718</f>
        <v>PKU269</v>
      </c>
      <c r="B720" s="41" t="str">
        <f>Data!D718</f>
        <v>Vehicle, Diesel, Frontera Energy Col 2679</v>
      </c>
      <c r="C720" s="41">
        <f>Data!F718</f>
        <v>0</v>
      </c>
      <c r="D720" s="41">
        <f>Data!G718</f>
        <v>0</v>
      </c>
      <c r="E720" s="41">
        <f>Data!H718</f>
        <v>0</v>
      </c>
      <c r="F720" s="41">
        <f>Data!K718</f>
        <v>0</v>
      </c>
      <c r="G720" s="33" t="str">
        <f>Data!M718</f>
        <v>Exceso de velocidad (nuevo)</v>
      </c>
      <c r="H720" s="41" t="str">
        <f>Data!P718</f>
        <v>ECOPETROL RUBIALES- Quifa - CAÑO SUR: Puerto Gaitan - Rubiales, Puerto Gaitán, Meta, Colombia</v>
      </c>
      <c r="I720" s="42" t="str">
        <f>Data!Q718</f>
        <v>Cliente, Vel Max 40 Km/h</v>
      </c>
      <c r="J720" s="43">
        <f>Data!S718</f>
        <v>46174.77715277778</v>
      </c>
      <c r="K720" s="44">
        <f>Data!S718</f>
        <v>46174.77715277778</v>
      </c>
      <c r="L720" s="45">
        <f>Data!T718</f>
        <v>3.8194444444444446E-4</v>
      </c>
      <c r="M720" s="46">
        <f>Data!U718</f>
        <v>0.2219889909029007</v>
      </c>
      <c r="N720" s="46" t="str">
        <f>CONCATENATE(Data!W718," (",Data!V718,")")</f>
        <v>Exceso de velocidad (nuevo) (Velocidad máxima: 28 kmh (Velocidad máxima en carretera: 7 kmh))</v>
      </c>
      <c r="O720" s="42" t="str">
        <f>IF(Data!V718&lt;&gt;"",N720,Data!W718)</f>
        <v>Exceso de velocidad (nuevo) (Velocidad máxima: 28 kmh (Velocidad máxima en carretera: 7 kmh))</v>
      </c>
      <c r="P720" s="47" t="str">
        <f>Data!X718</f>
        <v>Válido</v>
      </c>
    </row>
    <row r="721" spans="1:16">
      <c r="A721" s="41" t="str">
        <f>Data!A719</f>
        <v>PKU269</v>
      </c>
      <c r="B721" s="41" t="str">
        <f>Data!D719</f>
        <v>Vehicle, Diesel, Frontera Energy Col 2679</v>
      </c>
      <c r="C721" s="41">
        <f>Data!F719</f>
        <v>0</v>
      </c>
      <c r="D721" s="41">
        <f>Data!G719</f>
        <v>0</v>
      </c>
      <c r="E721" s="41">
        <f>Data!H719</f>
        <v>0</v>
      </c>
      <c r="F721" s="41">
        <f>Data!K719</f>
        <v>0</v>
      </c>
      <c r="G721" s="33" t="str">
        <f>Data!M719</f>
        <v>Exceso Velocidad 10 Km/h</v>
      </c>
      <c r="H721" s="41" t="str">
        <f>Data!P719</f>
        <v>ECOPETROL RUBIALES- Quifa - CAÑO SUR, Centralizado de combustible Quifa: Vía Sin Nombre, Puerto Gaitán, Meta, Colombia</v>
      </c>
      <c r="I721" s="42" t="str">
        <f>Data!Q719</f>
        <v>Cliente, Vel Max 40 Km/h, Vel Max 10 Km/h</v>
      </c>
      <c r="J721" s="43">
        <f>Data!S719</f>
        <v>46174.777649664349</v>
      </c>
      <c r="K721" s="44">
        <f>Data!S719</f>
        <v>46174.777649664349</v>
      </c>
      <c r="L721" s="45">
        <f>Data!T719</f>
        <v>5.2163194444444446E-4</v>
      </c>
      <c r="M721" s="46">
        <f>Data!U719</f>
        <v>0.15349310636520386</v>
      </c>
      <c r="N721" s="46" t="str">
        <f>CONCATENATE(Data!W719," (",Data!V719,")")</f>
        <v>Exceso Velocidad 10 Km/h (Velocidad máxima: 14 kmh)</v>
      </c>
      <c r="O721" s="42" t="str">
        <f>IF(Data!V719&lt;&gt;"",N721,Data!W719)</f>
        <v>Exceso Velocidad 10 Km/h (Velocidad máxima: 14 kmh)</v>
      </c>
      <c r="P721" s="47" t="str">
        <f>Data!X719</f>
        <v>Válido</v>
      </c>
    </row>
    <row r="722" spans="1:16">
      <c r="A722" s="41" t="str">
        <f>Data!A720</f>
        <v>PKU269</v>
      </c>
      <c r="B722" s="41" t="str">
        <f>Data!D720</f>
        <v>Vehicle, Diesel, Frontera Energy Col 2679</v>
      </c>
      <c r="C722" s="41">
        <f>Data!F720</f>
        <v>0</v>
      </c>
      <c r="D722" s="41">
        <f>Data!G720</f>
        <v>0</v>
      </c>
      <c r="E722" s="41">
        <f>Data!H720</f>
        <v>0</v>
      </c>
      <c r="F722" s="41">
        <f>Data!K720</f>
        <v>0</v>
      </c>
      <c r="G722" s="33" t="str">
        <f>Data!M720</f>
        <v>Exceso Velocidad 10 Km/h</v>
      </c>
      <c r="H722" s="41" t="str">
        <f>Data!P720</f>
        <v>ECOPETROL RUBIALES- Quifa - CAÑO SUR, Centralizado de combustible Quifa: Vía Sin Nombre, Puerto Gaitán, Meta, Colombia</v>
      </c>
      <c r="I722" s="42" t="str">
        <f>Data!Q720</f>
        <v>Cliente, Vel Max 40 Km/h, Vel Max 10 Km/h</v>
      </c>
      <c r="J722" s="43">
        <f>Data!S720</f>
        <v>46174.782733217595</v>
      </c>
      <c r="K722" s="44">
        <f>Data!S720</f>
        <v>46174.782733217595</v>
      </c>
      <c r="L722" s="45">
        <f>Data!T720</f>
        <v>3.4548611111111113E-4</v>
      </c>
      <c r="M722" s="46">
        <f>Data!U720</f>
        <v>9.8155036568641663E-2</v>
      </c>
      <c r="N722" s="46" t="str">
        <f>CONCATENATE(Data!W720," (",Data!V720,")")</f>
        <v>Exceso Velocidad 10 Km/h (Velocidad máxima: 12 kmh)</v>
      </c>
      <c r="O722" s="42" t="str">
        <f>IF(Data!V720&lt;&gt;"",N722,Data!W720)</f>
        <v>Exceso Velocidad 10 Km/h (Velocidad máxima: 12 kmh)</v>
      </c>
      <c r="P722" s="47" t="str">
        <f>Data!X720</f>
        <v>Válido</v>
      </c>
    </row>
    <row r="723" spans="1:16">
      <c r="A723" s="41" t="str">
        <f>Data!A721</f>
        <v>PKU269</v>
      </c>
      <c r="B723" s="41" t="str">
        <f>Data!D721</f>
        <v>Vehicle, Diesel, Frontera Energy Col 2679</v>
      </c>
      <c r="C723" s="41">
        <f>Data!F721</f>
        <v>0</v>
      </c>
      <c r="D723" s="41">
        <f>Data!G721</f>
        <v>0</v>
      </c>
      <c r="E723" s="41">
        <f>Data!H721</f>
        <v>0</v>
      </c>
      <c r="F723" s="41">
        <f>Data!K721</f>
        <v>0</v>
      </c>
      <c r="G723" s="33" t="str">
        <f>Data!M721</f>
        <v>Exceso de velocidad (nuevo)</v>
      </c>
      <c r="H723" s="41" t="str">
        <f>Data!P721</f>
        <v>ECOPETROL RUBIALES- Quifa - CAÑO SUR: Puerto Gaitan - Rubiales, Puerto Gaitán, Meta, Colombia</v>
      </c>
      <c r="I723" s="42" t="str">
        <f>Data!Q721</f>
        <v>Cliente, Vel Max 40 Km/h</v>
      </c>
      <c r="J723" s="43">
        <f>Data!S721</f>
        <v>46174.783206018517</v>
      </c>
      <c r="K723" s="44">
        <f>Data!S721</f>
        <v>46174.783206018517</v>
      </c>
      <c r="L723" s="45">
        <f>Data!T721</f>
        <v>3.5879629629629629E-4</v>
      </c>
      <c r="M723" s="46">
        <f>Data!U721</f>
        <v>0.21370463073253632</v>
      </c>
      <c r="N723" s="46" t="str">
        <f>CONCATENATE(Data!W721," (",Data!V721,")")</f>
        <v>Exceso de velocidad (nuevo) (Velocidad máxima: 29 kmh (Velocidad máxima en carretera: 7 kmh))</v>
      </c>
      <c r="O723" s="42" t="str">
        <f>IF(Data!V721&lt;&gt;"",N723,Data!W721)</f>
        <v>Exceso de velocidad (nuevo) (Velocidad máxima: 29 kmh (Velocidad máxima en carretera: 7 kmh))</v>
      </c>
      <c r="P723" s="47" t="str">
        <f>Data!X721</f>
        <v>Válido</v>
      </c>
    </row>
    <row r="724" spans="1:16">
      <c r="A724" s="41" t="str">
        <f>Data!A722</f>
        <v>PKU269</v>
      </c>
      <c r="B724" s="41" t="str">
        <f>Data!D722</f>
        <v>Vehicle, Diesel, Frontera Energy Col 2679</v>
      </c>
      <c r="C724" s="41">
        <f>Data!F722</f>
        <v>0</v>
      </c>
      <c r="D724" s="41">
        <f>Data!G722</f>
        <v>0</v>
      </c>
      <c r="E724" s="41">
        <f>Data!H722</f>
        <v>0</v>
      </c>
      <c r="F724" s="41">
        <f>Data!K722</f>
        <v>0</v>
      </c>
      <c r="G724" s="33" t="str">
        <f>Data!M722</f>
        <v>Exceso Velocidad 10 Km/h</v>
      </c>
      <c r="H724" s="41" t="str">
        <f>Data!P722</f>
        <v>ECOPETROL RUBIALES- Quifa - CAÑO SUR, Puerto Triunfo - Estacion Policia, PUESTRO CONTROL QUIFA: Puerto Gaitan - Rubiales, Puerto Gaitán, Meta, Colombia</v>
      </c>
      <c r="I724" s="42" t="str">
        <f>Data!Q722</f>
        <v>Cliente, Vel Max 40 Km/h, Vel Max 30 Km/h, Vel Max 10 Km/h</v>
      </c>
      <c r="J724" s="43">
        <f>Data!S722</f>
        <v>46174.783855520836</v>
      </c>
      <c r="K724" s="44">
        <f>Data!S722</f>
        <v>46174.783855520836</v>
      </c>
      <c r="L724" s="45">
        <f>Data!T722</f>
        <v>2.4571759259259257E-4</v>
      </c>
      <c r="M724" s="46">
        <f>Data!U722</f>
        <v>0.18348948657512665</v>
      </c>
      <c r="N724" s="46" t="str">
        <f>CONCATENATE(Data!W722," (",Data!V722,")")</f>
        <v>Exceso Velocidad 10 Km/h (Velocidad máxima: 31 kmh)</v>
      </c>
      <c r="O724" s="42" t="str">
        <f>IF(Data!V722&lt;&gt;"",N724,Data!W722)</f>
        <v>Exceso Velocidad 10 Km/h (Velocidad máxima: 31 kmh)</v>
      </c>
      <c r="P724" s="47" t="str">
        <f>Data!X722</f>
        <v>Válido</v>
      </c>
    </row>
    <row r="725" spans="1:16">
      <c r="A725" s="41" t="str">
        <f>Data!A723</f>
        <v>PKU269</v>
      </c>
      <c r="B725" s="41" t="str">
        <f>Data!D723</f>
        <v>Vehicle, Diesel, Frontera Energy Col 2679</v>
      </c>
      <c r="C725" s="41">
        <f>Data!F723</f>
        <v>0</v>
      </c>
      <c r="D725" s="41">
        <f>Data!G723</f>
        <v>0</v>
      </c>
      <c r="E725" s="41">
        <f>Data!H723</f>
        <v>0</v>
      </c>
      <c r="F725" s="41">
        <f>Data!K723</f>
        <v>0</v>
      </c>
      <c r="G725" s="33" t="str">
        <f>Data!M723</f>
        <v>Exceso Velocidad 30 Km/h</v>
      </c>
      <c r="H725" s="41" t="str">
        <f>Data!P723</f>
        <v>ECOPETROL RUBIALES- Quifa - CAÑO SUR, Puerto Triunfo - Estacion Policia, PUESTRO CONTROL QUIFA: Puerto Gaitan - Rubiales, Puerto Gaitán, Meta, Colombia</v>
      </c>
      <c r="I725" s="42" t="str">
        <f>Data!Q723</f>
        <v>Cliente, Vel Max 40 Km/h, Vel Max 30 Km/h, Vel Max 10 Km/h</v>
      </c>
      <c r="J725" s="43">
        <f>Data!S723</f>
        <v>46174.783888888887</v>
      </c>
      <c r="K725" s="44">
        <f>Data!S723</f>
        <v>46174.783888888887</v>
      </c>
      <c r="L725" s="45">
        <f>Data!T723</f>
        <v>2.1412047037037038E-4</v>
      </c>
      <c r="M725" s="46">
        <f>Data!U723</f>
        <v>0.16031491756439209</v>
      </c>
      <c r="N725" s="46" t="str">
        <f>CONCATENATE(Data!W723," (",Data!V723,")")</f>
        <v>Exceso Velocidad 30 Km/h (Velocidad máxima: 31 kmh)</v>
      </c>
      <c r="O725" s="42" t="str">
        <f>IF(Data!V723&lt;&gt;"",N725,Data!W723)</f>
        <v>Exceso Velocidad 30 Km/h (Velocidad máxima: 31 kmh)</v>
      </c>
      <c r="P725" s="47" t="str">
        <f>Data!X723</f>
        <v>Válido</v>
      </c>
    </row>
    <row r="726" spans="1:16">
      <c r="A726" s="41" t="str">
        <f>Data!A724</f>
        <v>PKU269</v>
      </c>
      <c r="B726" s="41" t="str">
        <f>Data!D724</f>
        <v>Vehicle, Diesel, Frontera Energy Col 2679</v>
      </c>
      <c r="C726" s="41">
        <f>Data!F724</f>
        <v>0</v>
      </c>
      <c r="D726" s="41">
        <f>Data!G724</f>
        <v>0</v>
      </c>
      <c r="E726" s="41">
        <f>Data!H724</f>
        <v>0</v>
      </c>
      <c r="F726" s="41">
        <f>Data!K724</f>
        <v>0</v>
      </c>
      <c r="G726" s="33" t="str">
        <f>Data!M724</f>
        <v>Exceso Velocidad 30 Km/h</v>
      </c>
      <c r="H726" s="41" t="str">
        <f>Data!P724</f>
        <v>ECOPETROL RUBIALES- Quifa - CAÑO SUR, Puerto Triunfo - Estacion Policia: Puerto Gaitan - Rubiales, Puerto Gaitán, Meta, Colombia</v>
      </c>
      <c r="I726" s="42" t="str">
        <f>Data!Q724</f>
        <v>Cliente, Vel Max 40 Km/h, Vel Max 30 Km/h</v>
      </c>
      <c r="J726" s="43">
        <f>Data!S724</f>
        <v>46174.784282407411</v>
      </c>
      <c r="K726" s="44">
        <f>Data!S724</f>
        <v>46174.784282407411</v>
      </c>
      <c r="L726" s="45">
        <f>Data!T724</f>
        <v>3.0423611111111114E-4</v>
      </c>
      <c r="M726" s="46">
        <f>Data!U724</f>
        <v>0.23677845299243927</v>
      </c>
      <c r="N726" s="46" t="str">
        <f>CONCATENATE(Data!W724," (",Data!V724,")")</f>
        <v>Exceso Velocidad 30 Km/h (Velocidad máxima: 35 kmh)</v>
      </c>
      <c r="O726" s="42" t="str">
        <f>IF(Data!V724&lt;&gt;"",N726,Data!W724)</f>
        <v>Exceso Velocidad 30 Km/h (Velocidad máxima: 35 kmh)</v>
      </c>
      <c r="P726" s="47" t="str">
        <f>Data!X724</f>
        <v>Válido</v>
      </c>
    </row>
    <row r="727" spans="1:16">
      <c r="A727" s="41" t="str">
        <f>Data!A725</f>
        <v>PKU269</v>
      </c>
      <c r="B727" s="41" t="str">
        <f>Data!D725</f>
        <v>Vehicle, Diesel, Frontera Energy Col 2679</v>
      </c>
      <c r="C727" s="41">
        <f>Data!F725</f>
        <v>0</v>
      </c>
      <c r="D727" s="41">
        <f>Data!G725</f>
        <v>0</v>
      </c>
      <c r="E727" s="41">
        <f>Data!H725</f>
        <v>0</v>
      </c>
      <c r="F727" s="41">
        <f>Data!K725</f>
        <v>0</v>
      </c>
      <c r="G727" s="33" t="str">
        <f>Data!M725</f>
        <v>Exceso Velocidad 30 Km/h</v>
      </c>
      <c r="H727" s="41" t="str">
        <f>Data!P725</f>
        <v>ECOPETROL RUBIALES- Quifa - CAÑO SUR, Puerto Triunfo - Estacion Policia: Puerto Gaitan - Rubiales, Puerto Gaitán, Meta, Colombia</v>
      </c>
      <c r="I727" s="42" t="str">
        <f>Data!Q725</f>
        <v>Cliente, Vel Max 40 Km/h, Vel Max 30 Km/h</v>
      </c>
      <c r="J727" s="43">
        <f>Data!S725</f>
        <v>46174.784637349534</v>
      </c>
      <c r="K727" s="44">
        <f>Data!S725</f>
        <v>46174.784637349534</v>
      </c>
      <c r="L727" s="45">
        <f>Data!T725</f>
        <v>6.172453703703704E-5</v>
      </c>
      <c r="M727" s="46">
        <f>Data!U725</f>
        <v>4.635416716337204E-2</v>
      </c>
      <c r="N727" s="46" t="str">
        <f>CONCATENATE(Data!W725," (",Data!V725,")")</f>
        <v>Exceso Velocidad 30 Km/h (Velocidad máxima: 31 kmh)</v>
      </c>
      <c r="O727" s="42" t="str">
        <f>IF(Data!V725&lt;&gt;"",N727,Data!W725)</f>
        <v>Exceso Velocidad 30 Km/h (Velocidad máxima: 31 kmh)</v>
      </c>
      <c r="P727" s="47" t="str">
        <f>Data!X725</f>
        <v>Válido</v>
      </c>
    </row>
    <row r="728" spans="1:16">
      <c r="A728" s="41" t="str">
        <f>Data!A726</f>
        <v>PKU269</v>
      </c>
      <c r="B728" s="41" t="str">
        <f>Data!D726</f>
        <v>Vehicle, Diesel, Frontera Energy Col 2679</v>
      </c>
      <c r="C728" s="41">
        <f>Data!F726</f>
        <v>0</v>
      </c>
      <c r="D728" s="41">
        <f>Data!G726</f>
        <v>0</v>
      </c>
      <c r="E728" s="41">
        <f>Data!H726</f>
        <v>0</v>
      </c>
      <c r="F728" s="41">
        <f>Data!K726</f>
        <v>0</v>
      </c>
      <c r="G728" s="33" t="str">
        <f>Data!M726</f>
        <v>Exceso Velocidad 30 Km/h</v>
      </c>
      <c r="H728" s="41" t="str">
        <f>Data!P726</f>
        <v>ECOPETROL RUBIALES- Quifa - CAÑO SUR, Puerto Triunfo - Estacion Policia: Puerto Gaitan - Rubiales, Puerto Gaitán, Meta, Colombia</v>
      </c>
      <c r="I728" s="42" t="str">
        <f>Data!Q726</f>
        <v>Cliente, Vel Max 40 Km/h, Vel Max 30 Km/h</v>
      </c>
      <c r="J728" s="43">
        <f>Data!S726</f>
        <v>46174.784923946761</v>
      </c>
      <c r="K728" s="44">
        <f>Data!S726</f>
        <v>46174.784923946761</v>
      </c>
      <c r="L728" s="45">
        <f>Data!T726</f>
        <v>1.4260416666666667E-4</v>
      </c>
      <c r="M728" s="46">
        <f>Data!U726</f>
        <v>0.10499574989080429</v>
      </c>
      <c r="N728" s="46" t="str">
        <f>CONCATENATE(Data!W726," (",Data!V726,")")</f>
        <v>Exceso Velocidad 30 Km/h (Velocidad máxima: 33 kmh)</v>
      </c>
      <c r="O728" s="42" t="str">
        <f>IF(Data!V726&lt;&gt;"",N728,Data!W726)</f>
        <v>Exceso Velocidad 30 Km/h (Velocidad máxima: 33 kmh)</v>
      </c>
      <c r="P728" s="47" t="str">
        <f>Data!X726</f>
        <v>Válido</v>
      </c>
    </row>
    <row r="729" spans="1:16">
      <c r="A729" s="41" t="str">
        <f>Data!A727</f>
        <v>PKU269</v>
      </c>
      <c r="B729" s="41" t="str">
        <f>Data!D727</f>
        <v>Vehicle, Diesel, Frontera Energy Col 2679</v>
      </c>
      <c r="C729" s="41">
        <f>Data!F727</f>
        <v>0</v>
      </c>
      <c r="D729" s="41">
        <f>Data!G727</f>
        <v>0</v>
      </c>
      <c r="E729" s="41">
        <f>Data!H727</f>
        <v>0</v>
      </c>
      <c r="F729" s="41">
        <f>Data!K727</f>
        <v>0</v>
      </c>
      <c r="G729" s="33" t="str">
        <f>Data!M727</f>
        <v>Uso del cinturón de seguridad</v>
      </c>
      <c r="H729" s="41" t="str">
        <f>Data!P727</f>
        <v>ECOPETROL RUBIALES- Quifa - CAÑO SUR, Puerto Triunfo - Estacion Policia: Puerto Gaitan - Rubiales, Puerto Gaitán, Meta, Colombia</v>
      </c>
      <c r="I729" s="42" t="str">
        <f>Data!Q727</f>
        <v>Cliente, Vel Max 40 Km/h, Vel Max 30 Km/h</v>
      </c>
      <c r="J729" s="43">
        <f>Data!S727</f>
        <v>46174.802053240739</v>
      </c>
      <c r="K729" s="44">
        <f>Data!S727</f>
        <v>46174.802053240739</v>
      </c>
      <c r="L729" s="45">
        <f>Data!T727</f>
        <v>1.367476851851852E-4</v>
      </c>
      <c r="M729" s="46">
        <f>Data!U727</f>
        <v>5.1017288118600845E-2</v>
      </c>
      <c r="N729" s="46" t="str">
        <f>CONCATENATE(Data!W727," (",Data!V727,")")</f>
        <v>Uso del cinturón de seguridad (Velocidad máxima: 18 kmh Cinturón de seguridad del conductor (1. Desabrochado): 1.00)</v>
      </c>
      <c r="O729" s="42" t="str">
        <f>IF(Data!V727&lt;&gt;"",N729,Data!W727)</f>
        <v>Uso del cinturón de seguridad (Velocidad máxima: 18 kmh Cinturón de seguridad del conductor (1. Desabrochado): 1.00)</v>
      </c>
      <c r="P729" s="47" t="str">
        <f>Data!X727</f>
        <v>Válido</v>
      </c>
    </row>
    <row r="730" spans="1:16">
      <c r="A730" s="41" t="str">
        <f>Data!A728</f>
        <v>PKU269</v>
      </c>
      <c r="B730" s="41" t="str">
        <f>Data!D728</f>
        <v>Vehicle, Diesel, Frontera Energy Col 2679</v>
      </c>
      <c r="C730" s="41">
        <f>Data!F728</f>
        <v>0</v>
      </c>
      <c r="D730" s="41">
        <f>Data!G728</f>
        <v>0</v>
      </c>
      <c r="E730" s="41">
        <f>Data!H728</f>
        <v>0</v>
      </c>
      <c r="F730" s="41">
        <f>Data!K728</f>
        <v>0</v>
      </c>
      <c r="G730" s="33" t="str">
        <f>Data!M728</f>
        <v>Exceso Velocidad 30 Km/h</v>
      </c>
      <c r="H730" s="41" t="str">
        <f>Data!P728</f>
        <v>ECOPETROL RUBIALES- Quifa - CAÑO SUR, Puerto Triunfo - Estacion Policia: Puerto Gaitan - Rubiales, Puerto Gaitán, Meta, Colombia</v>
      </c>
      <c r="I730" s="42" t="str">
        <f>Data!Q728</f>
        <v>Cliente, Vel Max 40 Km/h, Vel Max 30 Km/h</v>
      </c>
      <c r="J730" s="43">
        <f>Data!S728</f>
        <v>46174.805079004633</v>
      </c>
      <c r="K730" s="44">
        <f>Data!S728</f>
        <v>46174.805079004633</v>
      </c>
      <c r="L730" s="45">
        <f>Data!T728</f>
        <v>9.4606481481481484E-5</v>
      </c>
      <c r="M730" s="46">
        <f>Data!U728</f>
        <v>7.0086874067783356E-2</v>
      </c>
      <c r="N730" s="46" t="str">
        <f>CONCATENATE(Data!W728," (",Data!V728,")")</f>
        <v>Exceso Velocidad 30 Km/h (Velocidad máxima: 35 kmh)</v>
      </c>
      <c r="O730" s="42" t="str">
        <f>IF(Data!V728&lt;&gt;"",N730,Data!W728)</f>
        <v>Exceso Velocidad 30 Km/h (Velocidad máxima: 35 kmh)</v>
      </c>
      <c r="P730" s="47" t="str">
        <f>Data!X728</f>
        <v>Válido</v>
      </c>
    </row>
    <row r="731" spans="1:16">
      <c r="A731" s="41" t="str">
        <f>Data!A729</f>
        <v>PKU269</v>
      </c>
      <c r="B731" s="41" t="str">
        <f>Data!D729</f>
        <v>Vehicle, Diesel, Frontera Energy Col 2679</v>
      </c>
      <c r="C731" s="41">
        <f>Data!F729</f>
        <v>0</v>
      </c>
      <c r="D731" s="41">
        <f>Data!G729</f>
        <v>0</v>
      </c>
      <c r="E731" s="41">
        <f>Data!H729</f>
        <v>0</v>
      </c>
      <c r="F731" s="41">
        <f>Data!K729</f>
        <v>0</v>
      </c>
      <c r="G731" s="33" t="str">
        <f>Data!M729</f>
        <v>Exceso Velocidad 30 Km/h</v>
      </c>
      <c r="H731" s="41" t="str">
        <f>Data!P729</f>
        <v>ECOPETROL RUBIALES- Quifa - CAÑO SUR, Puerto Triunfo - Estacion Policia: Puerto Gaitan - Rubiales, Puerto Gaitán, Meta, Colombia</v>
      </c>
      <c r="I731" s="42" t="str">
        <f>Data!Q729</f>
        <v>Cliente, Vel Max 40 Km/h, Vel Max 30 Km/h</v>
      </c>
      <c r="J731" s="43">
        <f>Data!S729</f>
        <v>46174.805489965278</v>
      </c>
      <c r="K731" s="44">
        <f>Data!S729</f>
        <v>46174.805489965278</v>
      </c>
      <c r="L731" s="45">
        <f>Data!T729</f>
        <v>2.0763888888888888E-4</v>
      </c>
      <c r="M731" s="46">
        <f>Data!U729</f>
        <v>0.16507808864116669</v>
      </c>
      <c r="N731" s="46" t="str">
        <f>CONCATENATE(Data!W729," (",Data!V729,")")</f>
        <v>Exceso Velocidad 30 Km/h (Velocidad máxima: 33 kmh)</v>
      </c>
      <c r="O731" s="42" t="str">
        <f>IF(Data!V729&lt;&gt;"",N731,Data!W729)</f>
        <v>Exceso Velocidad 30 Km/h (Velocidad máxima: 33 kmh)</v>
      </c>
      <c r="P731" s="47" t="str">
        <f>Data!X729</f>
        <v>Válido</v>
      </c>
    </row>
    <row r="732" spans="1:16">
      <c r="A732" s="41" t="str">
        <f>Data!A730</f>
        <v>PKU269</v>
      </c>
      <c r="B732" s="41" t="str">
        <f>Data!D730</f>
        <v>Vehicle, Diesel, Frontera Energy Col 2679</v>
      </c>
      <c r="C732" s="41">
        <f>Data!F730</f>
        <v>0</v>
      </c>
      <c r="D732" s="41">
        <f>Data!G730</f>
        <v>0</v>
      </c>
      <c r="E732" s="41">
        <f>Data!H730</f>
        <v>0</v>
      </c>
      <c r="F732" s="41">
        <f>Data!K730</f>
        <v>0</v>
      </c>
      <c r="G732" s="33" t="str">
        <f>Data!M730</f>
        <v>Exceso Velocidad 30 Km/h</v>
      </c>
      <c r="H732" s="41" t="str">
        <f>Data!P730</f>
        <v>ECOPETROL RUBIALES- Quifa - CAÑO SUR, Puerto Triunfo - Estacion Policia: Puerto Gaitan - Rubiales, Puerto Gaitán, Meta, Colombia</v>
      </c>
      <c r="I732" s="42" t="str">
        <f>Data!Q730</f>
        <v>Cliente, Vel Max 40 Km/h, Vel Max 30 Km/h</v>
      </c>
      <c r="J732" s="43">
        <f>Data!S730</f>
        <v>46174.806122685186</v>
      </c>
      <c r="K732" s="44">
        <f>Data!S730</f>
        <v>46174.806122685186</v>
      </c>
      <c r="L732" s="45">
        <f>Data!T730</f>
        <v>1.3657407407407406E-4</v>
      </c>
      <c r="M732" s="46">
        <f>Data!U730</f>
        <v>0.10337420552968979</v>
      </c>
      <c r="N732" s="46" t="str">
        <f>CONCATENATE(Data!W730," (",Data!V730,")")</f>
        <v>Exceso Velocidad 30 Km/h (Velocidad máxima: 33 kmh)</v>
      </c>
      <c r="O732" s="42" t="str">
        <f>IF(Data!V730&lt;&gt;"",N732,Data!W730)</f>
        <v>Exceso Velocidad 30 Km/h (Velocidad máxima: 33 kmh)</v>
      </c>
      <c r="P732" s="47" t="str">
        <f>Data!X730</f>
        <v>Válido</v>
      </c>
    </row>
    <row r="733" spans="1:16">
      <c r="A733" s="41" t="str">
        <f>Data!A731</f>
        <v>PKU269</v>
      </c>
      <c r="B733" s="41" t="str">
        <f>Data!D731</f>
        <v>Vehicle, Diesel, Frontera Energy Col 2679</v>
      </c>
      <c r="C733" s="41">
        <f>Data!F731</f>
        <v>0</v>
      </c>
      <c r="D733" s="41">
        <f>Data!G731</f>
        <v>0</v>
      </c>
      <c r="E733" s="41">
        <f>Data!H731</f>
        <v>0</v>
      </c>
      <c r="F733" s="41">
        <f>Data!K731</f>
        <v>0</v>
      </c>
      <c r="G733" s="33" t="str">
        <f>Data!M731</f>
        <v>Exceso Velocidad 30 Km/h</v>
      </c>
      <c r="H733" s="41" t="str">
        <f>Data!P731</f>
        <v>ECOPETROL RUBIALES- Quifa - CAÑO SUR, Puerto Triunfo - Estacion Policia: Puerto Gaitan - Rubiales, Puerto Gaitán, Meta, Colombia</v>
      </c>
      <c r="I733" s="42" t="str">
        <f>Data!Q731</f>
        <v>Cliente, Vel Max 40 Km/h, Vel Max 30 Km/h</v>
      </c>
      <c r="J733" s="43">
        <f>Data!S731</f>
        <v>46174.806581793979</v>
      </c>
      <c r="K733" s="44">
        <f>Data!S731</f>
        <v>46174.806581793979</v>
      </c>
      <c r="L733" s="45">
        <f>Data!T731</f>
        <v>2.3692129629629631E-5</v>
      </c>
      <c r="M733" s="46">
        <f>Data!U731</f>
        <v>1.6258103772997856E-2</v>
      </c>
      <c r="N733" s="46" t="str">
        <f>CONCATENATE(Data!W731," (",Data!V731,")")</f>
        <v>Exceso Velocidad 30 Km/h (Velocidad máxima: 31 kmh)</v>
      </c>
      <c r="O733" s="42" t="str">
        <f>IF(Data!V731&lt;&gt;"",N733,Data!W731)</f>
        <v>Exceso Velocidad 30 Km/h (Velocidad máxima: 31 kmh)</v>
      </c>
      <c r="P733" s="47" t="str">
        <f>Data!X731</f>
        <v>Válido</v>
      </c>
    </row>
    <row r="734" spans="1:16">
      <c r="A734" s="41" t="str">
        <f>Data!A732</f>
        <v>PKU269</v>
      </c>
      <c r="B734" s="41" t="str">
        <f>Data!D732</f>
        <v>Vehicle, Diesel, Frontera Energy Col 2679</v>
      </c>
      <c r="C734" s="41">
        <f>Data!F732</f>
        <v>0</v>
      </c>
      <c r="D734" s="41">
        <f>Data!G732</f>
        <v>0</v>
      </c>
      <c r="E734" s="41">
        <f>Data!H732</f>
        <v>0</v>
      </c>
      <c r="F734" s="41">
        <f>Data!K732</f>
        <v>0</v>
      </c>
      <c r="G734" s="33" t="str">
        <f>Data!M732</f>
        <v>Exceso Velocidad 30 Km/h</v>
      </c>
      <c r="H734" s="41" t="str">
        <f>Data!P732</f>
        <v>ECOPETROL RUBIALES- Quifa - CAÑO SUR, Puerto Triunfo - Estacion Policia: Puerto Gaitan - Rubiales, Puerto Gaitán, Meta, Colombia</v>
      </c>
      <c r="I734" s="42" t="str">
        <f>Data!Q732</f>
        <v>Cliente, Vel Max 40 Km/h, Vel Max 30 Km/h</v>
      </c>
      <c r="J734" s="43">
        <f>Data!S732</f>
        <v>46174.806694155093</v>
      </c>
      <c r="K734" s="44">
        <f>Data!S732</f>
        <v>46174.806694155093</v>
      </c>
      <c r="L734" s="45">
        <f>Data!T732</f>
        <v>5.3385416666666663E-4</v>
      </c>
      <c r="M734" s="46">
        <f>Data!U732</f>
        <v>0.4301300048828125</v>
      </c>
      <c r="N734" s="46" t="str">
        <f>CONCATENATE(Data!W732," (",Data!V732,")")</f>
        <v>Exceso Velocidad 30 Km/h (Velocidad máxima: 37 kmh)</v>
      </c>
      <c r="O734" s="42" t="str">
        <f>IF(Data!V732&lt;&gt;"",N734,Data!W732)</f>
        <v>Exceso Velocidad 30 Km/h (Velocidad máxima: 37 kmh)</v>
      </c>
      <c r="P734" s="47" t="str">
        <f>Data!X732</f>
        <v>Válido</v>
      </c>
    </row>
    <row r="735" spans="1:16">
      <c r="A735" s="41" t="str">
        <f>Data!A733</f>
        <v>PKU269</v>
      </c>
      <c r="B735" s="41" t="str">
        <f>Data!D733</f>
        <v>Vehicle, Diesel, Frontera Energy Col 2679</v>
      </c>
      <c r="C735" s="41">
        <f>Data!F733</f>
        <v>0</v>
      </c>
      <c r="D735" s="41">
        <f>Data!G733</f>
        <v>0</v>
      </c>
      <c r="E735" s="41">
        <f>Data!H733</f>
        <v>0</v>
      </c>
      <c r="F735" s="41">
        <f>Data!K733</f>
        <v>0</v>
      </c>
      <c r="G735" s="33" t="str">
        <f>Data!M733</f>
        <v>Exceso Velocidad 10 Km/h</v>
      </c>
      <c r="H735" s="41" t="str">
        <f>Data!P733</f>
        <v>ECOPETROL RUBIALES- Quifa - CAÑO SUR, Puerto Triunfo - Estacion Policia, PUESTRO CONTROL QUIFA: Puerto Gaitan - Rubiales, Puerto Gaitán, Meta, Colombia</v>
      </c>
      <c r="I735" s="42" t="str">
        <f>Data!Q733</f>
        <v>Cliente, Vel Max 40 Km/h, Vel Max 30 Km/h, Vel Max 10 Km/h</v>
      </c>
      <c r="J735" s="43">
        <f>Data!S733</f>
        <v>46174.80714646991</v>
      </c>
      <c r="K735" s="44">
        <f>Data!S733</f>
        <v>46174.80714646991</v>
      </c>
      <c r="L735" s="45">
        <f>Data!T733</f>
        <v>2.7442129629629632E-4</v>
      </c>
      <c r="M735" s="46">
        <f>Data!U733</f>
        <v>0.18363004922866821</v>
      </c>
      <c r="N735" s="46" t="str">
        <f>CONCATENATE(Data!W733," (",Data!V733,")")</f>
        <v>Exceso Velocidad 10 Km/h (Velocidad máxima: 31 kmh)</v>
      </c>
      <c r="O735" s="42" t="str">
        <f>IF(Data!V733&lt;&gt;"",N735,Data!W733)</f>
        <v>Exceso Velocidad 10 Km/h (Velocidad máxima: 31 kmh)</v>
      </c>
      <c r="P735" s="47" t="str">
        <f>Data!X733</f>
        <v>Válido</v>
      </c>
    </row>
    <row r="736" spans="1:16">
      <c r="A736" s="41" t="str">
        <f>Data!A734</f>
        <v>PKU269</v>
      </c>
      <c r="B736" s="41" t="str">
        <f>Data!D734</f>
        <v>Vehicle, Diesel, Frontera Energy Col 2679</v>
      </c>
      <c r="C736" s="41">
        <f>Data!F734</f>
        <v>0</v>
      </c>
      <c r="D736" s="41">
        <f>Data!G734</f>
        <v>0</v>
      </c>
      <c r="E736" s="41">
        <f>Data!H734</f>
        <v>0</v>
      </c>
      <c r="F736" s="41">
        <f>Data!K734</f>
        <v>0</v>
      </c>
      <c r="G736" s="33" t="str">
        <f>Data!M734</f>
        <v>Exceso Velocidad 30 Km/h</v>
      </c>
      <c r="H736" s="41" t="str">
        <f>Data!P734</f>
        <v>ECOPETROL RUBIALES- Quifa - CAÑO SUR, Puerto Triunfo - Estacion Policia, PUESTRO CONTROL QUIFA: Puerto Gaitan - Rubiales, Puerto Gaitán, Meta, Colombia</v>
      </c>
      <c r="I736" s="42" t="str">
        <f>Data!Q734</f>
        <v>Cliente, Vel Max 40 Km/h, Vel Max 30 Km/h, Vel Max 10 Km/h</v>
      </c>
      <c r="J736" s="43">
        <f>Data!S734</f>
        <v>46174.80737584491</v>
      </c>
      <c r="K736" s="44">
        <f>Data!S734</f>
        <v>46174.80737584491</v>
      </c>
      <c r="L736" s="45">
        <f>Data!T734</f>
        <v>3.7349537037037037E-5</v>
      </c>
      <c r="M736" s="46">
        <f>Data!U734</f>
        <v>2.6641486212611198E-2</v>
      </c>
      <c r="N736" s="46" t="str">
        <f>CONCATENATE(Data!W734," (",Data!V734,")")</f>
        <v>Exceso Velocidad 30 Km/h (Velocidad máxima: 31 kmh)</v>
      </c>
      <c r="O736" s="42" t="str">
        <f>IF(Data!V734&lt;&gt;"",N736,Data!W734)</f>
        <v>Exceso Velocidad 30 Km/h (Velocidad máxima: 31 kmh)</v>
      </c>
      <c r="P736" s="47" t="str">
        <f>Data!X734</f>
        <v>Válido</v>
      </c>
    </row>
    <row r="737" spans="1:16">
      <c r="A737" s="41" t="str">
        <f>Data!A735</f>
        <v>PKU269</v>
      </c>
      <c r="B737" s="41" t="str">
        <f>Data!D735</f>
        <v>Vehicle, Diesel, Frontera Energy Col 2679</v>
      </c>
      <c r="C737" s="41">
        <f>Data!F735</f>
        <v>0</v>
      </c>
      <c r="D737" s="41">
        <f>Data!G735</f>
        <v>0</v>
      </c>
      <c r="E737" s="41">
        <f>Data!H735</f>
        <v>0</v>
      </c>
      <c r="F737" s="41">
        <f>Data!K735</f>
        <v>0</v>
      </c>
      <c r="G737" s="33" t="str">
        <f>Data!M735</f>
        <v>Exceso Velocidad 30 Km/h</v>
      </c>
      <c r="H737" s="41" t="str">
        <f>Data!P735</f>
        <v>ECOPETROL RUBIALES- Quifa - CAÑO SUR, Puerto Triunfo - Estacion Policia: Puerto Gaitan - Rubiales, Puerto Gaitán, Meta, Colombia</v>
      </c>
      <c r="I737" s="42" t="str">
        <f>Data!Q735</f>
        <v>Cliente, Vel Max 40 Km/h, Vel Max 30 Km/h</v>
      </c>
      <c r="J737" s="43">
        <f>Data!S735</f>
        <v>46174.807482638993</v>
      </c>
      <c r="K737" s="44">
        <f>Data!S735</f>
        <v>46174.807482638993</v>
      </c>
      <c r="L737" s="45">
        <f>Data!T735</f>
        <v>4.7118055555555556E-5</v>
      </c>
      <c r="M737" s="46">
        <f>Data!U735</f>
        <v>3.5196449607610703E-2</v>
      </c>
      <c r="N737" s="46" t="str">
        <f>CONCATENATE(Data!W735," (",Data!V735,")")</f>
        <v>Exceso Velocidad 30 Km/h (Velocidad máxima: 31 kmh)</v>
      </c>
      <c r="O737" s="42" t="str">
        <f>IF(Data!V735&lt;&gt;"",N737,Data!W735)</f>
        <v>Exceso Velocidad 30 Km/h (Velocidad máxima: 31 kmh)</v>
      </c>
      <c r="P737" s="47" t="str">
        <f>Data!X735</f>
        <v>Válido</v>
      </c>
    </row>
    <row r="738" spans="1:16">
      <c r="A738" s="41" t="str">
        <f>Data!A736</f>
        <v>PKU269</v>
      </c>
      <c r="B738" s="41" t="str">
        <f>Data!D736</f>
        <v>Vehicle, Diesel, Frontera Energy Col 2679</v>
      </c>
      <c r="C738" s="41">
        <f>Data!F736</f>
        <v>0</v>
      </c>
      <c r="D738" s="41">
        <f>Data!G736</f>
        <v>0</v>
      </c>
      <c r="E738" s="41">
        <f>Data!H736</f>
        <v>0</v>
      </c>
      <c r="F738" s="41">
        <f>Data!K736</f>
        <v>0</v>
      </c>
      <c r="G738" s="33" t="str">
        <f>Data!M736</f>
        <v>Exceso de velocidad (nuevo)</v>
      </c>
      <c r="H738" s="41" t="str">
        <f>Data!P736</f>
        <v>ECOPETROL RUBIALES- Quifa - CAÑO SUR, Puerto Triunfo - Estacion Policia: Puerto Gaitan - Rubiales, Puerto Gaitán, Meta, Colombia</v>
      </c>
      <c r="I738" s="42" t="str">
        <f>Data!Q736</f>
        <v>Cliente, Vel Max 40 Km/h, Vel Max 30 Km/h</v>
      </c>
      <c r="J738" s="43">
        <f>Data!S736</f>
        <v>46174.807569444441</v>
      </c>
      <c r="K738" s="44">
        <f>Data!S736</f>
        <v>46174.807569444441</v>
      </c>
      <c r="L738" s="45">
        <f>Data!T736</f>
        <v>4.3981481481481481E-4</v>
      </c>
      <c r="M738" s="46">
        <f>Data!U736</f>
        <v>0.29778546094894409</v>
      </c>
      <c r="N738" s="46" t="str">
        <f>CONCATENATE(Data!W736," (",Data!V736,")")</f>
        <v>Exceso de velocidad (nuevo) (Velocidad máxima: 31 kmh (Velocidad máxima en carretera: 7 kmh))</v>
      </c>
      <c r="O738" s="42" t="str">
        <f>IF(Data!V736&lt;&gt;"",N738,Data!W736)</f>
        <v>Exceso de velocidad (nuevo) (Velocidad máxima: 31 kmh (Velocidad máxima en carretera: 7 kmh))</v>
      </c>
      <c r="P738" s="47" t="str">
        <f>Data!X736</f>
        <v>Válido</v>
      </c>
    </row>
    <row r="739" spans="1:16">
      <c r="A739" s="41" t="str">
        <f>Data!A737</f>
        <v>PKU269</v>
      </c>
      <c r="B739" s="41" t="str">
        <f>Data!D737</f>
        <v>Vehicle, Diesel, Frontera Energy Col 2679</v>
      </c>
      <c r="C739" s="41">
        <f>Data!F737</f>
        <v>0</v>
      </c>
      <c r="D739" s="41">
        <f>Data!G737</f>
        <v>0</v>
      </c>
      <c r="E739" s="41">
        <f>Data!H737</f>
        <v>0</v>
      </c>
      <c r="F739" s="41">
        <f>Data!K737</f>
        <v>0</v>
      </c>
      <c r="G739" s="33" t="str">
        <f>Data!M737</f>
        <v>Exceso Velocidad 10 Km/h</v>
      </c>
      <c r="H739" s="41" t="str">
        <f>Data!P737</f>
        <v>ECOPETROL RUBIALES- Quifa - CAÑO SUR, Centralizado de combustible Quifa: Vía Sin Nombre, Puerto Gaitán, Meta, Colombia</v>
      </c>
      <c r="I739" s="42" t="str">
        <f>Data!Q737</f>
        <v>Cliente, Vel Max 40 Km/h, Vel Max 10 Km/h</v>
      </c>
      <c r="J739" s="43">
        <f>Data!S737</f>
        <v>46174.80807929398</v>
      </c>
      <c r="K739" s="44">
        <f>Data!S737</f>
        <v>46174.80807929398</v>
      </c>
      <c r="L739" s="45">
        <f>Data!T737</f>
        <v>5.0866898148148147E-4</v>
      </c>
      <c r="M739" s="46">
        <f>Data!U737</f>
        <v>0.15536722540855408</v>
      </c>
      <c r="N739" s="46" t="str">
        <f>CONCATENATE(Data!W737," (",Data!V737,")")</f>
        <v>Exceso Velocidad 10 Km/h (Velocidad máxima: 20 kmh)</v>
      </c>
      <c r="O739" s="42" t="str">
        <f>IF(Data!V737&lt;&gt;"",N739,Data!W737)</f>
        <v>Exceso Velocidad 10 Km/h (Velocidad máxima: 20 kmh)</v>
      </c>
      <c r="P739" s="47" t="str">
        <f>Data!X737</f>
        <v>Válido</v>
      </c>
    </row>
    <row r="740" spans="1:16">
      <c r="A740" s="41" t="str">
        <f>Data!A738</f>
        <v>PKU269</v>
      </c>
      <c r="B740" s="41" t="str">
        <f>Data!D738</f>
        <v>Vehicle, Diesel, Frontera Energy Col 2679</v>
      </c>
      <c r="C740" s="41">
        <f>Data!F738</f>
        <v>0</v>
      </c>
      <c r="D740" s="41">
        <f>Data!G738</f>
        <v>0</v>
      </c>
      <c r="E740" s="41">
        <f>Data!H738</f>
        <v>0</v>
      </c>
      <c r="F740" s="41">
        <f>Data!K738</f>
        <v>0</v>
      </c>
      <c r="G740" s="33" t="str">
        <f>Data!M738</f>
        <v>Tiempo en ralentí</v>
      </c>
      <c r="H740" s="41" t="str">
        <f>Data!P738</f>
        <v>ECOPETROL RUBIALES- Quifa - CAÑO SUR, Centralizado de combustible Quifa: Vía Sin Nombre, Puerto Gaitán, Meta, Colombia</v>
      </c>
      <c r="I740" s="42" t="str">
        <f>Data!Q738</f>
        <v>Cliente, Vel Max 40 Km/h, Vel Max 10 Km/h</v>
      </c>
      <c r="J740" s="43">
        <f>Data!S738</f>
        <v>46174.855219907404</v>
      </c>
      <c r="K740" s="44">
        <f>Data!S738</f>
        <v>46174.855219907404</v>
      </c>
      <c r="L740" s="45">
        <f>Data!T738</f>
        <v>1.6336805655555557E-2</v>
      </c>
      <c r="M740" s="46">
        <f>Data!U738</f>
        <v>0</v>
      </c>
      <c r="N740" s="46" t="str">
        <f>CONCATENATE(Data!W738," (",Data!V738,")")</f>
        <v>Tiempo en ralentí (Ignición: 1.00)</v>
      </c>
      <c r="O740" s="42" t="str">
        <f>IF(Data!V738&lt;&gt;"",N740,Data!W738)</f>
        <v>Tiempo en ralentí (Ignición: 1.00)</v>
      </c>
      <c r="P740" s="47" t="str">
        <f>Data!X738</f>
        <v>Válido</v>
      </c>
    </row>
    <row r="741" spans="1:16">
      <c r="A741" s="41" t="str">
        <f>Data!A739</f>
        <v>PKU269</v>
      </c>
      <c r="B741" s="41" t="str">
        <f>Data!D739</f>
        <v>Vehicle, Diesel, Frontera Energy Col 2679</v>
      </c>
      <c r="C741" s="41">
        <f>Data!F739</f>
        <v>0</v>
      </c>
      <c r="D741" s="41">
        <f>Data!G739</f>
        <v>0</v>
      </c>
      <c r="E741" s="41">
        <f>Data!H739</f>
        <v>0</v>
      </c>
      <c r="F741" s="41">
        <f>Data!K739</f>
        <v>0</v>
      </c>
      <c r="G741" s="33" t="str">
        <f>Data!M739</f>
        <v>Exceso Velocidad 10 Km/h</v>
      </c>
      <c r="H741" s="41" t="str">
        <f>Data!P739</f>
        <v>ECOPETROL RUBIALES- Quifa - CAÑO SUR, BATERIA 4: Rb 4 324 126 129 195 14 325 316 143 217 1 26 523 256 28, Meta, 502057, Colombia</v>
      </c>
      <c r="I741" s="42" t="str">
        <f>Data!Q739</f>
        <v>Cliente, Vel Max 40 Km/h, Vel Max 10 Km/h</v>
      </c>
      <c r="J741" s="43">
        <f>Data!S739</f>
        <v>46174.956872685187</v>
      </c>
      <c r="K741" s="44">
        <f>Data!S739</f>
        <v>46174.956872685187</v>
      </c>
      <c r="L741" s="45">
        <f>Data!T739</f>
        <v>1.7824074074074075E-4</v>
      </c>
      <c r="M741" s="46">
        <f>Data!U739</f>
        <v>5.041445791721344E-2</v>
      </c>
      <c r="N741" s="46" t="str">
        <f>CONCATENATE(Data!W739," (",Data!V739,")")</f>
        <v>Exceso Velocidad 10 Km/h (Velocidad máxima: 16 kmh)</v>
      </c>
      <c r="O741" s="42" t="str">
        <f>IF(Data!V739&lt;&gt;"",N741,Data!W739)</f>
        <v>Exceso Velocidad 10 Km/h (Velocidad máxima: 16 kmh)</v>
      </c>
      <c r="P741" s="47" t="str">
        <f>Data!X739</f>
        <v>Válido</v>
      </c>
    </row>
    <row r="742" spans="1:16">
      <c r="A742" s="41" t="str">
        <f>Data!A740</f>
        <v>PKU269</v>
      </c>
      <c r="B742" s="41" t="str">
        <f>Data!D740</f>
        <v>Vehicle, Diesel, Frontera Energy Col 2679</v>
      </c>
      <c r="C742" s="41">
        <f>Data!F740</f>
        <v>0</v>
      </c>
      <c r="D742" s="41">
        <f>Data!G740</f>
        <v>0</v>
      </c>
      <c r="E742" s="41">
        <f>Data!H740</f>
        <v>0</v>
      </c>
      <c r="F742" s="41">
        <f>Data!K740</f>
        <v>0</v>
      </c>
      <c r="G742" s="33" t="str">
        <f>Data!M740</f>
        <v>Exceso Velocidad 10 Km/h</v>
      </c>
      <c r="H742" s="41" t="str">
        <f>Data!P740</f>
        <v>ECOPETROL RUBIALES- Quifa - CAÑO SUR, BATERIA 4: Rb 4 324 126 129 195 14 325 316 143 217 1 26 523 256 28, Puerto Gaitán, Meta, Colombia</v>
      </c>
      <c r="I742" s="42" t="str">
        <f>Data!Q740</f>
        <v>Cliente, Vel Max 40 Km/h, Vel Max 10 Km/h</v>
      </c>
      <c r="J742" s="43">
        <f>Data!S740</f>
        <v>46174.957187499997</v>
      </c>
      <c r="K742" s="44">
        <f>Data!S740</f>
        <v>46174.957187499997</v>
      </c>
      <c r="L742" s="45">
        <f>Data!T740</f>
        <v>1.7361211111111111E-5</v>
      </c>
      <c r="M742" s="46">
        <f>Data!U740</f>
        <v>3.6376249045133591E-3</v>
      </c>
      <c r="N742" s="46" t="str">
        <f>CONCATENATE(Data!W740," (",Data!V740,")")</f>
        <v>Exceso Velocidad 10 Km/h (Velocidad máxima: 11 kmh)</v>
      </c>
      <c r="O742" s="42" t="str">
        <f>IF(Data!V740&lt;&gt;"",N742,Data!W740)</f>
        <v>Exceso Velocidad 10 Km/h (Velocidad máxima: 11 kmh)</v>
      </c>
      <c r="P742" s="47" t="str">
        <f>Data!X740</f>
        <v>Válido</v>
      </c>
    </row>
    <row r="743" spans="1:16">
      <c r="A743" s="41" t="str">
        <f>Data!A741</f>
        <v>PKU280</v>
      </c>
      <c r="B743" s="41" t="str">
        <f>Data!D741</f>
        <v>Vehicle, Diesel, Frontera Energy Col 2679</v>
      </c>
      <c r="C743" s="41">
        <f>Data!F741</f>
        <v>0</v>
      </c>
      <c r="D743" s="41">
        <f>Data!G741</f>
        <v>0</v>
      </c>
      <c r="E743" s="41">
        <f>Data!H741</f>
        <v>0</v>
      </c>
      <c r="F743" s="41">
        <f>Data!K741</f>
        <v>0</v>
      </c>
      <c r="G743" s="33" t="str">
        <f>Data!M741</f>
        <v>Exceso Velocidad 10 Km/h</v>
      </c>
      <c r="H743" s="41" t="str">
        <f>Data!P741</f>
        <v>ECOPETROL RUBIALES- Quifa - CAÑO SUR, Puerto Triunfo - Estacion Policia, PUESTRO CONTROL QUIFA: Puerto Gaitan - Rubiales, Puerto Gaitán, Meta, Colombia</v>
      </c>
      <c r="I743" s="42" t="str">
        <f>Data!Q741</f>
        <v>Cliente, Vel Max 40 Km/h, Vel Max 30 Km/h, Vel Max 10 Km/h</v>
      </c>
      <c r="J743" s="43">
        <f>Data!S741</f>
        <v>46174.233370231479</v>
      </c>
      <c r="K743" s="44">
        <f>Data!S741</f>
        <v>46174.233370231479</v>
      </c>
      <c r="L743" s="45">
        <f>Data!T741</f>
        <v>3.3571759259259259E-4</v>
      </c>
      <c r="M743" s="46">
        <f>Data!U741</f>
        <v>0.18361158668994904</v>
      </c>
      <c r="N743" s="46" t="str">
        <f>CONCATENATE(Data!W741," (",Data!V741,")")</f>
        <v>Exceso Velocidad 10 Km/h (Velocidad máxima: 24 kmh)</v>
      </c>
      <c r="O743" s="42" t="str">
        <f>IF(Data!V741&lt;&gt;"",N743,Data!W741)</f>
        <v>Exceso Velocidad 10 Km/h (Velocidad máxima: 24 kmh)</v>
      </c>
      <c r="P743" s="47" t="str">
        <f>Data!X741</f>
        <v>Válido</v>
      </c>
    </row>
    <row r="744" spans="1:16">
      <c r="A744" s="41" t="str">
        <f>Data!A742</f>
        <v>PKU280</v>
      </c>
      <c r="B744" s="41" t="str">
        <f>Data!D742</f>
        <v>Vehicle, Diesel, Frontera Energy Col 2679</v>
      </c>
      <c r="C744" s="41">
        <f>Data!F742</f>
        <v>0</v>
      </c>
      <c r="D744" s="41">
        <f>Data!G742</f>
        <v>0</v>
      </c>
      <c r="E744" s="41">
        <f>Data!H742</f>
        <v>0</v>
      </c>
      <c r="F744" s="41">
        <f>Data!K742</f>
        <v>0</v>
      </c>
      <c r="G744" s="33" t="str">
        <f>Data!M742</f>
        <v>Exceso Velocidad 30 Km/h</v>
      </c>
      <c r="H744" s="41" t="str">
        <f>Data!P742</f>
        <v>ECOPETROL RUBIALES- Quifa - CAÑO SUR, Puerto Triunfo - Estacion Policia: Puerto Gaitan - Rubiales, Puerto Gaitán, Meta, Colombia</v>
      </c>
      <c r="I744" s="42" t="str">
        <f>Data!Q742</f>
        <v>Cliente, Vel Max 40 Km/h, Vel Max 30 Km/h</v>
      </c>
      <c r="J744" s="43">
        <f>Data!S742</f>
        <v>46174.234930555554</v>
      </c>
      <c r="K744" s="44">
        <f>Data!S742</f>
        <v>46174.234930555554</v>
      </c>
      <c r="L744" s="45">
        <f>Data!T742</f>
        <v>1.0416666666666667E-4</v>
      </c>
      <c r="M744" s="46">
        <f>Data!U742</f>
        <v>7.8733667731285095E-2</v>
      </c>
      <c r="N744" s="46" t="str">
        <f>CONCATENATE(Data!W742," (",Data!V742,")")</f>
        <v>Exceso Velocidad 30 Km/h (Velocidad máxima: 31 kmh)</v>
      </c>
      <c r="O744" s="42" t="str">
        <f>IF(Data!V742&lt;&gt;"",N744,Data!W742)</f>
        <v>Exceso Velocidad 30 Km/h (Velocidad máxima: 31 kmh)</v>
      </c>
      <c r="P744" s="47" t="str">
        <f>Data!X742</f>
        <v>Válido</v>
      </c>
    </row>
    <row r="745" spans="1:16">
      <c r="A745" s="41" t="str">
        <f>Data!A743</f>
        <v>PKU280</v>
      </c>
      <c r="B745" s="41" t="str">
        <f>Data!D743</f>
        <v>Vehicle, Diesel, Frontera Energy Col 2679</v>
      </c>
      <c r="C745" s="41">
        <f>Data!F743</f>
        <v>0</v>
      </c>
      <c r="D745" s="41">
        <f>Data!G743</f>
        <v>0</v>
      </c>
      <c r="E745" s="41">
        <f>Data!H743</f>
        <v>0</v>
      </c>
      <c r="F745" s="41">
        <f>Data!K743</f>
        <v>0</v>
      </c>
      <c r="G745" s="33" t="str">
        <f>Data!M743</f>
        <v>Exceso Velocidad 10 Km/h</v>
      </c>
      <c r="H745" s="41" t="str">
        <f>Data!P743</f>
        <v>CAMPAMENTO QUIFA, ECOPETROL RUBIALES- Quifa - CAÑO SUR, Puerto Gaitan - Rubiales, Puerto Gaitán, Meta, Colombia, Campamento Quifa - CMA: Ent. CAMPAMENTO, Puerto Gaitán, Meta, Colombia</v>
      </c>
      <c r="I745" s="42" t="str">
        <f>Data!Q743</f>
        <v>Vel Max 10 Km/h, Cliente, Vel Max 40 Km/h, Centro de servicios del proveedor</v>
      </c>
      <c r="J745" s="43">
        <f>Data!S743</f>
        <v>46174.23608101852</v>
      </c>
      <c r="K745" s="44">
        <f>Data!S743</f>
        <v>46174.23608101852</v>
      </c>
      <c r="L745" s="45">
        <f>Data!T743</f>
        <v>1.1111111111111112E-4</v>
      </c>
      <c r="M745" s="46">
        <f>Data!U743</f>
        <v>3.0027903616428375E-2</v>
      </c>
      <c r="N745" s="46" t="str">
        <f>CONCATENATE(Data!W743," (",Data!V743,")")</f>
        <v>Exceso Velocidad 10 Km/h (Velocidad máxima: 12 kmh)</v>
      </c>
      <c r="O745" s="42" t="str">
        <f>IF(Data!V743&lt;&gt;"",N745,Data!W743)</f>
        <v>Exceso Velocidad 10 Km/h (Velocidad máxima: 12 kmh)</v>
      </c>
      <c r="P745" s="47" t="str">
        <f>Data!X743</f>
        <v>Válido</v>
      </c>
    </row>
    <row r="746" spans="1:16">
      <c r="A746" s="41" t="str">
        <f>Data!A744</f>
        <v>PKU280</v>
      </c>
      <c r="B746" s="41" t="str">
        <f>Data!D744</f>
        <v>Vehicle, Diesel, Frontera Energy Col 2679</v>
      </c>
      <c r="C746" s="41">
        <f>Data!F744</f>
        <v>0</v>
      </c>
      <c r="D746" s="41">
        <f>Data!G744</f>
        <v>0</v>
      </c>
      <c r="E746" s="41">
        <f>Data!H744</f>
        <v>0</v>
      </c>
      <c r="F746" s="41">
        <f>Data!K744</f>
        <v>0</v>
      </c>
      <c r="G746" s="33" t="str">
        <f>Data!M744</f>
        <v>Exceso Velocidad 10 Km/h</v>
      </c>
      <c r="H746" s="41" t="str">
        <f>Data!P744</f>
        <v>ECOPETROL RUBIALES- Quifa - CAÑO SUR, Puerto Triunfo - Estacion Policia, PUESTRO CONTROL QUIFA: Puerto Gaitan - Rubiales, Puerto Gaitán, Meta, Colombia</v>
      </c>
      <c r="I746" s="42" t="str">
        <f>Data!Q744</f>
        <v>Cliente, Vel Max 40 Km/h, Vel Max 30 Km/h, Vel Max 10 Km/h</v>
      </c>
      <c r="J746" s="43">
        <f>Data!S744</f>
        <v>46174.26300486111</v>
      </c>
      <c r="K746" s="44">
        <f>Data!S744</f>
        <v>46174.26300486111</v>
      </c>
      <c r="L746" s="45">
        <f>Data!T744</f>
        <v>3.0839120370370368E-4</v>
      </c>
      <c r="M746" s="46">
        <f>Data!U744</f>
        <v>0.1831982433795929</v>
      </c>
      <c r="N746" s="46" t="str">
        <f>CONCATENATE(Data!W744," (",Data!V744,")")</f>
        <v>Exceso Velocidad 10 Km/h (Velocidad máxima: 27 kmh)</v>
      </c>
      <c r="O746" s="42" t="str">
        <f>IF(Data!V744&lt;&gt;"",N746,Data!W744)</f>
        <v>Exceso Velocidad 10 Km/h (Velocidad máxima: 27 kmh)</v>
      </c>
      <c r="P746" s="47" t="str">
        <f>Data!X744</f>
        <v>Válido</v>
      </c>
    </row>
    <row r="747" spans="1:16">
      <c r="A747" s="41" t="str">
        <f>Data!A745</f>
        <v>PKU280</v>
      </c>
      <c r="B747" s="41" t="str">
        <f>Data!D745</f>
        <v>Vehicle, Diesel, Frontera Energy Col 2679</v>
      </c>
      <c r="C747" s="41">
        <f>Data!F745</f>
        <v>0</v>
      </c>
      <c r="D747" s="41">
        <f>Data!G745</f>
        <v>0</v>
      </c>
      <c r="E747" s="41">
        <f>Data!H745</f>
        <v>0</v>
      </c>
      <c r="F747" s="41">
        <f>Data!K745</f>
        <v>0</v>
      </c>
      <c r="G747" s="33" t="str">
        <f>Data!M745</f>
        <v>Tiempo en ralentí</v>
      </c>
      <c r="H747" s="41" t="str">
        <f>Data!P745</f>
        <v>ECOPETROL RUBIALES- Quifa - CAÑO SUR, Puerto Triunfo - Estacion Policia: Puerto Gaitan - Rubiales, Puerto Gaitán, Meta, Colombia</v>
      </c>
      <c r="I747" s="42" t="str">
        <f>Data!Q745</f>
        <v>Cliente, Vel Max 40 Km/h, Vel Max 30 Km/h</v>
      </c>
      <c r="J747" s="43">
        <f>Data!S745</f>
        <v>46174.26766203704</v>
      </c>
      <c r="K747" s="44">
        <f>Data!S745</f>
        <v>46174.26766203704</v>
      </c>
      <c r="L747" s="45">
        <f>Data!T745</f>
        <v>6.9791666666666665E-3</v>
      </c>
      <c r="M747" s="46">
        <f>Data!U745</f>
        <v>0</v>
      </c>
      <c r="N747" s="46" t="str">
        <f>CONCATENATE(Data!W745," (",Data!V745,")")</f>
        <v>Tiempo en ralentí (Ignición: 1.00)</v>
      </c>
      <c r="O747" s="42" t="str">
        <f>IF(Data!V745&lt;&gt;"",N747,Data!W745)</f>
        <v>Tiempo en ralentí (Ignición: 1.00)</v>
      </c>
      <c r="P747" s="47" t="str">
        <f>Data!X745</f>
        <v>Válido</v>
      </c>
    </row>
    <row r="748" spans="1:16">
      <c r="A748" s="41" t="str">
        <f>Data!A746</f>
        <v>PKU280</v>
      </c>
      <c r="B748" s="41" t="str">
        <f>Data!D746</f>
        <v>Vehicle, Diesel, Frontera Energy Col 2679</v>
      </c>
      <c r="C748" s="41">
        <f>Data!F746</f>
        <v>0</v>
      </c>
      <c r="D748" s="41">
        <f>Data!G746</f>
        <v>0</v>
      </c>
      <c r="E748" s="41">
        <f>Data!H746</f>
        <v>0</v>
      </c>
      <c r="F748" s="41">
        <f>Data!K746</f>
        <v>0</v>
      </c>
      <c r="G748" s="33" t="str">
        <f>Data!M746</f>
        <v>Exceso Velocidad 10 Km/h</v>
      </c>
      <c r="H748" s="41" t="str">
        <f>Data!P746</f>
        <v>ECOPETROL RUBIALES- Quifa - CAÑO SUR, Puerto Triunfo - Estacion Policia, PUESTRO CONTROL QUIFA: Puerto Gaitan - Rubiales, Puerto Gaitán, Meta, Colombia</v>
      </c>
      <c r="I748" s="42" t="str">
        <f>Data!Q746</f>
        <v>Cliente, Vel Max 40 Km/h, Vel Max 30 Km/h, Vel Max 10 Km/h</v>
      </c>
      <c r="J748" s="43">
        <f>Data!S746</f>
        <v>46174.291047118058</v>
      </c>
      <c r="K748" s="44">
        <f>Data!S746</f>
        <v>46174.291047118058</v>
      </c>
      <c r="L748" s="45">
        <f>Data!T746</f>
        <v>3.0355324074074074E-4</v>
      </c>
      <c r="M748" s="46">
        <f>Data!U746</f>
        <v>0.1828467845916748</v>
      </c>
      <c r="N748" s="46" t="str">
        <f>CONCATENATE(Data!W746," (",Data!V746,")")</f>
        <v>Exceso Velocidad 10 Km/h (Velocidad máxima: 26 kmh)</v>
      </c>
      <c r="O748" s="42" t="str">
        <f>IF(Data!V746&lt;&gt;"",N748,Data!W746)</f>
        <v>Exceso Velocidad 10 Km/h (Velocidad máxima: 26 kmh)</v>
      </c>
      <c r="P748" s="47" t="str">
        <f>Data!X746</f>
        <v>Válido</v>
      </c>
    </row>
    <row r="749" spans="1:16">
      <c r="A749" s="41" t="str">
        <f>Data!A747</f>
        <v>PKU280</v>
      </c>
      <c r="B749" s="41" t="str">
        <f>Data!D747</f>
        <v>Vehicle, Diesel, Frontera Energy Col 2679</v>
      </c>
      <c r="C749" s="41">
        <f>Data!F747</f>
        <v>0</v>
      </c>
      <c r="D749" s="41">
        <f>Data!G747</f>
        <v>0</v>
      </c>
      <c r="E749" s="41">
        <f>Data!H747</f>
        <v>0</v>
      </c>
      <c r="F749" s="41">
        <f>Data!K747</f>
        <v>0</v>
      </c>
      <c r="G749" s="33" t="str">
        <f>Data!M747</f>
        <v>Exceso Velocidad 10 Km/h</v>
      </c>
      <c r="H749" s="41" t="str">
        <f>Data!P747</f>
        <v>CAMPAMENTO QUIFA, ECOPETROL RUBIALES- Quifa - CAÑO SUR, Puerto Gaitan - Rubiales, Puerto Gaitán, Meta, Colombia, Puerto Triunfo - Estacion Policia: Ent. CAMPAMENTO, Puerto Gaitán, Meta, Colombia</v>
      </c>
      <c r="I749" s="42" t="str">
        <f>Data!Q747</f>
        <v>Vel Max 10 Km/h, Cliente, Vel Max 40 Km/h, Centro de servicios del proveedor, Vel Max 30 Km/h</v>
      </c>
      <c r="J749" s="43">
        <f>Data!S747</f>
        <v>46174.293493333331</v>
      </c>
      <c r="K749" s="44">
        <f>Data!S747</f>
        <v>46174.293493333331</v>
      </c>
      <c r="L749" s="45">
        <f>Data!T747</f>
        <v>1.7175925925925926E-5</v>
      </c>
      <c r="M749" s="46">
        <f>Data!U747</f>
        <v>7.9478109255433083E-3</v>
      </c>
      <c r="N749" s="46" t="str">
        <f>CONCATENATE(Data!W747," (",Data!V747,")")</f>
        <v>Exceso Velocidad 10 Km/h (Velocidad máxima: 16 kmh)</v>
      </c>
      <c r="O749" s="42" t="str">
        <f>IF(Data!V747&lt;&gt;"",N749,Data!W747)</f>
        <v>Exceso Velocidad 10 Km/h (Velocidad máxima: 16 kmh)</v>
      </c>
      <c r="P749" s="47" t="str">
        <f>Data!X747</f>
        <v>Válido</v>
      </c>
    </row>
    <row r="750" spans="1:16">
      <c r="A750" s="41" t="str">
        <f>Data!A748</f>
        <v>PKU280</v>
      </c>
      <c r="B750" s="41" t="str">
        <f>Data!D748</f>
        <v>Vehicle, Diesel, Frontera Energy Col 2679</v>
      </c>
      <c r="C750" s="41">
        <f>Data!F748</f>
        <v>0</v>
      </c>
      <c r="D750" s="41">
        <f>Data!G748</f>
        <v>0</v>
      </c>
      <c r="E750" s="41">
        <f>Data!H748</f>
        <v>0</v>
      </c>
      <c r="F750" s="41">
        <f>Data!K748</f>
        <v>0</v>
      </c>
      <c r="G750" s="33" t="str">
        <f>Data!M748</f>
        <v>Exceso Velocidad 10 Km/h</v>
      </c>
      <c r="H750" s="41" t="str">
        <f>Data!P748</f>
        <v>CAMPAMENTO QUIFA, ECOPETROL RUBIALES- Quifa - CAÑO SUR, Puerto Gaitan - Rubiales, Puerto Gaitán, Meta, Colombia, Puerto Triunfo - Estacion Policia: Puerto Gaitan - Rubiales, Puerto Gaitán, Meta, Colombia</v>
      </c>
      <c r="I750" s="42" t="str">
        <f>Data!Q748</f>
        <v>Vel Max 10 Km/h, Cliente, Vel Max 40 Km/h, Centro de servicios del proveedor, Vel Max 30 Km/h</v>
      </c>
      <c r="J750" s="43">
        <f>Data!S748</f>
        <v>46174.293541666666</v>
      </c>
      <c r="K750" s="44">
        <f>Data!S748</f>
        <v>46174.293541666666</v>
      </c>
      <c r="L750" s="45">
        <f>Data!T748</f>
        <v>1.2942129629629629E-4</v>
      </c>
      <c r="M750" s="46">
        <f>Data!U748</f>
        <v>5.0172466784715652E-2</v>
      </c>
      <c r="N750" s="46" t="str">
        <f>CONCATENATE(Data!W748," (",Data!V748,")")</f>
        <v>Exceso Velocidad 10 Km/h (Velocidad máxima: 18 kmh)</v>
      </c>
      <c r="O750" s="42" t="str">
        <f>IF(Data!V748&lt;&gt;"",N750,Data!W748)</f>
        <v>Exceso Velocidad 10 Km/h (Velocidad máxima: 18 kmh)</v>
      </c>
      <c r="P750" s="47" t="str">
        <f>Data!X748</f>
        <v>Válido</v>
      </c>
    </row>
    <row r="751" spans="1:16">
      <c r="A751" s="41" t="str">
        <f>Data!A749</f>
        <v>PKU280</v>
      </c>
      <c r="B751" s="41" t="str">
        <f>Data!D749</f>
        <v>Vehicle, Diesel, Frontera Energy Col 2679</v>
      </c>
      <c r="C751" s="41">
        <f>Data!F749</f>
        <v>0</v>
      </c>
      <c r="D751" s="41">
        <f>Data!G749</f>
        <v>0</v>
      </c>
      <c r="E751" s="41">
        <f>Data!H749</f>
        <v>0</v>
      </c>
      <c r="F751" s="41">
        <f>Data!K749</f>
        <v>0</v>
      </c>
      <c r="G751" s="33" t="str">
        <f>Data!M749</f>
        <v>Exceso Velocidad 10 Km/h</v>
      </c>
      <c r="H751" s="41" t="str">
        <f>Data!P749</f>
        <v>CAMPAMENTO QUIFA, ECOPETROL RUBIALES- Quifa - CAÑO SUR, Puerto Triunfo - Estacion Policia: Puerto Gaitan - Rubiales, Puerto Gaitán, Meta, Colombia</v>
      </c>
      <c r="I751" s="42" t="str">
        <f>Data!Q749</f>
        <v>Vel Max 10 Km/h, Cliente, Vel Max 40 Km/h, Vel Max 30 Km/h</v>
      </c>
      <c r="J751" s="43">
        <f>Data!S749</f>
        <v>46174.293726851851</v>
      </c>
      <c r="K751" s="44">
        <f>Data!S749</f>
        <v>46174.293726851851</v>
      </c>
      <c r="L751" s="45">
        <f>Data!T749</f>
        <v>9.0914351851851857E-5</v>
      </c>
      <c r="M751" s="46">
        <f>Data!U749</f>
        <v>4.0818806737661362E-2</v>
      </c>
      <c r="N751" s="46" t="str">
        <f>CONCATENATE(Data!W749," (",Data!V749,")")</f>
        <v>Exceso Velocidad 10 Km/h (Velocidad máxima: 20 kmh)</v>
      </c>
      <c r="O751" s="42" t="str">
        <f>IF(Data!V749&lt;&gt;"",N751,Data!W749)</f>
        <v>Exceso Velocidad 10 Km/h (Velocidad máxima: 20 kmh)</v>
      </c>
      <c r="P751" s="47" t="str">
        <f>Data!X749</f>
        <v>Válido</v>
      </c>
    </row>
    <row r="752" spans="1:16">
      <c r="A752" s="41" t="str">
        <f>Data!A750</f>
        <v>PKU280</v>
      </c>
      <c r="B752" s="41" t="str">
        <f>Data!D750</f>
        <v>Vehicle, Diesel, Frontera Energy Col 2679</v>
      </c>
      <c r="C752" s="41">
        <f>Data!F750</f>
        <v>0</v>
      </c>
      <c r="D752" s="41">
        <f>Data!G750</f>
        <v>0</v>
      </c>
      <c r="E752" s="41">
        <f>Data!H750</f>
        <v>0</v>
      </c>
      <c r="F752" s="41">
        <f>Data!K750</f>
        <v>0</v>
      </c>
      <c r="G752" s="33" t="str">
        <f>Data!M750</f>
        <v>Giro brusco</v>
      </c>
      <c r="H752" s="41" t="str">
        <f>Data!P750</f>
        <v>ECOPETROL RUBIALES- Quifa - CAÑO SUR, Puerto Triunfo - Estacion Policia: Puerto Gaitan - Rubiales, Puerto Gaitán, Meta, Colombia</v>
      </c>
      <c r="I752" s="42" t="str">
        <f>Data!Q750</f>
        <v>Cliente, Vel Max 40 Km/h, Vel Max 30 Km/h</v>
      </c>
      <c r="J752" s="43">
        <f>Data!S750</f>
        <v>46174.294615486113</v>
      </c>
      <c r="K752" s="44">
        <f>Data!S750</f>
        <v>46174.294615486113</v>
      </c>
      <c r="L752" s="45">
        <f>Data!T750</f>
        <v>1.0532407407407408E-6</v>
      </c>
      <c r="M752" s="46">
        <f>Data!U750</f>
        <v>1.4880055096000433E-4</v>
      </c>
      <c r="N752" s="46" t="str">
        <f>CONCATENATE(Data!W750," (",Data!V750,")")</f>
        <v>Giro brusco (Velocidad máxima: 8 kmh Aceleración de lado a lado: -0.52 g-force, Ignición: 1.00)</v>
      </c>
      <c r="O752" s="42" t="str">
        <f>IF(Data!V750&lt;&gt;"",N752,Data!W750)</f>
        <v>Giro brusco (Velocidad máxima: 8 kmh Aceleración de lado a lado: -0.52 g-force, Ignición: 1.00)</v>
      </c>
      <c r="P752" s="47" t="str">
        <f>Data!X750</f>
        <v>Válido</v>
      </c>
    </row>
    <row r="753" spans="1:16">
      <c r="A753" s="41" t="str">
        <f>Data!A751</f>
        <v>PKU280</v>
      </c>
      <c r="B753" s="41" t="str">
        <f>Data!D751</f>
        <v>Vehicle, Diesel, Frontera Energy Col 2679</v>
      </c>
      <c r="C753" s="41">
        <f>Data!F751</f>
        <v>0</v>
      </c>
      <c r="D753" s="41">
        <f>Data!G751</f>
        <v>0</v>
      </c>
      <c r="E753" s="41">
        <f>Data!H751</f>
        <v>0</v>
      </c>
      <c r="F753" s="41">
        <f>Data!K751</f>
        <v>0</v>
      </c>
      <c r="G753" s="33" t="str">
        <f>Data!M751</f>
        <v>Exceso Velocidad 10 Km/h</v>
      </c>
      <c r="H753" s="41" t="str">
        <f>Data!P751</f>
        <v>CAMPAMENTO QUIFA, ECOPETROL RUBIALES- Quifa - CAÑO SUR, Puerto Triunfo - Estacion Policia: Puerto Gaitan - Rubiales, Puerto Gaitán, Meta, Colombia</v>
      </c>
      <c r="I753" s="42" t="str">
        <f>Data!Q751</f>
        <v>Vel Max 10 Km/h, Cliente, Vel Max 40 Km/h, Vel Max 30 Km/h</v>
      </c>
      <c r="J753" s="43">
        <f>Data!S751</f>
        <v>46174.303738946757</v>
      </c>
      <c r="K753" s="44">
        <f>Data!S751</f>
        <v>46174.303738946757</v>
      </c>
      <c r="L753" s="45">
        <f>Data!T751</f>
        <v>7.8182870370370372E-5</v>
      </c>
      <c r="M753" s="46">
        <f>Data!U751</f>
        <v>2.9827231541275978E-2</v>
      </c>
      <c r="N753" s="46" t="str">
        <f>CONCATENATE(Data!W751," (",Data!V751,")")</f>
        <v>Exceso Velocidad 10 Km/h (Velocidad máxima: 22 kmh)</v>
      </c>
      <c r="O753" s="42" t="str">
        <f>IF(Data!V751&lt;&gt;"",N753,Data!W751)</f>
        <v>Exceso Velocidad 10 Km/h (Velocidad máxima: 22 kmh)</v>
      </c>
      <c r="P753" s="47" t="str">
        <f>Data!X751</f>
        <v>Válido</v>
      </c>
    </row>
    <row r="754" spans="1:16">
      <c r="A754" s="41" t="str">
        <f>Data!A752</f>
        <v>PKU280</v>
      </c>
      <c r="B754" s="41" t="str">
        <f>Data!D752</f>
        <v>Vehicle, Diesel, Frontera Energy Col 2679</v>
      </c>
      <c r="C754" s="41">
        <f>Data!F752</f>
        <v>0</v>
      </c>
      <c r="D754" s="41">
        <f>Data!G752</f>
        <v>0</v>
      </c>
      <c r="E754" s="41">
        <f>Data!H752</f>
        <v>0</v>
      </c>
      <c r="F754" s="41">
        <f>Data!K752</f>
        <v>0</v>
      </c>
      <c r="G754" s="33" t="str">
        <f>Data!M752</f>
        <v>Exceso Velocidad 10 Km/h</v>
      </c>
      <c r="H754" s="41" t="str">
        <f>Data!P752</f>
        <v>CAMPAMENTO QUIFA, ECOPETROL RUBIALES- Quifa - CAÑO SUR, Puerto Triunfo - Estacion Policia: Puerto Gaitan - Rubiales, Puerto Gaitán, Meta, Colombia</v>
      </c>
      <c r="I754" s="42" t="str">
        <f>Data!Q752</f>
        <v>Vel Max 10 Km/h, Cliente, Vel Max 40 Km/h, Vel Max 30 Km/h</v>
      </c>
      <c r="J754" s="43">
        <f>Data!S752</f>
        <v>46174.303854166668</v>
      </c>
      <c r="K754" s="44">
        <f>Data!S752</f>
        <v>46174.303854166668</v>
      </c>
      <c r="L754" s="45">
        <f>Data!T752</f>
        <v>1.8885416666666668E-4</v>
      </c>
      <c r="M754" s="46">
        <f>Data!U752</f>
        <v>7.4690744280815125E-2</v>
      </c>
      <c r="N754" s="46" t="str">
        <f>CONCATENATE(Data!W752," (",Data!V752,")")</f>
        <v>Exceso Velocidad 10 Km/h (Velocidad máxima: 20 kmh)</v>
      </c>
      <c r="O754" s="42" t="str">
        <f>IF(Data!V752&lt;&gt;"",N754,Data!W752)</f>
        <v>Exceso Velocidad 10 Km/h (Velocidad máxima: 20 kmh)</v>
      </c>
      <c r="P754" s="47" t="str">
        <f>Data!X752</f>
        <v>Válido</v>
      </c>
    </row>
    <row r="755" spans="1:16">
      <c r="A755" s="41" t="str">
        <f>Data!A753</f>
        <v>PKU280</v>
      </c>
      <c r="B755" s="41" t="str">
        <f>Data!D753</f>
        <v>Vehicle, Diesel, Frontera Energy Col 2679</v>
      </c>
      <c r="C755" s="41">
        <f>Data!F753</f>
        <v>0</v>
      </c>
      <c r="D755" s="41">
        <f>Data!G753</f>
        <v>0</v>
      </c>
      <c r="E755" s="41">
        <f>Data!H753</f>
        <v>0</v>
      </c>
      <c r="F755" s="41">
        <f>Data!K753</f>
        <v>0</v>
      </c>
      <c r="G755" s="33" t="str">
        <f>Data!M753</f>
        <v>Exceso Velocidad 10 Km/h</v>
      </c>
      <c r="H755" s="41" t="str">
        <f>Data!P753</f>
        <v>ECOPETROL RUBIALES- Quifa - CAÑO SUR, Puerto Triunfo - Estacion Policia, PUESTRO CONTROL QUIFA: Puerto Gaitan - Rubiales, Puerto Gaitán, Meta, Colombia</v>
      </c>
      <c r="I755" s="42" t="str">
        <f>Data!Q753</f>
        <v>Cliente, Vel Max 40 Km/h, Vel Max 30 Km/h, Vel Max 10 Km/h</v>
      </c>
      <c r="J755" s="43">
        <f>Data!S753</f>
        <v>46174.306274467592</v>
      </c>
      <c r="K755" s="44">
        <f>Data!S753</f>
        <v>46174.306274467592</v>
      </c>
      <c r="L755" s="45">
        <f>Data!T753</f>
        <v>3.3893518518518517E-4</v>
      </c>
      <c r="M755" s="46">
        <f>Data!U753</f>
        <v>0.18281686305999756</v>
      </c>
      <c r="N755" s="46" t="str">
        <f>CONCATENATE(Data!W753," (",Data!V753,")")</f>
        <v>Exceso Velocidad 10 Km/h (Velocidad máxima: 24 kmh)</v>
      </c>
      <c r="O755" s="42" t="str">
        <f>IF(Data!V753&lt;&gt;"",N755,Data!W753)</f>
        <v>Exceso Velocidad 10 Km/h (Velocidad máxima: 24 kmh)</v>
      </c>
      <c r="P755" s="47" t="str">
        <f>Data!X753</f>
        <v>Válido</v>
      </c>
    </row>
    <row r="756" spans="1:16">
      <c r="A756" s="41" t="str">
        <f>Data!A754</f>
        <v>PKU280</v>
      </c>
      <c r="B756" s="41" t="str">
        <f>Data!D754</f>
        <v>Vehicle, Diesel, Frontera Energy Col 2679</v>
      </c>
      <c r="C756" s="41">
        <f>Data!F754</f>
        <v>0</v>
      </c>
      <c r="D756" s="41">
        <f>Data!G754</f>
        <v>0</v>
      </c>
      <c r="E756" s="41">
        <f>Data!H754</f>
        <v>0</v>
      </c>
      <c r="F756" s="41">
        <f>Data!K754</f>
        <v>0</v>
      </c>
      <c r="G756" s="33" t="str">
        <f>Data!M754</f>
        <v>Giro brusco</v>
      </c>
      <c r="H756" s="41" t="str">
        <f>Data!P754</f>
        <v>ECOPETROL RUBIALES- Quifa - CAÑO SUR: Alto Neblinas, Puerto Gaitán, Meta, Colombia</v>
      </c>
      <c r="I756" s="42" t="str">
        <f>Data!Q754</f>
        <v>Cliente, Vel Max 40 Km/h</v>
      </c>
      <c r="J756" s="43">
        <f>Data!S754</f>
        <v>46174.348861585648</v>
      </c>
      <c r="K756" s="44">
        <f>Data!S754</f>
        <v>46174.348861585648</v>
      </c>
      <c r="L756" s="45">
        <f>Data!T754</f>
        <v>1.3541666666666667E-6</v>
      </c>
      <c r="M756" s="46">
        <f>Data!U754</f>
        <v>8.7359303142875433E-4</v>
      </c>
      <c r="N756" s="46" t="str">
        <f>CONCATENATE(Data!W754," (",Data!V754,")")</f>
        <v>Giro brusco (Velocidad máxima: 25 kmh Aceleración de lado a lado: -0.64 g-force, Ignición: 1.00)</v>
      </c>
      <c r="O756" s="42" t="str">
        <f>IF(Data!V754&lt;&gt;"",N756,Data!W754)</f>
        <v>Giro brusco (Velocidad máxima: 25 kmh Aceleración de lado a lado: -0.64 g-force, Ignición: 1.00)</v>
      </c>
      <c r="P756" s="47" t="str">
        <f>Data!X754</f>
        <v>Válido</v>
      </c>
    </row>
    <row r="757" spans="1:16">
      <c r="A757" s="41" t="str">
        <f>Data!A755</f>
        <v>PKU280</v>
      </c>
      <c r="B757" s="41" t="str">
        <f>Data!D755</f>
        <v>Vehicle, Diesel, Frontera Energy Col 2679</v>
      </c>
      <c r="C757" s="41">
        <f>Data!F755</f>
        <v>0</v>
      </c>
      <c r="D757" s="41">
        <f>Data!G755</f>
        <v>0</v>
      </c>
      <c r="E757" s="41">
        <f>Data!H755</f>
        <v>0</v>
      </c>
      <c r="F757" s="41">
        <f>Data!K755</f>
        <v>0</v>
      </c>
      <c r="G757" s="33" t="str">
        <f>Data!M755</f>
        <v>Giro brusco</v>
      </c>
      <c r="H757" s="41" t="str">
        <f>Data!P755</f>
        <v>ECOPETROL RUBIALES- Quifa - CAÑO SUR: Alto Neblinas, Puerto Gaitán, Meta, Colombia</v>
      </c>
      <c r="I757" s="42" t="str">
        <f>Data!Q755</f>
        <v>Cliente, Vel Max 40 Km/h</v>
      </c>
      <c r="J757" s="43">
        <f>Data!S755</f>
        <v>46174.348868032408</v>
      </c>
      <c r="K757" s="44">
        <f>Data!S755</f>
        <v>46174.348868032408</v>
      </c>
      <c r="L757" s="45">
        <f>Data!T755</f>
        <v>3.8194444444444445E-7</v>
      </c>
      <c r="M757" s="46">
        <f>Data!U755</f>
        <v>2.4639803450554609E-4</v>
      </c>
      <c r="N757" s="46" t="str">
        <f>CONCATENATE(Data!W755," (",Data!V755,")")</f>
        <v>Giro brusco (Velocidad máxima: 24 kmh Aceleración de lado a lado: -0.51 g-force, Ignición: 1.00)</v>
      </c>
      <c r="O757" s="42" t="str">
        <f>IF(Data!V755&lt;&gt;"",N757,Data!W755)</f>
        <v>Giro brusco (Velocidad máxima: 24 kmh Aceleración de lado a lado: -0.51 g-force, Ignición: 1.00)</v>
      </c>
      <c r="P757" s="47" t="str">
        <f>Data!X755</f>
        <v>Válido</v>
      </c>
    </row>
    <row r="758" spans="1:16">
      <c r="A758" s="41" t="str">
        <f>Data!A756</f>
        <v>PKU280</v>
      </c>
      <c r="B758" s="41" t="str">
        <f>Data!D756</f>
        <v>Vehicle, Diesel, Frontera Energy Col 2679</v>
      </c>
      <c r="C758" s="41">
        <f>Data!F756</f>
        <v>0</v>
      </c>
      <c r="D758" s="41">
        <f>Data!G756</f>
        <v>0</v>
      </c>
      <c r="E758" s="41">
        <f>Data!H756</f>
        <v>0</v>
      </c>
      <c r="F758" s="41">
        <f>Data!K756</f>
        <v>0</v>
      </c>
      <c r="G758" s="33" t="str">
        <f>Data!M756</f>
        <v>Tiempo en ralentí</v>
      </c>
      <c r="H758" s="41" t="str">
        <f>Data!P756</f>
        <v>ECOPETROL RUBIALES- Quifa - CAÑO SUR: Vía Sin Nombre, Puerto Gaitán, Meta, Colombia</v>
      </c>
      <c r="I758" s="42" t="str">
        <f>Data!Q756</f>
        <v>Cliente, Vel Max 40 Km/h</v>
      </c>
      <c r="J758" s="43">
        <f>Data!S756</f>
        <v>46174.352187500001</v>
      </c>
      <c r="K758" s="44">
        <f>Data!S756</f>
        <v>46174.352187500001</v>
      </c>
      <c r="L758" s="45">
        <f>Data!T756</f>
        <v>1.4907407407407407E-2</v>
      </c>
      <c r="M758" s="46">
        <f>Data!U756</f>
        <v>0</v>
      </c>
      <c r="N758" s="46" t="str">
        <f>CONCATENATE(Data!W756," (",Data!V756,")")</f>
        <v>Tiempo en ralentí (Ignición: 1.00)</v>
      </c>
      <c r="O758" s="42" t="str">
        <f>IF(Data!V756&lt;&gt;"",N758,Data!W756)</f>
        <v>Tiempo en ralentí (Ignición: 1.00)</v>
      </c>
      <c r="P758" s="47" t="str">
        <f>Data!X756</f>
        <v>Válido</v>
      </c>
    </row>
    <row r="759" spans="1:16">
      <c r="A759" s="41" t="str">
        <f>Data!A757</f>
        <v>PKU280</v>
      </c>
      <c r="B759" s="41" t="str">
        <f>Data!D757</f>
        <v>Vehicle, Diesel, Frontera Energy Col 2679</v>
      </c>
      <c r="C759" s="41">
        <f>Data!F757</f>
        <v>0</v>
      </c>
      <c r="D759" s="41">
        <f>Data!G757</f>
        <v>0</v>
      </c>
      <c r="E759" s="41">
        <f>Data!H757</f>
        <v>0</v>
      </c>
      <c r="F759" s="41">
        <f>Data!K757</f>
        <v>0</v>
      </c>
      <c r="G759" s="33" t="str">
        <f>Data!M757</f>
        <v>Exceso Velocidad 20 Km/h</v>
      </c>
      <c r="H759" s="41" t="str">
        <f>Data!P757</f>
        <v>ECOPETROL RUBIALES- Quifa - CAÑO SUR, Mito 1 frente: Vía Sin Nombre, Puerto Gaitán, Meta, Colombia</v>
      </c>
      <c r="I759" s="42" t="str">
        <f>Data!Q757</f>
        <v>Cliente, Vel Max 40 Km/h, Vel Max 20 Km/h</v>
      </c>
      <c r="J759" s="43">
        <f>Data!S757</f>
        <v>46174.376458310187</v>
      </c>
      <c r="K759" s="44">
        <f>Data!S757</f>
        <v>46174.376458310187</v>
      </c>
      <c r="L759" s="45">
        <f>Data!T757</f>
        <v>2.604398148148148E-4</v>
      </c>
      <c r="M759" s="46">
        <f>Data!U757</f>
        <v>0.17772884666919708</v>
      </c>
      <c r="N759" s="46" t="str">
        <f>CONCATENATE(Data!W757," (",Data!V757,")")</f>
        <v>Exceso Velocidad 20 Km/h (Velocidad máxima: 33 kmh)</v>
      </c>
      <c r="O759" s="42" t="str">
        <f>IF(Data!V757&lt;&gt;"",N759,Data!W757)</f>
        <v>Exceso Velocidad 20 Km/h (Velocidad máxima: 33 kmh)</v>
      </c>
      <c r="P759" s="47" t="str">
        <f>Data!X757</f>
        <v>Válido</v>
      </c>
    </row>
    <row r="760" spans="1:16">
      <c r="A760" s="41" t="str">
        <f>Data!A758</f>
        <v>PKU280</v>
      </c>
      <c r="B760" s="41" t="str">
        <f>Data!D758</f>
        <v>Vehicle, Diesel, Frontera Energy Col 2679</v>
      </c>
      <c r="C760" s="41">
        <f>Data!F758</f>
        <v>0</v>
      </c>
      <c r="D760" s="41">
        <f>Data!G758</f>
        <v>0</v>
      </c>
      <c r="E760" s="41">
        <f>Data!H758</f>
        <v>0</v>
      </c>
      <c r="F760" s="41">
        <f>Data!K758</f>
        <v>0</v>
      </c>
      <c r="G760" s="33" t="str">
        <f>Data!M758</f>
        <v>Exceso Velocidad 20 Km/h</v>
      </c>
      <c r="H760" s="41" t="str">
        <f>Data!P758</f>
        <v>ECOPETROL RUBIALES- Quifa - CAÑO SUR, Mito 1 frente: Vía Sin Nombre, Puerto Gaitán, Meta, Colombia</v>
      </c>
      <c r="I760" s="42" t="str">
        <f>Data!Q758</f>
        <v>Cliente, Vel Max 40 Km/h, Vel Max 20 Km/h</v>
      </c>
      <c r="J760" s="43">
        <f>Data!S758</f>
        <v>46174.377802858799</v>
      </c>
      <c r="K760" s="44">
        <f>Data!S758</f>
        <v>46174.377802858799</v>
      </c>
      <c r="L760" s="45">
        <f>Data!T758</f>
        <v>1.7167824074074074E-4</v>
      </c>
      <c r="M760" s="46">
        <f>Data!U758</f>
        <v>9.8442517220973969E-2</v>
      </c>
      <c r="N760" s="46" t="str">
        <f>CONCATENATE(Data!W758," (",Data!V758,")")</f>
        <v>Exceso Velocidad 20 Km/h (Velocidad máxima: 28 kmh)</v>
      </c>
      <c r="O760" s="42" t="str">
        <f>IF(Data!V758&lt;&gt;"",N760,Data!W758)</f>
        <v>Exceso Velocidad 20 Km/h (Velocidad máxima: 28 kmh)</v>
      </c>
      <c r="P760" s="47" t="str">
        <f>Data!X758</f>
        <v>Válido</v>
      </c>
    </row>
    <row r="761" spans="1:16">
      <c r="A761" s="41" t="str">
        <f>Data!A759</f>
        <v>PKU280</v>
      </c>
      <c r="B761" s="41" t="str">
        <f>Data!D759</f>
        <v>Vehicle, Diesel, Frontera Energy Col 2679</v>
      </c>
      <c r="C761" s="41">
        <f>Data!F759</f>
        <v>0</v>
      </c>
      <c r="D761" s="41">
        <f>Data!G759</f>
        <v>0</v>
      </c>
      <c r="E761" s="41">
        <f>Data!H759</f>
        <v>0</v>
      </c>
      <c r="F761" s="41">
        <f>Data!K759</f>
        <v>0</v>
      </c>
      <c r="G761" s="33" t="str">
        <f>Data!M759</f>
        <v>Exceso Velocidad 20 Km/h</v>
      </c>
      <c r="H761" s="41" t="str">
        <f>Data!P759</f>
        <v>ECOPETROL RUBIALES- Quifa - CAÑO SUR, Mito 1 frente: Vía Sin Nombre, Puerto Gaitán, Meta, Colombia</v>
      </c>
      <c r="I761" s="42" t="str">
        <f>Data!Q759</f>
        <v>Cliente, Vel Max 40 Km/h, Vel Max 20 Km/h</v>
      </c>
      <c r="J761" s="43">
        <f>Data!S759</f>
        <v>46174.378113425926</v>
      </c>
      <c r="K761" s="44">
        <f>Data!S759</f>
        <v>46174.378113425926</v>
      </c>
      <c r="L761" s="45">
        <f>Data!T759</f>
        <v>3.8194444444444446E-4</v>
      </c>
      <c r="M761" s="46">
        <f>Data!U759</f>
        <v>0.2109622061252594</v>
      </c>
      <c r="N761" s="46" t="str">
        <f>CONCATENATE(Data!W759," (",Data!V759,")")</f>
        <v>Exceso Velocidad 20 Km/h (Velocidad máxima: 26 kmh)</v>
      </c>
      <c r="O761" s="42" t="str">
        <f>IF(Data!V759&lt;&gt;"",N761,Data!W759)</f>
        <v>Exceso Velocidad 20 Km/h (Velocidad máxima: 26 kmh)</v>
      </c>
      <c r="P761" s="47" t="str">
        <f>Data!X759</f>
        <v>Válido</v>
      </c>
    </row>
    <row r="762" spans="1:16">
      <c r="A762" s="41" t="str">
        <f>Data!A760</f>
        <v>PKU280</v>
      </c>
      <c r="B762" s="41" t="str">
        <f>Data!D760</f>
        <v>Vehicle, Diesel, Frontera Energy Col 2679</v>
      </c>
      <c r="C762" s="41">
        <f>Data!F760</f>
        <v>0</v>
      </c>
      <c r="D762" s="41">
        <f>Data!G760</f>
        <v>0</v>
      </c>
      <c r="E762" s="41">
        <f>Data!H760</f>
        <v>0</v>
      </c>
      <c r="F762" s="41">
        <f>Data!K760</f>
        <v>0</v>
      </c>
      <c r="G762" s="33" t="str">
        <f>Data!M760</f>
        <v>Exceso Velocidad 20 Km/h</v>
      </c>
      <c r="H762" s="41" t="str">
        <f>Data!P760</f>
        <v>ECOPETROL RUBIALES- Quifa - CAÑO SUR, Mito 1 frente: Vía Sin Nombre, Puerto Gaitán, Meta, Colombia</v>
      </c>
      <c r="I762" s="42" t="str">
        <f>Data!Q760</f>
        <v>Cliente, Vel Max 40 Km/h, Vel Max 20 Km/h</v>
      </c>
      <c r="J762" s="43">
        <f>Data!S760</f>
        <v>46174.378684409719</v>
      </c>
      <c r="K762" s="44">
        <f>Data!S760</f>
        <v>46174.378684409719</v>
      </c>
      <c r="L762" s="45">
        <f>Data!T760</f>
        <v>3.3519675925925926E-4</v>
      </c>
      <c r="M762" s="46">
        <f>Data!U760</f>
        <v>0.24575473368167877</v>
      </c>
      <c r="N762" s="46" t="str">
        <f>CONCATENATE(Data!W760," (",Data!V760,")")</f>
        <v>Exceso Velocidad 20 Km/h (Velocidad máxima: 37 kmh)</v>
      </c>
      <c r="O762" s="42" t="str">
        <f>IF(Data!V760&lt;&gt;"",N762,Data!W760)</f>
        <v>Exceso Velocidad 20 Km/h (Velocidad máxima: 37 kmh)</v>
      </c>
      <c r="P762" s="47" t="str">
        <f>Data!X760</f>
        <v>Válido</v>
      </c>
    </row>
    <row r="763" spans="1:16">
      <c r="A763" s="41" t="str">
        <f>Data!A761</f>
        <v>PKU280</v>
      </c>
      <c r="B763" s="41" t="str">
        <f>Data!D761</f>
        <v>Vehicle, Diesel, Frontera Energy Col 2679</v>
      </c>
      <c r="C763" s="41">
        <f>Data!F761</f>
        <v>0</v>
      </c>
      <c r="D763" s="41">
        <f>Data!G761</f>
        <v>0</v>
      </c>
      <c r="E763" s="41">
        <f>Data!H761</f>
        <v>0</v>
      </c>
      <c r="F763" s="41">
        <f>Data!K761</f>
        <v>0</v>
      </c>
      <c r="G763" s="33" t="str">
        <f>Data!M761</f>
        <v>Exceso Velocidad 40 Km/h</v>
      </c>
      <c r="H763" s="41" t="str">
        <f>Data!P761</f>
        <v>ECOPETROL RUBIALES- Quifa - CAÑO SUR: Vía Sin Nombre, Puerto Gaitán, Meta, Colombia</v>
      </c>
      <c r="I763" s="42" t="str">
        <f>Data!Q761</f>
        <v>Cliente, Vel Max 40 Km/h</v>
      </c>
      <c r="J763" s="43">
        <f>Data!S761</f>
        <v>46174.379257974535</v>
      </c>
      <c r="K763" s="44">
        <f>Data!S761</f>
        <v>46174.379257974535</v>
      </c>
      <c r="L763" s="45">
        <f>Data!T761</f>
        <v>7.0729166666666667E-5</v>
      </c>
      <c r="M763" s="46">
        <f>Data!U761</f>
        <v>6.8641439080238342E-2</v>
      </c>
      <c r="N763" s="46" t="str">
        <f>CONCATENATE(Data!W761," (",Data!V761,")")</f>
        <v>Exceso Velocidad 40 Km/h (Velocidad máxima: 42 kmh)</v>
      </c>
      <c r="O763" s="42" t="str">
        <f>IF(Data!V761&lt;&gt;"",N763,Data!W761)</f>
        <v>Exceso Velocidad 40 Km/h (Velocidad máxima: 42 kmh)</v>
      </c>
      <c r="P763" s="47" t="str">
        <f>Data!X761</f>
        <v>Válido</v>
      </c>
    </row>
    <row r="764" spans="1:16">
      <c r="A764" s="41" t="str">
        <f>Data!A762</f>
        <v>PKU280</v>
      </c>
      <c r="B764" s="41" t="str">
        <f>Data!D762</f>
        <v>Vehicle, Diesel, Frontera Energy Col 2679</v>
      </c>
      <c r="C764" s="41">
        <f>Data!F762</f>
        <v>0</v>
      </c>
      <c r="D764" s="41">
        <f>Data!G762</f>
        <v>0</v>
      </c>
      <c r="E764" s="41">
        <f>Data!H762</f>
        <v>0</v>
      </c>
      <c r="F764" s="41">
        <f>Data!K762</f>
        <v>0</v>
      </c>
      <c r="G764" s="33" t="str">
        <f>Data!M762</f>
        <v>Exceso Velocidad 40 Km/h</v>
      </c>
      <c r="H764" s="41" t="str">
        <f>Data!P762</f>
        <v>ECOPETROL RUBIALES- Quifa - CAÑO SUR: Vía Sin Nombre, Puerto Gaitán, Meta, Colombia</v>
      </c>
      <c r="I764" s="42" t="str">
        <f>Data!Q762</f>
        <v>Cliente, Vel Max 40 Km/h</v>
      </c>
      <c r="J764" s="43">
        <f>Data!S762</f>
        <v>46174.379959490841</v>
      </c>
      <c r="K764" s="44">
        <f>Data!S762</f>
        <v>46174.379959490841</v>
      </c>
      <c r="L764" s="45">
        <f>Data!T762</f>
        <v>1.7361211111111111E-5</v>
      </c>
      <c r="M764" s="46">
        <f>Data!U762</f>
        <v>1.4872548170387745E-2</v>
      </c>
      <c r="N764" s="46" t="str">
        <f>CONCATENATE(Data!W762," (",Data!V762,")")</f>
        <v>Exceso Velocidad 40 Km/h (Velocidad máxima: 41 kmh)</v>
      </c>
      <c r="O764" s="42" t="str">
        <f>IF(Data!V762&lt;&gt;"",N764,Data!W762)</f>
        <v>Exceso Velocidad 40 Km/h (Velocidad máxima: 41 kmh)</v>
      </c>
      <c r="P764" s="47" t="str">
        <f>Data!X762</f>
        <v>Válido</v>
      </c>
    </row>
    <row r="765" spans="1:16">
      <c r="A765" s="41" t="str">
        <f>Data!A763</f>
        <v>PKU280</v>
      </c>
      <c r="B765" s="41" t="str">
        <f>Data!D763</f>
        <v>Vehicle, Diesel, Frontera Energy Col 2679</v>
      </c>
      <c r="C765" s="41">
        <f>Data!F763</f>
        <v>0</v>
      </c>
      <c r="D765" s="41">
        <f>Data!G763</f>
        <v>0</v>
      </c>
      <c r="E765" s="41">
        <f>Data!H763</f>
        <v>0</v>
      </c>
      <c r="F765" s="41">
        <f>Data!K763</f>
        <v>0</v>
      </c>
      <c r="G765" s="33" t="str">
        <f>Data!M763</f>
        <v>Giro brusco</v>
      </c>
      <c r="H765" s="41" t="str">
        <f>Data!P763</f>
        <v>ECOPETROL RUBIALES- Quifa - CAÑO SUR: Puerto Gaitan - Rubiales, Puerto Gaitán, Meta, Colombia</v>
      </c>
      <c r="I765" s="42" t="str">
        <f>Data!Q763</f>
        <v>Cliente, Vel Max 40 Km/h</v>
      </c>
      <c r="J765" s="43">
        <f>Data!S763</f>
        <v>46174.381225613426</v>
      </c>
      <c r="K765" s="44">
        <f>Data!S763</f>
        <v>46174.381225613426</v>
      </c>
      <c r="L765" s="45">
        <f>Data!T763</f>
        <v>1.5046296296296297E-7</v>
      </c>
      <c r="M765" s="46">
        <f>Data!U763</f>
        <v>8.3301223639864475E-5</v>
      </c>
      <c r="N765" s="46" t="str">
        <f>CONCATENATE(Data!W763," (",Data!V763,")")</f>
        <v>Giro brusco (Velocidad máxima: 21 kmh Aceleración de lado a lado: 0.49 g-force, Ignición: 1.00)</v>
      </c>
      <c r="O765" s="42" t="str">
        <f>IF(Data!V763&lt;&gt;"",N765,Data!W763)</f>
        <v>Giro brusco (Velocidad máxima: 21 kmh Aceleración de lado a lado: 0.49 g-force, Ignición: 1.00)</v>
      </c>
      <c r="P765" s="47" t="str">
        <f>Data!X763</f>
        <v>Válido</v>
      </c>
    </row>
    <row r="766" spans="1:16">
      <c r="A766" s="41" t="str">
        <f>Data!A764</f>
        <v>PKU280</v>
      </c>
      <c r="B766" s="41" t="str">
        <f>Data!D764</f>
        <v>Vehicle, Diesel, Frontera Energy Col 2679</v>
      </c>
      <c r="C766" s="41">
        <f>Data!F764</f>
        <v>0</v>
      </c>
      <c r="D766" s="41">
        <f>Data!G764</f>
        <v>0</v>
      </c>
      <c r="E766" s="41">
        <f>Data!H764</f>
        <v>0</v>
      </c>
      <c r="F766" s="41">
        <f>Data!K764</f>
        <v>0</v>
      </c>
      <c r="G766" s="33" t="str">
        <f>Data!M764</f>
        <v>Frenado brusco</v>
      </c>
      <c r="H766" s="41" t="str">
        <f>Data!P764</f>
        <v>ECOPETROL RUBIALES- Quifa - CAÑO SUR: Vía Sin Nombre, Puerto Gaitán, Meta, Colombia</v>
      </c>
      <c r="I766" s="42" t="str">
        <f>Data!Q764</f>
        <v>Cliente, Vel Max 40 Km/h</v>
      </c>
      <c r="J766" s="43">
        <f>Data!S764</f>
        <v>46174.386268969909</v>
      </c>
      <c r="K766" s="44">
        <f>Data!S764</f>
        <v>46174.386268969909</v>
      </c>
      <c r="L766" s="45">
        <f>Data!T764</f>
        <v>1.5046296296296296E-6</v>
      </c>
      <c r="M766" s="46">
        <f>Data!U764</f>
        <v>1.2114604469388723E-3</v>
      </c>
      <c r="N766" s="46" t="str">
        <f>CONCATENATE(Data!W764," (",Data!V764,")")</f>
        <v>Frenado brusco (Velocidad máxima: 34 kmh Aceleración hacia delante o frenado: -7.36 g-force, Ignición: 1.00)</v>
      </c>
      <c r="O766" s="42" t="str">
        <f>IF(Data!V764&lt;&gt;"",N766,Data!W764)</f>
        <v>Frenado brusco (Velocidad máxima: 34 kmh Aceleración hacia delante o frenado: -7.36 g-force, Ignición: 1.00)</v>
      </c>
      <c r="P766" s="47" t="str">
        <f>Data!X764</f>
        <v>Válido</v>
      </c>
    </row>
    <row r="767" spans="1:16">
      <c r="A767" s="41" t="str">
        <f>Data!A765</f>
        <v>PKU280</v>
      </c>
      <c r="B767" s="41" t="str">
        <f>Data!D765</f>
        <v>Vehicle, Diesel, Frontera Energy Col 2679</v>
      </c>
      <c r="C767" s="41">
        <f>Data!F765</f>
        <v>0</v>
      </c>
      <c r="D767" s="41">
        <f>Data!G765</f>
        <v>0</v>
      </c>
      <c r="E767" s="41">
        <f>Data!H765</f>
        <v>0</v>
      </c>
      <c r="F767" s="41">
        <f>Data!K765</f>
        <v>0</v>
      </c>
      <c r="G767" s="33" t="str">
        <f>Data!M765</f>
        <v>Giro brusco</v>
      </c>
      <c r="H767" s="41" t="str">
        <f>Data!P765</f>
        <v>ECOPETROL RUBIALES- Quifa - CAÑO SUR: Vía Sin Nombre, Puerto Gaitán, Meta, Colombia</v>
      </c>
      <c r="I767" s="42" t="str">
        <f>Data!Q765</f>
        <v>Cliente, Vel Max 40 Km/h</v>
      </c>
      <c r="J767" s="43">
        <f>Data!S765</f>
        <v>46174.386269039351</v>
      </c>
      <c r="K767" s="44">
        <f>Data!S765</f>
        <v>46174.386269039351</v>
      </c>
      <c r="L767" s="45">
        <f>Data!T765</f>
        <v>1.3888888888888888E-7</v>
      </c>
      <c r="M767" s="46">
        <f>Data!U765</f>
        <v>1.1182711750734597E-4</v>
      </c>
      <c r="N767" s="46" t="str">
        <f>CONCATENATE(Data!W765," (",Data!V765,")")</f>
        <v>Giro brusco (Velocidad máxima: 34 kmh Aceleración de lado a lado: -0.66 g-force, Ignición: 1.00)</v>
      </c>
      <c r="O767" s="42" t="str">
        <f>IF(Data!V765&lt;&gt;"",N767,Data!W765)</f>
        <v>Giro brusco (Velocidad máxima: 34 kmh Aceleración de lado a lado: -0.66 g-force, Ignición: 1.00)</v>
      </c>
      <c r="P767" s="47" t="str">
        <f>Data!X765</f>
        <v>Válido</v>
      </c>
    </row>
    <row r="768" spans="1:16">
      <c r="A768" s="41" t="str">
        <f>Data!A766</f>
        <v>PKU280</v>
      </c>
      <c r="B768" s="41" t="str">
        <f>Data!D766</f>
        <v>Vehicle, Diesel, Frontera Energy Col 2679</v>
      </c>
      <c r="C768" s="41">
        <f>Data!F766</f>
        <v>0</v>
      </c>
      <c r="D768" s="41">
        <f>Data!G766</f>
        <v>0</v>
      </c>
      <c r="E768" s="41">
        <f>Data!H766</f>
        <v>0</v>
      </c>
      <c r="F768" s="41">
        <f>Data!K766</f>
        <v>0</v>
      </c>
      <c r="G768" s="33" t="str">
        <f>Data!M766</f>
        <v>Posible colisión (heredado)</v>
      </c>
      <c r="H768" s="41" t="str">
        <f>Data!P766</f>
        <v>ECOPETROL RUBIALES- Quifa - CAÑO SUR: Vía Sin Nombre, Puerto Gaitán, Meta, Colombia</v>
      </c>
      <c r="I768" s="42" t="str">
        <f>Data!Q766</f>
        <v>Cliente, Vel Max 40 Km/h</v>
      </c>
      <c r="J768" s="43">
        <f>Data!S766</f>
        <v>46174.386269120369</v>
      </c>
      <c r="K768" s="44">
        <f>Data!S766</f>
        <v>46174.386269120369</v>
      </c>
      <c r="L768" s="45">
        <f>Data!T766</f>
        <v>1.1689814814814815E-6</v>
      </c>
      <c r="M768" s="46">
        <f>Data!U766</f>
        <v>9.4121159054338932E-4</v>
      </c>
      <c r="N768" s="46" t="str">
        <f>CONCATENATE(Data!W766," (",Data!V766,")")</f>
        <v>Posible colisión (heredado) (Aceleración hacia delante o frenado: -7.36 g-force, Aceleración de lado a lado: -0.62 g-force)</v>
      </c>
      <c r="O768" s="42" t="str">
        <f>IF(Data!V766&lt;&gt;"",N768,Data!W766)</f>
        <v>Posible colisión (heredado) (Aceleración hacia delante o frenado: -7.36 g-force, Aceleración de lado a lado: -0.62 g-force)</v>
      </c>
      <c r="P768" s="47" t="str">
        <f>Data!X766</f>
        <v>Válido</v>
      </c>
    </row>
    <row r="769" spans="1:16">
      <c r="A769" s="41" t="str">
        <f>Data!A767</f>
        <v>PKU280</v>
      </c>
      <c r="B769" s="41" t="str">
        <f>Data!D767</f>
        <v>Vehicle, Diesel, Frontera Energy Col 2679</v>
      </c>
      <c r="C769" s="41">
        <f>Data!F767</f>
        <v>0</v>
      </c>
      <c r="D769" s="41">
        <f>Data!G767</f>
        <v>0</v>
      </c>
      <c r="E769" s="41">
        <f>Data!H767</f>
        <v>0</v>
      </c>
      <c r="F769" s="41">
        <f>Data!K767</f>
        <v>0</v>
      </c>
      <c r="G769" s="33" t="str">
        <f>Data!M767</f>
        <v>Giro brusco</v>
      </c>
      <c r="H769" s="41" t="str">
        <f>Data!P767</f>
        <v>ECOPETROL RUBIALES- Quifa - CAÑO SUR: Vía Sin Nombre, Puerto Gaitán, Meta, Colombia</v>
      </c>
      <c r="I769" s="42" t="str">
        <f>Data!Q767</f>
        <v>Cliente, Vel Max 40 Km/h</v>
      </c>
      <c r="J769" s="43">
        <f>Data!S767</f>
        <v>46174.386269317132</v>
      </c>
      <c r="K769" s="44">
        <f>Data!S767</f>
        <v>46174.386269317132</v>
      </c>
      <c r="L769" s="45">
        <f>Data!T767</f>
        <v>6.712962962962963E-7</v>
      </c>
      <c r="M769" s="46">
        <f>Data!U767</f>
        <v>5.4049771279096603E-4</v>
      </c>
      <c r="N769" s="46" t="str">
        <f>CONCATENATE(Data!W767," (",Data!V767,")")</f>
        <v>Giro brusco (Velocidad máxima: 34 kmh Aceleración de lado a lado: 2.49 g-force, Ignición: 1.00)</v>
      </c>
      <c r="O769" s="42" t="str">
        <f>IF(Data!V767&lt;&gt;"",N769,Data!W767)</f>
        <v>Giro brusco (Velocidad máxima: 34 kmh Aceleración de lado a lado: 2.49 g-force, Ignición: 1.00)</v>
      </c>
      <c r="P769" s="47" t="str">
        <f>Data!X767</f>
        <v>Válido</v>
      </c>
    </row>
    <row r="770" spans="1:16">
      <c r="A770" s="41" t="str">
        <f>Data!A768</f>
        <v>PKU280</v>
      </c>
      <c r="B770" s="41" t="str">
        <f>Data!D768</f>
        <v>Vehicle, Diesel, Frontera Energy Col 2679</v>
      </c>
      <c r="C770" s="41">
        <f>Data!F768</f>
        <v>0</v>
      </c>
      <c r="D770" s="41">
        <f>Data!G768</f>
        <v>0</v>
      </c>
      <c r="E770" s="41">
        <f>Data!H768</f>
        <v>0</v>
      </c>
      <c r="F770" s="41">
        <f>Data!K768</f>
        <v>0</v>
      </c>
      <c r="G770" s="33" t="str">
        <f>Data!M768</f>
        <v>Aceleración brusca</v>
      </c>
      <c r="H770" s="41" t="str">
        <f>Data!P768</f>
        <v>ECOPETROL RUBIALES- Quifa - CAÑO SUR: Vía Sin Nombre, Puerto Gaitán, Meta, Colombia</v>
      </c>
      <c r="I770" s="42" t="str">
        <f>Data!Q768</f>
        <v>Cliente, Vel Max 40 Km/h</v>
      </c>
      <c r="J770" s="43">
        <f>Data!S768</f>
        <v>46174.386270555558</v>
      </c>
      <c r="K770" s="44">
        <f>Data!S768</f>
        <v>46174.386270555558</v>
      </c>
      <c r="L770" s="45">
        <f>Data!T768</f>
        <v>6.0185185185185187E-7</v>
      </c>
      <c r="M770" s="46">
        <f>Data!U768</f>
        <v>4.8458416131325066E-4</v>
      </c>
      <c r="N770" s="46" t="str">
        <f>CONCATENATE(Data!W768," (",Data!V768,")")</f>
        <v>Aceleración brusca (Velocidad máxima: 33 kmh Aceleración hacia delante o frenado: 1.21 g-force, Ignición: 1.00)</v>
      </c>
      <c r="O770" s="42" t="str">
        <f>IF(Data!V768&lt;&gt;"",N770,Data!W768)</f>
        <v>Aceleración brusca (Velocidad máxima: 33 kmh Aceleración hacia delante o frenado: 1.21 g-force, Ignición: 1.00)</v>
      </c>
      <c r="P770" s="47" t="str">
        <f>Data!X768</f>
        <v>Válido</v>
      </c>
    </row>
    <row r="771" spans="1:16">
      <c r="A771" s="41" t="str">
        <f>Data!A769</f>
        <v>PKU280</v>
      </c>
      <c r="B771" s="41" t="str">
        <f>Data!D769</f>
        <v>Vehicle, Diesel, Frontera Energy Col 2679</v>
      </c>
      <c r="C771" s="41">
        <f>Data!F769</f>
        <v>0</v>
      </c>
      <c r="D771" s="41">
        <f>Data!G769</f>
        <v>0</v>
      </c>
      <c r="E771" s="41">
        <f>Data!H769</f>
        <v>0</v>
      </c>
      <c r="F771" s="41">
        <f>Data!K769</f>
        <v>0</v>
      </c>
      <c r="G771" s="33" t="str">
        <f>Data!M769</f>
        <v>Giro brusco</v>
      </c>
      <c r="H771" s="41" t="str">
        <f>Data!P769</f>
        <v>ECOPETROL RUBIALES- Quifa - CAÑO SUR: Vía Sin Nombre, Puerto Gaitán, Meta, Colombia</v>
      </c>
      <c r="I771" s="42" t="str">
        <f>Data!Q769</f>
        <v>Cliente, Vel Max 40 Km/h</v>
      </c>
      <c r="J771" s="43">
        <f>Data!S769</f>
        <v>46174.38627101852</v>
      </c>
      <c r="K771" s="44">
        <f>Data!S769</f>
        <v>46174.38627101852</v>
      </c>
      <c r="L771" s="45">
        <f>Data!T769</f>
        <v>2.0833333333333333E-7</v>
      </c>
      <c r="M771" s="46">
        <f>Data!U769</f>
        <v>1.6774068353697658E-4</v>
      </c>
      <c r="N771" s="46" t="str">
        <f>CONCATENATE(Data!W769," (",Data!V769,")")</f>
        <v>Giro brusco (Velocidad máxima: 33 kmh Aceleración de lado a lado: -0.63 g-force, Ignición: 1.00)</v>
      </c>
      <c r="O771" s="42" t="str">
        <f>IF(Data!V769&lt;&gt;"",N771,Data!W769)</f>
        <v>Giro brusco (Velocidad máxima: 33 kmh Aceleración de lado a lado: -0.63 g-force, Ignición: 1.00)</v>
      </c>
      <c r="P771" s="47" t="str">
        <f>Data!X769</f>
        <v>Válido</v>
      </c>
    </row>
    <row r="772" spans="1:16">
      <c r="A772" s="41" t="str">
        <f>Data!A770</f>
        <v>PKU280</v>
      </c>
      <c r="B772" s="41" t="str">
        <f>Data!D770</f>
        <v>Vehicle, Diesel, Frontera Energy Col 2679</v>
      </c>
      <c r="C772" s="41">
        <f>Data!F770</f>
        <v>0</v>
      </c>
      <c r="D772" s="41">
        <f>Data!G770</f>
        <v>0</v>
      </c>
      <c r="E772" s="41">
        <f>Data!H770</f>
        <v>0</v>
      </c>
      <c r="F772" s="41">
        <f>Data!K770</f>
        <v>0</v>
      </c>
      <c r="G772" s="33" t="str">
        <f>Data!M770</f>
        <v>Frenado brusco</v>
      </c>
      <c r="H772" s="41" t="str">
        <f>Data!P770</f>
        <v>ECOPETROL RUBIALES- Quifa - CAÑO SUR: Vía Sin Nombre, Puerto Gaitán, Meta, Colombia</v>
      </c>
      <c r="I772" s="42" t="str">
        <f>Data!Q770</f>
        <v>Cliente, Vel Max 40 Km/h</v>
      </c>
      <c r="J772" s="43">
        <f>Data!S770</f>
        <v>46174.386271296295</v>
      </c>
      <c r="K772" s="44">
        <f>Data!S770</f>
        <v>46174.386271296295</v>
      </c>
      <c r="L772" s="45">
        <f>Data!T770</f>
        <v>3.0092592592592594E-7</v>
      </c>
      <c r="M772" s="46">
        <f>Data!U770</f>
        <v>2.4229209520854056E-4</v>
      </c>
      <c r="N772" s="46" t="str">
        <f>CONCATENATE(Data!W770," (",Data!V770,")")</f>
        <v>Frenado brusco (Velocidad máxima: 33 kmh Aceleración hacia delante o frenado: -1.00 g-force, Ignición: 1.00)</v>
      </c>
      <c r="O772" s="42" t="str">
        <f>IF(Data!V770&lt;&gt;"",N772,Data!W770)</f>
        <v>Frenado brusco (Velocidad máxima: 33 kmh Aceleración hacia delante o frenado: -1.00 g-force, Ignición: 1.00)</v>
      </c>
      <c r="P772" s="47" t="str">
        <f>Data!X770</f>
        <v>Válido</v>
      </c>
    </row>
    <row r="773" spans="1:16">
      <c r="A773" s="41" t="str">
        <f>Data!A771</f>
        <v>PKU280</v>
      </c>
      <c r="B773" s="41" t="str">
        <f>Data!D771</f>
        <v>Vehicle, Diesel, Frontera Energy Col 2679</v>
      </c>
      <c r="C773" s="41">
        <f>Data!F771</f>
        <v>0</v>
      </c>
      <c r="D773" s="41">
        <f>Data!G771</f>
        <v>0</v>
      </c>
      <c r="E773" s="41">
        <f>Data!H771</f>
        <v>0</v>
      </c>
      <c r="F773" s="41">
        <f>Data!K771</f>
        <v>0</v>
      </c>
      <c r="G773" s="33" t="str">
        <f>Data!M771</f>
        <v>Engine Fault Exception</v>
      </c>
      <c r="H773" s="41" t="str">
        <f>Data!P771</f>
        <v>ECOPETROL RUBIALES- Quifa - CAÑO SUR: Vía Sin Nombre, Puerto Gaitán, Meta, Colombia</v>
      </c>
      <c r="I773" s="42" t="str">
        <f>Data!Q771</f>
        <v>Cliente, Vel Max 40 Km/h</v>
      </c>
      <c r="J773" s="43">
        <f>Data!S771</f>
        <v>46174.386271793985</v>
      </c>
      <c r="K773" s="44">
        <f>Data!S771</f>
        <v>46174.386271793985</v>
      </c>
      <c r="L773" s="45">
        <f>Data!T771</f>
        <v>0</v>
      </c>
      <c r="M773" s="46">
        <f>Data!U771</f>
        <v>0</v>
      </c>
      <c r="N773" s="46" t="str">
        <f>CONCATENATE(Data!W771," (",Data!V771,")")</f>
        <v>Engine Fault Exception (Alerta: Se excedió el límite de aceleración para colisiones)</v>
      </c>
      <c r="O773" s="42" t="str">
        <f>IF(Data!V771&lt;&gt;"",N773,Data!W771)</f>
        <v>Engine Fault Exception (Alerta: Se excedió el límite de aceleración para colisiones)</v>
      </c>
      <c r="P773" s="47" t="str">
        <f>Data!X771</f>
        <v>Válido</v>
      </c>
    </row>
    <row r="774" spans="1:16">
      <c r="A774" s="41" t="str">
        <f>Data!A772</f>
        <v>PKU280</v>
      </c>
      <c r="B774" s="41" t="str">
        <f>Data!D772</f>
        <v>Vehicle, Diesel, Frontera Energy Col 2679</v>
      </c>
      <c r="C774" s="41">
        <f>Data!F772</f>
        <v>0</v>
      </c>
      <c r="D774" s="41">
        <f>Data!G772</f>
        <v>0</v>
      </c>
      <c r="E774" s="41">
        <f>Data!H772</f>
        <v>0</v>
      </c>
      <c r="F774" s="41">
        <f>Data!K772</f>
        <v>0</v>
      </c>
      <c r="G774" s="33" t="str">
        <f>Data!M772</f>
        <v>Frenado brusco (nuevo)</v>
      </c>
      <c r="H774" s="41" t="str">
        <f>Data!P772</f>
        <v>ECOPETROL RUBIALES- Quifa - CAÑO SUR: Vía Sin Nombre, Puerto Gaitán, Meta, Colombia</v>
      </c>
      <c r="I774" s="42" t="str">
        <f>Data!Q772</f>
        <v>Cliente, Vel Max 40 Km/h</v>
      </c>
      <c r="J774" s="43">
        <f>Data!S772</f>
        <v>46174.386273148149</v>
      </c>
      <c r="K774" s="44">
        <f>Data!S772</f>
        <v>46174.386273148149</v>
      </c>
      <c r="L774" s="45">
        <f>Data!T772</f>
        <v>1.1574074074074073E-5</v>
      </c>
      <c r="M774" s="46">
        <f>Data!U772</f>
        <v>5.1011787727475166E-3</v>
      </c>
      <c r="N774" s="46" t="str">
        <f>CONCATENATE(Data!W772," (",Data!V772,")")</f>
        <v>Frenado brusco (nuevo) (Clase de vehículo para métricas de seguridad: Otra clase (no estandarizada), Velocidad máxima: 14 kmh,  Ignición: 1)</v>
      </c>
      <c r="O774" s="42" t="str">
        <f>IF(Data!V772&lt;&gt;"",N774,Data!W772)</f>
        <v>Frenado brusco (nuevo) (Clase de vehículo para métricas de seguridad: Otra clase (no estandarizada), Velocidad máxima: 14 kmh,  Ignición: 1)</v>
      </c>
      <c r="P774" s="47" t="str">
        <f>Data!X772</f>
        <v>Válido</v>
      </c>
    </row>
    <row r="775" spans="1:16">
      <c r="A775" s="41" t="str">
        <f>Data!A773</f>
        <v>PKU280</v>
      </c>
      <c r="B775" s="41" t="str">
        <f>Data!D773</f>
        <v>Vehicle, Diesel, Frontera Energy Col 2679</v>
      </c>
      <c r="C775" s="41">
        <f>Data!F773</f>
        <v>0</v>
      </c>
      <c r="D775" s="41">
        <f>Data!G773</f>
        <v>0</v>
      </c>
      <c r="E775" s="41">
        <f>Data!H773</f>
        <v>0</v>
      </c>
      <c r="F775" s="41">
        <f>Data!K773</f>
        <v>0</v>
      </c>
      <c r="G775" s="33" t="str">
        <f>Data!M773</f>
        <v>Aceleración brusca</v>
      </c>
      <c r="H775" s="41" t="str">
        <f>Data!P773</f>
        <v>ECOPETROL RUBIALES- Quifa - CAÑO SUR: Vía Sin Nombre, Puerto Gaitán, Meta, Colombia</v>
      </c>
      <c r="I775" s="42" t="str">
        <f>Data!Q773</f>
        <v>Cliente, Vel Max 40 Km/h</v>
      </c>
      <c r="J775" s="43">
        <f>Data!S773</f>
        <v>46174.386273854165</v>
      </c>
      <c r="K775" s="44">
        <f>Data!S773</f>
        <v>46174.386273854165</v>
      </c>
      <c r="L775" s="45">
        <f>Data!T773</f>
        <v>1.5972222222222221E-6</v>
      </c>
      <c r="M775" s="46">
        <f>Data!U773</f>
        <v>7.0396263618022203E-4</v>
      </c>
      <c r="N775" s="46" t="str">
        <f>CONCATENATE(Data!W773," (",Data!V773,")")</f>
        <v>Aceleración brusca (Velocidad máxima: 32 kmh Aceleración hacia delante o frenado: 0.64 g-force, Ignición: 1.00)</v>
      </c>
      <c r="O775" s="42" t="str">
        <f>IF(Data!V773&lt;&gt;"",N775,Data!W773)</f>
        <v>Aceleración brusca (Velocidad máxima: 32 kmh Aceleración hacia delante o frenado: 0.64 g-force, Ignición: 1.00)</v>
      </c>
      <c r="P775" s="47" t="str">
        <f>Data!X773</f>
        <v>Válido</v>
      </c>
    </row>
    <row r="776" spans="1:16">
      <c r="A776" s="41" t="str">
        <f>Data!A774</f>
        <v>PKU280</v>
      </c>
      <c r="B776" s="41" t="str">
        <f>Data!D774</f>
        <v>Vehicle, Diesel, Frontera Energy Col 2679</v>
      </c>
      <c r="C776" s="41">
        <f>Data!F774</f>
        <v>0</v>
      </c>
      <c r="D776" s="41">
        <f>Data!G774</f>
        <v>0</v>
      </c>
      <c r="E776" s="41">
        <f>Data!H774</f>
        <v>0</v>
      </c>
      <c r="F776" s="41">
        <f>Data!K774</f>
        <v>0</v>
      </c>
      <c r="G776" s="33" t="str">
        <f>Data!M774</f>
        <v>Giro brusco</v>
      </c>
      <c r="H776" s="41" t="str">
        <f>Data!P774</f>
        <v>ECOPETROL RUBIALES- Quifa - CAÑO SUR: Vía Sin Nombre, Puerto Gaitán, Meta, Colombia</v>
      </c>
      <c r="I776" s="42" t="str">
        <f>Data!Q774</f>
        <v>Cliente, Vel Max 40 Km/h</v>
      </c>
      <c r="J776" s="43">
        <f>Data!S774</f>
        <v>46174.386274722223</v>
      </c>
      <c r="K776" s="44">
        <f>Data!S774</f>
        <v>46174.386274722223</v>
      </c>
      <c r="L776" s="45">
        <f>Data!T774</f>
        <v>1.5740740740740742E-6</v>
      </c>
      <c r="M776" s="46">
        <f>Data!U774</f>
        <v>6.9376028841361403E-4</v>
      </c>
      <c r="N776" s="46" t="str">
        <f>CONCATENATE(Data!W774," (",Data!V774,")")</f>
        <v>Giro brusco (Velocidad máxima: 31 kmh Aceleración de lado a lado: -0.63 g-force, Ignición: 1.00)</v>
      </c>
      <c r="O776" s="42" t="str">
        <f>IF(Data!V774&lt;&gt;"",N776,Data!W774)</f>
        <v>Giro brusco (Velocidad máxima: 31 kmh Aceleración de lado a lado: -0.63 g-force, Ignición: 1.00)</v>
      </c>
      <c r="P776" s="47" t="str">
        <f>Data!X774</f>
        <v>Válido</v>
      </c>
    </row>
    <row r="777" spans="1:16">
      <c r="A777" s="41" t="str">
        <f>Data!A775</f>
        <v>PKU280</v>
      </c>
      <c r="B777" s="41" t="str">
        <f>Data!D775</f>
        <v>Vehicle, Diesel, Frontera Energy Col 2679</v>
      </c>
      <c r="C777" s="41">
        <f>Data!F775</f>
        <v>0</v>
      </c>
      <c r="D777" s="41">
        <f>Data!G775</f>
        <v>0</v>
      </c>
      <c r="E777" s="41">
        <f>Data!H775</f>
        <v>0</v>
      </c>
      <c r="F777" s="41">
        <f>Data!K775</f>
        <v>0</v>
      </c>
      <c r="G777" s="33" t="str">
        <f>Data!M775</f>
        <v>Frenado brusco</v>
      </c>
      <c r="H777" s="41" t="str">
        <f>Data!P775</f>
        <v>ECOPETROL RUBIALES- Quifa - CAÑO SUR: Vía Sin Nombre, Puerto Gaitán, Meta, Colombia</v>
      </c>
      <c r="I777" s="42" t="str">
        <f>Data!Q775</f>
        <v>Cliente, Vel Max 40 Km/h</v>
      </c>
      <c r="J777" s="43">
        <f>Data!S775</f>
        <v>46174.386278043981</v>
      </c>
      <c r="K777" s="44">
        <f>Data!S775</f>
        <v>46174.386278043981</v>
      </c>
      <c r="L777" s="45">
        <f>Data!T775</f>
        <v>3.8541666666666669E-6</v>
      </c>
      <c r="M777" s="46">
        <f>Data!U775</f>
        <v>1.6986924456432462E-3</v>
      </c>
      <c r="N777" s="46" t="str">
        <f>CONCATENATE(Data!W775," (",Data!V775,")")</f>
        <v>Frenado brusco (Velocidad máxima: 27 kmh Aceleración hacia delante o frenado: -0.69 g-force, Ignición: 1.00)</v>
      </c>
      <c r="O777" s="42" t="str">
        <f>IF(Data!V775&lt;&gt;"",N777,Data!W775)</f>
        <v>Frenado brusco (Velocidad máxima: 27 kmh Aceleración hacia delante o frenado: -0.69 g-force, Ignición: 1.00)</v>
      </c>
      <c r="P777" s="47" t="str">
        <f>Data!X775</f>
        <v>Válido</v>
      </c>
    </row>
    <row r="778" spans="1:16">
      <c r="A778" s="41" t="str">
        <f>Data!A776</f>
        <v>PKU280</v>
      </c>
      <c r="B778" s="41" t="str">
        <f>Data!D776</f>
        <v>Vehicle, Diesel, Frontera Energy Col 2679</v>
      </c>
      <c r="C778" s="41">
        <f>Data!F776</f>
        <v>0</v>
      </c>
      <c r="D778" s="41">
        <f>Data!G776</f>
        <v>0</v>
      </c>
      <c r="E778" s="41">
        <f>Data!H776</f>
        <v>0</v>
      </c>
      <c r="F778" s="41">
        <f>Data!K776</f>
        <v>0</v>
      </c>
      <c r="G778" s="33" t="str">
        <f>Data!M776</f>
        <v>Frenado brusco</v>
      </c>
      <c r="H778" s="41" t="str">
        <f>Data!P776</f>
        <v>ECOPETROL RUBIALES- Quifa - CAÑO SUR: Vía Sin Nombre, Puerto Gaitán, Meta, Colombia</v>
      </c>
      <c r="I778" s="42" t="str">
        <f>Data!Q776</f>
        <v>Cliente, Vel Max 40 Km/h</v>
      </c>
      <c r="J778" s="43">
        <f>Data!S776</f>
        <v>46174.386283738429</v>
      </c>
      <c r="K778" s="44">
        <f>Data!S776</f>
        <v>46174.386283738429</v>
      </c>
      <c r="L778" s="45">
        <f>Data!T776</f>
        <v>2.4305555555555555E-7</v>
      </c>
      <c r="M778" s="46">
        <f>Data!U776</f>
        <v>1.0712474613683298E-4</v>
      </c>
      <c r="N778" s="46" t="str">
        <f>CONCATENATE(Data!W776," (",Data!V776,")")</f>
        <v>Frenado brusco (Velocidad máxima: 19 kmh Aceleración hacia delante o frenado: -0.63 g-force, Ignición: 1.00)</v>
      </c>
      <c r="O778" s="42" t="str">
        <f>IF(Data!V776&lt;&gt;"",N778,Data!W776)</f>
        <v>Frenado brusco (Velocidad máxima: 19 kmh Aceleración hacia delante o frenado: -0.63 g-force, Ignición: 1.00)</v>
      </c>
      <c r="P778" s="47" t="str">
        <f>Data!X776</f>
        <v>Válido</v>
      </c>
    </row>
    <row r="779" spans="1:16">
      <c r="A779" s="41" t="str">
        <f>Data!A777</f>
        <v>PKU280</v>
      </c>
      <c r="B779" s="41" t="str">
        <f>Data!D777</f>
        <v>Vehicle, Diesel, Frontera Energy Col 2679</v>
      </c>
      <c r="C779" s="41">
        <f>Data!F777</f>
        <v>0</v>
      </c>
      <c r="D779" s="41">
        <f>Data!G777</f>
        <v>0</v>
      </c>
      <c r="E779" s="41">
        <f>Data!H777</f>
        <v>0</v>
      </c>
      <c r="F779" s="41">
        <f>Data!K777</f>
        <v>0</v>
      </c>
      <c r="G779" s="33" t="str">
        <f>Data!M777</f>
        <v>Giro brusco</v>
      </c>
      <c r="H779" s="41" t="str">
        <f>Data!P777</f>
        <v>ECOPETROL RUBIALES- Quifa - CAÑO SUR: Vía Sin Nombre, Puerto Gaitán, Meta, Colombia</v>
      </c>
      <c r="I779" s="42" t="str">
        <f>Data!Q777</f>
        <v>Cliente, Vel Max 40 Km/h</v>
      </c>
      <c r="J779" s="43">
        <f>Data!S777</f>
        <v>46174.3862844213</v>
      </c>
      <c r="K779" s="44">
        <f>Data!S777</f>
        <v>46174.3862844213</v>
      </c>
      <c r="L779" s="45">
        <f>Data!T777</f>
        <v>8.680555555555556E-7</v>
      </c>
      <c r="M779" s="46">
        <f>Data!U777</f>
        <v>2.5668853777460754E-4</v>
      </c>
      <c r="N779" s="46" t="str">
        <f>CONCATENATE(Data!W777," (",Data!V777,")")</f>
        <v>Giro brusco (Velocidad máxima: 18 kmh Aceleración de lado a lado: 0.54 g-force, Ignición: 1.00)</v>
      </c>
      <c r="O779" s="42" t="str">
        <f>IF(Data!V777&lt;&gt;"",N779,Data!W777)</f>
        <v>Giro brusco (Velocidad máxima: 18 kmh Aceleración de lado a lado: 0.54 g-force, Ignición: 1.00)</v>
      </c>
      <c r="P779" s="47" t="str">
        <f>Data!X777</f>
        <v>Válido</v>
      </c>
    </row>
    <row r="780" spans="1:16">
      <c r="A780" s="41" t="str">
        <f>Data!A778</f>
        <v>PKU280</v>
      </c>
      <c r="B780" s="41" t="str">
        <f>Data!D778</f>
        <v>Vehicle, Diesel, Frontera Energy Col 2679</v>
      </c>
      <c r="C780" s="41">
        <f>Data!F778</f>
        <v>0</v>
      </c>
      <c r="D780" s="41">
        <f>Data!G778</f>
        <v>0</v>
      </c>
      <c r="E780" s="41">
        <f>Data!H778</f>
        <v>0</v>
      </c>
      <c r="F780" s="41">
        <f>Data!K778</f>
        <v>0</v>
      </c>
      <c r="G780" s="33" t="str">
        <f>Data!M778</f>
        <v>Tiempo en ralentí</v>
      </c>
      <c r="H780" s="41" t="str">
        <f>Data!P778</f>
        <v>ECOPETROL RUBIALES- Quifa - CAÑO SUR: Vía Sin Nombre, Puerto Gaitán, Meta, Colombia</v>
      </c>
      <c r="I780" s="42" t="str">
        <f>Data!Q778</f>
        <v>Cliente, Vel Max 40 Km/h</v>
      </c>
      <c r="J780" s="43">
        <f>Data!S778</f>
        <v>46174.386296296296</v>
      </c>
      <c r="K780" s="44">
        <f>Data!S778</f>
        <v>46174.386296296296</v>
      </c>
      <c r="L780" s="45">
        <f>Data!T778</f>
        <v>5.3944791666666663E-3</v>
      </c>
      <c r="M780" s="46">
        <f>Data!U778</f>
        <v>2.7730644214898348E-3</v>
      </c>
      <c r="N780" s="46" t="str">
        <f>CONCATENATE(Data!W778," (",Data!V778,")")</f>
        <v>Tiempo en ralentí (Ignición: 1.00)</v>
      </c>
      <c r="O780" s="42" t="str">
        <f>IF(Data!V778&lt;&gt;"",N780,Data!W778)</f>
        <v>Tiempo en ralentí (Ignición: 1.00)</v>
      </c>
      <c r="P780" s="47" t="str">
        <f>Data!X778</f>
        <v>Válido</v>
      </c>
    </row>
    <row r="781" spans="1:16">
      <c r="A781" s="41" t="str">
        <f>Data!A779</f>
        <v>PKU280</v>
      </c>
      <c r="B781" s="41" t="str">
        <f>Data!D779</f>
        <v>Vehicle, Diesel, Frontera Energy Col 2679</v>
      </c>
      <c r="C781" s="41">
        <f>Data!F779</f>
        <v>0</v>
      </c>
      <c r="D781" s="41">
        <f>Data!G779</f>
        <v>0</v>
      </c>
      <c r="E781" s="41">
        <f>Data!H779</f>
        <v>0</v>
      </c>
      <c r="F781" s="41">
        <f>Data!K779</f>
        <v>0</v>
      </c>
      <c r="G781" s="33" t="str">
        <f>Data!M779</f>
        <v>Tiempo en ralentí</v>
      </c>
      <c r="H781" s="41" t="str">
        <f>Data!P779</f>
        <v>ECOPETROL RUBIALES- Quifa - CAÑO SUR: Vía Sin Nombre, Puerto Gaitán, Meta, Colombia</v>
      </c>
      <c r="I781" s="42" t="str">
        <f>Data!Q779</f>
        <v>Cliente, Vel Max 40 Km/h</v>
      </c>
      <c r="J781" s="43">
        <f>Data!S779</f>
        <v>46174.453287037039</v>
      </c>
      <c r="K781" s="44">
        <f>Data!S779</f>
        <v>46174.453287037039</v>
      </c>
      <c r="L781" s="45">
        <f>Data!T779</f>
        <v>4.5486111111111109E-3</v>
      </c>
      <c r="M781" s="46">
        <f>Data!U779</f>
        <v>0</v>
      </c>
      <c r="N781" s="46" t="str">
        <f>CONCATENATE(Data!W779," (",Data!V779,")")</f>
        <v>Tiempo en ralentí (Ignición: 1.00)</v>
      </c>
      <c r="O781" s="42" t="str">
        <f>IF(Data!V779&lt;&gt;"",N781,Data!W779)</f>
        <v>Tiempo en ralentí (Ignición: 1.00)</v>
      </c>
      <c r="P781" s="47" t="str">
        <f>Data!X779</f>
        <v>Válido</v>
      </c>
    </row>
    <row r="782" spans="1:16">
      <c r="A782" s="41" t="str">
        <f>Data!A780</f>
        <v>PKU280</v>
      </c>
      <c r="B782" s="41" t="str">
        <f>Data!D780</f>
        <v>Vehicle, Diesel, Frontera Energy Col 2679</v>
      </c>
      <c r="C782" s="41">
        <f>Data!F780</f>
        <v>0</v>
      </c>
      <c r="D782" s="41">
        <f>Data!G780</f>
        <v>0</v>
      </c>
      <c r="E782" s="41">
        <f>Data!H780</f>
        <v>0</v>
      </c>
      <c r="F782" s="41">
        <f>Data!K780</f>
        <v>0</v>
      </c>
      <c r="G782" s="33" t="str">
        <f>Data!M780</f>
        <v>Tiempo en ralentí</v>
      </c>
      <c r="H782" s="41" t="str">
        <f>Data!P780</f>
        <v>ECOPETROL RUBIALES- Quifa - CAÑO SUR: Vía Sin Nombre, Puerto Gaitán, Meta, Colombia</v>
      </c>
      <c r="I782" s="42" t="str">
        <f>Data!Q780</f>
        <v>Cliente, Vel Max 40 Km/h</v>
      </c>
      <c r="J782" s="43">
        <f>Data!S780</f>
        <v>46174.457962962966</v>
      </c>
      <c r="K782" s="44">
        <f>Data!S780</f>
        <v>46174.457962962966</v>
      </c>
      <c r="L782" s="45">
        <f>Data!T780</f>
        <v>4.4119560185185182E-3</v>
      </c>
      <c r="M782" s="46">
        <f>Data!U780</f>
        <v>2.4483667220920324E-3</v>
      </c>
      <c r="N782" s="46" t="str">
        <f>CONCATENATE(Data!W780," (",Data!V780,")")</f>
        <v>Tiempo en ralentí (Ignición: 1.00)</v>
      </c>
      <c r="O782" s="42" t="str">
        <f>IF(Data!V780&lt;&gt;"",N782,Data!W780)</f>
        <v>Tiempo en ralentí (Ignición: 1.00)</v>
      </c>
      <c r="P782" s="47" t="str">
        <f>Data!X780</f>
        <v>Válido</v>
      </c>
    </row>
    <row r="783" spans="1:16">
      <c r="A783" s="41" t="str">
        <f>Data!A781</f>
        <v>PKU307</v>
      </c>
      <c r="B783" s="41" t="str">
        <f>Data!D781</f>
        <v>Vehicle, Diesel, Frontera Energy Col 2679</v>
      </c>
      <c r="C783" s="41" t="str">
        <f>Data!F781</f>
        <v>Saul</v>
      </c>
      <c r="D783" s="41" t="str">
        <f>Data!G781</f>
        <v>Mejia</v>
      </c>
      <c r="E783" s="41" t="str">
        <f>Data!H781</f>
        <v>Saul.mejia@magnexgroup.com</v>
      </c>
      <c r="F783" s="41" t="str">
        <f>Data!K781</f>
        <v>Company Group</v>
      </c>
      <c r="G783" s="33" t="str">
        <f>Data!M781</f>
        <v>Exceso Velocidad 20 Km/h</v>
      </c>
      <c r="H783" s="41" t="str">
        <f>Data!P781</f>
        <v>ECOPETROL RUBIALES- Quifa - CAÑO SUR, VEREDA PORVENIR: Resguardo Indígena, Puerto Gaitán, Meta, Colombia</v>
      </c>
      <c r="I783" s="42" t="str">
        <f>Data!Q781</f>
        <v>Cliente, Vel Max 40 Km/h, Vel Max 20 Km/h</v>
      </c>
      <c r="J783" s="43">
        <f>Data!S781</f>
        <v>46174.334120370368</v>
      </c>
      <c r="K783" s="44">
        <f>Data!S781</f>
        <v>46174.334120370368</v>
      </c>
      <c r="L783" s="45">
        <f>Data!T781</f>
        <v>9.2592592592592588E-5</v>
      </c>
      <c r="M783" s="46">
        <f>Data!U781</f>
        <v>5.4936978965997696E-2</v>
      </c>
      <c r="N783" s="46" t="str">
        <f>CONCATENATE(Data!W781," (",Data!V781,")")</f>
        <v>Exceso Velocidad 20 Km/h (Velocidad máxima: 22 kmh)</v>
      </c>
      <c r="O783" s="42" t="str">
        <f>IF(Data!V781&lt;&gt;"",N783,Data!W781)</f>
        <v>Exceso Velocidad 20 Km/h (Velocidad máxima: 22 kmh)</v>
      </c>
      <c r="P783" s="47" t="str">
        <f>Data!X781</f>
        <v>Válido</v>
      </c>
    </row>
    <row r="784" spans="1:16">
      <c r="A784" s="41" t="str">
        <f>Data!A782</f>
        <v>PKU307</v>
      </c>
      <c r="B784" s="41" t="str">
        <f>Data!D782</f>
        <v>Vehicle, Diesel, Frontera Energy Col 2679</v>
      </c>
      <c r="C784" s="41" t="str">
        <f>Data!F782</f>
        <v>Saul</v>
      </c>
      <c r="D784" s="41" t="str">
        <f>Data!G782</f>
        <v>Mejia</v>
      </c>
      <c r="E784" s="41" t="str">
        <f>Data!H782</f>
        <v>Saul.mejia@magnexgroup.com</v>
      </c>
      <c r="F784" s="41" t="str">
        <f>Data!K782</f>
        <v>Company Group</v>
      </c>
      <c r="G784" s="33" t="str">
        <f>Data!M782</f>
        <v>Exceso Velocidad 20 Km/h</v>
      </c>
      <c r="H784" s="41" t="str">
        <f>Data!P782</f>
        <v>ECOPETROL RUBIALES- Quifa - CAÑO SUR, VEREDA PORVENIR: Resguardo Indígena, Puerto Gaitán, Meta, Colombia</v>
      </c>
      <c r="I784" s="42" t="str">
        <f>Data!Q782</f>
        <v>Cliente, Vel Max 40 Km/h, Vel Max 20 Km/h</v>
      </c>
      <c r="J784" s="43">
        <f>Data!S782</f>
        <v>46174.33421296296</v>
      </c>
      <c r="K784" s="44">
        <f>Data!S782</f>
        <v>46174.33421296296</v>
      </c>
      <c r="L784" s="45">
        <f>Data!T782</f>
        <v>1.9675925925925926E-4</v>
      </c>
      <c r="M784" s="46">
        <f>Data!U782</f>
        <v>0.10150705277919769</v>
      </c>
      <c r="N784" s="46" t="str">
        <f>CONCATENATE(Data!W782," (",Data!V782,")")</f>
        <v>Exceso Velocidad 20 Km/h (Velocidad máxima: 26 kmh)</v>
      </c>
      <c r="O784" s="42" t="str">
        <f>IF(Data!V782&lt;&gt;"",N784,Data!W782)</f>
        <v>Exceso Velocidad 20 Km/h (Velocidad máxima: 26 kmh)</v>
      </c>
      <c r="P784" s="47" t="str">
        <f>Data!X782</f>
        <v>Válido</v>
      </c>
    </row>
    <row r="785" spans="1:16">
      <c r="A785" s="41" t="str">
        <f>Data!A783</f>
        <v>PKU307</v>
      </c>
      <c r="B785" s="41" t="str">
        <f>Data!D783</f>
        <v>Vehicle, Diesel, Frontera Energy Col 2679</v>
      </c>
      <c r="C785" s="41" t="str">
        <f>Data!F783</f>
        <v>Saul</v>
      </c>
      <c r="D785" s="41" t="str">
        <f>Data!G783</f>
        <v>Mejia</v>
      </c>
      <c r="E785" s="41" t="str">
        <f>Data!H783</f>
        <v>Saul.mejia@magnexgroup.com</v>
      </c>
      <c r="F785" s="41" t="str">
        <f>Data!K783</f>
        <v>Company Group</v>
      </c>
      <c r="G785" s="33" t="str">
        <f>Data!M783</f>
        <v>Exceso Velocidad 20 Km/h</v>
      </c>
      <c r="H785" s="41" t="str">
        <f>Data!P783</f>
        <v>ECOPETROL RUBIALES- Quifa - CAÑO SUR, VEREDA PORVENIR: Resguardo Indígena, Puerto Gaitán, Meta, Colombia</v>
      </c>
      <c r="I785" s="42" t="str">
        <f>Data!Q783</f>
        <v>Cliente, Vel Max 40 Km/h, Vel Max 20 Km/h</v>
      </c>
      <c r="J785" s="43">
        <f>Data!S783</f>
        <v>46174.334409722222</v>
      </c>
      <c r="K785" s="44">
        <f>Data!S783</f>
        <v>46174.334409722222</v>
      </c>
      <c r="L785" s="45">
        <f>Data!T783</f>
        <v>2.7167824074074073E-4</v>
      </c>
      <c r="M785" s="46">
        <f>Data!U783</f>
        <v>0.16190037131309509</v>
      </c>
      <c r="N785" s="46" t="str">
        <f>CONCATENATE(Data!W783," (",Data!V783,")")</f>
        <v>Exceso Velocidad 20 Km/h (Velocidad máxima: 28 kmh)</v>
      </c>
      <c r="O785" s="42" t="str">
        <f>IF(Data!V783&lt;&gt;"",N785,Data!W783)</f>
        <v>Exceso Velocidad 20 Km/h (Velocidad máxima: 28 kmh)</v>
      </c>
      <c r="P785" s="47" t="str">
        <f>Data!X783</f>
        <v>Válido</v>
      </c>
    </row>
    <row r="786" spans="1:16">
      <c r="A786" s="41" t="str">
        <f>Data!A784</f>
        <v>PKU307</v>
      </c>
      <c r="B786" s="41" t="str">
        <f>Data!D784</f>
        <v>Vehicle, Diesel, Frontera Energy Col 2679</v>
      </c>
      <c r="C786" s="41" t="str">
        <f>Data!F784</f>
        <v>Saul</v>
      </c>
      <c r="D786" s="41" t="str">
        <f>Data!G784</f>
        <v>Mejia</v>
      </c>
      <c r="E786" s="41" t="str">
        <f>Data!H784</f>
        <v>Saul.mejia@magnexgroup.com</v>
      </c>
      <c r="F786" s="41" t="str">
        <f>Data!K784</f>
        <v>Company Group</v>
      </c>
      <c r="G786" s="33" t="str">
        <f>Data!M784</f>
        <v>Exceso Velocidad 20 Km/h</v>
      </c>
      <c r="H786" s="41" t="str">
        <f>Data!P784</f>
        <v>ECOPETROL RUBIALES- Quifa - CAÑO SUR, VEREDA BUENOS AIRES: 6789, Puerto Gaitán, Meta, Colombia</v>
      </c>
      <c r="I786" s="42" t="str">
        <f>Data!Q784</f>
        <v>Cliente, Vel Max 40 Km/h, Vel Max 20 Km/h</v>
      </c>
      <c r="J786" s="43">
        <f>Data!S784</f>
        <v>46174.340293981484</v>
      </c>
      <c r="K786" s="44">
        <f>Data!S784</f>
        <v>46174.340293981484</v>
      </c>
      <c r="L786" s="45">
        <f>Data!T784</f>
        <v>4.5833333333333332E-4</v>
      </c>
      <c r="M786" s="46">
        <f>Data!U784</f>
        <v>0.24127280712127686</v>
      </c>
      <c r="N786" s="46" t="str">
        <f>CONCATENATE(Data!W784," (",Data!V784,")")</f>
        <v>Exceso Velocidad 20 Km/h (Velocidad máxima: 22 kmh)</v>
      </c>
      <c r="O786" s="42" t="str">
        <f>IF(Data!V784&lt;&gt;"",N786,Data!W784)</f>
        <v>Exceso Velocidad 20 Km/h (Velocidad máxima: 22 kmh)</v>
      </c>
      <c r="P786" s="47" t="str">
        <f>Data!X784</f>
        <v>Válido</v>
      </c>
    </row>
    <row r="787" spans="1:16">
      <c r="A787" s="41" t="str">
        <f>Data!A785</f>
        <v>PKU307</v>
      </c>
      <c r="B787" s="41" t="str">
        <f>Data!D785</f>
        <v>Vehicle, Diesel, Frontera Energy Col 2679</v>
      </c>
      <c r="C787" s="41" t="str">
        <f>Data!F785</f>
        <v>Saul</v>
      </c>
      <c r="D787" s="41" t="str">
        <f>Data!G785</f>
        <v>Mejia</v>
      </c>
      <c r="E787" s="41" t="str">
        <f>Data!H785</f>
        <v>Saul.mejia@magnexgroup.com</v>
      </c>
      <c r="F787" s="41" t="str">
        <f>Data!K785</f>
        <v>Company Group</v>
      </c>
      <c r="G787" s="33" t="str">
        <f>Data!M785</f>
        <v>Exceso Velocidad 20 Km/h</v>
      </c>
      <c r="H787" s="41" t="str">
        <f>Data!P785</f>
        <v>ECOPETROL RUBIALES- Quifa - CAÑO SUR, VEREDA BUENOS AIRES: Rb 445 84 115 363, Puerto Gaitán, Meta, Colombia</v>
      </c>
      <c r="I787" s="42" t="str">
        <f>Data!Q785</f>
        <v>Cliente, Vel Max 40 Km/h, Vel Max 20 Km/h</v>
      </c>
      <c r="J787" s="43">
        <f>Data!S785</f>
        <v>46174.340868055559</v>
      </c>
      <c r="K787" s="44">
        <f>Data!S785</f>
        <v>46174.340868055559</v>
      </c>
      <c r="L787" s="45">
        <f>Data!T785</f>
        <v>1.1574074074074075E-4</v>
      </c>
      <c r="M787" s="46">
        <f>Data!U785</f>
        <v>6.2248293310403824E-2</v>
      </c>
      <c r="N787" s="46" t="str">
        <f>CONCATENATE(Data!W785," (",Data!V785,")")</f>
        <v>Exceso Velocidad 20 Km/h (Velocidad máxima: 26 kmh)</v>
      </c>
      <c r="O787" s="42" t="str">
        <f>IF(Data!V785&lt;&gt;"",N787,Data!W785)</f>
        <v>Exceso Velocidad 20 Km/h (Velocidad máxima: 26 kmh)</v>
      </c>
      <c r="P787" s="47" t="str">
        <f>Data!X785</f>
        <v>Válido</v>
      </c>
    </row>
    <row r="788" spans="1:16">
      <c r="A788" s="41" t="str">
        <f>Data!A786</f>
        <v>PKU307</v>
      </c>
      <c r="B788" s="41" t="str">
        <f>Data!D786</f>
        <v>Vehicle, Diesel, Frontera Energy Col 2679</v>
      </c>
      <c r="C788" s="41" t="str">
        <f>Data!F786</f>
        <v>Saul</v>
      </c>
      <c r="D788" s="41" t="str">
        <f>Data!G786</f>
        <v>Mejia</v>
      </c>
      <c r="E788" s="41" t="str">
        <f>Data!H786</f>
        <v>Saul.mejia@magnexgroup.com</v>
      </c>
      <c r="F788" s="41" t="str">
        <f>Data!K786</f>
        <v>Company Group</v>
      </c>
      <c r="G788" s="33" t="str">
        <f>Data!M786</f>
        <v>Exceso Velocidad 20 Km/h</v>
      </c>
      <c r="H788" s="41" t="str">
        <f>Data!P786</f>
        <v>ECOPETROL RUBIALES- Quifa - CAÑO SUR, VEREDA BUENOS AIRES: Rb 445 84 115 363, Puerto Gaitán, Meta, Colombia</v>
      </c>
      <c r="I788" s="42" t="str">
        <f>Data!Q786</f>
        <v>Cliente, Vel Max 40 Km/h, Vel Max 20 Km/h</v>
      </c>
      <c r="J788" s="43">
        <f>Data!S786</f>
        <v>46174.340983796297</v>
      </c>
      <c r="K788" s="44">
        <f>Data!S786</f>
        <v>46174.340983796297</v>
      </c>
      <c r="L788" s="45">
        <f>Data!T786</f>
        <v>1.6203703703703703E-4</v>
      </c>
      <c r="M788" s="46">
        <f>Data!U786</f>
        <v>8.7798513472080231E-2</v>
      </c>
      <c r="N788" s="46" t="str">
        <f>CONCATENATE(Data!W786," (",Data!V786,")")</f>
        <v>Exceso Velocidad 20 Km/h (Velocidad máxima: 24 kmh)</v>
      </c>
      <c r="O788" s="42" t="str">
        <f>IF(Data!V786&lt;&gt;"",N788,Data!W786)</f>
        <v>Exceso Velocidad 20 Km/h (Velocidad máxima: 24 kmh)</v>
      </c>
      <c r="P788" s="47" t="str">
        <f>Data!X786</f>
        <v>Válido</v>
      </c>
    </row>
    <row r="789" spans="1:16">
      <c r="A789" s="41" t="str">
        <f>Data!A787</f>
        <v>PKU307</v>
      </c>
      <c r="B789" s="41" t="str">
        <f>Data!D787</f>
        <v>Vehicle, Diesel, Frontera Energy Col 2679</v>
      </c>
      <c r="C789" s="41" t="str">
        <f>Data!F787</f>
        <v>Saul</v>
      </c>
      <c r="D789" s="41" t="str">
        <f>Data!G787</f>
        <v>Mejia</v>
      </c>
      <c r="E789" s="41" t="str">
        <f>Data!H787</f>
        <v>Saul.mejia@magnexgroup.com</v>
      </c>
      <c r="F789" s="41" t="str">
        <f>Data!K787</f>
        <v>Company Group</v>
      </c>
      <c r="G789" s="33" t="str">
        <f>Data!M787</f>
        <v>Exceso Velocidad 20 Km/h</v>
      </c>
      <c r="H789" s="41" t="str">
        <f>Data!P787</f>
        <v>ECOPETROL RUBIALES- Quifa - CAÑO SUR, VEREDA BUENOS AIRES: Rb 445 84 115 363, Puerto Gaitán, Meta, Colombia</v>
      </c>
      <c r="I789" s="42" t="str">
        <f>Data!Q787</f>
        <v>Cliente, Vel Max 40 Km/h, Vel Max 20 Km/h</v>
      </c>
      <c r="J789" s="43">
        <f>Data!S787</f>
        <v>46174.341224745367</v>
      </c>
      <c r="K789" s="44">
        <f>Data!S787</f>
        <v>46174.341224745367</v>
      </c>
      <c r="L789" s="45">
        <f>Data!T787</f>
        <v>5.6122685185185183E-5</v>
      </c>
      <c r="M789" s="46">
        <f>Data!U787</f>
        <v>2.5325275957584381E-2</v>
      </c>
      <c r="N789" s="46" t="str">
        <f>CONCATENATE(Data!W787," (",Data!V787,")")</f>
        <v>Exceso Velocidad 20 Km/h (Velocidad máxima: 24 kmh)</v>
      </c>
      <c r="O789" s="42" t="str">
        <f>IF(Data!V787&lt;&gt;"",N789,Data!W787)</f>
        <v>Exceso Velocidad 20 Km/h (Velocidad máxima: 24 kmh)</v>
      </c>
      <c r="P789" s="47" t="str">
        <f>Data!X787</f>
        <v>Válido</v>
      </c>
    </row>
    <row r="790" spans="1:16">
      <c r="A790" s="41" t="str">
        <f>Data!A788</f>
        <v>PKU307</v>
      </c>
      <c r="B790" s="41" t="str">
        <f>Data!D788</f>
        <v>Vehicle, Diesel, Frontera Energy Col 2679</v>
      </c>
      <c r="C790" s="41" t="str">
        <f>Data!F788</f>
        <v>Saul</v>
      </c>
      <c r="D790" s="41" t="str">
        <f>Data!G788</f>
        <v>Mejia</v>
      </c>
      <c r="E790" s="41" t="str">
        <f>Data!H788</f>
        <v>Saul.mejia@magnexgroup.com</v>
      </c>
      <c r="F790" s="41" t="str">
        <f>Data!K788</f>
        <v>Company Group</v>
      </c>
      <c r="G790" s="33" t="str">
        <f>Data!M788</f>
        <v>Exceso Velocidad 20 Km/h</v>
      </c>
      <c r="H790" s="41" t="str">
        <f>Data!P788</f>
        <v>ECOPETROL RUBIALES- Quifa - CAÑO SUR, VEREDA BUENOS AIRES: Rb 445 84 115 363, Puerto Gaitán, Meta, Colombia</v>
      </c>
      <c r="I790" s="42" t="str">
        <f>Data!Q788</f>
        <v>Cliente, Vel Max 40 Km/h, Vel Max 20 Km/h</v>
      </c>
      <c r="J790" s="43">
        <f>Data!S788</f>
        <v>46174.341319444444</v>
      </c>
      <c r="K790" s="44">
        <f>Data!S788</f>
        <v>46174.341319444444</v>
      </c>
      <c r="L790" s="45">
        <f>Data!T788</f>
        <v>6.6134259259259258E-5</v>
      </c>
      <c r="M790" s="46">
        <f>Data!U788</f>
        <v>3.1236970797181129E-2</v>
      </c>
      <c r="N790" s="46" t="str">
        <f>CONCATENATE(Data!W788," (",Data!V788,")")</f>
        <v>Exceso Velocidad 20 Km/h (Velocidad máxima: 24 kmh)</v>
      </c>
      <c r="O790" s="42" t="str">
        <f>IF(Data!V788&lt;&gt;"",N790,Data!W788)</f>
        <v>Exceso Velocidad 20 Km/h (Velocidad máxima: 24 kmh)</v>
      </c>
      <c r="P790" s="47" t="str">
        <f>Data!X788</f>
        <v>Válido</v>
      </c>
    </row>
    <row r="791" spans="1:16">
      <c r="A791" s="41" t="str">
        <f>Data!A789</f>
        <v>PKU307</v>
      </c>
      <c r="B791" s="41" t="str">
        <f>Data!D789</f>
        <v>Vehicle, Diesel, Frontera Energy Col 2679</v>
      </c>
      <c r="C791" s="41" t="str">
        <f>Data!F789</f>
        <v>Saul</v>
      </c>
      <c r="D791" s="41" t="str">
        <f>Data!G789</f>
        <v>Mejia</v>
      </c>
      <c r="E791" s="41" t="str">
        <f>Data!H789</f>
        <v>Saul.mejia@magnexgroup.com</v>
      </c>
      <c r="F791" s="41" t="str">
        <f>Data!K789</f>
        <v>Company Group</v>
      </c>
      <c r="G791" s="33" t="str">
        <f>Data!M789</f>
        <v>Exceso Velocidad 20 Km/h</v>
      </c>
      <c r="H791" s="41" t="str">
        <f>Data!P789</f>
        <v>ECOPETROL RUBIALES- Quifa - CAÑO SUR, VEREDA BUENOS AIRES: Panadería Canaima, Puerto Gaitán, Meta, Colombia</v>
      </c>
      <c r="I791" s="42" t="str">
        <f>Data!Q789</f>
        <v>Cliente, Vel Max 40 Km/h, Vel Max 20 Km/h</v>
      </c>
      <c r="J791" s="43">
        <f>Data!S789</f>
        <v>46174.341487268619</v>
      </c>
      <c r="K791" s="44">
        <f>Data!S789</f>
        <v>46174.341487268619</v>
      </c>
      <c r="L791" s="45">
        <f>Data!T789</f>
        <v>5.0428240740740743E-5</v>
      </c>
      <c r="M791" s="46">
        <f>Data!U789</f>
        <v>2.5937601923942566E-2</v>
      </c>
      <c r="N791" s="46" t="str">
        <f>CONCATENATE(Data!W789," (",Data!V789,")")</f>
        <v>Exceso Velocidad 20 Km/h (Velocidad máxima: 22 kmh)</v>
      </c>
      <c r="O791" s="42" t="str">
        <f>IF(Data!V789&lt;&gt;"",N791,Data!W789)</f>
        <v>Exceso Velocidad 20 Km/h (Velocidad máxima: 22 kmh)</v>
      </c>
      <c r="P791" s="47" t="str">
        <f>Data!X789</f>
        <v>Válido</v>
      </c>
    </row>
    <row r="792" spans="1:16">
      <c r="A792" s="41" t="str">
        <f>Data!A790</f>
        <v>PKU307</v>
      </c>
      <c r="B792" s="41" t="str">
        <f>Data!D790</f>
        <v>Vehicle, Diesel, Frontera Energy Col 2679</v>
      </c>
      <c r="C792" s="41" t="str">
        <f>Data!F790</f>
        <v>Saul</v>
      </c>
      <c r="D792" s="41" t="str">
        <f>Data!G790</f>
        <v>Mejia</v>
      </c>
      <c r="E792" s="41" t="str">
        <f>Data!H790</f>
        <v>Saul.mejia@magnexgroup.com</v>
      </c>
      <c r="F792" s="41" t="str">
        <f>Data!K790</f>
        <v>Company Group</v>
      </c>
      <c r="G792" s="33" t="str">
        <f>Data!M790</f>
        <v>Exceso Velocidad 20 Km/h</v>
      </c>
      <c r="H792" s="41" t="str">
        <f>Data!P790</f>
        <v>ECOPETROL RUBIALES- Quifa - CAÑO SUR, VEREDA BUENOS AIRES: Panadería Canaima, Puerto Gaitán, Meta, Colombia</v>
      </c>
      <c r="I792" s="42" t="str">
        <f>Data!Q790</f>
        <v>Cliente, Vel Max 40 Km/h, Vel Max 20 Km/h</v>
      </c>
      <c r="J792" s="43">
        <f>Data!S790</f>
        <v>46174.34164608796</v>
      </c>
      <c r="K792" s="44">
        <f>Data!S790</f>
        <v>46174.34164608796</v>
      </c>
      <c r="L792" s="45">
        <f>Data!T790</f>
        <v>2.057638888888889E-4</v>
      </c>
      <c r="M792" s="46">
        <f>Data!U790</f>
        <v>0.1082402765750885</v>
      </c>
      <c r="N792" s="46" t="str">
        <f>CONCATENATE(Data!W790," (",Data!V790,")")</f>
        <v>Exceso Velocidad 20 Km/h (Velocidad máxima: 24 kmh)</v>
      </c>
      <c r="O792" s="42" t="str">
        <f>IF(Data!V790&lt;&gt;"",N792,Data!W790)</f>
        <v>Exceso Velocidad 20 Km/h (Velocidad máxima: 24 kmh)</v>
      </c>
      <c r="P792" s="47" t="str">
        <f>Data!X790</f>
        <v>Válido</v>
      </c>
    </row>
    <row r="793" spans="1:16">
      <c r="A793" s="41" t="str">
        <f>Data!A791</f>
        <v>PKU307</v>
      </c>
      <c r="B793" s="41" t="str">
        <f>Data!D791</f>
        <v>Vehicle, Diesel, Frontera Energy Col 2679</v>
      </c>
      <c r="C793" s="41" t="str">
        <f>Data!F791</f>
        <v>Saul</v>
      </c>
      <c r="D793" s="41" t="str">
        <f>Data!G791</f>
        <v>Mejia</v>
      </c>
      <c r="E793" s="41" t="str">
        <f>Data!H791</f>
        <v>Saul.mejia@magnexgroup.com</v>
      </c>
      <c r="F793" s="41" t="str">
        <f>Data!K791</f>
        <v>Company Group</v>
      </c>
      <c r="G793" s="33" t="str">
        <f>Data!M791</f>
        <v>Exceso Velocidad 20 Km/h</v>
      </c>
      <c r="H793" s="41" t="str">
        <f>Data!P791</f>
        <v>ECOPETROL RUBIALES- Quifa - CAÑO SUR, VEREDA BUENOS AIRES: Panadería Canaima, Puerto Gaitán, Meta, Colombia</v>
      </c>
      <c r="I793" s="42" t="str">
        <f>Data!Q791</f>
        <v>Cliente, Vel Max 40 Km/h, Vel Max 20 Km/h</v>
      </c>
      <c r="J793" s="43">
        <f>Data!S791</f>
        <v>46174.341851851852</v>
      </c>
      <c r="K793" s="44">
        <f>Data!S791</f>
        <v>46174.341851851852</v>
      </c>
      <c r="L793" s="45">
        <f>Data!T791</f>
        <v>2.8739583333333335E-4</v>
      </c>
      <c r="M793" s="46">
        <f>Data!U791</f>
        <v>0.19201041758060455</v>
      </c>
      <c r="N793" s="46" t="str">
        <f>CONCATENATE(Data!W791," (",Data!V791,")")</f>
        <v>Exceso Velocidad 20 Km/h (Velocidad máxima: 31 kmh)</v>
      </c>
      <c r="O793" s="42" t="str">
        <f>IF(Data!V791&lt;&gt;"",N793,Data!W791)</f>
        <v>Exceso Velocidad 20 Km/h (Velocidad máxima: 31 kmh)</v>
      </c>
      <c r="P793" s="47" t="str">
        <f>Data!X791</f>
        <v>Válido</v>
      </c>
    </row>
    <row r="794" spans="1:16">
      <c r="A794" s="41" t="str">
        <f>Data!A792</f>
        <v>PKU307</v>
      </c>
      <c r="B794" s="41" t="str">
        <f>Data!D792</f>
        <v>Vehicle, Diesel, Frontera Energy Col 2679</v>
      </c>
      <c r="C794" s="41" t="str">
        <f>Data!F792</f>
        <v>Saul</v>
      </c>
      <c r="D794" s="41" t="str">
        <f>Data!G792</f>
        <v>Mejia</v>
      </c>
      <c r="E794" s="41" t="str">
        <f>Data!H792</f>
        <v>Saul.mejia@magnexgroup.com</v>
      </c>
      <c r="F794" s="41" t="str">
        <f>Data!K792</f>
        <v>Company Group</v>
      </c>
      <c r="G794" s="33" t="str">
        <f>Data!M792</f>
        <v>Exceso Velocidad 20 Km/h</v>
      </c>
      <c r="H794" s="41" t="str">
        <f>Data!P792</f>
        <v>ECOPETROL RUBIALES- Quifa - CAÑO SUR, CAMPAMENTO ARRAYANES: Campamento Manacacias, Puerto Gaitán, Meta, Colombia</v>
      </c>
      <c r="I794" s="42" t="str">
        <f>Data!Q792</f>
        <v>Cliente, Vel Max 40 Km/h, Vel Max 20 Km/h</v>
      </c>
      <c r="J794" s="43">
        <f>Data!S792</f>
        <v>46174.347522476855</v>
      </c>
      <c r="K794" s="44">
        <f>Data!S792</f>
        <v>46174.347522476855</v>
      </c>
      <c r="L794" s="45">
        <f>Data!T792</f>
        <v>7.3194444444444446E-4</v>
      </c>
      <c r="M794" s="46">
        <f>Data!U792</f>
        <v>0.52862012386322021</v>
      </c>
      <c r="N794" s="46" t="str">
        <f>CONCATENATE(Data!W792," (",Data!V792,")")</f>
        <v>Exceso Velocidad 20 Km/h (Velocidad máxima: 33 kmh)</v>
      </c>
      <c r="O794" s="42" t="str">
        <f>IF(Data!V792&lt;&gt;"",N794,Data!W792)</f>
        <v>Exceso Velocidad 20 Km/h (Velocidad máxima: 33 kmh)</v>
      </c>
      <c r="P794" s="47" t="str">
        <f>Data!X792</f>
        <v>Válido</v>
      </c>
    </row>
    <row r="795" spans="1:16">
      <c r="A795" s="41" t="str">
        <f>Data!A793</f>
        <v>PKU307</v>
      </c>
      <c r="B795" s="41" t="str">
        <f>Data!D793</f>
        <v>Vehicle, Diesel, Frontera Energy Col 2679</v>
      </c>
      <c r="C795" s="41" t="str">
        <f>Data!F793</f>
        <v>Saul</v>
      </c>
      <c r="D795" s="41" t="str">
        <f>Data!G793</f>
        <v>Mejia</v>
      </c>
      <c r="E795" s="41" t="str">
        <f>Data!H793</f>
        <v>Saul.mejia@magnexgroup.com</v>
      </c>
      <c r="F795" s="41" t="str">
        <f>Data!K793</f>
        <v>Company Group</v>
      </c>
      <c r="G795" s="33" t="str">
        <f>Data!M793</f>
        <v>Exceso Velocidad 20 Km/h</v>
      </c>
      <c r="H795" s="41" t="str">
        <f>Data!P793</f>
        <v>ECOPETROL RUBIALES- Quifa - CAÑO SUR, CAMPAMENTO ARRAYANES: Paradero Arrayanes, Puerto Gaitán, Meta, Colombia</v>
      </c>
      <c r="I795" s="42" t="str">
        <f>Data!Q793</f>
        <v>Cliente, Vel Max 40 Km/h, Vel Max 20 Km/h</v>
      </c>
      <c r="J795" s="43">
        <f>Data!S793</f>
        <v>46174.348425925928</v>
      </c>
      <c r="K795" s="44">
        <f>Data!S793</f>
        <v>46174.348425925928</v>
      </c>
      <c r="L795" s="45">
        <f>Data!T793</f>
        <v>2.199074074074074E-4</v>
      </c>
      <c r="M795" s="46">
        <f>Data!U793</f>
        <v>0.13188214600086212</v>
      </c>
      <c r="N795" s="46" t="str">
        <f>CONCATENATE(Data!W793," (",Data!V793,")")</f>
        <v>Exceso Velocidad 20 Km/h (Velocidad máxima: 28 kmh)</v>
      </c>
      <c r="O795" s="42" t="str">
        <f>IF(Data!V793&lt;&gt;"",N795,Data!W793)</f>
        <v>Exceso Velocidad 20 Km/h (Velocidad máxima: 28 kmh)</v>
      </c>
      <c r="P795" s="47" t="str">
        <f>Data!X793</f>
        <v>Válido</v>
      </c>
    </row>
    <row r="796" spans="1:16">
      <c r="A796" s="41" t="str">
        <f>Data!A794</f>
        <v>PKU307</v>
      </c>
      <c r="B796" s="41" t="str">
        <f>Data!D794</f>
        <v>Vehicle, Diesel, Frontera Energy Col 2679</v>
      </c>
      <c r="C796" s="41" t="str">
        <f>Data!F794</f>
        <v>Saul</v>
      </c>
      <c r="D796" s="41" t="str">
        <f>Data!G794</f>
        <v>Mejia</v>
      </c>
      <c r="E796" s="41" t="str">
        <f>Data!H794</f>
        <v>Saul.mejia@magnexgroup.com</v>
      </c>
      <c r="F796" s="41" t="str">
        <f>Data!K794</f>
        <v>Company Group</v>
      </c>
      <c r="G796" s="33" t="str">
        <f>Data!M794</f>
        <v>Exceso Velocidad 20 Km/h</v>
      </c>
      <c r="H796" s="41" t="str">
        <f>Data!P794</f>
        <v>ECOPETROL RUBIALES- Quifa - CAÑO SUR, CAMPAMENTO ARRAYANES: Vía Arrayanes, Puerto Gaitán, Meta, Colombia</v>
      </c>
      <c r="I796" s="42" t="str">
        <f>Data!Q794</f>
        <v>Cliente, Vel Max 40 Km/h, Vel Max 20 Km/h</v>
      </c>
      <c r="J796" s="43">
        <f>Data!S794</f>
        <v>46174.34874228009</v>
      </c>
      <c r="K796" s="44">
        <f>Data!S794</f>
        <v>46174.34874228009</v>
      </c>
      <c r="L796" s="45">
        <f>Data!T794</f>
        <v>1.1574074074074075E-4</v>
      </c>
      <c r="M796" s="46">
        <f>Data!U794</f>
        <v>5.7357858866453171E-2</v>
      </c>
      <c r="N796" s="46" t="str">
        <f>CONCATENATE(Data!W794," (",Data!V794,")")</f>
        <v>Exceso Velocidad 20 Km/h (Velocidad máxima: 24 kmh)</v>
      </c>
      <c r="O796" s="42" t="str">
        <f>IF(Data!V794&lt;&gt;"",N796,Data!W794)</f>
        <v>Exceso Velocidad 20 Km/h (Velocidad máxima: 24 kmh)</v>
      </c>
      <c r="P796" s="47" t="str">
        <f>Data!X794</f>
        <v>Válido</v>
      </c>
    </row>
    <row r="797" spans="1:16">
      <c r="A797" s="41" t="str">
        <f>Data!A795</f>
        <v>PKU307</v>
      </c>
      <c r="B797" s="41" t="str">
        <f>Data!D795</f>
        <v>Vehicle, Diesel, Frontera Energy Col 2679</v>
      </c>
      <c r="C797" s="41" t="str">
        <f>Data!F795</f>
        <v>Saul</v>
      </c>
      <c r="D797" s="41" t="str">
        <f>Data!G795</f>
        <v>Mejia</v>
      </c>
      <c r="E797" s="41" t="str">
        <f>Data!H795</f>
        <v>Saul.mejia@magnexgroup.com</v>
      </c>
      <c r="F797" s="41" t="str">
        <f>Data!K795</f>
        <v>Company Group</v>
      </c>
      <c r="G797" s="33" t="str">
        <f>Data!M795</f>
        <v>Exceso Velocidad 20 Km/h</v>
      </c>
      <c r="H797" s="41" t="str">
        <f>Data!P795</f>
        <v>ECOPETROL RUBIALES- Quifa - CAÑO SUR, CAMPAMENTO ARRAYANES: Vía Arrayanes, Puerto Gaitán, Meta, Colombia</v>
      </c>
      <c r="I797" s="42" t="str">
        <f>Data!Q795</f>
        <v>Cliente, Vel Max 40 Km/h, Vel Max 20 Km/h</v>
      </c>
      <c r="J797" s="43">
        <f>Data!S795</f>
        <v>46174.349100115738</v>
      </c>
      <c r="K797" s="44">
        <f>Data!S795</f>
        <v>46174.349100115738</v>
      </c>
      <c r="L797" s="45">
        <f>Data!T795</f>
        <v>1.0127314814814815E-4</v>
      </c>
      <c r="M797" s="46">
        <f>Data!U795</f>
        <v>4.6146824955940247E-2</v>
      </c>
      <c r="N797" s="46" t="str">
        <f>CONCATENATE(Data!W795," (",Data!V795,")")</f>
        <v>Exceso Velocidad 20 Km/h (Velocidad máxima: 22 kmh)</v>
      </c>
      <c r="O797" s="42" t="str">
        <f>IF(Data!V795&lt;&gt;"",N797,Data!W795)</f>
        <v>Exceso Velocidad 20 Km/h (Velocidad máxima: 22 kmh)</v>
      </c>
      <c r="P797" s="47" t="str">
        <f>Data!X795</f>
        <v>Válido</v>
      </c>
    </row>
    <row r="798" spans="1:16">
      <c r="A798" s="41" t="str">
        <f>Data!A796</f>
        <v>PKU307</v>
      </c>
      <c r="B798" s="41" t="str">
        <f>Data!D796</f>
        <v>Vehicle, Diesel, Frontera Energy Col 2679</v>
      </c>
      <c r="C798" s="41" t="str">
        <f>Data!F796</f>
        <v>Saul</v>
      </c>
      <c r="D798" s="41" t="str">
        <f>Data!G796</f>
        <v>Mejia</v>
      </c>
      <c r="E798" s="41" t="str">
        <f>Data!H796</f>
        <v>Saul.mejia@magnexgroup.com</v>
      </c>
      <c r="F798" s="41" t="str">
        <f>Data!K796</f>
        <v>Company Group</v>
      </c>
      <c r="G798" s="33" t="str">
        <f>Data!M796</f>
        <v>Exceso Velocidad 40 Km/h</v>
      </c>
      <c r="H798" s="41" t="str">
        <f>Data!P796</f>
        <v>ECOPETROL RUBIALES- Quifa - CAÑO SUR: Vía La Culebra, Puerto Gaitán, Meta, Colombia</v>
      </c>
      <c r="I798" s="42" t="str">
        <f>Data!Q796</f>
        <v>Cliente, Vel Max 40 Km/h</v>
      </c>
      <c r="J798" s="43">
        <f>Data!S796</f>
        <v>46174.404952418983</v>
      </c>
      <c r="K798" s="44">
        <f>Data!S796</f>
        <v>46174.404952418983</v>
      </c>
      <c r="L798" s="45">
        <f>Data!T796</f>
        <v>3.6006944444444445E-5</v>
      </c>
      <c r="M798" s="46">
        <f>Data!U796</f>
        <v>3.3617325127124786E-2</v>
      </c>
      <c r="N798" s="46" t="str">
        <f>CONCATENATE(Data!W796," (",Data!V796,")")</f>
        <v>Exceso Velocidad 40 Km/h (Velocidad máxima: 42 kmh)</v>
      </c>
      <c r="O798" s="42" t="str">
        <f>IF(Data!V796&lt;&gt;"",N798,Data!W796)</f>
        <v>Exceso Velocidad 40 Km/h (Velocidad máxima: 42 kmh)</v>
      </c>
      <c r="P798" s="47" t="str">
        <f>Data!X796</f>
        <v>Válido</v>
      </c>
    </row>
    <row r="799" spans="1:16">
      <c r="A799" s="41" t="str">
        <f>Data!A797</f>
        <v>PKU307</v>
      </c>
      <c r="B799" s="41" t="str">
        <f>Data!D797</f>
        <v>Vehicle, Diesel, Frontera Energy Col 2679</v>
      </c>
      <c r="C799" s="41" t="str">
        <f>Data!F797</f>
        <v>Saul</v>
      </c>
      <c r="D799" s="41" t="str">
        <f>Data!G797</f>
        <v>Mejia</v>
      </c>
      <c r="E799" s="41" t="str">
        <f>Data!H797</f>
        <v>Saul.mejia@magnexgroup.com</v>
      </c>
      <c r="F799" s="41" t="str">
        <f>Data!K797</f>
        <v>Company Group</v>
      </c>
      <c r="G799" s="33" t="str">
        <f>Data!M797</f>
        <v>Exceso Velocidad 40 Km/h</v>
      </c>
      <c r="H799" s="41" t="str">
        <f>Data!P797</f>
        <v>ECOPETROL RUBIALES- Quifa - CAÑO SUR: Vía La Culebra, Puerto Gaitán, Meta, Colombia</v>
      </c>
      <c r="I799" s="42" t="str">
        <f>Data!Q797</f>
        <v>Cliente, Vel Max 40 Km/h</v>
      </c>
      <c r="J799" s="43">
        <f>Data!S797</f>
        <v>46174.4065625</v>
      </c>
      <c r="K799" s="44">
        <f>Data!S797</f>
        <v>46174.4065625</v>
      </c>
      <c r="L799" s="45">
        <f>Data!T797</f>
        <v>1.591435185185185E-5</v>
      </c>
      <c r="M799" s="46">
        <f>Data!U797</f>
        <v>1.4947501942515373E-2</v>
      </c>
      <c r="N799" s="46" t="str">
        <f>CONCATENATE(Data!W797," (",Data!V797,")")</f>
        <v>Exceso Velocidad 40 Km/h (Velocidad máxima: 41 kmh)</v>
      </c>
      <c r="O799" s="42" t="str">
        <f>IF(Data!V797&lt;&gt;"",N799,Data!W797)</f>
        <v>Exceso Velocidad 40 Km/h (Velocidad máxima: 41 kmh)</v>
      </c>
      <c r="P799" s="47" t="str">
        <f>Data!X797</f>
        <v>Válido</v>
      </c>
    </row>
    <row r="800" spans="1:16">
      <c r="A800" s="41" t="str">
        <f>Data!A798</f>
        <v>PKU307</v>
      </c>
      <c r="B800" s="41" t="str">
        <f>Data!D798</f>
        <v>Vehicle, Diesel, Frontera Energy Col 2679</v>
      </c>
      <c r="C800" s="41" t="str">
        <f>Data!F798</f>
        <v>Saul</v>
      </c>
      <c r="D800" s="41" t="str">
        <f>Data!G798</f>
        <v>Mejia</v>
      </c>
      <c r="E800" s="41" t="str">
        <f>Data!H798</f>
        <v>Saul.mejia@magnexgroup.com</v>
      </c>
      <c r="F800" s="41" t="str">
        <f>Data!K798</f>
        <v>Company Group</v>
      </c>
      <c r="G800" s="33" t="str">
        <f>Data!M798</f>
        <v>Exceso Velocidad 40 Km/h</v>
      </c>
      <c r="H800" s="41" t="str">
        <f>Data!P798</f>
        <v>ECOPETROL RUBIALES- Quifa - CAÑO SUR: Vía La Culebra, Puerto Gaitán, Meta, Colombia</v>
      </c>
      <c r="I800" s="42" t="str">
        <f>Data!Q798</f>
        <v>Cliente, Vel Max 40 Km/h</v>
      </c>
      <c r="J800" s="43">
        <f>Data!S798</f>
        <v>46174.407342592589</v>
      </c>
      <c r="K800" s="44">
        <f>Data!S798</f>
        <v>46174.407342592589</v>
      </c>
      <c r="L800" s="45">
        <f>Data!T798</f>
        <v>4.9386574074074076E-5</v>
      </c>
      <c r="M800" s="46">
        <f>Data!U798</f>
        <v>4.7104999423027039E-2</v>
      </c>
      <c r="N800" s="46" t="str">
        <f>CONCATENATE(Data!W798," (",Data!V798,")")</f>
        <v>Exceso Velocidad 40 Km/h (Velocidad máxima: 42 kmh)</v>
      </c>
      <c r="O800" s="42" t="str">
        <f>IF(Data!V798&lt;&gt;"",N800,Data!W798)</f>
        <v>Exceso Velocidad 40 Km/h (Velocidad máxima: 42 kmh)</v>
      </c>
      <c r="P800" s="47" t="str">
        <f>Data!X798</f>
        <v>Válido</v>
      </c>
    </row>
    <row r="801" spans="1:16">
      <c r="A801" s="41" t="str">
        <f>Data!A799</f>
        <v>PKU307</v>
      </c>
      <c r="B801" s="41" t="str">
        <f>Data!D799</f>
        <v>Vehicle, Diesel, Frontera Energy Col 2679</v>
      </c>
      <c r="C801" s="41" t="str">
        <f>Data!F799</f>
        <v>Saul</v>
      </c>
      <c r="D801" s="41" t="str">
        <f>Data!G799</f>
        <v>Mejia</v>
      </c>
      <c r="E801" s="41" t="str">
        <f>Data!H799</f>
        <v>Saul.mejia@magnexgroup.com</v>
      </c>
      <c r="F801" s="41" t="str">
        <f>Data!K799</f>
        <v>Company Group</v>
      </c>
      <c r="G801" s="33" t="str">
        <f>Data!M799</f>
        <v>Exceso Velocidad 40 Km/h</v>
      </c>
      <c r="H801" s="41" t="str">
        <f>Data!P799</f>
        <v>ECOPETROL RUBIALES- Quifa - CAÑO SUR: Vía La Culebra, Puerto Gaitán, Meta, Colombia</v>
      </c>
      <c r="I801" s="42" t="str">
        <f>Data!Q799</f>
        <v>Cliente, Vel Max 40 Km/h</v>
      </c>
      <c r="J801" s="43">
        <f>Data!S799</f>
        <v>46174.408567708335</v>
      </c>
      <c r="K801" s="44">
        <f>Data!S799</f>
        <v>46174.408567708335</v>
      </c>
      <c r="L801" s="45">
        <f>Data!T799</f>
        <v>4.3402777777777779E-5</v>
      </c>
      <c r="M801" s="46">
        <f>Data!U799</f>
        <v>3.8767401129007339E-2</v>
      </c>
      <c r="N801" s="46" t="str">
        <f>CONCATENATE(Data!W799," (",Data!V799,")")</f>
        <v>Exceso Velocidad 40 Km/h (Velocidad máxima: 41 kmh)</v>
      </c>
      <c r="O801" s="42" t="str">
        <f>IF(Data!V799&lt;&gt;"",N801,Data!W799)</f>
        <v>Exceso Velocidad 40 Km/h (Velocidad máxima: 41 kmh)</v>
      </c>
      <c r="P801" s="47" t="str">
        <f>Data!X799</f>
        <v>Válido</v>
      </c>
    </row>
    <row r="802" spans="1:16">
      <c r="A802" s="41" t="str">
        <f>Data!A800</f>
        <v>PKU307</v>
      </c>
      <c r="B802" s="41" t="str">
        <f>Data!D800</f>
        <v>Vehicle, Diesel, Frontera Energy Col 2679</v>
      </c>
      <c r="C802" s="41" t="str">
        <f>Data!F800</f>
        <v>Saul</v>
      </c>
      <c r="D802" s="41" t="str">
        <f>Data!G800</f>
        <v>Mejia</v>
      </c>
      <c r="E802" s="41" t="str">
        <f>Data!H800</f>
        <v>Saul.mejia@magnexgroup.com</v>
      </c>
      <c r="F802" s="41" t="str">
        <f>Data!K800</f>
        <v>Company Group</v>
      </c>
      <c r="G802" s="33" t="str">
        <f>Data!M800</f>
        <v>Exceso Velocidad 40 Km/h</v>
      </c>
      <c r="H802" s="41" t="str">
        <f>Data!P800</f>
        <v>ECOPETROL RUBIALES- Quifa - CAÑO SUR: Vía La Culebra, Puerto Gaitán, Meta, Colombia</v>
      </c>
      <c r="I802" s="42" t="str">
        <f>Data!Q800</f>
        <v>Cliente, Vel Max 40 Km/h</v>
      </c>
      <c r="J802" s="43">
        <f>Data!S800</f>
        <v>46174.410300925927</v>
      </c>
      <c r="K802" s="44">
        <f>Data!S800</f>
        <v>46174.410300925927</v>
      </c>
      <c r="L802" s="45">
        <f>Data!T800</f>
        <v>6.172453703703704E-5</v>
      </c>
      <c r="M802" s="46">
        <f>Data!U800</f>
        <v>5.7635240256786346E-2</v>
      </c>
      <c r="N802" s="46" t="str">
        <f>CONCATENATE(Data!W800," (",Data!V800,")")</f>
        <v>Exceso Velocidad 40 Km/h (Velocidad máxima: 41 kmh)</v>
      </c>
      <c r="O802" s="42" t="str">
        <f>IF(Data!V800&lt;&gt;"",N802,Data!W800)</f>
        <v>Exceso Velocidad 40 Km/h (Velocidad máxima: 41 kmh)</v>
      </c>
      <c r="P802" s="47" t="str">
        <f>Data!X800</f>
        <v>Válido</v>
      </c>
    </row>
    <row r="803" spans="1:16">
      <c r="A803" s="41" t="str">
        <f>Data!A801</f>
        <v>PKU307</v>
      </c>
      <c r="B803" s="41" t="str">
        <f>Data!D801</f>
        <v>Vehicle, Diesel, Frontera Energy Col 2679</v>
      </c>
      <c r="C803" s="41" t="str">
        <f>Data!F801</f>
        <v>Saul</v>
      </c>
      <c r="D803" s="41" t="str">
        <f>Data!G801</f>
        <v>Mejia</v>
      </c>
      <c r="E803" s="41" t="str">
        <f>Data!H801</f>
        <v>Saul.mejia@magnexgroup.com</v>
      </c>
      <c r="F803" s="41" t="str">
        <f>Data!K801</f>
        <v>Company Group</v>
      </c>
      <c r="G803" s="33" t="str">
        <f>Data!M801</f>
        <v>Exceso Velocidad 40 Km/h</v>
      </c>
      <c r="H803" s="41" t="str">
        <f>Data!P801</f>
        <v>ECOPETROL RUBIALES- Quifa - CAÑO SUR: Vía La Culebra, Puerto Gaitán, Meta, Colombia</v>
      </c>
      <c r="I803" s="42" t="str">
        <f>Data!Q801</f>
        <v>Cliente, Vel Max 40 Km/h</v>
      </c>
      <c r="J803" s="43">
        <f>Data!S801</f>
        <v>46174.411660879734</v>
      </c>
      <c r="K803" s="44">
        <f>Data!S801</f>
        <v>46174.411660879734</v>
      </c>
      <c r="L803" s="45">
        <f>Data!T801</f>
        <v>6.3657507407407395E-5</v>
      </c>
      <c r="M803" s="46">
        <f>Data!U801</f>
        <v>6.0702603310346603E-2</v>
      </c>
      <c r="N803" s="46" t="str">
        <f>CONCATENATE(Data!W801," (",Data!V801,")")</f>
        <v>Exceso Velocidad 40 Km/h (Velocidad máxima: 41 kmh)</v>
      </c>
      <c r="O803" s="42" t="str">
        <f>IF(Data!V801&lt;&gt;"",N803,Data!W801)</f>
        <v>Exceso Velocidad 40 Km/h (Velocidad máxima: 41 kmh)</v>
      </c>
      <c r="P803" s="47" t="str">
        <f>Data!X801</f>
        <v>Válido</v>
      </c>
    </row>
    <row r="804" spans="1:16">
      <c r="A804" s="41" t="str">
        <f>Data!A802</f>
        <v>PKU307</v>
      </c>
      <c r="B804" s="41" t="str">
        <f>Data!D802</f>
        <v>Vehicle, Diesel, Frontera Energy Col 2679</v>
      </c>
      <c r="C804" s="41" t="str">
        <f>Data!F802</f>
        <v>Saul</v>
      </c>
      <c r="D804" s="41" t="str">
        <f>Data!G802</f>
        <v>Mejia</v>
      </c>
      <c r="E804" s="41" t="str">
        <f>Data!H802</f>
        <v>Saul.mejia@magnexgroup.com</v>
      </c>
      <c r="F804" s="41" t="str">
        <f>Data!K802</f>
        <v>Company Group</v>
      </c>
      <c r="G804" s="33" t="str">
        <f>Data!M802</f>
        <v>Exceso Velocidad 40 Km/h</v>
      </c>
      <c r="H804" s="41" t="str">
        <f>Data!P802</f>
        <v>ECOPETROL RUBIALES- Quifa - CAÑO SUR: Vía La Culebra, Puerto Gaitán, Meta, Colombia</v>
      </c>
      <c r="I804" s="42" t="str">
        <f>Data!Q802</f>
        <v>Cliente, Vel Max 40 Km/h</v>
      </c>
      <c r="J804" s="43">
        <f>Data!S802</f>
        <v>46174.413535879728</v>
      </c>
      <c r="K804" s="44">
        <f>Data!S802</f>
        <v>46174.413535879728</v>
      </c>
      <c r="L804" s="45">
        <f>Data!T802</f>
        <v>5.7870370370370373E-5</v>
      </c>
      <c r="M804" s="46">
        <f>Data!U802</f>
        <v>5.5021330714225769E-2</v>
      </c>
      <c r="N804" s="46" t="str">
        <f>CONCATENATE(Data!W802," (",Data!V802,")")</f>
        <v>Exceso Velocidad 40 Km/h (Velocidad máxima: 41 kmh)</v>
      </c>
      <c r="O804" s="42" t="str">
        <f>IF(Data!V802&lt;&gt;"",N804,Data!W802)</f>
        <v>Exceso Velocidad 40 Km/h (Velocidad máxima: 41 kmh)</v>
      </c>
      <c r="P804" s="47" t="str">
        <f>Data!X802</f>
        <v>Válido</v>
      </c>
    </row>
    <row r="805" spans="1:16">
      <c r="A805" s="41" t="str">
        <f>Data!A803</f>
        <v>PKU307</v>
      </c>
      <c r="B805" s="41" t="str">
        <f>Data!D803</f>
        <v>Vehicle, Diesel, Frontera Energy Col 2679</v>
      </c>
      <c r="C805" s="41" t="str">
        <f>Data!F803</f>
        <v>Saul</v>
      </c>
      <c r="D805" s="41" t="str">
        <f>Data!G803</f>
        <v>Mejia</v>
      </c>
      <c r="E805" s="41" t="str">
        <f>Data!H803</f>
        <v>Saul.mejia@magnexgroup.com</v>
      </c>
      <c r="F805" s="41" t="str">
        <f>Data!K803</f>
        <v>Company Group</v>
      </c>
      <c r="G805" s="33" t="str">
        <f>Data!M803</f>
        <v>Exceso Velocidad 40 Km/h</v>
      </c>
      <c r="H805" s="41" t="str">
        <f>Data!P803</f>
        <v>ECOPETROL RUBIALES- Quifa - CAÑO SUR: Vía La Culebra, Puerto Gaitán, Meta, Colombia</v>
      </c>
      <c r="I805" s="42" t="str">
        <f>Data!Q803</f>
        <v>Cliente, Vel Max 40 Km/h</v>
      </c>
      <c r="J805" s="43">
        <f>Data!S803</f>
        <v>46174.415237268622</v>
      </c>
      <c r="K805" s="44">
        <f>Data!S803</f>
        <v>46174.415237268622</v>
      </c>
      <c r="L805" s="45">
        <f>Data!T803</f>
        <v>6.3657507407407395E-5</v>
      </c>
      <c r="M805" s="46">
        <f>Data!U803</f>
        <v>6.0709025710821152E-2</v>
      </c>
      <c r="N805" s="46" t="str">
        <f>CONCATENATE(Data!W803," (",Data!V803,")")</f>
        <v>Exceso Velocidad 40 Km/h (Velocidad máxima: 41 kmh)</v>
      </c>
      <c r="O805" s="42" t="str">
        <f>IF(Data!V803&lt;&gt;"",N805,Data!W803)</f>
        <v>Exceso Velocidad 40 Km/h (Velocidad máxima: 41 kmh)</v>
      </c>
      <c r="P805" s="47" t="str">
        <f>Data!X803</f>
        <v>Válido</v>
      </c>
    </row>
    <row r="806" spans="1:16">
      <c r="A806" s="41" t="str">
        <f>Data!A804</f>
        <v>PKU307</v>
      </c>
      <c r="B806" s="41" t="str">
        <f>Data!D804</f>
        <v>Vehicle, Diesel, Frontera Energy Col 2679</v>
      </c>
      <c r="C806" s="41" t="str">
        <f>Data!F804</f>
        <v>Saul</v>
      </c>
      <c r="D806" s="41" t="str">
        <f>Data!G804</f>
        <v>Mejia</v>
      </c>
      <c r="E806" s="41" t="str">
        <f>Data!H804</f>
        <v>Saul.mejia@magnexgroup.com</v>
      </c>
      <c r="F806" s="41" t="str">
        <f>Data!K804</f>
        <v>Company Group</v>
      </c>
      <c r="G806" s="33" t="str">
        <f>Data!M804</f>
        <v>Exceso Velocidad 40 Km/h</v>
      </c>
      <c r="H806" s="41" t="str">
        <f>Data!P804</f>
        <v>ECOPETROL RUBIALES- Quifa - CAÑO SUR: Vía La Culebra, Puerto Gaitán, Meta, Colombia</v>
      </c>
      <c r="I806" s="42" t="str">
        <f>Data!Q804</f>
        <v>Cliente, Vel Max 40 Km/h</v>
      </c>
      <c r="J806" s="43">
        <f>Data!S804</f>
        <v>46174.415643182867</v>
      </c>
      <c r="K806" s="44">
        <f>Data!S804</f>
        <v>46174.415643182867</v>
      </c>
      <c r="L806" s="45">
        <f>Data!T804</f>
        <v>3.9687500000000002E-5</v>
      </c>
      <c r="M806" s="46">
        <f>Data!U804</f>
        <v>3.7477817386388779E-2</v>
      </c>
      <c r="N806" s="46" t="str">
        <f>CONCATENATE(Data!W804," (",Data!V804,")")</f>
        <v>Exceso Velocidad 40 Km/h (Velocidad máxima: 42 kmh)</v>
      </c>
      <c r="O806" s="42" t="str">
        <f>IF(Data!V804&lt;&gt;"",N806,Data!W804)</f>
        <v>Exceso Velocidad 40 Km/h (Velocidad máxima: 42 kmh)</v>
      </c>
      <c r="P806" s="47" t="str">
        <f>Data!X804</f>
        <v>Válido</v>
      </c>
    </row>
    <row r="807" spans="1:16">
      <c r="A807" s="41" t="str">
        <f>Data!A805</f>
        <v>PKU307</v>
      </c>
      <c r="B807" s="41" t="str">
        <f>Data!D805</f>
        <v>Vehicle, Diesel, Frontera Energy Col 2679</v>
      </c>
      <c r="C807" s="41" t="str">
        <f>Data!F805</f>
        <v>Saul</v>
      </c>
      <c r="D807" s="41" t="str">
        <f>Data!G805</f>
        <v>Mejia</v>
      </c>
      <c r="E807" s="41" t="str">
        <f>Data!H805</f>
        <v>Saul.mejia@magnexgroup.com</v>
      </c>
      <c r="F807" s="41" t="str">
        <f>Data!K805</f>
        <v>Company Group</v>
      </c>
      <c r="G807" s="33" t="str">
        <f>Data!M805</f>
        <v>Exceso Velocidad 40 Km/h</v>
      </c>
      <c r="H807" s="41" t="str">
        <f>Data!P805</f>
        <v>ECOPETROL RUBIALES- Quifa - CAÑO SUR: Vía La Culebra, Puerto Gaitán, Meta, Colombia</v>
      </c>
      <c r="I807" s="42" t="str">
        <f>Data!Q805</f>
        <v>Cliente, Vel Max 40 Km/h</v>
      </c>
      <c r="J807" s="43">
        <f>Data!S805</f>
        <v>46174.416105324177</v>
      </c>
      <c r="K807" s="44">
        <f>Data!S805</f>
        <v>46174.416105324177</v>
      </c>
      <c r="L807" s="45">
        <f>Data!T805</f>
        <v>4.0509359259259258E-5</v>
      </c>
      <c r="M807" s="46">
        <f>Data!U805</f>
        <v>3.8581281900405884E-2</v>
      </c>
      <c r="N807" s="46" t="str">
        <f>CONCATENATE(Data!W805," (",Data!V805,")")</f>
        <v>Exceso Velocidad 40 Km/h (Velocidad máxima: 41 kmh)</v>
      </c>
      <c r="O807" s="42" t="str">
        <f>IF(Data!V805&lt;&gt;"",N807,Data!W805)</f>
        <v>Exceso Velocidad 40 Km/h (Velocidad máxima: 41 kmh)</v>
      </c>
      <c r="P807" s="47" t="str">
        <f>Data!X805</f>
        <v>Válido</v>
      </c>
    </row>
    <row r="808" spans="1:16">
      <c r="A808" s="41" t="str">
        <f>Data!A806</f>
        <v>PKU307</v>
      </c>
      <c r="B808" s="41" t="str">
        <f>Data!D806</f>
        <v>Vehicle, Diesel, Frontera Energy Col 2679</v>
      </c>
      <c r="C808" s="41" t="str">
        <f>Data!F806</f>
        <v>Saul</v>
      </c>
      <c r="D808" s="41" t="str">
        <f>Data!G806</f>
        <v>Mejia</v>
      </c>
      <c r="E808" s="41" t="str">
        <f>Data!H806</f>
        <v>Saul.mejia@magnexgroup.com</v>
      </c>
      <c r="F808" s="41" t="str">
        <f>Data!K806</f>
        <v>Company Group</v>
      </c>
      <c r="G808" s="33" t="str">
        <f>Data!M806</f>
        <v>Exceso Velocidad 40 Km/h</v>
      </c>
      <c r="H808" s="41" t="str">
        <f>Data!P806</f>
        <v>ECOPETROL RUBIALES- Quifa - CAÑO SUR: Vía La Culebra, Puerto Gaitán, Meta, Colombia</v>
      </c>
      <c r="I808" s="42" t="str">
        <f>Data!Q806</f>
        <v>Cliente, Vel Max 40 Km/h</v>
      </c>
      <c r="J808" s="43">
        <f>Data!S806</f>
        <v>46174.416359953808</v>
      </c>
      <c r="K808" s="44">
        <f>Data!S806</f>
        <v>46174.416359953808</v>
      </c>
      <c r="L808" s="45">
        <f>Data!T806</f>
        <v>2.1215277777777779E-5</v>
      </c>
      <c r="M808" s="46">
        <f>Data!U806</f>
        <v>1.9530633464455605E-2</v>
      </c>
      <c r="N808" s="46" t="str">
        <f>CONCATENATE(Data!W806," (",Data!V806,")")</f>
        <v>Exceso Velocidad 40 Km/h (Velocidad máxima: 41 kmh)</v>
      </c>
      <c r="O808" s="42" t="str">
        <f>IF(Data!V806&lt;&gt;"",N808,Data!W806)</f>
        <v>Exceso Velocidad 40 Km/h (Velocidad máxima: 41 kmh)</v>
      </c>
      <c r="P808" s="47" t="str">
        <f>Data!X806</f>
        <v>Válido</v>
      </c>
    </row>
    <row r="809" spans="1:16">
      <c r="A809" s="41" t="str">
        <f>Data!A807</f>
        <v>PKU307</v>
      </c>
      <c r="B809" s="41" t="str">
        <f>Data!D807</f>
        <v>Vehicle, Diesel, Frontera Energy Col 2679</v>
      </c>
      <c r="C809" s="41" t="str">
        <f>Data!F807</f>
        <v>Saul</v>
      </c>
      <c r="D809" s="41" t="str">
        <f>Data!G807</f>
        <v>Mejia</v>
      </c>
      <c r="E809" s="41" t="str">
        <f>Data!H807</f>
        <v>Saul.mejia@magnexgroup.com</v>
      </c>
      <c r="F809" s="41" t="str">
        <f>Data!K807</f>
        <v>Company Group</v>
      </c>
      <c r="G809" s="33" t="str">
        <f>Data!M807</f>
        <v>Exceso Velocidad 40 Km/h</v>
      </c>
      <c r="H809" s="41" t="str">
        <f>Data!P807</f>
        <v>ECOPETROL RUBIALES- Quifa - CAÑO SUR: Vía La Culebra, Puerto Gaitán, Meta, Colombia</v>
      </c>
      <c r="I809" s="42" t="str">
        <f>Data!Q807</f>
        <v>Cliente, Vel Max 40 Km/h</v>
      </c>
      <c r="J809" s="43">
        <f>Data!S807</f>
        <v>46174.416729363424</v>
      </c>
      <c r="K809" s="44">
        <f>Data!S807</f>
        <v>46174.416729363424</v>
      </c>
      <c r="L809" s="45">
        <f>Data!T807</f>
        <v>5.3043981481481483E-5</v>
      </c>
      <c r="M809" s="46">
        <f>Data!U807</f>
        <v>4.6029746532440186E-2</v>
      </c>
      <c r="N809" s="46" t="str">
        <f>CONCATENATE(Data!W807," (",Data!V807,")")</f>
        <v>Exceso Velocidad 40 Km/h (Velocidad máxima: 41 kmh)</v>
      </c>
      <c r="O809" s="42" t="str">
        <f>IF(Data!V807&lt;&gt;"",N809,Data!W807)</f>
        <v>Exceso Velocidad 40 Km/h (Velocidad máxima: 41 kmh)</v>
      </c>
      <c r="P809" s="47" t="str">
        <f>Data!X807</f>
        <v>Válido</v>
      </c>
    </row>
    <row r="810" spans="1:16">
      <c r="A810" s="41" t="str">
        <f>Data!A808</f>
        <v>PKU307</v>
      </c>
      <c r="B810" s="41" t="str">
        <f>Data!D808</f>
        <v>Vehicle, Diesel, Frontera Energy Col 2679</v>
      </c>
      <c r="C810" s="41" t="str">
        <f>Data!F808</f>
        <v>Saul</v>
      </c>
      <c r="D810" s="41" t="str">
        <f>Data!G808</f>
        <v>Mejia</v>
      </c>
      <c r="E810" s="41" t="str">
        <f>Data!H808</f>
        <v>Saul.mejia@magnexgroup.com</v>
      </c>
      <c r="F810" s="41" t="str">
        <f>Data!K808</f>
        <v>Company Group</v>
      </c>
      <c r="G810" s="33" t="str">
        <f>Data!M808</f>
        <v>Exceso Velocidad 40 Km/h</v>
      </c>
      <c r="H810" s="41" t="str">
        <f>Data!P808</f>
        <v>ECOPETROL RUBIALES- Quifa - CAÑO SUR: Vía La Culebra, Puerto Gaitán, Meta, Colombia</v>
      </c>
      <c r="I810" s="42" t="str">
        <f>Data!Q808</f>
        <v>Cliente, Vel Max 40 Km/h</v>
      </c>
      <c r="J810" s="43">
        <f>Data!S808</f>
        <v>46174.41705729167</v>
      </c>
      <c r="K810" s="44">
        <f>Data!S808</f>
        <v>46174.41705729167</v>
      </c>
      <c r="L810" s="45">
        <f>Data!T808</f>
        <v>8.5844907407407406E-5</v>
      </c>
      <c r="M810" s="46">
        <f>Data!U808</f>
        <v>8.0504536628723145E-2</v>
      </c>
      <c r="N810" s="46" t="str">
        <f>CONCATENATE(Data!W808," (",Data!V808,")")</f>
        <v>Exceso Velocidad 40 Km/h (Velocidad máxima: 41 kmh)</v>
      </c>
      <c r="O810" s="42" t="str">
        <f>IF(Data!V808&lt;&gt;"",N810,Data!W808)</f>
        <v>Exceso Velocidad 40 Km/h (Velocidad máxima: 41 kmh)</v>
      </c>
      <c r="P810" s="47" t="str">
        <f>Data!X808</f>
        <v>Válido</v>
      </c>
    </row>
    <row r="811" spans="1:16">
      <c r="A811" s="41" t="str">
        <f>Data!A809</f>
        <v>PKU307</v>
      </c>
      <c r="B811" s="41" t="str">
        <f>Data!D809</f>
        <v>Vehicle, Diesel, Frontera Energy Col 2679</v>
      </c>
      <c r="C811" s="41" t="str">
        <f>Data!F809</f>
        <v>Saul</v>
      </c>
      <c r="D811" s="41" t="str">
        <f>Data!G809</f>
        <v>Mejia</v>
      </c>
      <c r="E811" s="41" t="str">
        <f>Data!H809</f>
        <v>Saul.mejia@magnexgroup.com</v>
      </c>
      <c r="F811" s="41" t="str">
        <f>Data!K809</f>
        <v>Company Group</v>
      </c>
      <c r="G811" s="33" t="str">
        <f>Data!M809</f>
        <v>Exceso Velocidad 40 Km/h</v>
      </c>
      <c r="H811" s="41" t="str">
        <f>Data!P809</f>
        <v>ECOPETROL RUBIALES- Quifa - CAÑO SUR: Vía La Culebra, Puerto Gaitán, Meta, Colombia</v>
      </c>
      <c r="I811" s="42" t="str">
        <f>Data!Q809</f>
        <v>Cliente, Vel Max 40 Km/h</v>
      </c>
      <c r="J811" s="43">
        <f>Data!S809</f>
        <v>46174.417349537034</v>
      </c>
      <c r="K811" s="44">
        <f>Data!S809</f>
        <v>46174.417349537034</v>
      </c>
      <c r="L811" s="45">
        <f>Data!T809</f>
        <v>2.199074074074074E-4</v>
      </c>
      <c r="M811" s="46">
        <f>Data!U809</f>
        <v>0.2159443199634552</v>
      </c>
      <c r="N811" s="46" t="str">
        <f>CONCATENATE(Data!W809," (",Data!V809,")")</f>
        <v>Exceso Velocidad 40 Km/h (Velocidad máxima: 42 kmh)</v>
      </c>
      <c r="O811" s="42" t="str">
        <f>IF(Data!V809&lt;&gt;"",N811,Data!W809)</f>
        <v>Exceso Velocidad 40 Km/h (Velocidad máxima: 42 kmh)</v>
      </c>
      <c r="P811" s="47" t="str">
        <f>Data!X809</f>
        <v>Válido</v>
      </c>
    </row>
    <row r="812" spans="1:16">
      <c r="A812" s="41" t="str">
        <f>Data!A810</f>
        <v>PKU307</v>
      </c>
      <c r="B812" s="41" t="str">
        <f>Data!D810</f>
        <v>Vehicle, Diesel, Frontera Energy Col 2679</v>
      </c>
      <c r="C812" s="41" t="str">
        <f>Data!F810</f>
        <v>Saul</v>
      </c>
      <c r="D812" s="41" t="str">
        <f>Data!G810</f>
        <v>Mejia</v>
      </c>
      <c r="E812" s="41" t="str">
        <f>Data!H810</f>
        <v>Saul.mejia@magnexgroup.com</v>
      </c>
      <c r="F812" s="41" t="str">
        <f>Data!K810</f>
        <v>Company Group</v>
      </c>
      <c r="G812" s="33" t="str">
        <f>Data!M810</f>
        <v>Exceso Velocidad 40 Km/h</v>
      </c>
      <c r="H812" s="41" t="str">
        <f>Data!P810</f>
        <v>ECOPETROL RUBIALES- Quifa - CAÑO SUR: Vía La Culebra, Puerto Gaitán, Meta, Colombia</v>
      </c>
      <c r="I812" s="42" t="str">
        <f>Data!Q810</f>
        <v>Cliente, Vel Max 40 Km/h</v>
      </c>
      <c r="J812" s="43">
        <f>Data!S810</f>
        <v>46174.419683645836</v>
      </c>
      <c r="K812" s="44">
        <f>Data!S810</f>
        <v>46174.419683645836</v>
      </c>
      <c r="L812" s="45">
        <f>Data!T810</f>
        <v>2.7002314814814815E-5</v>
      </c>
      <c r="M812" s="46">
        <f>Data!U810</f>
        <v>2.3982403799891472E-2</v>
      </c>
      <c r="N812" s="46" t="str">
        <f>CONCATENATE(Data!W810," (",Data!V810,")")</f>
        <v>Exceso Velocidad 40 Km/h (Velocidad máxima: 41 kmh)</v>
      </c>
      <c r="O812" s="42" t="str">
        <f>IF(Data!V810&lt;&gt;"",N812,Data!W810)</f>
        <v>Exceso Velocidad 40 Km/h (Velocidad máxima: 41 kmh)</v>
      </c>
      <c r="P812" s="47" t="str">
        <f>Data!X810</f>
        <v>Válido</v>
      </c>
    </row>
    <row r="813" spans="1:16">
      <c r="A813" s="41" t="str">
        <f>Data!A811</f>
        <v>PKU307</v>
      </c>
      <c r="B813" s="41" t="str">
        <f>Data!D811</f>
        <v>Vehicle, Diesel, Frontera Energy Col 2679</v>
      </c>
      <c r="C813" s="41" t="str">
        <f>Data!F811</f>
        <v>Saul</v>
      </c>
      <c r="D813" s="41" t="str">
        <f>Data!G811</f>
        <v>Mejia</v>
      </c>
      <c r="E813" s="41" t="str">
        <f>Data!H811</f>
        <v>Saul.mejia@magnexgroup.com</v>
      </c>
      <c r="F813" s="41" t="str">
        <f>Data!K811</f>
        <v>Company Group</v>
      </c>
      <c r="G813" s="33" t="str">
        <f>Data!M811</f>
        <v>Exceso Velocidad 40 Km/h</v>
      </c>
      <c r="H813" s="41" t="str">
        <f>Data!P811</f>
        <v>ECOPETROL RUBIALES- Quifa - CAÑO SUR: Vía La Culebra, Puerto Gaitán, Meta, Colombia</v>
      </c>
      <c r="I813" s="42" t="str">
        <f>Data!Q811</f>
        <v>Cliente, Vel Max 40 Km/h</v>
      </c>
      <c r="J813" s="43">
        <f>Data!S811</f>
        <v>46174.420515046397</v>
      </c>
      <c r="K813" s="44">
        <f>Data!S811</f>
        <v>46174.420515046397</v>
      </c>
      <c r="L813" s="45">
        <f>Data!T811</f>
        <v>2.8935285185185187E-5</v>
      </c>
      <c r="M813" s="46">
        <f>Data!U811</f>
        <v>2.7636811137199402E-2</v>
      </c>
      <c r="N813" s="46" t="str">
        <f>CONCATENATE(Data!W811," (",Data!V811,")")</f>
        <v>Exceso Velocidad 40 Km/h (Velocidad máxima: 41 kmh)</v>
      </c>
      <c r="O813" s="42" t="str">
        <f>IF(Data!V811&lt;&gt;"",N813,Data!W811)</f>
        <v>Exceso Velocidad 40 Km/h (Velocidad máxima: 41 kmh)</v>
      </c>
      <c r="P813" s="47" t="str">
        <f>Data!X811</f>
        <v>Válido</v>
      </c>
    </row>
    <row r="814" spans="1:16">
      <c r="A814" s="41" t="str">
        <f>Data!A812</f>
        <v>PKU307</v>
      </c>
      <c r="B814" s="41" t="str">
        <f>Data!D812</f>
        <v>Vehicle, Diesel, Frontera Energy Col 2679</v>
      </c>
      <c r="C814" s="41" t="str">
        <f>Data!F812</f>
        <v>Saul</v>
      </c>
      <c r="D814" s="41" t="str">
        <f>Data!G812</f>
        <v>Mejia</v>
      </c>
      <c r="E814" s="41" t="str">
        <f>Data!H812</f>
        <v>Saul.mejia@magnexgroup.com</v>
      </c>
      <c r="F814" s="41" t="str">
        <f>Data!K812</f>
        <v>Company Group</v>
      </c>
      <c r="G814" s="33" t="str">
        <f>Data!M812</f>
        <v>Exceso Velocidad 40 Km/h</v>
      </c>
      <c r="H814" s="41" t="str">
        <f>Data!P812</f>
        <v>ECOPETROL RUBIALES- Quifa - CAÑO SUR: Vía La Culebra, Puerto Gaitán, Meta, Colombia</v>
      </c>
      <c r="I814" s="42" t="str">
        <f>Data!Q812</f>
        <v>Cliente, Vel Max 40 Km/h</v>
      </c>
      <c r="J814" s="43">
        <f>Data!S812</f>
        <v>46174.420613425929</v>
      </c>
      <c r="K814" s="44">
        <f>Data!S812</f>
        <v>46174.420613425929</v>
      </c>
      <c r="L814" s="45">
        <f>Data!T812</f>
        <v>3.1517361111111112E-4</v>
      </c>
      <c r="M814" s="46">
        <f>Data!U812</f>
        <v>0.29027923941612244</v>
      </c>
      <c r="N814" s="46" t="str">
        <f>CONCATENATE(Data!W812," (",Data!V812,")")</f>
        <v>Exceso Velocidad 40 Km/h (Velocidad máxima: 41 kmh)</v>
      </c>
      <c r="O814" s="42" t="str">
        <f>IF(Data!V812&lt;&gt;"",N814,Data!W812)</f>
        <v>Exceso Velocidad 40 Km/h (Velocidad máxima: 41 kmh)</v>
      </c>
      <c r="P814" s="47" t="str">
        <f>Data!X812</f>
        <v>Válido</v>
      </c>
    </row>
    <row r="815" spans="1:16">
      <c r="A815" s="41" t="str">
        <f>Data!A813</f>
        <v>PKU307</v>
      </c>
      <c r="B815" s="41" t="str">
        <f>Data!D813</f>
        <v>Vehicle, Diesel, Frontera Energy Col 2679</v>
      </c>
      <c r="C815" s="41" t="str">
        <f>Data!F813</f>
        <v>Saul</v>
      </c>
      <c r="D815" s="41" t="str">
        <f>Data!G813</f>
        <v>Mejia</v>
      </c>
      <c r="E815" s="41" t="str">
        <f>Data!H813</f>
        <v>Saul.mejia@magnexgroup.com</v>
      </c>
      <c r="F815" s="41" t="str">
        <f>Data!K813</f>
        <v>Company Group</v>
      </c>
      <c r="G815" s="33" t="str">
        <f>Data!M813</f>
        <v>Exceso Velocidad 40 Km/h</v>
      </c>
      <c r="H815" s="41" t="str">
        <f>Data!P813</f>
        <v>ECOPETROL RUBIALES- Quifa - CAÑO SUR: Vía La Culebra, Puerto Gaitán, Meta, Colombia</v>
      </c>
      <c r="I815" s="42" t="str">
        <f>Data!Q813</f>
        <v>Cliente, Vel Max 40 Km/h</v>
      </c>
      <c r="J815" s="43">
        <f>Data!S813</f>
        <v>46174.423171296294</v>
      </c>
      <c r="K815" s="44">
        <f>Data!S813</f>
        <v>46174.423171296294</v>
      </c>
      <c r="L815" s="45">
        <f>Data!T813</f>
        <v>1.0288194444444445E-4</v>
      </c>
      <c r="M815" s="46">
        <f>Data!U813</f>
        <v>9.8906449973583221E-2</v>
      </c>
      <c r="N815" s="46" t="str">
        <f>CONCATENATE(Data!W813," (",Data!V813,")")</f>
        <v>Exceso Velocidad 40 Km/h (Velocidad máxima: 44 kmh)</v>
      </c>
      <c r="O815" s="42" t="str">
        <f>IF(Data!V813&lt;&gt;"",N815,Data!W813)</f>
        <v>Exceso Velocidad 40 Km/h (Velocidad máxima: 44 kmh)</v>
      </c>
      <c r="P815" s="47" t="str">
        <f>Data!X813</f>
        <v>Válido</v>
      </c>
    </row>
    <row r="816" spans="1:16">
      <c r="A816" s="41" t="str">
        <f>Data!A814</f>
        <v>PKU307</v>
      </c>
      <c r="B816" s="41" t="str">
        <f>Data!D814</f>
        <v>Vehicle, Diesel, Frontera Energy Col 2679</v>
      </c>
      <c r="C816" s="41" t="str">
        <f>Data!F814</f>
        <v>Saul</v>
      </c>
      <c r="D816" s="41" t="str">
        <f>Data!G814</f>
        <v>Mejia</v>
      </c>
      <c r="E816" s="41" t="str">
        <f>Data!H814</f>
        <v>Saul.mejia@magnexgroup.com</v>
      </c>
      <c r="F816" s="41" t="str">
        <f>Data!K814</f>
        <v>Company Group</v>
      </c>
      <c r="G816" s="33" t="str">
        <f>Data!M814</f>
        <v>Exceso Velocidad 40 Km/h</v>
      </c>
      <c r="H816" s="41" t="str">
        <f>Data!P814</f>
        <v>ECOPETROL RUBIALES- Quifa - CAÑO SUR: Vía La Culebra, Puerto Gaitán, Meta, Colombia</v>
      </c>
      <c r="I816" s="42" t="str">
        <f>Data!Q814</f>
        <v>Cliente, Vel Max 40 Km/h</v>
      </c>
      <c r="J816" s="43">
        <f>Data!S814</f>
        <v>46174.423612557868</v>
      </c>
      <c r="K816" s="44">
        <f>Data!S814</f>
        <v>46174.423612557868</v>
      </c>
      <c r="L816" s="45">
        <f>Data!T814</f>
        <v>2.4594907407407408E-5</v>
      </c>
      <c r="M816" s="46">
        <f>Data!U814</f>
        <v>2.2559193894267082E-2</v>
      </c>
      <c r="N816" s="46" t="str">
        <f>CONCATENATE(Data!W814," (",Data!V814,")")</f>
        <v>Exceso Velocidad 40 Km/h (Velocidad máxima: 41 kmh)</v>
      </c>
      <c r="O816" s="42" t="str">
        <f>IF(Data!V814&lt;&gt;"",N816,Data!W814)</f>
        <v>Exceso Velocidad 40 Km/h (Velocidad máxima: 41 kmh)</v>
      </c>
      <c r="P816" s="47" t="str">
        <f>Data!X814</f>
        <v>Válido</v>
      </c>
    </row>
    <row r="817" spans="1:16">
      <c r="A817" s="41" t="str">
        <f>Data!A815</f>
        <v>PKU307</v>
      </c>
      <c r="B817" s="41" t="str">
        <f>Data!D815</f>
        <v>Vehicle, Diesel, Frontera Energy Col 2679</v>
      </c>
      <c r="C817" s="41" t="str">
        <f>Data!F815</f>
        <v>Saul</v>
      </c>
      <c r="D817" s="41" t="str">
        <f>Data!G815</f>
        <v>Mejia</v>
      </c>
      <c r="E817" s="41" t="str">
        <f>Data!H815</f>
        <v>Saul.mejia@magnexgroup.com</v>
      </c>
      <c r="F817" s="41" t="str">
        <f>Data!K815</f>
        <v>Company Group</v>
      </c>
      <c r="G817" s="33" t="str">
        <f>Data!M815</f>
        <v>Exceso Velocidad 40 Km/h</v>
      </c>
      <c r="H817" s="41" t="str">
        <f>Data!P815</f>
        <v>ECOPETROL RUBIALES- Quifa - CAÑO SUR: Puerto Gaitan - Rubiales, Puerto Gaitán, Meta, Colombia</v>
      </c>
      <c r="I817" s="42" t="str">
        <f>Data!Q815</f>
        <v>Cliente, Vel Max 40 Km/h</v>
      </c>
      <c r="J817" s="43">
        <f>Data!S815</f>
        <v>46174.432222222225</v>
      </c>
      <c r="K817" s="44">
        <f>Data!S815</f>
        <v>46174.432222222225</v>
      </c>
      <c r="L817" s="45">
        <f>Data!T815</f>
        <v>8.4872685185185184E-5</v>
      </c>
      <c r="M817" s="46">
        <f>Data!U815</f>
        <v>7.9879336059093475E-2</v>
      </c>
      <c r="N817" s="46" t="str">
        <f>CONCATENATE(Data!W815," (",Data!V815,")")</f>
        <v>Exceso Velocidad 40 Km/h (Velocidad máxima: 42 kmh)</v>
      </c>
      <c r="O817" s="42" t="str">
        <f>IF(Data!V815&lt;&gt;"",N817,Data!W815)</f>
        <v>Exceso Velocidad 40 Km/h (Velocidad máxima: 42 kmh)</v>
      </c>
      <c r="P817" s="47" t="str">
        <f>Data!X815</f>
        <v>Válido</v>
      </c>
    </row>
    <row r="818" spans="1:16">
      <c r="A818" s="41" t="str">
        <f>Data!A816</f>
        <v>PKU307</v>
      </c>
      <c r="B818" s="41" t="str">
        <f>Data!D816</f>
        <v>Vehicle, Diesel, Frontera Energy Col 2679</v>
      </c>
      <c r="C818" s="41" t="str">
        <f>Data!F816</f>
        <v>Saul</v>
      </c>
      <c r="D818" s="41" t="str">
        <f>Data!G816</f>
        <v>Mejia</v>
      </c>
      <c r="E818" s="41" t="str">
        <f>Data!H816</f>
        <v>Saul.mejia@magnexgroup.com</v>
      </c>
      <c r="F818" s="41" t="str">
        <f>Data!K816</f>
        <v>Company Group</v>
      </c>
      <c r="G818" s="33" t="str">
        <f>Data!M816</f>
        <v>Exceso Velocidad 30 Km/h</v>
      </c>
      <c r="H818" s="41" t="str">
        <f>Data!P816</f>
        <v>ECOPETROL RUBIALES- Quifa - CAÑO SUR, Puerto Triunfo - Estacion Policia: Puerto Gaitan - Rubiales, Puerto Gaitán, Meta, Colombia</v>
      </c>
      <c r="I818" s="42" t="str">
        <f>Data!Q816</f>
        <v>Cliente, Vel Max 40 Km/h, Vel Max 30 Km/h</v>
      </c>
      <c r="J818" s="43">
        <f>Data!S816</f>
        <v>46174.433777777776</v>
      </c>
      <c r="K818" s="44">
        <f>Data!S816</f>
        <v>46174.433777777776</v>
      </c>
      <c r="L818" s="45">
        <f>Data!T816</f>
        <v>1.4664351851851852E-5</v>
      </c>
      <c r="M818" s="46">
        <f>Data!U816</f>
        <v>1.0485892184078693E-2</v>
      </c>
      <c r="N818" s="46" t="str">
        <f>CONCATENATE(Data!W816," (",Data!V816,")")</f>
        <v>Exceso Velocidad 30 Km/h (Velocidad máxima: 31 kmh)</v>
      </c>
      <c r="O818" s="42" t="str">
        <f>IF(Data!V816&lt;&gt;"",N818,Data!W816)</f>
        <v>Exceso Velocidad 30 Km/h (Velocidad máxima: 31 kmh)</v>
      </c>
      <c r="P818" s="47" t="str">
        <f>Data!X816</f>
        <v>Válido</v>
      </c>
    </row>
    <row r="819" spans="1:16">
      <c r="A819" s="41" t="str">
        <f>Data!A817</f>
        <v>PKU307</v>
      </c>
      <c r="B819" s="41" t="str">
        <f>Data!D817</f>
        <v>Vehicle, Diesel, Frontera Energy Col 2679</v>
      </c>
      <c r="C819" s="41" t="str">
        <f>Data!F817</f>
        <v>Saul</v>
      </c>
      <c r="D819" s="41" t="str">
        <f>Data!G817</f>
        <v>Mejia</v>
      </c>
      <c r="E819" s="41" t="str">
        <f>Data!H817</f>
        <v>Saul.mejia@magnexgroup.com</v>
      </c>
      <c r="F819" s="41" t="str">
        <f>Data!K817</f>
        <v>Company Group</v>
      </c>
      <c r="G819" s="33" t="str">
        <f>Data!M817</f>
        <v>Exceso Velocidad 10 Km/h</v>
      </c>
      <c r="H819" s="41" t="str">
        <f>Data!P817</f>
        <v>CAMPAMENTO QUIFA, ECOPETROL RUBIALES- Quifa - CAÑO SUR, Puerto Triunfo - Estacion Policia: Puerto Gaitan - Rubiales, Puerto Gaitán, Meta, Colombia</v>
      </c>
      <c r="I819" s="42" t="str">
        <f>Data!Q817</f>
        <v>Vel Max 10 Km/h, Cliente, Vel Max 40 Km/h, Vel Max 30 Km/h</v>
      </c>
      <c r="J819" s="43">
        <f>Data!S817</f>
        <v>46174.434617129627</v>
      </c>
      <c r="K819" s="44">
        <f>Data!S817</f>
        <v>46174.434617129627</v>
      </c>
      <c r="L819" s="45">
        <f>Data!T817</f>
        <v>3.1793981481481482E-5</v>
      </c>
      <c r="M819" s="46">
        <f>Data!U817</f>
        <v>1.2454603798687458E-2</v>
      </c>
      <c r="N819" s="46" t="str">
        <f>CONCATENATE(Data!W817," (",Data!V817,")")</f>
        <v>Exceso Velocidad 10 Km/h (Velocidad máxima: 21 kmh)</v>
      </c>
      <c r="O819" s="42" t="str">
        <f>IF(Data!V817&lt;&gt;"",N819,Data!W817)</f>
        <v>Exceso Velocidad 10 Km/h (Velocidad máxima: 21 kmh)</v>
      </c>
      <c r="P819" s="47" t="str">
        <f>Data!X817</f>
        <v>Válido</v>
      </c>
    </row>
    <row r="820" spans="1:16">
      <c r="A820" s="41" t="str">
        <f>Data!A818</f>
        <v>PKU307</v>
      </c>
      <c r="B820" s="41" t="str">
        <f>Data!D818</f>
        <v>Vehicle, Diesel, Frontera Energy Col 2679</v>
      </c>
      <c r="C820" s="41" t="str">
        <f>Data!F818</f>
        <v>Saul</v>
      </c>
      <c r="D820" s="41" t="str">
        <f>Data!G818</f>
        <v>Mejia</v>
      </c>
      <c r="E820" s="41" t="str">
        <f>Data!H818</f>
        <v>Saul.mejia@magnexgroup.com</v>
      </c>
      <c r="F820" s="41" t="str">
        <f>Data!K818</f>
        <v>Company Group</v>
      </c>
      <c r="G820" s="33" t="str">
        <f>Data!M818</f>
        <v>Exceso Velocidad 10 Km/h</v>
      </c>
      <c r="H820" s="41" t="str">
        <f>Data!P818</f>
        <v>CAMPAMENTO QUIFA, ECOPETROL RUBIALES- Quifa - CAÑO SUR, Puerto Triunfo - Estacion Policia: Puerto Gaitan - Rubiales, Puerto Gaitán, Meta, Colombia</v>
      </c>
      <c r="I820" s="42" t="str">
        <f>Data!Q818</f>
        <v>Vel Max 10 Km/h, Cliente, Vel Max 40 Km/h, Vel Max 30 Km/h</v>
      </c>
      <c r="J820" s="43">
        <f>Data!S818</f>
        <v>46174.434695219905</v>
      </c>
      <c r="K820" s="44">
        <f>Data!S818</f>
        <v>46174.434695219905</v>
      </c>
      <c r="L820" s="45">
        <f>Data!T818</f>
        <v>1.3116898148148148E-4</v>
      </c>
      <c r="M820" s="46">
        <f>Data!U818</f>
        <v>4.5757390558719635E-2</v>
      </c>
      <c r="N820" s="46" t="str">
        <f>CONCATENATE(Data!W818," (",Data!V818,")")</f>
        <v>Exceso Velocidad 10 Km/h (Velocidad máxima: 16 kmh)</v>
      </c>
      <c r="O820" s="42" t="str">
        <f>IF(Data!V818&lt;&gt;"",N820,Data!W818)</f>
        <v>Exceso Velocidad 10 Km/h (Velocidad máxima: 16 kmh)</v>
      </c>
      <c r="P820" s="47" t="str">
        <f>Data!X818</f>
        <v>Válido</v>
      </c>
    </row>
    <row r="821" spans="1:16">
      <c r="A821" s="41" t="str">
        <f>Data!A819</f>
        <v>PKU307</v>
      </c>
      <c r="B821" s="41" t="str">
        <f>Data!D819</f>
        <v>Vehicle, Diesel, Frontera Energy Col 2679</v>
      </c>
      <c r="C821" s="41" t="str">
        <f>Data!F819</f>
        <v>Saul</v>
      </c>
      <c r="D821" s="41" t="str">
        <f>Data!G819</f>
        <v>Mejia</v>
      </c>
      <c r="E821" s="41" t="str">
        <f>Data!H819</f>
        <v>Saul.mejia@magnexgroup.com</v>
      </c>
      <c r="F821" s="41" t="str">
        <f>Data!K819</f>
        <v>Company Group</v>
      </c>
      <c r="G821" s="33" t="str">
        <f>Data!M819</f>
        <v>Exceso Velocidad 10 Km/h</v>
      </c>
      <c r="H821" s="41" t="str">
        <f>Data!P819</f>
        <v>CAMPAMENTO QUIFA, ECOPETROL RUBIALES- Quifa - CAÑO SUR, Puerto Gaitan - Rubiales, Puerto Gaitán, Meta, Colombia, Puerto Triunfo - Estacion Policia: Puerto Gaitan - Rubiales, Puerto Gaitán, Meta, Colombia</v>
      </c>
      <c r="I821" s="42" t="str">
        <f>Data!Q819</f>
        <v>Vel Max 10 Km/h, Cliente, Vel Max 40 Km/h, Centro de servicios del proveedor, Vel Max 30 Km/h</v>
      </c>
      <c r="J821" s="43">
        <f>Data!S819</f>
        <v>46174.43482638889</v>
      </c>
      <c r="K821" s="44">
        <f>Data!S819</f>
        <v>46174.43482638889</v>
      </c>
      <c r="L821" s="45">
        <f>Data!T819</f>
        <v>6.9444444444444444E-5</v>
      </c>
      <c r="M821" s="46">
        <f>Data!U819</f>
        <v>2.0397009328007698E-2</v>
      </c>
      <c r="N821" s="46" t="str">
        <f>CONCATENATE(Data!W819," (",Data!V819,")")</f>
        <v>Exceso Velocidad 10 Km/h (Velocidad máxima: 14 kmh)</v>
      </c>
      <c r="O821" s="42" t="str">
        <f>IF(Data!V819&lt;&gt;"",N821,Data!W819)</f>
        <v>Exceso Velocidad 10 Km/h (Velocidad máxima: 14 kmh)</v>
      </c>
      <c r="P821" s="47" t="str">
        <f>Data!X819</f>
        <v>Válido</v>
      </c>
    </row>
    <row r="822" spans="1:16">
      <c r="A822" s="41" t="str">
        <f>Data!A820</f>
        <v>PKU307</v>
      </c>
      <c r="B822" s="41" t="str">
        <f>Data!D820</f>
        <v>Vehicle, Diesel, Frontera Energy Col 2679</v>
      </c>
      <c r="C822" s="41" t="str">
        <f>Data!F820</f>
        <v>Saul</v>
      </c>
      <c r="D822" s="41" t="str">
        <f>Data!G820</f>
        <v>Mejia</v>
      </c>
      <c r="E822" s="41" t="str">
        <f>Data!H820</f>
        <v>Saul.mejia@magnexgroup.com</v>
      </c>
      <c r="F822" s="41" t="str">
        <f>Data!K820</f>
        <v>Company Group</v>
      </c>
      <c r="G822" s="33" t="str">
        <f>Data!M820</f>
        <v>Exceso Velocidad 10 Km/h</v>
      </c>
      <c r="H822" s="41" t="str">
        <f>Data!P820</f>
        <v>CAMPAMENTO QUIFA, ECOPETROL RUBIALES- Quifa - CAÑO SUR, Puerto Gaitan - Rubiales, Puerto Gaitán, Meta, Colombia, Puerto Triunfo - Estacion Policia: Puerto Gaitan - Rubiales, Puerto Gaitán, Meta, Colombia</v>
      </c>
      <c r="I822" s="42" t="str">
        <f>Data!Q820</f>
        <v>Vel Max 10 Km/h, Cliente, Vel Max 40 Km/h, Centro de servicios del proveedor, Vel Max 30 Km/h</v>
      </c>
      <c r="J822" s="43">
        <f>Data!S820</f>
        <v>46174.434895833336</v>
      </c>
      <c r="K822" s="44">
        <f>Data!S820</f>
        <v>46174.434895833336</v>
      </c>
      <c r="L822" s="45">
        <f>Data!T820</f>
        <v>7.5231581481481481E-5</v>
      </c>
      <c r="M822" s="46">
        <f>Data!U820</f>
        <v>1.6062958166003227E-2</v>
      </c>
      <c r="N822" s="46" t="str">
        <f>CONCATENATE(Data!W820," (",Data!V820,")")</f>
        <v>Exceso Velocidad 10 Km/h (Velocidad máxima: 12 kmh)</v>
      </c>
      <c r="O822" s="42" t="str">
        <f>IF(Data!V820&lt;&gt;"",N822,Data!W820)</f>
        <v>Exceso Velocidad 10 Km/h (Velocidad máxima: 12 kmh)</v>
      </c>
      <c r="P822" s="47" t="str">
        <f>Data!X820</f>
        <v>Válido</v>
      </c>
    </row>
    <row r="823" spans="1:16">
      <c r="A823" s="41" t="str">
        <f>Data!A821</f>
        <v>PKU307</v>
      </c>
      <c r="B823" s="41" t="str">
        <f>Data!D821</f>
        <v>Vehicle, Diesel, Frontera Energy Col 2679</v>
      </c>
      <c r="C823" s="41" t="str">
        <f>Data!F821</f>
        <v>Saul</v>
      </c>
      <c r="D823" s="41" t="str">
        <f>Data!G821</f>
        <v>Mejia</v>
      </c>
      <c r="E823" s="41" t="str">
        <f>Data!H821</f>
        <v>Saul.mejia@magnexgroup.com</v>
      </c>
      <c r="F823" s="41" t="str">
        <f>Data!K821</f>
        <v>Company Group</v>
      </c>
      <c r="G823" s="33" t="str">
        <f>Data!M821</f>
        <v>Exceso Velocidad 10 Km/h</v>
      </c>
      <c r="H823" s="41" t="str">
        <f>Data!P821</f>
        <v>CAMPAMENTO QUIFA, ECOPETROL RUBIALES- Quifa - CAÑO SUR, Puerto Gaitan - Rubiales, Puerto Gaitán, Meta, Colombia, Campamento Quifa - CMA: Ent. CAMPAMENTO, Puerto Gaitán, Meta, Colombia</v>
      </c>
      <c r="I823" s="42" t="str">
        <f>Data!Q821</f>
        <v>Vel Max 10 Km/h, Cliente, Vel Max 40 Km/h, Centro de servicios del proveedor</v>
      </c>
      <c r="J823" s="43">
        <f>Data!S821</f>
        <v>46174.435098379734</v>
      </c>
      <c r="K823" s="44">
        <f>Data!S821</f>
        <v>46174.435098379734</v>
      </c>
      <c r="L823" s="45">
        <f>Data!T821</f>
        <v>3.2789351851851854E-5</v>
      </c>
      <c r="M823" s="46">
        <f>Data!U821</f>
        <v>9.2073502019047737E-3</v>
      </c>
      <c r="N823" s="46" t="str">
        <f>CONCATENATE(Data!W821," (",Data!V821,")")</f>
        <v>Exceso Velocidad 10 Km/h (Velocidad máxima: 12 kmh)</v>
      </c>
      <c r="O823" s="42" t="str">
        <f>IF(Data!V821&lt;&gt;"",N823,Data!W821)</f>
        <v>Exceso Velocidad 10 Km/h (Velocidad máxima: 12 kmh)</v>
      </c>
      <c r="P823" s="47" t="str">
        <f>Data!X821</f>
        <v>Válido</v>
      </c>
    </row>
    <row r="824" spans="1:16">
      <c r="A824" s="41" t="str">
        <f>Data!A822</f>
        <v>PKU307</v>
      </c>
      <c r="B824" s="41" t="str">
        <f>Data!D822</f>
        <v>Vehicle, Diesel, Frontera Energy Col 2679</v>
      </c>
      <c r="C824" s="41" t="str">
        <f>Data!F822</f>
        <v>Saul</v>
      </c>
      <c r="D824" s="41" t="str">
        <f>Data!G822</f>
        <v>Mejia</v>
      </c>
      <c r="E824" s="41" t="str">
        <f>Data!H822</f>
        <v>Saul.mejia@magnexgroup.com</v>
      </c>
      <c r="F824" s="41" t="str">
        <f>Data!K822</f>
        <v>Company Group</v>
      </c>
      <c r="G824" s="33" t="str">
        <f>Data!M822</f>
        <v>Exceso Velocidad 10 Km/h</v>
      </c>
      <c r="H824" s="41" t="str">
        <f>Data!P822</f>
        <v>CAMPAMENTO QUIFA, ECOPETROL RUBIALES- Quifa - CAÑO SUR, Puerto Gaitan - Rubiales, Puerto Gaitán, Meta, Colombia, Campamento Quifa - CMA: Ent. CAMPAMENTO, Puerto Gaitán, Meta, Colombia</v>
      </c>
      <c r="I824" s="42" t="str">
        <f>Data!Q822</f>
        <v>Vel Max 10 Km/h, Cliente, Vel Max 40 Km/h, Centro de servicios del proveedor</v>
      </c>
      <c r="J824" s="43">
        <f>Data!S822</f>
        <v>46174.43516666667</v>
      </c>
      <c r="K824" s="44">
        <f>Data!S822</f>
        <v>46174.43516666667</v>
      </c>
      <c r="L824" s="45">
        <f>Data!T822</f>
        <v>3.359837962962963E-4</v>
      </c>
      <c r="M824" s="46">
        <f>Data!U822</f>
        <v>9.1882169246673584E-2</v>
      </c>
      <c r="N824" s="46" t="str">
        <f>CONCATENATE(Data!W822," (",Data!V822,")")</f>
        <v>Exceso Velocidad 10 Km/h (Velocidad máxima: 18 kmh)</v>
      </c>
      <c r="O824" s="42" t="str">
        <f>IF(Data!V822&lt;&gt;"",N824,Data!W822)</f>
        <v>Exceso Velocidad 10 Km/h (Velocidad máxima: 18 kmh)</v>
      </c>
      <c r="P824" s="47" t="str">
        <f>Data!X822</f>
        <v>Válido</v>
      </c>
    </row>
    <row r="825" spans="1:16">
      <c r="A825" s="41" t="str">
        <f>Data!A823</f>
        <v>PKU307</v>
      </c>
      <c r="B825" s="41" t="str">
        <f>Data!D823</f>
        <v>Vehicle, Diesel, Frontera Energy Col 2679</v>
      </c>
      <c r="C825" s="41" t="str">
        <f>Data!F823</f>
        <v>Saul</v>
      </c>
      <c r="D825" s="41" t="str">
        <f>Data!G823</f>
        <v>Mejia</v>
      </c>
      <c r="E825" s="41" t="str">
        <f>Data!H823</f>
        <v>Saul.mejia@magnexgroup.com</v>
      </c>
      <c r="F825" s="41" t="str">
        <f>Data!K823</f>
        <v>Company Group</v>
      </c>
      <c r="G825" s="33" t="str">
        <f>Data!M823</f>
        <v>Exceso Velocidad 10 Km/h</v>
      </c>
      <c r="H825" s="41" t="str">
        <f>Data!P823</f>
        <v>CAMPAMENTO QUIFA, ECOPETROL RUBIALES- Quifa - CAÑO SUR, Puerto Gaitan - Rubiales, Puerto Gaitán, Meta, Colombia, Campamento Quifa - CMA: Ent. CAMPAMENTO, Puerto Gaitán, Meta, Colombia</v>
      </c>
      <c r="I825" s="42" t="str">
        <f>Data!Q823</f>
        <v>Vel Max 10 Km/h, Cliente, Vel Max 40 Km/h, Centro de servicios del proveedor</v>
      </c>
      <c r="J825" s="43">
        <f>Data!S823</f>
        <v>46174.535978009364</v>
      </c>
      <c r="K825" s="44">
        <f>Data!S823</f>
        <v>46174.535978009364</v>
      </c>
      <c r="L825" s="45">
        <f>Data!T823</f>
        <v>1.3310195185185187E-4</v>
      </c>
      <c r="M825" s="46">
        <f>Data!U823</f>
        <v>3.44696044921875E-2</v>
      </c>
      <c r="N825" s="46" t="str">
        <f>CONCATENATE(Data!W823," (",Data!V823,")")</f>
        <v>Exceso Velocidad 10 Km/h (Velocidad máxima: 13 kmh)</v>
      </c>
      <c r="O825" s="42" t="str">
        <f>IF(Data!V823&lt;&gt;"",N825,Data!W823)</f>
        <v>Exceso Velocidad 10 Km/h (Velocidad máxima: 13 kmh)</v>
      </c>
      <c r="P825" s="47" t="str">
        <f>Data!X823</f>
        <v>Válido</v>
      </c>
    </row>
    <row r="826" spans="1:16">
      <c r="A826" s="41" t="str">
        <f>Data!A824</f>
        <v>PKU307</v>
      </c>
      <c r="B826" s="41" t="str">
        <f>Data!D824</f>
        <v>Vehicle, Diesel, Frontera Energy Col 2679</v>
      </c>
      <c r="C826" s="41" t="str">
        <f>Data!F824</f>
        <v>Saul</v>
      </c>
      <c r="D826" s="41" t="str">
        <f>Data!G824</f>
        <v>Mejia</v>
      </c>
      <c r="E826" s="41" t="str">
        <f>Data!H824</f>
        <v>Saul.mejia@magnexgroup.com</v>
      </c>
      <c r="F826" s="41" t="str">
        <f>Data!K824</f>
        <v>Company Group</v>
      </c>
      <c r="G826" s="33" t="str">
        <f>Data!M824</f>
        <v>Exceso Velocidad 10 Km/h</v>
      </c>
      <c r="H826" s="41" t="str">
        <f>Data!P824</f>
        <v>CAMPAMENTO QUIFA, ECOPETROL RUBIALES- Quifa - CAÑO SUR, Puerto Gaitan - Rubiales, Puerto Gaitán, Meta, Colombia, Campamento Quifa - CMA: Ent. CAMPAMENTO, Puerto Gaitán, Meta, Colombia</v>
      </c>
      <c r="I826" s="42" t="str">
        <f>Data!Q824</f>
        <v>Vel Max 10 Km/h, Cliente, Vel Max 40 Km/h, Centro de servicios del proveedor</v>
      </c>
      <c r="J826" s="43">
        <f>Data!S824</f>
        <v>46174.536173946763</v>
      </c>
      <c r="K826" s="44">
        <f>Data!S824</f>
        <v>46174.536173946763</v>
      </c>
      <c r="L826" s="45">
        <f>Data!T824</f>
        <v>3.4804398148148146E-4</v>
      </c>
      <c r="M826" s="46">
        <f>Data!U824</f>
        <v>0.1066591665148735</v>
      </c>
      <c r="N826" s="46" t="str">
        <f>CONCATENATE(Data!W824," (",Data!V824,")")</f>
        <v>Exceso Velocidad 10 Km/h (Velocidad máxima: 15 kmh)</v>
      </c>
      <c r="O826" s="42" t="str">
        <f>IF(Data!V824&lt;&gt;"",N826,Data!W824)</f>
        <v>Exceso Velocidad 10 Km/h (Velocidad máxima: 15 kmh)</v>
      </c>
      <c r="P826" s="47" t="str">
        <f>Data!X824</f>
        <v>Válido</v>
      </c>
    </row>
    <row r="827" spans="1:16">
      <c r="A827" s="41" t="str">
        <f>Data!A825</f>
        <v>PKU307</v>
      </c>
      <c r="B827" s="41" t="str">
        <f>Data!D825</f>
        <v>Vehicle, Diesel, Frontera Energy Col 2679</v>
      </c>
      <c r="C827" s="41" t="str">
        <f>Data!F825</f>
        <v>Saul</v>
      </c>
      <c r="D827" s="41" t="str">
        <f>Data!G825</f>
        <v>Mejia</v>
      </c>
      <c r="E827" s="41" t="str">
        <f>Data!H825</f>
        <v>Saul.mejia@magnexgroup.com</v>
      </c>
      <c r="F827" s="41" t="str">
        <f>Data!K825</f>
        <v>Company Group</v>
      </c>
      <c r="G827" s="33" t="str">
        <f>Data!M825</f>
        <v>Exceso Velocidad 10 Km/h</v>
      </c>
      <c r="H827" s="41" t="str">
        <f>Data!P825</f>
        <v>CAMPAMENTO QUIFA, ECOPETROL RUBIALES- Quifa - CAÑO SUR, Campamento Quifa - CMA: Ent. CAMPAMENTO, Puerto Gaitán, Meta, Colombia</v>
      </c>
      <c r="I827" s="42" t="str">
        <f>Data!Q825</f>
        <v>Vel Max 10 Km/h, Cliente, Vel Max 40 Km/h</v>
      </c>
      <c r="J827" s="43">
        <f>Data!S825</f>
        <v>46174.536574074074</v>
      </c>
      <c r="K827" s="44">
        <f>Data!S825</f>
        <v>46174.536574074074</v>
      </c>
      <c r="L827" s="45">
        <f>Data!T825</f>
        <v>2.3148148148148147E-5</v>
      </c>
      <c r="M827" s="46">
        <f>Data!U825</f>
        <v>5.4565127938985825E-3</v>
      </c>
      <c r="N827" s="46" t="str">
        <f>CONCATENATE(Data!W825," (",Data!V825,")")</f>
        <v>Exceso Velocidad 10 Km/h (Velocidad máxima: 11 kmh)</v>
      </c>
      <c r="O827" s="42" t="str">
        <f>IF(Data!V825&lt;&gt;"",N827,Data!W825)</f>
        <v>Exceso Velocidad 10 Km/h (Velocidad máxima: 11 kmh)</v>
      </c>
      <c r="P827" s="47" t="str">
        <f>Data!X825</f>
        <v>Válido</v>
      </c>
    </row>
    <row r="828" spans="1:16">
      <c r="A828" s="41" t="str">
        <f>Data!A826</f>
        <v>PKU307</v>
      </c>
      <c r="B828" s="41" t="str">
        <f>Data!D826</f>
        <v>Vehicle, Diesel, Frontera Energy Col 2679</v>
      </c>
      <c r="C828" s="41" t="str">
        <f>Data!F826</f>
        <v>Saul</v>
      </c>
      <c r="D828" s="41" t="str">
        <f>Data!G826</f>
        <v>Mejia</v>
      </c>
      <c r="E828" s="41" t="str">
        <f>Data!H826</f>
        <v>Saul.mejia@magnexgroup.com</v>
      </c>
      <c r="F828" s="41" t="str">
        <f>Data!K826</f>
        <v>Company Group</v>
      </c>
      <c r="G828" s="33" t="str">
        <f>Data!M826</f>
        <v>Exceso Velocidad 10 Km/h</v>
      </c>
      <c r="H828" s="41" t="str">
        <f>Data!P826</f>
        <v>CAMPAMENTO QUIFA, ECOPETROL RUBIALES- Quifa - CAÑO SUR, Campamento Quifa - CMA: Ent. CAMPAMENTO, Puerto Gaitán, Meta, Colombia</v>
      </c>
      <c r="I828" s="42" t="str">
        <f>Data!Q826</f>
        <v>Vel Max 10 Km/h, Cliente, Vel Max 40 Km/h</v>
      </c>
      <c r="J828" s="43">
        <f>Data!S826</f>
        <v>46174.540415219904</v>
      </c>
      <c r="K828" s="44">
        <f>Data!S826</f>
        <v>46174.540415219904</v>
      </c>
      <c r="L828" s="45">
        <f>Data!T826</f>
        <v>3.9827546296296296E-4</v>
      </c>
      <c r="M828" s="46">
        <f>Data!U826</f>
        <v>0.1206858903169632</v>
      </c>
      <c r="N828" s="46" t="str">
        <f>CONCATENATE(Data!W826," (",Data!V826,")")</f>
        <v>Exceso Velocidad 10 Km/h (Velocidad máxima: 16 kmh)</v>
      </c>
      <c r="O828" s="42" t="str">
        <f>IF(Data!V826&lt;&gt;"",N828,Data!W826)</f>
        <v>Exceso Velocidad 10 Km/h (Velocidad máxima: 16 kmh)</v>
      </c>
      <c r="P828" s="47" t="str">
        <f>Data!X826</f>
        <v>Válido</v>
      </c>
    </row>
    <row r="829" spans="1:16">
      <c r="A829" s="41" t="str">
        <f>Data!A827</f>
        <v>PKU307</v>
      </c>
      <c r="B829" s="41" t="str">
        <f>Data!D827</f>
        <v>Vehicle, Diesel, Frontera Energy Col 2679</v>
      </c>
      <c r="C829" s="41" t="str">
        <f>Data!F827</f>
        <v>Saul</v>
      </c>
      <c r="D829" s="41" t="str">
        <f>Data!G827</f>
        <v>Mejia</v>
      </c>
      <c r="E829" s="41" t="str">
        <f>Data!H827</f>
        <v>Saul.mejia@magnexgroup.com</v>
      </c>
      <c r="F829" s="41" t="str">
        <f>Data!K827</f>
        <v>Company Group</v>
      </c>
      <c r="G829" s="33" t="str">
        <f>Data!M827</f>
        <v>Exceso Velocidad 10 Km/h</v>
      </c>
      <c r="H829" s="41" t="str">
        <f>Data!P827</f>
        <v>ECOPETROL RUBIALES- Quifa - CAÑO SUR, Puerto Triunfo - Estacion Policia, PUESTRO CONTROL QUIFA: Puerto Gaitan - Rubiales, Puerto Gaitán, Meta, Colombia</v>
      </c>
      <c r="I829" s="42" t="str">
        <f>Data!Q827</f>
        <v>Cliente, Vel Max 40 Km/h, Vel Max 30 Km/h, Vel Max 10 Km/h</v>
      </c>
      <c r="J829" s="43">
        <f>Data!S827</f>
        <v>46174.543111319443</v>
      </c>
      <c r="K829" s="44">
        <f>Data!S827</f>
        <v>46174.543111319443</v>
      </c>
      <c r="L829" s="45">
        <f>Data!T827</f>
        <v>2.9756944444444443E-4</v>
      </c>
      <c r="M829" s="46">
        <f>Data!U827</f>
        <v>0.18376989662647247</v>
      </c>
      <c r="N829" s="46" t="str">
        <f>CONCATENATE(Data!W827," (",Data!V827,")")</f>
        <v>Exceso Velocidad 10 Km/h (Velocidad máxima: 28 kmh)</v>
      </c>
      <c r="O829" s="42" t="str">
        <f>IF(Data!V827&lt;&gt;"",N829,Data!W827)</f>
        <v>Exceso Velocidad 10 Km/h (Velocidad máxima: 28 kmh)</v>
      </c>
      <c r="P829" s="47" t="str">
        <f>Data!X827</f>
        <v>Válido</v>
      </c>
    </row>
    <row r="830" spans="1:16">
      <c r="A830" s="41" t="str">
        <f>Data!A828</f>
        <v>PKU307</v>
      </c>
      <c r="B830" s="41" t="str">
        <f>Data!D828</f>
        <v>Vehicle, Diesel, Frontera Energy Col 2679</v>
      </c>
      <c r="C830" s="41" t="str">
        <f>Data!F828</f>
        <v>Saul</v>
      </c>
      <c r="D830" s="41" t="str">
        <f>Data!G828</f>
        <v>Mejia</v>
      </c>
      <c r="E830" s="41" t="str">
        <f>Data!H828</f>
        <v>Saul.mejia@magnexgroup.com</v>
      </c>
      <c r="F830" s="41" t="str">
        <f>Data!K828</f>
        <v>Company Group</v>
      </c>
      <c r="G830" s="33" t="str">
        <f>Data!M828</f>
        <v>Exceso Velocidad 40 Km/h</v>
      </c>
      <c r="H830" s="41" t="str">
        <f>Data!P828</f>
        <v>ECOPETROL RUBIALES- Quifa - CAÑO SUR: Hato San Fernando, Puerto Gaitán, Meta, Colombia</v>
      </c>
      <c r="I830" s="42" t="str">
        <f>Data!Q828</f>
        <v>Cliente, Vel Max 40 Km/h</v>
      </c>
      <c r="J830" s="43">
        <f>Data!S828</f>
        <v>46174.569194641204</v>
      </c>
      <c r="K830" s="44">
        <f>Data!S828</f>
        <v>46174.569194641204</v>
      </c>
      <c r="L830" s="45">
        <f>Data!T828</f>
        <v>1.542824074074074E-5</v>
      </c>
      <c r="M830" s="46">
        <f>Data!U828</f>
        <v>1.3942030258476734E-2</v>
      </c>
      <c r="N830" s="46" t="str">
        <f>CONCATENATE(Data!W828," (",Data!V828,")")</f>
        <v>Exceso Velocidad 40 Km/h (Velocidad máxima: 41 kmh)</v>
      </c>
      <c r="O830" s="42" t="str">
        <f>IF(Data!V828&lt;&gt;"",N830,Data!W828)</f>
        <v>Exceso Velocidad 40 Km/h (Velocidad máxima: 41 kmh)</v>
      </c>
      <c r="P830" s="47" t="str">
        <f>Data!X828</f>
        <v>Válido</v>
      </c>
    </row>
    <row r="831" spans="1:16">
      <c r="A831" s="41" t="str">
        <f>Data!A829</f>
        <v>PKU307</v>
      </c>
      <c r="B831" s="41" t="str">
        <f>Data!D829</f>
        <v>Vehicle, Diesel, Frontera Energy Col 2679</v>
      </c>
      <c r="C831" s="41" t="str">
        <f>Data!F829</f>
        <v>Saul</v>
      </c>
      <c r="D831" s="41" t="str">
        <f>Data!G829</f>
        <v>Mejia</v>
      </c>
      <c r="E831" s="41" t="str">
        <f>Data!H829</f>
        <v>Saul.mejia@magnexgroup.com</v>
      </c>
      <c r="F831" s="41" t="str">
        <f>Data!K829</f>
        <v>Company Group</v>
      </c>
      <c r="G831" s="33" t="str">
        <f>Data!M829</f>
        <v>Exceso Velocidad 40 Km/h</v>
      </c>
      <c r="H831" s="41" t="str">
        <f>Data!P829</f>
        <v>ECOPETROL RUBIALES- Quifa - CAÑO SUR: Hato San Fernando, Puerto Gaitán, Meta, Colombia</v>
      </c>
      <c r="I831" s="42" t="str">
        <f>Data!Q829</f>
        <v>Cliente, Vel Max 40 Km/h</v>
      </c>
      <c r="J831" s="43">
        <f>Data!S829</f>
        <v>46174.569340277776</v>
      </c>
      <c r="K831" s="44">
        <f>Data!S829</f>
        <v>46174.569340277776</v>
      </c>
      <c r="L831" s="45">
        <f>Data!T829</f>
        <v>1.4880787037037038E-4</v>
      </c>
      <c r="M831" s="46">
        <f>Data!U829</f>
        <v>0.14831285178661346</v>
      </c>
      <c r="N831" s="46" t="str">
        <f>CONCATENATE(Data!W829," (",Data!V829,")")</f>
        <v>Exceso Velocidad 40 Km/h (Velocidad máxima: 42 kmh)</v>
      </c>
      <c r="O831" s="42" t="str">
        <f>IF(Data!V829&lt;&gt;"",N831,Data!W829)</f>
        <v>Exceso Velocidad 40 Km/h (Velocidad máxima: 42 kmh)</v>
      </c>
      <c r="P831" s="47" t="str">
        <f>Data!X829</f>
        <v>Válido</v>
      </c>
    </row>
    <row r="832" spans="1:16">
      <c r="A832" s="41" t="str">
        <f>Data!A830</f>
        <v>PKU307</v>
      </c>
      <c r="B832" s="41" t="str">
        <f>Data!D830</f>
        <v>Vehicle, Diesel, Frontera Energy Col 2679</v>
      </c>
      <c r="C832" s="41" t="str">
        <f>Data!F830</f>
        <v>Saul</v>
      </c>
      <c r="D832" s="41" t="str">
        <f>Data!G830</f>
        <v>Mejia</v>
      </c>
      <c r="E832" s="41" t="str">
        <f>Data!H830</f>
        <v>Saul.mejia@magnexgroup.com</v>
      </c>
      <c r="F832" s="41" t="str">
        <f>Data!K830</f>
        <v>Company Group</v>
      </c>
      <c r="G832" s="33" t="str">
        <f>Data!M830</f>
        <v>Exceso Velocidad 40 Km/h</v>
      </c>
      <c r="H832" s="41" t="str">
        <f>Data!P830</f>
        <v>ECOPETROL RUBIALES- Quifa - CAÑO SUR: Alto Neblinas, Puerto Gaitán, Meta, Colombia</v>
      </c>
      <c r="I832" s="42" t="str">
        <f>Data!Q830</f>
        <v>Cliente, Vel Max 40 Km/h</v>
      </c>
      <c r="J832" s="43">
        <f>Data!S830</f>
        <v>46174.569753090276</v>
      </c>
      <c r="K832" s="44">
        <f>Data!S830</f>
        <v>46174.569753090276</v>
      </c>
      <c r="L832" s="45">
        <f>Data!T830</f>
        <v>1.11875E-4</v>
      </c>
      <c r="M832" s="46">
        <f>Data!U830</f>
        <v>0.11311499029397964</v>
      </c>
      <c r="N832" s="46" t="str">
        <f>CONCATENATE(Data!W830," (",Data!V830,")")</f>
        <v>Exceso Velocidad 40 Km/h (Velocidad máxima: 46 kmh)</v>
      </c>
      <c r="O832" s="42" t="str">
        <f>IF(Data!V830&lt;&gt;"",N832,Data!W830)</f>
        <v>Exceso Velocidad 40 Km/h (Velocidad máxima: 46 kmh)</v>
      </c>
      <c r="P832" s="47" t="str">
        <f>Data!X830</f>
        <v>Válido</v>
      </c>
    </row>
    <row r="833" spans="1:16">
      <c r="A833" s="41" t="str">
        <f>Data!A831</f>
        <v>PKU307</v>
      </c>
      <c r="B833" s="41" t="str">
        <f>Data!D831</f>
        <v>Vehicle, Diesel, Frontera Energy Col 2679</v>
      </c>
      <c r="C833" s="41" t="str">
        <f>Data!F831</f>
        <v>Saul</v>
      </c>
      <c r="D833" s="41" t="str">
        <f>Data!G831</f>
        <v>Mejia</v>
      </c>
      <c r="E833" s="41" t="str">
        <f>Data!H831</f>
        <v>Saul.mejia@magnexgroup.com</v>
      </c>
      <c r="F833" s="41" t="str">
        <f>Data!K831</f>
        <v>Company Group</v>
      </c>
      <c r="G833" s="33" t="str">
        <f>Data!M831</f>
        <v>Exceso Velocidad 40 Km/h</v>
      </c>
      <c r="H833" s="41" t="str">
        <f>Data!P831</f>
        <v>ECOPETROL RUBIALES- Quifa - CAÑO SUR: Alto Neblinas, Puerto Gaitán, Meta, Colombia</v>
      </c>
      <c r="I833" s="42" t="str">
        <f>Data!Q831</f>
        <v>Cliente, Vel Max 40 Km/h</v>
      </c>
      <c r="J833" s="43">
        <f>Data!S831</f>
        <v>46174.570096932868</v>
      </c>
      <c r="K833" s="44">
        <f>Data!S831</f>
        <v>46174.570096932868</v>
      </c>
      <c r="L833" s="45">
        <f>Data!T831</f>
        <v>4.1956018518518515E-5</v>
      </c>
      <c r="M833" s="46">
        <f>Data!U831</f>
        <v>3.9310995489358902E-2</v>
      </c>
      <c r="N833" s="46" t="str">
        <f>CONCATENATE(Data!W831," (",Data!V831,")")</f>
        <v>Exceso Velocidad 40 Km/h (Velocidad máxima: 41 kmh)</v>
      </c>
      <c r="O833" s="42" t="str">
        <f>IF(Data!V831&lt;&gt;"",N833,Data!W831)</f>
        <v>Exceso Velocidad 40 Km/h (Velocidad máxima: 41 kmh)</v>
      </c>
      <c r="P833" s="47" t="str">
        <f>Data!X831</f>
        <v>Válido</v>
      </c>
    </row>
    <row r="834" spans="1:16">
      <c r="A834" s="41" t="str">
        <f>Data!A832</f>
        <v>PKU307</v>
      </c>
      <c r="B834" s="41" t="str">
        <f>Data!D832</f>
        <v>Vehicle, Diesel, Frontera Energy Col 2679</v>
      </c>
      <c r="C834" s="41" t="str">
        <f>Data!F832</f>
        <v>Saul</v>
      </c>
      <c r="D834" s="41" t="str">
        <f>Data!G832</f>
        <v>Mejia</v>
      </c>
      <c r="E834" s="41" t="str">
        <f>Data!H832</f>
        <v>Saul.mejia@magnexgroup.com</v>
      </c>
      <c r="F834" s="41" t="str">
        <f>Data!K832</f>
        <v>Company Group</v>
      </c>
      <c r="G834" s="33" t="str">
        <f>Data!M832</f>
        <v>Exceso Velocidad 40 Km/h</v>
      </c>
      <c r="H834" s="41" t="str">
        <f>Data!P832</f>
        <v>ECOPETROL RUBIALES- Quifa - CAÑO SUR, Zona Accidentalidad: Alto Neblinas, Puerto Gaitán, Meta, Colombia</v>
      </c>
      <c r="I834" s="42" t="str">
        <f>Data!Q832</f>
        <v>Cliente, Vel Max 40 Km/h</v>
      </c>
      <c r="J834" s="43">
        <f>Data!S832</f>
        <v>46174.572413194546</v>
      </c>
      <c r="K834" s="44">
        <f>Data!S832</f>
        <v>46174.572413194546</v>
      </c>
      <c r="L834" s="45">
        <f>Data!T832</f>
        <v>1.1226851851851852E-4</v>
      </c>
      <c r="M834" s="46">
        <f>Data!U832</f>
        <v>0.10527949780225754</v>
      </c>
      <c r="N834" s="46" t="str">
        <f>CONCATENATE(Data!W832," (",Data!V832,")")</f>
        <v>Exceso Velocidad 40 Km/h (Velocidad máxima: 41 kmh)</v>
      </c>
      <c r="O834" s="42" t="str">
        <f>IF(Data!V832&lt;&gt;"",N834,Data!W832)</f>
        <v>Exceso Velocidad 40 Km/h (Velocidad máxima: 41 kmh)</v>
      </c>
      <c r="P834" s="47" t="str">
        <f>Data!X832</f>
        <v>Válido</v>
      </c>
    </row>
    <row r="835" spans="1:16">
      <c r="A835" s="41" t="str">
        <f>Data!A833</f>
        <v>PKU307</v>
      </c>
      <c r="B835" s="41" t="str">
        <f>Data!D833</f>
        <v>Vehicle, Diesel, Frontera Energy Col 2679</v>
      </c>
      <c r="C835" s="41" t="str">
        <f>Data!F833</f>
        <v>Saul</v>
      </c>
      <c r="D835" s="41" t="str">
        <f>Data!G833</f>
        <v>Mejia</v>
      </c>
      <c r="E835" s="41" t="str">
        <f>Data!H833</f>
        <v>Saul.mejia@magnexgroup.com</v>
      </c>
      <c r="F835" s="41" t="str">
        <f>Data!K833</f>
        <v>Company Group</v>
      </c>
      <c r="G835" s="33" t="str">
        <f>Data!M833</f>
        <v>Giro brusco</v>
      </c>
      <c r="H835" s="41" t="str">
        <f>Data!P833</f>
        <v>ECOPETROL RUBIALES- Quifa - CAÑO SUR: Alto Neblinas, Puerto Gaitán, Meta, Colombia</v>
      </c>
      <c r="I835" s="42" t="str">
        <f>Data!Q833</f>
        <v>Cliente, Vel Max 40 Km/h</v>
      </c>
      <c r="J835" s="43">
        <f>Data!S833</f>
        <v>46174.592515902776</v>
      </c>
      <c r="K835" s="44">
        <f>Data!S833</f>
        <v>46174.592515902776</v>
      </c>
      <c r="L835" s="45">
        <f>Data!T833</f>
        <v>5.5555555555555552E-7</v>
      </c>
      <c r="M835" s="46">
        <f>Data!U833</f>
        <v>1.8293618632014841E-4</v>
      </c>
      <c r="N835" s="46" t="str">
        <f>CONCATENATE(Data!W833," (",Data!V833,")")</f>
        <v>Giro brusco (Velocidad máxima: 15 kmh Aceleración de lado a lado: -0.55 g-force, Ignición: 1.00)</v>
      </c>
      <c r="O835" s="42" t="str">
        <f>IF(Data!V833&lt;&gt;"",N835,Data!W833)</f>
        <v>Giro brusco (Velocidad máxima: 15 kmh Aceleración de lado a lado: -0.55 g-force, Ignición: 1.00)</v>
      </c>
      <c r="P835" s="47" t="str">
        <f>Data!X833</f>
        <v>Válido</v>
      </c>
    </row>
    <row r="836" spans="1:16">
      <c r="A836" s="41" t="str">
        <f>Data!A834</f>
        <v>PKU307</v>
      </c>
      <c r="B836" s="41" t="str">
        <f>Data!D834</f>
        <v>Vehicle, Diesel, Frontera Energy Col 2679</v>
      </c>
      <c r="C836" s="41" t="str">
        <f>Data!F834</f>
        <v>Saul</v>
      </c>
      <c r="D836" s="41" t="str">
        <f>Data!G834</f>
        <v>Mejia</v>
      </c>
      <c r="E836" s="41" t="str">
        <f>Data!H834</f>
        <v>Saul.mejia@magnexgroup.com</v>
      </c>
      <c r="F836" s="41" t="str">
        <f>Data!K834</f>
        <v>Company Group</v>
      </c>
      <c r="G836" s="33" t="str">
        <f>Data!M834</f>
        <v>Frenado brusco (nuevo)</v>
      </c>
      <c r="H836" s="41" t="str">
        <f>Data!P834</f>
        <v>PUERTO GAITAN-CAMPO RUBIALES: Alto Neblinas, Puerto Gaitán, Meta, Colombia</v>
      </c>
      <c r="I836" s="42" t="str">
        <f>Data!Q834</f>
        <v>Vel Max 50 Km/h, Cliente</v>
      </c>
      <c r="J836" s="43">
        <f>Data!S834</f>
        <v>46174.610625000001</v>
      </c>
      <c r="K836" s="44">
        <f>Data!S834</f>
        <v>46174.610625000001</v>
      </c>
      <c r="L836" s="45">
        <f>Data!T834</f>
        <v>0</v>
      </c>
      <c r="M836" s="46">
        <f>Data!U834</f>
        <v>0</v>
      </c>
      <c r="N836" s="46" t="str">
        <f>CONCATENATE(Data!W834," (",Data!V834,")")</f>
        <v>Frenado brusco (nuevo) (Clase de vehículo para métricas de seguridad: Otra clase (no estandarizada), Velocidad máxima: 26 kmh,  Ignición: 1)</v>
      </c>
      <c r="O836" s="42" t="str">
        <f>IF(Data!V834&lt;&gt;"",N836,Data!W834)</f>
        <v>Frenado brusco (nuevo) (Clase de vehículo para métricas de seguridad: Otra clase (no estandarizada), Velocidad máxima: 26 kmh,  Ignición: 1)</v>
      </c>
      <c r="P836" s="47" t="str">
        <f>Data!X834</f>
        <v>Válido</v>
      </c>
    </row>
    <row r="837" spans="1:16">
      <c r="A837" s="41" t="str">
        <f>Data!A835</f>
        <v>PKU307</v>
      </c>
      <c r="B837" s="41" t="str">
        <f>Data!D835</f>
        <v>Vehicle, Diesel, Frontera Energy Col 2679</v>
      </c>
      <c r="C837" s="41" t="str">
        <f>Data!F835</f>
        <v>Saul</v>
      </c>
      <c r="D837" s="41" t="str">
        <f>Data!G835</f>
        <v>Mejia</v>
      </c>
      <c r="E837" s="41" t="str">
        <f>Data!H835</f>
        <v>Saul.mejia@magnexgroup.com</v>
      </c>
      <c r="F837" s="41" t="str">
        <f>Data!K835</f>
        <v>Company Group</v>
      </c>
      <c r="G837" s="33" t="str">
        <f>Data!M835</f>
        <v>Giro brusco</v>
      </c>
      <c r="H837" s="41" t="str">
        <f>Data!P835</f>
        <v>PUERTO GAITAN-CAMPO RUBIALES: Alto Neblinas, Puerto Gaitán, Meta, Colombia</v>
      </c>
      <c r="I837" s="42" t="str">
        <f>Data!Q835</f>
        <v>Vel Max 50 Km/h, Cliente</v>
      </c>
      <c r="J837" s="43">
        <f>Data!S835</f>
        <v>46174.636398541668</v>
      </c>
      <c r="K837" s="44">
        <f>Data!S835</f>
        <v>46174.636398541668</v>
      </c>
      <c r="L837" s="45">
        <f>Data!T835</f>
        <v>1.1574074074074074E-7</v>
      </c>
      <c r="M837" s="46">
        <f>Data!U835</f>
        <v>4.3012347305193543E-5</v>
      </c>
      <c r="N837" s="46" t="str">
        <f>CONCATENATE(Data!W835," (",Data!V835,")")</f>
        <v>Giro brusco (Velocidad máxima: 18 kmh Aceleración de lado a lado: 0.48 g-force, Ignición: 1.00)</v>
      </c>
      <c r="O837" s="42" t="str">
        <f>IF(Data!V835&lt;&gt;"",N837,Data!W835)</f>
        <v>Giro brusco (Velocidad máxima: 18 kmh Aceleración de lado a lado: 0.48 g-force, Ignición: 1.00)</v>
      </c>
      <c r="P837" s="47" t="str">
        <f>Data!X835</f>
        <v>Válido</v>
      </c>
    </row>
    <row r="838" spans="1:16">
      <c r="A838" s="41" t="str">
        <f>Data!A836</f>
        <v>PKU307</v>
      </c>
      <c r="B838" s="41" t="str">
        <f>Data!D836</f>
        <v>Vehicle, Diesel, Frontera Energy Col 2679</v>
      </c>
      <c r="C838" s="41" t="str">
        <f>Data!F836</f>
        <v>Saul</v>
      </c>
      <c r="D838" s="41" t="str">
        <f>Data!G836</f>
        <v>Mejia</v>
      </c>
      <c r="E838" s="41" t="str">
        <f>Data!H836</f>
        <v>Saul.mejia@magnexgroup.com</v>
      </c>
      <c r="F838" s="41" t="str">
        <f>Data!K836</f>
        <v>Company Group</v>
      </c>
      <c r="G838" s="33" t="str">
        <f>Data!M836</f>
        <v>Frenado brusco (nuevo)</v>
      </c>
      <c r="H838" s="41" t="str">
        <f>Data!P836</f>
        <v>PUERTO GAITAN-CAMPO RUBIALES: Alto Neblinas, Puerto Gaitán, Meta, Colombia</v>
      </c>
      <c r="I838" s="42" t="str">
        <f>Data!Q836</f>
        <v>Vel Max 50 Km/h, Cliente</v>
      </c>
      <c r="J838" s="43">
        <f>Data!S836</f>
        <v>46174.657557870371</v>
      </c>
      <c r="K838" s="44">
        <f>Data!S836</f>
        <v>46174.657557870371</v>
      </c>
      <c r="L838" s="45">
        <f>Data!T836</f>
        <v>0</v>
      </c>
      <c r="M838" s="46">
        <f>Data!U836</f>
        <v>0</v>
      </c>
      <c r="N838" s="46" t="str">
        <f>CONCATENATE(Data!W836," (",Data!V836,")")</f>
        <v>Frenado brusco (nuevo) (Clase de vehículo para métricas de seguridad: Otra clase (no estandarizada), Velocidad máxima: 23 kmh,  Ignición: 1)</v>
      </c>
      <c r="O838" s="42" t="str">
        <f>IF(Data!V836&lt;&gt;"",N838,Data!W836)</f>
        <v>Frenado brusco (nuevo) (Clase de vehículo para métricas de seguridad: Otra clase (no estandarizada), Velocidad máxima: 23 kmh,  Ignición: 1)</v>
      </c>
      <c r="P838" s="47" t="str">
        <f>Data!X836</f>
        <v>Válido</v>
      </c>
    </row>
    <row r="839" spans="1:16">
      <c r="A839" s="41" t="str">
        <f>Data!A837</f>
        <v>PKU307</v>
      </c>
      <c r="B839" s="41" t="str">
        <f>Data!D837</f>
        <v>Vehicle, Diesel, Frontera Energy Col 2679</v>
      </c>
      <c r="C839" s="41" t="str">
        <f>Data!F837</f>
        <v>Saul</v>
      </c>
      <c r="D839" s="41" t="str">
        <f>Data!G837</f>
        <v>Mejia</v>
      </c>
      <c r="E839" s="41" t="str">
        <f>Data!H837</f>
        <v>Saul.mejia@magnexgroup.com</v>
      </c>
      <c r="F839" s="41" t="str">
        <f>Data!K837</f>
        <v>Company Group</v>
      </c>
      <c r="G839" s="33" t="str">
        <f>Data!M837</f>
        <v>Uso del cinturón de seguridad</v>
      </c>
      <c r="H839" s="41" t="str">
        <f>Data!P837</f>
        <v>PUERTO GAITAN-CAMPO RUBIALES: Alto Neblinas, Puerto Gaitán, Meta, Colombia</v>
      </c>
      <c r="I839" s="42" t="str">
        <f>Data!Q837</f>
        <v>Vel Max 50 Km/h, Cliente</v>
      </c>
      <c r="J839" s="43">
        <f>Data!S837</f>
        <v>46174.672061724537</v>
      </c>
      <c r="K839" s="44">
        <f>Data!S837</f>
        <v>46174.672061724537</v>
      </c>
      <c r="L839" s="45">
        <f>Data!T837</f>
        <v>5.3020833333333332E-5</v>
      </c>
      <c r="M839" s="46">
        <f>Data!U837</f>
        <v>3.058081679046154E-2</v>
      </c>
      <c r="N839" s="46" t="str">
        <f>CONCATENATE(Data!W837," (",Data!V837,")")</f>
        <v>Uso del cinturón de seguridad (Velocidad máxima: 35 kmh Cinturón de seguridad del conductor (1. Desabrochado): 1.00)</v>
      </c>
      <c r="O839" s="42" t="str">
        <f>IF(Data!V837&lt;&gt;"",N839,Data!W837)</f>
        <v>Uso del cinturón de seguridad (Velocidad máxima: 35 kmh Cinturón de seguridad del conductor (1. Desabrochado): 1.00)</v>
      </c>
      <c r="P839" s="47" t="str">
        <f>Data!X837</f>
        <v>Válido</v>
      </c>
    </row>
    <row r="840" spans="1:16">
      <c r="A840" s="41" t="str">
        <f>Data!A838</f>
        <v>PKU307</v>
      </c>
      <c r="B840" s="41" t="str">
        <f>Data!D838</f>
        <v>Vehicle, Diesel, Frontera Energy Col 2679</v>
      </c>
      <c r="C840" s="41" t="str">
        <f>Data!F838</f>
        <v>Saul</v>
      </c>
      <c r="D840" s="41" t="str">
        <f>Data!G838</f>
        <v>Mejia</v>
      </c>
      <c r="E840" s="41" t="str">
        <f>Data!H838</f>
        <v>Saul.mejia@magnexgroup.com</v>
      </c>
      <c r="F840" s="41" t="str">
        <f>Data!K838</f>
        <v>Company Group</v>
      </c>
      <c r="G840" s="33" t="str">
        <f>Data!M838</f>
        <v>Uso del cinturón de seguridad</v>
      </c>
      <c r="H840" s="41" t="str">
        <f>Data!P838</f>
        <v>PUERTO GAITAN-CAMPO RUBIALES: Alto Neblinas, Puerto Gaitán, Meta, Colombia</v>
      </c>
      <c r="I840" s="42" t="str">
        <f>Data!Q838</f>
        <v>Vel Max 50 Km/h, Cliente</v>
      </c>
      <c r="J840" s="43">
        <f>Data!S838</f>
        <v>46174.672554016201</v>
      </c>
      <c r="K840" s="44">
        <f>Data!S838</f>
        <v>46174.672554016201</v>
      </c>
      <c r="L840" s="45">
        <f>Data!T838</f>
        <v>2.199074074074074E-4</v>
      </c>
      <c r="M840" s="46">
        <f>Data!U838</f>
        <v>8.1361182034015656E-2</v>
      </c>
      <c r="N840" s="46" t="str">
        <f>CONCATENATE(Data!W838," (",Data!V838,")")</f>
        <v>Uso del cinturón de seguridad (Velocidad máxima: 20 kmh Cinturón de seguridad del conductor (1. Desabrochado): 1.00)</v>
      </c>
      <c r="O840" s="42" t="str">
        <f>IF(Data!V838&lt;&gt;"",N840,Data!W838)</f>
        <v>Uso del cinturón de seguridad (Velocidad máxima: 20 kmh Cinturón de seguridad del conductor (1. Desabrochado): 1.00)</v>
      </c>
      <c r="P840" s="47" t="str">
        <f>Data!X838</f>
        <v>Válido</v>
      </c>
    </row>
    <row r="841" spans="1:16">
      <c r="A841" s="41" t="str">
        <f>Data!A839</f>
        <v>PKU307</v>
      </c>
      <c r="B841" s="41" t="str">
        <f>Data!D839</f>
        <v>Vehicle, Diesel, Frontera Energy Col 2679</v>
      </c>
      <c r="C841" s="41" t="str">
        <f>Data!F839</f>
        <v>Saul</v>
      </c>
      <c r="D841" s="41" t="str">
        <f>Data!G839</f>
        <v>Mejia</v>
      </c>
      <c r="E841" s="41" t="str">
        <f>Data!H839</f>
        <v>Saul.mejia@magnexgroup.com</v>
      </c>
      <c r="F841" s="41" t="str">
        <f>Data!K839</f>
        <v>Company Group</v>
      </c>
      <c r="G841" s="33" t="str">
        <f>Data!M839</f>
        <v>Uso del cinturón de seguridad</v>
      </c>
      <c r="H841" s="41" t="str">
        <f>Data!P839</f>
        <v>PUERTO GAITAN-CAMPO RUBIALES: Alto Neblinas, Puerto Gaitán, Meta, Colombia</v>
      </c>
      <c r="I841" s="42" t="str">
        <f>Data!Q839</f>
        <v>Vel Max 50 Km/h, Cliente</v>
      </c>
      <c r="J841" s="43">
        <f>Data!S839</f>
        <v>46174.672799270833</v>
      </c>
      <c r="K841" s="44">
        <f>Data!S839</f>
        <v>46174.672799270833</v>
      </c>
      <c r="L841" s="45">
        <f>Data!T839</f>
        <v>1.1423611111111111E-5</v>
      </c>
      <c r="M841" s="46">
        <f>Data!U839</f>
        <v>2.863746602088213E-3</v>
      </c>
      <c r="N841" s="46" t="str">
        <f>CONCATENATE(Data!W839," (",Data!V839,")")</f>
        <v>Uso del cinturón de seguridad (Velocidad máxima: 13 kmh Cinturón de seguridad del conductor (1. Desabrochado): 1.00)</v>
      </c>
      <c r="O841" s="42" t="str">
        <f>IF(Data!V839&lt;&gt;"",N841,Data!W839)</f>
        <v>Uso del cinturón de seguridad (Velocidad máxima: 13 kmh Cinturón de seguridad del conductor (1. Desabrochado): 1.00)</v>
      </c>
      <c r="P841" s="47" t="str">
        <f>Data!X839</f>
        <v>Válido</v>
      </c>
    </row>
    <row r="842" spans="1:16">
      <c r="A842" s="41" t="str">
        <f>Data!A840</f>
        <v>PKU307</v>
      </c>
      <c r="B842" s="41" t="str">
        <f>Data!D840</f>
        <v>Vehicle, Diesel, Frontera Energy Col 2679</v>
      </c>
      <c r="C842" s="41" t="str">
        <f>Data!F840</f>
        <v>Saul</v>
      </c>
      <c r="D842" s="41" t="str">
        <f>Data!G840</f>
        <v>Mejia</v>
      </c>
      <c r="E842" s="41" t="str">
        <f>Data!H840</f>
        <v>Saul.mejia@magnexgroup.com</v>
      </c>
      <c r="F842" s="41" t="str">
        <f>Data!K840</f>
        <v>Company Group</v>
      </c>
      <c r="G842" s="33" t="str">
        <f>Data!M840</f>
        <v>Giro brusco</v>
      </c>
      <c r="H842" s="41" t="str">
        <f>Data!P840</f>
        <v>PUERTO GAITAN-CAMPO RUBIALES: Alto Neblinas, Puerto Gaitán, Meta, Colombia</v>
      </c>
      <c r="I842" s="42" t="str">
        <f>Data!Q840</f>
        <v>Vel Max 50 Km/h, Cliente</v>
      </c>
      <c r="J842" s="43">
        <f>Data!S840</f>
        <v>46174.709146678244</v>
      </c>
      <c r="K842" s="44">
        <f>Data!S840</f>
        <v>46174.709146678244</v>
      </c>
      <c r="L842" s="45">
        <f>Data!T840</f>
        <v>1.1805555555555556E-6</v>
      </c>
      <c r="M842" s="46">
        <f>Data!U840</f>
        <v>6.5845472272485495E-4</v>
      </c>
      <c r="N842" s="46" t="str">
        <f>CONCATENATE(Data!W840," (",Data!V840,")")</f>
        <v>Giro brusco (Velocidad máxima: 26 kmh Aceleración de lado a lado: -0.70 g-force, Ignición: 1.00)</v>
      </c>
      <c r="O842" s="42" t="str">
        <f>IF(Data!V840&lt;&gt;"",N842,Data!W840)</f>
        <v>Giro brusco (Velocidad máxima: 26 kmh Aceleración de lado a lado: -0.70 g-force, Ignición: 1.00)</v>
      </c>
      <c r="P842" s="47" t="str">
        <f>Data!X840</f>
        <v>Válido</v>
      </c>
    </row>
    <row r="843" spans="1:16">
      <c r="A843" s="41" t="str">
        <f>Data!A841</f>
        <v>PKU307</v>
      </c>
      <c r="B843" s="41" t="str">
        <f>Data!D841</f>
        <v>Vehicle, Diesel, Frontera Energy Col 2679</v>
      </c>
      <c r="C843" s="41" t="str">
        <f>Data!F841</f>
        <v>Saul</v>
      </c>
      <c r="D843" s="41" t="str">
        <f>Data!G841</f>
        <v>Mejia</v>
      </c>
      <c r="E843" s="41" t="str">
        <f>Data!H841</f>
        <v>Saul.mejia@magnexgroup.com</v>
      </c>
      <c r="F843" s="41" t="str">
        <f>Data!K841</f>
        <v>Company Group</v>
      </c>
      <c r="G843" s="33" t="str">
        <f>Data!M841</f>
        <v>Giro brusco</v>
      </c>
      <c r="H843" s="41" t="str">
        <f>Data!P841</f>
        <v>PUERTO GAITAN-CAMPO RUBIALES: Alto Neblinas, Puerto Gaitán, Meta, Colombia</v>
      </c>
      <c r="I843" s="42" t="str">
        <f>Data!Q841</f>
        <v>Vel Max 50 Km/h, Cliente</v>
      </c>
      <c r="J843" s="43">
        <f>Data!S841</f>
        <v>46174.709153379627</v>
      </c>
      <c r="K843" s="44">
        <f>Data!S841</f>
        <v>46174.709153379627</v>
      </c>
      <c r="L843" s="45">
        <f>Data!T841</f>
        <v>4.3981481481481479E-7</v>
      </c>
      <c r="M843" s="46">
        <f>Data!U841</f>
        <v>2.4530664086341858E-4</v>
      </c>
      <c r="N843" s="46" t="str">
        <f>CONCATENATE(Data!W841," (",Data!V841,")")</f>
        <v>Giro brusco (Velocidad máxima: 26 kmh Aceleración de lado a lado: -0.52 g-force, Ignición: 1.00)</v>
      </c>
      <c r="O843" s="42" t="str">
        <f>IF(Data!V841&lt;&gt;"",N843,Data!W841)</f>
        <v>Giro brusco (Velocidad máxima: 26 kmh Aceleración de lado a lado: -0.52 g-force, Ignición: 1.00)</v>
      </c>
      <c r="P843" s="47" t="str">
        <f>Data!X841</f>
        <v>Válido</v>
      </c>
    </row>
    <row r="844" spans="1:16">
      <c r="A844" s="41" t="str">
        <f>Data!A842</f>
        <v>PMV840</v>
      </c>
      <c r="B844" s="41" t="str">
        <f>Data!D842</f>
        <v>Vehicle, Diesel, ENE 6053 Zona III CAPEX SOT-SOC</v>
      </c>
      <c r="C844" s="41">
        <f>Data!F842</f>
        <v>0</v>
      </c>
      <c r="D844" s="41">
        <f>Data!G842</f>
        <v>0</v>
      </c>
      <c r="E844" s="41">
        <f>Data!H842</f>
        <v>0</v>
      </c>
      <c r="F844" s="41">
        <f>Data!K842</f>
        <v>0</v>
      </c>
      <c r="G844" s="33" t="str">
        <f>Data!M842</f>
        <v>Aceleración brusca</v>
      </c>
      <c r="H844" s="41" t="str">
        <f>Data!P842</f>
        <v>Cra. 52 # 13-65, Puente Aranda, Bogotá, D.C., Bogotá, Bogotá, D.C., Colombia</v>
      </c>
      <c r="I844" s="42">
        <f>Data!Q842</f>
        <v>0</v>
      </c>
      <c r="J844" s="43">
        <f>Data!S842</f>
        <v>46174.832094594909</v>
      </c>
      <c r="K844" s="44">
        <f>Data!S842</f>
        <v>46174.832094594909</v>
      </c>
      <c r="L844" s="45">
        <f>Data!T842</f>
        <v>4.5138888888888888E-7</v>
      </c>
      <c r="M844" s="46">
        <f>Data!U842</f>
        <v>1.6146335110533983E-4</v>
      </c>
      <c r="N844" s="46" t="str">
        <f>CONCATENATE(Data!W842," (",Data!V842,")")</f>
        <v>Aceleración brusca (Velocidad máxima: 14 kmh Aceleración hacia delante o frenado: 0.46 g-force, Ignición: 1.00)</v>
      </c>
      <c r="O844" s="42" t="str">
        <f>IF(Data!V842&lt;&gt;"",N844,Data!W842)</f>
        <v>Aceleración brusca (Velocidad máxima: 14 kmh Aceleración hacia delante o frenado: 0.46 g-force, Ignición: 1.00)</v>
      </c>
      <c r="P844" s="47" t="str">
        <f>Data!X842</f>
        <v>Válido</v>
      </c>
    </row>
    <row r="845" spans="1:16">
      <c r="A845" s="41" t="str">
        <f>Data!A843</f>
        <v>PMV840</v>
      </c>
      <c r="B845" s="41" t="str">
        <f>Data!D843</f>
        <v>Vehicle, Diesel, ENE 6053 Zona III CAPEX SOT-SOC</v>
      </c>
      <c r="C845" s="41">
        <f>Data!F843</f>
        <v>0</v>
      </c>
      <c r="D845" s="41">
        <f>Data!G843</f>
        <v>0</v>
      </c>
      <c r="E845" s="41">
        <f>Data!H843</f>
        <v>0</v>
      </c>
      <c r="F845" s="41">
        <f>Data!K843</f>
        <v>0</v>
      </c>
      <c r="G845" s="33" t="str">
        <f>Data!M843</f>
        <v>Tiempo en ralentí</v>
      </c>
      <c r="H845" s="41" t="str">
        <f>Data!P843</f>
        <v>Base Zona 3 Enel: Cra. 65b # 13-60, Puente Aranda, Bogotá, D.C., Bogotá, Bogotá, D.C., Colombia</v>
      </c>
      <c r="I845" s="42" t="str">
        <f>Data!Q843</f>
        <v>Vel Max 10 Km/h</v>
      </c>
      <c r="J845" s="43">
        <f>Data!S843</f>
        <v>46174.834722222222</v>
      </c>
      <c r="K845" s="44">
        <f>Data!S843</f>
        <v>46174.834722222222</v>
      </c>
      <c r="L845" s="45">
        <f>Data!T843</f>
        <v>2.2638888888888889E-2</v>
      </c>
      <c r="M845" s="46">
        <f>Data!U843</f>
        <v>1.6980045475065708E-3</v>
      </c>
      <c r="N845" s="46" t="str">
        <f>CONCATENATE(Data!W843," (",Data!V843,")")</f>
        <v>Tiempo en ralentí (Ignición: 1.00)</v>
      </c>
      <c r="O845" s="42" t="str">
        <f>IF(Data!V843&lt;&gt;"",N845,Data!W843)</f>
        <v>Tiempo en ralentí (Ignición: 1.00)</v>
      </c>
      <c r="P845" s="47" t="str">
        <f>Data!X843</f>
        <v>Válido</v>
      </c>
    </row>
    <row r="846" spans="1:16">
      <c r="A846" s="41" t="str">
        <f>Data!A844</f>
        <v>QLO286</v>
      </c>
      <c r="B846" s="41" t="str">
        <f>Data!D844</f>
        <v>Vehicle, Diesel, ECP 1107 Rubiales Serv. Integrales</v>
      </c>
      <c r="C846" s="41">
        <f>Data!F844</f>
        <v>0</v>
      </c>
      <c r="D846" s="41">
        <f>Data!G844</f>
        <v>0</v>
      </c>
      <c r="E846" s="41">
        <f>Data!H844</f>
        <v>0</v>
      </c>
      <c r="F846" s="41">
        <f>Data!K844</f>
        <v>0</v>
      </c>
      <c r="G846" s="33" t="str">
        <f>Data!M844</f>
        <v>Exceso Velocidad 10 Km/h</v>
      </c>
      <c r="H846" s="41" t="str">
        <f>Data!P844</f>
        <v>ECOPETROL RUBIALES- Quifa - CAÑO SUR, CPF 2: Vía CPF 2, Puerto Gaitán, Meta, Colombia</v>
      </c>
      <c r="I846" s="42" t="str">
        <f>Data!Q844</f>
        <v>Cliente, Vel Max 40 Km/h, Vel Max 10 Km/h</v>
      </c>
      <c r="J846" s="43">
        <f>Data!S844</f>
        <v>46173.997588541664</v>
      </c>
      <c r="K846" s="44">
        <f>Data!S844</f>
        <v>46173.997588541664</v>
      </c>
      <c r="L846" s="45">
        <f>Data!T844</f>
        <v>4.3885185185185182E-3</v>
      </c>
      <c r="M846" s="46">
        <f>Data!U844</f>
        <v>1.3482905626296997</v>
      </c>
      <c r="N846" s="46" t="str">
        <f>CONCATENATE(Data!W844," (",Data!V844,")")</f>
        <v>Exceso Velocidad 10 Km/h (Velocidad máxima: 18 kmh)</v>
      </c>
      <c r="O846" s="42" t="str">
        <f>IF(Data!V844&lt;&gt;"",N846,Data!W844)</f>
        <v>Exceso Velocidad 10 Km/h (Velocidad máxima: 18 kmh)</v>
      </c>
      <c r="P846" s="47" t="str">
        <f>Data!X844</f>
        <v>Válido</v>
      </c>
    </row>
    <row r="847" spans="1:16">
      <c r="A847" s="41" t="str">
        <f>Data!A845</f>
        <v>QLO286</v>
      </c>
      <c r="B847" s="41" t="str">
        <f>Data!D845</f>
        <v>Vehicle, Diesel, ECP 1107 Rubiales Serv. Integrales</v>
      </c>
      <c r="C847" s="41">
        <f>Data!F845</f>
        <v>0</v>
      </c>
      <c r="D847" s="41">
        <f>Data!G845</f>
        <v>0</v>
      </c>
      <c r="E847" s="41">
        <f>Data!H845</f>
        <v>0</v>
      </c>
      <c r="F847" s="41">
        <f>Data!K845</f>
        <v>0</v>
      </c>
      <c r="G847" s="33" t="str">
        <f>Data!M845</f>
        <v>Uso del cinturón de seguridad</v>
      </c>
      <c r="H847" s="41" t="str">
        <f>Data!P845</f>
        <v>ECOPETROL RUBIALES- Quifa - CAÑO SUR, CPF 2: Vía CPF 2, Puerto Gaitán, Meta, Colombia</v>
      </c>
      <c r="I847" s="42" t="str">
        <f>Data!Q845</f>
        <v>Cliente, Vel Max 40 Km/h, Vel Max 10 Km/h</v>
      </c>
      <c r="J847" s="43">
        <f>Data!S845</f>
        <v>46174.025233796296</v>
      </c>
      <c r="K847" s="44">
        <f>Data!S845</f>
        <v>46174.025233796296</v>
      </c>
      <c r="L847" s="45">
        <f>Data!T845</f>
        <v>1.0031250000000001E-4</v>
      </c>
      <c r="M847" s="46">
        <f>Data!U845</f>
        <v>3.0730079859495163E-2</v>
      </c>
      <c r="N847" s="46" t="str">
        <f>CONCATENATE(Data!W845," (",Data!V845,")")</f>
        <v>Uso del cinturón de seguridad (Velocidad máxima: 14 kmh Cinturón de seguridad del conductor (1. Desabrochado): 1.00)</v>
      </c>
      <c r="O847" s="42" t="str">
        <f>IF(Data!V845&lt;&gt;"",N847,Data!W845)</f>
        <v>Uso del cinturón de seguridad (Velocidad máxima: 14 kmh Cinturón de seguridad del conductor (1. Desabrochado): 1.00)</v>
      </c>
      <c r="P847" s="47" t="str">
        <f>Data!X845</f>
        <v>Válido</v>
      </c>
    </row>
    <row r="848" spans="1:16">
      <c r="A848" s="41" t="str">
        <f>Data!A846</f>
        <v>QLO286</v>
      </c>
      <c r="B848" s="41" t="str">
        <f>Data!D846</f>
        <v>Vehicle, Diesel, ECP 1107 Rubiales Serv. Integrales</v>
      </c>
      <c r="C848" s="41">
        <f>Data!F846</f>
        <v>0</v>
      </c>
      <c r="D848" s="41">
        <f>Data!G846</f>
        <v>0</v>
      </c>
      <c r="E848" s="41">
        <f>Data!H846</f>
        <v>0</v>
      </c>
      <c r="F848" s="41">
        <f>Data!K846</f>
        <v>0</v>
      </c>
      <c r="G848" s="33" t="str">
        <f>Data!M846</f>
        <v>Exceso Velocidad 10 Km/h</v>
      </c>
      <c r="H848" s="41" t="str">
        <f>Data!P846</f>
        <v>ECOPETROL RUBIALES- Quifa - CAÑO SUR, CPF 2: Vía CPF 2, Puerto Gaitán, Meta, Colombia</v>
      </c>
      <c r="I848" s="42" t="str">
        <f>Data!Q846</f>
        <v>Cliente, Vel Max 40 Km/h, Vel Max 10 Km/h</v>
      </c>
      <c r="J848" s="43">
        <f>Data!S846</f>
        <v>46174.025233796296</v>
      </c>
      <c r="K848" s="44">
        <f>Data!S846</f>
        <v>46174.025233796296</v>
      </c>
      <c r="L848" s="45">
        <f>Data!T846</f>
        <v>1.9444444444444443E-4</v>
      </c>
      <c r="M848" s="46">
        <f>Data!U846</f>
        <v>5.7096421718597412E-2</v>
      </c>
      <c r="N848" s="46" t="str">
        <f>CONCATENATE(Data!W846," (",Data!V846,")")</f>
        <v>Exceso Velocidad 10 Km/h (Velocidad máxima: 14 kmh)</v>
      </c>
      <c r="O848" s="42" t="str">
        <f>IF(Data!V846&lt;&gt;"",N848,Data!W846)</f>
        <v>Exceso Velocidad 10 Km/h (Velocidad máxima: 14 kmh)</v>
      </c>
      <c r="P848" s="47" t="str">
        <f>Data!X846</f>
        <v>Válido</v>
      </c>
    </row>
    <row r="849" spans="1:16">
      <c r="A849" s="41" t="str">
        <f>Data!A847</f>
        <v>QLO286</v>
      </c>
      <c r="B849" s="41" t="str">
        <f>Data!D847</f>
        <v>Vehicle, Diesel, ECP 1107 Rubiales Serv. Integrales</v>
      </c>
      <c r="C849" s="41">
        <f>Data!F847</f>
        <v>0</v>
      </c>
      <c r="D849" s="41">
        <f>Data!G847</f>
        <v>0</v>
      </c>
      <c r="E849" s="41">
        <f>Data!H847</f>
        <v>0</v>
      </c>
      <c r="F849" s="41">
        <f>Data!K847</f>
        <v>0</v>
      </c>
      <c r="G849" s="33" t="str">
        <f>Data!M847</f>
        <v>Exceso Velocidad 10 Km/h</v>
      </c>
      <c r="H849" s="41" t="str">
        <f>Data!P847</f>
        <v>ECOPETROL RUBIALES- Quifa - CAÑO SUR, CPF 2: Vía CPF 2, Puerto Gaitán, Meta, Colombia</v>
      </c>
      <c r="I849" s="42" t="str">
        <f>Data!Q847</f>
        <v>Cliente, Vel Max 40 Km/h, Vel Max 10 Km/h</v>
      </c>
      <c r="J849" s="43">
        <f>Data!S847</f>
        <v>46174.02542824074</v>
      </c>
      <c r="K849" s="44">
        <f>Data!S847</f>
        <v>46174.02542824074</v>
      </c>
      <c r="L849" s="45">
        <f>Data!T847</f>
        <v>1.261574074074074E-3</v>
      </c>
      <c r="M849" s="46">
        <f>Data!U847</f>
        <v>0.3863685131072998</v>
      </c>
      <c r="N849" s="46" t="str">
        <f>CONCATENATE(Data!W847," (",Data!V847,")")</f>
        <v>Exceso Velocidad 10 Km/h (Velocidad máxima: 14 kmh)</v>
      </c>
      <c r="O849" s="42" t="str">
        <f>IF(Data!V847&lt;&gt;"",N849,Data!W847)</f>
        <v>Exceso Velocidad 10 Km/h (Velocidad máxima: 14 kmh)</v>
      </c>
      <c r="P849" s="47" t="str">
        <f>Data!X847</f>
        <v>Válido</v>
      </c>
    </row>
    <row r="850" spans="1:16">
      <c r="A850" s="41" t="str">
        <f>Data!A848</f>
        <v>QLO286</v>
      </c>
      <c r="B850" s="41" t="str">
        <f>Data!D848</f>
        <v>Vehicle, Diesel, ECP 1107 Rubiales Serv. Integrales</v>
      </c>
      <c r="C850" s="41">
        <f>Data!F848</f>
        <v>0</v>
      </c>
      <c r="D850" s="41">
        <f>Data!G848</f>
        <v>0</v>
      </c>
      <c r="E850" s="41">
        <f>Data!H848</f>
        <v>0</v>
      </c>
      <c r="F850" s="41">
        <f>Data!K848</f>
        <v>0</v>
      </c>
      <c r="G850" s="33" t="str">
        <f>Data!M848</f>
        <v>Exceso Velocidad 10 Km/h</v>
      </c>
      <c r="H850" s="41" t="str">
        <f>Data!P848</f>
        <v>ECOPETROL RUBIALES- Quifa - CAÑO SUR, CPF 2: Vía CPF 2, Puerto Gaitán, Meta, Colombia</v>
      </c>
      <c r="I850" s="42" t="str">
        <f>Data!Q848</f>
        <v>Cliente, Vel Max 40 Km/h, Vel Max 10 Km/h</v>
      </c>
      <c r="J850" s="43">
        <f>Data!S848</f>
        <v>46174.026689814818</v>
      </c>
      <c r="K850" s="44">
        <f>Data!S848</f>
        <v>46174.026689814818</v>
      </c>
      <c r="L850" s="45">
        <f>Data!T848</f>
        <v>2.5462962962962965E-3</v>
      </c>
      <c r="M850" s="46">
        <f>Data!U848</f>
        <v>0.8898770809173584</v>
      </c>
      <c r="N850" s="46" t="str">
        <f>CONCATENATE(Data!W848," (",Data!V848,")")</f>
        <v>Exceso Velocidad 10 Km/h (Velocidad máxima: 18 kmh)</v>
      </c>
      <c r="O850" s="42" t="str">
        <f>IF(Data!V848&lt;&gt;"",N850,Data!W848)</f>
        <v>Exceso Velocidad 10 Km/h (Velocidad máxima: 18 kmh)</v>
      </c>
      <c r="P850" s="47" t="str">
        <f>Data!X848</f>
        <v>Válido</v>
      </c>
    </row>
    <row r="851" spans="1:16">
      <c r="A851" s="41" t="str">
        <f>Data!A849</f>
        <v>QLO286</v>
      </c>
      <c r="B851" s="41" t="str">
        <f>Data!D849</f>
        <v>Vehicle, Diesel, ECP 1107 Rubiales Serv. Integrales</v>
      </c>
      <c r="C851" s="41">
        <f>Data!F849</f>
        <v>0</v>
      </c>
      <c r="D851" s="41">
        <f>Data!G849</f>
        <v>0</v>
      </c>
      <c r="E851" s="41">
        <f>Data!H849</f>
        <v>0</v>
      </c>
      <c r="F851" s="41">
        <f>Data!K849</f>
        <v>0</v>
      </c>
      <c r="G851" s="33" t="str">
        <f>Data!M849</f>
        <v>Exceso Velocidad 10 Km/h</v>
      </c>
      <c r="H851" s="41" t="str">
        <f>Data!P849</f>
        <v>ECOPETROL RUBIALES- Quifa - CAÑO SUR, CPF 2: Vía CPF 2, Puerto Gaitán, Meta, Colombia</v>
      </c>
      <c r="I851" s="42" t="str">
        <f>Data!Q849</f>
        <v>Cliente, Vel Max 40 Km/h, Vel Max 10 Km/h</v>
      </c>
      <c r="J851" s="43">
        <f>Data!S849</f>
        <v>46174.029546678241</v>
      </c>
      <c r="K851" s="44">
        <f>Data!S849</f>
        <v>46174.029546678241</v>
      </c>
      <c r="L851" s="45">
        <f>Data!T849</f>
        <v>8.98900462962963E-4</v>
      </c>
      <c r="M851" s="46">
        <f>Data!U849</f>
        <v>0.32536280155181885</v>
      </c>
      <c r="N851" s="46" t="str">
        <f>CONCATENATE(Data!W849," (",Data!V849,")")</f>
        <v>Exceso Velocidad 10 Km/h (Velocidad máxima: 18 kmh)</v>
      </c>
      <c r="O851" s="42" t="str">
        <f>IF(Data!V849&lt;&gt;"",N851,Data!W849)</f>
        <v>Exceso Velocidad 10 Km/h (Velocidad máxima: 18 kmh)</v>
      </c>
      <c r="P851" s="47" t="str">
        <f>Data!X849</f>
        <v>Válido</v>
      </c>
    </row>
    <row r="852" spans="1:16">
      <c r="A852" s="41" t="str">
        <f>Data!A850</f>
        <v>QLO286</v>
      </c>
      <c r="B852" s="41" t="str">
        <f>Data!D850</f>
        <v>Vehicle, Diesel, ECP 1107 Rubiales Serv. Integrales</v>
      </c>
      <c r="C852" s="41">
        <f>Data!F850</f>
        <v>0</v>
      </c>
      <c r="D852" s="41">
        <f>Data!G850</f>
        <v>0</v>
      </c>
      <c r="E852" s="41">
        <f>Data!H850</f>
        <v>0</v>
      </c>
      <c r="F852" s="41">
        <f>Data!K850</f>
        <v>0</v>
      </c>
      <c r="G852" s="33" t="str">
        <f>Data!M850</f>
        <v>Exceso Velocidad 20 Km/h</v>
      </c>
      <c r="H852" s="41" t="str">
        <f>Data!P850</f>
        <v>ECOPETROL RUBIALES- Quifa - CAÑO SUR, CAMPAMENTO ARRAYANES: Cluster 47, Puerto Gaitán, Meta, Colombia</v>
      </c>
      <c r="I852" s="42" t="str">
        <f>Data!Q850</f>
        <v>Cliente, Vel Max 40 Km/h, Vel Max 20 Km/h</v>
      </c>
      <c r="J852" s="43">
        <f>Data!S850</f>
        <v>46174.033996909726</v>
      </c>
      <c r="K852" s="44">
        <f>Data!S850</f>
        <v>46174.033996909726</v>
      </c>
      <c r="L852" s="45">
        <f>Data!T850</f>
        <v>3.0864583333333335E-4</v>
      </c>
      <c r="M852" s="46">
        <f>Data!U850</f>
        <v>0.1831667572259903</v>
      </c>
      <c r="N852" s="46" t="str">
        <f>CONCATENATE(Data!W850," (",Data!V850,")")</f>
        <v>Exceso Velocidad 20 Km/h (Velocidad máxima: 31 kmh)</v>
      </c>
      <c r="O852" s="42" t="str">
        <f>IF(Data!V850&lt;&gt;"",N852,Data!W850)</f>
        <v>Exceso Velocidad 20 Km/h (Velocidad máxima: 31 kmh)</v>
      </c>
      <c r="P852" s="47" t="str">
        <f>Data!X850</f>
        <v>Válido</v>
      </c>
    </row>
    <row r="853" spans="1:16">
      <c r="A853" s="41" t="str">
        <f>Data!A851</f>
        <v>QLO286</v>
      </c>
      <c r="B853" s="41" t="str">
        <f>Data!D851</f>
        <v>Vehicle, Diesel, ECP 1107 Rubiales Serv. Integrales</v>
      </c>
      <c r="C853" s="41">
        <f>Data!F851</f>
        <v>0</v>
      </c>
      <c r="D853" s="41">
        <f>Data!G851</f>
        <v>0</v>
      </c>
      <c r="E853" s="41">
        <f>Data!H851</f>
        <v>0</v>
      </c>
      <c r="F853" s="41">
        <f>Data!K851</f>
        <v>0</v>
      </c>
      <c r="G853" s="33" t="str">
        <f>Data!M851</f>
        <v>Exceso Velocidad 10 Km/h</v>
      </c>
      <c r="H853" s="41" t="str">
        <f>Data!P851</f>
        <v>ECOPETROL RUBIALES- Quifa - CAÑO SUR, OFICINAS ECOPETROL ARRAYANES, CAMPAMENTO ARRAYANES: Round Point Arrayanes, Paradero Arrayanes, Puerto Gaitán, Meta, Colombia</v>
      </c>
      <c r="I853" s="42" t="str">
        <f>Data!Q851</f>
        <v>Cliente, Vel Max 40 Km/h, Vel Max 10 Km/h, Vel Max 20 Km/h</v>
      </c>
      <c r="J853" s="43">
        <f>Data!S851</f>
        <v>46174.035765439818</v>
      </c>
      <c r="K853" s="44">
        <f>Data!S851</f>
        <v>46174.035765439818</v>
      </c>
      <c r="L853" s="45">
        <f>Data!T851</f>
        <v>1.2831712962962964E-3</v>
      </c>
      <c r="M853" s="46">
        <f>Data!U851</f>
        <v>0.40106058120727539</v>
      </c>
      <c r="N853" s="46" t="str">
        <f>CONCATENATE(Data!W851," (",Data!V851,")")</f>
        <v>Exceso Velocidad 10 Km/h (Velocidad máxima: 14 kmh)</v>
      </c>
      <c r="O853" s="42" t="str">
        <f>IF(Data!V851&lt;&gt;"",N853,Data!W851)</f>
        <v>Exceso Velocidad 10 Km/h (Velocidad máxima: 14 kmh)</v>
      </c>
      <c r="P853" s="47" t="str">
        <f>Data!X851</f>
        <v>Válido</v>
      </c>
    </row>
    <row r="854" spans="1:16">
      <c r="A854" s="41" t="str">
        <f>Data!A852</f>
        <v>QLO286</v>
      </c>
      <c r="B854" s="41" t="str">
        <f>Data!D852</f>
        <v>Vehicle, Diesel, ECP 1107 Rubiales Serv. Integrales</v>
      </c>
      <c r="C854" s="41">
        <f>Data!F852</f>
        <v>0</v>
      </c>
      <c r="D854" s="41">
        <f>Data!G852</f>
        <v>0</v>
      </c>
      <c r="E854" s="41">
        <f>Data!H852</f>
        <v>0</v>
      </c>
      <c r="F854" s="41">
        <f>Data!K852</f>
        <v>0</v>
      </c>
      <c r="G854" s="33" t="str">
        <f>Data!M852</f>
        <v>Exceso Velocidad 10 Km/h</v>
      </c>
      <c r="H854" s="41" t="str">
        <f>Data!P852</f>
        <v>ECOPETROL RUBIALES- Quifa - CAÑO SUR, OFICINAS ECOPETROL ARRAYANES, CAMPAMENTO ARRAYANES: Puerto Gaitan - Rubiales, Puerto Gaitán, Meta, Colombia</v>
      </c>
      <c r="I854" s="42" t="str">
        <f>Data!Q852</f>
        <v>Cliente, Vel Max 40 Km/h, Vel Max 10 Km/h, Vel Max 20 Km/h</v>
      </c>
      <c r="J854" s="43">
        <f>Data!S852</f>
        <v>46174.280413773151</v>
      </c>
      <c r="K854" s="44">
        <f>Data!S852</f>
        <v>46174.280413773151</v>
      </c>
      <c r="L854" s="45">
        <f>Data!T852</f>
        <v>1.0930902777777777E-3</v>
      </c>
      <c r="M854" s="46">
        <f>Data!U852</f>
        <v>0.3876456618309021</v>
      </c>
      <c r="N854" s="46" t="str">
        <f>CONCATENATE(Data!W852," (",Data!V852,")")</f>
        <v>Exceso Velocidad 10 Km/h (Velocidad máxima: 18 kmh)</v>
      </c>
      <c r="O854" s="42" t="str">
        <f>IF(Data!V852&lt;&gt;"",N854,Data!W852)</f>
        <v>Exceso Velocidad 10 Km/h (Velocidad máxima: 18 kmh)</v>
      </c>
      <c r="P854" s="47" t="str">
        <f>Data!X852</f>
        <v>Válido</v>
      </c>
    </row>
    <row r="855" spans="1:16">
      <c r="A855" s="41" t="str">
        <f>Data!A853</f>
        <v>QLO286</v>
      </c>
      <c r="B855" s="41" t="str">
        <f>Data!D853</f>
        <v>Vehicle, Diesel, ECP 1107 Rubiales Serv. Integrales</v>
      </c>
      <c r="C855" s="41">
        <f>Data!F853</f>
        <v>0</v>
      </c>
      <c r="D855" s="41">
        <f>Data!G853</f>
        <v>0</v>
      </c>
      <c r="E855" s="41">
        <f>Data!H853</f>
        <v>0</v>
      </c>
      <c r="F855" s="41">
        <f>Data!K853</f>
        <v>0</v>
      </c>
      <c r="G855" s="33" t="str">
        <f>Data!M853</f>
        <v>Uso del cinturón de seguridad</v>
      </c>
      <c r="H855" s="41" t="str">
        <f>Data!P853</f>
        <v>ECOPETROL RUBIALES- Quifa - CAÑO SUR, CAMPAMENTO ARRAYANES: Paradero Arrayanes, Puerto Gaitán, Meta, Colombia</v>
      </c>
      <c r="I855" s="42" t="str">
        <f>Data!Q853</f>
        <v>Cliente, Vel Max 40 Km/h, Vel Max 20 Km/h</v>
      </c>
      <c r="J855" s="43">
        <f>Data!S853</f>
        <v>46174.285046296296</v>
      </c>
      <c r="K855" s="44">
        <f>Data!S853</f>
        <v>46174.285046296296</v>
      </c>
      <c r="L855" s="45">
        <f>Data!T853</f>
        <v>1.3513888888888888E-4</v>
      </c>
      <c r="M855" s="46">
        <f>Data!U853</f>
        <v>3.1219946220517159E-2</v>
      </c>
      <c r="N855" s="46" t="str">
        <f>CONCATENATE(Data!W853," (",Data!V853,")")</f>
        <v>Uso del cinturón de seguridad (Velocidad máxima: 11 kmh Cinturón de seguridad del conductor (1. Desabrochado): 1.00)</v>
      </c>
      <c r="O855" s="42" t="str">
        <f>IF(Data!V853&lt;&gt;"",N855,Data!W853)</f>
        <v>Uso del cinturón de seguridad (Velocidad máxima: 11 kmh Cinturón de seguridad del conductor (1. Desabrochado): 1.00)</v>
      </c>
      <c r="P855" s="47" t="str">
        <f>Data!X853</f>
        <v>Válido</v>
      </c>
    </row>
    <row r="856" spans="1:16">
      <c r="A856" s="41" t="str">
        <f>Data!A854</f>
        <v>QLO286</v>
      </c>
      <c r="B856" s="41" t="str">
        <f>Data!D854</f>
        <v>Vehicle, Diesel, ECP 1107 Rubiales Serv. Integrales</v>
      </c>
      <c r="C856" s="41">
        <f>Data!F854</f>
        <v>0</v>
      </c>
      <c r="D856" s="41">
        <f>Data!G854</f>
        <v>0</v>
      </c>
      <c r="E856" s="41">
        <f>Data!H854</f>
        <v>0</v>
      </c>
      <c r="F856" s="41">
        <f>Data!K854</f>
        <v>0</v>
      </c>
      <c r="G856" s="33" t="str">
        <f>Data!M854</f>
        <v>Exceso Velocidad 10 Km/h</v>
      </c>
      <c r="H856" s="41" t="str">
        <f>Data!P854</f>
        <v>ECOPETROL RUBIALES- Quifa - CAÑO SUR, OFICINAS ECOPETROL ARRAYANES, CAMPAMENTO ARRAYANES: Paradero Arrayanes, Puerto Gaitán, Meta, Colombia</v>
      </c>
      <c r="I856" s="42" t="str">
        <f>Data!Q854</f>
        <v>Cliente, Vel Max 40 Km/h, Vel Max 10 Km/h, Vel Max 20 Km/h</v>
      </c>
      <c r="J856" s="43">
        <f>Data!S854</f>
        <v>46174.285518414355</v>
      </c>
      <c r="K856" s="44">
        <f>Data!S854</f>
        <v>46174.285518414355</v>
      </c>
      <c r="L856" s="45">
        <f>Data!T854</f>
        <v>2.5567129629629629E-5</v>
      </c>
      <c r="M856" s="46">
        <f>Data!U854</f>
        <v>6.5596289932727814E-3</v>
      </c>
      <c r="N856" s="46" t="str">
        <f>CONCATENATE(Data!W854," (",Data!V854,")")</f>
        <v>Exceso Velocidad 10 Km/h (Velocidad máxima: 10 kmh)</v>
      </c>
      <c r="O856" s="42" t="str">
        <f>IF(Data!V854&lt;&gt;"",N856,Data!W854)</f>
        <v>Exceso Velocidad 10 Km/h (Velocidad máxima: 10 kmh)</v>
      </c>
      <c r="P856" s="47" t="str">
        <f>Data!X854</f>
        <v>Válido</v>
      </c>
    </row>
    <row r="857" spans="1:16">
      <c r="A857" s="41" t="str">
        <f>Data!A855</f>
        <v>QLO286</v>
      </c>
      <c r="B857" s="41" t="str">
        <f>Data!D855</f>
        <v>Vehicle, Diesel, ECP 1107 Rubiales Serv. Integrales</v>
      </c>
      <c r="C857" s="41">
        <f>Data!F855</f>
        <v>0</v>
      </c>
      <c r="D857" s="41">
        <f>Data!G855</f>
        <v>0</v>
      </c>
      <c r="E857" s="41">
        <f>Data!H855</f>
        <v>0</v>
      </c>
      <c r="F857" s="41">
        <f>Data!K855</f>
        <v>0</v>
      </c>
      <c r="G857" s="33" t="str">
        <f>Data!M855</f>
        <v>Exceso Velocidad 10 Km/h</v>
      </c>
      <c r="H857" s="41" t="str">
        <f>Data!P855</f>
        <v>ECOPETROL RUBIALES- Quifa - CAÑO SUR, OFICINAS ECOPETROL ARRAYANES, CAMPAMENTO ARRAYANES: Round Point Arrayanes, Paradero Arrayanes, Puerto Gaitán, Meta, Colombia</v>
      </c>
      <c r="I857" s="42" t="str">
        <f>Data!Q855</f>
        <v>Cliente, Vel Max 40 Km/h, Vel Max 10 Km/h, Vel Max 20 Km/h</v>
      </c>
      <c r="J857" s="43">
        <f>Data!S855</f>
        <v>46174.285682870373</v>
      </c>
      <c r="K857" s="44">
        <f>Data!S855</f>
        <v>46174.285682870373</v>
      </c>
      <c r="L857" s="45">
        <f>Data!T855</f>
        <v>1.1612615740740741E-3</v>
      </c>
      <c r="M857" s="46">
        <f>Data!U855</f>
        <v>0.30348730087280273</v>
      </c>
      <c r="N857" s="46" t="str">
        <f>CONCATENATE(Data!W855," (",Data!V855,")")</f>
        <v>Exceso Velocidad 10 Km/h (Velocidad máxima: 12 kmh)</v>
      </c>
      <c r="O857" s="42" t="str">
        <f>IF(Data!V855&lt;&gt;"",N857,Data!W855)</f>
        <v>Exceso Velocidad 10 Km/h (Velocidad máxima: 12 kmh)</v>
      </c>
      <c r="P857" s="47" t="str">
        <f>Data!X855</f>
        <v>Válido</v>
      </c>
    </row>
    <row r="858" spans="1:16">
      <c r="A858" s="41" t="str">
        <f>Data!A856</f>
        <v>QLO286</v>
      </c>
      <c r="B858" s="41" t="str">
        <f>Data!D856</f>
        <v>Vehicle, Diesel, ECP 1107 Rubiales Serv. Integrales</v>
      </c>
      <c r="C858" s="41">
        <f>Data!F856</f>
        <v>0</v>
      </c>
      <c r="D858" s="41">
        <f>Data!G856</f>
        <v>0</v>
      </c>
      <c r="E858" s="41">
        <f>Data!H856</f>
        <v>0</v>
      </c>
      <c r="F858" s="41">
        <f>Data!K856</f>
        <v>0</v>
      </c>
      <c r="G858" s="33" t="str">
        <f>Data!M856</f>
        <v>Exceso Velocidad 20 Km/h</v>
      </c>
      <c r="H858" s="41" t="str">
        <f>Data!P856</f>
        <v>ECOPETROL RUBIALES- Quifa - CAÑO SUR, CAMPAMENTO ARRAYANES: Hotel Pacific Rubiales, Puerto Gaitán, Meta, Colombia</v>
      </c>
      <c r="I858" s="42" t="str">
        <f>Data!Q856</f>
        <v>Cliente, Vel Max 40 Km/h, Vel Max 20 Km/h</v>
      </c>
      <c r="J858" s="43">
        <f>Data!S856</f>
        <v>46174.287562083337</v>
      </c>
      <c r="K858" s="44">
        <f>Data!S856</f>
        <v>46174.287562083337</v>
      </c>
      <c r="L858" s="45">
        <f>Data!T856</f>
        <v>5.2280092592592591E-4</v>
      </c>
      <c r="M858" s="46">
        <f>Data!U856</f>
        <v>0.27946585416793823</v>
      </c>
      <c r="N858" s="46" t="str">
        <f>CONCATENATE(Data!W856," (",Data!V856,")")</f>
        <v>Exceso Velocidad 20 Km/h (Velocidad máxima: 24 kmh)</v>
      </c>
      <c r="O858" s="42" t="str">
        <f>IF(Data!V856&lt;&gt;"",N858,Data!W856)</f>
        <v>Exceso Velocidad 20 Km/h (Velocidad máxima: 24 kmh)</v>
      </c>
      <c r="P858" s="47" t="str">
        <f>Data!X856</f>
        <v>Válido</v>
      </c>
    </row>
    <row r="859" spans="1:16">
      <c r="A859" s="41" t="str">
        <f>Data!A857</f>
        <v>QLO286</v>
      </c>
      <c r="B859" s="41" t="str">
        <f>Data!D857</f>
        <v>Vehicle, Diesel, ECP 1107 Rubiales Serv. Integrales</v>
      </c>
      <c r="C859" s="41">
        <f>Data!F857</f>
        <v>0</v>
      </c>
      <c r="D859" s="41">
        <f>Data!G857</f>
        <v>0</v>
      </c>
      <c r="E859" s="41">
        <f>Data!H857</f>
        <v>0</v>
      </c>
      <c r="F859" s="41">
        <f>Data!K857</f>
        <v>0</v>
      </c>
      <c r="G859" s="33" t="str">
        <f>Data!M857</f>
        <v>Uso del cinturón de seguridad</v>
      </c>
      <c r="H859" s="41" t="str">
        <f>Data!P857</f>
        <v>ECOPETROL RUBIALES- Quifa - CAÑO SUR: Batería 3, Puerto Gaitán, Meta, Colombia</v>
      </c>
      <c r="I859" s="42" t="str">
        <f>Data!Q857</f>
        <v>Cliente, Vel Max 40 Km/h</v>
      </c>
      <c r="J859" s="43">
        <f>Data!S857</f>
        <v>46174.294435185184</v>
      </c>
      <c r="K859" s="44">
        <f>Data!S857</f>
        <v>46174.294435185184</v>
      </c>
      <c r="L859" s="45">
        <f>Data!T857</f>
        <v>1.172800925925926E-4</v>
      </c>
      <c r="M859" s="46">
        <f>Data!U857</f>
        <v>3.0327143147587776E-2</v>
      </c>
      <c r="N859" s="46" t="str">
        <f>CONCATENATE(Data!W857," (",Data!V857,")")</f>
        <v>Uso del cinturón de seguridad (Velocidad máxima: 13 kmh Cinturón de seguridad del conductor (1. Desabrochado): 1.00)</v>
      </c>
      <c r="O859" s="42" t="str">
        <f>IF(Data!V857&lt;&gt;"",N859,Data!W857)</f>
        <v>Uso del cinturón de seguridad (Velocidad máxima: 13 kmh Cinturón de seguridad del conductor (1. Desabrochado): 1.00)</v>
      </c>
      <c r="P859" s="47" t="str">
        <f>Data!X857</f>
        <v>Válido</v>
      </c>
    </row>
    <row r="860" spans="1:16">
      <c r="A860" s="41" t="str">
        <f>Data!A858</f>
        <v>QLO286</v>
      </c>
      <c r="B860" s="41" t="str">
        <f>Data!D858</f>
        <v>Vehicle, Diesel, ECP 1107 Rubiales Serv. Integrales</v>
      </c>
      <c r="C860" s="41">
        <f>Data!F858</f>
        <v>0</v>
      </c>
      <c r="D860" s="41">
        <f>Data!G858</f>
        <v>0</v>
      </c>
      <c r="E860" s="41">
        <f>Data!H858</f>
        <v>0</v>
      </c>
      <c r="F860" s="41">
        <f>Data!K858</f>
        <v>0</v>
      </c>
      <c r="G860" s="33" t="str">
        <f>Data!M858</f>
        <v>Uso del cinturón de seguridad</v>
      </c>
      <c r="H860" s="41" t="str">
        <f>Data!P858</f>
        <v>ECOPETROL RUBIALES- Quifa - CAÑO SUR: Batería 3, Puerto Gaitán, Meta, Colombia</v>
      </c>
      <c r="I860" s="42" t="str">
        <f>Data!Q858</f>
        <v>Cliente, Vel Max 40 Km/h</v>
      </c>
      <c r="J860" s="43">
        <f>Data!S858</f>
        <v>46174.294716435288</v>
      </c>
      <c r="K860" s="44">
        <f>Data!S858</f>
        <v>46174.294716435288</v>
      </c>
      <c r="L860" s="45">
        <f>Data!T858</f>
        <v>5.5937499999999998E-5</v>
      </c>
      <c r="M860" s="46">
        <f>Data!U858</f>
        <v>1.5776418149471283E-2</v>
      </c>
      <c r="N860" s="46" t="str">
        <f>CONCATENATE(Data!W858," (",Data!V858,")")</f>
        <v>Uso del cinturón de seguridad (Velocidad máxima: 14 kmh Cinturón de seguridad del conductor (1. Desabrochado): 1.00)</v>
      </c>
      <c r="O860" s="42" t="str">
        <f>IF(Data!V858&lt;&gt;"",N860,Data!W858)</f>
        <v>Uso del cinturón de seguridad (Velocidad máxima: 14 kmh Cinturón de seguridad del conductor (1. Desabrochado): 1.00)</v>
      </c>
      <c r="P860" s="47" t="str">
        <f>Data!X858</f>
        <v>Válido</v>
      </c>
    </row>
    <row r="861" spans="1:16">
      <c r="A861" s="41" t="str">
        <f>Data!A859</f>
        <v>QLO286</v>
      </c>
      <c r="B861" s="41" t="str">
        <f>Data!D859</f>
        <v>Vehicle, Diesel, ECP 1107 Rubiales Serv. Integrales</v>
      </c>
      <c r="C861" s="41">
        <f>Data!F859</f>
        <v>0</v>
      </c>
      <c r="D861" s="41">
        <f>Data!G859</f>
        <v>0</v>
      </c>
      <c r="E861" s="41">
        <f>Data!H859</f>
        <v>0</v>
      </c>
      <c r="F861" s="41">
        <f>Data!K859</f>
        <v>0</v>
      </c>
      <c r="G861" s="33" t="str">
        <f>Data!M859</f>
        <v>Uso del cinturón de seguridad</v>
      </c>
      <c r="H861" s="41" t="str">
        <f>Data!P859</f>
        <v>ECOPETROL RUBIALES- Quifa - CAÑO SUR: Batería 3, Puerto Gaitán, Meta, Colombia</v>
      </c>
      <c r="I861" s="42" t="str">
        <f>Data!Q859</f>
        <v>Cliente, Vel Max 40 Km/h</v>
      </c>
      <c r="J861" s="43">
        <f>Data!S859</f>
        <v>46174.294882974536</v>
      </c>
      <c r="K861" s="44">
        <f>Data!S859</f>
        <v>46174.294882974536</v>
      </c>
      <c r="L861" s="45">
        <f>Data!T859</f>
        <v>1.9909722222222223E-4</v>
      </c>
      <c r="M861" s="46">
        <f>Data!U859</f>
        <v>7.7455751597881317E-2</v>
      </c>
      <c r="N861" s="46" t="str">
        <f>CONCATENATE(Data!W859," (",Data!V859,")")</f>
        <v>Uso del cinturón de seguridad (Velocidad máxima: 24 kmh Cinturón de seguridad del conductor (1. Desabrochado): 1.00)</v>
      </c>
      <c r="O861" s="42" t="str">
        <f>IF(Data!V859&lt;&gt;"",N861,Data!W859)</f>
        <v>Uso del cinturón de seguridad (Velocidad máxima: 24 kmh Cinturón de seguridad del conductor (1. Desabrochado): 1.00)</v>
      </c>
      <c r="P861" s="47" t="str">
        <f>Data!X859</f>
        <v>Válido</v>
      </c>
    </row>
    <row r="862" spans="1:16">
      <c r="A862" s="41" t="str">
        <f>Data!A860</f>
        <v>QLO286</v>
      </c>
      <c r="B862" s="41" t="str">
        <f>Data!D860</f>
        <v>Vehicle, Diesel, ECP 1107 Rubiales Serv. Integrales</v>
      </c>
      <c r="C862" s="41">
        <f>Data!F860</f>
        <v>0</v>
      </c>
      <c r="D862" s="41">
        <f>Data!G860</f>
        <v>0</v>
      </c>
      <c r="E862" s="41">
        <f>Data!H860</f>
        <v>0</v>
      </c>
      <c r="F862" s="41">
        <f>Data!K860</f>
        <v>0</v>
      </c>
      <c r="G862" s="33" t="str">
        <f>Data!M860</f>
        <v>Aceleración brusca (nuevo)</v>
      </c>
      <c r="H862" s="41" t="str">
        <f>Data!P860</f>
        <v>ECOPETROL RUBIALES- Quifa - CAÑO SUR: Batería 3, Puerto Gaitán, Meta, Colombia</v>
      </c>
      <c r="I862" s="42" t="str">
        <f>Data!Q860</f>
        <v>Cliente, Vel Max 40 Km/h</v>
      </c>
      <c r="J862" s="43">
        <f>Data!S860</f>
        <v>46174.296863425923</v>
      </c>
      <c r="K862" s="44">
        <f>Data!S860</f>
        <v>46174.296863425923</v>
      </c>
      <c r="L862" s="45">
        <f>Data!T860</f>
        <v>0</v>
      </c>
      <c r="M862" s="46">
        <f>Data!U860</f>
        <v>0</v>
      </c>
      <c r="N862" s="46" t="str">
        <f>CONCATENATE(Data!W860," (",Data!V860,")")</f>
        <v>Aceleración brusca (nuevo) (Clase de vehículo para métricas de seguridad: Otra clase (no estandarizada), Velocidad máxima: 3 kmh,  Ignición: 1)</v>
      </c>
      <c r="O862" s="42" t="str">
        <f>IF(Data!V860&lt;&gt;"",N862,Data!W860)</f>
        <v>Aceleración brusca (nuevo) (Clase de vehículo para métricas de seguridad: Otra clase (no estandarizada), Velocidad máxima: 3 kmh,  Ignición: 1)</v>
      </c>
      <c r="P862" s="47" t="str">
        <f>Data!X860</f>
        <v>Válido</v>
      </c>
    </row>
    <row r="863" spans="1:16">
      <c r="A863" s="41" t="str">
        <f>Data!A861</f>
        <v>QLO286</v>
      </c>
      <c r="B863" s="41" t="str">
        <f>Data!D861</f>
        <v>Vehicle, Diesel, ECP 1107 Rubiales Serv. Integrales</v>
      </c>
      <c r="C863" s="41">
        <f>Data!F861</f>
        <v>0</v>
      </c>
      <c r="D863" s="41">
        <f>Data!G861</f>
        <v>0</v>
      </c>
      <c r="E863" s="41">
        <f>Data!H861</f>
        <v>0</v>
      </c>
      <c r="F863" s="41">
        <f>Data!K861</f>
        <v>0</v>
      </c>
      <c r="G863" s="33" t="str">
        <f>Data!M861</f>
        <v>Uso del cinturón de seguridad</v>
      </c>
      <c r="H863" s="41" t="str">
        <f>Data!P861</f>
        <v>ECOPETROL RUBIALES- Quifa - CAÑO SUR: Batería 3, Puerto Gaitán, Meta, Colombia</v>
      </c>
      <c r="I863" s="42" t="str">
        <f>Data!Q861</f>
        <v>Cliente, Vel Max 40 Km/h</v>
      </c>
      <c r="J863" s="43">
        <f>Data!S861</f>
        <v>46174.296875</v>
      </c>
      <c r="K863" s="44">
        <f>Data!S861</f>
        <v>46174.296875</v>
      </c>
      <c r="L863" s="45">
        <f>Data!T861</f>
        <v>5.2083433333333337E-5</v>
      </c>
      <c r="M863" s="46">
        <f>Data!U861</f>
        <v>1.473530475050211E-2</v>
      </c>
      <c r="N863" s="46" t="str">
        <f>CONCATENATE(Data!W861," (",Data!V861,")")</f>
        <v>Uso del cinturón de seguridad (Velocidad máxima: 15 kmh Cinturón de seguridad del conductor (1. Desabrochado): 1.00)</v>
      </c>
      <c r="O863" s="42" t="str">
        <f>IF(Data!V861&lt;&gt;"",N863,Data!W861)</f>
        <v>Uso del cinturón de seguridad (Velocidad máxima: 15 kmh Cinturón de seguridad del conductor (1. Desabrochado): 1.00)</v>
      </c>
      <c r="P863" s="47" t="str">
        <f>Data!X861</f>
        <v>Válido</v>
      </c>
    </row>
    <row r="864" spans="1:16">
      <c r="A864" s="41" t="str">
        <f>Data!A862</f>
        <v>QLO286</v>
      </c>
      <c r="B864" s="41" t="str">
        <f>Data!D862</f>
        <v>Vehicle, Diesel, ECP 1107 Rubiales Serv. Integrales</v>
      </c>
      <c r="C864" s="41">
        <f>Data!F862</f>
        <v>0</v>
      </c>
      <c r="D864" s="41">
        <f>Data!G862</f>
        <v>0</v>
      </c>
      <c r="E864" s="41">
        <f>Data!H862</f>
        <v>0</v>
      </c>
      <c r="F864" s="41">
        <f>Data!K862</f>
        <v>0</v>
      </c>
      <c r="G864" s="33" t="str">
        <f>Data!M862</f>
        <v>Uso del cinturón de seguridad</v>
      </c>
      <c r="H864" s="41" t="str">
        <f>Data!P862</f>
        <v>ECOPETROL RUBIALES- Quifa - CAÑO SUR: Batería 3, Puerto Gaitán, Meta, Colombia</v>
      </c>
      <c r="I864" s="42" t="str">
        <f>Data!Q862</f>
        <v>Cliente, Vel Max 40 Km/h</v>
      </c>
      <c r="J864" s="43">
        <f>Data!S862</f>
        <v>46174.298019548609</v>
      </c>
      <c r="K864" s="44">
        <f>Data!S862</f>
        <v>46174.298019548609</v>
      </c>
      <c r="L864" s="45">
        <f>Data!T862</f>
        <v>8.5960648148148146E-5</v>
      </c>
      <c r="M864" s="46">
        <f>Data!U862</f>
        <v>2.3716771975159645E-2</v>
      </c>
      <c r="N864" s="46" t="str">
        <f>CONCATENATE(Data!W862," (",Data!V862,")")</f>
        <v>Uso del cinturón de seguridad (Velocidad máxima: 15 kmh Cinturón de seguridad del conductor (1. Desabrochado): 1.00)</v>
      </c>
      <c r="O864" s="42" t="str">
        <f>IF(Data!V862&lt;&gt;"",N864,Data!W862)</f>
        <v>Uso del cinturón de seguridad (Velocidad máxima: 15 kmh Cinturón de seguridad del conductor (1. Desabrochado): 1.00)</v>
      </c>
      <c r="P864" s="47" t="str">
        <f>Data!X862</f>
        <v>Válido</v>
      </c>
    </row>
    <row r="865" spans="1:16">
      <c r="A865" s="41" t="str">
        <f>Data!A863</f>
        <v>QLO286</v>
      </c>
      <c r="B865" s="41" t="str">
        <f>Data!D863</f>
        <v>Vehicle, Diesel, ECP 1107 Rubiales Serv. Integrales</v>
      </c>
      <c r="C865" s="41">
        <f>Data!F863</f>
        <v>0</v>
      </c>
      <c r="D865" s="41">
        <f>Data!G863</f>
        <v>0</v>
      </c>
      <c r="E865" s="41">
        <f>Data!H863</f>
        <v>0</v>
      </c>
      <c r="F865" s="41">
        <f>Data!K863</f>
        <v>0</v>
      </c>
      <c r="G865" s="33" t="str">
        <f>Data!M863</f>
        <v>Exceso Velocidad 40 Km/h</v>
      </c>
      <c r="H865" s="41" t="str">
        <f>Data!P863</f>
        <v>ECOPETROL RUBIALES- Quifa - CAÑO SUR: Arrayanes, Puerto Gaitán, Meta, Colombia</v>
      </c>
      <c r="I865" s="42" t="str">
        <f>Data!Q863</f>
        <v>Cliente, Vel Max 40 Km/h</v>
      </c>
      <c r="J865" s="43">
        <f>Data!S863</f>
        <v>46174.29859953704</v>
      </c>
      <c r="K865" s="44">
        <f>Data!S863</f>
        <v>46174.29859953704</v>
      </c>
      <c r="L865" s="45">
        <f>Data!T863</f>
        <v>5.2083433333333337E-5</v>
      </c>
      <c r="M865" s="46">
        <f>Data!U863</f>
        <v>5.0562217831611633E-2</v>
      </c>
      <c r="N865" s="46" t="str">
        <f>CONCATENATE(Data!W863," (",Data!V863,")")</f>
        <v>Exceso Velocidad 40 Km/h (Velocidad máxima: 41 kmh)</v>
      </c>
      <c r="O865" s="42" t="str">
        <f>IF(Data!V863&lt;&gt;"",N865,Data!W863)</f>
        <v>Exceso Velocidad 40 Km/h (Velocidad máxima: 41 kmh)</v>
      </c>
      <c r="P865" s="47" t="str">
        <f>Data!X863</f>
        <v>Válido</v>
      </c>
    </row>
    <row r="866" spans="1:16">
      <c r="A866" s="41" t="str">
        <f>Data!A864</f>
        <v>QLO286</v>
      </c>
      <c r="B866" s="41" t="str">
        <f>Data!D864</f>
        <v>Vehicle, Diesel, ECP 1107 Rubiales Serv. Integrales</v>
      </c>
      <c r="C866" s="41">
        <f>Data!F864</f>
        <v>0</v>
      </c>
      <c r="D866" s="41">
        <f>Data!G864</f>
        <v>0</v>
      </c>
      <c r="E866" s="41">
        <f>Data!H864</f>
        <v>0</v>
      </c>
      <c r="F866" s="41">
        <f>Data!K864</f>
        <v>0</v>
      </c>
      <c r="G866" s="33" t="str">
        <f>Data!M864</f>
        <v>Exceso Velocidad 40 Km/h</v>
      </c>
      <c r="H866" s="41" t="str">
        <f>Data!P864</f>
        <v>ECOPETROL RUBIALES- Quifa - CAÑO SUR: Arrayanes, Puerto Gaitán, Meta, Colombia</v>
      </c>
      <c r="I866" s="42" t="str">
        <f>Data!Q864</f>
        <v>Cliente, Vel Max 40 Km/h</v>
      </c>
      <c r="J866" s="43">
        <f>Data!S864</f>
        <v>46174.298715277779</v>
      </c>
      <c r="K866" s="44">
        <f>Data!S864</f>
        <v>46174.298715277779</v>
      </c>
      <c r="L866" s="45">
        <f>Data!T864</f>
        <v>4.5138888888888887E-4</v>
      </c>
      <c r="M866" s="46">
        <f>Data!U864</f>
        <v>0.45395830273628235</v>
      </c>
      <c r="N866" s="46" t="str">
        <f>CONCATENATE(Data!W864," (",Data!V864,")")</f>
        <v>Exceso Velocidad 40 Km/h (Velocidad máxima: 44 kmh)</v>
      </c>
      <c r="O866" s="42" t="str">
        <f>IF(Data!V864&lt;&gt;"",N866,Data!W864)</f>
        <v>Exceso Velocidad 40 Km/h (Velocidad máxima: 44 kmh)</v>
      </c>
      <c r="P866" s="47" t="str">
        <f>Data!X864</f>
        <v>Válido</v>
      </c>
    </row>
    <row r="867" spans="1:16">
      <c r="A867" s="41" t="str">
        <f>Data!A865</f>
        <v>QLO286</v>
      </c>
      <c r="B867" s="41" t="str">
        <f>Data!D865</f>
        <v>Vehicle, Diesel, ECP 1107 Rubiales Serv. Integrales</v>
      </c>
      <c r="C867" s="41">
        <f>Data!F865</f>
        <v>0</v>
      </c>
      <c r="D867" s="41">
        <f>Data!G865</f>
        <v>0</v>
      </c>
      <c r="E867" s="41">
        <f>Data!H865</f>
        <v>0</v>
      </c>
      <c r="F867" s="41">
        <f>Data!K865</f>
        <v>0</v>
      </c>
      <c r="G867" s="33" t="str">
        <f>Data!M865</f>
        <v>Exceso Velocidad 40 Km/h</v>
      </c>
      <c r="H867" s="41" t="str">
        <f>Data!P865</f>
        <v>ECOPETROL RUBIALES- Quifa - CAÑO SUR: Arrayanes, Puerto Gaitán, Meta, Colombia</v>
      </c>
      <c r="I867" s="42" t="str">
        <f>Data!Q865</f>
        <v>Cliente, Vel Max 40 Km/h</v>
      </c>
      <c r="J867" s="43">
        <f>Data!S865</f>
        <v>46174.299230324177</v>
      </c>
      <c r="K867" s="44">
        <f>Data!S865</f>
        <v>46174.299230324177</v>
      </c>
      <c r="L867" s="45">
        <f>Data!T865</f>
        <v>2.6041676666666664E-4</v>
      </c>
      <c r="M867" s="46">
        <f>Data!U865</f>
        <v>0.25510573387145996</v>
      </c>
      <c r="N867" s="46" t="str">
        <f>CONCATENATE(Data!W865," (",Data!V865,")")</f>
        <v>Exceso Velocidad 40 Km/h (Velocidad máxima: 42 kmh)</v>
      </c>
      <c r="O867" s="42" t="str">
        <f>IF(Data!V865&lt;&gt;"",N867,Data!W865)</f>
        <v>Exceso Velocidad 40 Km/h (Velocidad máxima: 42 kmh)</v>
      </c>
      <c r="P867" s="47" t="str">
        <f>Data!X865</f>
        <v>Válido</v>
      </c>
    </row>
    <row r="868" spans="1:16">
      <c r="A868" s="41" t="str">
        <f>Data!A866</f>
        <v>QLO286</v>
      </c>
      <c r="B868" s="41" t="str">
        <f>Data!D866</f>
        <v>Vehicle, Diesel, ECP 1107 Rubiales Serv. Integrales</v>
      </c>
      <c r="C868" s="41">
        <f>Data!F866</f>
        <v>0</v>
      </c>
      <c r="D868" s="41">
        <f>Data!G866</f>
        <v>0</v>
      </c>
      <c r="E868" s="41">
        <f>Data!H866</f>
        <v>0</v>
      </c>
      <c r="F868" s="41">
        <f>Data!K866</f>
        <v>0</v>
      </c>
      <c r="G868" s="33" t="str">
        <f>Data!M866</f>
        <v>Exceso Velocidad 40 Km/h</v>
      </c>
      <c r="H868" s="41" t="str">
        <f>Data!P866</f>
        <v>ECOPETROL RUBIALES- Quifa - CAÑO SUR: Arrayanes, Puerto Gaitán, Meta, Colombia</v>
      </c>
      <c r="I868" s="42" t="str">
        <f>Data!Q866</f>
        <v>Cliente, Vel Max 40 Km/h</v>
      </c>
      <c r="J868" s="43">
        <f>Data!S866</f>
        <v>46174.299549074072</v>
      </c>
      <c r="K868" s="44">
        <f>Data!S866</f>
        <v>46174.299549074072</v>
      </c>
      <c r="L868" s="45">
        <f>Data!T866</f>
        <v>5.8017361111111106E-4</v>
      </c>
      <c r="M868" s="46">
        <f>Data!U866</f>
        <v>0.58880627155303955</v>
      </c>
      <c r="N868" s="46" t="str">
        <f>CONCATENATE(Data!W866," (",Data!V866,")")</f>
        <v>Exceso Velocidad 40 Km/h (Velocidad máxima: 44 kmh)</v>
      </c>
      <c r="O868" s="42" t="str">
        <f>IF(Data!V866&lt;&gt;"",N868,Data!W866)</f>
        <v>Exceso Velocidad 40 Km/h (Velocidad máxima: 44 kmh)</v>
      </c>
      <c r="P868" s="47" t="str">
        <f>Data!X866</f>
        <v>Válido</v>
      </c>
    </row>
    <row r="869" spans="1:16">
      <c r="A869" s="41" t="str">
        <f>Data!A867</f>
        <v>QLO286</v>
      </c>
      <c r="B869" s="41" t="str">
        <f>Data!D867</f>
        <v>Vehicle, Diesel, ECP 1107 Rubiales Serv. Integrales</v>
      </c>
      <c r="C869" s="41">
        <f>Data!F867</f>
        <v>0</v>
      </c>
      <c r="D869" s="41">
        <f>Data!G867</f>
        <v>0</v>
      </c>
      <c r="E869" s="41">
        <f>Data!H867</f>
        <v>0</v>
      </c>
      <c r="F869" s="41">
        <f>Data!K867</f>
        <v>0</v>
      </c>
      <c r="G869" s="33" t="str">
        <f>Data!M867</f>
        <v>Exceso Velocidad 40 Km/h</v>
      </c>
      <c r="H869" s="41" t="str">
        <f>Data!P867</f>
        <v>ECOPETROL RUBIALES- Quifa - CAÑO SUR: Cluster 30 Rb 30 62 63 64, Puerto Gaitán, Meta, Colombia</v>
      </c>
      <c r="I869" s="42" t="str">
        <f>Data!Q867</f>
        <v>Cliente, Vel Max 40 Km/h</v>
      </c>
      <c r="J869" s="43">
        <f>Data!S867</f>
        <v>46174.302228009365</v>
      </c>
      <c r="K869" s="44">
        <f>Data!S867</f>
        <v>46174.302228009365</v>
      </c>
      <c r="L869" s="45">
        <f>Data!T867</f>
        <v>1.5981481481481481E-4</v>
      </c>
      <c r="M869" s="46">
        <f>Data!U867</f>
        <v>0.16879206895828247</v>
      </c>
      <c r="N869" s="46" t="str">
        <f>CONCATENATE(Data!W867," (",Data!V867,")")</f>
        <v>Exceso Velocidad 40 Km/h (Velocidad máxima: 46 kmh)</v>
      </c>
      <c r="O869" s="42" t="str">
        <f>IF(Data!V867&lt;&gt;"",N869,Data!W867)</f>
        <v>Exceso Velocidad 40 Km/h (Velocidad máxima: 46 kmh)</v>
      </c>
      <c r="P869" s="47" t="str">
        <f>Data!X867</f>
        <v>Válido</v>
      </c>
    </row>
    <row r="870" spans="1:16">
      <c r="A870" s="41" t="str">
        <f>Data!A868</f>
        <v>QLO286</v>
      </c>
      <c r="B870" s="41" t="str">
        <f>Data!D868</f>
        <v>Vehicle, Diesel, ECP 1107 Rubiales Serv. Integrales</v>
      </c>
      <c r="C870" s="41">
        <f>Data!F868</f>
        <v>0</v>
      </c>
      <c r="D870" s="41">
        <f>Data!G868</f>
        <v>0</v>
      </c>
      <c r="E870" s="41">
        <f>Data!H868</f>
        <v>0</v>
      </c>
      <c r="F870" s="41">
        <f>Data!K868</f>
        <v>0</v>
      </c>
      <c r="G870" s="33" t="str">
        <f>Data!M868</f>
        <v>Aceleración brusca (nuevo)</v>
      </c>
      <c r="H870" s="41" t="str">
        <f>Data!P868</f>
        <v>ECOPETROL RUBIALES- Quifa - CAÑO SUR: Rb 140, Puerto Gaitán, Meta, Colombia</v>
      </c>
      <c r="I870" s="42" t="str">
        <f>Data!Q868</f>
        <v>Cliente, Vel Max 40 Km/h</v>
      </c>
      <c r="J870" s="43">
        <f>Data!S868</f>
        <v>46174.304525462961</v>
      </c>
      <c r="K870" s="44">
        <f>Data!S868</f>
        <v>46174.304525462961</v>
      </c>
      <c r="L870" s="45">
        <f>Data!T868</f>
        <v>0</v>
      </c>
      <c r="M870" s="46">
        <f>Data!U868</f>
        <v>0</v>
      </c>
      <c r="N870" s="46" t="str">
        <f>CONCATENATE(Data!W868," (",Data!V868,")")</f>
        <v>Aceleración brusca (nuevo) (Clase de vehículo para métricas de seguridad: Otra clase (no estandarizada), Velocidad máxima: 8 kmh,  Ignición: 1)</v>
      </c>
      <c r="O870" s="42" t="str">
        <f>IF(Data!V868&lt;&gt;"",N870,Data!W868)</f>
        <v>Aceleración brusca (nuevo) (Clase de vehículo para métricas de seguridad: Otra clase (no estandarizada), Velocidad máxima: 8 kmh,  Ignición: 1)</v>
      </c>
      <c r="P870" s="47" t="str">
        <f>Data!X868</f>
        <v>Válido</v>
      </c>
    </row>
    <row r="871" spans="1:16">
      <c r="A871" s="41" t="str">
        <f>Data!A869</f>
        <v>QLO286</v>
      </c>
      <c r="B871" s="41" t="str">
        <f>Data!D869</f>
        <v>Vehicle, Diesel, ECP 1107 Rubiales Serv. Integrales</v>
      </c>
      <c r="C871" s="41">
        <f>Data!F869</f>
        <v>0</v>
      </c>
      <c r="D871" s="41">
        <f>Data!G869</f>
        <v>0</v>
      </c>
      <c r="E871" s="41">
        <f>Data!H869</f>
        <v>0</v>
      </c>
      <c r="F871" s="41">
        <f>Data!K869</f>
        <v>0</v>
      </c>
      <c r="G871" s="33" t="str">
        <f>Data!M869</f>
        <v>Exceso Velocidad 40 Km/h</v>
      </c>
      <c r="H871" s="41" t="str">
        <f>Data!P869</f>
        <v>ECOPETROL RUBIALES- Quifa - CAÑO SUR: Rb 140, Puerto Gaitán, Meta, Colombia</v>
      </c>
      <c r="I871" s="42" t="str">
        <f>Data!Q869</f>
        <v>Cliente, Vel Max 40 Km/h</v>
      </c>
      <c r="J871" s="43">
        <f>Data!S869</f>
        <v>46174.307018518521</v>
      </c>
      <c r="K871" s="44">
        <f>Data!S869</f>
        <v>46174.307018518521</v>
      </c>
      <c r="L871" s="45">
        <f>Data!T869</f>
        <v>5.7094907407407405E-5</v>
      </c>
      <c r="M871" s="46">
        <f>Data!U869</f>
        <v>5.6034822016954422E-2</v>
      </c>
      <c r="N871" s="46" t="str">
        <f>CONCATENATE(Data!W869," (",Data!V869,")")</f>
        <v>Exceso Velocidad 40 Km/h (Velocidad máxima: 42 kmh)</v>
      </c>
      <c r="O871" s="42" t="str">
        <f>IF(Data!V869&lt;&gt;"",N871,Data!W869)</f>
        <v>Exceso Velocidad 40 Km/h (Velocidad máxima: 42 kmh)</v>
      </c>
      <c r="P871" s="47" t="str">
        <f>Data!X869</f>
        <v>Válido</v>
      </c>
    </row>
    <row r="872" spans="1:16">
      <c r="A872" s="41" t="str">
        <f>Data!A870</f>
        <v>QLO286</v>
      </c>
      <c r="B872" s="41" t="str">
        <f>Data!D870</f>
        <v>Vehicle, Diesel, ECP 1107 Rubiales Serv. Integrales</v>
      </c>
      <c r="C872" s="41">
        <f>Data!F870</f>
        <v>0</v>
      </c>
      <c r="D872" s="41">
        <f>Data!G870</f>
        <v>0</v>
      </c>
      <c r="E872" s="41">
        <f>Data!H870</f>
        <v>0</v>
      </c>
      <c r="F872" s="41">
        <f>Data!K870</f>
        <v>0</v>
      </c>
      <c r="G872" s="33" t="str">
        <f>Data!M870</f>
        <v>Exceso Velocidad 40 Km/h</v>
      </c>
      <c r="H872" s="41" t="str">
        <f>Data!P870</f>
        <v>ECOPETROL RUBIALES- Quifa - CAÑO SUR: Rb 140, Puerto Gaitán, Meta, Colombia</v>
      </c>
      <c r="I872" s="42" t="str">
        <f>Data!Q870</f>
        <v>Cliente, Vel Max 40 Km/h</v>
      </c>
      <c r="J872" s="43">
        <f>Data!S870</f>
        <v>46174.307118055556</v>
      </c>
      <c r="K872" s="44">
        <f>Data!S870</f>
        <v>46174.307118055556</v>
      </c>
      <c r="L872" s="45">
        <f>Data!T870</f>
        <v>5.5555555555555558E-5</v>
      </c>
      <c r="M872" s="46">
        <f>Data!U870</f>
        <v>5.4488822817802429E-2</v>
      </c>
      <c r="N872" s="46" t="str">
        <f>CONCATENATE(Data!W870," (",Data!V870,")")</f>
        <v>Exceso Velocidad 40 Km/h (Velocidad máxima: 42 kmh)</v>
      </c>
      <c r="O872" s="42" t="str">
        <f>IF(Data!V870&lt;&gt;"",N872,Data!W870)</f>
        <v>Exceso Velocidad 40 Km/h (Velocidad máxima: 42 kmh)</v>
      </c>
      <c r="P872" s="47" t="str">
        <f>Data!X870</f>
        <v>Válido</v>
      </c>
    </row>
    <row r="873" spans="1:16">
      <c r="A873" s="41" t="str">
        <f>Data!A871</f>
        <v>QLO286</v>
      </c>
      <c r="B873" s="41" t="str">
        <f>Data!D871</f>
        <v>Vehicle, Diesel, ECP 1107 Rubiales Serv. Integrales</v>
      </c>
      <c r="C873" s="41">
        <f>Data!F871</f>
        <v>0</v>
      </c>
      <c r="D873" s="41">
        <f>Data!G871</f>
        <v>0</v>
      </c>
      <c r="E873" s="41">
        <f>Data!H871</f>
        <v>0</v>
      </c>
      <c r="F873" s="41">
        <f>Data!K871</f>
        <v>0</v>
      </c>
      <c r="G873" s="33" t="str">
        <f>Data!M871</f>
        <v>Exceso Velocidad 40 Km/h</v>
      </c>
      <c r="H873" s="41" t="str">
        <f>Data!P871</f>
        <v>ECOPETROL RUBIALES- Quifa - CAÑO SUR: Rb 140, Puerto Gaitán, Meta, Colombia</v>
      </c>
      <c r="I873" s="42" t="str">
        <f>Data!Q871</f>
        <v>Cliente, Vel Max 40 Km/h</v>
      </c>
      <c r="J873" s="43">
        <f>Data!S871</f>
        <v>46174.307222222225</v>
      </c>
      <c r="K873" s="44">
        <f>Data!S871</f>
        <v>46174.307222222225</v>
      </c>
      <c r="L873" s="45">
        <f>Data!T871</f>
        <v>2.3019675925925925E-4</v>
      </c>
      <c r="M873" s="46">
        <f>Data!U871</f>
        <v>0.23811405897140503</v>
      </c>
      <c r="N873" s="46" t="str">
        <f>CONCATENATE(Data!W871," (",Data!V871,")")</f>
        <v>Exceso Velocidad 40 Km/h (Velocidad máxima: 46 kmh)</v>
      </c>
      <c r="O873" s="42" t="str">
        <f>IF(Data!V871&lt;&gt;"",N873,Data!W871)</f>
        <v>Exceso Velocidad 40 Km/h (Velocidad máxima: 46 kmh)</v>
      </c>
      <c r="P873" s="47" t="str">
        <f>Data!X871</f>
        <v>Válido</v>
      </c>
    </row>
    <row r="874" spans="1:16">
      <c r="A874" s="41" t="str">
        <f>Data!A872</f>
        <v>QLO286</v>
      </c>
      <c r="B874" s="41" t="str">
        <f>Data!D872</f>
        <v>Vehicle, Diesel, ECP 1107 Rubiales Serv. Integrales</v>
      </c>
      <c r="C874" s="41">
        <f>Data!F872</f>
        <v>0</v>
      </c>
      <c r="D874" s="41">
        <f>Data!G872</f>
        <v>0</v>
      </c>
      <c r="E874" s="41">
        <f>Data!H872</f>
        <v>0</v>
      </c>
      <c r="F874" s="41">
        <f>Data!K872</f>
        <v>0</v>
      </c>
      <c r="G874" s="33" t="str">
        <f>Data!M872</f>
        <v>Exceso Velocidad 40 Km/h</v>
      </c>
      <c r="H874" s="41" t="str">
        <f>Data!P872</f>
        <v>ECOPETROL RUBIALES- Quifa - CAÑO SUR: Rb 140, Puerto Gaitán, Meta, Colombia</v>
      </c>
      <c r="I874" s="42" t="str">
        <f>Data!Q872</f>
        <v>Cliente, Vel Max 40 Km/h</v>
      </c>
      <c r="J874" s="43">
        <f>Data!S872</f>
        <v>46174.309131944443</v>
      </c>
      <c r="K874" s="44">
        <f>Data!S872</f>
        <v>46174.309131944443</v>
      </c>
      <c r="L874" s="45">
        <f>Data!T872</f>
        <v>1.273148148148148E-4</v>
      </c>
      <c r="M874" s="46">
        <f>Data!U872</f>
        <v>0.12298388034105301</v>
      </c>
      <c r="N874" s="46" t="str">
        <f>CONCATENATE(Data!W872," (",Data!V872,")")</f>
        <v>Exceso Velocidad 40 Km/h (Velocidad máxima: 42 kmh)</v>
      </c>
      <c r="O874" s="42" t="str">
        <f>IF(Data!V872&lt;&gt;"",N874,Data!W872)</f>
        <v>Exceso Velocidad 40 Km/h (Velocidad máxima: 42 kmh)</v>
      </c>
      <c r="P874" s="47" t="str">
        <f>Data!X872</f>
        <v>Válido</v>
      </c>
    </row>
    <row r="875" spans="1:16">
      <c r="A875" s="41" t="str">
        <f>Data!A873</f>
        <v>QLO286</v>
      </c>
      <c r="B875" s="41" t="str">
        <f>Data!D873</f>
        <v>Vehicle, Diesel, ECP 1107 Rubiales Serv. Integrales</v>
      </c>
      <c r="C875" s="41">
        <f>Data!F873</f>
        <v>0</v>
      </c>
      <c r="D875" s="41">
        <f>Data!G873</f>
        <v>0</v>
      </c>
      <c r="E875" s="41">
        <f>Data!H873</f>
        <v>0</v>
      </c>
      <c r="F875" s="41">
        <f>Data!K873</f>
        <v>0</v>
      </c>
      <c r="G875" s="33" t="str">
        <f>Data!M873</f>
        <v>Exceso Velocidad 40 Km/h</v>
      </c>
      <c r="H875" s="41" t="str">
        <f>Data!P873</f>
        <v>ECOPETROL RUBIALES- Quifa - CAÑO SUR: Rb 140, Puerto Gaitán, Meta, Colombia</v>
      </c>
      <c r="I875" s="42" t="str">
        <f>Data!Q873</f>
        <v>Cliente, Vel Max 40 Km/h</v>
      </c>
      <c r="J875" s="43">
        <f>Data!S873</f>
        <v>46174.309444444443</v>
      </c>
      <c r="K875" s="44">
        <f>Data!S873</f>
        <v>46174.309444444443</v>
      </c>
      <c r="L875" s="45">
        <f>Data!T873</f>
        <v>1.273148148148148E-4</v>
      </c>
      <c r="M875" s="46">
        <f>Data!U873</f>
        <v>0.12660084664821625</v>
      </c>
      <c r="N875" s="46" t="str">
        <f>CONCATENATE(Data!W873," (",Data!V873,")")</f>
        <v>Exceso Velocidad 40 Km/h (Velocidad máxima: 44 kmh)</v>
      </c>
      <c r="O875" s="42" t="str">
        <f>IF(Data!V873&lt;&gt;"",N875,Data!W873)</f>
        <v>Exceso Velocidad 40 Km/h (Velocidad máxima: 44 kmh)</v>
      </c>
      <c r="P875" s="47" t="str">
        <f>Data!X873</f>
        <v>Válido</v>
      </c>
    </row>
    <row r="876" spans="1:16">
      <c r="A876" s="41" t="str">
        <f>Data!A874</f>
        <v>QLO286</v>
      </c>
      <c r="B876" s="41" t="str">
        <f>Data!D874</f>
        <v>Vehicle, Diesel, ECP 1107 Rubiales Serv. Integrales</v>
      </c>
      <c r="C876" s="41">
        <f>Data!F874</f>
        <v>0</v>
      </c>
      <c r="D876" s="41">
        <f>Data!G874</f>
        <v>0</v>
      </c>
      <c r="E876" s="41">
        <f>Data!H874</f>
        <v>0</v>
      </c>
      <c r="F876" s="41">
        <f>Data!K874</f>
        <v>0</v>
      </c>
      <c r="G876" s="33" t="str">
        <f>Data!M874</f>
        <v>Frenado brusco (nuevo)</v>
      </c>
      <c r="H876" s="41" t="str">
        <f>Data!P874</f>
        <v>ECOPETROL RUBIALES- Quifa - CAÑO SUR: Rb 140, Puerto Gaitán, Meta, Colombia</v>
      </c>
      <c r="I876" s="42" t="str">
        <f>Data!Q874</f>
        <v>Cliente, Vel Max 40 Km/h</v>
      </c>
      <c r="J876" s="43">
        <f>Data!S874</f>
        <v>46174.309907407405</v>
      </c>
      <c r="K876" s="44">
        <f>Data!S874</f>
        <v>46174.309907407405</v>
      </c>
      <c r="L876" s="45">
        <f>Data!T874</f>
        <v>0</v>
      </c>
      <c r="M876" s="46">
        <f>Data!U874</f>
        <v>0</v>
      </c>
      <c r="N876" s="46" t="str">
        <f>CONCATENATE(Data!W874," (",Data!V874,")")</f>
        <v>Frenado brusco (nuevo) (Clase de vehículo para métricas de seguridad: Otra clase (no estandarizada), Velocidad máxima: 32 kmh,  Ignición: 1)</v>
      </c>
      <c r="O876" s="42" t="str">
        <f>IF(Data!V874&lt;&gt;"",N876,Data!W874)</f>
        <v>Frenado brusco (nuevo) (Clase de vehículo para métricas de seguridad: Otra clase (no estandarizada), Velocidad máxima: 32 kmh,  Ignición: 1)</v>
      </c>
      <c r="P876" s="47" t="str">
        <f>Data!X874</f>
        <v>Válido</v>
      </c>
    </row>
    <row r="877" spans="1:16">
      <c r="A877" s="41" t="str">
        <f>Data!A875</f>
        <v>QLO286</v>
      </c>
      <c r="B877" s="41" t="str">
        <f>Data!D875</f>
        <v>Vehicle, Diesel, ECP 1107 Rubiales Serv. Integrales</v>
      </c>
      <c r="C877" s="41">
        <f>Data!F875</f>
        <v>0</v>
      </c>
      <c r="D877" s="41">
        <f>Data!G875</f>
        <v>0</v>
      </c>
      <c r="E877" s="41">
        <f>Data!H875</f>
        <v>0</v>
      </c>
      <c r="F877" s="41">
        <f>Data!K875</f>
        <v>0</v>
      </c>
      <c r="G877" s="33" t="str">
        <f>Data!M875</f>
        <v>Exceso Velocidad 40 Km/h</v>
      </c>
      <c r="H877" s="41" t="str">
        <f>Data!P875</f>
        <v>ECOPETROL RUBIALES- Quifa - CAÑO SUR: Cluster 39 Rb 140, Puerto Gaitán, Meta, Colombia</v>
      </c>
      <c r="I877" s="42" t="str">
        <f>Data!Q875</f>
        <v>Cliente, Vel Max 40 Km/h</v>
      </c>
      <c r="J877" s="43">
        <f>Data!S875</f>
        <v>46174.311751724534</v>
      </c>
      <c r="K877" s="44">
        <f>Data!S875</f>
        <v>46174.311751724534</v>
      </c>
      <c r="L877" s="45">
        <f>Data!T875</f>
        <v>1.8113425925925925E-5</v>
      </c>
      <c r="M877" s="46">
        <f>Data!U875</f>
        <v>2.1215666085481644E-2</v>
      </c>
      <c r="N877" s="46" t="str">
        <f>CONCATENATE(Data!W875," (",Data!V875,")")</f>
        <v>Exceso Velocidad 40 Km/h (Velocidad máxima: 41 kmh)</v>
      </c>
      <c r="O877" s="42" t="str">
        <f>IF(Data!V875&lt;&gt;"",N877,Data!W875)</f>
        <v>Exceso Velocidad 40 Km/h (Velocidad máxima: 41 kmh)</v>
      </c>
      <c r="P877" s="47" t="str">
        <f>Data!X875</f>
        <v>Válido</v>
      </c>
    </row>
    <row r="878" spans="1:16">
      <c r="A878" s="41" t="str">
        <f>Data!A876</f>
        <v>QLO286</v>
      </c>
      <c r="B878" s="41" t="str">
        <f>Data!D876</f>
        <v>Vehicle, Diesel, ECP 1107 Rubiales Serv. Integrales</v>
      </c>
      <c r="C878" s="41">
        <f>Data!F876</f>
        <v>0</v>
      </c>
      <c r="D878" s="41">
        <f>Data!G876</f>
        <v>0</v>
      </c>
      <c r="E878" s="41">
        <f>Data!H876</f>
        <v>0</v>
      </c>
      <c r="F878" s="41">
        <f>Data!K876</f>
        <v>0</v>
      </c>
      <c r="G878" s="33" t="str">
        <f>Data!M876</f>
        <v>Exceso Velocidad 40 Km/h</v>
      </c>
      <c r="H878" s="41" t="str">
        <f>Data!P876</f>
        <v>ECOPETROL RUBIALES- Quifa - CAÑO SUR: Panadería Canaima, Puerto Gaitán, Meta, Colombia</v>
      </c>
      <c r="I878" s="42" t="str">
        <f>Data!Q876</f>
        <v>Cliente, Vel Max 40 Km/h</v>
      </c>
      <c r="J878" s="43">
        <f>Data!S876</f>
        <v>46174.312986111108</v>
      </c>
      <c r="K878" s="44">
        <f>Data!S876</f>
        <v>46174.312986111108</v>
      </c>
      <c r="L878" s="45">
        <f>Data!T876</f>
        <v>6.6594907407407412E-4</v>
      </c>
      <c r="M878" s="46">
        <f>Data!U876</f>
        <v>0.65397363901138306</v>
      </c>
      <c r="N878" s="46" t="str">
        <f>CONCATENATE(Data!W876," (",Data!V876,")")</f>
        <v>Exceso Velocidad 40 Km/h (Velocidad máxima: 46 kmh)</v>
      </c>
      <c r="O878" s="42" t="str">
        <f>IF(Data!V876&lt;&gt;"",N878,Data!W876)</f>
        <v>Exceso Velocidad 40 Km/h (Velocidad máxima: 46 kmh)</v>
      </c>
      <c r="P878" s="47" t="str">
        <f>Data!X876</f>
        <v>Válido</v>
      </c>
    </row>
    <row r="879" spans="1:16">
      <c r="A879" s="41" t="str">
        <f>Data!A877</f>
        <v>QLO286</v>
      </c>
      <c r="B879" s="41" t="str">
        <f>Data!D877</f>
        <v>Vehicle, Diesel, ECP 1107 Rubiales Serv. Integrales</v>
      </c>
      <c r="C879" s="41">
        <f>Data!F877</f>
        <v>0</v>
      </c>
      <c r="D879" s="41">
        <f>Data!G877</f>
        <v>0</v>
      </c>
      <c r="E879" s="41">
        <f>Data!H877</f>
        <v>0</v>
      </c>
      <c r="F879" s="41">
        <f>Data!K877</f>
        <v>0</v>
      </c>
      <c r="G879" s="33" t="str">
        <f>Data!M877</f>
        <v>Exceso Velocidad 40 Km/h</v>
      </c>
      <c r="H879" s="41" t="str">
        <f>Data!P877</f>
        <v>ECOPETROL RUBIALES- Quifa - CAÑO SUR: Panadería Canaima, Puerto Gaitán, Meta, Colombia</v>
      </c>
      <c r="I879" s="42" t="str">
        <f>Data!Q877</f>
        <v>Cliente, Vel Max 40 Km/h</v>
      </c>
      <c r="J879" s="43">
        <f>Data!S877</f>
        <v>46174.313836805661</v>
      </c>
      <c r="K879" s="44">
        <f>Data!S877</f>
        <v>46174.313836805661</v>
      </c>
      <c r="L879" s="45">
        <f>Data!T877</f>
        <v>2.7430555555555558E-4</v>
      </c>
      <c r="M879" s="46">
        <f>Data!U877</f>
        <v>0.27745729684829712</v>
      </c>
      <c r="N879" s="46" t="str">
        <f>CONCATENATE(Data!W877," (",Data!V877,")")</f>
        <v>Exceso Velocidad 40 Km/h (Velocidad máxima: 44 kmh)</v>
      </c>
      <c r="O879" s="42" t="str">
        <f>IF(Data!V877&lt;&gt;"",N879,Data!W877)</f>
        <v>Exceso Velocidad 40 Km/h (Velocidad máxima: 44 kmh)</v>
      </c>
      <c r="P879" s="47" t="str">
        <f>Data!X877</f>
        <v>Válido</v>
      </c>
    </row>
    <row r="880" spans="1:16">
      <c r="A880" s="41" t="str">
        <f>Data!A878</f>
        <v>QLO286</v>
      </c>
      <c r="B880" s="41" t="str">
        <f>Data!D878</f>
        <v>Vehicle, Diesel, ECP 1107 Rubiales Serv. Integrales</v>
      </c>
      <c r="C880" s="41">
        <f>Data!F878</f>
        <v>0</v>
      </c>
      <c r="D880" s="41">
        <f>Data!G878</f>
        <v>0</v>
      </c>
      <c r="E880" s="41">
        <f>Data!H878</f>
        <v>0</v>
      </c>
      <c r="F880" s="41">
        <f>Data!K878</f>
        <v>0</v>
      </c>
      <c r="G880" s="33" t="str">
        <f>Data!M878</f>
        <v>Exceso Velocidad 20 Km/h</v>
      </c>
      <c r="H880" s="41" t="str">
        <f>Data!P878</f>
        <v>ECOPETROL RUBIALES- Quifa - CAÑO SUR, VEREDA BUENOS AIRES</v>
      </c>
      <c r="I880" s="42" t="str">
        <f>Data!Q878</f>
        <v>Cliente, Vel Max 40 Km/h, Vel Max 20 Km/h</v>
      </c>
      <c r="J880" s="43">
        <f>Data!S878</f>
        <v>46174.314092048611</v>
      </c>
      <c r="K880" s="44">
        <f>Data!S878</f>
        <v>46174.314092048611</v>
      </c>
      <c r="L880" s="45">
        <f>Data!T878</f>
        <v>4.7199074074074076E-4</v>
      </c>
      <c r="M880" s="46">
        <f>Data!U878</f>
        <v>0.39363387227058411</v>
      </c>
      <c r="N880" s="46" t="str">
        <f>CONCATENATE(Data!W878," (",Data!V878,")")</f>
        <v>Exceso Velocidad 20 Km/h (Velocidad máxima: 42 kmh)</v>
      </c>
      <c r="O880" s="42" t="str">
        <f>IF(Data!V878&lt;&gt;"",N880,Data!W878)</f>
        <v>Exceso Velocidad 20 Km/h (Velocidad máxima: 42 kmh)</v>
      </c>
      <c r="P880" s="47" t="str">
        <f>Data!X878</f>
        <v>Válido</v>
      </c>
    </row>
    <row r="881" spans="1:16">
      <c r="A881" s="41" t="str">
        <f>Data!A879</f>
        <v>QLO286</v>
      </c>
      <c r="B881" s="41" t="str">
        <f>Data!D879</f>
        <v>Vehicle, Diesel, ECP 1107 Rubiales Serv. Integrales</v>
      </c>
      <c r="C881" s="41">
        <f>Data!F879</f>
        <v>0</v>
      </c>
      <c r="D881" s="41">
        <f>Data!G879</f>
        <v>0</v>
      </c>
      <c r="E881" s="41">
        <f>Data!H879</f>
        <v>0</v>
      </c>
      <c r="F881" s="41">
        <f>Data!K879</f>
        <v>0</v>
      </c>
      <c r="G881" s="33" t="str">
        <f>Data!M879</f>
        <v>Exceso Velocidad 40 Km/h</v>
      </c>
      <c r="H881" s="41" t="str">
        <f>Data!P879</f>
        <v>ECOPETROL RUBIALES- Quifa - CAÑO SUR, VEREDA BUENOS AIRES: Panadería Canaima, Puerto Gaitán, Meta, Colombia</v>
      </c>
      <c r="I881" s="42" t="str">
        <f>Data!Q879</f>
        <v>Cliente, Vel Max 40 Km/h, Vel Max 20 Km/h</v>
      </c>
      <c r="J881" s="43">
        <f>Data!S879</f>
        <v>46174.314375000002</v>
      </c>
      <c r="K881" s="44">
        <f>Data!S879</f>
        <v>46174.314375000002</v>
      </c>
      <c r="L881" s="45">
        <f>Data!T879</f>
        <v>1.5046296296296297E-5</v>
      </c>
      <c r="M881" s="46">
        <f>Data!U879</f>
        <v>1.3995783403515816E-2</v>
      </c>
      <c r="N881" s="46" t="str">
        <f>CONCATENATE(Data!W879," (",Data!V879,")")</f>
        <v>Exceso Velocidad 40 Km/h (Velocidad máxima: 41 kmh)</v>
      </c>
      <c r="O881" s="42" t="str">
        <f>IF(Data!V879&lt;&gt;"",N881,Data!W879)</f>
        <v>Exceso Velocidad 40 Km/h (Velocidad máxima: 41 kmh)</v>
      </c>
      <c r="P881" s="47" t="str">
        <f>Data!X879</f>
        <v>Válido</v>
      </c>
    </row>
    <row r="882" spans="1:16">
      <c r="A882" s="41" t="str">
        <f>Data!A880</f>
        <v>QLO286</v>
      </c>
      <c r="B882" s="41" t="str">
        <f>Data!D880</f>
        <v>Vehicle, Diesel, ECP 1107 Rubiales Serv. Integrales</v>
      </c>
      <c r="C882" s="41">
        <f>Data!F880</f>
        <v>0</v>
      </c>
      <c r="D882" s="41">
        <f>Data!G880</f>
        <v>0</v>
      </c>
      <c r="E882" s="41">
        <f>Data!H880</f>
        <v>0</v>
      </c>
      <c r="F882" s="41">
        <f>Data!K880</f>
        <v>0</v>
      </c>
      <c r="G882" s="33" t="str">
        <f>Data!M880</f>
        <v>Exceso Velocidad 20 Km/h</v>
      </c>
      <c r="H882" s="41" t="str">
        <f>Data!P880</f>
        <v>ECOPETROL RUBIALES- Quifa - CAÑO SUR, VEREDA BUENOS AIRES: Panadería Canaima, Puerto Gaitán, Meta, Colombia</v>
      </c>
      <c r="I882" s="42" t="str">
        <f>Data!Q880</f>
        <v>Cliente, Vel Max 40 Km/h, Vel Max 20 Km/h</v>
      </c>
      <c r="J882" s="43">
        <f>Data!S880</f>
        <v>46174.31458564815</v>
      </c>
      <c r="K882" s="44">
        <f>Data!S880</f>
        <v>46174.31458564815</v>
      </c>
      <c r="L882" s="45">
        <f>Data!T880</f>
        <v>1.9444444444444443E-4</v>
      </c>
      <c r="M882" s="46">
        <f>Data!U880</f>
        <v>0.12441098690032959</v>
      </c>
      <c r="N882" s="46" t="str">
        <f>CONCATENATE(Data!W880," (",Data!V880,")")</f>
        <v>Exceso Velocidad 20 Km/h (Velocidad máxima: 31 kmh)</v>
      </c>
      <c r="O882" s="42" t="str">
        <f>IF(Data!V880&lt;&gt;"",N882,Data!W880)</f>
        <v>Exceso Velocidad 20 Km/h (Velocidad máxima: 31 kmh)</v>
      </c>
      <c r="P882" s="47" t="str">
        <f>Data!X880</f>
        <v>Válido</v>
      </c>
    </row>
    <row r="883" spans="1:16">
      <c r="A883" s="41" t="str">
        <f>Data!A881</f>
        <v>QLO286</v>
      </c>
      <c r="B883" s="41" t="str">
        <f>Data!D881</f>
        <v>Vehicle, Diesel, ECP 1107 Rubiales Serv. Integrales</v>
      </c>
      <c r="C883" s="41">
        <f>Data!F881</f>
        <v>0</v>
      </c>
      <c r="D883" s="41">
        <f>Data!G881</f>
        <v>0</v>
      </c>
      <c r="E883" s="41">
        <f>Data!H881</f>
        <v>0</v>
      </c>
      <c r="F883" s="41">
        <f>Data!K881</f>
        <v>0</v>
      </c>
      <c r="G883" s="33" t="str">
        <f>Data!M881</f>
        <v>Exceso Velocidad 20 Km/h</v>
      </c>
      <c r="H883" s="41" t="str">
        <f>Data!P881</f>
        <v>ECOPETROL RUBIALES- Quifa - CAÑO SUR, VEREDA BUENOS AIRES: Finca San Pedro, Puerto Gaitán, Meta, Colombia</v>
      </c>
      <c r="I883" s="42" t="str">
        <f>Data!Q881</f>
        <v>Cliente, Vel Max 40 Km/h, Vel Max 20 Km/h</v>
      </c>
      <c r="J883" s="43">
        <f>Data!S881</f>
        <v>46174.314780092594</v>
      </c>
      <c r="K883" s="44">
        <f>Data!S881</f>
        <v>46174.314780092594</v>
      </c>
      <c r="L883" s="45">
        <f>Data!T881</f>
        <v>7.3009259259259262E-5</v>
      </c>
      <c r="M883" s="46">
        <f>Data!U881</f>
        <v>3.9264436811208725E-2</v>
      </c>
      <c r="N883" s="46" t="str">
        <f>CONCATENATE(Data!W881," (",Data!V881,")")</f>
        <v>Exceso Velocidad 20 Km/h (Velocidad máxima: 26 kmh)</v>
      </c>
      <c r="O883" s="42" t="str">
        <f>IF(Data!V881&lt;&gt;"",N883,Data!W881)</f>
        <v>Exceso Velocidad 20 Km/h (Velocidad máxima: 26 kmh)</v>
      </c>
      <c r="P883" s="47" t="str">
        <f>Data!X881</f>
        <v>Válido</v>
      </c>
    </row>
    <row r="884" spans="1:16">
      <c r="A884" s="41" t="str">
        <f>Data!A882</f>
        <v>QLO286</v>
      </c>
      <c r="B884" s="41" t="str">
        <f>Data!D882</f>
        <v>Vehicle, Diesel, ECP 1107 Rubiales Serv. Integrales</v>
      </c>
      <c r="C884" s="41">
        <f>Data!F882</f>
        <v>0</v>
      </c>
      <c r="D884" s="41">
        <f>Data!G882</f>
        <v>0</v>
      </c>
      <c r="E884" s="41">
        <f>Data!H882</f>
        <v>0</v>
      </c>
      <c r="F884" s="41">
        <f>Data!K882</f>
        <v>0</v>
      </c>
      <c r="G884" s="33" t="str">
        <f>Data!M882</f>
        <v>Exceso Velocidad 20 Km/h</v>
      </c>
      <c r="H884" s="41" t="str">
        <f>Data!P882</f>
        <v>ECOPETROL RUBIALES- Quifa - CAÑO SUR, VEREDA BUENOS AIRES: Finca San Pedro, Puerto Gaitán, Meta, Colombia</v>
      </c>
      <c r="I884" s="42" t="str">
        <f>Data!Q882</f>
        <v>Cliente, Vel Max 40 Km/h, Vel Max 20 Km/h</v>
      </c>
      <c r="J884" s="43">
        <f>Data!S882</f>
        <v>46174.31490740741</v>
      </c>
      <c r="K884" s="44">
        <f>Data!S882</f>
        <v>46174.31490740741</v>
      </c>
      <c r="L884" s="45">
        <f>Data!T882</f>
        <v>4.0123842592592593E-4</v>
      </c>
      <c r="M884" s="46">
        <f>Data!U882</f>
        <v>0.2857632040977478</v>
      </c>
      <c r="N884" s="46" t="str">
        <f>CONCATENATE(Data!W882," (",Data!V882,")")</f>
        <v>Exceso Velocidad 20 Km/h (Velocidad máxima: 39 kmh)</v>
      </c>
      <c r="O884" s="42" t="str">
        <f>IF(Data!V882&lt;&gt;"",N884,Data!W882)</f>
        <v>Exceso Velocidad 20 Km/h (Velocidad máxima: 39 kmh)</v>
      </c>
      <c r="P884" s="47" t="str">
        <f>Data!X882</f>
        <v>Válido</v>
      </c>
    </row>
    <row r="885" spans="1:16">
      <c r="A885" s="41" t="str">
        <f>Data!A883</f>
        <v>QLO286</v>
      </c>
      <c r="B885" s="41" t="str">
        <f>Data!D883</f>
        <v>Vehicle, Diesel, ECP 1107 Rubiales Serv. Integrales</v>
      </c>
      <c r="C885" s="41">
        <f>Data!F883</f>
        <v>0</v>
      </c>
      <c r="D885" s="41">
        <f>Data!G883</f>
        <v>0</v>
      </c>
      <c r="E885" s="41">
        <f>Data!H883</f>
        <v>0</v>
      </c>
      <c r="F885" s="41">
        <f>Data!K883</f>
        <v>0</v>
      </c>
      <c r="G885" s="33" t="str">
        <f>Data!M883</f>
        <v>Exceso Velocidad 20 Km/h</v>
      </c>
      <c r="H885" s="41" t="str">
        <f>Data!P883</f>
        <v>ECOPETROL RUBIALES- Quifa - CAÑO SUR, VEREDA BUENOS AIRES: Finca San Pedro, Puerto Gaitán, Meta, Colombia</v>
      </c>
      <c r="I885" s="42" t="str">
        <f>Data!Q883</f>
        <v>Cliente, Vel Max 40 Km/h, Vel Max 20 Km/h</v>
      </c>
      <c r="J885" s="43">
        <f>Data!S883</f>
        <v>46174.315383229165</v>
      </c>
      <c r="K885" s="44">
        <f>Data!S883</f>
        <v>46174.315383229165</v>
      </c>
      <c r="L885" s="45">
        <f>Data!T883</f>
        <v>6.1950231481481481E-4</v>
      </c>
      <c r="M885" s="46">
        <f>Data!U883</f>
        <v>0.48983111977577209</v>
      </c>
      <c r="N885" s="46" t="str">
        <f>CONCATENATE(Data!W883," (",Data!V883,")")</f>
        <v>Exceso Velocidad 20 Km/h (Velocidad máxima: 41 kmh)</v>
      </c>
      <c r="O885" s="42" t="str">
        <f>IF(Data!V883&lt;&gt;"",N885,Data!W883)</f>
        <v>Exceso Velocidad 20 Km/h (Velocidad máxima: 41 kmh)</v>
      </c>
      <c r="P885" s="47" t="str">
        <f>Data!X883</f>
        <v>Válido</v>
      </c>
    </row>
    <row r="886" spans="1:16">
      <c r="A886" s="41" t="str">
        <f>Data!A884</f>
        <v>QLO286</v>
      </c>
      <c r="B886" s="41" t="str">
        <f>Data!D884</f>
        <v>Vehicle, Diesel, ECP 1107 Rubiales Serv. Integrales</v>
      </c>
      <c r="C886" s="41">
        <f>Data!F884</f>
        <v>0</v>
      </c>
      <c r="D886" s="41">
        <f>Data!G884</f>
        <v>0</v>
      </c>
      <c r="E886" s="41">
        <f>Data!H884</f>
        <v>0</v>
      </c>
      <c r="F886" s="41">
        <f>Data!K884</f>
        <v>0</v>
      </c>
      <c r="G886" s="33" t="str">
        <f>Data!M884</f>
        <v>Exceso Velocidad 40 Km/h</v>
      </c>
      <c r="H886" s="41" t="str">
        <f>Data!P884</f>
        <v>ECOPETROL RUBIALES- Quifa - CAÑO SUR, VEREDA BUENOS AIRES: Finca San Pedro, Puerto Gaitán, Meta, Colombia</v>
      </c>
      <c r="I886" s="42" t="str">
        <f>Data!Q884</f>
        <v>Cliente, Vel Max 40 Km/h, Vel Max 20 Km/h</v>
      </c>
      <c r="J886" s="43">
        <f>Data!S884</f>
        <v>46174.315457176024</v>
      </c>
      <c r="K886" s="44">
        <f>Data!S884</f>
        <v>46174.315457176024</v>
      </c>
      <c r="L886" s="45">
        <f>Data!T884</f>
        <v>2.8935285185185187E-5</v>
      </c>
      <c r="M886" s="46">
        <f>Data!U884</f>
        <v>2.8147069737315178E-2</v>
      </c>
      <c r="N886" s="46" t="str">
        <f>CONCATENATE(Data!W884," (",Data!V884,")")</f>
        <v>Exceso Velocidad 40 Km/h (Velocidad máxima: 41 kmh)</v>
      </c>
      <c r="O886" s="42" t="str">
        <f>IF(Data!V884&lt;&gt;"",N886,Data!W884)</f>
        <v>Exceso Velocidad 40 Km/h (Velocidad máxima: 41 kmh)</v>
      </c>
      <c r="P886" s="47" t="str">
        <f>Data!X884</f>
        <v>Válido</v>
      </c>
    </row>
    <row r="887" spans="1:16">
      <c r="A887" s="41" t="str">
        <f>Data!A885</f>
        <v>QLO286</v>
      </c>
      <c r="B887" s="41" t="str">
        <f>Data!D885</f>
        <v>Vehicle, Diesel, ECP 1107 Rubiales Serv. Integrales</v>
      </c>
      <c r="C887" s="41">
        <f>Data!F885</f>
        <v>0</v>
      </c>
      <c r="D887" s="41">
        <f>Data!G885</f>
        <v>0</v>
      </c>
      <c r="E887" s="41">
        <f>Data!H885</f>
        <v>0</v>
      </c>
      <c r="F887" s="41">
        <f>Data!K885</f>
        <v>0</v>
      </c>
      <c r="G887" s="33" t="str">
        <f>Data!M885</f>
        <v>Exceso Velocidad 20 Km/h</v>
      </c>
      <c r="H887" s="41" t="str">
        <f>Data!P885</f>
        <v>ECOPETROL RUBIALES- Quifa - CAÑO SUR, VEREDA BUENOS AIRES: Rb 162, Puerto Gaitán, Meta, Colombia</v>
      </c>
      <c r="I887" s="42" t="str">
        <f>Data!Q885</f>
        <v>Cliente, Vel Max 40 Km/h, Vel Max 20 Km/h</v>
      </c>
      <c r="J887" s="43">
        <f>Data!S885</f>
        <v>46174.319695219907</v>
      </c>
      <c r="K887" s="44">
        <f>Data!S885</f>
        <v>46174.319695219907</v>
      </c>
      <c r="L887" s="45">
        <f>Data!T885</f>
        <v>7.1643518518518519E-5</v>
      </c>
      <c r="M887" s="46">
        <f>Data!U885</f>
        <v>3.6861855536699295E-2</v>
      </c>
      <c r="N887" s="46" t="str">
        <f>CONCATENATE(Data!W885," (",Data!V885,")")</f>
        <v>Exceso Velocidad 20 Km/h (Velocidad máxima: 26 kmh)</v>
      </c>
      <c r="O887" s="42" t="str">
        <f>IF(Data!V885&lt;&gt;"",N887,Data!W885)</f>
        <v>Exceso Velocidad 20 Km/h (Velocidad máxima: 26 kmh)</v>
      </c>
      <c r="P887" s="47" t="str">
        <f>Data!X885</f>
        <v>Válido</v>
      </c>
    </row>
    <row r="888" spans="1:16">
      <c r="A888" s="41" t="str">
        <f>Data!A886</f>
        <v>QLO286</v>
      </c>
      <c r="B888" s="41" t="str">
        <f>Data!D886</f>
        <v>Vehicle, Diesel, ECP 1107 Rubiales Serv. Integrales</v>
      </c>
      <c r="C888" s="41">
        <f>Data!F886</f>
        <v>0</v>
      </c>
      <c r="D888" s="41">
        <f>Data!G886</f>
        <v>0</v>
      </c>
      <c r="E888" s="41">
        <f>Data!H886</f>
        <v>0</v>
      </c>
      <c r="F888" s="41">
        <f>Data!K886</f>
        <v>0</v>
      </c>
      <c r="G888" s="33" t="str">
        <f>Data!M886</f>
        <v>Exceso Velocidad 20 Km/h</v>
      </c>
      <c r="H888" s="41" t="str">
        <f>Data!P886</f>
        <v>ECOPETROL RUBIALES- Quifa - CAÑO SUR, VEREDA BUENOS AIRES: Rb 162 6, Puerto Gaitán, Meta, Colombia</v>
      </c>
      <c r="I888" s="42" t="str">
        <f>Data!Q886</f>
        <v>Cliente, Vel Max 40 Km/h, Vel Max 20 Km/h</v>
      </c>
      <c r="J888" s="43">
        <f>Data!S886</f>
        <v>46174.319838854164</v>
      </c>
      <c r="K888" s="44">
        <f>Data!S886</f>
        <v>46174.319838854164</v>
      </c>
      <c r="L888" s="45">
        <f>Data!T886</f>
        <v>1.4644675925925925E-4</v>
      </c>
      <c r="M888" s="46">
        <f>Data!U886</f>
        <v>0.12215980142354965</v>
      </c>
      <c r="N888" s="46" t="str">
        <f>CONCATENATE(Data!W886," (",Data!V886,")")</f>
        <v>Exceso Velocidad 20 Km/h (Velocidad máxima: 41 kmh)</v>
      </c>
      <c r="O888" s="42" t="str">
        <f>IF(Data!V886&lt;&gt;"",N888,Data!W886)</f>
        <v>Exceso Velocidad 20 Km/h (Velocidad máxima: 41 kmh)</v>
      </c>
      <c r="P888" s="47" t="str">
        <f>Data!X886</f>
        <v>Válido</v>
      </c>
    </row>
    <row r="889" spans="1:16">
      <c r="A889" s="41" t="str">
        <f>Data!A887</f>
        <v>QLO286</v>
      </c>
      <c r="B889" s="41" t="str">
        <f>Data!D887</f>
        <v>Vehicle, Diesel, ECP 1107 Rubiales Serv. Integrales</v>
      </c>
      <c r="C889" s="41">
        <f>Data!F887</f>
        <v>0</v>
      </c>
      <c r="D889" s="41">
        <f>Data!G887</f>
        <v>0</v>
      </c>
      <c r="E889" s="41">
        <f>Data!H887</f>
        <v>0</v>
      </c>
      <c r="F889" s="41">
        <f>Data!K887</f>
        <v>0</v>
      </c>
      <c r="G889" s="33" t="str">
        <f>Data!M887</f>
        <v>Exceso Velocidad 40 Km/h</v>
      </c>
      <c r="H889" s="41" t="str">
        <f>Data!P887</f>
        <v>ECOPETROL RUBIALES- Quifa - CAÑO SUR, VEREDA BUENOS AIRES: Rb 162 6, Puerto Gaitán, Meta, Colombia</v>
      </c>
      <c r="I889" s="42" t="str">
        <f>Data!Q887</f>
        <v>Cliente, Vel Max 40 Km/h, Vel Max 20 Km/h</v>
      </c>
      <c r="J889" s="43">
        <f>Data!S887</f>
        <v>46174.319936342697</v>
      </c>
      <c r="K889" s="44">
        <f>Data!S887</f>
        <v>46174.319936342697</v>
      </c>
      <c r="L889" s="45">
        <f>Data!T887</f>
        <v>5.7870370370370373E-5</v>
      </c>
      <c r="M889" s="46">
        <f>Data!U887</f>
        <v>5.3821854293346405E-2</v>
      </c>
      <c r="N889" s="46" t="str">
        <f>CONCATENATE(Data!W887," (",Data!V887,")")</f>
        <v>Exceso Velocidad 40 Km/h (Velocidad máxima: 41 kmh)</v>
      </c>
      <c r="O889" s="42" t="str">
        <f>IF(Data!V887&lt;&gt;"",N889,Data!W887)</f>
        <v>Exceso Velocidad 40 Km/h (Velocidad máxima: 41 kmh)</v>
      </c>
      <c r="P889" s="47" t="str">
        <f>Data!X887</f>
        <v>Válido</v>
      </c>
    </row>
    <row r="890" spans="1:16">
      <c r="A890" s="41" t="str">
        <f>Data!A888</f>
        <v>QLO286</v>
      </c>
      <c r="B890" s="41" t="str">
        <f>Data!D888</f>
        <v>Vehicle, Diesel, ECP 1107 Rubiales Serv. Integrales</v>
      </c>
      <c r="C890" s="41">
        <f>Data!F888</f>
        <v>0</v>
      </c>
      <c r="D890" s="41">
        <f>Data!G888</f>
        <v>0</v>
      </c>
      <c r="E890" s="41">
        <f>Data!H888</f>
        <v>0</v>
      </c>
      <c r="F890" s="41">
        <f>Data!K888</f>
        <v>0</v>
      </c>
      <c r="G890" s="33" t="str">
        <f>Data!M888</f>
        <v>Exceso Velocidad 40 Km/h</v>
      </c>
      <c r="H890" s="41" t="str">
        <f>Data!P888</f>
        <v>ECOPETROL RUBIALES- Quifa - CAÑO SUR: Rb 162 6, Puerto Gaitán, Meta, Colombia</v>
      </c>
      <c r="I890" s="42" t="str">
        <f>Data!Q888</f>
        <v>Cliente, Vel Max 40 Km/h</v>
      </c>
      <c r="J890" s="43">
        <f>Data!S888</f>
        <v>46174.325092592589</v>
      </c>
      <c r="K890" s="44">
        <f>Data!S888</f>
        <v>46174.325092592589</v>
      </c>
      <c r="L890" s="45">
        <f>Data!T888</f>
        <v>2.0254629629629629E-5</v>
      </c>
      <c r="M890" s="46">
        <f>Data!U888</f>
        <v>1.8606994301080704E-2</v>
      </c>
      <c r="N890" s="46" t="str">
        <f>CONCATENATE(Data!W888," (",Data!V888,")")</f>
        <v>Exceso Velocidad 40 Km/h (Velocidad máxima: 41 kmh)</v>
      </c>
      <c r="O890" s="42" t="str">
        <f>IF(Data!V888&lt;&gt;"",N890,Data!W888)</f>
        <v>Exceso Velocidad 40 Km/h (Velocidad máxima: 41 kmh)</v>
      </c>
      <c r="P890" s="47" t="str">
        <f>Data!X888</f>
        <v>Válido</v>
      </c>
    </row>
    <row r="891" spans="1:16">
      <c r="A891" s="41" t="str">
        <f>Data!A889</f>
        <v>QLO286</v>
      </c>
      <c r="B891" s="41" t="str">
        <f>Data!D889</f>
        <v>Vehicle, Diesel, ECP 1107 Rubiales Serv. Integrales</v>
      </c>
      <c r="C891" s="41">
        <f>Data!F889</f>
        <v>0</v>
      </c>
      <c r="D891" s="41">
        <f>Data!G889</f>
        <v>0</v>
      </c>
      <c r="E891" s="41">
        <f>Data!H889</f>
        <v>0</v>
      </c>
      <c r="F891" s="41">
        <f>Data!K889</f>
        <v>0</v>
      </c>
      <c r="G891" s="33" t="str">
        <f>Data!M889</f>
        <v>Exceso Velocidad 40 Km/h</v>
      </c>
      <c r="H891" s="41" t="str">
        <f>Data!P889</f>
        <v>ECOPETROL RUBIALES- Quifa - CAÑO SUR: Rb 162 6, Puerto Gaitán, Meta, Colombia</v>
      </c>
      <c r="I891" s="42" t="str">
        <f>Data!Q889</f>
        <v>Cliente, Vel Max 40 Km/h</v>
      </c>
      <c r="J891" s="43">
        <f>Data!S889</f>
        <v>46174.325298611111</v>
      </c>
      <c r="K891" s="44">
        <f>Data!S889</f>
        <v>46174.325298611111</v>
      </c>
      <c r="L891" s="45">
        <f>Data!T889</f>
        <v>1.6931712962962964E-4</v>
      </c>
      <c r="M891" s="46">
        <f>Data!U889</f>
        <v>0.17035816609859467</v>
      </c>
      <c r="N891" s="46" t="str">
        <f>CONCATENATE(Data!W889," (",Data!V889,")")</f>
        <v>Exceso Velocidad 40 Km/h (Velocidad máxima: 44 kmh)</v>
      </c>
      <c r="O891" s="42" t="str">
        <f>IF(Data!V889&lt;&gt;"",N891,Data!W889)</f>
        <v>Exceso Velocidad 40 Km/h (Velocidad máxima: 44 kmh)</v>
      </c>
      <c r="P891" s="47" t="str">
        <f>Data!X889</f>
        <v>Válido</v>
      </c>
    </row>
    <row r="892" spans="1:16">
      <c r="A892" s="41" t="str">
        <f>Data!A890</f>
        <v>QLO286</v>
      </c>
      <c r="B892" s="41" t="str">
        <f>Data!D890</f>
        <v>Vehicle, Diesel, ECP 1107 Rubiales Serv. Integrales</v>
      </c>
      <c r="C892" s="41">
        <f>Data!F890</f>
        <v>0</v>
      </c>
      <c r="D892" s="41">
        <f>Data!G890</f>
        <v>0</v>
      </c>
      <c r="E892" s="41">
        <f>Data!H890</f>
        <v>0</v>
      </c>
      <c r="F892" s="41">
        <f>Data!K890</f>
        <v>0</v>
      </c>
      <c r="G892" s="33" t="str">
        <f>Data!M890</f>
        <v>Exceso Velocidad 20 Km/h</v>
      </c>
      <c r="H892" s="41" t="str">
        <f>Data!P890</f>
        <v>ECOPETROL RUBIALES- Quifa - CAÑO SUR, VEREDA BUENOS AIRES: Rb 162 6, Puerto Gaitán, Meta, Colombia</v>
      </c>
      <c r="I892" s="42" t="str">
        <f>Data!Q890</f>
        <v>Cliente, Vel Max 40 Km/h, Vel Max 20 Km/h</v>
      </c>
      <c r="J892" s="43">
        <f>Data!S890</f>
        <v>46174.325373715277</v>
      </c>
      <c r="K892" s="44">
        <f>Data!S890</f>
        <v>46174.325373715277</v>
      </c>
      <c r="L892" s="45">
        <f>Data!T890</f>
        <v>9.0035879629629635E-4</v>
      </c>
      <c r="M892" s="46">
        <f>Data!U890</f>
        <v>0.82844376564025879</v>
      </c>
      <c r="N892" s="46" t="str">
        <f>CONCATENATE(Data!W890," (",Data!V890,")")</f>
        <v>Exceso Velocidad 20 Km/h (Velocidad máxima: 44 kmh)</v>
      </c>
      <c r="O892" s="42" t="str">
        <f>IF(Data!V890&lt;&gt;"",N892,Data!W890)</f>
        <v>Exceso Velocidad 20 Km/h (Velocidad máxima: 44 kmh)</v>
      </c>
      <c r="P892" s="47" t="str">
        <f>Data!X890</f>
        <v>Válido</v>
      </c>
    </row>
    <row r="893" spans="1:16">
      <c r="A893" s="41" t="str">
        <f>Data!A891</f>
        <v>QLO286</v>
      </c>
      <c r="B893" s="41" t="str">
        <f>Data!D891</f>
        <v>Vehicle, Diesel, ECP 1107 Rubiales Serv. Integrales</v>
      </c>
      <c r="C893" s="41">
        <f>Data!F891</f>
        <v>0</v>
      </c>
      <c r="D893" s="41">
        <f>Data!G891</f>
        <v>0</v>
      </c>
      <c r="E893" s="41">
        <f>Data!H891</f>
        <v>0</v>
      </c>
      <c r="F893" s="41">
        <f>Data!K891</f>
        <v>0</v>
      </c>
      <c r="G893" s="33" t="str">
        <f>Data!M891</f>
        <v>Exceso Velocidad 40 Km/h</v>
      </c>
      <c r="H893" s="41" t="str">
        <f>Data!P891</f>
        <v>ECOPETROL RUBIALES- Quifa - CAÑO SUR, VEREDA BUENOS AIRES: Rb 162 6, Puerto Gaitán, Meta, Colombia</v>
      </c>
      <c r="I893" s="42" t="str">
        <f>Data!Q891</f>
        <v>Cliente, Vel Max 40 Km/h, Vel Max 20 Km/h</v>
      </c>
      <c r="J893" s="43">
        <f>Data!S891</f>
        <v>46174.325546296299</v>
      </c>
      <c r="K893" s="44">
        <f>Data!S891</f>
        <v>46174.325546296299</v>
      </c>
      <c r="L893" s="45">
        <f>Data!T891</f>
        <v>7.8703703703703702E-5</v>
      </c>
      <c r="M893" s="46">
        <f>Data!U891</f>
        <v>7.5044833123683929E-2</v>
      </c>
      <c r="N893" s="46" t="str">
        <f>CONCATENATE(Data!W891," (",Data!V891,")")</f>
        <v>Exceso Velocidad 40 Km/h (Velocidad máxima: 42 kmh)</v>
      </c>
      <c r="O893" s="42" t="str">
        <f>IF(Data!V891&lt;&gt;"",N893,Data!W891)</f>
        <v>Exceso Velocidad 40 Km/h (Velocidad máxima: 42 kmh)</v>
      </c>
      <c r="P893" s="47" t="str">
        <f>Data!X891</f>
        <v>Válido</v>
      </c>
    </row>
    <row r="894" spans="1:16">
      <c r="A894" s="41" t="str">
        <f>Data!A892</f>
        <v>QLO286</v>
      </c>
      <c r="B894" s="41" t="str">
        <f>Data!D892</f>
        <v>Vehicle, Diesel, ECP 1107 Rubiales Serv. Integrales</v>
      </c>
      <c r="C894" s="41">
        <f>Data!F892</f>
        <v>0</v>
      </c>
      <c r="D894" s="41">
        <f>Data!G892</f>
        <v>0</v>
      </c>
      <c r="E894" s="41">
        <f>Data!H892</f>
        <v>0</v>
      </c>
      <c r="F894" s="41">
        <f>Data!K892</f>
        <v>0</v>
      </c>
      <c r="G894" s="33" t="str">
        <f>Data!M892</f>
        <v>Exceso Velocidad 40 Km/h</v>
      </c>
      <c r="H894" s="41" t="str">
        <f>Data!P892</f>
        <v>ECOPETROL RUBIALES- Quifa - CAÑO SUR, VEREDA BUENOS AIRES: Arrayanes, Puerto Gaitán, Meta, Colombia</v>
      </c>
      <c r="I894" s="42" t="str">
        <f>Data!Q892</f>
        <v>Cliente, Vel Max 40 Km/h, Vel Max 20 Km/h</v>
      </c>
      <c r="J894" s="43">
        <f>Data!S892</f>
        <v>46174.326020451386</v>
      </c>
      <c r="K894" s="44">
        <f>Data!S892</f>
        <v>46174.326020451386</v>
      </c>
      <c r="L894" s="45">
        <f>Data!T892</f>
        <v>2.1797453703703703E-4</v>
      </c>
      <c r="M894" s="46">
        <f>Data!U892</f>
        <v>0.21665854752063751</v>
      </c>
      <c r="N894" s="46" t="str">
        <f>CONCATENATE(Data!W892," (",Data!V892,")")</f>
        <v>Exceso Velocidad 40 Km/h (Velocidad máxima: 42 kmh)</v>
      </c>
      <c r="O894" s="42" t="str">
        <f>IF(Data!V892&lt;&gt;"",N894,Data!W892)</f>
        <v>Exceso Velocidad 40 Km/h (Velocidad máxima: 42 kmh)</v>
      </c>
      <c r="P894" s="47" t="str">
        <f>Data!X892</f>
        <v>Válido</v>
      </c>
    </row>
    <row r="895" spans="1:16">
      <c r="A895" s="41" t="str">
        <f>Data!A893</f>
        <v>QLO286</v>
      </c>
      <c r="B895" s="41" t="str">
        <f>Data!D893</f>
        <v>Vehicle, Diesel, ECP 1107 Rubiales Serv. Integrales</v>
      </c>
      <c r="C895" s="41">
        <f>Data!F893</f>
        <v>0</v>
      </c>
      <c r="D895" s="41">
        <f>Data!G893</f>
        <v>0</v>
      </c>
      <c r="E895" s="41">
        <f>Data!H893</f>
        <v>0</v>
      </c>
      <c r="F895" s="41">
        <f>Data!K893</f>
        <v>0</v>
      </c>
      <c r="G895" s="33" t="str">
        <f>Data!M893</f>
        <v>Exceso Velocidad 40 Km/h</v>
      </c>
      <c r="H895" s="41" t="str">
        <f>Data!P893</f>
        <v>ECOPETROL RUBIALES- Quifa - CAÑO SUR: Arrayanes, Puerto Gaitán, Meta, Colombia</v>
      </c>
      <c r="I895" s="42" t="str">
        <f>Data!Q893</f>
        <v>Cliente, Vel Max 40 Km/h</v>
      </c>
      <c r="J895" s="43">
        <f>Data!S893</f>
        <v>46174.326597222222</v>
      </c>
      <c r="K895" s="44">
        <f>Data!S893</f>
        <v>46174.326597222222</v>
      </c>
      <c r="L895" s="45">
        <f>Data!T893</f>
        <v>1.4467602592592592E-4</v>
      </c>
      <c r="M895" s="46">
        <f>Data!U893</f>
        <v>0.13799105584621429</v>
      </c>
      <c r="N895" s="46" t="str">
        <f>CONCATENATE(Data!W893," (",Data!V893,")")</f>
        <v>Exceso Velocidad 40 Km/h (Velocidad máxima: 41 kmh)</v>
      </c>
      <c r="O895" s="42" t="str">
        <f>IF(Data!V893&lt;&gt;"",N895,Data!W893)</f>
        <v>Exceso Velocidad 40 Km/h (Velocidad máxima: 41 kmh)</v>
      </c>
      <c r="P895" s="47" t="str">
        <f>Data!X893</f>
        <v>Válido</v>
      </c>
    </row>
    <row r="896" spans="1:16">
      <c r="A896" s="41" t="str">
        <f>Data!A894</f>
        <v>QLO286</v>
      </c>
      <c r="B896" s="41" t="str">
        <f>Data!D894</f>
        <v>Vehicle, Diesel, ECP 1107 Rubiales Serv. Integrales</v>
      </c>
      <c r="C896" s="41">
        <f>Data!F894</f>
        <v>0</v>
      </c>
      <c r="D896" s="41">
        <f>Data!G894</f>
        <v>0</v>
      </c>
      <c r="E896" s="41">
        <f>Data!H894</f>
        <v>0</v>
      </c>
      <c r="F896" s="41">
        <f>Data!K894</f>
        <v>0</v>
      </c>
      <c r="G896" s="33" t="str">
        <f>Data!M894</f>
        <v>Exceso Velocidad 40 Km/h</v>
      </c>
      <c r="H896" s="41" t="str">
        <f>Data!P894</f>
        <v>ECOPETROL RUBIALES- Quifa - CAÑO SUR: Rb 80, Puerto Gaitán, Meta, Colombia</v>
      </c>
      <c r="I896" s="42" t="str">
        <f>Data!Q894</f>
        <v>Cliente, Vel Max 40 Km/h</v>
      </c>
      <c r="J896" s="43">
        <f>Data!S894</f>
        <v>46174.327062118056</v>
      </c>
      <c r="K896" s="44">
        <f>Data!S894</f>
        <v>46174.327062118056</v>
      </c>
      <c r="L896" s="45">
        <f>Data!T894</f>
        <v>2.6716435185185187E-4</v>
      </c>
      <c r="M896" s="46">
        <f>Data!U894</f>
        <v>0.26575994491577148</v>
      </c>
      <c r="N896" s="46" t="str">
        <f>CONCATENATE(Data!W894," (",Data!V894,")")</f>
        <v>Exceso Velocidad 40 Km/h (Velocidad máxima: 42 kmh)</v>
      </c>
      <c r="O896" s="42" t="str">
        <f>IF(Data!V894&lt;&gt;"",N896,Data!W894)</f>
        <v>Exceso Velocidad 40 Km/h (Velocidad máxima: 42 kmh)</v>
      </c>
      <c r="P896" s="47" t="str">
        <f>Data!X894</f>
        <v>Válido</v>
      </c>
    </row>
    <row r="897" spans="1:16">
      <c r="A897" s="41" t="str">
        <f>Data!A895</f>
        <v>QLO286</v>
      </c>
      <c r="B897" s="41" t="str">
        <f>Data!D895</f>
        <v>Vehicle, Diesel, ECP 1107 Rubiales Serv. Integrales</v>
      </c>
      <c r="C897" s="41">
        <f>Data!F895</f>
        <v>0</v>
      </c>
      <c r="D897" s="41">
        <f>Data!G895</f>
        <v>0</v>
      </c>
      <c r="E897" s="41">
        <f>Data!H895</f>
        <v>0</v>
      </c>
      <c r="F897" s="41">
        <f>Data!K895</f>
        <v>0</v>
      </c>
      <c r="G897" s="33" t="str">
        <f>Data!M895</f>
        <v>Exceso Velocidad 40 Km/h</v>
      </c>
      <c r="H897" s="41" t="str">
        <f>Data!P895</f>
        <v>ECOPETROL RUBIALES- Quifa - CAÑO SUR: Rb 80, Puerto Gaitán, Meta, Colombia</v>
      </c>
      <c r="I897" s="42" t="str">
        <f>Data!Q895</f>
        <v>Cliente, Vel Max 40 Km/h</v>
      </c>
      <c r="J897" s="43">
        <f>Data!S895</f>
        <v>46174.327766203707</v>
      </c>
      <c r="K897" s="44">
        <f>Data!S895</f>
        <v>46174.327766203707</v>
      </c>
      <c r="L897" s="45">
        <f>Data!T895</f>
        <v>5.7870370370370373E-5</v>
      </c>
      <c r="M897" s="46">
        <f>Data!U895</f>
        <v>5.462409183382988E-2</v>
      </c>
      <c r="N897" s="46" t="str">
        <f>CONCATENATE(Data!W895," (",Data!V895,")")</f>
        <v>Exceso Velocidad 40 Km/h (Velocidad máxima: 41 kmh)</v>
      </c>
      <c r="O897" s="42" t="str">
        <f>IF(Data!V895&lt;&gt;"",N897,Data!W895)</f>
        <v>Exceso Velocidad 40 Km/h (Velocidad máxima: 41 kmh)</v>
      </c>
      <c r="P897" s="47" t="str">
        <f>Data!X895</f>
        <v>Válido</v>
      </c>
    </row>
    <row r="898" spans="1:16">
      <c r="A898" s="41" t="str">
        <f>Data!A896</f>
        <v>QLO286</v>
      </c>
      <c r="B898" s="41" t="str">
        <f>Data!D896</f>
        <v>Vehicle, Diesel, ECP 1107 Rubiales Serv. Integrales</v>
      </c>
      <c r="C898" s="41">
        <f>Data!F896</f>
        <v>0</v>
      </c>
      <c r="D898" s="41">
        <f>Data!G896</f>
        <v>0</v>
      </c>
      <c r="E898" s="41">
        <f>Data!H896</f>
        <v>0</v>
      </c>
      <c r="F898" s="41">
        <f>Data!K896</f>
        <v>0</v>
      </c>
      <c r="G898" s="33" t="str">
        <f>Data!M896</f>
        <v>Exceso Velocidad 40 Km/h</v>
      </c>
      <c r="H898" s="41" t="str">
        <f>Data!P896</f>
        <v>ECOPETROL RUBIALES- Quifa - CAÑO SUR: Rb 80, Puerto Gaitán, Meta, Colombia</v>
      </c>
      <c r="I898" s="42" t="str">
        <f>Data!Q896</f>
        <v>Cliente, Vel Max 40 Km/h</v>
      </c>
      <c r="J898" s="43">
        <f>Data!S896</f>
        <v>46174.328175925926</v>
      </c>
      <c r="K898" s="44">
        <f>Data!S896</f>
        <v>46174.328175925926</v>
      </c>
      <c r="L898" s="45">
        <f>Data!T896</f>
        <v>1.1689814814814815E-4</v>
      </c>
      <c r="M898" s="46">
        <f>Data!U896</f>
        <v>0.11179699003696442</v>
      </c>
      <c r="N898" s="46" t="str">
        <f>CONCATENATE(Data!W896," (",Data!V896,")")</f>
        <v>Exceso Velocidad 40 Km/h (Velocidad máxima: 42 kmh)</v>
      </c>
      <c r="O898" s="42" t="str">
        <f>IF(Data!V896&lt;&gt;"",N898,Data!W896)</f>
        <v>Exceso Velocidad 40 Km/h (Velocidad máxima: 42 kmh)</v>
      </c>
      <c r="P898" s="47" t="str">
        <f>Data!X896</f>
        <v>Válido</v>
      </c>
    </row>
    <row r="899" spans="1:16">
      <c r="A899" s="41" t="str">
        <f>Data!A897</f>
        <v>QLO286</v>
      </c>
      <c r="B899" s="41" t="str">
        <f>Data!D897</f>
        <v>Vehicle, Diesel, ECP 1107 Rubiales Serv. Integrales</v>
      </c>
      <c r="C899" s="41">
        <f>Data!F897</f>
        <v>0</v>
      </c>
      <c r="D899" s="41">
        <f>Data!G897</f>
        <v>0</v>
      </c>
      <c r="E899" s="41">
        <f>Data!H897</f>
        <v>0</v>
      </c>
      <c r="F899" s="41">
        <f>Data!K897</f>
        <v>0</v>
      </c>
      <c r="G899" s="33" t="str">
        <f>Data!M897</f>
        <v>Aceleración brusca (nuevo)</v>
      </c>
      <c r="H899" s="41" t="str">
        <f>Data!P897</f>
        <v>ECOPETROL RUBIALES- Quifa - CAÑO SUR: Rb 80, Puerto Gaitán, Meta, Colombia</v>
      </c>
      <c r="I899" s="42" t="str">
        <f>Data!Q897</f>
        <v>Cliente, Vel Max 40 Km/h</v>
      </c>
      <c r="J899" s="43">
        <f>Data!S897</f>
        <v>46174.331782407404</v>
      </c>
      <c r="K899" s="44">
        <f>Data!S897</f>
        <v>46174.331782407404</v>
      </c>
      <c r="L899" s="45">
        <f>Data!T897</f>
        <v>0</v>
      </c>
      <c r="M899" s="46">
        <f>Data!U897</f>
        <v>0</v>
      </c>
      <c r="N899" s="46" t="str">
        <f>CONCATENATE(Data!W897," (",Data!V897,")")</f>
        <v>Aceleración brusca (nuevo) (Clase de vehículo para métricas de seguridad: Otra clase (no estandarizada), Velocidad máxima: 1 kmh,  Ignición: 1)</v>
      </c>
      <c r="O899" s="42" t="str">
        <f>IF(Data!V897&lt;&gt;"",N899,Data!W897)</f>
        <v>Aceleración brusca (nuevo) (Clase de vehículo para métricas de seguridad: Otra clase (no estandarizada), Velocidad máxima: 1 kmh,  Ignición: 1)</v>
      </c>
      <c r="P899" s="47" t="str">
        <f>Data!X897</f>
        <v>Válido</v>
      </c>
    </row>
    <row r="900" spans="1:16">
      <c r="A900" s="41" t="str">
        <f>Data!A898</f>
        <v>QLO286</v>
      </c>
      <c r="B900" s="41" t="str">
        <f>Data!D898</f>
        <v>Vehicle, Diesel, ECP 1107 Rubiales Serv. Integrales</v>
      </c>
      <c r="C900" s="41">
        <f>Data!F898</f>
        <v>0</v>
      </c>
      <c r="D900" s="41">
        <f>Data!G898</f>
        <v>0</v>
      </c>
      <c r="E900" s="41">
        <f>Data!H898</f>
        <v>0</v>
      </c>
      <c r="F900" s="41">
        <f>Data!K898</f>
        <v>0</v>
      </c>
      <c r="G900" s="33" t="str">
        <f>Data!M898</f>
        <v>Exceso Velocidad 40 Km/h</v>
      </c>
      <c r="H900" s="41" t="str">
        <f>Data!P898</f>
        <v>ECOPETROL RUBIALES- Quifa - CAÑO SUR: Rb 80, Puerto Gaitán, Meta, Colombia</v>
      </c>
      <c r="I900" s="42" t="str">
        <f>Data!Q898</f>
        <v>Cliente, Vel Max 40 Km/h</v>
      </c>
      <c r="J900" s="43">
        <f>Data!S898</f>
        <v>46174.334320023147</v>
      </c>
      <c r="K900" s="44">
        <f>Data!S898</f>
        <v>46174.334320023147</v>
      </c>
      <c r="L900" s="45">
        <f>Data!T898</f>
        <v>1.244212962962963E-4</v>
      </c>
      <c r="M900" s="46">
        <f>Data!U898</f>
        <v>0.1210343986749649</v>
      </c>
      <c r="N900" s="46" t="str">
        <f>CONCATENATE(Data!W898," (",Data!V898,")")</f>
        <v>Exceso Velocidad 40 Km/h (Velocidad máxima: 41 kmh)</v>
      </c>
      <c r="O900" s="42" t="str">
        <f>IF(Data!V898&lt;&gt;"",N900,Data!W898)</f>
        <v>Exceso Velocidad 40 Km/h (Velocidad máxima: 41 kmh)</v>
      </c>
      <c r="P900" s="47" t="str">
        <f>Data!X898</f>
        <v>Válido</v>
      </c>
    </row>
    <row r="901" spans="1:16">
      <c r="A901" s="41" t="str">
        <f>Data!A899</f>
        <v>QLO286</v>
      </c>
      <c r="B901" s="41" t="str">
        <f>Data!D899</f>
        <v>Vehicle, Diesel, ECP 1107 Rubiales Serv. Integrales</v>
      </c>
      <c r="C901" s="41">
        <f>Data!F899</f>
        <v>0</v>
      </c>
      <c r="D901" s="41">
        <f>Data!G899</f>
        <v>0</v>
      </c>
      <c r="E901" s="41">
        <f>Data!H899</f>
        <v>0</v>
      </c>
      <c r="F901" s="41">
        <f>Data!K899</f>
        <v>0</v>
      </c>
      <c r="G901" s="33" t="str">
        <f>Data!M899</f>
        <v>Exceso Velocidad 40 Km/h</v>
      </c>
      <c r="H901" s="41" t="str">
        <f>Data!P899</f>
        <v>ECOPETROL RUBIALES- Quifa - CAÑO SUR: Rb 80, Puerto Gaitán, Meta, Colombia</v>
      </c>
      <c r="I901" s="42" t="str">
        <f>Data!Q899</f>
        <v>Cliente, Vel Max 40 Km/h</v>
      </c>
      <c r="J901" s="43">
        <f>Data!S899</f>
        <v>46174.334739583435</v>
      </c>
      <c r="K901" s="44">
        <f>Data!S899</f>
        <v>46174.334739583435</v>
      </c>
      <c r="L901" s="45">
        <f>Data!T899</f>
        <v>4.6296296296296294E-5</v>
      </c>
      <c r="M901" s="46">
        <f>Data!U899</f>
        <v>4.1756048798561096E-2</v>
      </c>
      <c r="N901" s="46" t="str">
        <f>CONCATENATE(Data!W899," (",Data!V899,")")</f>
        <v>Exceso Velocidad 40 Km/h (Velocidad máxima: 41 kmh)</v>
      </c>
      <c r="O901" s="42" t="str">
        <f>IF(Data!V899&lt;&gt;"",N901,Data!W899)</f>
        <v>Exceso Velocidad 40 Km/h (Velocidad máxima: 41 kmh)</v>
      </c>
      <c r="P901" s="47" t="str">
        <f>Data!X899</f>
        <v>Válido</v>
      </c>
    </row>
    <row r="902" spans="1:16">
      <c r="A902" s="41" t="str">
        <f>Data!A900</f>
        <v>QLO286</v>
      </c>
      <c r="B902" s="41" t="str">
        <f>Data!D900</f>
        <v>Vehicle, Diesel, ECP 1107 Rubiales Serv. Integrales</v>
      </c>
      <c r="C902" s="41">
        <f>Data!F900</f>
        <v>0</v>
      </c>
      <c r="D902" s="41">
        <f>Data!G900</f>
        <v>0</v>
      </c>
      <c r="E902" s="41">
        <f>Data!H900</f>
        <v>0</v>
      </c>
      <c r="F902" s="41">
        <f>Data!K900</f>
        <v>0</v>
      </c>
      <c r="G902" s="33" t="str">
        <f>Data!M900</f>
        <v>Exceso Velocidad 40 Km/h</v>
      </c>
      <c r="H902" s="41" t="str">
        <f>Data!P900</f>
        <v>ECOPETROL RUBIALES- Quifa - CAÑO SUR: Rb 80, Puerto Gaitán, Meta, Colombia</v>
      </c>
      <c r="I902" s="42" t="str">
        <f>Data!Q900</f>
        <v>Cliente, Vel Max 40 Km/h</v>
      </c>
      <c r="J902" s="43">
        <f>Data!S900</f>
        <v>46174.334872685184</v>
      </c>
      <c r="K902" s="44">
        <f>Data!S900</f>
        <v>46174.334872685184</v>
      </c>
      <c r="L902" s="45">
        <f>Data!T900</f>
        <v>2.1508101851851853E-4</v>
      </c>
      <c r="M902" s="46">
        <f>Data!U900</f>
        <v>0.21198844909667969</v>
      </c>
      <c r="N902" s="46" t="str">
        <f>CONCATENATE(Data!W900," (",Data!V900,")")</f>
        <v>Exceso Velocidad 40 Km/h (Velocidad máxima: 41 kmh)</v>
      </c>
      <c r="O902" s="42" t="str">
        <f>IF(Data!V900&lt;&gt;"",N902,Data!W900)</f>
        <v>Exceso Velocidad 40 Km/h (Velocidad máxima: 41 kmh)</v>
      </c>
      <c r="P902" s="47" t="str">
        <f>Data!X900</f>
        <v>Válido</v>
      </c>
    </row>
    <row r="903" spans="1:16">
      <c r="A903" s="41" t="str">
        <f>Data!A901</f>
        <v>QLO286</v>
      </c>
      <c r="B903" s="41" t="str">
        <f>Data!D901</f>
        <v>Vehicle, Diesel, ECP 1107 Rubiales Serv. Integrales</v>
      </c>
      <c r="C903" s="41">
        <f>Data!F901</f>
        <v>0</v>
      </c>
      <c r="D903" s="41">
        <f>Data!G901</f>
        <v>0</v>
      </c>
      <c r="E903" s="41">
        <f>Data!H901</f>
        <v>0</v>
      </c>
      <c r="F903" s="41">
        <f>Data!K901</f>
        <v>0</v>
      </c>
      <c r="G903" s="33" t="str">
        <f>Data!M901</f>
        <v>Exceso Velocidad 40 Km/h</v>
      </c>
      <c r="H903" s="41" t="str">
        <f>Data!P901</f>
        <v>ECOPETROL RUBIALES- Quifa - CAÑO SUR: Arrayanes, Puerto Gaitán, Meta, Colombia</v>
      </c>
      <c r="I903" s="42" t="str">
        <f>Data!Q901</f>
        <v>Cliente, Vel Max 40 Km/h</v>
      </c>
      <c r="J903" s="43">
        <f>Data!S901</f>
        <v>46174.335634918978</v>
      </c>
      <c r="K903" s="44">
        <f>Data!S901</f>
        <v>46174.335634918978</v>
      </c>
      <c r="L903" s="45">
        <f>Data!T901</f>
        <v>1.1320601851851852E-3</v>
      </c>
      <c r="M903" s="46">
        <f>Data!U901</f>
        <v>1.1724560260772705</v>
      </c>
      <c r="N903" s="46" t="str">
        <f>CONCATENATE(Data!W901," (",Data!V901,")")</f>
        <v>Exceso Velocidad 40 Km/h (Velocidad máxima: 46 kmh)</v>
      </c>
      <c r="O903" s="42" t="str">
        <f>IF(Data!V901&lt;&gt;"",N903,Data!W901)</f>
        <v>Exceso Velocidad 40 Km/h (Velocidad máxima: 46 kmh)</v>
      </c>
      <c r="P903" s="47" t="str">
        <f>Data!X901</f>
        <v>Válido</v>
      </c>
    </row>
    <row r="904" spans="1:16">
      <c r="A904" s="41" t="str">
        <f>Data!A902</f>
        <v>QLO286</v>
      </c>
      <c r="B904" s="41" t="str">
        <f>Data!D902</f>
        <v>Vehicle, Diesel, ECP 1107 Rubiales Serv. Integrales</v>
      </c>
      <c r="C904" s="41">
        <f>Data!F902</f>
        <v>0</v>
      </c>
      <c r="D904" s="41">
        <f>Data!G902</f>
        <v>0</v>
      </c>
      <c r="E904" s="41">
        <f>Data!H902</f>
        <v>0</v>
      </c>
      <c r="F904" s="41">
        <f>Data!K902</f>
        <v>0</v>
      </c>
      <c r="G904" s="33" t="str">
        <f>Data!M902</f>
        <v>Exceso Velocidad 40 Km/h</v>
      </c>
      <c r="H904" s="41" t="str">
        <f>Data!P902</f>
        <v>ECOPETROL RUBIALES- Quifa - CAÑO SUR: Rb 294 Finca Los Barraganes Pad 6, Puerto Gaitán, Meta, Colombia</v>
      </c>
      <c r="I904" s="42" t="str">
        <f>Data!Q902</f>
        <v>Cliente, Vel Max 40 Km/h</v>
      </c>
      <c r="J904" s="43">
        <f>Data!S902</f>
        <v>46174.336917442131</v>
      </c>
      <c r="K904" s="44">
        <f>Data!S902</f>
        <v>46174.336917442131</v>
      </c>
      <c r="L904" s="45">
        <f>Data!T902</f>
        <v>2.044675925925926E-4</v>
      </c>
      <c r="M904" s="46">
        <f>Data!U902</f>
        <v>0.20385892689228058</v>
      </c>
      <c r="N904" s="46" t="str">
        <f>CONCATENATE(Data!W902," (",Data!V902,")")</f>
        <v>Exceso Velocidad 40 Km/h (Velocidad máxima: 42 kmh)</v>
      </c>
      <c r="O904" s="42" t="str">
        <f>IF(Data!V902&lt;&gt;"",N904,Data!W902)</f>
        <v>Exceso Velocidad 40 Km/h (Velocidad máxima: 42 kmh)</v>
      </c>
      <c r="P904" s="47" t="str">
        <f>Data!X902</f>
        <v>Válido</v>
      </c>
    </row>
    <row r="905" spans="1:16">
      <c r="A905" s="41" t="str">
        <f>Data!A903</f>
        <v>QLO286</v>
      </c>
      <c r="B905" s="41" t="str">
        <f>Data!D903</f>
        <v>Vehicle, Diesel, ECP 1107 Rubiales Serv. Integrales</v>
      </c>
      <c r="C905" s="41">
        <f>Data!F903</f>
        <v>0</v>
      </c>
      <c r="D905" s="41">
        <f>Data!G903</f>
        <v>0</v>
      </c>
      <c r="E905" s="41">
        <f>Data!H903</f>
        <v>0</v>
      </c>
      <c r="F905" s="41">
        <f>Data!K903</f>
        <v>0</v>
      </c>
      <c r="G905" s="33" t="str">
        <f>Data!M903</f>
        <v>Aceleración brusca (nuevo)</v>
      </c>
      <c r="H905" s="41" t="str">
        <f>Data!P903</f>
        <v>ECOPETROL RUBIALES- Quifa - CAÑO SUR: Rb 294 Finca Los Barraganes Pad 6, Puerto Gaitán, Meta, Colombia</v>
      </c>
      <c r="I905" s="42" t="str">
        <f>Data!Q903</f>
        <v>Cliente, Vel Max 40 Km/h</v>
      </c>
      <c r="J905" s="43">
        <f>Data!S903</f>
        <v>46174.337731481479</v>
      </c>
      <c r="K905" s="44">
        <f>Data!S903</f>
        <v>46174.337731481479</v>
      </c>
      <c r="L905" s="45">
        <f>Data!T903</f>
        <v>0</v>
      </c>
      <c r="M905" s="46">
        <f>Data!U903</f>
        <v>0</v>
      </c>
      <c r="N905" s="46" t="str">
        <f>CONCATENATE(Data!W903," (",Data!V903,")")</f>
        <v>Aceleración brusca (nuevo) (Clase de vehículo para métricas de seguridad: Otra clase (no estandarizada), Velocidad máxima: 8 kmh,  Ignición: 1)</v>
      </c>
      <c r="O905" s="42" t="str">
        <f>IF(Data!V903&lt;&gt;"",N905,Data!W903)</f>
        <v>Aceleración brusca (nuevo) (Clase de vehículo para métricas de seguridad: Otra clase (no estandarizada), Velocidad máxima: 8 kmh,  Ignición: 1)</v>
      </c>
      <c r="P905" s="47" t="str">
        <f>Data!X903</f>
        <v>Válido</v>
      </c>
    </row>
    <row r="906" spans="1:16">
      <c r="A906" s="41" t="str">
        <f>Data!A904</f>
        <v>QLO286</v>
      </c>
      <c r="B906" s="41" t="str">
        <f>Data!D904</f>
        <v>Vehicle, Diesel, ECP 1107 Rubiales Serv. Integrales</v>
      </c>
      <c r="C906" s="41">
        <f>Data!F904</f>
        <v>0</v>
      </c>
      <c r="D906" s="41">
        <f>Data!G904</f>
        <v>0</v>
      </c>
      <c r="E906" s="41">
        <f>Data!H904</f>
        <v>0</v>
      </c>
      <c r="F906" s="41">
        <f>Data!K904</f>
        <v>0</v>
      </c>
      <c r="G906" s="33" t="str">
        <f>Data!M904</f>
        <v>Exceso Velocidad 40 Km/h</v>
      </c>
      <c r="H906" s="41" t="str">
        <f>Data!P904</f>
        <v>ECOPETROL RUBIALES- Quifa - CAÑO SUR: Rb 294 Finca Los Barraganes Pad 6, Puerto Gaitán, Meta, Colombia</v>
      </c>
      <c r="I906" s="42" t="str">
        <f>Data!Q904</f>
        <v>Cliente, Vel Max 40 Km/h</v>
      </c>
      <c r="J906" s="43">
        <f>Data!S904</f>
        <v>46174.337829861215</v>
      </c>
      <c r="K906" s="44">
        <f>Data!S904</f>
        <v>46174.337829861215</v>
      </c>
      <c r="L906" s="45">
        <f>Data!T904</f>
        <v>2.6041666666666668E-5</v>
      </c>
      <c r="M906" s="46">
        <f>Data!U904</f>
        <v>2.4473551660776138E-2</v>
      </c>
      <c r="N906" s="46" t="str">
        <f>CONCATENATE(Data!W904," (",Data!V904,")")</f>
        <v>Exceso Velocidad 40 Km/h (Velocidad máxima: 41 kmh)</v>
      </c>
      <c r="O906" s="42" t="str">
        <f>IF(Data!V904&lt;&gt;"",N906,Data!W904)</f>
        <v>Exceso Velocidad 40 Km/h (Velocidad máxima: 41 kmh)</v>
      </c>
      <c r="P906" s="47" t="str">
        <f>Data!X904</f>
        <v>Válido</v>
      </c>
    </row>
    <row r="907" spans="1:16">
      <c r="A907" s="41" t="str">
        <f>Data!A905</f>
        <v>QLO286</v>
      </c>
      <c r="B907" s="41" t="str">
        <f>Data!D905</f>
        <v>Vehicle, Diesel, ECP 1107 Rubiales Serv. Integrales</v>
      </c>
      <c r="C907" s="41">
        <f>Data!F905</f>
        <v>0</v>
      </c>
      <c r="D907" s="41">
        <f>Data!G905</f>
        <v>0</v>
      </c>
      <c r="E907" s="41">
        <f>Data!H905</f>
        <v>0</v>
      </c>
      <c r="F907" s="41">
        <f>Data!K905</f>
        <v>0</v>
      </c>
      <c r="G907" s="33" t="str">
        <f>Data!M905</f>
        <v>Exceso Velocidad 40 Km/h</v>
      </c>
      <c r="H907" s="41" t="str">
        <f>Data!P905</f>
        <v>ECOPETROL RUBIALES- Quifa - CAÑO SUR: Rb 294 Finca Los Barraganes Pad 6, Puerto Gaitán, Meta, Colombia</v>
      </c>
      <c r="I907" s="42" t="str">
        <f>Data!Q905</f>
        <v>Cliente, Vel Max 40 Km/h</v>
      </c>
      <c r="J907" s="43">
        <f>Data!S905</f>
        <v>46174.337907986112</v>
      </c>
      <c r="K907" s="44">
        <f>Data!S905</f>
        <v>46174.337907986112</v>
      </c>
      <c r="L907" s="45">
        <f>Data!T905</f>
        <v>3.9062500000000002E-4</v>
      </c>
      <c r="M907" s="46">
        <f>Data!U905</f>
        <v>0.39155253767967224</v>
      </c>
      <c r="N907" s="46" t="str">
        <f>CONCATENATE(Data!W905," (",Data!V905,")")</f>
        <v>Exceso Velocidad 40 Km/h (Velocidad máxima: 44 kmh)</v>
      </c>
      <c r="O907" s="42" t="str">
        <f>IF(Data!V905&lt;&gt;"",N907,Data!W905)</f>
        <v>Exceso Velocidad 40 Km/h (Velocidad máxima: 44 kmh)</v>
      </c>
      <c r="P907" s="47" t="str">
        <f>Data!X905</f>
        <v>Válido</v>
      </c>
    </row>
    <row r="908" spans="1:16">
      <c r="A908" s="41" t="str">
        <f>Data!A906</f>
        <v>QLO286</v>
      </c>
      <c r="B908" s="41" t="str">
        <f>Data!D906</f>
        <v>Vehicle, Diesel, ECP 1107 Rubiales Serv. Integrales</v>
      </c>
      <c r="C908" s="41">
        <f>Data!F906</f>
        <v>0</v>
      </c>
      <c r="D908" s="41">
        <f>Data!G906</f>
        <v>0</v>
      </c>
      <c r="E908" s="41">
        <f>Data!H906</f>
        <v>0</v>
      </c>
      <c r="F908" s="41">
        <f>Data!K906</f>
        <v>0</v>
      </c>
      <c r="G908" s="33" t="str">
        <f>Data!M906</f>
        <v>Exceso Velocidad 40 Km/h</v>
      </c>
      <c r="H908" s="41" t="str">
        <f>Data!P906</f>
        <v>ECOPETROL RUBIALES- Quifa - CAÑO SUR: Rb 294 Finca Los Barraganes Pad 6, Puerto Gaitán, Meta, Colombia</v>
      </c>
      <c r="I908" s="42" t="str">
        <f>Data!Q906</f>
        <v>Cliente, Vel Max 40 Km/h</v>
      </c>
      <c r="J908" s="43">
        <f>Data!S906</f>
        <v>46174.338437500002</v>
      </c>
      <c r="K908" s="44">
        <f>Data!S906</f>
        <v>46174.338437500002</v>
      </c>
      <c r="L908" s="45">
        <f>Data!T906</f>
        <v>1.4351851851851852E-4</v>
      </c>
      <c r="M908" s="46">
        <f>Data!U906</f>
        <v>0.14656431972980499</v>
      </c>
      <c r="N908" s="46" t="str">
        <f>CONCATENATE(Data!W906," (",Data!V906,")")</f>
        <v>Exceso Velocidad 40 Km/h (Velocidad máxima: 44 kmh)</v>
      </c>
      <c r="O908" s="42" t="str">
        <f>IF(Data!V906&lt;&gt;"",N908,Data!W906)</f>
        <v>Exceso Velocidad 40 Km/h (Velocidad máxima: 44 kmh)</v>
      </c>
      <c r="P908" s="47" t="str">
        <f>Data!X906</f>
        <v>Válido</v>
      </c>
    </row>
    <row r="909" spans="1:16">
      <c r="A909" s="41" t="str">
        <f>Data!A907</f>
        <v>QLO286</v>
      </c>
      <c r="B909" s="41" t="str">
        <f>Data!D907</f>
        <v>Vehicle, Diesel, ECP 1107 Rubiales Serv. Integrales</v>
      </c>
      <c r="C909" s="41">
        <f>Data!F907</f>
        <v>0</v>
      </c>
      <c r="D909" s="41">
        <f>Data!G907</f>
        <v>0</v>
      </c>
      <c r="E909" s="41">
        <f>Data!H907</f>
        <v>0</v>
      </c>
      <c r="F909" s="41">
        <f>Data!K907</f>
        <v>0</v>
      </c>
      <c r="G909" s="33" t="str">
        <f>Data!M907</f>
        <v>Exceso Velocidad 40 Km/h</v>
      </c>
      <c r="H909" s="41" t="str">
        <f>Data!P907</f>
        <v>ECOPETROL RUBIALES- Quifa - CAÑO SUR: Rb 294 Finca Los Barraganes Pad 6, Puerto Gaitán, Meta, Colombia</v>
      </c>
      <c r="I909" s="42" t="str">
        <f>Data!Q907</f>
        <v>Cliente, Vel Max 40 Km/h</v>
      </c>
      <c r="J909" s="43">
        <f>Data!S907</f>
        <v>46174.338601192132</v>
      </c>
      <c r="K909" s="44">
        <f>Data!S907</f>
        <v>46174.338601192132</v>
      </c>
      <c r="L909" s="45">
        <f>Data!T907</f>
        <v>6.3175925925925921E-4</v>
      </c>
      <c r="M909" s="46">
        <f>Data!U907</f>
        <v>0.67902189493179321</v>
      </c>
      <c r="N909" s="46" t="str">
        <f>CONCATENATE(Data!W907," (",Data!V907,")")</f>
        <v>Exceso Velocidad 40 Km/h (Velocidad máxima: 48 kmh)</v>
      </c>
      <c r="O909" s="42" t="str">
        <f>IF(Data!V907&lt;&gt;"",N909,Data!W907)</f>
        <v>Exceso Velocidad 40 Km/h (Velocidad máxima: 48 kmh)</v>
      </c>
      <c r="P909" s="47" t="str">
        <f>Data!X907</f>
        <v>Válido</v>
      </c>
    </row>
    <row r="910" spans="1:16">
      <c r="A910" s="41" t="str">
        <f>Data!A908</f>
        <v>QLO286</v>
      </c>
      <c r="B910" s="41" t="str">
        <f>Data!D908</f>
        <v>Vehicle, Diesel, ECP 1107 Rubiales Serv. Integrales</v>
      </c>
      <c r="C910" s="41">
        <f>Data!F908</f>
        <v>0</v>
      </c>
      <c r="D910" s="41">
        <f>Data!G908</f>
        <v>0</v>
      </c>
      <c r="E910" s="41">
        <f>Data!H908</f>
        <v>0</v>
      </c>
      <c r="F910" s="41">
        <f>Data!K908</f>
        <v>0</v>
      </c>
      <c r="G910" s="33" t="str">
        <f>Data!M908</f>
        <v>Exceso Velocidad 40 Km/h</v>
      </c>
      <c r="H910" s="41" t="str">
        <f>Data!P908</f>
        <v>ECOPETROL RUBIALES- Quifa - CAÑO SUR: Rb 294 Finca Los Barraganes Pad 6, Puerto Gaitán, Meta, Colombia</v>
      </c>
      <c r="I910" s="42" t="str">
        <f>Data!Q908</f>
        <v>Cliente, Vel Max 40 Km/h</v>
      </c>
      <c r="J910" s="43">
        <f>Data!S908</f>
        <v>46174.339296550927</v>
      </c>
      <c r="K910" s="44">
        <f>Data!S908</f>
        <v>46174.339296550927</v>
      </c>
      <c r="L910" s="45">
        <f>Data!T908</f>
        <v>2.3883101851851851E-4</v>
      </c>
      <c r="M910" s="46">
        <f>Data!U908</f>
        <v>0.24783153831958771</v>
      </c>
      <c r="N910" s="46" t="str">
        <f>CONCATENATE(Data!W908," (",Data!V908,")")</f>
        <v>Exceso Velocidad 40 Km/h (Velocidad máxima: 46 kmh)</v>
      </c>
      <c r="O910" s="42" t="str">
        <f>IF(Data!V908&lt;&gt;"",N910,Data!W908)</f>
        <v>Exceso Velocidad 40 Km/h (Velocidad máxima: 46 kmh)</v>
      </c>
      <c r="P910" s="47" t="str">
        <f>Data!X908</f>
        <v>Válido</v>
      </c>
    </row>
    <row r="911" spans="1:16">
      <c r="A911" s="41" t="str">
        <f>Data!A909</f>
        <v>QLO286</v>
      </c>
      <c r="B911" s="41" t="str">
        <f>Data!D909</f>
        <v>Vehicle, Diesel, ECP 1107 Rubiales Serv. Integrales</v>
      </c>
      <c r="C911" s="41">
        <f>Data!F909</f>
        <v>0</v>
      </c>
      <c r="D911" s="41">
        <f>Data!G909</f>
        <v>0</v>
      </c>
      <c r="E911" s="41">
        <f>Data!H909</f>
        <v>0</v>
      </c>
      <c r="F911" s="41">
        <f>Data!K909</f>
        <v>0</v>
      </c>
      <c r="G911" s="33" t="str">
        <f>Data!M909</f>
        <v>Exceso Velocidad 40 Km/h</v>
      </c>
      <c r="H911" s="41" t="str">
        <f>Data!P909</f>
        <v>ECOPETROL RUBIALES- Quifa - CAÑO SUR: Rb 294 Finca Los Barraganes Pad 6, Puerto Gaitán, Meta, Colombia</v>
      </c>
      <c r="I911" s="42" t="str">
        <f>Data!Q909</f>
        <v>Cliente, Vel Max 40 Km/h</v>
      </c>
      <c r="J911" s="43">
        <f>Data!S909</f>
        <v>46174.339567905095</v>
      </c>
      <c r="K911" s="44">
        <f>Data!S909</f>
        <v>46174.339567905095</v>
      </c>
      <c r="L911" s="45">
        <f>Data!T909</f>
        <v>2.121875E-4</v>
      </c>
      <c r="M911" s="46">
        <f>Data!U909</f>
        <v>0.21166257560253143</v>
      </c>
      <c r="N911" s="46" t="str">
        <f>CONCATENATE(Data!W909," (",Data!V909,")")</f>
        <v>Exceso Velocidad 40 Km/h (Velocidad máxima: 42 kmh)</v>
      </c>
      <c r="O911" s="42" t="str">
        <f>IF(Data!V909&lt;&gt;"",N911,Data!W909)</f>
        <v>Exceso Velocidad 40 Km/h (Velocidad máxima: 42 kmh)</v>
      </c>
      <c r="P911" s="47" t="str">
        <f>Data!X909</f>
        <v>Válido</v>
      </c>
    </row>
    <row r="912" spans="1:16">
      <c r="A912" s="41" t="str">
        <f>Data!A910</f>
        <v>QLO286</v>
      </c>
      <c r="B912" s="41" t="str">
        <f>Data!D910</f>
        <v>Vehicle, Diesel, ECP 1107 Rubiales Serv. Integrales</v>
      </c>
      <c r="C912" s="41">
        <f>Data!F910</f>
        <v>0</v>
      </c>
      <c r="D912" s="41">
        <f>Data!G910</f>
        <v>0</v>
      </c>
      <c r="E912" s="41">
        <f>Data!H910</f>
        <v>0</v>
      </c>
      <c r="F912" s="41">
        <f>Data!K910</f>
        <v>0</v>
      </c>
      <c r="G912" s="33" t="str">
        <f>Data!M910</f>
        <v>Exceso Velocidad 40 Km/h</v>
      </c>
      <c r="H912" s="41" t="str">
        <f>Data!P910</f>
        <v>ECOPETROL RUBIALES- Quifa - CAÑO SUR: Rb 294 Finca Los Barraganes Pad 6, Puerto Gaitán, Meta, Colombia</v>
      </c>
      <c r="I912" s="42" t="str">
        <f>Data!Q910</f>
        <v>Cliente, Vel Max 40 Km/h</v>
      </c>
      <c r="J912" s="43">
        <f>Data!S910</f>
        <v>46174.339892361109</v>
      </c>
      <c r="K912" s="44">
        <f>Data!S910</f>
        <v>46174.339892361109</v>
      </c>
      <c r="L912" s="45">
        <f>Data!T910</f>
        <v>1.2152777777777777E-5</v>
      </c>
      <c r="M912" s="46">
        <f>Data!U910</f>
        <v>1.1267309077084064E-2</v>
      </c>
      <c r="N912" s="46" t="str">
        <f>CONCATENATE(Data!W910," (",Data!V910,")")</f>
        <v>Exceso Velocidad 40 Km/h (Velocidad máxima: 41 kmh)</v>
      </c>
      <c r="O912" s="42" t="str">
        <f>IF(Data!V910&lt;&gt;"",N912,Data!W910)</f>
        <v>Exceso Velocidad 40 Km/h (Velocidad máxima: 41 kmh)</v>
      </c>
      <c r="P912" s="47" t="str">
        <f>Data!X910</f>
        <v>Válido</v>
      </c>
    </row>
    <row r="913" spans="1:16">
      <c r="A913" s="41" t="str">
        <f>Data!A911</f>
        <v>QLO286</v>
      </c>
      <c r="B913" s="41" t="str">
        <f>Data!D911</f>
        <v>Vehicle, Diesel, ECP 1107 Rubiales Serv. Integrales</v>
      </c>
      <c r="C913" s="41">
        <f>Data!F911</f>
        <v>0</v>
      </c>
      <c r="D913" s="41">
        <f>Data!G911</f>
        <v>0</v>
      </c>
      <c r="E913" s="41">
        <f>Data!H911</f>
        <v>0</v>
      </c>
      <c r="F913" s="41">
        <f>Data!K911</f>
        <v>0</v>
      </c>
      <c r="G913" s="33" t="str">
        <f>Data!M911</f>
        <v>Exceso Velocidad 40 Km/h</v>
      </c>
      <c r="H913" s="41" t="str">
        <f>Data!P911</f>
        <v>ECOPETROL RUBIALES- Quifa - CAÑO SUR: Rb 294 Finca Los Barraganes Pad 6, Puerto Gaitán, Meta, Colombia</v>
      </c>
      <c r="I913" s="42" t="str">
        <f>Data!Q911</f>
        <v>Cliente, Vel Max 40 Km/h</v>
      </c>
      <c r="J913" s="43">
        <f>Data!S911</f>
        <v>46174.339956597221</v>
      </c>
      <c r="K913" s="44">
        <f>Data!S911</f>
        <v>46174.339956597221</v>
      </c>
      <c r="L913" s="45">
        <f>Data!T911</f>
        <v>2.3819444444444443E-5</v>
      </c>
      <c r="M913" s="46">
        <f>Data!U911</f>
        <v>2.2346997633576393E-2</v>
      </c>
      <c r="N913" s="46" t="str">
        <f>CONCATENATE(Data!W911," (",Data!V911,")")</f>
        <v>Exceso Velocidad 40 Km/h (Velocidad máxima: 42 kmh)</v>
      </c>
      <c r="O913" s="42" t="str">
        <f>IF(Data!V911&lt;&gt;"",N913,Data!W911)</f>
        <v>Exceso Velocidad 40 Km/h (Velocidad máxima: 42 kmh)</v>
      </c>
      <c r="P913" s="47" t="str">
        <f>Data!X911</f>
        <v>Válido</v>
      </c>
    </row>
    <row r="914" spans="1:16">
      <c r="A914" s="41" t="str">
        <f>Data!A912</f>
        <v>QLO286</v>
      </c>
      <c r="B914" s="41" t="str">
        <f>Data!D912</f>
        <v>Vehicle, Diesel, ECP 1107 Rubiales Serv. Integrales</v>
      </c>
      <c r="C914" s="41">
        <f>Data!F912</f>
        <v>0</v>
      </c>
      <c r="D914" s="41">
        <f>Data!G912</f>
        <v>0</v>
      </c>
      <c r="E914" s="41">
        <f>Data!H912</f>
        <v>0</v>
      </c>
      <c r="F914" s="41">
        <f>Data!K912</f>
        <v>0</v>
      </c>
      <c r="G914" s="33" t="str">
        <f>Data!M912</f>
        <v>Exceso Velocidad 40 Km/h</v>
      </c>
      <c r="H914" s="41" t="str">
        <f>Data!P912</f>
        <v>ECOPETROL RUBIALES- Quifa - CAÑO SUR: Rb 294 Finca Los Barraganes Pad 6, Puerto Gaitán, Meta, Colombia</v>
      </c>
      <c r="I914" s="42" t="str">
        <f>Data!Q912</f>
        <v>Cliente, Vel Max 40 Km/h</v>
      </c>
      <c r="J914" s="43">
        <f>Data!S912</f>
        <v>46174.340083437499</v>
      </c>
      <c r="K914" s="44">
        <f>Data!S912</f>
        <v>46174.340083437499</v>
      </c>
      <c r="L914" s="45">
        <f>Data!T912</f>
        <v>2.2327546296296296E-4</v>
      </c>
      <c r="M914" s="46">
        <f>Data!U912</f>
        <v>0.22440631687641144</v>
      </c>
      <c r="N914" s="46" t="str">
        <f>CONCATENATE(Data!W912," (",Data!V912,")")</f>
        <v>Exceso Velocidad 40 Km/h (Velocidad máxima: 42 kmh)</v>
      </c>
      <c r="O914" s="42" t="str">
        <f>IF(Data!V912&lt;&gt;"",N914,Data!W912)</f>
        <v>Exceso Velocidad 40 Km/h (Velocidad máxima: 42 kmh)</v>
      </c>
      <c r="P914" s="47" t="str">
        <f>Data!X912</f>
        <v>Válido</v>
      </c>
    </row>
    <row r="915" spans="1:16">
      <c r="A915" s="41" t="str">
        <f>Data!A913</f>
        <v>QLO286</v>
      </c>
      <c r="B915" s="41" t="str">
        <f>Data!D913</f>
        <v>Vehicle, Diesel, ECP 1107 Rubiales Serv. Integrales</v>
      </c>
      <c r="C915" s="41">
        <f>Data!F913</f>
        <v>0</v>
      </c>
      <c r="D915" s="41">
        <f>Data!G913</f>
        <v>0</v>
      </c>
      <c r="E915" s="41">
        <f>Data!H913</f>
        <v>0</v>
      </c>
      <c r="F915" s="41">
        <f>Data!K913</f>
        <v>0</v>
      </c>
      <c r="G915" s="33" t="str">
        <f>Data!M913</f>
        <v>Exceso Velocidad 40 Km/h</v>
      </c>
      <c r="H915" s="41" t="str">
        <f>Data!P913</f>
        <v>ECOPETROL RUBIALES- Quifa - CAÑO SUR: Vía Sin Nombre, Puerto Gaitán, Meta, Colombia</v>
      </c>
      <c r="I915" s="42" t="str">
        <f>Data!Q913</f>
        <v>Cliente, Vel Max 40 Km/h</v>
      </c>
      <c r="J915" s="43">
        <f>Data!S913</f>
        <v>46174.340516006945</v>
      </c>
      <c r="K915" s="44">
        <f>Data!S913</f>
        <v>46174.340516006945</v>
      </c>
      <c r="L915" s="45">
        <f>Data!T913</f>
        <v>1.0320601851851852E-4</v>
      </c>
      <c r="M915" s="46">
        <f>Data!U913</f>
        <v>0.10108663141727448</v>
      </c>
      <c r="N915" s="46" t="str">
        <f>CONCATENATE(Data!W913," (",Data!V913,")")</f>
        <v>Exceso Velocidad 40 Km/h (Velocidad máxima: 41 kmh)</v>
      </c>
      <c r="O915" s="42" t="str">
        <f>IF(Data!V913&lt;&gt;"",N915,Data!W913)</f>
        <v>Exceso Velocidad 40 Km/h (Velocidad máxima: 41 kmh)</v>
      </c>
      <c r="P915" s="47" t="str">
        <f>Data!X913</f>
        <v>Válido</v>
      </c>
    </row>
    <row r="916" spans="1:16">
      <c r="A916" s="41" t="str">
        <f>Data!A914</f>
        <v>QLO286</v>
      </c>
      <c r="B916" s="41" t="str">
        <f>Data!D914</f>
        <v>Vehicle, Diesel, ECP 1107 Rubiales Serv. Integrales</v>
      </c>
      <c r="C916" s="41">
        <f>Data!F914</f>
        <v>0</v>
      </c>
      <c r="D916" s="41">
        <f>Data!G914</f>
        <v>0</v>
      </c>
      <c r="E916" s="41">
        <f>Data!H914</f>
        <v>0</v>
      </c>
      <c r="F916" s="41">
        <f>Data!K914</f>
        <v>0</v>
      </c>
      <c r="G916" s="33" t="str">
        <f>Data!M914</f>
        <v>Exceso Velocidad 40 Km/h</v>
      </c>
      <c r="H916" s="41" t="str">
        <f>Data!P914</f>
        <v>ECOPETROL RUBIALES- Quifa - CAÑO SUR: Vía Sin Nombre, Puerto Gaitán, Meta, Colombia</v>
      </c>
      <c r="I916" s="42" t="str">
        <f>Data!Q914</f>
        <v>Cliente, Vel Max 40 Km/h</v>
      </c>
      <c r="J916" s="43">
        <f>Data!S914</f>
        <v>46174.340694444443</v>
      </c>
      <c r="K916" s="44">
        <f>Data!S914</f>
        <v>46174.340694444443</v>
      </c>
      <c r="L916" s="45">
        <f>Data!T914</f>
        <v>1.1574074074074075E-4</v>
      </c>
      <c r="M916" s="46">
        <f>Data!U914</f>
        <v>0.10981009155511856</v>
      </c>
      <c r="N916" s="46" t="str">
        <f>CONCATENATE(Data!W914," (",Data!V914,")")</f>
        <v>Exceso Velocidad 40 Km/h (Velocidad máxima: 41 kmh)</v>
      </c>
      <c r="O916" s="42" t="str">
        <f>IF(Data!V914&lt;&gt;"",N916,Data!W914)</f>
        <v>Exceso Velocidad 40 Km/h (Velocidad máxima: 41 kmh)</v>
      </c>
      <c r="P916" s="47" t="str">
        <f>Data!X914</f>
        <v>Válido</v>
      </c>
    </row>
    <row r="917" spans="1:16">
      <c r="A917" s="41" t="str">
        <f>Data!A915</f>
        <v>QLO286</v>
      </c>
      <c r="B917" s="41" t="str">
        <f>Data!D915</f>
        <v>Vehicle, Diesel, ECP 1107 Rubiales Serv. Integrales</v>
      </c>
      <c r="C917" s="41">
        <f>Data!F915</f>
        <v>0</v>
      </c>
      <c r="D917" s="41">
        <f>Data!G915</f>
        <v>0</v>
      </c>
      <c r="E917" s="41">
        <f>Data!H915</f>
        <v>0</v>
      </c>
      <c r="F917" s="41">
        <f>Data!K915</f>
        <v>0</v>
      </c>
      <c r="G917" s="33" t="str">
        <f>Data!M915</f>
        <v>Aceleración brusca (nuevo)</v>
      </c>
      <c r="H917" s="41" t="str">
        <f>Data!P915</f>
        <v>ECOPETROL RUBIALES- Quifa - CAÑO SUR: Vía Sin Nombre, Puerto Gaitán, Meta, Colombia</v>
      </c>
      <c r="I917" s="42" t="str">
        <f>Data!Q915</f>
        <v>Cliente, Vel Max 40 Km/h</v>
      </c>
      <c r="J917" s="43">
        <f>Data!S915</f>
        <v>46174.343900462962</v>
      </c>
      <c r="K917" s="44">
        <f>Data!S915</f>
        <v>46174.343900462962</v>
      </c>
      <c r="L917" s="45">
        <f>Data!T915</f>
        <v>0</v>
      </c>
      <c r="M917" s="46">
        <f>Data!U915</f>
        <v>0</v>
      </c>
      <c r="N917" s="46" t="str">
        <f>CONCATENATE(Data!W915," (",Data!V915,")")</f>
        <v>Aceleración brusca (nuevo) (Clase de vehículo para métricas de seguridad: Otra clase (no estandarizada), Velocidad máxima: 0 kmh,  Ignición: 1)</v>
      </c>
      <c r="O917" s="42" t="str">
        <f>IF(Data!V915&lt;&gt;"",N917,Data!W915)</f>
        <v>Aceleración brusca (nuevo) (Clase de vehículo para métricas de seguridad: Otra clase (no estandarizada), Velocidad máxima: 0 kmh,  Ignición: 1)</v>
      </c>
      <c r="P917" s="47" t="str">
        <f>Data!X915</f>
        <v>Válido</v>
      </c>
    </row>
    <row r="918" spans="1:16">
      <c r="A918" s="41" t="str">
        <f>Data!A916</f>
        <v>QLO286</v>
      </c>
      <c r="B918" s="41" t="str">
        <f>Data!D916</f>
        <v>Vehicle, Diesel, ECP 1107 Rubiales Serv. Integrales</v>
      </c>
      <c r="C918" s="41">
        <f>Data!F916</f>
        <v>0</v>
      </c>
      <c r="D918" s="41">
        <f>Data!G916</f>
        <v>0</v>
      </c>
      <c r="E918" s="41">
        <f>Data!H916</f>
        <v>0</v>
      </c>
      <c r="F918" s="41">
        <f>Data!K916</f>
        <v>0</v>
      </c>
      <c r="G918" s="33" t="str">
        <f>Data!M916</f>
        <v>Exceso Velocidad 40 Km/h</v>
      </c>
      <c r="H918" s="41" t="str">
        <f>Data!P916</f>
        <v>ECOPETROL RUBIALES- Quifa - CAÑO SUR: Vía Sin Nombre, Puerto Gaitán, Meta, Colombia</v>
      </c>
      <c r="I918" s="42" t="str">
        <f>Data!Q916</f>
        <v>Cliente, Vel Max 40 Km/h</v>
      </c>
      <c r="J918" s="43">
        <f>Data!S916</f>
        <v>46174.3460937501</v>
      </c>
      <c r="K918" s="44">
        <f>Data!S916</f>
        <v>46174.3460937501</v>
      </c>
      <c r="L918" s="45">
        <f>Data!T916</f>
        <v>1.0271990740740741E-4</v>
      </c>
      <c r="M918" s="46">
        <f>Data!U916</f>
        <v>9.8140604794025421E-2</v>
      </c>
      <c r="N918" s="46" t="str">
        <f>CONCATENATE(Data!W916," (",Data!V916,")")</f>
        <v>Exceso Velocidad 40 Km/h (Velocidad máxima: 41 kmh)</v>
      </c>
      <c r="O918" s="42" t="str">
        <f>IF(Data!V916&lt;&gt;"",N918,Data!W916)</f>
        <v>Exceso Velocidad 40 Km/h (Velocidad máxima: 41 kmh)</v>
      </c>
      <c r="P918" s="47" t="str">
        <f>Data!X916</f>
        <v>Válido</v>
      </c>
    </row>
    <row r="919" spans="1:16">
      <c r="A919" s="41" t="str">
        <f>Data!A917</f>
        <v>QLO286</v>
      </c>
      <c r="B919" s="41" t="str">
        <f>Data!D917</f>
        <v>Vehicle, Diesel, ECP 1107 Rubiales Serv. Integrales</v>
      </c>
      <c r="C919" s="41">
        <f>Data!F917</f>
        <v>0</v>
      </c>
      <c r="D919" s="41">
        <f>Data!G917</f>
        <v>0</v>
      </c>
      <c r="E919" s="41">
        <f>Data!H917</f>
        <v>0</v>
      </c>
      <c r="F919" s="41">
        <f>Data!K917</f>
        <v>0</v>
      </c>
      <c r="G919" s="33" t="str">
        <f>Data!M917</f>
        <v>Exceso Velocidad 40 Km/h</v>
      </c>
      <c r="H919" s="41" t="str">
        <f>Data!P917</f>
        <v>ECOPETROL RUBIALES- Quifa - CAÑO SUR: Vía Sin Nombre, Puerto Gaitán, Meta, Colombia</v>
      </c>
      <c r="I919" s="42" t="str">
        <f>Data!Q917</f>
        <v>Cliente, Vel Max 40 Km/h</v>
      </c>
      <c r="J919" s="43">
        <f>Data!S917</f>
        <v>46174.346417187502</v>
      </c>
      <c r="K919" s="44">
        <f>Data!S917</f>
        <v>46174.346417187502</v>
      </c>
      <c r="L919" s="45">
        <f>Data!T917</f>
        <v>2.2633101851851853E-4</v>
      </c>
      <c r="M919" s="46">
        <f>Data!U917</f>
        <v>0.23169803619384766</v>
      </c>
      <c r="N919" s="46" t="str">
        <f>CONCATENATE(Data!W917," (",Data!V917,")")</f>
        <v>Exceso Velocidad 40 Km/h (Velocidad máxima: 42 kmh)</v>
      </c>
      <c r="O919" s="42" t="str">
        <f>IF(Data!V917&lt;&gt;"",N919,Data!W917)</f>
        <v>Exceso Velocidad 40 Km/h (Velocidad máxima: 42 kmh)</v>
      </c>
      <c r="P919" s="47" t="str">
        <f>Data!X917</f>
        <v>Válido</v>
      </c>
    </row>
    <row r="920" spans="1:16">
      <c r="A920" s="41" t="str">
        <f>Data!A918</f>
        <v>QLO286</v>
      </c>
      <c r="B920" s="41" t="str">
        <f>Data!D918</f>
        <v>Vehicle, Diesel, ECP 1107 Rubiales Serv. Integrales</v>
      </c>
      <c r="C920" s="41">
        <f>Data!F918</f>
        <v>0</v>
      </c>
      <c r="D920" s="41">
        <f>Data!G918</f>
        <v>0</v>
      </c>
      <c r="E920" s="41">
        <f>Data!H918</f>
        <v>0</v>
      </c>
      <c r="F920" s="41">
        <f>Data!K918</f>
        <v>0</v>
      </c>
      <c r="G920" s="33" t="str">
        <f>Data!M918</f>
        <v>Exceso Velocidad 40 Km/h</v>
      </c>
      <c r="H920" s="41" t="str">
        <f>Data!P918</f>
        <v>ECOPETROL RUBIALES- Quifa - CAÑO SUR: Rb 294 Finca Los Barraganes Pad 6, Puerto Gaitán, Meta, Colombia</v>
      </c>
      <c r="I920" s="42" t="str">
        <f>Data!Q918</f>
        <v>Cliente, Vel Max 40 Km/h</v>
      </c>
      <c r="J920" s="43">
        <f>Data!S918</f>
        <v>46174.346811342693</v>
      </c>
      <c r="K920" s="44">
        <f>Data!S918</f>
        <v>46174.346811342693</v>
      </c>
      <c r="L920" s="45">
        <f>Data!T918</f>
        <v>9.2592592592592591E-6</v>
      </c>
      <c r="M920" s="46">
        <f>Data!U918</f>
        <v>8.2753505557775497E-3</v>
      </c>
      <c r="N920" s="46" t="str">
        <f>CONCATENATE(Data!W918," (",Data!V918,")")</f>
        <v>Exceso Velocidad 40 Km/h (Velocidad máxima: 41 kmh)</v>
      </c>
      <c r="O920" s="42" t="str">
        <f>IF(Data!V918&lt;&gt;"",N920,Data!W918)</f>
        <v>Exceso Velocidad 40 Km/h (Velocidad máxima: 41 kmh)</v>
      </c>
      <c r="P920" s="47" t="str">
        <f>Data!X918</f>
        <v>Válido</v>
      </c>
    </row>
    <row r="921" spans="1:16">
      <c r="A921" s="41" t="str">
        <f>Data!A919</f>
        <v>QLO286</v>
      </c>
      <c r="B921" s="41" t="str">
        <f>Data!D919</f>
        <v>Vehicle, Diesel, ECP 1107 Rubiales Serv. Integrales</v>
      </c>
      <c r="C921" s="41">
        <f>Data!F919</f>
        <v>0</v>
      </c>
      <c r="D921" s="41">
        <f>Data!G919</f>
        <v>0</v>
      </c>
      <c r="E921" s="41">
        <f>Data!H919</f>
        <v>0</v>
      </c>
      <c r="F921" s="41">
        <f>Data!K919</f>
        <v>0</v>
      </c>
      <c r="G921" s="33" t="str">
        <f>Data!M919</f>
        <v>Exceso Velocidad 40 Km/h</v>
      </c>
      <c r="H921" s="41" t="str">
        <f>Data!P919</f>
        <v>ECOPETROL RUBIALES- Quifa - CAÑO SUR: Rb 294 Finca Los Barraganes Pad 6, Puerto Gaitán, Meta, Colombia</v>
      </c>
      <c r="I921" s="42" t="str">
        <f>Data!Q919</f>
        <v>Cliente, Vel Max 40 Km/h</v>
      </c>
      <c r="J921" s="43">
        <f>Data!S919</f>
        <v>46174.346953125001</v>
      </c>
      <c r="K921" s="44">
        <f>Data!S919</f>
        <v>46174.346953125001</v>
      </c>
      <c r="L921" s="45">
        <f>Data!T919</f>
        <v>4.5942129629629631E-4</v>
      </c>
      <c r="M921" s="46">
        <f>Data!U919</f>
        <v>0.46665877103805542</v>
      </c>
      <c r="N921" s="46" t="str">
        <f>CONCATENATE(Data!W919," (",Data!V919,")")</f>
        <v>Exceso Velocidad 40 Km/h (Velocidad máxima: 44 kmh)</v>
      </c>
      <c r="O921" s="42" t="str">
        <f>IF(Data!V919&lt;&gt;"",N921,Data!W919)</f>
        <v>Exceso Velocidad 40 Km/h (Velocidad máxima: 44 kmh)</v>
      </c>
      <c r="P921" s="47" t="str">
        <f>Data!X919</f>
        <v>Válido</v>
      </c>
    </row>
    <row r="922" spans="1:16">
      <c r="A922" s="41" t="str">
        <f>Data!A920</f>
        <v>QLO286</v>
      </c>
      <c r="B922" s="41" t="str">
        <f>Data!D920</f>
        <v>Vehicle, Diesel, ECP 1107 Rubiales Serv. Integrales</v>
      </c>
      <c r="C922" s="41">
        <f>Data!F920</f>
        <v>0</v>
      </c>
      <c r="D922" s="41">
        <f>Data!G920</f>
        <v>0</v>
      </c>
      <c r="E922" s="41">
        <f>Data!H920</f>
        <v>0</v>
      </c>
      <c r="F922" s="41">
        <f>Data!K920</f>
        <v>0</v>
      </c>
      <c r="G922" s="33" t="str">
        <f>Data!M920</f>
        <v>Exceso Velocidad 40 Km/h</v>
      </c>
      <c r="H922" s="41" t="str">
        <f>Data!P920</f>
        <v>ECOPETROL RUBIALES- Quifa - CAÑO SUR: Rb 294 Finca Los Barraganes Pad 6, Puerto Gaitán, Meta, Colombia</v>
      </c>
      <c r="I922" s="42" t="str">
        <f>Data!Q920</f>
        <v>Cliente, Vel Max 40 Km/h</v>
      </c>
      <c r="J922" s="43">
        <f>Data!S920</f>
        <v>46174.34752314815</v>
      </c>
      <c r="K922" s="44">
        <f>Data!S920</f>
        <v>46174.34752314815</v>
      </c>
      <c r="L922" s="45">
        <f>Data!T920</f>
        <v>6.157407407407407E-4</v>
      </c>
      <c r="M922" s="46">
        <f>Data!U920</f>
        <v>0.64127147197723389</v>
      </c>
      <c r="N922" s="46" t="str">
        <f>CONCATENATE(Data!W920," (",Data!V920,")")</f>
        <v>Exceso Velocidad 40 Km/h (Velocidad máxima: 44 kmh)</v>
      </c>
      <c r="O922" s="42" t="str">
        <f>IF(Data!V920&lt;&gt;"",N922,Data!W920)</f>
        <v>Exceso Velocidad 40 Km/h (Velocidad máxima: 44 kmh)</v>
      </c>
      <c r="P922" s="47" t="str">
        <f>Data!X920</f>
        <v>Válido</v>
      </c>
    </row>
    <row r="923" spans="1:16">
      <c r="A923" s="41" t="str">
        <f>Data!A921</f>
        <v>QLO286</v>
      </c>
      <c r="B923" s="41" t="str">
        <f>Data!D921</f>
        <v>Vehicle, Diesel, ECP 1107 Rubiales Serv. Integrales</v>
      </c>
      <c r="C923" s="41">
        <f>Data!F921</f>
        <v>0</v>
      </c>
      <c r="D923" s="41">
        <f>Data!G921</f>
        <v>0</v>
      </c>
      <c r="E923" s="41">
        <f>Data!H921</f>
        <v>0</v>
      </c>
      <c r="F923" s="41">
        <f>Data!K921</f>
        <v>0</v>
      </c>
      <c r="G923" s="33" t="str">
        <f>Data!M921</f>
        <v>Exceso Velocidad 40 Km/h</v>
      </c>
      <c r="H923" s="41" t="str">
        <f>Data!P921</f>
        <v>ECOPETROL RUBIALES- Quifa - CAÑO SUR: Rb 294 Finca Los Barraganes Pad 6, Puerto Gaitán, Meta, Colombia</v>
      </c>
      <c r="I923" s="42" t="str">
        <f>Data!Q921</f>
        <v>Cliente, Vel Max 40 Km/h</v>
      </c>
      <c r="J923" s="43">
        <f>Data!S921</f>
        <v>46174.34824363426</v>
      </c>
      <c r="K923" s="44">
        <f>Data!S921</f>
        <v>46174.34824363426</v>
      </c>
      <c r="L923" s="45">
        <f>Data!T921</f>
        <v>5.7581018518518517E-4</v>
      </c>
      <c r="M923" s="46">
        <f>Data!U921</f>
        <v>0.59306156635284424</v>
      </c>
      <c r="N923" s="46" t="str">
        <f>CONCATENATE(Data!W921," (",Data!V921,")")</f>
        <v>Exceso Velocidad 40 Km/h (Velocidad máxima: 44 kmh)</v>
      </c>
      <c r="O923" s="42" t="str">
        <f>IF(Data!V921&lt;&gt;"",N923,Data!W921)</f>
        <v>Exceso Velocidad 40 Km/h (Velocidad máxima: 44 kmh)</v>
      </c>
      <c r="P923" s="47" t="str">
        <f>Data!X921</f>
        <v>Válido</v>
      </c>
    </row>
    <row r="924" spans="1:16">
      <c r="A924" s="41" t="str">
        <f>Data!A922</f>
        <v>QLO286</v>
      </c>
      <c r="B924" s="41" t="str">
        <f>Data!D922</f>
        <v>Vehicle, Diesel, ECP 1107 Rubiales Serv. Integrales</v>
      </c>
      <c r="C924" s="41">
        <f>Data!F922</f>
        <v>0</v>
      </c>
      <c r="D924" s="41">
        <f>Data!G922</f>
        <v>0</v>
      </c>
      <c r="E924" s="41">
        <f>Data!H922</f>
        <v>0</v>
      </c>
      <c r="F924" s="41">
        <f>Data!K922</f>
        <v>0</v>
      </c>
      <c r="G924" s="33" t="str">
        <f>Data!M922</f>
        <v>Exceso Velocidad 40 Km/h</v>
      </c>
      <c r="H924" s="41" t="str">
        <f>Data!P922</f>
        <v>ECOPETROL RUBIALES- Quifa - CAÑO SUR: Rb 294 Finca Los Barraganes Pad 6, Puerto Gaitán, Meta, Colombia</v>
      </c>
      <c r="I924" s="42" t="str">
        <f>Data!Q922</f>
        <v>Cliente, Vel Max 40 Km/h</v>
      </c>
      <c r="J924" s="43">
        <f>Data!S922</f>
        <v>46174.348944444442</v>
      </c>
      <c r="K924" s="44">
        <f>Data!S922</f>
        <v>46174.348944444442</v>
      </c>
      <c r="L924" s="45">
        <f>Data!T922</f>
        <v>4.1097222222222224E-4</v>
      </c>
      <c r="M924" s="46">
        <f>Data!U922</f>
        <v>0.43625921010971069</v>
      </c>
      <c r="N924" s="46" t="str">
        <f>CONCATENATE(Data!W922," (",Data!V922,")")</f>
        <v>Exceso Velocidad 40 Km/h (Velocidad máxima: 46 kmh)</v>
      </c>
      <c r="O924" s="42" t="str">
        <f>IF(Data!V922&lt;&gt;"",N924,Data!W922)</f>
        <v>Exceso Velocidad 40 Km/h (Velocidad máxima: 46 kmh)</v>
      </c>
      <c r="P924" s="47" t="str">
        <f>Data!X922</f>
        <v>Válido</v>
      </c>
    </row>
    <row r="925" spans="1:16">
      <c r="A925" s="41" t="str">
        <f>Data!A923</f>
        <v>QLO286</v>
      </c>
      <c r="B925" s="41" t="str">
        <f>Data!D923</f>
        <v>Vehicle, Diesel, ECP 1107 Rubiales Serv. Integrales</v>
      </c>
      <c r="C925" s="41">
        <f>Data!F923</f>
        <v>0</v>
      </c>
      <c r="D925" s="41">
        <f>Data!G923</f>
        <v>0</v>
      </c>
      <c r="E925" s="41">
        <f>Data!H923</f>
        <v>0</v>
      </c>
      <c r="F925" s="41">
        <f>Data!K923</f>
        <v>0</v>
      </c>
      <c r="G925" s="33" t="str">
        <f>Data!M923</f>
        <v>Exceso Velocidad 40 Km/h</v>
      </c>
      <c r="H925" s="41" t="str">
        <f>Data!P923</f>
        <v>ECOPETROL RUBIALES- Quifa - CAÑO SUR: Rb 534 Finca La Pradera, Puerto Gaitán, Meta, Colombia</v>
      </c>
      <c r="I925" s="42" t="str">
        <f>Data!Q923</f>
        <v>Cliente, Vel Max 40 Km/h</v>
      </c>
      <c r="J925" s="43">
        <f>Data!S923</f>
        <v>46174.34960069455</v>
      </c>
      <c r="K925" s="44">
        <f>Data!S923</f>
        <v>46174.34960069455</v>
      </c>
      <c r="L925" s="45">
        <f>Data!T923</f>
        <v>1.1863425925925926E-4</v>
      </c>
      <c r="M925" s="46">
        <f>Data!U923</f>
        <v>0.11451838910579681</v>
      </c>
      <c r="N925" s="46" t="str">
        <f>CONCATENATE(Data!W923," (",Data!V923,")")</f>
        <v>Exceso Velocidad 40 Km/h (Velocidad máxima: 41 kmh)</v>
      </c>
      <c r="O925" s="42" t="str">
        <f>IF(Data!V923&lt;&gt;"",N925,Data!W923)</f>
        <v>Exceso Velocidad 40 Km/h (Velocidad máxima: 41 kmh)</v>
      </c>
      <c r="P925" s="47" t="str">
        <f>Data!X923</f>
        <v>Válido</v>
      </c>
    </row>
    <row r="926" spans="1:16">
      <c r="A926" s="41" t="str">
        <f>Data!A924</f>
        <v>QLO286</v>
      </c>
      <c r="B926" s="41" t="str">
        <f>Data!D924</f>
        <v>Vehicle, Diesel, ECP 1107 Rubiales Serv. Integrales</v>
      </c>
      <c r="C926" s="41">
        <f>Data!F924</f>
        <v>0</v>
      </c>
      <c r="D926" s="41">
        <f>Data!G924</f>
        <v>0</v>
      </c>
      <c r="E926" s="41">
        <f>Data!H924</f>
        <v>0</v>
      </c>
      <c r="F926" s="41">
        <f>Data!K924</f>
        <v>0</v>
      </c>
      <c r="G926" s="33" t="str">
        <f>Data!M924</f>
        <v>Exceso Velocidad 40 Km/h</v>
      </c>
      <c r="H926" s="41" t="str">
        <f>Data!P924</f>
        <v>ECOPETROL RUBIALES- Quifa - CAÑO SUR: Rb 534 Finca La Pradera, Puerto Gaitán, Meta, Colombia</v>
      </c>
      <c r="I926" s="42" t="str">
        <f>Data!Q924</f>
        <v>Cliente, Vel Max 40 Km/h</v>
      </c>
      <c r="J926" s="43">
        <f>Data!S924</f>
        <v>46174.349868055557</v>
      </c>
      <c r="K926" s="44">
        <f>Data!S924</f>
        <v>46174.349868055557</v>
      </c>
      <c r="L926" s="45">
        <f>Data!T924</f>
        <v>5.3819444444444444E-5</v>
      </c>
      <c r="M926" s="46">
        <f>Data!U924</f>
        <v>5.1601000130176544E-2</v>
      </c>
      <c r="N926" s="46" t="str">
        <f>CONCATENATE(Data!W924," (",Data!V924,")")</f>
        <v>Exceso Velocidad 40 Km/h (Velocidad máxima: 41 kmh)</v>
      </c>
      <c r="O926" s="42" t="str">
        <f>IF(Data!V924&lt;&gt;"",N926,Data!W924)</f>
        <v>Exceso Velocidad 40 Km/h (Velocidad máxima: 41 kmh)</v>
      </c>
      <c r="P926" s="47" t="str">
        <f>Data!X924</f>
        <v>Válido</v>
      </c>
    </row>
    <row r="927" spans="1:16">
      <c r="A927" s="41" t="str">
        <f>Data!A925</f>
        <v>QLO286</v>
      </c>
      <c r="B927" s="41" t="str">
        <f>Data!D925</f>
        <v>Vehicle, Diesel, ECP 1107 Rubiales Serv. Integrales</v>
      </c>
      <c r="C927" s="41">
        <f>Data!F925</f>
        <v>0</v>
      </c>
      <c r="D927" s="41">
        <f>Data!G925</f>
        <v>0</v>
      </c>
      <c r="E927" s="41">
        <f>Data!H925</f>
        <v>0</v>
      </c>
      <c r="F927" s="41">
        <f>Data!K925</f>
        <v>0</v>
      </c>
      <c r="G927" s="33" t="str">
        <f>Data!M925</f>
        <v>Exceso Velocidad 40 Km/h</v>
      </c>
      <c r="H927" s="41" t="str">
        <f>Data!P925</f>
        <v>ECOPETROL RUBIALES- Quifa - CAÑO SUR: Rb 534 Finca La Pradera, Puerto Gaitán, Meta, Colombia</v>
      </c>
      <c r="I927" s="42" t="str">
        <f>Data!Q925</f>
        <v>Cliente, Vel Max 40 Km/h</v>
      </c>
      <c r="J927" s="43">
        <f>Data!S925</f>
        <v>46174.353252314817</v>
      </c>
      <c r="K927" s="44">
        <f>Data!S925</f>
        <v>46174.353252314817</v>
      </c>
      <c r="L927" s="45">
        <f>Data!T925</f>
        <v>6.9444444444444444E-5</v>
      </c>
      <c r="M927" s="46">
        <f>Data!U925</f>
        <v>6.5364517271518707E-2</v>
      </c>
      <c r="N927" s="46" t="str">
        <f>CONCATENATE(Data!W925," (",Data!V925,")")</f>
        <v>Exceso Velocidad 40 Km/h (Velocidad máxima: 41 kmh)</v>
      </c>
      <c r="O927" s="42" t="str">
        <f>IF(Data!V925&lt;&gt;"",N927,Data!W925)</f>
        <v>Exceso Velocidad 40 Km/h (Velocidad máxima: 41 kmh)</v>
      </c>
      <c r="P927" s="47" t="str">
        <f>Data!X925</f>
        <v>Válido</v>
      </c>
    </row>
    <row r="928" spans="1:16">
      <c r="A928" s="41" t="str">
        <f>Data!A926</f>
        <v>QLO286</v>
      </c>
      <c r="B928" s="41" t="str">
        <f>Data!D926</f>
        <v>Vehicle, Diesel, ECP 1107 Rubiales Serv. Integrales</v>
      </c>
      <c r="C928" s="41">
        <f>Data!F926</f>
        <v>0</v>
      </c>
      <c r="D928" s="41">
        <f>Data!G926</f>
        <v>0</v>
      </c>
      <c r="E928" s="41">
        <f>Data!H926</f>
        <v>0</v>
      </c>
      <c r="F928" s="41">
        <f>Data!K926</f>
        <v>0</v>
      </c>
      <c r="G928" s="33" t="str">
        <f>Data!M926</f>
        <v>Exceso Velocidad 40 Km/h</v>
      </c>
      <c r="H928" s="41" t="str">
        <f>Data!P926</f>
        <v>ECOPETROL RUBIALES- Quifa - CAÑO SUR: Rb 534 Finca La Pradera, Puerto Gaitán, Meta, Colombia</v>
      </c>
      <c r="I928" s="42" t="str">
        <f>Data!Q926</f>
        <v>Cliente, Vel Max 40 Km/h</v>
      </c>
      <c r="J928" s="43">
        <f>Data!S926</f>
        <v>46174.35340443287</v>
      </c>
      <c r="K928" s="44">
        <f>Data!S926</f>
        <v>46174.35340443287</v>
      </c>
      <c r="L928" s="45">
        <f>Data!T926</f>
        <v>1.9837962962962964E-5</v>
      </c>
      <c r="M928" s="46">
        <f>Data!U926</f>
        <v>1.8810408189892769E-2</v>
      </c>
      <c r="N928" s="46" t="str">
        <f>CONCATENATE(Data!W926," (",Data!V926,")")</f>
        <v>Exceso Velocidad 40 Km/h (Velocidad máxima: 42 kmh)</v>
      </c>
      <c r="O928" s="42" t="str">
        <f>IF(Data!V926&lt;&gt;"",N928,Data!W926)</f>
        <v>Exceso Velocidad 40 Km/h (Velocidad máxima: 42 kmh)</v>
      </c>
      <c r="P928" s="47" t="str">
        <f>Data!X926</f>
        <v>Válido</v>
      </c>
    </row>
    <row r="929" spans="1:16">
      <c r="A929" s="41" t="str">
        <f>Data!A927</f>
        <v>QLO286</v>
      </c>
      <c r="B929" s="41" t="str">
        <f>Data!D927</f>
        <v>Vehicle, Diesel, ECP 1107 Rubiales Serv. Integrales</v>
      </c>
      <c r="C929" s="41">
        <f>Data!F927</f>
        <v>0</v>
      </c>
      <c r="D929" s="41">
        <f>Data!G927</f>
        <v>0</v>
      </c>
      <c r="E929" s="41">
        <f>Data!H927</f>
        <v>0</v>
      </c>
      <c r="F929" s="41">
        <f>Data!K927</f>
        <v>0</v>
      </c>
      <c r="G929" s="33" t="str">
        <f>Data!M927</f>
        <v>Exceso Velocidad 40 Km/h</v>
      </c>
      <c r="H929" s="41" t="str">
        <f>Data!P927</f>
        <v>ECOPETROL RUBIALES- Quifa - CAÑO SUR: Rb 534 Finca La Pradera, Puerto Gaitán, Meta, Colombia</v>
      </c>
      <c r="I929" s="42" t="str">
        <f>Data!Q927</f>
        <v>Cliente, Vel Max 40 Km/h</v>
      </c>
      <c r="J929" s="43">
        <f>Data!S927</f>
        <v>46174.353475381948</v>
      </c>
      <c r="K929" s="44">
        <f>Data!S927</f>
        <v>46174.353475381948</v>
      </c>
      <c r="L929" s="45">
        <f>Data!T927</f>
        <v>5.4710648148148145E-5</v>
      </c>
      <c r="M929" s="46">
        <f>Data!U927</f>
        <v>5.5199690163135529E-2</v>
      </c>
      <c r="N929" s="46" t="str">
        <f>CONCATENATE(Data!W927," (",Data!V927,")")</f>
        <v>Exceso Velocidad 40 Km/h (Velocidad máxima: 46 kmh)</v>
      </c>
      <c r="O929" s="42" t="str">
        <f>IF(Data!V927&lt;&gt;"",N929,Data!W927)</f>
        <v>Exceso Velocidad 40 Km/h (Velocidad máxima: 46 kmh)</v>
      </c>
      <c r="P929" s="47" t="str">
        <f>Data!X927</f>
        <v>Válido</v>
      </c>
    </row>
    <row r="930" spans="1:16">
      <c r="A930" s="41" t="str">
        <f>Data!A928</f>
        <v>QLO286</v>
      </c>
      <c r="B930" s="41" t="str">
        <f>Data!D928</f>
        <v>Vehicle, Diesel, ECP 1107 Rubiales Serv. Integrales</v>
      </c>
      <c r="C930" s="41">
        <f>Data!F928</f>
        <v>0</v>
      </c>
      <c r="D930" s="41">
        <f>Data!G928</f>
        <v>0</v>
      </c>
      <c r="E930" s="41">
        <f>Data!H928</f>
        <v>0</v>
      </c>
      <c r="F930" s="41">
        <f>Data!K928</f>
        <v>0</v>
      </c>
      <c r="G930" s="33" t="str">
        <f>Data!M928</f>
        <v>Exceso Velocidad 40 Km/h</v>
      </c>
      <c r="H930" s="41" t="str">
        <f>Data!P928</f>
        <v>ECOPETROL RUBIALES- Quifa - CAÑO SUR: Rb 534 Finca La Pradera, Puerto Gaitán, Meta, Colombia</v>
      </c>
      <c r="I930" s="42" t="str">
        <f>Data!Q928</f>
        <v>Cliente, Vel Max 40 Km/h</v>
      </c>
      <c r="J930" s="43">
        <f>Data!S928</f>
        <v>46174.353617418979</v>
      </c>
      <c r="K930" s="44">
        <f>Data!S928</f>
        <v>46174.353617418979</v>
      </c>
      <c r="L930" s="45">
        <f>Data!T928</f>
        <v>2.7523148148148148E-5</v>
      </c>
      <c r="M930" s="46">
        <f>Data!U928</f>
        <v>2.5278136134147644E-2</v>
      </c>
      <c r="N930" s="46" t="str">
        <f>CONCATENATE(Data!W928," (",Data!V928,")")</f>
        <v>Exceso Velocidad 40 Km/h (Velocidad máxima: 44 kmh)</v>
      </c>
      <c r="O930" s="42" t="str">
        <f>IF(Data!V928&lt;&gt;"",N930,Data!W928)</f>
        <v>Exceso Velocidad 40 Km/h (Velocidad máxima: 44 kmh)</v>
      </c>
      <c r="P930" s="47" t="str">
        <f>Data!X928</f>
        <v>Válido</v>
      </c>
    </row>
    <row r="931" spans="1:16">
      <c r="A931" s="41" t="str">
        <f>Data!A929</f>
        <v>QLO286</v>
      </c>
      <c r="B931" s="41" t="str">
        <f>Data!D929</f>
        <v>Vehicle, Diesel, ECP 1107 Rubiales Serv. Integrales</v>
      </c>
      <c r="C931" s="41">
        <f>Data!F929</f>
        <v>0</v>
      </c>
      <c r="D931" s="41">
        <f>Data!G929</f>
        <v>0</v>
      </c>
      <c r="E931" s="41">
        <f>Data!H929</f>
        <v>0</v>
      </c>
      <c r="F931" s="41">
        <f>Data!K929</f>
        <v>0</v>
      </c>
      <c r="G931" s="33" t="str">
        <f>Data!M929</f>
        <v>Exceso Velocidad 40 Km/h</v>
      </c>
      <c r="H931" s="41" t="str">
        <f>Data!P929</f>
        <v>ECOPETROL RUBIALES- Quifa - CAÑO SUR: Rb 534 Finca La Pradera, Puerto Gaitán, Meta, Colombia</v>
      </c>
      <c r="I931" s="42" t="str">
        <f>Data!Q929</f>
        <v>Cliente, Vel Max 40 Km/h</v>
      </c>
      <c r="J931" s="43">
        <f>Data!S929</f>
        <v>46174.353722511572</v>
      </c>
      <c r="K931" s="44">
        <f>Data!S929</f>
        <v>46174.353722511572</v>
      </c>
      <c r="L931" s="45">
        <f>Data!T929</f>
        <v>1.0465277777777778E-4</v>
      </c>
      <c r="M931" s="46">
        <f>Data!U929</f>
        <v>0.11109770834445953</v>
      </c>
      <c r="N931" s="46" t="str">
        <f>CONCATENATE(Data!W929," (",Data!V929,")")</f>
        <v>Exceso Velocidad 40 Km/h (Velocidad máxima: 42 kmh)</v>
      </c>
      <c r="O931" s="42" t="str">
        <f>IF(Data!V929&lt;&gt;"",N931,Data!W929)</f>
        <v>Exceso Velocidad 40 Km/h (Velocidad máxima: 42 kmh)</v>
      </c>
      <c r="P931" s="47" t="str">
        <f>Data!X929</f>
        <v>Válido</v>
      </c>
    </row>
    <row r="932" spans="1:16">
      <c r="A932" s="41" t="str">
        <f>Data!A930</f>
        <v>QLO286</v>
      </c>
      <c r="B932" s="41" t="str">
        <f>Data!D930</f>
        <v>Vehicle, Diesel, ECP 1107 Rubiales Serv. Integrales</v>
      </c>
      <c r="C932" s="41">
        <f>Data!F930</f>
        <v>0</v>
      </c>
      <c r="D932" s="41">
        <f>Data!G930</f>
        <v>0</v>
      </c>
      <c r="E932" s="41">
        <f>Data!H930</f>
        <v>0</v>
      </c>
      <c r="F932" s="41">
        <f>Data!K930</f>
        <v>0</v>
      </c>
      <c r="G932" s="33" t="str">
        <f>Data!M930</f>
        <v>Exceso Velocidad 40 Km/h</v>
      </c>
      <c r="H932" s="41" t="str">
        <f>Data!P930</f>
        <v>ECOPETROL RUBIALES- Quifa - CAÑO SUR: Rb 534 Finca La Pradera, Puerto Gaitán, Meta, Colombia</v>
      </c>
      <c r="I932" s="42" t="str">
        <f>Data!Q930</f>
        <v>Cliente, Vel Max 40 Km/h</v>
      </c>
      <c r="J932" s="43">
        <f>Data!S930</f>
        <v>46174.354147731479</v>
      </c>
      <c r="K932" s="44">
        <f>Data!S930</f>
        <v>46174.354147731479</v>
      </c>
      <c r="L932" s="45">
        <f>Data!T930</f>
        <v>6.8541666666666661E-5</v>
      </c>
      <c r="M932" s="46">
        <f>Data!U930</f>
        <v>6.4227722585201263E-2</v>
      </c>
      <c r="N932" s="46" t="str">
        <f>CONCATENATE(Data!W930," (",Data!V930,")")</f>
        <v>Exceso Velocidad 40 Km/h (Velocidad máxima: 44 kmh)</v>
      </c>
      <c r="O932" s="42" t="str">
        <f>IF(Data!V930&lt;&gt;"",N932,Data!W930)</f>
        <v>Exceso Velocidad 40 Km/h (Velocidad máxima: 44 kmh)</v>
      </c>
      <c r="P932" s="47" t="str">
        <f>Data!X930</f>
        <v>Válido</v>
      </c>
    </row>
    <row r="933" spans="1:16">
      <c r="A933" s="41" t="str">
        <f>Data!A931</f>
        <v>QLO286</v>
      </c>
      <c r="B933" s="41" t="str">
        <f>Data!D931</f>
        <v>Vehicle, Diesel, ECP 1107 Rubiales Serv. Integrales</v>
      </c>
      <c r="C933" s="41">
        <f>Data!F931</f>
        <v>0</v>
      </c>
      <c r="D933" s="41">
        <f>Data!G931</f>
        <v>0</v>
      </c>
      <c r="E933" s="41">
        <f>Data!H931</f>
        <v>0</v>
      </c>
      <c r="F933" s="41">
        <f>Data!K931</f>
        <v>0</v>
      </c>
      <c r="G933" s="33" t="str">
        <f>Data!M931</f>
        <v>Exceso Velocidad 40 Km/h</v>
      </c>
      <c r="H933" s="41" t="str">
        <f>Data!P931</f>
        <v>ECOPETROL RUBIALES- Quifa - CAÑO SUR: Rb 534 Finca La Pradera, Puerto Gaitán, Meta, Colombia</v>
      </c>
      <c r="I933" s="42" t="str">
        <f>Data!Q931</f>
        <v>Cliente, Vel Max 40 Km/h</v>
      </c>
      <c r="J933" s="43">
        <f>Data!S931</f>
        <v>46174.354529317126</v>
      </c>
      <c r="K933" s="44">
        <f>Data!S931</f>
        <v>46174.354529317126</v>
      </c>
      <c r="L933" s="45">
        <f>Data!T931</f>
        <v>2.4434027777777778E-4</v>
      </c>
      <c r="M933" s="46">
        <f>Data!U931</f>
        <v>0.24439707398414612</v>
      </c>
      <c r="N933" s="46" t="str">
        <f>CONCATENATE(Data!W931," (",Data!V931,")")</f>
        <v>Exceso Velocidad 40 Km/h (Velocidad máxima: 42 kmh)</v>
      </c>
      <c r="O933" s="42" t="str">
        <f>IF(Data!V931&lt;&gt;"",N933,Data!W931)</f>
        <v>Exceso Velocidad 40 Km/h (Velocidad máxima: 42 kmh)</v>
      </c>
      <c r="P933" s="47" t="str">
        <f>Data!X931</f>
        <v>Válido</v>
      </c>
    </row>
    <row r="934" spans="1:16">
      <c r="A934" s="41" t="str">
        <f>Data!A932</f>
        <v>QLO286</v>
      </c>
      <c r="B934" s="41" t="str">
        <f>Data!D932</f>
        <v>Vehicle, Diesel, ECP 1107 Rubiales Serv. Integrales</v>
      </c>
      <c r="C934" s="41">
        <f>Data!F932</f>
        <v>0</v>
      </c>
      <c r="D934" s="41">
        <f>Data!G932</f>
        <v>0</v>
      </c>
      <c r="E934" s="41">
        <f>Data!H932</f>
        <v>0</v>
      </c>
      <c r="F934" s="41">
        <f>Data!K932</f>
        <v>0</v>
      </c>
      <c r="G934" s="33" t="str">
        <f>Data!M932</f>
        <v>Exceso Velocidad 40 Km/h</v>
      </c>
      <c r="H934" s="41" t="str">
        <f>Data!P932</f>
        <v>ECOPETROL RUBIALES- Quifa - CAÑO SUR: Rb 534 Finca La Pradera, Puerto Gaitán, Meta, Colombia</v>
      </c>
      <c r="I934" s="42" t="str">
        <f>Data!Q932</f>
        <v>Cliente, Vel Max 40 Km/h</v>
      </c>
      <c r="J934" s="43">
        <f>Data!S932</f>
        <v>46174.355131944445</v>
      </c>
      <c r="K934" s="44">
        <f>Data!S932</f>
        <v>46174.355131944445</v>
      </c>
      <c r="L934" s="45">
        <f>Data!T932</f>
        <v>9.2592592592592591E-6</v>
      </c>
      <c r="M934" s="46">
        <f>Data!U932</f>
        <v>8.1030819565057755E-3</v>
      </c>
      <c r="N934" s="46" t="str">
        <f>CONCATENATE(Data!W932," (",Data!V932,")")</f>
        <v>Exceso Velocidad 40 Km/h (Velocidad máxima: 41 kmh)</v>
      </c>
      <c r="O934" s="42" t="str">
        <f>IF(Data!V932&lt;&gt;"",N934,Data!W932)</f>
        <v>Exceso Velocidad 40 Km/h (Velocidad máxima: 41 kmh)</v>
      </c>
      <c r="P934" s="47" t="str">
        <f>Data!X932</f>
        <v>Válido</v>
      </c>
    </row>
    <row r="935" spans="1:16">
      <c r="A935" s="41" t="str">
        <f>Data!A933</f>
        <v>QLO286</v>
      </c>
      <c r="B935" s="41" t="str">
        <f>Data!D933</f>
        <v>Vehicle, Diesel, ECP 1107 Rubiales Serv. Integrales</v>
      </c>
      <c r="C935" s="41">
        <f>Data!F933</f>
        <v>0</v>
      </c>
      <c r="D935" s="41">
        <f>Data!G933</f>
        <v>0</v>
      </c>
      <c r="E935" s="41">
        <f>Data!H933</f>
        <v>0</v>
      </c>
      <c r="F935" s="41">
        <f>Data!K933</f>
        <v>0</v>
      </c>
      <c r="G935" s="33" t="str">
        <f>Data!M933</f>
        <v>Aceleración brusca (nuevo)</v>
      </c>
      <c r="H935" s="41" t="str">
        <f>Data!P933</f>
        <v>ECOPETROL RUBIALES- Quifa - CAÑO SUR: Rb 18 534, Puerto Gaitán, Meta, Colombia</v>
      </c>
      <c r="I935" s="42" t="str">
        <f>Data!Q933</f>
        <v>Cliente, Vel Max 40 Km/h</v>
      </c>
      <c r="J935" s="43">
        <f>Data!S933</f>
        <v>46174.356909722221</v>
      </c>
      <c r="K935" s="44">
        <f>Data!S933</f>
        <v>46174.356909722221</v>
      </c>
      <c r="L935" s="45">
        <f>Data!T933</f>
        <v>0</v>
      </c>
      <c r="M935" s="46">
        <f>Data!U933</f>
        <v>0</v>
      </c>
      <c r="N935" s="46" t="str">
        <f>CONCATENATE(Data!W933," (",Data!V933,")")</f>
        <v>Aceleración brusca (nuevo) (Clase de vehículo para métricas de seguridad: Otra clase (no estandarizada), Velocidad máxima: 4 kmh,  Ignición: 1)</v>
      </c>
      <c r="O935" s="42" t="str">
        <f>IF(Data!V933&lt;&gt;"",N935,Data!W933)</f>
        <v>Aceleración brusca (nuevo) (Clase de vehículo para métricas de seguridad: Otra clase (no estandarizada), Velocidad máxima: 4 kmh,  Ignición: 1)</v>
      </c>
      <c r="P935" s="47" t="str">
        <f>Data!X933</f>
        <v>Válido</v>
      </c>
    </row>
    <row r="936" spans="1:16">
      <c r="A936" s="41" t="str">
        <f>Data!A934</f>
        <v>QLO286</v>
      </c>
      <c r="B936" s="41" t="str">
        <f>Data!D934</f>
        <v>Vehicle, Diesel, ECP 1107 Rubiales Serv. Integrales</v>
      </c>
      <c r="C936" s="41">
        <f>Data!F934</f>
        <v>0</v>
      </c>
      <c r="D936" s="41">
        <f>Data!G934</f>
        <v>0</v>
      </c>
      <c r="E936" s="41">
        <f>Data!H934</f>
        <v>0</v>
      </c>
      <c r="F936" s="41">
        <f>Data!K934</f>
        <v>0</v>
      </c>
      <c r="G936" s="33" t="str">
        <f>Data!M934</f>
        <v>Giro brusco (nuevo)</v>
      </c>
      <c r="H936" s="41" t="str">
        <f>Data!P934</f>
        <v>ECOPETROL RUBIALES- Quifa - CAÑO SUR: Rb 18 534, Puerto Gaitán, Meta, Colombia</v>
      </c>
      <c r="I936" s="42" t="str">
        <f>Data!Q934</f>
        <v>Cliente, Vel Max 40 Km/h</v>
      </c>
      <c r="J936" s="43">
        <f>Data!S934</f>
        <v>46174.356921296298</v>
      </c>
      <c r="K936" s="44">
        <f>Data!S934</f>
        <v>46174.356921296298</v>
      </c>
      <c r="L936" s="45">
        <f>Data!T934</f>
        <v>0</v>
      </c>
      <c r="M936" s="46">
        <f>Data!U934</f>
        <v>0</v>
      </c>
      <c r="N936" s="46" t="str">
        <f>CONCATENATE(Data!W934," (",Data!V934,")")</f>
        <v>Giro brusco (nuevo) (Clase de vehículo para métricas de seguridad: Otra clase (no estandarizada), Velocidad máxima: 9 kmh,  Ignición: 1)</v>
      </c>
      <c r="O936" s="42" t="str">
        <f>IF(Data!V934&lt;&gt;"",N936,Data!W934)</f>
        <v>Giro brusco (nuevo) (Clase de vehículo para métricas de seguridad: Otra clase (no estandarizada), Velocidad máxima: 9 kmh,  Ignición: 1)</v>
      </c>
      <c r="P936" s="47" t="str">
        <f>Data!X934</f>
        <v>Válido</v>
      </c>
    </row>
    <row r="937" spans="1:16">
      <c r="A937" s="41" t="str">
        <f>Data!A935</f>
        <v>QLO286</v>
      </c>
      <c r="B937" s="41" t="str">
        <f>Data!D935</f>
        <v>Vehicle, Diesel, ECP 1107 Rubiales Serv. Integrales</v>
      </c>
      <c r="C937" s="41">
        <f>Data!F935</f>
        <v>0</v>
      </c>
      <c r="D937" s="41">
        <f>Data!G935</f>
        <v>0</v>
      </c>
      <c r="E937" s="41">
        <f>Data!H935</f>
        <v>0</v>
      </c>
      <c r="F937" s="41">
        <f>Data!K935</f>
        <v>0</v>
      </c>
      <c r="G937" s="33" t="str">
        <f>Data!M935</f>
        <v>Aceleración brusca (nuevo)</v>
      </c>
      <c r="H937" s="41" t="str">
        <f>Data!P935</f>
        <v>ECOPETROL RUBIALES- Quifa - CAÑO SUR: Rb 18 534, Puerto Gaitán, Meta, Colombia</v>
      </c>
      <c r="I937" s="42" t="str">
        <f>Data!Q935</f>
        <v>Cliente, Vel Max 40 Km/h</v>
      </c>
      <c r="J937" s="43">
        <f>Data!S935</f>
        <v>46174.358576388891</v>
      </c>
      <c r="K937" s="44">
        <f>Data!S935</f>
        <v>46174.358576388891</v>
      </c>
      <c r="L937" s="45">
        <f>Data!T935</f>
        <v>0</v>
      </c>
      <c r="M937" s="46">
        <f>Data!U935</f>
        <v>0</v>
      </c>
      <c r="N937" s="46" t="str">
        <f>CONCATENATE(Data!W935," (",Data!V935,")")</f>
        <v>Aceleración brusca (nuevo) (Clase de vehículo para métricas de seguridad: Otra clase (no estandarizada), Velocidad máxima: 7 kmh,  Ignición: 1)</v>
      </c>
      <c r="O937" s="42" t="str">
        <f>IF(Data!V935&lt;&gt;"",N937,Data!W935)</f>
        <v>Aceleración brusca (nuevo) (Clase de vehículo para métricas de seguridad: Otra clase (no estandarizada), Velocidad máxima: 7 kmh,  Ignición: 1)</v>
      </c>
      <c r="P937" s="47" t="str">
        <f>Data!X935</f>
        <v>Válido</v>
      </c>
    </row>
    <row r="938" spans="1:16">
      <c r="A938" s="41" t="str">
        <f>Data!A936</f>
        <v>QLO286</v>
      </c>
      <c r="B938" s="41" t="str">
        <f>Data!D936</f>
        <v>Vehicle, Diesel, ECP 1107 Rubiales Serv. Integrales</v>
      </c>
      <c r="C938" s="41">
        <f>Data!F936</f>
        <v>0</v>
      </c>
      <c r="D938" s="41">
        <f>Data!G936</f>
        <v>0</v>
      </c>
      <c r="E938" s="41">
        <f>Data!H936</f>
        <v>0</v>
      </c>
      <c r="F938" s="41">
        <f>Data!K936</f>
        <v>0</v>
      </c>
      <c r="G938" s="33" t="str">
        <f>Data!M936</f>
        <v>Exceso Velocidad 40 Km/h</v>
      </c>
      <c r="H938" s="41" t="str">
        <f>Data!P936</f>
        <v>ECOPETROL RUBIALES- Quifa - CAÑO SUR: Rb 534 Finca La Pradera, Puerto Gaitán, Meta, Colombia</v>
      </c>
      <c r="I938" s="42" t="str">
        <f>Data!Q936</f>
        <v>Cliente, Vel Max 40 Km/h</v>
      </c>
      <c r="J938" s="43">
        <f>Data!S936</f>
        <v>46174.360930891205</v>
      </c>
      <c r="K938" s="44">
        <f>Data!S936</f>
        <v>46174.360930891205</v>
      </c>
      <c r="L938" s="45">
        <f>Data!T936</f>
        <v>1.7893518518518519E-4</v>
      </c>
      <c r="M938" s="46">
        <f>Data!U936</f>
        <v>0.17985841631889343</v>
      </c>
      <c r="N938" s="46" t="str">
        <f>CONCATENATE(Data!W936," (",Data!V936,")")</f>
        <v>Exceso Velocidad 40 Km/h (Velocidad máxima: 44 kmh)</v>
      </c>
      <c r="O938" s="42" t="str">
        <f>IF(Data!V936&lt;&gt;"",N938,Data!W936)</f>
        <v>Exceso Velocidad 40 Km/h (Velocidad máxima: 44 kmh)</v>
      </c>
      <c r="P938" s="47" t="str">
        <f>Data!X936</f>
        <v>Válido</v>
      </c>
    </row>
    <row r="939" spans="1:16">
      <c r="A939" s="41" t="str">
        <f>Data!A937</f>
        <v>QLO286</v>
      </c>
      <c r="B939" s="41" t="str">
        <f>Data!D937</f>
        <v>Vehicle, Diesel, ECP 1107 Rubiales Serv. Integrales</v>
      </c>
      <c r="C939" s="41">
        <f>Data!F937</f>
        <v>0</v>
      </c>
      <c r="D939" s="41">
        <f>Data!G937</f>
        <v>0</v>
      </c>
      <c r="E939" s="41">
        <f>Data!H937</f>
        <v>0</v>
      </c>
      <c r="F939" s="41">
        <f>Data!K937</f>
        <v>0</v>
      </c>
      <c r="G939" s="33" t="str">
        <f>Data!M937</f>
        <v>Exceso Velocidad 40 Km/h</v>
      </c>
      <c r="H939" s="41" t="str">
        <f>Data!P937</f>
        <v>ECOPETROL RUBIALES- Quifa - CAÑO SUR: Rb 534 Finca La Pradera, Puerto Gaitán, Meta, Colombia</v>
      </c>
      <c r="I939" s="42" t="str">
        <f>Data!Q937</f>
        <v>Cliente, Vel Max 40 Km/h</v>
      </c>
      <c r="J939" s="43">
        <f>Data!S937</f>
        <v>46174.361166666669</v>
      </c>
      <c r="K939" s="44">
        <f>Data!S937</f>
        <v>46174.361166666669</v>
      </c>
      <c r="L939" s="45">
        <f>Data!T937</f>
        <v>2.7118055555555555E-5</v>
      </c>
      <c r="M939" s="46">
        <f>Data!U937</f>
        <v>2.5476759299635887E-2</v>
      </c>
      <c r="N939" s="46" t="str">
        <f>CONCATENATE(Data!W937," (",Data!V937,")")</f>
        <v>Exceso Velocidad 40 Km/h (Velocidad máxima: 42 kmh)</v>
      </c>
      <c r="O939" s="42" t="str">
        <f>IF(Data!V937&lt;&gt;"",N939,Data!W937)</f>
        <v>Exceso Velocidad 40 Km/h (Velocidad máxima: 42 kmh)</v>
      </c>
      <c r="P939" s="47" t="str">
        <f>Data!X937</f>
        <v>Válido</v>
      </c>
    </row>
    <row r="940" spans="1:16">
      <c r="A940" s="41" t="str">
        <f>Data!A938</f>
        <v>QLO286</v>
      </c>
      <c r="B940" s="41" t="str">
        <f>Data!D938</f>
        <v>Vehicle, Diesel, ECP 1107 Rubiales Serv. Integrales</v>
      </c>
      <c r="C940" s="41">
        <f>Data!F938</f>
        <v>0</v>
      </c>
      <c r="D940" s="41">
        <f>Data!G938</f>
        <v>0</v>
      </c>
      <c r="E940" s="41">
        <f>Data!H938</f>
        <v>0</v>
      </c>
      <c r="F940" s="41">
        <f>Data!K938</f>
        <v>0</v>
      </c>
      <c r="G940" s="33" t="str">
        <f>Data!M938</f>
        <v>Frenado brusco (nuevo)</v>
      </c>
      <c r="H940" s="41" t="str">
        <f>Data!P938</f>
        <v>ECOPETROL RUBIALES- Quifa - CAÑO SUR: Rb 534 Finca La Pradera, Puerto Gaitán, Meta, Colombia</v>
      </c>
      <c r="I940" s="42" t="str">
        <f>Data!Q938</f>
        <v>Cliente, Vel Max 40 Km/h</v>
      </c>
      <c r="J940" s="43">
        <f>Data!S938</f>
        <v>46174.361261574071</v>
      </c>
      <c r="K940" s="44">
        <f>Data!S938</f>
        <v>46174.361261574071</v>
      </c>
      <c r="L940" s="45">
        <f>Data!T938</f>
        <v>0</v>
      </c>
      <c r="M940" s="46">
        <f>Data!U938</f>
        <v>0</v>
      </c>
      <c r="N940" s="46" t="str">
        <f>CONCATENATE(Data!W938," (",Data!V938,")")</f>
        <v>Frenado brusco (nuevo) (Clase de vehículo para métricas de seguridad: Otra clase (no estandarizada), Velocidad máxima: 34 kmh,  Ignición: 1)</v>
      </c>
      <c r="O940" s="42" t="str">
        <f>IF(Data!V938&lt;&gt;"",N940,Data!W938)</f>
        <v>Frenado brusco (nuevo) (Clase de vehículo para métricas de seguridad: Otra clase (no estandarizada), Velocidad máxima: 34 kmh,  Ignición: 1)</v>
      </c>
      <c r="P940" s="47" t="str">
        <f>Data!X938</f>
        <v>Válido</v>
      </c>
    </row>
    <row r="941" spans="1:16">
      <c r="A941" s="41" t="str">
        <f>Data!A939</f>
        <v>QLO286</v>
      </c>
      <c r="B941" s="41" t="str">
        <f>Data!D939</f>
        <v>Vehicle, Diesel, ECP 1107 Rubiales Serv. Integrales</v>
      </c>
      <c r="C941" s="41">
        <f>Data!F939</f>
        <v>0</v>
      </c>
      <c r="D941" s="41">
        <f>Data!G939</f>
        <v>0</v>
      </c>
      <c r="E941" s="41">
        <f>Data!H939</f>
        <v>0</v>
      </c>
      <c r="F941" s="41">
        <f>Data!K939</f>
        <v>0</v>
      </c>
      <c r="G941" s="33" t="str">
        <f>Data!M939</f>
        <v>Exceso Velocidad 40 Km/h</v>
      </c>
      <c r="H941" s="41" t="str">
        <f>Data!P939</f>
        <v>ECOPETROL RUBIALES- Quifa - CAÑO SUR: Rb 534 Finca La Pradera, Puerto Gaitán, Meta, Colombia</v>
      </c>
      <c r="I941" s="42" t="str">
        <f>Data!Q939</f>
        <v>Cliente, Vel Max 40 Km/h</v>
      </c>
      <c r="J941" s="43">
        <f>Data!S939</f>
        <v>46174.361479699073</v>
      </c>
      <c r="K941" s="44">
        <f>Data!S939</f>
        <v>46174.361479699073</v>
      </c>
      <c r="L941" s="45">
        <f>Data!T939</f>
        <v>9.6481481481481475E-5</v>
      </c>
      <c r="M941" s="46">
        <f>Data!U939</f>
        <v>9.7835943102836609E-2</v>
      </c>
      <c r="N941" s="46" t="str">
        <f>CONCATENATE(Data!W939," (",Data!V939,")")</f>
        <v>Exceso Velocidad 40 Km/h (Velocidad máxima: 48 kmh)</v>
      </c>
      <c r="O941" s="42" t="str">
        <f>IF(Data!V939&lt;&gt;"",N941,Data!W939)</f>
        <v>Exceso Velocidad 40 Km/h (Velocidad máxima: 48 kmh)</v>
      </c>
      <c r="P941" s="47" t="str">
        <f>Data!X939</f>
        <v>Válido</v>
      </c>
    </row>
    <row r="942" spans="1:16">
      <c r="A942" s="41" t="str">
        <f>Data!A940</f>
        <v>QLO286</v>
      </c>
      <c r="B942" s="41" t="str">
        <f>Data!D940</f>
        <v>Vehicle, Diesel, ECP 1107 Rubiales Serv. Integrales</v>
      </c>
      <c r="C942" s="41">
        <f>Data!F940</f>
        <v>0</v>
      </c>
      <c r="D942" s="41">
        <f>Data!G940</f>
        <v>0</v>
      </c>
      <c r="E942" s="41">
        <f>Data!H940</f>
        <v>0</v>
      </c>
      <c r="F942" s="41">
        <f>Data!K940</f>
        <v>0</v>
      </c>
      <c r="G942" s="33" t="str">
        <f>Data!M940</f>
        <v>Exceso Velocidad 40 Km/h</v>
      </c>
      <c r="H942" s="41" t="str">
        <f>Data!P940</f>
        <v>ECOPETROL RUBIALES- Quifa - CAÑO SUR: Rb 534 Finca La Pradera, Puerto Gaitán, Meta, Colombia</v>
      </c>
      <c r="I942" s="42" t="str">
        <f>Data!Q940</f>
        <v>Cliente, Vel Max 40 Km/h</v>
      </c>
      <c r="J942" s="43">
        <f>Data!S940</f>
        <v>46174.361977881941</v>
      </c>
      <c r="K942" s="44">
        <f>Data!S940</f>
        <v>46174.361977881941</v>
      </c>
      <c r="L942" s="45">
        <f>Data!T940</f>
        <v>2.2777777777777776E-5</v>
      </c>
      <c r="M942" s="46">
        <f>Data!U940</f>
        <v>2.1258877590298653E-2</v>
      </c>
      <c r="N942" s="46" t="str">
        <f>CONCATENATE(Data!W940," (",Data!V940,")")</f>
        <v>Exceso Velocidad 40 Km/h (Velocidad máxima: 42 kmh)</v>
      </c>
      <c r="O942" s="42" t="str">
        <f>IF(Data!V940&lt;&gt;"",N942,Data!W940)</f>
        <v>Exceso Velocidad 40 Km/h (Velocidad máxima: 42 kmh)</v>
      </c>
      <c r="P942" s="47" t="str">
        <f>Data!X940</f>
        <v>Válido</v>
      </c>
    </row>
    <row r="943" spans="1:16">
      <c r="A943" s="41" t="str">
        <f>Data!A941</f>
        <v>QLO286</v>
      </c>
      <c r="B943" s="41" t="str">
        <f>Data!D941</f>
        <v>Vehicle, Diesel, ECP 1107 Rubiales Serv. Integrales</v>
      </c>
      <c r="C943" s="41">
        <f>Data!F941</f>
        <v>0</v>
      </c>
      <c r="D943" s="41">
        <f>Data!G941</f>
        <v>0</v>
      </c>
      <c r="E943" s="41">
        <f>Data!H941</f>
        <v>0</v>
      </c>
      <c r="F943" s="41">
        <f>Data!K941</f>
        <v>0</v>
      </c>
      <c r="G943" s="33" t="str">
        <f>Data!M941</f>
        <v>Exceso Velocidad 40 Km/h</v>
      </c>
      <c r="H943" s="41" t="str">
        <f>Data!P941</f>
        <v>ECOPETROL RUBIALES- Quifa - CAÑO SUR: Rb 534 Finca La Pradera, Puerto Gaitán, Meta, Colombia</v>
      </c>
      <c r="I943" s="42" t="str">
        <f>Data!Q941</f>
        <v>Cliente, Vel Max 40 Km/h</v>
      </c>
      <c r="J943" s="43">
        <f>Data!S941</f>
        <v>46174.362051180557</v>
      </c>
      <c r="K943" s="44">
        <f>Data!S941</f>
        <v>46174.362051180557</v>
      </c>
      <c r="L943" s="45">
        <f>Data!T941</f>
        <v>4.5509259259259258E-5</v>
      </c>
      <c r="M943" s="46">
        <f>Data!U941</f>
        <v>4.4189460575580597E-2</v>
      </c>
      <c r="N943" s="46" t="str">
        <f>CONCATENATE(Data!W941," (",Data!V941,")")</f>
        <v>Exceso Velocidad 40 Km/h (Velocidad máxima: 44 kmh)</v>
      </c>
      <c r="O943" s="42" t="str">
        <f>IF(Data!V941&lt;&gt;"",N943,Data!W941)</f>
        <v>Exceso Velocidad 40 Km/h (Velocidad máxima: 44 kmh)</v>
      </c>
      <c r="P943" s="47" t="str">
        <f>Data!X941</f>
        <v>Válido</v>
      </c>
    </row>
    <row r="944" spans="1:16">
      <c r="A944" s="41" t="str">
        <f>Data!A942</f>
        <v>QLO286</v>
      </c>
      <c r="B944" s="41" t="str">
        <f>Data!D942</f>
        <v>Vehicle, Diesel, ECP 1107 Rubiales Serv. Integrales</v>
      </c>
      <c r="C944" s="41">
        <f>Data!F942</f>
        <v>0</v>
      </c>
      <c r="D944" s="41">
        <f>Data!G942</f>
        <v>0</v>
      </c>
      <c r="E944" s="41">
        <f>Data!H942</f>
        <v>0</v>
      </c>
      <c r="F944" s="41">
        <f>Data!K942</f>
        <v>0</v>
      </c>
      <c r="G944" s="33" t="str">
        <f>Data!M942</f>
        <v>Exceso Velocidad 40 Km/h</v>
      </c>
      <c r="H944" s="41" t="str">
        <f>Data!P942</f>
        <v>ECOPETROL RUBIALES- Quifa - CAÑO SUR: Rb 534 Finca La Pradera, Puerto Gaitán, Meta, Colombia</v>
      </c>
      <c r="I944" s="42" t="str">
        <f>Data!Q942</f>
        <v>Cliente, Vel Max 40 Km/h</v>
      </c>
      <c r="J944" s="43">
        <f>Data!S942</f>
        <v>46174.362171469904</v>
      </c>
      <c r="K944" s="44">
        <f>Data!S942</f>
        <v>46174.362171469904</v>
      </c>
      <c r="L944" s="45">
        <f>Data!T942</f>
        <v>2.8377314814814812E-4</v>
      </c>
      <c r="M944" s="46">
        <f>Data!U942</f>
        <v>0.29172667860984802</v>
      </c>
      <c r="N944" s="46" t="str">
        <f>CONCATENATE(Data!W942," (",Data!V942,")")</f>
        <v>Exceso Velocidad 40 Km/h (Velocidad máxima: 42 kmh)</v>
      </c>
      <c r="O944" s="42" t="str">
        <f>IF(Data!V942&lt;&gt;"",N944,Data!W942)</f>
        <v>Exceso Velocidad 40 Km/h (Velocidad máxima: 42 kmh)</v>
      </c>
      <c r="P944" s="47" t="str">
        <f>Data!X942</f>
        <v>Válido</v>
      </c>
    </row>
    <row r="945" spans="1:16">
      <c r="A945" s="41" t="str">
        <f>Data!A943</f>
        <v>QLO286</v>
      </c>
      <c r="B945" s="41" t="str">
        <f>Data!D943</f>
        <v>Vehicle, Diesel, ECP 1107 Rubiales Serv. Integrales</v>
      </c>
      <c r="C945" s="41">
        <f>Data!F943</f>
        <v>0</v>
      </c>
      <c r="D945" s="41">
        <f>Data!G943</f>
        <v>0</v>
      </c>
      <c r="E945" s="41">
        <f>Data!H943</f>
        <v>0</v>
      </c>
      <c r="F945" s="41">
        <f>Data!K943</f>
        <v>0</v>
      </c>
      <c r="G945" s="33" t="str">
        <f>Data!M943</f>
        <v>Exceso Velocidad 40 Km/h</v>
      </c>
      <c r="H945" s="41" t="str">
        <f>Data!P943</f>
        <v>ECOPETROL RUBIALES- Quifa - CAÑO SUR: Rb 534 Finca La Pradera, Puerto Gaitán, Meta, Colombia</v>
      </c>
      <c r="I945" s="42" t="str">
        <f>Data!Q943</f>
        <v>Cliente, Vel Max 40 Km/h</v>
      </c>
      <c r="J945" s="43">
        <f>Data!S943</f>
        <v>46174.363260034719</v>
      </c>
      <c r="K945" s="44">
        <f>Data!S943</f>
        <v>46174.363260034719</v>
      </c>
      <c r="L945" s="45">
        <f>Data!T943</f>
        <v>8.1944444444444447E-6</v>
      </c>
      <c r="M945" s="46">
        <f>Data!U943</f>
        <v>7.4309837073087692E-3</v>
      </c>
      <c r="N945" s="46" t="str">
        <f>CONCATENATE(Data!W943," (",Data!V943,")")</f>
        <v>Exceso Velocidad 40 Km/h (Velocidad máxima: 41 kmh)</v>
      </c>
      <c r="O945" s="42" t="str">
        <f>IF(Data!V943&lt;&gt;"",N945,Data!W943)</f>
        <v>Exceso Velocidad 40 Km/h (Velocidad máxima: 41 kmh)</v>
      </c>
      <c r="P945" s="47" t="str">
        <f>Data!X943</f>
        <v>Válido</v>
      </c>
    </row>
    <row r="946" spans="1:16">
      <c r="A946" s="41" t="str">
        <f>Data!A944</f>
        <v>QLO286</v>
      </c>
      <c r="B946" s="41" t="str">
        <f>Data!D944</f>
        <v>Vehicle, Diesel, ECP 1107 Rubiales Serv. Integrales</v>
      </c>
      <c r="C946" s="41">
        <f>Data!F944</f>
        <v>0</v>
      </c>
      <c r="D946" s="41">
        <f>Data!G944</f>
        <v>0</v>
      </c>
      <c r="E946" s="41">
        <f>Data!H944</f>
        <v>0</v>
      </c>
      <c r="F946" s="41">
        <f>Data!K944</f>
        <v>0</v>
      </c>
      <c r="G946" s="33" t="str">
        <f>Data!M944</f>
        <v>Exceso Velocidad 40 Km/h</v>
      </c>
      <c r="H946" s="41" t="str">
        <f>Data!P944</f>
        <v>ECOPETROL RUBIALES- Quifa - CAÑO SUR: Rb 534 Finca La Pradera, Puerto Gaitán, Meta, Colombia</v>
      </c>
      <c r="I946" s="42" t="str">
        <f>Data!Q944</f>
        <v>Cliente, Vel Max 40 Km/h</v>
      </c>
      <c r="J946" s="43">
        <f>Data!S944</f>
        <v>46174.363393136577</v>
      </c>
      <c r="K946" s="44">
        <f>Data!S944</f>
        <v>46174.363393136577</v>
      </c>
      <c r="L946" s="45">
        <f>Data!T944</f>
        <v>1.1574074074074073E-5</v>
      </c>
      <c r="M946" s="46">
        <f>Data!U944</f>
        <v>1.0890812613070011E-2</v>
      </c>
      <c r="N946" s="46" t="str">
        <f>CONCATENATE(Data!W944," (",Data!V944,")")</f>
        <v>Exceso Velocidad 40 Km/h (Velocidad máxima: 41 kmh)</v>
      </c>
      <c r="O946" s="42" t="str">
        <f>IF(Data!V944&lt;&gt;"",N946,Data!W944)</f>
        <v>Exceso Velocidad 40 Km/h (Velocidad máxima: 41 kmh)</v>
      </c>
      <c r="P946" s="47" t="str">
        <f>Data!X944</f>
        <v>Válido</v>
      </c>
    </row>
    <row r="947" spans="1:16">
      <c r="A947" s="41" t="str">
        <f>Data!A945</f>
        <v>QLO286</v>
      </c>
      <c r="B947" s="41" t="str">
        <f>Data!D945</f>
        <v>Vehicle, Diesel, ECP 1107 Rubiales Serv. Integrales</v>
      </c>
      <c r="C947" s="41">
        <f>Data!F945</f>
        <v>0</v>
      </c>
      <c r="D947" s="41">
        <f>Data!G945</f>
        <v>0</v>
      </c>
      <c r="E947" s="41">
        <f>Data!H945</f>
        <v>0</v>
      </c>
      <c r="F947" s="41">
        <f>Data!K945</f>
        <v>0</v>
      </c>
      <c r="G947" s="33" t="str">
        <f>Data!M945</f>
        <v>Exceso Velocidad 40 Km/h</v>
      </c>
      <c r="H947" s="41" t="str">
        <f>Data!P945</f>
        <v>ECOPETROL RUBIALES- Quifa - CAÑO SUR: Vía Sin Nombre, Puerto Gaitán, Meta, Colombia</v>
      </c>
      <c r="I947" s="42" t="str">
        <f>Data!Q945</f>
        <v>Cliente, Vel Max 40 Km/h</v>
      </c>
      <c r="J947" s="43">
        <f>Data!S945</f>
        <v>46174.363677245368</v>
      </c>
      <c r="K947" s="44">
        <f>Data!S945</f>
        <v>46174.363677245368</v>
      </c>
      <c r="L947" s="45">
        <f>Data!T945</f>
        <v>1.5840277777777779E-4</v>
      </c>
      <c r="M947" s="46">
        <f>Data!U945</f>
        <v>0.1597539484500885</v>
      </c>
      <c r="N947" s="46" t="str">
        <f>CONCATENATE(Data!W945," (",Data!V945,")")</f>
        <v>Exceso Velocidad 40 Km/h (Velocidad máxima: 42 kmh)</v>
      </c>
      <c r="O947" s="42" t="str">
        <f>IF(Data!V945&lt;&gt;"",N947,Data!W945)</f>
        <v>Exceso Velocidad 40 Km/h (Velocidad máxima: 42 kmh)</v>
      </c>
      <c r="P947" s="47" t="str">
        <f>Data!X945</f>
        <v>Válido</v>
      </c>
    </row>
    <row r="948" spans="1:16">
      <c r="A948" s="41" t="str">
        <f>Data!A946</f>
        <v>QLO286</v>
      </c>
      <c r="B948" s="41" t="str">
        <f>Data!D946</f>
        <v>Vehicle, Diesel, ECP 1107 Rubiales Serv. Integrales</v>
      </c>
      <c r="C948" s="41">
        <f>Data!F946</f>
        <v>0</v>
      </c>
      <c r="D948" s="41">
        <f>Data!G946</f>
        <v>0</v>
      </c>
      <c r="E948" s="41">
        <f>Data!H946</f>
        <v>0</v>
      </c>
      <c r="F948" s="41">
        <f>Data!K946</f>
        <v>0</v>
      </c>
      <c r="G948" s="33" t="str">
        <f>Data!M946</f>
        <v>Exceso Velocidad 40 Km/h</v>
      </c>
      <c r="H948" s="41" t="str">
        <f>Data!P946</f>
        <v>ECOPETROL RUBIALES- Quifa - CAÑO SUR: Vía Sin Nombre, Puerto Gaitán, Meta, Colombia</v>
      </c>
      <c r="I948" s="42" t="str">
        <f>Data!Q946</f>
        <v>Cliente, Vel Max 40 Km/h</v>
      </c>
      <c r="J948" s="43">
        <f>Data!S946</f>
        <v>46174.364067129631</v>
      </c>
      <c r="K948" s="44">
        <f>Data!S946</f>
        <v>46174.364067129631</v>
      </c>
      <c r="L948" s="45">
        <f>Data!T946</f>
        <v>4.1666666666666665E-5</v>
      </c>
      <c r="M948" s="46">
        <f>Data!U946</f>
        <v>4.0944315493106842E-2</v>
      </c>
      <c r="N948" s="46" t="str">
        <f>CONCATENATE(Data!W946," (",Data!V946,")")</f>
        <v>Exceso Velocidad 40 Km/h (Velocidad máxima: 41 kmh)</v>
      </c>
      <c r="O948" s="42" t="str">
        <f>IF(Data!V946&lt;&gt;"",N948,Data!W946)</f>
        <v>Exceso Velocidad 40 Km/h (Velocidad máxima: 41 kmh)</v>
      </c>
      <c r="P948" s="47" t="str">
        <f>Data!X946</f>
        <v>Válido</v>
      </c>
    </row>
    <row r="949" spans="1:16">
      <c r="A949" s="41" t="str">
        <f>Data!A947</f>
        <v>QLO286</v>
      </c>
      <c r="B949" s="41" t="str">
        <f>Data!D947</f>
        <v>Vehicle, Diesel, ECP 1107 Rubiales Serv. Integrales</v>
      </c>
      <c r="C949" s="41">
        <f>Data!F947</f>
        <v>0</v>
      </c>
      <c r="D949" s="41">
        <f>Data!G947</f>
        <v>0</v>
      </c>
      <c r="E949" s="41">
        <f>Data!H947</f>
        <v>0</v>
      </c>
      <c r="F949" s="41">
        <f>Data!K947</f>
        <v>0</v>
      </c>
      <c r="G949" s="33" t="str">
        <f>Data!M947</f>
        <v>Exceso Velocidad 40 Km/h</v>
      </c>
      <c r="H949" s="41" t="str">
        <f>Data!P947</f>
        <v>ECOPETROL RUBIALES- Quifa - CAÑO SUR: Vía Sin Nombre, Puerto Gaitán, Meta, Colombia</v>
      </c>
      <c r="I949" s="42" t="str">
        <f>Data!Q947</f>
        <v>Cliente, Vel Max 40 Km/h</v>
      </c>
      <c r="J949" s="43">
        <f>Data!S947</f>
        <v>46174.364281631948</v>
      </c>
      <c r="K949" s="44">
        <f>Data!S947</f>
        <v>46174.364281631948</v>
      </c>
      <c r="L949" s="45">
        <f>Data!T947</f>
        <v>5.7361111111111111E-5</v>
      </c>
      <c r="M949" s="46">
        <f>Data!U947</f>
        <v>5.7511277496814728E-2</v>
      </c>
      <c r="N949" s="46" t="str">
        <f>CONCATENATE(Data!W947," (",Data!V947,")")</f>
        <v>Exceso Velocidad 40 Km/h (Velocidad máxima: 44 kmh)</v>
      </c>
      <c r="O949" s="42" t="str">
        <f>IF(Data!V947&lt;&gt;"",N949,Data!W947)</f>
        <v>Exceso Velocidad 40 Km/h (Velocidad máxima: 44 kmh)</v>
      </c>
      <c r="P949" s="47" t="str">
        <f>Data!X947</f>
        <v>Válido</v>
      </c>
    </row>
    <row r="950" spans="1:16">
      <c r="A950" s="41" t="str">
        <f>Data!A948</f>
        <v>QLO286</v>
      </c>
      <c r="B950" s="41" t="str">
        <f>Data!D948</f>
        <v>Vehicle, Diesel, ECP 1107 Rubiales Serv. Integrales</v>
      </c>
      <c r="C950" s="41">
        <f>Data!F948</f>
        <v>0</v>
      </c>
      <c r="D950" s="41">
        <f>Data!G948</f>
        <v>0</v>
      </c>
      <c r="E950" s="41">
        <f>Data!H948</f>
        <v>0</v>
      </c>
      <c r="F950" s="41">
        <f>Data!K948</f>
        <v>0</v>
      </c>
      <c r="G950" s="33" t="str">
        <f>Data!M948</f>
        <v>Exceso Velocidad 40 Km/h</v>
      </c>
      <c r="H950" s="41" t="str">
        <f>Data!P948</f>
        <v>ECOPETROL RUBIALES- Quifa - CAÑO SUR: Vía Sin Nombre, Puerto Gaitán, Meta, Colombia</v>
      </c>
      <c r="I950" s="42" t="str">
        <f>Data!Q948</f>
        <v>Cliente, Vel Max 40 Km/h</v>
      </c>
      <c r="J950" s="43">
        <f>Data!S948</f>
        <v>46174.366313657512</v>
      </c>
      <c r="K950" s="44">
        <f>Data!S948</f>
        <v>46174.366313657512</v>
      </c>
      <c r="L950" s="45">
        <f>Data!T948</f>
        <v>2.4594907407407408E-5</v>
      </c>
      <c r="M950" s="46">
        <f>Data!U948</f>
        <v>2.3043256253004074E-2</v>
      </c>
      <c r="N950" s="46" t="str">
        <f>CONCATENATE(Data!W948," (",Data!V948,")")</f>
        <v>Exceso Velocidad 40 Km/h (Velocidad máxima: 41 kmh)</v>
      </c>
      <c r="O950" s="42" t="str">
        <f>IF(Data!V948&lt;&gt;"",N950,Data!W948)</f>
        <v>Exceso Velocidad 40 Km/h (Velocidad máxima: 41 kmh)</v>
      </c>
      <c r="P950" s="47" t="str">
        <f>Data!X948</f>
        <v>Válido</v>
      </c>
    </row>
    <row r="951" spans="1:16">
      <c r="A951" s="41" t="str">
        <f>Data!A949</f>
        <v>QLO286</v>
      </c>
      <c r="B951" s="41" t="str">
        <f>Data!D949</f>
        <v>Vehicle, Diesel, ECP 1107 Rubiales Serv. Integrales</v>
      </c>
      <c r="C951" s="41">
        <f>Data!F949</f>
        <v>0</v>
      </c>
      <c r="D951" s="41">
        <f>Data!G949</f>
        <v>0</v>
      </c>
      <c r="E951" s="41">
        <f>Data!H949</f>
        <v>0</v>
      </c>
      <c r="F951" s="41">
        <f>Data!K949</f>
        <v>0</v>
      </c>
      <c r="G951" s="33" t="str">
        <f>Data!M949</f>
        <v>Exceso Velocidad 40 Km/h</v>
      </c>
      <c r="H951" s="41" t="str">
        <f>Data!P949</f>
        <v>ECOPETROL RUBIALES- Quifa - CAÑO SUR: Vía Sin Nombre, Puerto Gaitán, Meta, Colombia</v>
      </c>
      <c r="I951" s="42" t="str">
        <f>Data!Q949</f>
        <v>Cliente, Vel Max 40 Km/h</v>
      </c>
      <c r="J951" s="43">
        <f>Data!S949</f>
        <v>46174.366828703707</v>
      </c>
      <c r="K951" s="44">
        <f>Data!S949</f>
        <v>46174.366828703707</v>
      </c>
      <c r="L951" s="45">
        <f>Data!T949</f>
        <v>1.1574074074074075E-4</v>
      </c>
      <c r="M951" s="46">
        <f>Data!U949</f>
        <v>0.12527582049369812</v>
      </c>
      <c r="N951" s="46" t="str">
        <f>CONCATENATE(Data!W949," (",Data!V949,")")</f>
        <v>Exceso Velocidad 40 Km/h (Velocidad máxima: 46 kmh)</v>
      </c>
      <c r="O951" s="42" t="str">
        <f>IF(Data!V949&lt;&gt;"",N951,Data!W949)</f>
        <v>Exceso Velocidad 40 Km/h (Velocidad máxima: 46 kmh)</v>
      </c>
      <c r="P951" s="47" t="str">
        <f>Data!X949</f>
        <v>Válido</v>
      </c>
    </row>
    <row r="952" spans="1:16">
      <c r="A952" s="41" t="str">
        <f>Data!A950</f>
        <v>QLO286</v>
      </c>
      <c r="B952" s="41" t="str">
        <f>Data!D950</f>
        <v>Vehicle, Diesel, ECP 1107 Rubiales Serv. Integrales</v>
      </c>
      <c r="C952" s="41">
        <f>Data!F950</f>
        <v>0</v>
      </c>
      <c r="D952" s="41">
        <f>Data!G950</f>
        <v>0</v>
      </c>
      <c r="E952" s="41">
        <f>Data!H950</f>
        <v>0</v>
      </c>
      <c r="F952" s="41">
        <f>Data!K950</f>
        <v>0</v>
      </c>
      <c r="G952" s="33" t="str">
        <f>Data!M950</f>
        <v>Exceso Velocidad 40 Km/h</v>
      </c>
      <c r="H952" s="41" t="str">
        <f>Data!P950</f>
        <v>ECOPETROL RUBIALES- Quifa - CAÑO SUR: Vía Sin Nombre, Puerto Gaitán, Meta, Colombia</v>
      </c>
      <c r="I952" s="42" t="str">
        <f>Data!Q950</f>
        <v>Cliente, Vel Max 40 Km/h</v>
      </c>
      <c r="J952" s="43">
        <f>Data!S950</f>
        <v>46174.367196180552</v>
      </c>
      <c r="K952" s="44">
        <f>Data!S950</f>
        <v>46174.367196180552</v>
      </c>
      <c r="L952" s="45">
        <f>Data!T950</f>
        <v>8.3912037037037031E-5</v>
      </c>
      <c r="M952" s="46">
        <f>Data!U950</f>
        <v>7.8835427761077881E-2</v>
      </c>
      <c r="N952" s="46" t="str">
        <f>CONCATENATE(Data!W950," (",Data!V950,")")</f>
        <v>Exceso Velocidad 40 Km/h (Velocidad máxima: 41 kmh)</v>
      </c>
      <c r="O952" s="42" t="str">
        <f>IF(Data!V950&lt;&gt;"",N952,Data!W950)</f>
        <v>Exceso Velocidad 40 Km/h (Velocidad máxima: 41 kmh)</v>
      </c>
      <c r="P952" s="47" t="str">
        <f>Data!X950</f>
        <v>Válido</v>
      </c>
    </row>
    <row r="953" spans="1:16">
      <c r="A953" s="41" t="str">
        <f>Data!A951</f>
        <v>QLO286</v>
      </c>
      <c r="B953" s="41" t="str">
        <f>Data!D951</f>
        <v>Vehicle, Diesel, ECP 1107 Rubiales Serv. Integrales</v>
      </c>
      <c r="C953" s="41">
        <f>Data!F951</f>
        <v>0</v>
      </c>
      <c r="D953" s="41">
        <f>Data!G951</f>
        <v>0</v>
      </c>
      <c r="E953" s="41">
        <f>Data!H951</f>
        <v>0</v>
      </c>
      <c r="F953" s="41">
        <f>Data!K951</f>
        <v>0</v>
      </c>
      <c r="G953" s="33" t="str">
        <f>Data!M951</f>
        <v>Exceso Velocidad 40 Km/h</v>
      </c>
      <c r="H953" s="41" t="str">
        <f>Data!P951</f>
        <v>ECOPETROL RUBIALES- Quifa - CAÑO SUR: Vía Sin Nombre, Puerto Gaitán, Meta, Colombia</v>
      </c>
      <c r="I953" s="42" t="str">
        <f>Data!Q951</f>
        <v>Cliente, Vel Max 40 Km/h</v>
      </c>
      <c r="J953" s="43">
        <f>Data!S951</f>
        <v>46174.36759170139</v>
      </c>
      <c r="K953" s="44">
        <f>Data!S951</f>
        <v>46174.36759170139</v>
      </c>
      <c r="L953" s="45">
        <f>Data!T951</f>
        <v>6.6481481481481478E-5</v>
      </c>
      <c r="M953" s="46">
        <f>Data!U951</f>
        <v>6.3333407044410706E-2</v>
      </c>
      <c r="N953" s="46" t="str">
        <f>CONCATENATE(Data!W951," (",Data!V951,")")</f>
        <v>Exceso Velocidad 40 Km/h (Velocidad máxima: 42 kmh)</v>
      </c>
      <c r="O953" s="42" t="str">
        <f>IF(Data!V951&lt;&gt;"",N953,Data!W951)</f>
        <v>Exceso Velocidad 40 Km/h (Velocidad máxima: 42 kmh)</v>
      </c>
      <c r="P953" s="47" t="str">
        <f>Data!X951</f>
        <v>Válido</v>
      </c>
    </row>
    <row r="954" spans="1:16">
      <c r="A954" s="41" t="str">
        <f>Data!A952</f>
        <v>QLO286</v>
      </c>
      <c r="B954" s="41" t="str">
        <f>Data!D952</f>
        <v>Vehicle, Diesel, ECP 1107 Rubiales Serv. Integrales</v>
      </c>
      <c r="C954" s="41">
        <f>Data!F952</f>
        <v>0</v>
      </c>
      <c r="D954" s="41">
        <f>Data!G952</f>
        <v>0</v>
      </c>
      <c r="E954" s="41">
        <f>Data!H952</f>
        <v>0</v>
      </c>
      <c r="F954" s="41">
        <f>Data!K952</f>
        <v>0</v>
      </c>
      <c r="G954" s="33" t="str">
        <f>Data!M952</f>
        <v>Exceso Velocidad 40 Km/h</v>
      </c>
      <c r="H954" s="41" t="str">
        <f>Data!P952</f>
        <v>ECOPETROL RUBIALES- Quifa - CAÑO SUR: Vía Sin Nombre, Puerto Gaitán, Meta, Colombia</v>
      </c>
      <c r="I954" s="42" t="str">
        <f>Data!Q952</f>
        <v>Cliente, Vel Max 40 Km/h</v>
      </c>
      <c r="J954" s="43">
        <f>Data!S952</f>
        <v>46174.367706018522</v>
      </c>
      <c r="K954" s="44">
        <f>Data!S952</f>
        <v>46174.367706018522</v>
      </c>
      <c r="L954" s="45">
        <f>Data!T952</f>
        <v>2.1064814814814815E-4</v>
      </c>
      <c r="M954" s="46">
        <f>Data!U952</f>
        <v>0.21232619881629944</v>
      </c>
      <c r="N954" s="46" t="str">
        <f>CONCATENATE(Data!W952," (",Data!V952,")")</f>
        <v>Exceso Velocidad 40 Km/h (Velocidad máxima: 44 kmh)</v>
      </c>
      <c r="O954" s="42" t="str">
        <f>IF(Data!V952&lt;&gt;"",N954,Data!W952)</f>
        <v>Exceso Velocidad 40 Km/h (Velocidad máxima: 44 kmh)</v>
      </c>
      <c r="P954" s="47" t="str">
        <f>Data!X952</f>
        <v>Válido</v>
      </c>
    </row>
    <row r="955" spans="1:16">
      <c r="A955" s="41" t="str">
        <f>Data!A953</f>
        <v>QLO286</v>
      </c>
      <c r="B955" s="41" t="str">
        <f>Data!D953</f>
        <v>Vehicle, Diesel, ECP 1107 Rubiales Serv. Integrales</v>
      </c>
      <c r="C955" s="41">
        <f>Data!F953</f>
        <v>0</v>
      </c>
      <c r="D955" s="41">
        <f>Data!G953</f>
        <v>0</v>
      </c>
      <c r="E955" s="41">
        <f>Data!H953</f>
        <v>0</v>
      </c>
      <c r="F955" s="41">
        <f>Data!K953</f>
        <v>0</v>
      </c>
      <c r="G955" s="33" t="str">
        <f>Data!M953</f>
        <v>Aceleración brusca (nuevo)</v>
      </c>
      <c r="H955" s="41" t="str">
        <f>Data!P953</f>
        <v>ECOPETROL RUBIALES- Quifa - CAÑO SUR: Vía Sin Nombre, Puerto Gaitán, Meta, Colombia</v>
      </c>
      <c r="I955" s="42" t="str">
        <f>Data!Q953</f>
        <v>Cliente, Vel Max 40 Km/h</v>
      </c>
      <c r="J955" s="43">
        <f>Data!S953</f>
        <v>46174.370682870373</v>
      </c>
      <c r="K955" s="44">
        <f>Data!S953</f>
        <v>46174.370682870373</v>
      </c>
      <c r="L955" s="45">
        <f>Data!T953</f>
        <v>0</v>
      </c>
      <c r="M955" s="46">
        <f>Data!U953</f>
        <v>0</v>
      </c>
      <c r="N955" s="46" t="str">
        <f>CONCATENATE(Data!W953," (",Data!V953,")")</f>
        <v>Aceleración brusca (nuevo) (Clase de vehículo para métricas de seguridad: Otra clase (no estandarizada), Velocidad máxima: 6 kmh,  Ignición: 1)</v>
      </c>
      <c r="O955" s="42" t="str">
        <f>IF(Data!V953&lt;&gt;"",N955,Data!W953)</f>
        <v>Aceleración brusca (nuevo) (Clase de vehículo para métricas de seguridad: Otra clase (no estandarizada), Velocidad máxima: 6 kmh,  Ignición: 1)</v>
      </c>
      <c r="P955" s="47" t="str">
        <f>Data!X953</f>
        <v>Válido</v>
      </c>
    </row>
    <row r="956" spans="1:16">
      <c r="A956" s="41" t="str">
        <f>Data!A954</f>
        <v>QLO286</v>
      </c>
      <c r="B956" s="41" t="str">
        <f>Data!D954</f>
        <v>Vehicle, Diesel, ECP 1107 Rubiales Serv. Integrales</v>
      </c>
      <c r="C956" s="41">
        <f>Data!F954</f>
        <v>0</v>
      </c>
      <c r="D956" s="41">
        <f>Data!G954</f>
        <v>0</v>
      </c>
      <c r="E956" s="41">
        <f>Data!H954</f>
        <v>0</v>
      </c>
      <c r="F956" s="41">
        <f>Data!K954</f>
        <v>0</v>
      </c>
      <c r="G956" s="33" t="str">
        <f>Data!M954</f>
        <v>Exceso Velocidad 40 Km/h</v>
      </c>
      <c r="H956" s="41" t="str">
        <f>Data!P954</f>
        <v>ECOPETROL RUBIALES- Quifa - CAÑO SUR: Vía Sin Nombre, Puerto Gaitán, Meta, Colombia</v>
      </c>
      <c r="I956" s="42" t="str">
        <f>Data!Q954</f>
        <v>Cliente, Vel Max 40 Km/h</v>
      </c>
      <c r="J956" s="43">
        <f>Data!S954</f>
        <v>46174.371959328702</v>
      </c>
      <c r="K956" s="44">
        <f>Data!S954</f>
        <v>46174.371959328702</v>
      </c>
      <c r="L956" s="45">
        <f>Data!T954</f>
        <v>1.3789351851851853E-4</v>
      </c>
      <c r="M956" s="46">
        <f>Data!U954</f>
        <v>0.13488870859146118</v>
      </c>
      <c r="N956" s="46" t="str">
        <f>CONCATENATE(Data!W954," (",Data!V954,")")</f>
        <v>Exceso Velocidad 40 Km/h (Velocidad máxima: 44 kmh)</v>
      </c>
      <c r="O956" s="42" t="str">
        <f>IF(Data!V954&lt;&gt;"",N956,Data!W954)</f>
        <v>Exceso Velocidad 40 Km/h (Velocidad máxima: 44 kmh)</v>
      </c>
      <c r="P956" s="47" t="str">
        <f>Data!X954</f>
        <v>Válido</v>
      </c>
    </row>
    <row r="957" spans="1:16">
      <c r="A957" s="41" t="str">
        <f>Data!A955</f>
        <v>QLO286</v>
      </c>
      <c r="B957" s="41" t="str">
        <f>Data!D955</f>
        <v>Vehicle, Diesel, ECP 1107 Rubiales Serv. Integrales</v>
      </c>
      <c r="C957" s="41">
        <f>Data!F955</f>
        <v>0</v>
      </c>
      <c r="D957" s="41">
        <f>Data!G955</f>
        <v>0</v>
      </c>
      <c r="E957" s="41">
        <f>Data!H955</f>
        <v>0</v>
      </c>
      <c r="F957" s="41">
        <f>Data!K955</f>
        <v>0</v>
      </c>
      <c r="G957" s="33" t="str">
        <f>Data!M955</f>
        <v>Exceso Velocidad 40 Km/h</v>
      </c>
      <c r="H957" s="41" t="str">
        <f>Data!P955</f>
        <v>ECOPETROL RUBIALES- Quifa - CAÑO SUR: Vía Sin Nombre, Puerto Gaitán, Meta, Colombia</v>
      </c>
      <c r="I957" s="42" t="str">
        <f>Data!Q955</f>
        <v>Cliente, Vel Max 40 Km/h</v>
      </c>
      <c r="J957" s="43">
        <f>Data!S955</f>
        <v>46174.372982256944</v>
      </c>
      <c r="K957" s="44">
        <f>Data!S955</f>
        <v>46174.372982256944</v>
      </c>
      <c r="L957" s="45">
        <f>Data!T955</f>
        <v>1.0288194444444445E-4</v>
      </c>
      <c r="M957" s="46">
        <f>Data!U955</f>
        <v>9.7642615437507629E-2</v>
      </c>
      <c r="N957" s="46" t="str">
        <f>CONCATENATE(Data!W955," (",Data!V955,")")</f>
        <v>Exceso Velocidad 40 Km/h (Velocidad máxima: 42 kmh)</v>
      </c>
      <c r="O957" s="42" t="str">
        <f>IF(Data!V955&lt;&gt;"",N957,Data!W955)</f>
        <v>Exceso Velocidad 40 Km/h (Velocidad máxima: 42 kmh)</v>
      </c>
      <c r="P957" s="47" t="str">
        <f>Data!X955</f>
        <v>Válido</v>
      </c>
    </row>
    <row r="958" spans="1:16">
      <c r="A958" s="41" t="str">
        <f>Data!A956</f>
        <v>QLO286</v>
      </c>
      <c r="B958" s="41" t="str">
        <f>Data!D956</f>
        <v>Vehicle, Diesel, ECP 1107 Rubiales Serv. Integrales</v>
      </c>
      <c r="C958" s="41">
        <f>Data!F956</f>
        <v>0</v>
      </c>
      <c r="D958" s="41">
        <f>Data!G956</f>
        <v>0</v>
      </c>
      <c r="E958" s="41">
        <f>Data!H956</f>
        <v>0</v>
      </c>
      <c r="F958" s="41">
        <f>Data!K956</f>
        <v>0</v>
      </c>
      <c r="G958" s="33" t="str">
        <f>Data!M956</f>
        <v>Exceso Velocidad 40 Km/h</v>
      </c>
      <c r="H958" s="41" t="str">
        <f>Data!P956</f>
        <v>ECOPETROL RUBIALES- Quifa - CAÑO SUR: Vía Sin Nombre, Puerto Gaitán, Meta, Colombia</v>
      </c>
      <c r="I958" s="42" t="str">
        <f>Data!Q956</f>
        <v>Cliente, Vel Max 40 Km/h</v>
      </c>
      <c r="J958" s="43">
        <f>Data!S956</f>
        <v>46174.374637893518</v>
      </c>
      <c r="K958" s="44">
        <f>Data!S956</f>
        <v>46174.374637893518</v>
      </c>
      <c r="L958" s="45">
        <f>Data!T956</f>
        <v>7.1099537037037038E-5</v>
      </c>
      <c r="M958" s="46">
        <f>Data!U956</f>
        <v>7.2492122650146484E-2</v>
      </c>
      <c r="N958" s="46" t="str">
        <f>CONCATENATE(Data!W956," (",Data!V956,")")</f>
        <v>Exceso Velocidad 40 Km/h (Velocidad máxima: 48 kmh)</v>
      </c>
      <c r="O958" s="42" t="str">
        <f>IF(Data!V956&lt;&gt;"",N958,Data!W956)</f>
        <v>Exceso Velocidad 40 Km/h (Velocidad máxima: 48 kmh)</v>
      </c>
      <c r="P958" s="47" t="str">
        <f>Data!X956</f>
        <v>Válido</v>
      </c>
    </row>
    <row r="959" spans="1:16">
      <c r="A959" s="41" t="str">
        <f>Data!A957</f>
        <v>QLO286</v>
      </c>
      <c r="B959" s="41" t="str">
        <f>Data!D957</f>
        <v>Vehicle, Diesel, ECP 1107 Rubiales Serv. Integrales</v>
      </c>
      <c r="C959" s="41">
        <f>Data!F957</f>
        <v>0</v>
      </c>
      <c r="D959" s="41">
        <f>Data!G957</f>
        <v>0</v>
      </c>
      <c r="E959" s="41">
        <f>Data!H957</f>
        <v>0</v>
      </c>
      <c r="F959" s="41">
        <f>Data!K957</f>
        <v>0</v>
      </c>
      <c r="G959" s="33" t="str">
        <f>Data!M957</f>
        <v>Exceso Velocidad 40 Km/h</v>
      </c>
      <c r="H959" s="41" t="str">
        <f>Data!P957</f>
        <v>ECOPETROL RUBIALES- Quifa - CAÑO SUR: Vía Sin Nombre, Puerto Gaitán, Meta, Colombia</v>
      </c>
      <c r="I959" s="42" t="str">
        <f>Data!Q957</f>
        <v>Cliente, Vel Max 40 Km/h</v>
      </c>
      <c r="J959" s="43">
        <f>Data!S957</f>
        <v>46174.37480056713</v>
      </c>
      <c r="K959" s="44">
        <f>Data!S957</f>
        <v>46174.37480056713</v>
      </c>
      <c r="L959" s="45">
        <f>Data!T957</f>
        <v>1.1069444444444444E-4</v>
      </c>
      <c r="M959" s="46">
        <f>Data!U957</f>
        <v>0.1146741658449173</v>
      </c>
      <c r="N959" s="46" t="str">
        <f>CONCATENATE(Data!W957," (",Data!V957,")")</f>
        <v>Exceso Velocidad 40 Km/h (Velocidad máxima: 44 kmh)</v>
      </c>
      <c r="O959" s="42" t="str">
        <f>IF(Data!V957&lt;&gt;"",N959,Data!W957)</f>
        <v>Exceso Velocidad 40 Km/h (Velocidad máxima: 44 kmh)</v>
      </c>
      <c r="P959" s="47" t="str">
        <f>Data!X957</f>
        <v>Válido</v>
      </c>
    </row>
    <row r="960" spans="1:16">
      <c r="A960" s="41" t="str">
        <f>Data!A958</f>
        <v>QLO286</v>
      </c>
      <c r="B960" s="41" t="str">
        <f>Data!D958</f>
        <v>Vehicle, Diesel, ECP 1107 Rubiales Serv. Integrales</v>
      </c>
      <c r="C960" s="41">
        <f>Data!F958</f>
        <v>0</v>
      </c>
      <c r="D960" s="41">
        <f>Data!G958</f>
        <v>0</v>
      </c>
      <c r="E960" s="41">
        <f>Data!H958</f>
        <v>0</v>
      </c>
      <c r="F960" s="41">
        <f>Data!K958</f>
        <v>0</v>
      </c>
      <c r="G960" s="33" t="str">
        <f>Data!M958</f>
        <v>Frenado brusco (nuevo)</v>
      </c>
      <c r="H960" s="41" t="str">
        <f>Data!P958</f>
        <v>ECOPETROL RUBIALES- Quifa - CAÑO SUR: Vía Sin Nombre, Puerto Gaitán, Meta, Colombia</v>
      </c>
      <c r="I960" s="42" t="str">
        <f>Data!Q958</f>
        <v>Cliente, Vel Max 40 Km/h</v>
      </c>
      <c r="J960" s="43">
        <f>Data!S958</f>
        <v>46174.374930555554</v>
      </c>
      <c r="K960" s="44">
        <f>Data!S958</f>
        <v>46174.374930555554</v>
      </c>
      <c r="L960" s="45">
        <f>Data!T958</f>
        <v>0</v>
      </c>
      <c r="M960" s="46">
        <f>Data!U958</f>
        <v>0</v>
      </c>
      <c r="N960" s="46" t="str">
        <f>CONCATENATE(Data!W958," (",Data!V958,")")</f>
        <v>Frenado brusco (nuevo) (Clase de vehículo para métricas de seguridad: Otra clase (no estandarizada), Velocidad máxima: 35 kmh,  Ignición: 1)</v>
      </c>
      <c r="O960" s="42" t="str">
        <f>IF(Data!V958&lt;&gt;"",N960,Data!W958)</f>
        <v>Frenado brusco (nuevo) (Clase de vehículo para métricas de seguridad: Otra clase (no estandarizada), Velocidad máxima: 35 kmh,  Ignición: 1)</v>
      </c>
      <c r="P960" s="47" t="str">
        <f>Data!X958</f>
        <v>Válido</v>
      </c>
    </row>
    <row r="961" spans="1:16">
      <c r="A961" s="41" t="str">
        <f>Data!A959</f>
        <v>QLO286</v>
      </c>
      <c r="B961" s="41" t="str">
        <f>Data!D959</f>
        <v>Vehicle, Diesel, ECP 1107 Rubiales Serv. Integrales</v>
      </c>
      <c r="C961" s="41">
        <f>Data!F959</f>
        <v>0</v>
      </c>
      <c r="D961" s="41">
        <f>Data!G959</f>
        <v>0</v>
      </c>
      <c r="E961" s="41">
        <f>Data!H959</f>
        <v>0</v>
      </c>
      <c r="F961" s="41">
        <f>Data!K959</f>
        <v>0</v>
      </c>
      <c r="G961" s="33" t="str">
        <f>Data!M959</f>
        <v>Exceso Velocidad 40 Km/h</v>
      </c>
      <c r="H961" s="41" t="str">
        <f>Data!P959</f>
        <v>ECOPETROL RUBIALES- Quifa - CAÑO SUR: Vía Sin Nombre, Puerto Gaitán, Meta, Colombia</v>
      </c>
      <c r="I961" s="42" t="str">
        <f>Data!Q959</f>
        <v>Cliente, Vel Max 40 Km/h</v>
      </c>
      <c r="J961" s="43">
        <f>Data!S959</f>
        <v>46174.375093877316</v>
      </c>
      <c r="K961" s="44">
        <f>Data!S959</f>
        <v>46174.375093877316</v>
      </c>
      <c r="L961" s="45">
        <f>Data!T959</f>
        <v>1.8004629629629629E-4</v>
      </c>
      <c r="M961" s="46">
        <f>Data!U959</f>
        <v>0.19370061159133911</v>
      </c>
      <c r="N961" s="46" t="str">
        <f>CONCATENATE(Data!W959," (",Data!V959,")")</f>
        <v>Exceso Velocidad 40 Km/h (Velocidad máxima: 46 kmh)</v>
      </c>
      <c r="O961" s="42" t="str">
        <f>IF(Data!V959&lt;&gt;"",N961,Data!W959)</f>
        <v>Exceso Velocidad 40 Km/h (Velocidad máxima: 46 kmh)</v>
      </c>
      <c r="P961" s="47" t="str">
        <f>Data!X959</f>
        <v>Válido</v>
      </c>
    </row>
    <row r="962" spans="1:16">
      <c r="A962" s="41" t="str">
        <f>Data!A960</f>
        <v>QLO286</v>
      </c>
      <c r="B962" s="41" t="str">
        <f>Data!D960</f>
        <v>Vehicle, Diesel, ECP 1107 Rubiales Serv. Integrales</v>
      </c>
      <c r="C962" s="41">
        <f>Data!F960</f>
        <v>0</v>
      </c>
      <c r="D962" s="41">
        <f>Data!G960</f>
        <v>0</v>
      </c>
      <c r="E962" s="41">
        <f>Data!H960</f>
        <v>0</v>
      </c>
      <c r="F962" s="41">
        <f>Data!K960</f>
        <v>0</v>
      </c>
      <c r="G962" s="33" t="str">
        <f>Data!M960</f>
        <v>Exceso Velocidad 40 Km/h</v>
      </c>
      <c r="H962" s="41" t="str">
        <f>Data!P960</f>
        <v>ECOPETROL RUBIALES- Quifa - CAÑO SUR: Rb 534 Finca La Pradera, Puerto Gaitán, Meta, Colombia</v>
      </c>
      <c r="I962" s="42" t="str">
        <f>Data!Q960</f>
        <v>Cliente, Vel Max 40 Km/h</v>
      </c>
      <c r="J962" s="43">
        <f>Data!S960</f>
        <v>46174.375491898252</v>
      </c>
      <c r="K962" s="44">
        <f>Data!S960</f>
        <v>46174.375491898252</v>
      </c>
      <c r="L962" s="45">
        <f>Data!T960</f>
        <v>1.3415509259259259E-4</v>
      </c>
      <c r="M962" s="46">
        <f>Data!U960</f>
        <v>0.1311986893415451</v>
      </c>
      <c r="N962" s="46" t="str">
        <f>CONCATENATE(Data!W960," (",Data!V960,")")</f>
        <v>Exceso Velocidad 40 Km/h (Velocidad máxima: 44 kmh)</v>
      </c>
      <c r="O962" s="42" t="str">
        <f>IF(Data!V960&lt;&gt;"",N962,Data!W960)</f>
        <v>Exceso Velocidad 40 Km/h (Velocidad máxima: 44 kmh)</v>
      </c>
      <c r="P962" s="47" t="str">
        <f>Data!X960</f>
        <v>Válido</v>
      </c>
    </row>
    <row r="963" spans="1:16">
      <c r="A963" s="41" t="str">
        <f>Data!A961</f>
        <v>QLO286</v>
      </c>
      <c r="B963" s="41" t="str">
        <f>Data!D961</f>
        <v>Vehicle, Diesel, ECP 1107 Rubiales Serv. Integrales</v>
      </c>
      <c r="C963" s="41">
        <f>Data!F961</f>
        <v>0</v>
      </c>
      <c r="D963" s="41">
        <f>Data!G961</f>
        <v>0</v>
      </c>
      <c r="E963" s="41">
        <f>Data!H961</f>
        <v>0</v>
      </c>
      <c r="F963" s="41">
        <f>Data!K961</f>
        <v>0</v>
      </c>
      <c r="G963" s="33" t="str">
        <f>Data!M961</f>
        <v>Exceso Velocidad 40 Km/h</v>
      </c>
      <c r="H963" s="41" t="str">
        <f>Data!P961</f>
        <v>ECOPETROL RUBIALES- Quifa - CAÑO SUR: Rb 534 Finca La Pradera, Puerto Gaitán, Meta, Colombia</v>
      </c>
      <c r="I963" s="42" t="str">
        <f>Data!Q961</f>
        <v>Cliente, Vel Max 40 Km/h</v>
      </c>
      <c r="J963" s="43">
        <f>Data!S961</f>
        <v>46174.375746527883</v>
      </c>
      <c r="K963" s="44">
        <f>Data!S961</f>
        <v>46174.375746527883</v>
      </c>
      <c r="L963" s="45">
        <f>Data!T961</f>
        <v>2.8935285185185187E-5</v>
      </c>
      <c r="M963" s="46">
        <f>Data!U961</f>
        <v>2.6884200051426888E-2</v>
      </c>
      <c r="N963" s="46" t="str">
        <f>CONCATENATE(Data!W961," (",Data!V961,")")</f>
        <v>Exceso Velocidad 40 Km/h (Velocidad máxima: 41 kmh)</v>
      </c>
      <c r="O963" s="42" t="str">
        <f>IF(Data!V961&lt;&gt;"",N963,Data!W961)</f>
        <v>Exceso Velocidad 40 Km/h (Velocidad máxima: 41 kmh)</v>
      </c>
      <c r="P963" s="47" t="str">
        <f>Data!X961</f>
        <v>Válido</v>
      </c>
    </row>
    <row r="964" spans="1:16">
      <c r="A964" s="41" t="str">
        <f>Data!A962</f>
        <v>QLO286</v>
      </c>
      <c r="B964" s="41" t="str">
        <f>Data!D962</f>
        <v>Vehicle, Diesel, ECP 1107 Rubiales Serv. Integrales</v>
      </c>
      <c r="C964" s="41">
        <f>Data!F962</f>
        <v>0</v>
      </c>
      <c r="D964" s="41">
        <f>Data!G962</f>
        <v>0</v>
      </c>
      <c r="E964" s="41">
        <f>Data!H962</f>
        <v>0</v>
      </c>
      <c r="F964" s="41">
        <f>Data!K962</f>
        <v>0</v>
      </c>
      <c r="G964" s="33" t="str">
        <f>Data!M962</f>
        <v>Aceleración brusca (nuevo)</v>
      </c>
      <c r="H964" s="41" t="str">
        <f>Data!P962</f>
        <v>ECOPETROL RUBIALES- Quifa - CAÑO SUR: Rb 534 Finca La Pradera, Puerto Gaitán, Meta, Colombia</v>
      </c>
      <c r="I964" s="42" t="str">
        <f>Data!Q962</f>
        <v>Cliente, Vel Max 40 Km/h</v>
      </c>
      <c r="J964" s="43">
        <f>Data!S962</f>
        <v>46174.376481481479</v>
      </c>
      <c r="K964" s="44">
        <f>Data!S962</f>
        <v>46174.376481481479</v>
      </c>
      <c r="L964" s="45">
        <f>Data!T962</f>
        <v>0</v>
      </c>
      <c r="M964" s="46">
        <f>Data!U962</f>
        <v>0</v>
      </c>
      <c r="N964" s="46" t="str">
        <f>CONCATENATE(Data!W962," (",Data!V962,")")</f>
        <v>Aceleración brusca (nuevo) (Clase de vehículo para métricas de seguridad: Otra clase (no estandarizada), Velocidad máxima: 8 kmh,  Ignición: 1)</v>
      </c>
      <c r="O964" s="42" t="str">
        <f>IF(Data!V962&lt;&gt;"",N964,Data!W962)</f>
        <v>Aceleración brusca (nuevo) (Clase de vehículo para métricas de seguridad: Otra clase (no estandarizada), Velocidad máxima: 8 kmh,  Ignición: 1)</v>
      </c>
      <c r="P964" s="47" t="str">
        <f>Data!X962</f>
        <v>Válido</v>
      </c>
    </row>
    <row r="965" spans="1:16">
      <c r="A965" s="41" t="str">
        <f>Data!A963</f>
        <v>QLO286</v>
      </c>
      <c r="B965" s="41" t="str">
        <f>Data!D963</f>
        <v>Vehicle, Diesel, ECP 1107 Rubiales Serv. Integrales</v>
      </c>
      <c r="C965" s="41">
        <f>Data!F963</f>
        <v>0</v>
      </c>
      <c r="D965" s="41">
        <f>Data!G963</f>
        <v>0</v>
      </c>
      <c r="E965" s="41">
        <f>Data!H963</f>
        <v>0</v>
      </c>
      <c r="F965" s="41">
        <f>Data!K963</f>
        <v>0</v>
      </c>
      <c r="G965" s="33" t="str">
        <f>Data!M963</f>
        <v>Exceso Velocidad 40 Km/h</v>
      </c>
      <c r="H965" s="41" t="str">
        <f>Data!P963</f>
        <v>ECOPETROL RUBIALES- Quifa - CAÑO SUR: Arrayanes, Puerto Gaitán, Meta, Colombia</v>
      </c>
      <c r="I965" s="42" t="str">
        <f>Data!Q963</f>
        <v>Cliente, Vel Max 40 Km/h</v>
      </c>
      <c r="J965" s="43">
        <f>Data!S963</f>
        <v>46174.376589502317</v>
      </c>
      <c r="K965" s="44">
        <f>Data!S963</f>
        <v>46174.376589502317</v>
      </c>
      <c r="L965" s="45">
        <f>Data!T963</f>
        <v>7.4109953703703707E-4</v>
      </c>
      <c r="M965" s="46">
        <f>Data!U963</f>
        <v>0.79716622829437256</v>
      </c>
      <c r="N965" s="46" t="str">
        <f>CONCATENATE(Data!W963," (",Data!V963,")")</f>
        <v>Exceso Velocidad 40 Km/h (Velocidad máxima: 48 kmh)</v>
      </c>
      <c r="O965" s="42" t="str">
        <f>IF(Data!V963&lt;&gt;"",N965,Data!W963)</f>
        <v>Exceso Velocidad 40 Km/h (Velocidad máxima: 48 kmh)</v>
      </c>
      <c r="P965" s="47" t="str">
        <f>Data!X963</f>
        <v>Válido</v>
      </c>
    </row>
    <row r="966" spans="1:16">
      <c r="A966" s="41" t="str">
        <f>Data!A964</f>
        <v>QLO286</v>
      </c>
      <c r="B966" s="41" t="str">
        <f>Data!D964</f>
        <v>Vehicle, Diesel, ECP 1107 Rubiales Serv. Integrales</v>
      </c>
      <c r="C966" s="41">
        <f>Data!F964</f>
        <v>0</v>
      </c>
      <c r="D966" s="41">
        <f>Data!G964</f>
        <v>0</v>
      </c>
      <c r="E966" s="41">
        <f>Data!H964</f>
        <v>0</v>
      </c>
      <c r="F966" s="41">
        <f>Data!K964</f>
        <v>0</v>
      </c>
      <c r="G966" s="33" t="str">
        <f>Data!M964</f>
        <v>Exceso Velocidad 40 Km/h</v>
      </c>
      <c r="H966" s="41" t="str">
        <f>Data!P964</f>
        <v>ECOPETROL RUBIALES- Quifa - CAÑO SUR: Arrayanes, Puerto Gaitán, Meta, Colombia</v>
      </c>
      <c r="I966" s="42" t="str">
        <f>Data!Q964</f>
        <v>Cliente, Vel Max 40 Km/h</v>
      </c>
      <c r="J966" s="43">
        <f>Data!S964</f>
        <v>46174.377455150461</v>
      </c>
      <c r="K966" s="44">
        <f>Data!S964</f>
        <v>46174.377455150461</v>
      </c>
      <c r="L966" s="45">
        <f>Data!T964</f>
        <v>3.1105324074074076E-4</v>
      </c>
      <c r="M966" s="46">
        <f>Data!U964</f>
        <v>0.32596749067306519</v>
      </c>
      <c r="N966" s="46" t="str">
        <f>CONCATENATE(Data!W964," (",Data!V964,")")</f>
        <v>Exceso Velocidad 40 Km/h (Velocidad máxima: 44 kmh)</v>
      </c>
      <c r="O966" s="42" t="str">
        <f>IF(Data!V964&lt;&gt;"",N966,Data!W964)</f>
        <v>Exceso Velocidad 40 Km/h (Velocidad máxima: 44 kmh)</v>
      </c>
      <c r="P966" s="47" t="str">
        <f>Data!X964</f>
        <v>Válido</v>
      </c>
    </row>
    <row r="967" spans="1:16">
      <c r="A967" s="41" t="str">
        <f>Data!A965</f>
        <v>QLO286</v>
      </c>
      <c r="B967" s="41" t="str">
        <f>Data!D965</f>
        <v>Vehicle, Diesel, ECP 1107 Rubiales Serv. Integrales</v>
      </c>
      <c r="C967" s="41">
        <f>Data!F965</f>
        <v>0</v>
      </c>
      <c r="D967" s="41">
        <f>Data!G965</f>
        <v>0</v>
      </c>
      <c r="E967" s="41">
        <f>Data!H965</f>
        <v>0</v>
      </c>
      <c r="F967" s="41">
        <f>Data!K965</f>
        <v>0</v>
      </c>
      <c r="G967" s="33" t="str">
        <f>Data!M965</f>
        <v>Exceso Velocidad 40 Km/h</v>
      </c>
      <c r="H967" s="41" t="str">
        <f>Data!P965</f>
        <v>ECOPETROL RUBIALES- Quifa - CAÑO SUR: Arrayanes, Puerto Gaitán, Meta, Colombia</v>
      </c>
      <c r="I967" s="42" t="str">
        <f>Data!Q965</f>
        <v>Cliente, Vel Max 40 Km/h</v>
      </c>
      <c r="J967" s="43">
        <f>Data!S965</f>
        <v>46174.378228275462</v>
      </c>
      <c r="K967" s="44">
        <f>Data!S965</f>
        <v>46174.378228275462</v>
      </c>
      <c r="L967" s="45">
        <f>Data!T965</f>
        <v>2.2079861111111112E-4</v>
      </c>
      <c r="M967" s="46">
        <f>Data!U965</f>
        <v>0.22209222614765167</v>
      </c>
      <c r="N967" s="46" t="str">
        <f>CONCATENATE(Data!W965," (",Data!V965,")")</f>
        <v>Exceso Velocidad 40 Km/h (Velocidad máxima: 42 kmh)</v>
      </c>
      <c r="O967" s="42" t="str">
        <f>IF(Data!V965&lt;&gt;"",N967,Data!W965)</f>
        <v>Exceso Velocidad 40 Km/h (Velocidad máxima: 42 kmh)</v>
      </c>
      <c r="P967" s="47" t="str">
        <f>Data!X965</f>
        <v>Válido</v>
      </c>
    </row>
    <row r="968" spans="1:16">
      <c r="A968" s="41" t="str">
        <f>Data!A966</f>
        <v>QLO286</v>
      </c>
      <c r="B968" s="41" t="str">
        <f>Data!D966</f>
        <v>Vehicle, Diesel, ECP 1107 Rubiales Serv. Integrales</v>
      </c>
      <c r="C968" s="41">
        <f>Data!F966</f>
        <v>0</v>
      </c>
      <c r="D968" s="41">
        <f>Data!G966</f>
        <v>0</v>
      </c>
      <c r="E968" s="41">
        <f>Data!H966</f>
        <v>0</v>
      </c>
      <c r="F968" s="41">
        <f>Data!K966</f>
        <v>0</v>
      </c>
      <c r="G968" s="33" t="str">
        <f>Data!M966</f>
        <v>Exceso Velocidad 40 Km/h</v>
      </c>
      <c r="H968" s="41" t="str">
        <f>Data!P966</f>
        <v>ECOPETROL RUBIALES- Quifa - CAÑO SUR: Arrayanes, Puerto Gaitán, Meta, Colombia</v>
      </c>
      <c r="I968" s="42" t="str">
        <f>Data!Q966</f>
        <v>Cliente, Vel Max 40 Km/h</v>
      </c>
      <c r="J968" s="43">
        <f>Data!S966</f>
        <v>46174.378553240742</v>
      </c>
      <c r="K968" s="44">
        <f>Data!S966</f>
        <v>46174.378553240742</v>
      </c>
      <c r="L968" s="45">
        <f>Data!T966</f>
        <v>1.5431712962962963E-4</v>
      </c>
      <c r="M968" s="46">
        <f>Data!U966</f>
        <v>0.15736755728721619</v>
      </c>
      <c r="N968" s="46" t="str">
        <f>CONCATENATE(Data!W966," (",Data!V966,")")</f>
        <v>Exceso Velocidad 40 Km/h (Velocidad máxima: 42 kmh)</v>
      </c>
      <c r="O968" s="42" t="str">
        <f>IF(Data!V966&lt;&gt;"",N968,Data!W966)</f>
        <v>Exceso Velocidad 40 Km/h (Velocidad máxima: 42 kmh)</v>
      </c>
      <c r="P968" s="47" t="str">
        <f>Data!X966</f>
        <v>Válido</v>
      </c>
    </row>
    <row r="969" spans="1:16">
      <c r="A969" s="41" t="str">
        <f>Data!A967</f>
        <v>QLO286</v>
      </c>
      <c r="B969" s="41" t="str">
        <f>Data!D967</f>
        <v>Vehicle, Diesel, ECP 1107 Rubiales Serv. Integrales</v>
      </c>
      <c r="C969" s="41">
        <f>Data!F967</f>
        <v>0</v>
      </c>
      <c r="D969" s="41">
        <f>Data!G967</f>
        <v>0</v>
      </c>
      <c r="E969" s="41">
        <f>Data!H967</f>
        <v>0</v>
      </c>
      <c r="F969" s="41">
        <f>Data!K967</f>
        <v>0</v>
      </c>
      <c r="G969" s="33" t="str">
        <f>Data!M967</f>
        <v>Exceso Velocidad 20 Km/h</v>
      </c>
      <c r="H969" s="41" t="str">
        <f>Data!P967</f>
        <v>ECOPETROL RUBIALES- Quifa - CAÑO SUR, VEREDA BUENOS AIRES: Arrayanes, Puerto Gaitán, Meta, Colombia</v>
      </c>
      <c r="I969" s="42" t="str">
        <f>Data!Q967</f>
        <v>Cliente, Vel Max 40 Km/h, Vel Max 20 Km/h</v>
      </c>
      <c r="J969" s="43">
        <f>Data!S967</f>
        <v>46174.378640532406</v>
      </c>
      <c r="K969" s="44">
        <f>Data!S967</f>
        <v>46174.378640532406</v>
      </c>
      <c r="L969" s="45">
        <f>Data!T967</f>
        <v>5.6442129629629626E-4</v>
      </c>
      <c r="M969" s="46">
        <f>Data!U967</f>
        <v>0.53302913904190063</v>
      </c>
      <c r="N969" s="46" t="str">
        <f>CONCATENATE(Data!W967," (",Data!V967,")")</f>
        <v>Exceso Velocidad 20 Km/h (Velocidad máxima: 44 kmh)</v>
      </c>
      <c r="O969" s="42" t="str">
        <f>IF(Data!V967&lt;&gt;"",N969,Data!W967)</f>
        <v>Exceso Velocidad 20 Km/h (Velocidad máxima: 44 kmh)</v>
      </c>
      <c r="P969" s="47" t="str">
        <f>Data!X967</f>
        <v>Válido</v>
      </c>
    </row>
    <row r="970" spans="1:16">
      <c r="A970" s="41" t="str">
        <f>Data!A968</f>
        <v>QLO286</v>
      </c>
      <c r="B970" s="41" t="str">
        <f>Data!D968</f>
        <v>Vehicle, Diesel, ECP 1107 Rubiales Serv. Integrales</v>
      </c>
      <c r="C970" s="41">
        <f>Data!F968</f>
        <v>0</v>
      </c>
      <c r="D970" s="41">
        <f>Data!G968</f>
        <v>0</v>
      </c>
      <c r="E970" s="41">
        <f>Data!H968</f>
        <v>0</v>
      </c>
      <c r="F970" s="41">
        <f>Data!K968</f>
        <v>0</v>
      </c>
      <c r="G970" s="33" t="str">
        <f>Data!M968</f>
        <v>Exceso Velocidad 40 Km/h</v>
      </c>
      <c r="H970" s="41" t="str">
        <f>Data!P968</f>
        <v>ECOPETROL RUBIALES- Quifa - CAÑO SUR, VEREDA BUENOS AIRES: Arrayanes, Puerto Gaitán, Meta, Colombia</v>
      </c>
      <c r="I970" s="42" t="str">
        <f>Data!Q968</f>
        <v>Cliente, Vel Max 40 Km/h, Vel Max 20 Km/h</v>
      </c>
      <c r="J970" s="43">
        <f>Data!S968</f>
        <v>46174.378784722219</v>
      </c>
      <c r="K970" s="44">
        <f>Data!S968</f>
        <v>46174.378784722219</v>
      </c>
      <c r="L970" s="45">
        <f>Data!T968</f>
        <v>1.3375E-4</v>
      </c>
      <c r="M970" s="46">
        <f>Data!U968</f>
        <v>0.13156197965145111</v>
      </c>
      <c r="N970" s="46" t="str">
        <f>CONCATENATE(Data!W968," (",Data!V968,")")</f>
        <v>Exceso Velocidad 40 Km/h (Velocidad máxima: 42 kmh)</v>
      </c>
      <c r="O970" s="42" t="str">
        <f>IF(Data!V968&lt;&gt;"",N970,Data!W968)</f>
        <v>Exceso Velocidad 40 Km/h (Velocidad máxima: 42 kmh)</v>
      </c>
      <c r="P970" s="47" t="str">
        <f>Data!X968</f>
        <v>Válido</v>
      </c>
    </row>
    <row r="971" spans="1:16">
      <c r="A971" s="41" t="str">
        <f>Data!A969</f>
        <v>QLO286</v>
      </c>
      <c r="B971" s="41" t="str">
        <f>Data!D969</f>
        <v>Vehicle, Diesel, ECP 1107 Rubiales Serv. Integrales</v>
      </c>
      <c r="C971" s="41">
        <f>Data!F969</f>
        <v>0</v>
      </c>
      <c r="D971" s="41">
        <f>Data!G969</f>
        <v>0</v>
      </c>
      <c r="E971" s="41">
        <f>Data!H969</f>
        <v>0</v>
      </c>
      <c r="F971" s="41">
        <f>Data!K969</f>
        <v>0</v>
      </c>
      <c r="G971" s="33" t="str">
        <f>Data!M969</f>
        <v>Exceso Velocidad 40 Km/h</v>
      </c>
      <c r="H971" s="41" t="str">
        <f>Data!P969</f>
        <v>ECOPETROL RUBIALES- Quifa - CAÑO SUR, VEREDA BUENOS AIRES: Finca San Pedro, Puerto Gaitán, Meta, Colombia</v>
      </c>
      <c r="I971" s="42" t="str">
        <f>Data!Q969</f>
        <v>Cliente, Vel Max 40 Km/h, Vel Max 20 Km/h</v>
      </c>
      <c r="J971" s="43">
        <f>Data!S969</f>
        <v>46174.3790691088</v>
      </c>
      <c r="K971" s="44">
        <f>Data!S969</f>
        <v>46174.3790691088</v>
      </c>
      <c r="L971" s="45">
        <f>Data!T969</f>
        <v>8.8703703703703701E-5</v>
      </c>
      <c r="M971" s="46">
        <f>Data!U969</f>
        <v>8.9250490069389343E-2</v>
      </c>
      <c r="N971" s="46" t="str">
        <f>CONCATENATE(Data!W969," (",Data!V969,")")</f>
        <v>Exceso Velocidad 40 Km/h (Velocidad máxima: 44 kmh)</v>
      </c>
      <c r="O971" s="42" t="str">
        <f>IF(Data!V969&lt;&gt;"",N971,Data!W969)</f>
        <v>Exceso Velocidad 40 Km/h (Velocidad máxima: 44 kmh)</v>
      </c>
      <c r="P971" s="47" t="str">
        <f>Data!X969</f>
        <v>Válido</v>
      </c>
    </row>
    <row r="972" spans="1:16">
      <c r="A972" s="41" t="str">
        <f>Data!A970</f>
        <v>QLO286</v>
      </c>
      <c r="B972" s="41" t="str">
        <f>Data!D970</f>
        <v>Vehicle, Diesel, ECP 1107 Rubiales Serv. Integrales</v>
      </c>
      <c r="C972" s="41">
        <f>Data!F970</f>
        <v>0</v>
      </c>
      <c r="D972" s="41">
        <f>Data!G970</f>
        <v>0</v>
      </c>
      <c r="E972" s="41">
        <f>Data!H970</f>
        <v>0</v>
      </c>
      <c r="F972" s="41">
        <f>Data!K970</f>
        <v>0</v>
      </c>
      <c r="G972" s="33" t="str">
        <f>Data!M970</f>
        <v>Frenado brusco (nuevo)</v>
      </c>
      <c r="H972" s="41" t="str">
        <f>Data!P970</f>
        <v>ECOPETROL RUBIALES- Quifa - CAÑO SUR, VEREDA BUENOS AIRES: Finca San Pedro, Puerto Gaitán, Meta, Colombia</v>
      </c>
      <c r="I972" s="42" t="str">
        <f>Data!Q970</f>
        <v>Cliente, Vel Max 40 Km/h, Vel Max 20 Km/h</v>
      </c>
      <c r="J972" s="43">
        <f>Data!S970</f>
        <v>46174.379201388889</v>
      </c>
      <c r="K972" s="44">
        <f>Data!S970</f>
        <v>46174.379201388889</v>
      </c>
      <c r="L972" s="45">
        <f>Data!T970</f>
        <v>0</v>
      </c>
      <c r="M972" s="46">
        <f>Data!U970</f>
        <v>0</v>
      </c>
      <c r="N972" s="46" t="str">
        <f>CONCATENATE(Data!W970," (",Data!V970,")")</f>
        <v>Frenado brusco (nuevo) (Clase de vehículo para métricas de seguridad: Otra clase (no estandarizada), Velocidad máxima: 22 kmh,  Ignición: 1)</v>
      </c>
      <c r="O972" s="42" t="str">
        <f>IF(Data!V970&lt;&gt;"",N972,Data!W970)</f>
        <v>Frenado brusco (nuevo) (Clase de vehículo para métricas de seguridad: Otra clase (no estandarizada), Velocidad máxima: 22 kmh,  Ignición: 1)</v>
      </c>
      <c r="P972" s="47" t="str">
        <f>Data!X970</f>
        <v>Válido</v>
      </c>
    </row>
    <row r="973" spans="1:16">
      <c r="A973" s="41" t="str">
        <f>Data!A971</f>
        <v>QLO286</v>
      </c>
      <c r="B973" s="41" t="str">
        <f>Data!D971</f>
        <v>Vehicle, Diesel, ECP 1107 Rubiales Serv. Integrales</v>
      </c>
      <c r="C973" s="41">
        <f>Data!F971</f>
        <v>0</v>
      </c>
      <c r="D973" s="41">
        <f>Data!G971</f>
        <v>0</v>
      </c>
      <c r="E973" s="41">
        <f>Data!H971</f>
        <v>0</v>
      </c>
      <c r="F973" s="41">
        <f>Data!K971</f>
        <v>0</v>
      </c>
      <c r="G973" s="33" t="str">
        <f>Data!M971</f>
        <v>Exceso Velocidad 20 Km/h</v>
      </c>
      <c r="H973" s="41" t="str">
        <f>Data!P971</f>
        <v>ECOPETROL RUBIALES- Quifa - CAÑO SUR, VEREDA BUENOS AIRES: Finca San Pedro, Puerto Gaitán, Meta, Colombia</v>
      </c>
      <c r="I973" s="42" t="str">
        <f>Data!Q971</f>
        <v>Cliente, Vel Max 40 Km/h, Vel Max 20 Km/h</v>
      </c>
      <c r="J973" s="43">
        <f>Data!S971</f>
        <v>46174.379286261574</v>
      </c>
      <c r="K973" s="44">
        <f>Data!S971</f>
        <v>46174.379286261574</v>
      </c>
      <c r="L973" s="45">
        <f>Data!T971</f>
        <v>3.7809027777777776E-4</v>
      </c>
      <c r="M973" s="46">
        <f>Data!U971</f>
        <v>0.2850278913974762</v>
      </c>
      <c r="N973" s="46" t="str">
        <f>CONCATENATE(Data!W971," (",Data!V971,")")</f>
        <v>Exceso Velocidad 20 Km/h (Velocidad máxima: 42 kmh)</v>
      </c>
      <c r="O973" s="42" t="str">
        <f>IF(Data!V971&lt;&gt;"",N973,Data!W971)</f>
        <v>Exceso Velocidad 20 Km/h (Velocidad máxima: 42 kmh)</v>
      </c>
      <c r="P973" s="47" t="str">
        <f>Data!X971</f>
        <v>Válido</v>
      </c>
    </row>
    <row r="974" spans="1:16">
      <c r="A974" s="41" t="str">
        <f>Data!A972</f>
        <v>QLO286</v>
      </c>
      <c r="B974" s="41" t="str">
        <f>Data!D972</f>
        <v>Vehicle, Diesel, ECP 1107 Rubiales Serv. Integrales</v>
      </c>
      <c r="C974" s="41">
        <f>Data!F972</f>
        <v>0</v>
      </c>
      <c r="D974" s="41">
        <f>Data!G972</f>
        <v>0</v>
      </c>
      <c r="E974" s="41">
        <f>Data!H972</f>
        <v>0</v>
      </c>
      <c r="F974" s="41">
        <f>Data!K972</f>
        <v>0</v>
      </c>
      <c r="G974" s="33" t="str">
        <f>Data!M972</f>
        <v>Exceso Velocidad 40 Km/h</v>
      </c>
      <c r="H974" s="41" t="str">
        <f>Data!P972</f>
        <v>ECOPETROL RUBIALES- Quifa - CAÑO SUR, VEREDA BUENOS AIRES: Finca San Pedro, Puerto Gaitán, Meta, Colombia</v>
      </c>
      <c r="I974" s="42" t="str">
        <f>Data!Q972</f>
        <v>Cliente, Vel Max 40 Km/h, Vel Max 20 Km/h</v>
      </c>
      <c r="J974" s="43">
        <f>Data!S972</f>
        <v>46174.379475312497</v>
      </c>
      <c r="K974" s="44">
        <f>Data!S972</f>
        <v>46174.379475312497</v>
      </c>
      <c r="L974" s="45">
        <f>Data!T972</f>
        <v>2.8287037037037037E-5</v>
      </c>
      <c r="M974" s="46">
        <f>Data!U972</f>
        <v>2.6545688509941101E-2</v>
      </c>
      <c r="N974" s="46" t="str">
        <f>CONCATENATE(Data!W972," (",Data!V972,")")</f>
        <v>Exceso Velocidad 40 Km/h (Velocidad máxima: 42 kmh)</v>
      </c>
      <c r="O974" s="42" t="str">
        <f>IF(Data!V972&lt;&gt;"",N974,Data!W972)</f>
        <v>Exceso Velocidad 40 Km/h (Velocidad máxima: 42 kmh)</v>
      </c>
      <c r="P974" s="47" t="str">
        <f>Data!X972</f>
        <v>Válido</v>
      </c>
    </row>
    <row r="975" spans="1:16">
      <c r="A975" s="41" t="str">
        <f>Data!A973</f>
        <v>QLO286</v>
      </c>
      <c r="B975" s="41" t="str">
        <f>Data!D973</f>
        <v>Vehicle, Diesel, ECP 1107 Rubiales Serv. Integrales</v>
      </c>
      <c r="C975" s="41">
        <f>Data!F973</f>
        <v>0</v>
      </c>
      <c r="D975" s="41">
        <f>Data!G973</f>
        <v>0</v>
      </c>
      <c r="E975" s="41">
        <f>Data!H973</f>
        <v>0</v>
      </c>
      <c r="F975" s="41">
        <f>Data!K973</f>
        <v>0</v>
      </c>
      <c r="G975" s="33" t="str">
        <f>Data!M973</f>
        <v>Exceso Velocidad 20 Km/h</v>
      </c>
      <c r="H975" s="41" t="str">
        <f>Data!P973</f>
        <v>ECOPETROL RUBIALES- Quifa - CAÑO SUR, VEREDA BUENOS AIRES: Finca San Pedro, Puerto Gaitán, Meta, Colombia</v>
      </c>
      <c r="I975" s="42" t="str">
        <f>Data!Q973</f>
        <v>Cliente, Vel Max 40 Km/h, Vel Max 20 Km/h</v>
      </c>
      <c r="J975" s="43">
        <f>Data!S973</f>
        <v>46174.379687499997</v>
      </c>
      <c r="K975" s="44">
        <f>Data!S973</f>
        <v>46174.379687499997</v>
      </c>
      <c r="L975" s="45">
        <f>Data!T973</f>
        <v>5.4710648148148145E-5</v>
      </c>
      <c r="M975" s="46">
        <f>Data!U973</f>
        <v>3.3358745276927948E-2</v>
      </c>
      <c r="N975" s="46" t="str">
        <f>CONCATENATE(Data!W973," (",Data!V973,")")</f>
        <v>Exceso Velocidad 20 Km/h (Velocidad máxima: 29 kmh)</v>
      </c>
      <c r="O975" s="42" t="str">
        <f>IF(Data!V973&lt;&gt;"",N975,Data!W973)</f>
        <v>Exceso Velocidad 20 Km/h (Velocidad máxima: 29 kmh)</v>
      </c>
      <c r="P975" s="47" t="str">
        <f>Data!X973</f>
        <v>Válido</v>
      </c>
    </row>
    <row r="976" spans="1:16">
      <c r="A976" s="41" t="str">
        <f>Data!A974</f>
        <v>QLO286</v>
      </c>
      <c r="B976" s="41" t="str">
        <f>Data!D974</f>
        <v>Vehicle, Diesel, ECP 1107 Rubiales Serv. Integrales</v>
      </c>
      <c r="C976" s="41">
        <f>Data!F974</f>
        <v>0</v>
      </c>
      <c r="D976" s="41">
        <f>Data!G974</f>
        <v>0</v>
      </c>
      <c r="E976" s="41">
        <f>Data!H974</f>
        <v>0</v>
      </c>
      <c r="F976" s="41">
        <f>Data!K974</f>
        <v>0</v>
      </c>
      <c r="G976" s="33" t="str">
        <f>Data!M974</f>
        <v>Frenado brusco (nuevo)</v>
      </c>
      <c r="H976" s="41" t="str">
        <f>Data!P974</f>
        <v>ECOPETROL RUBIALES- Quifa - CAÑO SUR, VEREDA BUENOS AIRES: Finca San Pedro, Puerto Gaitán, Meta, Colombia</v>
      </c>
      <c r="I976" s="42" t="str">
        <f>Data!Q974</f>
        <v>Cliente, Vel Max 40 Km/h, Vel Max 20 Km/h</v>
      </c>
      <c r="J976" s="43">
        <f>Data!S974</f>
        <v>46174.379733796297</v>
      </c>
      <c r="K976" s="44">
        <f>Data!S974</f>
        <v>46174.379733796297</v>
      </c>
      <c r="L976" s="45">
        <f>Data!T974</f>
        <v>0</v>
      </c>
      <c r="M976" s="46">
        <f>Data!U974</f>
        <v>0</v>
      </c>
      <c r="N976" s="46" t="str">
        <f>CONCATENATE(Data!W974," (",Data!V974,")")</f>
        <v>Frenado brusco (nuevo) (Clase de vehículo para métricas de seguridad: Otra clase (no estandarizada), Velocidad máxima: 24 kmh,  Ignición: 1)</v>
      </c>
      <c r="O976" s="42" t="str">
        <f>IF(Data!V974&lt;&gt;"",N976,Data!W974)</f>
        <v>Frenado brusco (nuevo) (Clase de vehículo para métricas de seguridad: Otra clase (no estandarizada), Velocidad máxima: 24 kmh,  Ignición: 1)</v>
      </c>
      <c r="P976" s="47" t="str">
        <f>Data!X974</f>
        <v>Válido</v>
      </c>
    </row>
    <row r="977" spans="1:16">
      <c r="A977" s="41" t="str">
        <f>Data!A975</f>
        <v>QLO286</v>
      </c>
      <c r="B977" s="41" t="str">
        <f>Data!D975</f>
        <v>Vehicle, Diesel, ECP 1107 Rubiales Serv. Integrales</v>
      </c>
      <c r="C977" s="41">
        <f>Data!F975</f>
        <v>0</v>
      </c>
      <c r="D977" s="41">
        <f>Data!G975</f>
        <v>0</v>
      </c>
      <c r="E977" s="41">
        <f>Data!H975</f>
        <v>0</v>
      </c>
      <c r="F977" s="41">
        <f>Data!K975</f>
        <v>0</v>
      </c>
      <c r="G977" s="33" t="str">
        <f>Data!M975</f>
        <v>Exceso Velocidad 20 Km/h</v>
      </c>
      <c r="H977" s="41" t="str">
        <f>Data!P975</f>
        <v>ECOPETROL RUBIALES- Quifa - CAÑO SUR, VEREDA BUENOS AIRES: Finca San Pedro, Puerto Gaitán, Meta, Colombia</v>
      </c>
      <c r="I977" s="42" t="str">
        <f>Data!Q975</f>
        <v>Cliente, Vel Max 40 Km/h, Vel Max 20 Km/h</v>
      </c>
      <c r="J977" s="43">
        <f>Data!S975</f>
        <v>46174.37975925926</v>
      </c>
      <c r="K977" s="44">
        <f>Data!S975</f>
        <v>46174.37975925926</v>
      </c>
      <c r="L977" s="45">
        <f>Data!T975</f>
        <v>8.9274305555555559E-4</v>
      </c>
      <c r="M977" s="46">
        <f>Data!U975</f>
        <v>0.58511656522750854</v>
      </c>
      <c r="N977" s="46" t="str">
        <f>CONCATENATE(Data!W975," (",Data!V975,")")</f>
        <v>Exceso Velocidad 20 Km/h (Velocidad máxima: 31 kmh)</v>
      </c>
      <c r="O977" s="42" t="str">
        <f>IF(Data!V975&lt;&gt;"",N977,Data!W975)</f>
        <v>Exceso Velocidad 20 Km/h (Velocidad máxima: 31 kmh)</v>
      </c>
      <c r="P977" s="47" t="str">
        <f>Data!X975</f>
        <v>Válido</v>
      </c>
    </row>
    <row r="978" spans="1:16">
      <c r="A978" s="41" t="str">
        <f>Data!A976</f>
        <v>QLO286</v>
      </c>
      <c r="B978" s="41" t="str">
        <f>Data!D976</f>
        <v>Vehicle, Diesel, ECP 1107 Rubiales Serv. Integrales</v>
      </c>
      <c r="C978" s="41">
        <f>Data!F976</f>
        <v>0</v>
      </c>
      <c r="D978" s="41">
        <f>Data!G976</f>
        <v>0</v>
      </c>
      <c r="E978" s="41">
        <f>Data!H976</f>
        <v>0</v>
      </c>
      <c r="F978" s="41">
        <f>Data!K976</f>
        <v>0</v>
      </c>
      <c r="G978" s="33" t="str">
        <f>Data!M976</f>
        <v>Exceso Velocidad 20 Km/h</v>
      </c>
      <c r="H978" s="41" t="str">
        <f>Data!P976</f>
        <v>ECOPETROL RUBIALES- Quifa - CAÑO SUR, VEREDA BUENOS AIRES: 6789, Puerto Gaitán, Meta, Colombia</v>
      </c>
      <c r="I978" s="42" t="str">
        <f>Data!Q976</f>
        <v>Cliente, Vel Max 40 Km/h, Vel Max 20 Km/h</v>
      </c>
      <c r="J978" s="43">
        <f>Data!S976</f>
        <v>46174.381527094905</v>
      </c>
      <c r="K978" s="44">
        <f>Data!S976</f>
        <v>46174.381527094905</v>
      </c>
      <c r="L978" s="45">
        <f>Data!T976</f>
        <v>3.7766203703703703E-4</v>
      </c>
      <c r="M978" s="46">
        <f>Data!U976</f>
        <v>0.28680399060249329</v>
      </c>
      <c r="N978" s="46" t="str">
        <f>CONCATENATE(Data!W976," (",Data!V976,")")</f>
        <v>Exceso Velocidad 20 Km/h (Velocidad máxima: 35 kmh)</v>
      </c>
      <c r="O978" s="42" t="str">
        <f>IF(Data!V976&lt;&gt;"",N978,Data!W976)</f>
        <v>Exceso Velocidad 20 Km/h (Velocidad máxima: 35 kmh)</v>
      </c>
      <c r="P978" s="47" t="str">
        <f>Data!X976</f>
        <v>Válido</v>
      </c>
    </row>
    <row r="979" spans="1:16">
      <c r="A979" s="41" t="str">
        <f>Data!A977</f>
        <v>QLO286</v>
      </c>
      <c r="B979" s="41" t="str">
        <f>Data!D977</f>
        <v>Vehicle, Diesel, ECP 1107 Rubiales Serv. Integrales</v>
      </c>
      <c r="C979" s="41">
        <f>Data!F977</f>
        <v>0</v>
      </c>
      <c r="D979" s="41">
        <f>Data!G977</f>
        <v>0</v>
      </c>
      <c r="E979" s="41">
        <f>Data!H977</f>
        <v>0</v>
      </c>
      <c r="F979" s="41">
        <f>Data!K977</f>
        <v>0</v>
      </c>
      <c r="G979" s="33" t="str">
        <f>Data!M977</f>
        <v>Exceso Velocidad 20 Km/h</v>
      </c>
      <c r="H979" s="41" t="str">
        <f>Data!P977</f>
        <v>ECOPETROL RUBIALES- Quifa - CAÑO SUR, VEREDA BUENOS AIRES: Rb 445 84 115 363, Puerto Gaitán, Meta, Colombia</v>
      </c>
      <c r="I979" s="42" t="str">
        <f>Data!Q977</f>
        <v>Cliente, Vel Max 40 Km/h, Vel Max 20 Km/h</v>
      </c>
      <c r="J979" s="43">
        <f>Data!S977</f>
        <v>46174.381950231582</v>
      </c>
      <c r="K979" s="44">
        <f>Data!S977</f>
        <v>46174.381950231582</v>
      </c>
      <c r="L979" s="45">
        <f>Data!T977</f>
        <v>4.0509359259259258E-5</v>
      </c>
      <c r="M979" s="46">
        <f>Data!U977</f>
        <v>2.2281225770711899E-2</v>
      </c>
      <c r="N979" s="46" t="str">
        <f>CONCATENATE(Data!W977," (",Data!V977,")")</f>
        <v>Exceso Velocidad 20 Km/h (Velocidad máxima: 22 kmh)</v>
      </c>
      <c r="O979" s="42" t="str">
        <f>IF(Data!V977&lt;&gt;"",N979,Data!W977)</f>
        <v>Exceso Velocidad 20 Km/h (Velocidad máxima: 22 kmh)</v>
      </c>
      <c r="P979" s="47" t="str">
        <f>Data!X977</f>
        <v>Válido</v>
      </c>
    </row>
    <row r="980" spans="1:16">
      <c r="A980" s="41" t="str">
        <f>Data!A978</f>
        <v>QLO286</v>
      </c>
      <c r="B980" s="41" t="str">
        <f>Data!D978</f>
        <v>Vehicle, Diesel, ECP 1107 Rubiales Serv. Integrales</v>
      </c>
      <c r="C980" s="41">
        <f>Data!F978</f>
        <v>0</v>
      </c>
      <c r="D980" s="41">
        <f>Data!G978</f>
        <v>0</v>
      </c>
      <c r="E980" s="41">
        <f>Data!H978</f>
        <v>0</v>
      </c>
      <c r="F980" s="41">
        <f>Data!K978</f>
        <v>0</v>
      </c>
      <c r="G980" s="33" t="str">
        <f>Data!M978</f>
        <v>Exceso Velocidad 20 Km/h</v>
      </c>
      <c r="H980" s="41" t="str">
        <f>Data!P978</f>
        <v>ECOPETROL RUBIALES- Quifa - CAÑO SUR, VEREDA BUENOS AIRES: Rb 445 84 115 363, Puerto Gaitán, Meta, Colombia</v>
      </c>
      <c r="I980" s="42" t="str">
        <f>Data!Q978</f>
        <v>Cliente, Vel Max 40 Km/h, Vel Max 20 Km/h</v>
      </c>
      <c r="J980" s="43">
        <f>Data!S978</f>
        <v>46174.381990740738</v>
      </c>
      <c r="K980" s="44">
        <f>Data!S978</f>
        <v>46174.381990740738</v>
      </c>
      <c r="L980" s="45">
        <f>Data!T978</f>
        <v>1.3425925925925926E-4</v>
      </c>
      <c r="M980" s="46">
        <f>Data!U978</f>
        <v>7.7829658985137939E-2</v>
      </c>
      <c r="N980" s="46" t="str">
        <f>CONCATENATE(Data!W978," (",Data!V978,")")</f>
        <v>Exceso Velocidad 20 Km/h (Velocidad máxima: 28 kmh)</v>
      </c>
      <c r="O980" s="42" t="str">
        <f>IF(Data!V978&lt;&gt;"",N980,Data!W978)</f>
        <v>Exceso Velocidad 20 Km/h (Velocidad máxima: 28 kmh)</v>
      </c>
      <c r="P980" s="47" t="str">
        <f>Data!X978</f>
        <v>Válido</v>
      </c>
    </row>
    <row r="981" spans="1:16">
      <c r="A981" s="41" t="str">
        <f>Data!A979</f>
        <v>QLO286</v>
      </c>
      <c r="B981" s="41" t="str">
        <f>Data!D979</f>
        <v>Vehicle, Diesel, ECP 1107 Rubiales Serv. Integrales</v>
      </c>
      <c r="C981" s="41">
        <f>Data!F979</f>
        <v>0</v>
      </c>
      <c r="D981" s="41">
        <f>Data!G979</f>
        <v>0</v>
      </c>
      <c r="E981" s="41">
        <f>Data!H979</f>
        <v>0</v>
      </c>
      <c r="F981" s="41">
        <f>Data!K979</f>
        <v>0</v>
      </c>
      <c r="G981" s="33" t="str">
        <f>Data!M979</f>
        <v>Exceso Velocidad 20 Km/h</v>
      </c>
      <c r="H981" s="41" t="str">
        <f>Data!P979</f>
        <v>ECOPETROL RUBIALES- Quifa - CAÑO SUR, VEREDA BUENOS AIRES: Rb 445 84 115 363, Puerto Gaitán, Meta, Colombia</v>
      </c>
      <c r="I981" s="42" t="str">
        <f>Data!Q979</f>
        <v>Cliente, Vel Max 40 Km/h, Vel Max 20 Km/h</v>
      </c>
      <c r="J981" s="43">
        <f>Data!S979</f>
        <v>46174.38215740741</v>
      </c>
      <c r="K981" s="44">
        <f>Data!S979</f>
        <v>46174.38215740741</v>
      </c>
      <c r="L981" s="45">
        <f>Data!T979</f>
        <v>4.5775462962962964E-5</v>
      </c>
      <c r="M981" s="46">
        <f>Data!U979</f>
        <v>3.167373314499855E-2</v>
      </c>
      <c r="N981" s="46" t="str">
        <f>CONCATENATE(Data!W979," (",Data!V979,")")</f>
        <v>Exceso Velocidad 20 Km/h (Velocidad máxima: 32 kmh)</v>
      </c>
      <c r="O981" s="42" t="str">
        <f>IF(Data!V979&lt;&gt;"",N981,Data!W979)</f>
        <v>Exceso Velocidad 20 Km/h (Velocidad máxima: 32 kmh)</v>
      </c>
      <c r="P981" s="47" t="str">
        <f>Data!X979</f>
        <v>Válido</v>
      </c>
    </row>
    <row r="982" spans="1:16">
      <c r="A982" s="41" t="str">
        <f>Data!A980</f>
        <v>QLO286</v>
      </c>
      <c r="B982" s="41" t="str">
        <f>Data!D980</f>
        <v>Vehicle, Diesel, ECP 1107 Rubiales Serv. Integrales</v>
      </c>
      <c r="C982" s="41">
        <f>Data!F980</f>
        <v>0</v>
      </c>
      <c r="D982" s="41">
        <f>Data!G980</f>
        <v>0</v>
      </c>
      <c r="E982" s="41">
        <f>Data!H980</f>
        <v>0</v>
      </c>
      <c r="F982" s="41">
        <f>Data!K980</f>
        <v>0</v>
      </c>
      <c r="G982" s="33" t="str">
        <f>Data!M980</f>
        <v>Exceso Velocidad 40 Km/h</v>
      </c>
      <c r="H982" s="41" t="str">
        <f>Data!P980</f>
        <v>ECOPETROL RUBIALES- Quifa - CAÑO SUR: Rb 445 84 115 363, Puerto Gaitán, Meta, Colombia</v>
      </c>
      <c r="I982" s="42" t="str">
        <f>Data!Q980</f>
        <v>Cliente, Vel Max 40 Km/h</v>
      </c>
      <c r="J982" s="43">
        <f>Data!S980</f>
        <v>46174.382439236113</v>
      </c>
      <c r="K982" s="44">
        <f>Data!S980</f>
        <v>46174.382439236113</v>
      </c>
      <c r="L982" s="45">
        <f>Data!T980</f>
        <v>2.3148148148148147E-5</v>
      </c>
      <c r="M982" s="46">
        <f>Data!U980</f>
        <v>2.1613255143165588E-2</v>
      </c>
      <c r="N982" s="46" t="str">
        <f>CONCATENATE(Data!W980," (",Data!V980,")")</f>
        <v>Exceso Velocidad 40 Km/h (Velocidad máxima: 41 kmh)</v>
      </c>
      <c r="O982" s="42" t="str">
        <f>IF(Data!V980&lt;&gt;"",N982,Data!W980)</f>
        <v>Exceso Velocidad 40 Km/h (Velocidad máxima: 41 kmh)</v>
      </c>
      <c r="P982" s="47" t="str">
        <f>Data!X980</f>
        <v>Válido</v>
      </c>
    </row>
    <row r="983" spans="1:16">
      <c r="A983" s="41" t="str">
        <f>Data!A981</f>
        <v>QLO286</v>
      </c>
      <c r="B983" s="41" t="str">
        <f>Data!D981</f>
        <v>Vehicle, Diesel, ECP 1107 Rubiales Serv. Integrales</v>
      </c>
      <c r="C983" s="41">
        <f>Data!F981</f>
        <v>0</v>
      </c>
      <c r="D983" s="41">
        <f>Data!G981</f>
        <v>0</v>
      </c>
      <c r="E983" s="41">
        <f>Data!H981</f>
        <v>0</v>
      </c>
      <c r="F983" s="41">
        <f>Data!K981</f>
        <v>0</v>
      </c>
      <c r="G983" s="33" t="str">
        <f>Data!M981</f>
        <v>Exceso Velocidad 40 Km/h</v>
      </c>
      <c r="H983" s="41" t="str">
        <f>Data!P981</f>
        <v>ECOPETROL RUBIALES- Quifa - CAÑO SUR: 818282 Vereda Rubiales, Puerto Gaitán, Meta, Colombia</v>
      </c>
      <c r="I983" s="42" t="str">
        <f>Data!Q981</f>
        <v>Cliente, Vel Max 40 Km/h</v>
      </c>
      <c r="J983" s="43">
        <f>Data!S981</f>
        <v>46174.382659317132</v>
      </c>
      <c r="K983" s="44">
        <f>Data!S981</f>
        <v>46174.382659317132</v>
      </c>
      <c r="L983" s="45">
        <f>Data!T981</f>
        <v>5.6134259259259258E-6</v>
      </c>
      <c r="M983" s="46">
        <f>Data!U981</f>
        <v>4.8477794043719769E-3</v>
      </c>
      <c r="N983" s="46" t="str">
        <f>CONCATENATE(Data!W981," (",Data!V981,")")</f>
        <v>Exceso Velocidad 40 Km/h (Velocidad máxima: 41 kmh)</v>
      </c>
      <c r="O983" s="42" t="str">
        <f>IF(Data!V981&lt;&gt;"",N983,Data!W981)</f>
        <v>Exceso Velocidad 40 Km/h (Velocidad máxima: 41 kmh)</v>
      </c>
      <c r="P983" s="47" t="str">
        <f>Data!X981</f>
        <v>Válido</v>
      </c>
    </row>
    <row r="984" spans="1:16">
      <c r="A984" s="41" t="str">
        <f>Data!A982</f>
        <v>QLO286</v>
      </c>
      <c r="B984" s="41" t="str">
        <f>Data!D982</f>
        <v>Vehicle, Diesel, ECP 1107 Rubiales Serv. Integrales</v>
      </c>
      <c r="C984" s="41">
        <f>Data!F982</f>
        <v>0</v>
      </c>
      <c r="D984" s="41">
        <f>Data!G982</f>
        <v>0</v>
      </c>
      <c r="E984" s="41">
        <f>Data!H982</f>
        <v>0</v>
      </c>
      <c r="F984" s="41">
        <f>Data!K982</f>
        <v>0</v>
      </c>
      <c r="G984" s="33" t="str">
        <f>Data!M982</f>
        <v>Exceso Velocidad 40 Km/h</v>
      </c>
      <c r="H984" s="41" t="str">
        <f>Data!P982</f>
        <v>ECOPETROL RUBIALES- Quifa - CAÑO SUR: Rb 233, Puerto Gaitán, Meta, Colombia</v>
      </c>
      <c r="I984" s="42" t="str">
        <f>Data!Q982</f>
        <v>Cliente, Vel Max 40 Km/h</v>
      </c>
      <c r="J984" s="43">
        <f>Data!S982</f>
        <v>46174.382924675927</v>
      </c>
      <c r="K984" s="44">
        <f>Data!S982</f>
        <v>46174.382924675927</v>
      </c>
      <c r="L984" s="45">
        <f>Data!T982</f>
        <v>8.8148148148148151E-5</v>
      </c>
      <c r="M984" s="46">
        <f>Data!U982</f>
        <v>8.793165534734726E-2</v>
      </c>
      <c r="N984" s="46" t="str">
        <f>CONCATENATE(Data!W982," (",Data!V982,")")</f>
        <v>Exceso Velocidad 40 Km/h (Velocidad máxima: 42 kmh)</v>
      </c>
      <c r="O984" s="42" t="str">
        <f>IF(Data!V982&lt;&gt;"",N984,Data!W982)</f>
        <v>Exceso Velocidad 40 Km/h (Velocidad máxima: 42 kmh)</v>
      </c>
      <c r="P984" s="47" t="str">
        <f>Data!X982</f>
        <v>Válido</v>
      </c>
    </row>
    <row r="985" spans="1:16">
      <c r="A985" s="41" t="str">
        <f>Data!A983</f>
        <v>QLO286</v>
      </c>
      <c r="B985" s="41" t="str">
        <f>Data!D983</f>
        <v>Vehicle, Diesel, ECP 1107 Rubiales Serv. Integrales</v>
      </c>
      <c r="C985" s="41">
        <f>Data!F983</f>
        <v>0</v>
      </c>
      <c r="D985" s="41">
        <f>Data!G983</f>
        <v>0</v>
      </c>
      <c r="E985" s="41">
        <f>Data!H983</f>
        <v>0</v>
      </c>
      <c r="F985" s="41">
        <f>Data!K983</f>
        <v>0</v>
      </c>
      <c r="G985" s="33" t="str">
        <f>Data!M983</f>
        <v>Aceleración brusca (nuevo)</v>
      </c>
      <c r="H985" s="41" t="str">
        <f>Data!P983</f>
        <v>ECOPETROL RUBIALES- Quifa - CAÑO SUR: Rb 233, Puerto Gaitán, Meta, Colombia</v>
      </c>
      <c r="I985" s="42" t="str">
        <f>Data!Q983</f>
        <v>Cliente, Vel Max 40 Km/h</v>
      </c>
      <c r="J985" s="43">
        <f>Data!S983</f>
        <v>46174.384212962963</v>
      </c>
      <c r="K985" s="44">
        <f>Data!S983</f>
        <v>46174.384212962963</v>
      </c>
      <c r="L985" s="45">
        <f>Data!T983</f>
        <v>0</v>
      </c>
      <c r="M985" s="46">
        <f>Data!U983</f>
        <v>0</v>
      </c>
      <c r="N985" s="46" t="str">
        <f>CONCATENATE(Data!W983," (",Data!V983,")")</f>
        <v>Aceleración brusca (nuevo) (Clase de vehículo para métricas de seguridad: Otra clase (no estandarizada), Velocidad máxima: 4 kmh,  Ignición: 1)</v>
      </c>
      <c r="O985" s="42" t="str">
        <f>IF(Data!V983&lt;&gt;"",N985,Data!W983)</f>
        <v>Aceleración brusca (nuevo) (Clase de vehículo para métricas de seguridad: Otra clase (no estandarizada), Velocidad máxima: 4 kmh,  Ignición: 1)</v>
      </c>
      <c r="P985" s="47" t="str">
        <f>Data!X983</f>
        <v>Válido</v>
      </c>
    </row>
    <row r="986" spans="1:16">
      <c r="A986" s="41" t="str">
        <f>Data!A984</f>
        <v>QLO286</v>
      </c>
      <c r="B986" s="41" t="str">
        <f>Data!D984</f>
        <v>Vehicle, Diesel, ECP 1107 Rubiales Serv. Integrales</v>
      </c>
      <c r="C986" s="41">
        <f>Data!F984</f>
        <v>0</v>
      </c>
      <c r="D986" s="41">
        <f>Data!G984</f>
        <v>0</v>
      </c>
      <c r="E986" s="41">
        <f>Data!H984</f>
        <v>0</v>
      </c>
      <c r="F986" s="41">
        <f>Data!K984</f>
        <v>0</v>
      </c>
      <c r="G986" s="33" t="str">
        <f>Data!M984</f>
        <v>Exceso Velocidad 40 Km/h</v>
      </c>
      <c r="H986" s="41" t="str">
        <f>Data!P984</f>
        <v>ECOPETROL RUBIALES- Quifa - CAÑO SUR: 818282 Vereda Rubiales, Puerto Gaitán, Meta, Colombia</v>
      </c>
      <c r="I986" s="42" t="str">
        <f>Data!Q984</f>
        <v>Cliente, Vel Max 40 Km/h</v>
      </c>
      <c r="J986" s="43">
        <f>Data!S984</f>
        <v>46174.38594328714</v>
      </c>
      <c r="K986" s="44">
        <f>Data!S984</f>
        <v>46174.38594328714</v>
      </c>
      <c r="L986" s="45">
        <f>Data!T984</f>
        <v>2.0949074074074075E-4</v>
      </c>
      <c r="M986" s="46">
        <f>Data!U984</f>
        <v>0.2212677001953125</v>
      </c>
      <c r="N986" s="46" t="str">
        <f>CONCATENATE(Data!W984," (",Data!V984,")")</f>
        <v>Exceso Velocidad 40 Km/h (Velocidad máxima: 46 kmh)</v>
      </c>
      <c r="O986" s="42" t="str">
        <f>IF(Data!V984&lt;&gt;"",N986,Data!W984)</f>
        <v>Exceso Velocidad 40 Km/h (Velocidad máxima: 46 kmh)</v>
      </c>
      <c r="P986" s="47" t="str">
        <f>Data!X984</f>
        <v>Válido</v>
      </c>
    </row>
    <row r="987" spans="1:16">
      <c r="A987" s="41" t="str">
        <f>Data!A985</f>
        <v>QLO286</v>
      </c>
      <c r="B987" s="41" t="str">
        <f>Data!D985</f>
        <v>Vehicle, Diesel, ECP 1107 Rubiales Serv. Integrales</v>
      </c>
      <c r="C987" s="41">
        <f>Data!F985</f>
        <v>0</v>
      </c>
      <c r="D987" s="41">
        <f>Data!G985</f>
        <v>0</v>
      </c>
      <c r="E987" s="41">
        <f>Data!H985</f>
        <v>0</v>
      </c>
      <c r="F987" s="41">
        <f>Data!K985</f>
        <v>0</v>
      </c>
      <c r="G987" s="33" t="str">
        <f>Data!M985</f>
        <v>Frenado brusco (nuevo)</v>
      </c>
      <c r="H987" s="41" t="str">
        <f>Data!P985</f>
        <v>ECOPETROL RUBIALES- Quifa - CAÑO SUR: Rb 445 84 115 363, Puerto Gaitán, Meta, Colombia</v>
      </c>
      <c r="I987" s="42" t="str">
        <f>Data!Q985</f>
        <v>Cliente, Vel Max 40 Km/h</v>
      </c>
      <c r="J987" s="43">
        <f>Data!S985</f>
        <v>46174.386192129627</v>
      </c>
      <c r="K987" s="44">
        <f>Data!S985</f>
        <v>46174.386192129627</v>
      </c>
      <c r="L987" s="45">
        <f>Data!T985</f>
        <v>0</v>
      </c>
      <c r="M987" s="46">
        <f>Data!U985</f>
        <v>0</v>
      </c>
      <c r="N987" s="46" t="str">
        <f>CONCATENATE(Data!W985," (",Data!V985,")")</f>
        <v>Frenado brusco (nuevo) (Clase de vehículo para métricas de seguridad: Otra clase (no estandarizada), Velocidad máxima: 27 kmh,  Ignición: 1)</v>
      </c>
      <c r="O987" s="42" t="str">
        <f>IF(Data!V985&lt;&gt;"",N987,Data!W985)</f>
        <v>Frenado brusco (nuevo) (Clase de vehículo para métricas de seguridad: Otra clase (no estandarizada), Velocidad máxima: 27 kmh,  Ignición: 1)</v>
      </c>
      <c r="P987" s="47" t="str">
        <f>Data!X985</f>
        <v>Válido</v>
      </c>
    </row>
    <row r="988" spans="1:16">
      <c r="A988" s="41" t="str">
        <f>Data!A986</f>
        <v>QLO286</v>
      </c>
      <c r="B988" s="41" t="str">
        <f>Data!D986</f>
        <v>Vehicle, Diesel, ECP 1107 Rubiales Serv. Integrales</v>
      </c>
      <c r="C988" s="41">
        <f>Data!F986</f>
        <v>0</v>
      </c>
      <c r="D988" s="41">
        <f>Data!G986</f>
        <v>0</v>
      </c>
      <c r="E988" s="41">
        <f>Data!H986</f>
        <v>0</v>
      </c>
      <c r="F988" s="41">
        <f>Data!K986</f>
        <v>0</v>
      </c>
      <c r="G988" s="33" t="str">
        <f>Data!M986</f>
        <v>Exceso Velocidad 40 Km/h</v>
      </c>
      <c r="H988" s="41" t="str">
        <f>Data!P986</f>
        <v>ECOPETROL RUBIALES- Quifa - CAÑO SUR: Rb 445, Puerto Gaitán, Meta, Colombia</v>
      </c>
      <c r="I988" s="42" t="str">
        <f>Data!Q986</f>
        <v>Cliente, Vel Max 40 Km/h</v>
      </c>
      <c r="J988" s="43">
        <f>Data!S986</f>
        <v>46174.386469907404</v>
      </c>
      <c r="K988" s="44">
        <f>Data!S986</f>
        <v>46174.386469907404</v>
      </c>
      <c r="L988" s="45">
        <f>Data!T986</f>
        <v>3.4722222222222222E-5</v>
      </c>
      <c r="M988" s="46">
        <f>Data!U986</f>
        <v>3.2735735177993774E-2</v>
      </c>
      <c r="N988" s="46" t="str">
        <f>CONCATENATE(Data!W986," (",Data!V986,")")</f>
        <v>Exceso Velocidad 40 Km/h (Velocidad máxima: 41 kmh)</v>
      </c>
      <c r="O988" s="42" t="str">
        <f>IF(Data!V986&lt;&gt;"",N988,Data!W986)</f>
        <v>Exceso Velocidad 40 Km/h (Velocidad máxima: 41 kmh)</v>
      </c>
      <c r="P988" s="47" t="str">
        <f>Data!X986</f>
        <v>Válido</v>
      </c>
    </row>
    <row r="989" spans="1:16">
      <c r="A989" s="41" t="str">
        <f>Data!A987</f>
        <v>QLO286</v>
      </c>
      <c r="B989" s="41" t="str">
        <f>Data!D987</f>
        <v>Vehicle, Diesel, ECP 1107 Rubiales Serv. Integrales</v>
      </c>
      <c r="C989" s="41">
        <f>Data!F987</f>
        <v>0</v>
      </c>
      <c r="D989" s="41">
        <f>Data!G987</f>
        <v>0</v>
      </c>
      <c r="E989" s="41">
        <f>Data!H987</f>
        <v>0</v>
      </c>
      <c r="F989" s="41">
        <f>Data!K987</f>
        <v>0</v>
      </c>
      <c r="G989" s="33" t="str">
        <f>Data!M987</f>
        <v>Exceso Velocidad 40 Km/h</v>
      </c>
      <c r="H989" s="41" t="str">
        <f>Data!P987</f>
        <v>ECOPETROL RUBIALES- Quifa - CAÑO SUR: Rb 445, Puerto Gaitán, Meta, Colombia</v>
      </c>
      <c r="I989" s="42" t="str">
        <f>Data!Q987</f>
        <v>Cliente, Vel Max 40 Km/h</v>
      </c>
      <c r="J989" s="43">
        <f>Data!S987</f>
        <v>46174.386840277781</v>
      </c>
      <c r="K989" s="44">
        <f>Data!S987</f>
        <v>46174.386840277781</v>
      </c>
      <c r="L989" s="45">
        <f>Data!T987</f>
        <v>8.7627314814814821E-5</v>
      </c>
      <c r="M989" s="46">
        <f>Data!U987</f>
        <v>8.6533695459365845E-2</v>
      </c>
      <c r="N989" s="46" t="str">
        <f>CONCATENATE(Data!W987," (",Data!V987,")")</f>
        <v>Exceso Velocidad 40 Km/h (Velocidad máxima: 42 kmh)</v>
      </c>
      <c r="O989" s="42" t="str">
        <f>IF(Data!V987&lt;&gt;"",N989,Data!W987)</f>
        <v>Exceso Velocidad 40 Km/h (Velocidad máxima: 42 kmh)</v>
      </c>
      <c r="P989" s="47" t="str">
        <f>Data!X987</f>
        <v>Válido</v>
      </c>
    </row>
    <row r="990" spans="1:16">
      <c r="A990" s="41" t="str">
        <f>Data!A988</f>
        <v>QLO286</v>
      </c>
      <c r="B990" s="41" t="str">
        <f>Data!D988</f>
        <v>Vehicle, Diesel, ECP 1107 Rubiales Serv. Integrales</v>
      </c>
      <c r="C990" s="41">
        <f>Data!F988</f>
        <v>0</v>
      </c>
      <c r="D990" s="41">
        <f>Data!G988</f>
        <v>0</v>
      </c>
      <c r="E990" s="41">
        <f>Data!H988</f>
        <v>0</v>
      </c>
      <c r="F990" s="41">
        <f>Data!K988</f>
        <v>0</v>
      </c>
      <c r="G990" s="33" t="str">
        <f>Data!M988</f>
        <v>Aceleración brusca (nuevo)</v>
      </c>
      <c r="H990" s="41" t="str">
        <f>Data!P988</f>
        <v>ECOPETROL RUBIALES- Quifa - CAÑO SUR: Rb 445, Puerto Gaitán, Meta, Colombia</v>
      </c>
      <c r="I990" s="42" t="str">
        <f>Data!Q988</f>
        <v>Cliente, Vel Max 40 Km/h</v>
      </c>
      <c r="J990" s="43">
        <f>Data!S988</f>
        <v>46174.387766203705</v>
      </c>
      <c r="K990" s="44">
        <f>Data!S988</f>
        <v>46174.387766203705</v>
      </c>
      <c r="L990" s="45">
        <f>Data!T988</f>
        <v>0</v>
      </c>
      <c r="M990" s="46">
        <f>Data!U988</f>
        <v>0</v>
      </c>
      <c r="N990" s="46" t="str">
        <f>CONCATENATE(Data!W988," (",Data!V988,")")</f>
        <v>Aceleración brusca (nuevo) (Clase de vehículo para métricas de seguridad: Otra clase (no estandarizada), Velocidad máxima: 7 kmh,  Ignición: 1)</v>
      </c>
      <c r="O990" s="42" t="str">
        <f>IF(Data!V988&lt;&gt;"",N990,Data!W988)</f>
        <v>Aceleración brusca (nuevo) (Clase de vehículo para métricas de seguridad: Otra clase (no estandarizada), Velocidad máxima: 7 kmh,  Ignición: 1)</v>
      </c>
      <c r="P990" s="47" t="str">
        <f>Data!X988</f>
        <v>Válido</v>
      </c>
    </row>
    <row r="991" spans="1:16">
      <c r="A991" s="41" t="str">
        <f>Data!A989</f>
        <v>QLO286</v>
      </c>
      <c r="B991" s="41" t="str">
        <f>Data!D989</f>
        <v>Vehicle, Diesel, ECP 1107 Rubiales Serv. Integrales</v>
      </c>
      <c r="C991" s="41">
        <f>Data!F989</f>
        <v>0</v>
      </c>
      <c r="D991" s="41">
        <f>Data!G989</f>
        <v>0</v>
      </c>
      <c r="E991" s="41">
        <f>Data!H989</f>
        <v>0</v>
      </c>
      <c r="F991" s="41">
        <f>Data!K989</f>
        <v>0</v>
      </c>
      <c r="G991" s="33" t="str">
        <f>Data!M989</f>
        <v>Exceso Velocidad 40 Km/h</v>
      </c>
      <c r="H991" s="41" t="str">
        <f>Data!P989</f>
        <v>ECOPETROL RUBIALES- Quifa - CAÑO SUR: Rb 445, Puerto Gaitán, Meta, Colombia</v>
      </c>
      <c r="I991" s="42" t="str">
        <f>Data!Q989</f>
        <v>Cliente, Vel Max 40 Km/h</v>
      </c>
      <c r="J991" s="43">
        <f>Data!S989</f>
        <v>46174.38812693287</v>
      </c>
      <c r="K991" s="44">
        <f>Data!S989</f>
        <v>46174.38812693287</v>
      </c>
      <c r="L991" s="45">
        <f>Data!T989</f>
        <v>8.5694444444444446E-5</v>
      </c>
      <c r="M991" s="46">
        <f>Data!U989</f>
        <v>8.291906863451004E-2</v>
      </c>
      <c r="N991" s="46" t="str">
        <f>CONCATENATE(Data!W989," (",Data!V989,")")</f>
        <v>Exceso Velocidad 40 Km/h (Velocidad máxima: 42 kmh)</v>
      </c>
      <c r="O991" s="42" t="str">
        <f>IF(Data!V989&lt;&gt;"",N991,Data!W989)</f>
        <v>Exceso Velocidad 40 Km/h (Velocidad máxima: 42 kmh)</v>
      </c>
      <c r="P991" s="47" t="str">
        <f>Data!X989</f>
        <v>Válido</v>
      </c>
    </row>
    <row r="992" spans="1:16">
      <c r="A992" s="41" t="str">
        <f>Data!A990</f>
        <v>QLO286</v>
      </c>
      <c r="B992" s="41" t="str">
        <f>Data!D990</f>
        <v>Vehicle, Diesel, ECP 1107 Rubiales Serv. Integrales</v>
      </c>
      <c r="C992" s="41">
        <f>Data!F990</f>
        <v>0</v>
      </c>
      <c r="D992" s="41">
        <f>Data!G990</f>
        <v>0</v>
      </c>
      <c r="E992" s="41">
        <f>Data!H990</f>
        <v>0</v>
      </c>
      <c r="F992" s="41">
        <f>Data!K990</f>
        <v>0</v>
      </c>
      <c r="G992" s="33" t="str">
        <f>Data!M990</f>
        <v>Exceso Velocidad 40 Km/h</v>
      </c>
      <c r="H992" s="41" t="str">
        <f>Data!P990</f>
        <v>ECOPETROL RUBIALES- Quifa - CAÑO SUR: Rb 445, Puerto Gaitán, Meta, Colombia</v>
      </c>
      <c r="I992" s="42" t="str">
        <f>Data!Q990</f>
        <v>Cliente, Vel Max 40 Km/h</v>
      </c>
      <c r="J992" s="43">
        <f>Data!S990</f>
        <v>46174.388506944444</v>
      </c>
      <c r="K992" s="44">
        <f>Data!S990</f>
        <v>46174.388506944444</v>
      </c>
      <c r="L992" s="45">
        <f>Data!T990</f>
        <v>1.4351851851851852E-4</v>
      </c>
      <c r="M992" s="46">
        <f>Data!U990</f>
        <v>0.14578133821487427</v>
      </c>
      <c r="N992" s="46" t="str">
        <f>CONCATENATE(Data!W990," (",Data!V990,")")</f>
        <v>Exceso Velocidad 40 Km/h (Velocidad máxima: 44 kmh)</v>
      </c>
      <c r="O992" s="42" t="str">
        <f>IF(Data!V990&lt;&gt;"",N992,Data!W990)</f>
        <v>Exceso Velocidad 40 Km/h (Velocidad máxima: 44 kmh)</v>
      </c>
      <c r="P992" s="47" t="str">
        <f>Data!X990</f>
        <v>Válido</v>
      </c>
    </row>
    <row r="993" spans="1:16">
      <c r="A993" s="41" t="str">
        <f>Data!A991</f>
        <v>QLO286</v>
      </c>
      <c r="B993" s="41" t="str">
        <f>Data!D991</f>
        <v>Vehicle, Diesel, ECP 1107 Rubiales Serv. Integrales</v>
      </c>
      <c r="C993" s="41">
        <f>Data!F991</f>
        <v>0</v>
      </c>
      <c r="D993" s="41">
        <f>Data!G991</f>
        <v>0</v>
      </c>
      <c r="E993" s="41">
        <f>Data!H991</f>
        <v>0</v>
      </c>
      <c r="F993" s="41">
        <f>Data!K991</f>
        <v>0</v>
      </c>
      <c r="G993" s="33" t="str">
        <f>Data!M991</f>
        <v>Exceso Velocidad 40 Km/h</v>
      </c>
      <c r="H993" s="41" t="str">
        <f>Data!P991</f>
        <v>ECOPETROL RUBIALES- Quifa - CAÑO SUR: Rb 84 115 363, Puerto Gaitán, Meta, Colombia</v>
      </c>
      <c r="I993" s="42" t="str">
        <f>Data!Q991</f>
        <v>Cliente, Vel Max 40 Km/h</v>
      </c>
      <c r="J993" s="43">
        <f>Data!S991</f>
        <v>46174.38881300926</v>
      </c>
      <c r="K993" s="44">
        <f>Data!S991</f>
        <v>46174.38881300926</v>
      </c>
      <c r="L993" s="45">
        <f>Data!T991</f>
        <v>9.1342592592592593E-4</v>
      </c>
      <c r="M993" s="46">
        <f>Data!U991</f>
        <v>1.0003517866134644</v>
      </c>
      <c r="N993" s="46" t="str">
        <f>CONCATENATE(Data!W991," (",Data!V991,")")</f>
        <v>Exceso Velocidad 40 Km/h (Velocidad máxima: 50 kmh)</v>
      </c>
      <c r="O993" s="42" t="str">
        <f>IF(Data!V991&lt;&gt;"",N993,Data!W991)</f>
        <v>Exceso Velocidad 40 Km/h (Velocidad máxima: 50 kmh)</v>
      </c>
      <c r="P993" s="47" t="str">
        <f>Data!X991</f>
        <v>Válido</v>
      </c>
    </row>
    <row r="994" spans="1:16">
      <c r="A994" s="41" t="str">
        <f>Data!A992</f>
        <v>QLO286</v>
      </c>
      <c r="B994" s="41" t="str">
        <f>Data!D992</f>
        <v>Vehicle, Diesel, ECP 1107 Rubiales Serv. Integrales</v>
      </c>
      <c r="C994" s="41">
        <f>Data!F992</f>
        <v>0</v>
      </c>
      <c r="D994" s="41">
        <f>Data!G992</f>
        <v>0</v>
      </c>
      <c r="E994" s="41">
        <f>Data!H992</f>
        <v>0</v>
      </c>
      <c r="F994" s="41">
        <f>Data!K992</f>
        <v>0</v>
      </c>
      <c r="G994" s="33" t="str">
        <f>Data!M992</f>
        <v>Exceso Velocidad 40 Km/h</v>
      </c>
      <c r="H994" s="41" t="str">
        <f>Data!P992</f>
        <v>ECOPETROL RUBIALES- Quifa - CAÑO SUR: Rb 84 115 363, Puerto Gaitán, Meta, Colombia</v>
      </c>
      <c r="I994" s="42" t="str">
        <f>Data!Q992</f>
        <v>Cliente, Vel Max 40 Km/h</v>
      </c>
      <c r="J994" s="43">
        <f>Data!S992</f>
        <v>46174.390196759261</v>
      </c>
      <c r="K994" s="44">
        <f>Data!S992</f>
        <v>46174.390196759261</v>
      </c>
      <c r="L994" s="45">
        <f>Data!T992</f>
        <v>1.6782417407407407E-4</v>
      </c>
      <c r="M994" s="46">
        <f>Data!U992</f>
        <v>0.15811750292778015</v>
      </c>
      <c r="N994" s="46" t="str">
        <f>CONCATENATE(Data!W992," (",Data!V992,")")</f>
        <v>Exceso Velocidad 40 Km/h (Velocidad máxima: 41 kmh)</v>
      </c>
      <c r="O994" s="42" t="str">
        <f>IF(Data!V992&lt;&gt;"",N994,Data!W992)</f>
        <v>Exceso Velocidad 40 Km/h (Velocidad máxima: 41 kmh)</v>
      </c>
      <c r="P994" s="47" t="str">
        <f>Data!X992</f>
        <v>Válido</v>
      </c>
    </row>
    <row r="995" spans="1:16">
      <c r="A995" s="41" t="str">
        <f>Data!A993</f>
        <v>QLO286</v>
      </c>
      <c r="B995" s="41" t="str">
        <f>Data!D993</f>
        <v>Vehicle, Diesel, ECP 1107 Rubiales Serv. Integrales</v>
      </c>
      <c r="C995" s="41">
        <f>Data!F993</f>
        <v>0</v>
      </c>
      <c r="D995" s="41">
        <f>Data!G993</f>
        <v>0</v>
      </c>
      <c r="E995" s="41">
        <f>Data!H993</f>
        <v>0</v>
      </c>
      <c r="F995" s="41">
        <f>Data!K993</f>
        <v>0</v>
      </c>
      <c r="G995" s="33" t="str">
        <f>Data!M993</f>
        <v>Exceso Velocidad 40 Km/h</v>
      </c>
      <c r="H995" s="41" t="str">
        <f>Data!P993</f>
        <v>ECOPETROL RUBIALES- Quifa - CAÑO SUR: Rb 445 84 115 363, Puerto Gaitán, Meta, Colombia</v>
      </c>
      <c r="I995" s="42" t="str">
        <f>Data!Q993</f>
        <v>Cliente, Vel Max 40 Km/h</v>
      </c>
      <c r="J995" s="43">
        <f>Data!S993</f>
        <v>46174.394097222219</v>
      </c>
      <c r="K995" s="44">
        <f>Data!S993</f>
        <v>46174.394097222219</v>
      </c>
      <c r="L995" s="45">
        <f>Data!T993</f>
        <v>3.665509259259259E-5</v>
      </c>
      <c r="M995" s="46">
        <f>Data!U993</f>
        <v>3.4964445978403091E-2</v>
      </c>
      <c r="N995" s="46" t="str">
        <f>CONCATENATE(Data!W993," (",Data!V993,")")</f>
        <v>Exceso Velocidad 40 Km/h (Velocidad máxima: 41 kmh)</v>
      </c>
      <c r="O995" s="42" t="str">
        <f>IF(Data!V993&lt;&gt;"",N995,Data!W993)</f>
        <v>Exceso Velocidad 40 Km/h (Velocidad máxima: 41 kmh)</v>
      </c>
      <c r="P995" s="47" t="str">
        <f>Data!X993</f>
        <v>Válido</v>
      </c>
    </row>
    <row r="996" spans="1:16">
      <c r="A996" s="41" t="str">
        <f>Data!A994</f>
        <v>QLO286</v>
      </c>
      <c r="B996" s="41" t="str">
        <f>Data!D994</f>
        <v>Vehicle, Diesel, ECP 1107 Rubiales Serv. Integrales</v>
      </c>
      <c r="C996" s="41">
        <f>Data!F994</f>
        <v>0</v>
      </c>
      <c r="D996" s="41">
        <f>Data!G994</f>
        <v>0</v>
      </c>
      <c r="E996" s="41">
        <f>Data!H994</f>
        <v>0</v>
      </c>
      <c r="F996" s="41">
        <f>Data!K994</f>
        <v>0</v>
      </c>
      <c r="G996" s="33" t="str">
        <f>Data!M994</f>
        <v>Exceso Velocidad 40 Km/h</v>
      </c>
      <c r="H996" s="41" t="str">
        <f>Data!P994</f>
        <v>ECOPETROL RUBIALES- Quifa - CAÑO SUR: Rb 115 363, Puerto Gaitán, Meta, Colombia</v>
      </c>
      <c r="I996" s="42" t="str">
        <f>Data!Q994</f>
        <v>Cliente, Vel Max 40 Km/h</v>
      </c>
      <c r="J996" s="43">
        <f>Data!S994</f>
        <v>46174.394444444442</v>
      </c>
      <c r="K996" s="44">
        <f>Data!S994</f>
        <v>46174.394444444442</v>
      </c>
      <c r="L996" s="45">
        <f>Data!T994</f>
        <v>1.3749999999999999E-3</v>
      </c>
      <c r="M996" s="46">
        <f>Data!U994</f>
        <v>1.470568060874939</v>
      </c>
      <c r="N996" s="46" t="str">
        <f>CONCATENATE(Data!W994," (",Data!V994,")")</f>
        <v>Exceso Velocidad 40 Km/h (Velocidad máxima: 48 kmh)</v>
      </c>
      <c r="O996" s="42" t="str">
        <f>IF(Data!V994&lt;&gt;"",N996,Data!W994)</f>
        <v>Exceso Velocidad 40 Km/h (Velocidad máxima: 48 kmh)</v>
      </c>
      <c r="P996" s="47" t="str">
        <f>Data!X994</f>
        <v>Válido</v>
      </c>
    </row>
    <row r="997" spans="1:16">
      <c r="A997" s="41" t="str">
        <f>Data!A995</f>
        <v>QLO286</v>
      </c>
      <c r="B997" s="41" t="str">
        <f>Data!D995</f>
        <v>Vehicle, Diesel, ECP 1107 Rubiales Serv. Integrales</v>
      </c>
      <c r="C997" s="41">
        <f>Data!F995</f>
        <v>0</v>
      </c>
      <c r="D997" s="41">
        <f>Data!G995</f>
        <v>0</v>
      </c>
      <c r="E997" s="41">
        <f>Data!H995</f>
        <v>0</v>
      </c>
      <c r="F997" s="41">
        <f>Data!K995</f>
        <v>0</v>
      </c>
      <c r="G997" s="33" t="str">
        <f>Data!M995</f>
        <v>Aceleración brusca (nuevo)</v>
      </c>
      <c r="H997" s="41" t="str">
        <f>Data!P995</f>
        <v>ECOPETROL RUBIALES- Quifa - CAÑO SUR: Rb 115, Puerto Gaitán, Meta, Colombia</v>
      </c>
      <c r="I997" s="42" t="str">
        <f>Data!Q995</f>
        <v>Cliente, Vel Max 40 Km/h</v>
      </c>
      <c r="J997" s="43">
        <f>Data!S995</f>
        <v>46174.396539351852</v>
      </c>
      <c r="K997" s="44">
        <f>Data!S995</f>
        <v>46174.396539351852</v>
      </c>
      <c r="L997" s="45">
        <f>Data!T995</f>
        <v>0</v>
      </c>
      <c r="M997" s="46">
        <f>Data!U995</f>
        <v>0</v>
      </c>
      <c r="N997" s="46" t="str">
        <f>CONCATENATE(Data!W995," (",Data!V995,")")</f>
        <v>Aceleración brusca (nuevo) (Clase de vehículo para métricas de seguridad: Otra clase (no estandarizada), Velocidad máxima: 6 kmh,  Ignición: 1)</v>
      </c>
      <c r="O997" s="42" t="str">
        <f>IF(Data!V995&lt;&gt;"",N997,Data!W995)</f>
        <v>Aceleración brusca (nuevo) (Clase de vehículo para métricas de seguridad: Otra clase (no estandarizada), Velocidad máxima: 6 kmh,  Ignición: 1)</v>
      </c>
      <c r="P997" s="47" t="str">
        <f>Data!X995</f>
        <v>Válido</v>
      </c>
    </row>
    <row r="998" spans="1:16">
      <c r="A998" s="41" t="str">
        <f>Data!A996</f>
        <v>QLO286</v>
      </c>
      <c r="B998" s="41" t="str">
        <f>Data!D996</f>
        <v>Vehicle, Diesel, ECP 1107 Rubiales Serv. Integrales</v>
      </c>
      <c r="C998" s="41">
        <f>Data!F996</f>
        <v>0</v>
      </c>
      <c r="D998" s="41">
        <f>Data!G996</f>
        <v>0</v>
      </c>
      <c r="E998" s="41">
        <f>Data!H996</f>
        <v>0</v>
      </c>
      <c r="F998" s="41">
        <f>Data!K996</f>
        <v>0</v>
      </c>
      <c r="G998" s="33" t="str">
        <f>Data!M996</f>
        <v>Exceso Velocidad 40 Km/h</v>
      </c>
      <c r="H998" s="41" t="str">
        <f>Data!P996</f>
        <v>ECOPETROL RUBIALES- Quifa - CAÑO SUR: Rb 363, Puerto Gaitán, Meta, Colombia</v>
      </c>
      <c r="I998" s="42" t="str">
        <f>Data!Q996</f>
        <v>Cliente, Vel Max 40 Km/h</v>
      </c>
      <c r="J998" s="43">
        <f>Data!S996</f>
        <v>46174.398382523148</v>
      </c>
      <c r="K998" s="44">
        <f>Data!S996</f>
        <v>46174.398382523148</v>
      </c>
      <c r="L998" s="45">
        <f>Data!T996</f>
        <v>3.5921296296296298E-4</v>
      </c>
      <c r="M998" s="46">
        <f>Data!U996</f>
        <v>0.3612838089466095</v>
      </c>
      <c r="N998" s="46" t="str">
        <f>CONCATENATE(Data!W996," (",Data!V996,")")</f>
        <v>Exceso Velocidad 40 Km/h (Velocidad máxima: 44 kmh)</v>
      </c>
      <c r="O998" s="42" t="str">
        <f>IF(Data!V996&lt;&gt;"",N998,Data!W996)</f>
        <v>Exceso Velocidad 40 Km/h (Velocidad máxima: 44 kmh)</v>
      </c>
      <c r="P998" s="47" t="str">
        <f>Data!X996</f>
        <v>Válido</v>
      </c>
    </row>
    <row r="999" spans="1:16">
      <c r="A999" s="41" t="str">
        <f>Data!A997</f>
        <v>QLO286</v>
      </c>
      <c r="B999" s="41" t="str">
        <f>Data!D997</f>
        <v>Vehicle, Diesel, ECP 1107 Rubiales Serv. Integrales</v>
      </c>
      <c r="C999" s="41">
        <f>Data!F997</f>
        <v>0</v>
      </c>
      <c r="D999" s="41">
        <f>Data!G997</f>
        <v>0</v>
      </c>
      <c r="E999" s="41">
        <f>Data!H997</f>
        <v>0</v>
      </c>
      <c r="F999" s="41">
        <f>Data!K997</f>
        <v>0</v>
      </c>
      <c r="G999" s="33" t="str">
        <f>Data!M997</f>
        <v>Exceso Velocidad 40 Km/h</v>
      </c>
      <c r="H999" s="41" t="str">
        <f>Data!P997</f>
        <v>ECOPETROL RUBIALES- Quifa - CAÑO SUR: Rb 363, Puerto Gaitán, Meta, Colombia</v>
      </c>
      <c r="I999" s="42" t="str">
        <f>Data!Q997</f>
        <v>Cliente, Vel Max 40 Km/h</v>
      </c>
      <c r="J999" s="43">
        <f>Data!S997</f>
        <v>46174.398796296293</v>
      </c>
      <c r="K999" s="44">
        <f>Data!S997</f>
        <v>46174.398796296293</v>
      </c>
      <c r="L999" s="45">
        <f>Data!T997</f>
        <v>1.3020833333333333E-4</v>
      </c>
      <c r="M999" s="46">
        <f>Data!U997</f>
        <v>0.12998567521572113</v>
      </c>
      <c r="N999" s="46" t="str">
        <f>CONCATENATE(Data!W997," (",Data!V997,")")</f>
        <v>Exceso Velocidad 40 Km/h (Velocidad máxima: 41 kmh)</v>
      </c>
      <c r="O999" s="42" t="str">
        <f>IF(Data!V997&lt;&gt;"",N999,Data!W997)</f>
        <v>Exceso Velocidad 40 Km/h (Velocidad máxima: 41 kmh)</v>
      </c>
      <c r="P999" s="47" t="str">
        <f>Data!X997</f>
        <v>Válido</v>
      </c>
    </row>
    <row r="1000" spans="1:16">
      <c r="A1000" s="41" t="str">
        <f>Data!A998</f>
        <v>QLO286</v>
      </c>
      <c r="B1000" s="41" t="str">
        <f>Data!D998</f>
        <v>Vehicle, Diesel, ECP 1107 Rubiales Serv. Integrales</v>
      </c>
      <c r="C1000" s="41">
        <f>Data!F998</f>
        <v>0</v>
      </c>
      <c r="D1000" s="41">
        <f>Data!G998</f>
        <v>0</v>
      </c>
      <c r="E1000" s="41">
        <f>Data!H998</f>
        <v>0</v>
      </c>
      <c r="F1000" s="41">
        <f>Data!K998</f>
        <v>0</v>
      </c>
      <c r="G1000" s="33" t="str">
        <f>Data!M998</f>
        <v>Exceso Velocidad 40 Km/h</v>
      </c>
      <c r="H1000" s="41" t="str">
        <f>Data!P998</f>
        <v>ECOPETROL RUBIALES- Quifa - CAÑO SUR: Rb 363, Puerto Gaitán, Meta, Colombia</v>
      </c>
      <c r="I1000" s="42" t="str">
        <f>Data!Q998</f>
        <v>Cliente, Vel Max 40 Km/h</v>
      </c>
      <c r="J1000" s="43">
        <f>Data!S998</f>
        <v>46174.399580439815</v>
      </c>
      <c r="K1000" s="44">
        <f>Data!S998</f>
        <v>46174.399580439815</v>
      </c>
      <c r="L1000" s="45">
        <f>Data!T998</f>
        <v>2.4016203703703705E-4</v>
      </c>
      <c r="M1000" s="46">
        <f>Data!U998</f>
        <v>0.2302568107843399</v>
      </c>
      <c r="N1000" s="46" t="str">
        <f>CONCATENATE(Data!W998," (",Data!V998,")")</f>
        <v>Exceso Velocidad 40 Km/h (Velocidad máxima: 41 kmh)</v>
      </c>
      <c r="O1000" s="42" t="str">
        <f>IF(Data!V998&lt;&gt;"",N1000,Data!W998)</f>
        <v>Exceso Velocidad 40 Km/h (Velocidad máxima: 41 kmh)</v>
      </c>
      <c r="P1000" s="47" t="str">
        <f>Data!X998</f>
        <v>Válido</v>
      </c>
    </row>
    <row r="1001" spans="1:16">
      <c r="A1001" s="41" t="str">
        <f>Data!A999</f>
        <v>QLO286</v>
      </c>
      <c r="B1001" s="41" t="str">
        <f>Data!D999</f>
        <v>Vehicle, Diesel, ECP 1107 Rubiales Serv. Integrales</v>
      </c>
      <c r="C1001" s="41">
        <f>Data!F999</f>
        <v>0</v>
      </c>
      <c r="D1001" s="41">
        <f>Data!G999</f>
        <v>0</v>
      </c>
      <c r="E1001" s="41">
        <f>Data!H999</f>
        <v>0</v>
      </c>
      <c r="F1001" s="41">
        <f>Data!K999</f>
        <v>0</v>
      </c>
      <c r="G1001" s="33" t="str">
        <f>Data!M999</f>
        <v>Exceso Velocidad 40 Km/h</v>
      </c>
      <c r="H1001" s="41" t="str">
        <f>Data!P999</f>
        <v>ECOPETROL RUBIALES- Quifa - CAÑO SUR: Rb 363, Puerto Gaitán, Meta, Colombia</v>
      </c>
      <c r="I1001" s="42" t="str">
        <f>Data!Q999</f>
        <v>Cliente, Vel Max 40 Km/h</v>
      </c>
      <c r="J1001" s="43">
        <f>Data!S999</f>
        <v>46174.400282916664</v>
      </c>
      <c r="K1001" s="44">
        <f>Data!S999</f>
        <v>46174.400282916664</v>
      </c>
      <c r="L1001" s="45">
        <f>Data!T999</f>
        <v>1.8004629629629629E-4</v>
      </c>
      <c r="M1001" s="46">
        <f>Data!U999</f>
        <v>0.16937810182571411</v>
      </c>
      <c r="N1001" s="46" t="str">
        <f>CONCATENATE(Data!W999," (",Data!V999,")")</f>
        <v>Exceso Velocidad 40 Km/h (Velocidad máxima: 42 kmh)</v>
      </c>
      <c r="O1001" s="42" t="str">
        <f>IF(Data!V999&lt;&gt;"",N1001,Data!W999)</f>
        <v>Exceso Velocidad 40 Km/h (Velocidad máxima: 42 kmh)</v>
      </c>
      <c r="P1001" s="47" t="str">
        <f>Data!X999</f>
        <v>Válido</v>
      </c>
    </row>
    <row r="1002" spans="1:16">
      <c r="A1002" s="41" t="str">
        <f>Data!A1000</f>
        <v>QLO286</v>
      </c>
      <c r="B1002" s="41" t="str">
        <f>Data!D1000</f>
        <v>Vehicle, Diesel, ECP 1107 Rubiales Serv. Integrales</v>
      </c>
      <c r="C1002" s="41">
        <f>Data!F1000</f>
        <v>0</v>
      </c>
      <c r="D1002" s="41">
        <f>Data!G1000</f>
        <v>0</v>
      </c>
      <c r="E1002" s="41">
        <f>Data!H1000</f>
        <v>0</v>
      </c>
      <c r="F1002" s="41">
        <f>Data!K1000</f>
        <v>0</v>
      </c>
      <c r="G1002" s="33" t="str">
        <f>Data!M1000</f>
        <v>Exceso Velocidad 40 Km/h</v>
      </c>
      <c r="H1002" s="41" t="str">
        <f>Data!P1000</f>
        <v>ECOPETROL RUBIALES- Quifa - CAÑO SUR: Rb 363, Puerto Gaitán, Meta, Colombia</v>
      </c>
      <c r="I1002" s="42" t="str">
        <f>Data!Q1000</f>
        <v>Cliente, Vel Max 40 Km/h</v>
      </c>
      <c r="J1002" s="43">
        <f>Data!S1000</f>
        <v>46174.402607060183</v>
      </c>
      <c r="K1002" s="44">
        <f>Data!S1000</f>
        <v>46174.402607060183</v>
      </c>
      <c r="L1002" s="45">
        <f>Data!T1000</f>
        <v>4.9189814814814815E-5</v>
      </c>
      <c r="M1002" s="46">
        <f>Data!U1000</f>
        <v>4.7133490443229675E-2</v>
      </c>
      <c r="N1002" s="46" t="str">
        <f>CONCATENATE(Data!W1000," (",Data!V1000,")")</f>
        <v>Exceso Velocidad 40 Km/h (Velocidad máxima: 41 kmh)</v>
      </c>
      <c r="O1002" s="42" t="str">
        <f>IF(Data!V1000&lt;&gt;"",N1002,Data!W1000)</f>
        <v>Exceso Velocidad 40 Km/h (Velocidad máxima: 41 kmh)</v>
      </c>
      <c r="P1002" s="47" t="str">
        <f>Data!X1000</f>
        <v>Válido</v>
      </c>
    </row>
    <row r="1003" spans="1:16">
      <c r="A1003" s="41" t="str">
        <f>Data!A1001</f>
        <v>QLO286</v>
      </c>
      <c r="B1003" s="41" t="str">
        <f>Data!D1001</f>
        <v>Vehicle, Diesel, ECP 1107 Rubiales Serv. Integrales</v>
      </c>
      <c r="C1003" s="41">
        <f>Data!F1001</f>
        <v>0</v>
      </c>
      <c r="D1003" s="41">
        <f>Data!G1001</f>
        <v>0</v>
      </c>
      <c r="E1003" s="41">
        <f>Data!H1001</f>
        <v>0</v>
      </c>
      <c r="F1003" s="41">
        <f>Data!K1001</f>
        <v>0</v>
      </c>
      <c r="G1003" s="33" t="str">
        <f>Data!M1001</f>
        <v>Exceso Velocidad 40 Km/h</v>
      </c>
      <c r="H1003" s="41" t="str">
        <f>Data!P1001</f>
        <v>ECOPETROL RUBIALES- Quifa - CAÑO SUR: Rb 363, Puerto Gaitán, Meta, Colombia</v>
      </c>
      <c r="I1003" s="42" t="str">
        <f>Data!Q1001</f>
        <v>Cliente, Vel Max 40 Km/h</v>
      </c>
      <c r="J1003" s="43">
        <f>Data!S1001</f>
        <v>46174.402782916666</v>
      </c>
      <c r="K1003" s="44">
        <f>Data!S1001</f>
        <v>46174.402782916666</v>
      </c>
      <c r="L1003" s="45">
        <f>Data!T1001</f>
        <v>7.819444444444444E-5</v>
      </c>
      <c r="M1003" s="46">
        <f>Data!U1001</f>
        <v>7.6622046530246735E-2</v>
      </c>
      <c r="N1003" s="46" t="str">
        <f>CONCATENATE(Data!W1001," (",Data!V1001,")")</f>
        <v>Exceso Velocidad 40 Km/h (Velocidad máxima: 44 kmh)</v>
      </c>
      <c r="O1003" s="42" t="str">
        <f>IF(Data!V1001&lt;&gt;"",N1003,Data!W1001)</f>
        <v>Exceso Velocidad 40 Km/h (Velocidad máxima: 44 kmh)</v>
      </c>
      <c r="P1003" s="47" t="str">
        <f>Data!X1001</f>
        <v>Válido</v>
      </c>
    </row>
    <row r="1004" spans="1:16">
      <c r="A1004" s="41" t="str">
        <f>Data!A1002</f>
        <v>QLO286</v>
      </c>
      <c r="B1004" s="41" t="str">
        <f>Data!D1002</f>
        <v>Vehicle, Diesel, ECP 1107 Rubiales Serv. Integrales</v>
      </c>
      <c r="C1004" s="41">
        <f>Data!F1002</f>
        <v>0</v>
      </c>
      <c r="D1004" s="41">
        <f>Data!G1002</f>
        <v>0</v>
      </c>
      <c r="E1004" s="41">
        <f>Data!H1002</f>
        <v>0</v>
      </c>
      <c r="F1004" s="41">
        <f>Data!K1002</f>
        <v>0</v>
      </c>
      <c r="G1004" s="33" t="str">
        <f>Data!M1002</f>
        <v>Giro brusco (nuevo)</v>
      </c>
      <c r="H1004" s="41" t="str">
        <f>Data!P1002</f>
        <v>ECOPETROL RUBIALES- Quifa - CAÑO SUR: Rb 363, Puerto Gaitán, Meta, Colombia</v>
      </c>
      <c r="I1004" s="42" t="str">
        <f>Data!Q1002</f>
        <v>Cliente, Vel Max 40 Km/h</v>
      </c>
      <c r="J1004" s="43">
        <f>Data!S1002</f>
        <v>46174.402905092589</v>
      </c>
      <c r="K1004" s="44">
        <f>Data!S1002</f>
        <v>46174.402905092589</v>
      </c>
      <c r="L1004" s="45">
        <f>Data!T1002</f>
        <v>0</v>
      </c>
      <c r="M1004" s="46">
        <f>Data!U1002</f>
        <v>0</v>
      </c>
      <c r="N1004" s="46" t="str">
        <f>CONCATENATE(Data!W1002," (",Data!V1002,")")</f>
        <v>Giro brusco (nuevo) (Clase de vehículo para métricas de seguridad: Otra clase (no estandarizada), Velocidad máxima: 34 kmh,  Ignición: 1)</v>
      </c>
      <c r="O1004" s="42" t="str">
        <f>IF(Data!V1002&lt;&gt;"",N1004,Data!W1002)</f>
        <v>Giro brusco (nuevo) (Clase de vehículo para métricas de seguridad: Otra clase (no estandarizada), Velocidad máxima: 34 kmh,  Ignición: 1)</v>
      </c>
      <c r="P1004" s="47" t="str">
        <f>Data!X1002</f>
        <v>Válido</v>
      </c>
    </row>
    <row r="1005" spans="1:16">
      <c r="A1005" s="41" t="str">
        <f>Data!A1003</f>
        <v>QLO286</v>
      </c>
      <c r="B1005" s="41" t="str">
        <f>Data!D1003</f>
        <v>Vehicle, Diesel, ECP 1107 Rubiales Serv. Integrales</v>
      </c>
      <c r="C1005" s="41">
        <f>Data!F1003</f>
        <v>0</v>
      </c>
      <c r="D1005" s="41">
        <f>Data!G1003</f>
        <v>0</v>
      </c>
      <c r="E1005" s="41">
        <f>Data!H1003</f>
        <v>0</v>
      </c>
      <c r="F1005" s="41">
        <f>Data!K1003</f>
        <v>0</v>
      </c>
      <c r="G1005" s="33" t="str">
        <f>Data!M1003</f>
        <v>Exceso Velocidad 40 Km/h</v>
      </c>
      <c r="H1005" s="41" t="str">
        <f>Data!P1003</f>
        <v>ECOPETROL RUBIALES- Quifa - CAÑO SUR: Rb 363, Puerto Gaitán, Meta, Colombia</v>
      </c>
      <c r="I1005" s="42" t="str">
        <f>Data!Q1003</f>
        <v>Cliente, Vel Max 40 Km/h</v>
      </c>
      <c r="J1005" s="43">
        <f>Data!S1003</f>
        <v>46174.403341053243</v>
      </c>
      <c r="K1005" s="44">
        <f>Data!S1003</f>
        <v>46174.403341053243</v>
      </c>
      <c r="L1005" s="45">
        <f>Data!T1003</f>
        <v>1.3464467592592593E-3</v>
      </c>
      <c r="M1005" s="46">
        <f>Data!U1003</f>
        <v>1.3614492416381836</v>
      </c>
      <c r="N1005" s="46" t="str">
        <f>CONCATENATE(Data!W1003," (",Data!V1003,")")</f>
        <v>Exceso Velocidad 40 Km/h (Velocidad máxima: 46 kmh)</v>
      </c>
      <c r="O1005" s="42" t="str">
        <f>IF(Data!V1003&lt;&gt;"",N1005,Data!W1003)</f>
        <v>Exceso Velocidad 40 Km/h (Velocidad máxima: 46 kmh)</v>
      </c>
      <c r="P1005" s="47" t="str">
        <f>Data!X1003</f>
        <v>Válido</v>
      </c>
    </row>
    <row r="1006" spans="1:16">
      <c r="A1006" s="41" t="str">
        <f>Data!A1004</f>
        <v>QLO286</v>
      </c>
      <c r="B1006" s="41" t="str">
        <f>Data!D1004</f>
        <v>Vehicle, Diesel, ECP 1107 Rubiales Serv. Integrales</v>
      </c>
      <c r="C1006" s="41">
        <f>Data!F1004</f>
        <v>0</v>
      </c>
      <c r="D1006" s="41">
        <f>Data!G1004</f>
        <v>0</v>
      </c>
      <c r="E1006" s="41">
        <f>Data!H1004</f>
        <v>0</v>
      </c>
      <c r="F1006" s="41">
        <f>Data!K1004</f>
        <v>0</v>
      </c>
      <c r="G1006" s="33" t="str">
        <f>Data!M1004</f>
        <v>Exceso Velocidad 40 Km/h</v>
      </c>
      <c r="H1006" s="41" t="str">
        <f>Data!P1004</f>
        <v>ECOPETROL RUBIALES- Quifa - CAÑO SUR: Rb 115 363, Puerto Gaitán, Meta, Colombia</v>
      </c>
      <c r="I1006" s="42" t="str">
        <f>Data!Q1004</f>
        <v>Cliente, Vel Max 40 Km/h</v>
      </c>
      <c r="J1006" s="43">
        <f>Data!S1004</f>
        <v>46174.404937500003</v>
      </c>
      <c r="K1006" s="44">
        <f>Data!S1004</f>
        <v>46174.404937500003</v>
      </c>
      <c r="L1006" s="45">
        <f>Data!T1004</f>
        <v>5.8333333333333338E-4</v>
      </c>
      <c r="M1006" s="46">
        <f>Data!U1004</f>
        <v>0.61770111322402954</v>
      </c>
      <c r="N1006" s="46" t="str">
        <f>CONCATENATE(Data!W1004," (",Data!V1004,")")</f>
        <v>Exceso Velocidad 40 Km/h (Velocidad máxima: 46 kmh)</v>
      </c>
      <c r="O1006" s="42" t="str">
        <f>IF(Data!V1004&lt;&gt;"",N1006,Data!W1004)</f>
        <v>Exceso Velocidad 40 Km/h (Velocidad máxima: 46 kmh)</v>
      </c>
      <c r="P1006" s="47" t="str">
        <f>Data!X1004</f>
        <v>Válido</v>
      </c>
    </row>
    <row r="1007" spans="1:16">
      <c r="A1007" s="41" t="str">
        <f>Data!A1005</f>
        <v>QLO286</v>
      </c>
      <c r="B1007" s="41" t="str">
        <f>Data!D1005</f>
        <v>Vehicle, Diesel, ECP 1107 Rubiales Serv. Integrales</v>
      </c>
      <c r="C1007" s="41">
        <f>Data!F1005</f>
        <v>0</v>
      </c>
      <c r="D1007" s="41">
        <f>Data!G1005</f>
        <v>0</v>
      </c>
      <c r="E1007" s="41">
        <f>Data!H1005</f>
        <v>0</v>
      </c>
      <c r="F1007" s="41">
        <f>Data!K1005</f>
        <v>0</v>
      </c>
      <c r="G1007" s="33" t="str">
        <f>Data!M1005</f>
        <v>Exceso Velocidad 40 Km/h</v>
      </c>
      <c r="H1007" s="41" t="str">
        <f>Data!P1005</f>
        <v>ECOPETROL RUBIALES- Quifa - CAÑO SUR: Rb 115 363, Puerto Gaitán, Meta, Colombia</v>
      </c>
      <c r="I1007" s="42" t="str">
        <f>Data!Q1005</f>
        <v>Cliente, Vel Max 40 Km/h</v>
      </c>
      <c r="J1007" s="43">
        <f>Data!S1005</f>
        <v>46174.405582557869</v>
      </c>
      <c r="K1007" s="44">
        <f>Data!S1005</f>
        <v>46174.405582557869</v>
      </c>
      <c r="L1007" s="45">
        <f>Data!T1005</f>
        <v>7.253472222222222E-5</v>
      </c>
      <c r="M1007" s="46">
        <f>Data!U1005</f>
        <v>7.1103036403656006E-2</v>
      </c>
      <c r="N1007" s="46" t="str">
        <f>CONCATENATE(Data!W1005," (",Data!V1005,")")</f>
        <v>Exceso Velocidad 40 Km/h (Velocidad máxima: 42 kmh)</v>
      </c>
      <c r="O1007" s="42" t="str">
        <f>IF(Data!V1005&lt;&gt;"",N1007,Data!W1005)</f>
        <v>Exceso Velocidad 40 Km/h (Velocidad máxima: 42 kmh)</v>
      </c>
      <c r="P1007" s="47" t="str">
        <f>Data!X1005</f>
        <v>Válido</v>
      </c>
    </row>
    <row r="1008" spans="1:16">
      <c r="A1008" s="41" t="str">
        <f>Data!A1006</f>
        <v>QLO286</v>
      </c>
      <c r="B1008" s="41" t="str">
        <f>Data!D1006</f>
        <v>Vehicle, Diesel, ECP 1107 Rubiales Serv. Integrales</v>
      </c>
      <c r="C1008" s="41">
        <f>Data!F1006</f>
        <v>0</v>
      </c>
      <c r="D1008" s="41">
        <f>Data!G1006</f>
        <v>0</v>
      </c>
      <c r="E1008" s="41">
        <f>Data!H1006</f>
        <v>0</v>
      </c>
      <c r="F1008" s="41">
        <f>Data!K1006</f>
        <v>0</v>
      </c>
      <c r="G1008" s="33" t="str">
        <f>Data!M1006</f>
        <v>Exceso Velocidad 40 Km/h</v>
      </c>
      <c r="H1008" s="41" t="str">
        <f>Data!P1006</f>
        <v>ECOPETROL RUBIALES- Quifa - CAÑO SUR: Rb 115 363, Puerto Gaitán, Meta, Colombia</v>
      </c>
      <c r="I1008" s="42" t="str">
        <f>Data!Q1006</f>
        <v>Cliente, Vel Max 40 Km/h</v>
      </c>
      <c r="J1008" s="43">
        <f>Data!S1006</f>
        <v>46174.406986712966</v>
      </c>
      <c r="K1008" s="44">
        <f>Data!S1006</f>
        <v>46174.406986712966</v>
      </c>
      <c r="L1008" s="45">
        <f>Data!T1006</f>
        <v>4.6835648148148149E-4</v>
      </c>
      <c r="M1008" s="46">
        <f>Data!U1006</f>
        <v>0.49483519792556763</v>
      </c>
      <c r="N1008" s="46" t="str">
        <f>CONCATENATE(Data!W1006," (",Data!V1006,")")</f>
        <v>Exceso Velocidad 40 Km/h (Velocidad máxima: 46 kmh)</v>
      </c>
      <c r="O1008" s="42" t="str">
        <f>IF(Data!V1006&lt;&gt;"",N1008,Data!W1006)</f>
        <v>Exceso Velocidad 40 Km/h (Velocidad máxima: 46 kmh)</v>
      </c>
      <c r="P1008" s="47" t="str">
        <f>Data!X1006</f>
        <v>Válido</v>
      </c>
    </row>
    <row r="1009" spans="1:16">
      <c r="A1009" s="41" t="str">
        <f>Data!A1007</f>
        <v>QLO286</v>
      </c>
      <c r="B1009" s="41" t="str">
        <f>Data!D1007</f>
        <v>Vehicle, Diesel, ECP 1107 Rubiales Serv. Integrales</v>
      </c>
      <c r="C1009" s="41">
        <f>Data!F1007</f>
        <v>0</v>
      </c>
      <c r="D1009" s="41">
        <f>Data!G1007</f>
        <v>0</v>
      </c>
      <c r="E1009" s="41">
        <f>Data!H1007</f>
        <v>0</v>
      </c>
      <c r="F1009" s="41">
        <f>Data!K1007</f>
        <v>0</v>
      </c>
      <c r="G1009" s="33" t="str">
        <f>Data!M1007</f>
        <v>Exceso Velocidad 20 Km/h</v>
      </c>
      <c r="H1009" s="41" t="str">
        <f>Data!P1007</f>
        <v>ECOPETROL RUBIALES- Quifa - CAÑO SUR, VEREDA PORVENIR: Resguardo Indígena, Puerto Gaitán, Meta, Colombia</v>
      </c>
      <c r="I1009" s="42" t="str">
        <f>Data!Q1007</f>
        <v>Cliente, Vel Max 40 Km/h, Vel Max 20 Km/h</v>
      </c>
      <c r="J1009" s="43">
        <f>Data!S1007</f>
        <v>46174.407784074072</v>
      </c>
      <c r="K1009" s="44">
        <f>Data!S1007</f>
        <v>46174.407784074072</v>
      </c>
      <c r="L1009" s="45">
        <f>Data!T1007</f>
        <v>3.914351851851852E-4</v>
      </c>
      <c r="M1009" s="46">
        <f>Data!U1007</f>
        <v>0.26959154009819031</v>
      </c>
      <c r="N1009" s="46" t="str">
        <f>CONCATENATE(Data!W1007," (",Data!V1007,")")</f>
        <v>Exceso Velocidad 20 Km/h (Velocidad máxima: 33 kmh)</v>
      </c>
      <c r="O1009" s="42" t="str">
        <f>IF(Data!V1007&lt;&gt;"",N1009,Data!W1007)</f>
        <v>Exceso Velocidad 20 Km/h (Velocidad máxima: 33 kmh)</v>
      </c>
      <c r="P1009" s="47" t="str">
        <f>Data!X1007</f>
        <v>Válido</v>
      </c>
    </row>
    <row r="1010" spans="1:16">
      <c r="A1010" s="41" t="str">
        <f>Data!A1008</f>
        <v>QLO286</v>
      </c>
      <c r="B1010" s="41" t="str">
        <f>Data!D1008</f>
        <v>Vehicle, Diesel, ECP 1107 Rubiales Serv. Integrales</v>
      </c>
      <c r="C1010" s="41">
        <f>Data!F1008</f>
        <v>0</v>
      </c>
      <c r="D1010" s="41">
        <f>Data!G1008</f>
        <v>0</v>
      </c>
      <c r="E1010" s="41">
        <f>Data!H1008</f>
        <v>0</v>
      </c>
      <c r="F1010" s="41">
        <f>Data!K1008</f>
        <v>0</v>
      </c>
      <c r="G1010" s="33" t="str">
        <f>Data!M1008</f>
        <v>Exceso Velocidad 20 Km/h</v>
      </c>
      <c r="H1010" s="41" t="str">
        <f>Data!P1008</f>
        <v>ECOPETROL RUBIALES- Quifa - CAÑO SUR, VEREDA PORVENIR: 67MCQJ8P+7H, El Porvenir, Puerto Gaitán, Meta, Colombia</v>
      </c>
      <c r="I1010" s="42" t="str">
        <f>Data!Q1008</f>
        <v>Cliente, Vel Max 40 Km/h, Vel Max 20 Km/h</v>
      </c>
      <c r="J1010" s="43">
        <f>Data!S1008</f>
        <v>46174.412118055552</v>
      </c>
      <c r="K1010" s="44">
        <f>Data!S1008</f>
        <v>46174.412118055552</v>
      </c>
      <c r="L1010" s="45">
        <f>Data!T1008</f>
        <v>1.4884259259259259E-5</v>
      </c>
      <c r="M1010" s="46">
        <f>Data!U1008</f>
        <v>7.0899040438234806E-3</v>
      </c>
      <c r="N1010" s="46" t="str">
        <f>CONCATENATE(Data!W1008," (",Data!V1008,")")</f>
        <v>Exceso Velocidad 20 Km/h (Velocidad máxima: 22 kmh)</v>
      </c>
      <c r="O1010" s="42" t="str">
        <f>IF(Data!V1008&lt;&gt;"",N1010,Data!W1008)</f>
        <v>Exceso Velocidad 20 Km/h (Velocidad máxima: 22 kmh)</v>
      </c>
      <c r="P1010" s="47" t="str">
        <f>Data!X1008</f>
        <v>Válido</v>
      </c>
    </row>
    <row r="1011" spans="1:16">
      <c r="A1011" s="41" t="str">
        <f>Data!A1009</f>
        <v>QLO286</v>
      </c>
      <c r="B1011" s="41" t="str">
        <f>Data!D1009</f>
        <v>Vehicle, Diesel, ECP 1107 Rubiales Serv. Integrales</v>
      </c>
      <c r="C1011" s="41">
        <f>Data!F1009</f>
        <v>0</v>
      </c>
      <c r="D1011" s="41">
        <f>Data!G1009</f>
        <v>0</v>
      </c>
      <c r="E1011" s="41">
        <f>Data!H1009</f>
        <v>0</v>
      </c>
      <c r="F1011" s="41">
        <f>Data!K1009</f>
        <v>0</v>
      </c>
      <c r="G1011" s="33" t="str">
        <f>Data!M1009</f>
        <v>Exceso Velocidad 20 Km/h</v>
      </c>
      <c r="H1011" s="41" t="str">
        <f>Data!P1009</f>
        <v>ECOPETROL RUBIALES- Quifa - CAÑO SUR, VEREDA PORVENIR: 67MCQJ8P+7H, El Porvenir, Puerto Gaitán, Meta, Colombia</v>
      </c>
      <c r="I1011" s="42" t="str">
        <f>Data!Q1009</f>
        <v>Cliente, Vel Max 40 Km/h, Vel Max 20 Km/h</v>
      </c>
      <c r="J1011" s="43">
        <f>Data!S1009</f>
        <v>46174.412177210645</v>
      </c>
      <c r="K1011" s="44">
        <f>Data!S1009</f>
        <v>46174.412177210645</v>
      </c>
      <c r="L1011" s="45">
        <f>Data!T1009</f>
        <v>3.9802083333333334E-4</v>
      </c>
      <c r="M1011" s="46">
        <f>Data!U1009</f>
        <v>0.21616129577159882</v>
      </c>
      <c r="N1011" s="46" t="str">
        <f>CONCATENATE(Data!W1009," (",Data!V1009,")")</f>
        <v>Exceso Velocidad 20 Km/h (Velocidad máxima: 26 kmh)</v>
      </c>
      <c r="O1011" s="42" t="str">
        <f>IF(Data!V1009&lt;&gt;"",N1011,Data!W1009)</f>
        <v>Exceso Velocidad 20 Km/h (Velocidad máxima: 26 kmh)</v>
      </c>
      <c r="P1011" s="47" t="str">
        <f>Data!X1009</f>
        <v>Válido</v>
      </c>
    </row>
    <row r="1012" spans="1:16">
      <c r="A1012" s="41" t="str">
        <f>Data!A1010</f>
        <v>QLO286</v>
      </c>
      <c r="B1012" s="41" t="str">
        <f>Data!D1010</f>
        <v>Vehicle, Diesel, ECP 1107 Rubiales Serv. Integrales</v>
      </c>
      <c r="C1012" s="41">
        <f>Data!F1010</f>
        <v>0</v>
      </c>
      <c r="D1012" s="41">
        <f>Data!G1010</f>
        <v>0</v>
      </c>
      <c r="E1012" s="41">
        <f>Data!H1010</f>
        <v>0</v>
      </c>
      <c r="F1012" s="41">
        <f>Data!K1010</f>
        <v>0</v>
      </c>
      <c r="G1012" s="33" t="str">
        <f>Data!M1010</f>
        <v>Exceso Velocidad 20 Km/h</v>
      </c>
      <c r="H1012" s="41" t="str">
        <f>Data!P1010</f>
        <v>ECOPETROL RUBIALES- Quifa - CAÑO SUR, VEREDA PORVENIR: Resguardo Indígena, Puerto Gaitán, Meta, Colombia</v>
      </c>
      <c r="I1012" s="42" t="str">
        <f>Data!Q1010</f>
        <v>Cliente, Vel Max 40 Km/h, Vel Max 20 Km/h</v>
      </c>
      <c r="J1012" s="43">
        <f>Data!S1010</f>
        <v>46174.412723761576</v>
      </c>
      <c r="K1012" s="44">
        <f>Data!S1010</f>
        <v>46174.412723761576</v>
      </c>
      <c r="L1012" s="45">
        <f>Data!T1010</f>
        <v>1.2144675925925925E-4</v>
      </c>
      <c r="M1012" s="46">
        <f>Data!U1010</f>
        <v>8.4790065884590149E-2</v>
      </c>
      <c r="N1012" s="46" t="str">
        <f>CONCATENATE(Data!W1010," (",Data!V1010,")")</f>
        <v>Exceso Velocidad 20 Km/h (Velocidad máxima: 33 kmh)</v>
      </c>
      <c r="O1012" s="42" t="str">
        <f>IF(Data!V1010&lt;&gt;"",N1012,Data!W1010)</f>
        <v>Exceso Velocidad 20 Km/h (Velocidad máxima: 33 kmh)</v>
      </c>
      <c r="P1012" s="47" t="str">
        <f>Data!X1010</f>
        <v>Válido</v>
      </c>
    </row>
    <row r="1013" spans="1:16">
      <c r="A1013" s="41" t="str">
        <f>Data!A1011</f>
        <v>QLO286</v>
      </c>
      <c r="B1013" s="41" t="str">
        <f>Data!D1011</f>
        <v>Vehicle, Diesel, ECP 1107 Rubiales Serv. Integrales</v>
      </c>
      <c r="C1013" s="41">
        <f>Data!F1011</f>
        <v>0</v>
      </c>
      <c r="D1013" s="41">
        <f>Data!G1011</f>
        <v>0</v>
      </c>
      <c r="E1013" s="41">
        <f>Data!H1011</f>
        <v>0</v>
      </c>
      <c r="F1013" s="41">
        <f>Data!K1011</f>
        <v>0</v>
      </c>
      <c r="G1013" s="33" t="str">
        <f>Data!M1011</f>
        <v>Exceso Velocidad 40 Km/h</v>
      </c>
      <c r="H1013" s="41" t="str">
        <f>Data!P1011</f>
        <v>ECOPETROL RUBIALES- Quifa - CAÑO SUR: Resguardo Indígena, Puerto Gaitán, Meta, Colombia</v>
      </c>
      <c r="I1013" s="42" t="str">
        <f>Data!Q1011</f>
        <v>Cliente, Vel Max 40 Km/h</v>
      </c>
      <c r="J1013" s="43">
        <f>Data!S1011</f>
        <v>46174.413182870368</v>
      </c>
      <c r="K1013" s="44">
        <f>Data!S1011</f>
        <v>46174.413182870368</v>
      </c>
      <c r="L1013" s="45">
        <f>Data!T1011</f>
        <v>1.9015046296296296E-4</v>
      </c>
      <c r="M1013" s="46">
        <f>Data!U1011</f>
        <v>0.19424526393413544</v>
      </c>
      <c r="N1013" s="46" t="str">
        <f>CONCATENATE(Data!W1011," (",Data!V1011,")")</f>
        <v>Exceso Velocidad 40 Km/h (Velocidad máxima: 44 kmh)</v>
      </c>
      <c r="O1013" s="42" t="str">
        <f>IF(Data!V1011&lt;&gt;"",N1013,Data!W1011)</f>
        <v>Exceso Velocidad 40 Km/h (Velocidad máxima: 44 kmh)</v>
      </c>
      <c r="P1013" s="47" t="str">
        <f>Data!X1011</f>
        <v>Válido</v>
      </c>
    </row>
    <row r="1014" spans="1:16">
      <c r="A1014" s="41" t="str">
        <f>Data!A1012</f>
        <v>QLO286</v>
      </c>
      <c r="B1014" s="41" t="str">
        <f>Data!D1012</f>
        <v>Vehicle, Diesel, ECP 1107 Rubiales Serv. Integrales</v>
      </c>
      <c r="C1014" s="41">
        <f>Data!F1012</f>
        <v>0</v>
      </c>
      <c r="D1014" s="41">
        <f>Data!G1012</f>
        <v>0</v>
      </c>
      <c r="E1014" s="41">
        <f>Data!H1012</f>
        <v>0</v>
      </c>
      <c r="F1014" s="41">
        <f>Data!K1012</f>
        <v>0</v>
      </c>
      <c r="G1014" s="33" t="str">
        <f>Data!M1012</f>
        <v>Aceleración brusca (nuevo)</v>
      </c>
      <c r="H1014" s="41" t="str">
        <f>Data!P1012</f>
        <v>ECOPETROL RUBIALES- Quifa - CAÑO SUR: Resguardo Indígena, Puerto Gaitán, Meta, Colombia</v>
      </c>
      <c r="I1014" s="42" t="str">
        <f>Data!Q1012</f>
        <v>Cliente, Vel Max 40 Km/h</v>
      </c>
      <c r="J1014" s="43">
        <f>Data!S1012</f>
        <v>46174.413819444446</v>
      </c>
      <c r="K1014" s="44">
        <f>Data!S1012</f>
        <v>46174.413819444446</v>
      </c>
      <c r="L1014" s="45">
        <f>Data!T1012</f>
        <v>0</v>
      </c>
      <c r="M1014" s="46">
        <f>Data!U1012</f>
        <v>0</v>
      </c>
      <c r="N1014" s="46" t="str">
        <f>CONCATENATE(Data!W1012," (",Data!V1012,")")</f>
        <v>Aceleración brusca (nuevo) (Clase de vehículo para métricas de seguridad: Otra clase (no estandarizada), Velocidad máxima: 7 kmh,  Ignición: 1)</v>
      </c>
      <c r="O1014" s="42" t="str">
        <f>IF(Data!V1012&lt;&gt;"",N1014,Data!W1012)</f>
        <v>Aceleración brusca (nuevo) (Clase de vehículo para métricas de seguridad: Otra clase (no estandarizada), Velocidad máxima: 7 kmh,  Ignición: 1)</v>
      </c>
      <c r="P1014" s="47" t="str">
        <f>Data!X1012</f>
        <v>Válido</v>
      </c>
    </row>
    <row r="1015" spans="1:16">
      <c r="A1015" s="41" t="str">
        <f>Data!A1013</f>
        <v>QLO286</v>
      </c>
      <c r="B1015" s="41" t="str">
        <f>Data!D1013</f>
        <v>Vehicle, Diesel, ECP 1107 Rubiales Serv. Integrales</v>
      </c>
      <c r="C1015" s="41">
        <f>Data!F1013</f>
        <v>0</v>
      </c>
      <c r="D1015" s="41">
        <f>Data!G1013</f>
        <v>0</v>
      </c>
      <c r="E1015" s="41">
        <f>Data!H1013</f>
        <v>0</v>
      </c>
      <c r="F1015" s="41">
        <f>Data!K1013</f>
        <v>0</v>
      </c>
      <c r="G1015" s="33" t="str">
        <f>Data!M1013</f>
        <v>Aceleración brusca (nuevo)</v>
      </c>
      <c r="H1015" s="41" t="str">
        <f>Data!P1013</f>
        <v>ECOPETROL RUBIALES- Quifa - CAÑO SUR: Resguardo Indígena, Puerto Gaitán, Meta, Colombia</v>
      </c>
      <c r="I1015" s="42" t="str">
        <f>Data!Q1013</f>
        <v>Cliente, Vel Max 40 Km/h</v>
      </c>
      <c r="J1015" s="43">
        <f>Data!S1013</f>
        <v>46174.414340277777</v>
      </c>
      <c r="K1015" s="44">
        <f>Data!S1013</f>
        <v>46174.414340277777</v>
      </c>
      <c r="L1015" s="45">
        <f>Data!T1013</f>
        <v>0</v>
      </c>
      <c r="M1015" s="46">
        <f>Data!U1013</f>
        <v>0</v>
      </c>
      <c r="N1015" s="46" t="str">
        <f>CONCATENATE(Data!W1013," (",Data!V1013,")")</f>
        <v>Aceleración brusca (nuevo) (Clase de vehículo para métricas de seguridad: Otra clase (no estandarizada), Velocidad máxima: 7 kmh,  Ignición: 1)</v>
      </c>
      <c r="O1015" s="42" t="str">
        <f>IF(Data!V1013&lt;&gt;"",N1015,Data!W1013)</f>
        <v>Aceleración brusca (nuevo) (Clase de vehículo para métricas de seguridad: Otra clase (no estandarizada), Velocidad máxima: 7 kmh,  Ignición: 1)</v>
      </c>
      <c r="P1015" s="47" t="str">
        <f>Data!X1013</f>
        <v>Válido</v>
      </c>
    </row>
    <row r="1016" spans="1:16">
      <c r="A1016" s="41" t="str">
        <f>Data!A1014</f>
        <v>QLO286</v>
      </c>
      <c r="B1016" s="41" t="str">
        <f>Data!D1014</f>
        <v>Vehicle, Diesel, ECP 1107 Rubiales Serv. Integrales</v>
      </c>
      <c r="C1016" s="41">
        <f>Data!F1014</f>
        <v>0</v>
      </c>
      <c r="D1016" s="41">
        <f>Data!G1014</f>
        <v>0</v>
      </c>
      <c r="E1016" s="41">
        <f>Data!H1014</f>
        <v>0</v>
      </c>
      <c r="F1016" s="41">
        <f>Data!K1014</f>
        <v>0</v>
      </c>
      <c r="G1016" s="33" t="str">
        <f>Data!M1014</f>
        <v>Exceso Velocidad 40 Km/h</v>
      </c>
      <c r="H1016" s="41" t="str">
        <f>Data!P1014</f>
        <v>ECOPETROL RUBIALES- Quifa - CAÑO SUR: Resguardo Indígena, Puerto Gaitán, Meta, Colombia</v>
      </c>
      <c r="I1016" s="42" t="str">
        <f>Data!Q1014</f>
        <v>Cliente, Vel Max 40 Km/h</v>
      </c>
      <c r="J1016" s="43">
        <f>Data!S1014</f>
        <v>46174.415134120369</v>
      </c>
      <c r="K1016" s="44">
        <f>Data!S1014</f>
        <v>46174.415134120369</v>
      </c>
      <c r="L1016" s="45">
        <f>Data!T1014</f>
        <v>2.7916666666666666E-5</v>
      </c>
      <c r="M1016" s="46">
        <f>Data!U1014</f>
        <v>2.598411962389946E-2</v>
      </c>
      <c r="N1016" s="46" t="str">
        <f>CONCATENATE(Data!W1014," (",Data!V1014,")")</f>
        <v>Exceso Velocidad 40 Km/h (Velocidad máxima: 41 kmh)</v>
      </c>
      <c r="O1016" s="42" t="str">
        <f>IF(Data!V1014&lt;&gt;"",N1016,Data!W1014)</f>
        <v>Exceso Velocidad 40 Km/h (Velocidad máxima: 41 kmh)</v>
      </c>
      <c r="P1016" s="47" t="str">
        <f>Data!X1014</f>
        <v>Válido</v>
      </c>
    </row>
    <row r="1017" spans="1:16">
      <c r="A1017" s="41" t="str">
        <f>Data!A1015</f>
        <v>QLO286</v>
      </c>
      <c r="B1017" s="41" t="str">
        <f>Data!D1015</f>
        <v>Vehicle, Diesel, ECP 1107 Rubiales Serv. Integrales</v>
      </c>
      <c r="C1017" s="41">
        <f>Data!F1015</f>
        <v>0</v>
      </c>
      <c r="D1017" s="41">
        <f>Data!G1015</f>
        <v>0</v>
      </c>
      <c r="E1017" s="41">
        <f>Data!H1015</f>
        <v>0</v>
      </c>
      <c r="F1017" s="41">
        <f>Data!K1015</f>
        <v>0</v>
      </c>
      <c r="G1017" s="33" t="str">
        <f>Data!M1015</f>
        <v>Exceso Velocidad 40 Km/h</v>
      </c>
      <c r="H1017" s="41" t="str">
        <f>Data!P1015</f>
        <v>ECOPETROL RUBIALES- Quifa - CAÑO SUR: Resguardo Indígena, Puerto Gaitán, Meta, Colombia</v>
      </c>
      <c r="I1017" s="42" t="str">
        <f>Data!Q1015</f>
        <v>Cliente, Vel Max 40 Km/h</v>
      </c>
      <c r="J1017" s="43">
        <f>Data!S1015</f>
        <v>46174.415512569445</v>
      </c>
      <c r="K1017" s="44">
        <f>Data!S1015</f>
        <v>46174.415512569445</v>
      </c>
      <c r="L1017" s="45">
        <f>Data!T1015</f>
        <v>2.1659722222222222E-4</v>
      </c>
      <c r="M1017" s="46">
        <f>Data!U1015</f>
        <v>0.21936473250389099</v>
      </c>
      <c r="N1017" s="46" t="str">
        <f>CONCATENATE(Data!W1015," (",Data!V1015,")")</f>
        <v>Exceso Velocidad 40 Km/h (Velocidad máxima: 44 kmh)</v>
      </c>
      <c r="O1017" s="42" t="str">
        <f>IF(Data!V1015&lt;&gt;"",N1017,Data!W1015)</f>
        <v>Exceso Velocidad 40 Km/h (Velocidad máxima: 44 kmh)</v>
      </c>
      <c r="P1017" s="47" t="str">
        <f>Data!X1015</f>
        <v>Válido</v>
      </c>
    </row>
    <row r="1018" spans="1:16">
      <c r="A1018" s="41" t="str">
        <f>Data!A1016</f>
        <v>QLO286</v>
      </c>
      <c r="B1018" s="41" t="str">
        <f>Data!D1016</f>
        <v>Vehicle, Diesel, ECP 1107 Rubiales Serv. Integrales</v>
      </c>
      <c r="C1018" s="41">
        <f>Data!F1016</f>
        <v>0</v>
      </c>
      <c r="D1018" s="41">
        <f>Data!G1016</f>
        <v>0</v>
      </c>
      <c r="E1018" s="41">
        <f>Data!H1016</f>
        <v>0</v>
      </c>
      <c r="F1018" s="41">
        <f>Data!K1016</f>
        <v>0</v>
      </c>
      <c r="G1018" s="33" t="str">
        <f>Data!M1016</f>
        <v>Exceso Velocidad 40 Km/h</v>
      </c>
      <c r="H1018" s="41" t="str">
        <f>Data!P1016</f>
        <v>ECOPETROL RUBIALES- Quifa - CAÑO SUR: Resguardo Indígena, Puerto Gaitán, Meta, Colombia</v>
      </c>
      <c r="I1018" s="42" t="str">
        <f>Data!Q1016</f>
        <v>Cliente, Vel Max 40 Km/h</v>
      </c>
      <c r="J1018" s="43">
        <f>Data!S1016</f>
        <v>46174.415807291669</v>
      </c>
      <c r="K1018" s="44">
        <f>Data!S1016</f>
        <v>46174.415807291669</v>
      </c>
      <c r="L1018" s="45">
        <f>Data!T1016</f>
        <v>6.5435185185185182E-4</v>
      </c>
      <c r="M1018" s="46">
        <f>Data!U1016</f>
        <v>0.66438072919845581</v>
      </c>
      <c r="N1018" s="46" t="str">
        <f>CONCATENATE(Data!W1016," (",Data!V1016,")")</f>
        <v>Exceso Velocidad 40 Km/h (Velocidad máxima: 44 kmh)</v>
      </c>
      <c r="O1018" s="42" t="str">
        <f>IF(Data!V1016&lt;&gt;"",N1018,Data!W1016)</f>
        <v>Exceso Velocidad 40 Km/h (Velocidad máxima: 44 kmh)</v>
      </c>
      <c r="P1018" s="47" t="str">
        <f>Data!X1016</f>
        <v>Válido</v>
      </c>
    </row>
    <row r="1019" spans="1:16">
      <c r="A1019" s="41" t="str">
        <f>Data!A1017</f>
        <v>QLO286</v>
      </c>
      <c r="B1019" s="41" t="str">
        <f>Data!D1017</f>
        <v>Vehicle, Diesel, ECP 1107 Rubiales Serv. Integrales</v>
      </c>
      <c r="C1019" s="41">
        <f>Data!F1017</f>
        <v>0</v>
      </c>
      <c r="D1019" s="41">
        <f>Data!G1017</f>
        <v>0</v>
      </c>
      <c r="E1019" s="41">
        <f>Data!H1017</f>
        <v>0</v>
      </c>
      <c r="F1019" s="41">
        <f>Data!K1017</f>
        <v>0</v>
      </c>
      <c r="G1019" s="33" t="str">
        <f>Data!M1017</f>
        <v>Frenado brusco (nuevo)</v>
      </c>
      <c r="H1019" s="41" t="str">
        <f>Data!P1017</f>
        <v>ECOPETROL RUBIALES- Quifa - CAÑO SUR: Resguardo Indígena, Puerto Gaitán, Meta, Colombia</v>
      </c>
      <c r="I1019" s="42" t="str">
        <f>Data!Q1017</f>
        <v>Cliente, Vel Max 40 Km/h</v>
      </c>
      <c r="J1019" s="43">
        <f>Data!S1017</f>
        <v>46174.416481481479</v>
      </c>
      <c r="K1019" s="44">
        <f>Data!S1017</f>
        <v>46174.416481481479</v>
      </c>
      <c r="L1019" s="45">
        <f>Data!T1017</f>
        <v>0</v>
      </c>
      <c r="M1019" s="46">
        <f>Data!U1017</f>
        <v>0</v>
      </c>
      <c r="N1019" s="46" t="str">
        <f>CONCATENATE(Data!W1017," (",Data!V1017,")")</f>
        <v>Frenado brusco (nuevo) (Clase de vehículo para métricas de seguridad: Otra clase (no estandarizada), Velocidad máxima: 28 kmh,  Ignición: 1)</v>
      </c>
      <c r="O1019" s="42" t="str">
        <f>IF(Data!V1017&lt;&gt;"",N1019,Data!W1017)</f>
        <v>Frenado brusco (nuevo) (Clase de vehículo para métricas de seguridad: Otra clase (no estandarizada), Velocidad máxima: 28 kmh,  Ignición: 1)</v>
      </c>
      <c r="P1019" s="47" t="str">
        <f>Data!X1017</f>
        <v>Válido</v>
      </c>
    </row>
    <row r="1020" spans="1:16">
      <c r="A1020" s="41" t="str">
        <f>Data!A1018</f>
        <v>QLO286</v>
      </c>
      <c r="B1020" s="41" t="str">
        <f>Data!D1018</f>
        <v>Vehicle, Diesel, ECP 1107 Rubiales Serv. Integrales</v>
      </c>
      <c r="C1020" s="41">
        <f>Data!F1018</f>
        <v>0</v>
      </c>
      <c r="D1020" s="41">
        <f>Data!G1018</f>
        <v>0</v>
      </c>
      <c r="E1020" s="41">
        <f>Data!H1018</f>
        <v>0</v>
      </c>
      <c r="F1020" s="41">
        <f>Data!K1018</f>
        <v>0</v>
      </c>
      <c r="G1020" s="33" t="str">
        <f>Data!M1018</f>
        <v>Aceleración brusca (nuevo)</v>
      </c>
      <c r="H1020" s="41" t="str">
        <f>Data!P1018</f>
        <v>ECOPETROL RUBIALES- Quifa - CAÑO SUR: Resguardo Indígena, Puerto Gaitán, Meta, Colombia</v>
      </c>
      <c r="I1020" s="42" t="str">
        <f>Data!Q1018</f>
        <v>Cliente, Vel Max 40 Km/h</v>
      </c>
      <c r="J1020" s="43">
        <f>Data!S1018</f>
        <v>46174.416851851849</v>
      </c>
      <c r="K1020" s="44">
        <f>Data!S1018</f>
        <v>46174.416851851849</v>
      </c>
      <c r="L1020" s="45">
        <f>Data!T1018</f>
        <v>0</v>
      </c>
      <c r="M1020" s="46">
        <f>Data!U1018</f>
        <v>0</v>
      </c>
      <c r="N1020" s="46" t="str">
        <f>CONCATENATE(Data!W1018," (",Data!V1018,")")</f>
        <v>Aceleración brusca (nuevo) (Clase de vehículo para métricas de seguridad: Otra clase (no estandarizada), Velocidad máxima: 6 kmh,  Ignición: 1)</v>
      </c>
      <c r="O1020" s="42" t="str">
        <f>IF(Data!V1018&lt;&gt;"",N1020,Data!W1018)</f>
        <v>Aceleración brusca (nuevo) (Clase de vehículo para métricas de seguridad: Otra clase (no estandarizada), Velocidad máxima: 6 kmh,  Ignición: 1)</v>
      </c>
      <c r="P1020" s="47" t="str">
        <f>Data!X1018</f>
        <v>Válido</v>
      </c>
    </row>
    <row r="1021" spans="1:16">
      <c r="A1021" s="41" t="str">
        <f>Data!A1019</f>
        <v>QLO286</v>
      </c>
      <c r="B1021" s="41" t="str">
        <f>Data!D1019</f>
        <v>Vehicle, Diesel, ECP 1107 Rubiales Serv. Integrales</v>
      </c>
      <c r="C1021" s="41">
        <f>Data!F1019</f>
        <v>0</v>
      </c>
      <c r="D1021" s="41">
        <f>Data!G1019</f>
        <v>0</v>
      </c>
      <c r="E1021" s="41">
        <f>Data!H1019</f>
        <v>0</v>
      </c>
      <c r="F1021" s="41">
        <f>Data!K1019</f>
        <v>0</v>
      </c>
      <c r="G1021" s="33" t="str">
        <f>Data!M1019</f>
        <v>Exceso Velocidad 40 Km/h</v>
      </c>
      <c r="H1021" s="41" t="str">
        <f>Data!P1019</f>
        <v>ECOPETROL RUBIALES- Quifa - CAÑO SUR: Resguardo Indígena, Puerto Gaitán, Meta, Colombia</v>
      </c>
      <c r="I1021" s="42" t="str">
        <f>Data!Q1019</f>
        <v>Cliente, Vel Max 40 Km/h</v>
      </c>
      <c r="J1021" s="43">
        <f>Data!S1019</f>
        <v>46174.417993831019</v>
      </c>
      <c r="K1021" s="44">
        <f>Data!S1019</f>
        <v>46174.417993831019</v>
      </c>
      <c r="L1021" s="45">
        <f>Data!T1019</f>
        <v>8.1018518518518516E-4</v>
      </c>
      <c r="M1021" s="46">
        <f>Data!U1019</f>
        <v>0.89401477575302124</v>
      </c>
      <c r="N1021" s="46" t="str">
        <f>CONCATENATE(Data!W1019," (",Data!V1019,")")</f>
        <v>Exceso Velocidad 40 Km/h (Velocidad máxima: 50 kmh)</v>
      </c>
      <c r="O1021" s="42" t="str">
        <f>IF(Data!V1019&lt;&gt;"",N1021,Data!W1019)</f>
        <v>Exceso Velocidad 40 Km/h (Velocidad máxima: 50 kmh)</v>
      </c>
      <c r="P1021" s="47" t="str">
        <f>Data!X1019</f>
        <v>Válido</v>
      </c>
    </row>
    <row r="1022" spans="1:16">
      <c r="A1022" s="41" t="str">
        <f>Data!A1020</f>
        <v>QLO286</v>
      </c>
      <c r="B1022" s="41" t="str">
        <f>Data!D1020</f>
        <v>Vehicle, Diesel, ECP 1107 Rubiales Serv. Integrales</v>
      </c>
      <c r="C1022" s="41">
        <f>Data!F1020</f>
        <v>0</v>
      </c>
      <c r="D1022" s="41">
        <f>Data!G1020</f>
        <v>0</v>
      </c>
      <c r="E1022" s="41">
        <f>Data!H1020</f>
        <v>0</v>
      </c>
      <c r="F1022" s="41">
        <f>Data!K1020</f>
        <v>0</v>
      </c>
      <c r="G1022" s="33" t="str">
        <f>Data!M1020</f>
        <v>Exceso Velocidad 40 Km/h</v>
      </c>
      <c r="H1022" s="41" t="str">
        <f>Data!P1020</f>
        <v>ECOPETROL RUBIALES- Quifa - CAÑO SUR: Resguardo Indígena, Puerto Gaitán, Meta, Colombia</v>
      </c>
      <c r="I1022" s="42" t="str">
        <f>Data!Q1020</f>
        <v>Cliente, Vel Max 40 Km/h</v>
      </c>
      <c r="J1022" s="43">
        <f>Data!S1020</f>
        <v>46174.419050925928</v>
      </c>
      <c r="K1022" s="44">
        <f>Data!S1020</f>
        <v>46174.419050925928</v>
      </c>
      <c r="L1022" s="45">
        <f>Data!T1020</f>
        <v>3.7395833333333332E-5</v>
      </c>
      <c r="M1022" s="46">
        <f>Data!U1020</f>
        <v>3.7150926887989044E-2</v>
      </c>
      <c r="N1022" s="46" t="str">
        <f>CONCATENATE(Data!W1020," (",Data!V1020,")")</f>
        <v>Exceso Velocidad 40 Km/h (Velocidad máxima: 41 kmh)</v>
      </c>
      <c r="O1022" s="42" t="str">
        <f>IF(Data!V1020&lt;&gt;"",N1022,Data!W1020)</f>
        <v>Exceso Velocidad 40 Km/h (Velocidad máxima: 41 kmh)</v>
      </c>
      <c r="P1022" s="47" t="str">
        <f>Data!X1020</f>
        <v>Válido</v>
      </c>
    </row>
    <row r="1023" spans="1:16">
      <c r="A1023" s="41" t="str">
        <f>Data!A1021</f>
        <v>QLO286</v>
      </c>
      <c r="B1023" s="41" t="str">
        <f>Data!D1021</f>
        <v>Vehicle, Diesel, ECP 1107 Rubiales Serv. Integrales</v>
      </c>
      <c r="C1023" s="41">
        <f>Data!F1021</f>
        <v>0</v>
      </c>
      <c r="D1023" s="41">
        <f>Data!G1021</f>
        <v>0</v>
      </c>
      <c r="E1023" s="41">
        <f>Data!H1021</f>
        <v>0</v>
      </c>
      <c r="F1023" s="41">
        <f>Data!K1021</f>
        <v>0</v>
      </c>
      <c r="G1023" s="33" t="str">
        <f>Data!M1021</f>
        <v>Exceso Velocidad 40 Km/h</v>
      </c>
      <c r="H1023" s="41" t="str">
        <f>Data!P1021</f>
        <v>ECOPETROL RUBIALES- Quifa - CAÑO SUR: Resguardo Indígena, Puerto Gaitán, Meta, Colombia</v>
      </c>
      <c r="I1023" s="42" t="str">
        <f>Data!Q1021</f>
        <v>Cliente, Vel Max 40 Km/h</v>
      </c>
      <c r="J1023" s="43">
        <f>Data!S1021</f>
        <v>46174.419530729167</v>
      </c>
      <c r="K1023" s="44">
        <f>Data!S1021</f>
        <v>46174.419530729167</v>
      </c>
      <c r="L1023" s="45">
        <f>Data!T1021</f>
        <v>1.6008101851851852E-4</v>
      </c>
      <c r="M1023" s="46">
        <f>Data!U1021</f>
        <v>0.16895425319671631</v>
      </c>
      <c r="N1023" s="46" t="str">
        <f>CONCATENATE(Data!W1021," (",Data!V1021,")")</f>
        <v>Exceso Velocidad 40 Km/h (Velocidad máxima: 46 kmh)</v>
      </c>
      <c r="O1023" s="42" t="str">
        <f>IF(Data!V1021&lt;&gt;"",N1023,Data!W1021)</f>
        <v>Exceso Velocidad 40 Km/h (Velocidad máxima: 46 kmh)</v>
      </c>
      <c r="P1023" s="47" t="str">
        <f>Data!X1021</f>
        <v>Válido</v>
      </c>
    </row>
    <row r="1024" spans="1:16">
      <c r="A1024" s="41" t="str">
        <f>Data!A1022</f>
        <v>QLO286</v>
      </c>
      <c r="B1024" s="41" t="str">
        <f>Data!D1022</f>
        <v>Vehicle, Diesel, ECP 1107 Rubiales Serv. Integrales</v>
      </c>
      <c r="C1024" s="41">
        <f>Data!F1022</f>
        <v>0</v>
      </c>
      <c r="D1024" s="41">
        <f>Data!G1022</f>
        <v>0</v>
      </c>
      <c r="E1024" s="41">
        <f>Data!H1022</f>
        <v>0</v>
      </c>
      <c r="F1024" s="41">
        <f>Data!K1022</f>
        <v>0</v>
      </c>
      <c r="G1024" s="33" t="str">
        <f>Data!M1022</f>
        <v>Exceso Velocidad 40 Km/h</v>
      </c>
      <c r="H1024" s="41" t="str">
        <f>Data!P1022</f>
        <v>ECOPETROL RUBIALES- Quifa - CAÑO SUR: Resguardo Indígena, Puerto Gaitán, Meta, Colombia</v>
      </c>
      <c r="I1024" s="42" t="str">
        <f>Data!Q1022</f>
        <v>Cliente, Vel Max 40 Km/h</v>
      </c>
      <c r="J1024" s="43">
        <f>Data!S1022</f>
        <v>46174.419730486108</v>
      </c>
      <c r="K1024" s="44">
        <f>Data!S1022</f>
        <v>46174.419730486108</v>
      </c>
      <c r="L1024" s="45">
        <f>Data!T1022</f>
        <v>1.3988425925925925E-4</v>
      </c>
      <c r="M1024" s="46">
        <f>Data!U1022</f>
        <v>0.14413975179195404</v>
      </c>
      <c r="N1024" s="46" t="str">
        <f>CONCATENATE(Data!W1022," (",Data!V1022,")")</f>
        <v>Exceso Velocidad 40 Km/h (Velocidad máxima: 44 kmh)</v>
      </c>
      <c r="O1024" s="42" t="str">
        <f>IF(Data!V1022&lt;&gt;"",N1024,Data!W1022)</f>
        <v>Exceso Velocidad 40 Km/h (Velocidad máxima: 44 kmh)</v>
      </c>
      <c r="P1024" s="47" t="str">
        <f>Data!X1022</f>
        <v>Válido</v>
      </c>
    </row>
    <row r="1025" spans="1:16">
      <c r="A1025" s="41" t="str">
        <f>Data!A1023</f>
        <v>QLO286</v>
      </c>
      <c r="B1025" s="41" t="str">
        <f>Data!D1023</f>
        <v>Vehicle, Diesel, ECP 1107 Rubiales Serv. Integrales</v>
      </c>
      <c r="C1025" s="41">
        <f>Data!F1023</f>
        <v>0</v>
      </c>
      <c r="D1025" s="41">
        <f>Data!G1023</f>
        <v>0</v>
      </c>
      <c r="E1025" s="41">
        <f>Data!H1023</f>
        <v>0</v>
      </c>
      <c r="F1025" s="41">
        <f>Data!K1023</f>
        <v>0</v>
      </c>
      <c r="G1025" s="33" t="str">
        <f>Data!M1023</f>
        <v>Exceso Velocidad 40 Km/h</v>
      </c>
      <c r="H1025" s="41" t="str">
        <f>Data!P1023</f>
        <v>ECOPETROL RUBIALES- Quifa - CAÑO SUR: Vía Sin Nombre, Puerto Gaitán, Meta, Colombia</v>
      </c>
      <c r="I1025" s="42" t="str">
        <f>Data!Q1023</f>
        <v>Cliente, Vel Max 40 Km/h</v>
      </c>
      <c r="J1025" s="43">
        <f>Data!S1023</f>
        <v>46174.419906354167</v>
      </c>
      <c r="K1025" s="44">
        <f>Data!S1023</f>
        <v>46174.419906354167</v>
      </c>
      <c r="L1025" s="45">
        <f>Data!T1023</f>
        <v>1.4940972222222222E-4</v>
      </c>
      <c r="M1025" s="46">
        <f>Data!U1023</f>
        <v>0.16564537584781647</v>
      </c>
      <c r="N1025" s="46" t="str">
        <f>CONCATENATE(Data!W1023," (",Data!V1023,")")</f>
        <v>Exceso Velocidad 40 Km/h (Velocidad máxima: 50 kmh)</v>
      </c>
      <c r="O1025" s="42" t="str">
        <f>IF(Data!V1023&lt;&gt;"",N1025,Data!W1023)</f>
        <v>Exceso Velocidad 40 Km/h (Velocidad máxima: 50 kmh)</v>
      </c>
      <c r="P1025" s="47" t="str">
        <f>Data!X1023</f>
        <v>Válido</v>
      </c>
    </row>
    <row r="1026" spans="1:16">
      <c r="A1026" s="41" t="str">
        <f>Data!A1024</f>
        <v>QLO286</v>
      </c>
      <c r="B1026" s="41" t="str">
        <f>Data!D1024</f>
        <v>Vehicle, Diesel, ECP 1107 Rubiales Serv. Integrales</v>
      </c>
      <c r="C1026" s="41">
        <f>Data!F1024</f>
        <v>0</v>
      </c>
      <c r="D1026" s="41">
        <f>Data!G1024</f>
        <v>0</v>
      </c>
      <c r="E1026" s="41">
        <f>Data!H1024</f>
        <v>0</v>
      </c>
      <c r="F1026" s="41">
        <f>Data!K1024</f>
        <v>0</v>
      </c>
      <c r="G1026" s="33" t="str">
        <f>Data!M1024</f>
        <v>Exceso Velocidad 40 Km/h</v>
      </c>
      <c r="H1026" s="41" t="str">
        <f>Data!P1024</f>
        <v>ECOPETROL RUBIALES- Quifa - CAÑO SUR: Vía Sin Nombre, Puerto Gaitán, Meta, Colombia</v>
      </c>
      <c r="I1026" s="42" t="str">
        <f>Data!Q1024</f>
        <v>Cliente, Vel Max 40 Km/h</v>
      </c>
      <c r="J1026" s="43">
        <f>Data!S1024</f>
        <v>46174.420106481484</v>
      </c>
      <c r="K1026" s="44">
        <f>Data!S1024</f>
        <v>46174.420106481484</v>
      </c>
      <c r="L1026" s="45">
        <f>Data!T1024</f>
        <v>2.3945601851851851E-4</v>
      </c>
      <c r="M1026" s="46">
        <f>Data!U1024</f>
        <v>0.24515888094902039</v>
      </c>
      <c r="N1026" s="46" t="str">
        <f>CONCATENATE(Data!W1024," (",Data!V1024,")")</f>
        <v>Exceso Velocidad 40 Km/h (Velocidad máxima: 44 kmh)</v>
      </c>
      <c r="O1026" s="42" t="str">
        <f>IF(Data!V1024&lt;&gt;"",N1026,Data!W1024)</f>
        <v>Exceso Velocidad 40 Km/h (Velocidad máxima: 44 kmh)</v>
      </c>
      <c r="P1026" s="47" t="str">
        <f>Data!X1024</f>
        <v>Válido</v>
      </c>
    </row>
    <row r="1027" spans="1:16">
      <c r="A1027" s="41" t="str">
        <f>Data!A1025</f>
        <v>QLO286</v>
      </c>
      <c r="B1027" s="41" t="str">
        <f>Data!D1025</f>
        <v>Vehicle, Diesel, ECP 1107 Rubiales Serv. Integrales</v>
      </c>
      <c r="C1027" s="41">
        <f>Data!F1025</f>
        <v>0</v>
      </c>
      <c r="D1027" s="41">
        <f>Data!G1025</f>
        <v>0</v>
      </c>
      <c r="E1027" s="41">
        <f>Data!H1025</f>
        <v>0</v>
      </c>
      <c r="F1027" s="41">
        <f>Data!K1025</f>
        <v>0</v>
      </c>
      <c r="G1027" s="33" t="str">
        <f>Data!M1025</f>
        <v>Aceleración brusca (nuevo)</v>
      </c>
      <c r="H1027" s="41" t="str">
        <f>Data!P1025</f>
        <v>ECOPETROL RUBIALES- Quifa - CAÑO SUR: Vía Sin Nombre, Puerto Gaitán, Meta, Colombia</v>
      </c>
      <c r="I1027" s="42" t="str">
        <f>Data!Q1025</f>
        <v>Cliente, Vel Max 40 Km/h</v>
      </c>
      <c r="J1027" s="43">
        <f>Data!S1025</f>
        <v>46174.421782407408</v>
      </c>
      <c r="K1027" s="44">
        <f>Data!S1025</f>
        <v>46174.421782407408</v>
      </c>
      <c r="L1027" s="45">
        <f>Data!T1025</f>
        <v>0</v>
      </c>
      <c r="M1027" s="46">
        <f>Data!U1025</f>
        <v>0</v>
      </c>
      <c r="N1027" s="46" t="str">
        <f>CONCATENATE(Data!W1025," (",Data!V1025,")")</f>
        <v>Aceleración brusca (nuevo) (Clase de vehículo para métricas de seguridad: Otra clase (no estandarizada), Velocidad máxima: 5 kmh,  Ignición: 1)</v>
      </c>
      <c r="O1027" s="42" t="str">
        <f>IF(Data!V1025&lt;&gt;"",N1027,Data!W1025)</f>
        <v>Aceleración brusca (nuevo) (Clase de vehículo para métricas de seguridad: Otra clase (no estandarizada), Velocidad máxima: 5 kmh,  Ignición: 1)</v>
      </c>
      <c r="P1027" s="47" t="str">
        <f>Data!X1025</f>
        <v>Válido</v>
      </c>
    </row>
    <row r="1028" spans="1:16">
      <c r="A1028" s="41" t="str">
        <f>Data!A1026</f>
        <v>QLO286</v>
      </c>
      <c r="B1028" s="41" t="str">
        <f>Data!D1026</f>
        <v>Vehicle, Diesel, ECP 1107 Rubiales Serv. Integrales</v>
      </c>
      <c r="C1028" s="41">
        <f>Data!F1026</f>
        <v>0</v>
      </c>
      <c r="D1028" s="41">
        <f>Data!G1026</f>
        <v>0</v>
      </c>
      <c r="E1028" s="41">
        <f>Data!H1026</f>
        <v>0</v>
      </c>
      <c r="F1028" s="41">
        <f>Data!K1026</f>
        <v>0</v>
      </c>
      <c r="G1028" s="33" t="str">
        <f>Data!M1026</f>
        <v>Exceso Velocidad 40 Km/h</v>
      </c>
      <c r="H1028" s="41" t="str">
        <f>Data!P1026</f>
        <v>ECOPETROL RUBIALES- Quifa - CAÑO SUR: Vía Sin Nombre, Puerto Gaitán, Meta, Colombia</v>
      </c>
      <c r="I1028" s="42" t="str">
        <f>Data!Q1026</f>
        <v>Cliente, Vel Max 40 Km/h</v>
      </c>
      <c r="J1028" s="43">
        <f>Data!S1026</f>
        <v>46174.42273859954</v>
      </c>
      <c r="K1028" s="44">
        <f>Data!S1026</f>
        <v>46174.42273859954</v>
      </c>
      <c r="L1028" s="45">
        <f>Data!T1026</f>
        <v>1.2019675925925926E-4</v>
      </c>
      <c r="M1028" s="46">
        <f>Data!U1026</f>
        <v>0.11957906186580658</v>
      </c>
      <c r="N1028" s="46" t="str">
        <f>CONCATENATE(Data!W1026," (",Data!V1026,")")</f>
        <v>Exceso Velocidad 40 Km/h (Velocidad máxima: 44 kmh)</v>
      </c>
      <c r="O1028" s="42" t="str">
        <f>IF(Data!V1026&lt;&gt;"",N1028,Data!W1026)</f>
        <v>Exceso Velocidad 40 Km/h (Velocidad máxima: 44 kmh)</v>
      </c>
      <c r="P1028" s="47" t="str">
        <f>Data!X1026</f>
        <v>Válido</v>
      </c>
    </row>
    <row r="1029" spans="1:16">
      <c r="A1029" s="41" t="str">
        <f>Data!A1027</f>
        <v>QLO286</v>
      </c>
      <c r="B1029" s="41" t="str">
        <f>Data!D1027</f>
        <v>Vehicle, Diesel, ECP 1107 Rubiales Serv. Integrales</v>
      </c>
      <c r="C1029" s="41">
        <f>Data!F1027</f>
        <v>0</v>
      </c>
      <c r="D1029" s="41">
        <f>Data!G1027</f>
        <v>0</v>
      </c>
      <c r="E1029" s="41">
        <f>Data!H1027</f>
        <v>0</v>
      </c>
      <c r="F1029" s="41">
        <f>Data!K1027</f>
        <v>0</v>
      </c>
      <c r="G1029" s="33" t="str">
        <f>Data!M1027</f>
        <v>Exceso Velocidad 40 Km/h</v>
      </c>
      <c r="H1029" s="41" t="str">
        <f>Data!P1027</f>
        <v>ECOPETROL RUBIALES- Quifa - CAÑO SUR: Vía Sin Nombre, Puerto Gaitán, Meta, Colombia</v>
      </c>
      <c r="I1029" s="42" t="str">
        <f>Data!Q1027</f>
        <v>Cliente, Vel Max 40 Km/h</v>
      </c>
      <c r="J1029" s="43">
        <f>Data!S1027</f>
        <v>46174.422885798609</v>
      </c>
      <c r="K1029" s="44">
        <f>Data!S1027</f>
        <v>46174.422885798609</v>
      </c>
      <c r="L1029" s="45">
        <f>Data!T1027</f>
        <v>2.4788194444444445E-4</v>
      </c>
      <c r="M1029" s="46">
        <f>Data!U1027</f>
        <v>0.24543575942516327</v>
      </c>
      <c r="N1029" s="46" t="str">
        <f>CONCATENATE(Data!W1027," (",Data!V1027,")")</f>
        <v>Exceso Velocidad 40 Km/h (Velocidad máxima: 42 kmh)</v>
      </c>
      <c r="O1029" s="42" t="str">
        <f>IF(Data!V1027&lt;&gt;"",N1029,Data!W1027)</f>
        <v>Exceso Velocidad 40 Km/h (Velocidad máxima: 42 kmh)</v>
      </c>
      <c r="P1029" s="47" t="str">
        <f>Data!X1027</f>
        <v>Válido</v>
      </c>
    </row>
    <row r="1030" spans="1:16">
      <c r="A1030" s="41" t="str">
        <f>Data!A1028</f>
        <v>QLO286</v>
      </c>
      <c r="B1030" s="41" t="str">
        <f>Data!D1028</f>
        <v>Vehicle, Diesel, ECP 1107 Rubiales Serv. Integrales</v>
      </c>
      <c r="C1030" s="41">
        <f>Data!F1028</f>
        <v>0</v>
      </c>
      <c r="D1030" s="41">
        <f>Data!G1028</f>
        <v>0</v>
      </c>
      <c r="E1030" s="41">
        <f>Data!H1028</f>
        <v>0</v>
      </c>
      <c r="F1030" s="41">
        <f>Data!K1028</f>
        <v>0</v>
      </c>
      <c r="G1030" s="33" t="str">
        <f>Data!M1028</f>
        <v>Exceso Velocidad 40 Km/h</v>
      </c>
      <c r="H1030" s="41" t="str">
        <f>Data!P1028</f>
        <v>ECOPETROL RUBIALES- Quifa - CAÑO SUR: Vía Sin Nombre, Puerto Gaitán, Meta, Colombia</v>
      </c>
      <c r="I1030" s="42" t="str">
        <f>Data!Q1028</f>
        <v>Cliente, Vel Max 40 Km/h</v>
      </c>
      <c r="J1030" s="43">
        <f>Data!S1028</f>
        <v>46174.423234953807</v>
      </c>
      <c r="K1030" s="44">
        <f>Data!S1028</f>
        <v>46174.423234953807</v>
      </c>
      <c r="L1030" s="45">
        <f>Data!T1028</f>
        <v>3.2021990740740741E-4</v>
      </c>
      <c r="M1030" s="46">
        <f>Data!U1028</f>
        <v>0.32624968886375427</v>
      </c>
      <c r="N1030" s="46" t="str">
        <f>CONCATENATE(Data!W1028," (",Data!V1028,")")</f>
        <v>Exceso Velocidad 40 Km/h (Velocidad máxima: 42 kmh)</v>
      </c>
      <c r="O1030" s="42" t="str">
        <f>IF(Data!V1028&lt;&gt;"",N1030,Data!W1028)</f>
        <v>Exceso Velocidad 40 Km/h (Velocidad máxima: 42 kmh)</v>
      </c>
      <c r="P1030" s="47" t="str">
        <f>Data!X1028</f>
        <v>Válido</v>
      </c>
    </row>
    <row r="1031" spans="1:16">
      <c r="A1031" s="41" t="str">
        <f>Data!A1029</f>
        <v>QLO286</v>
      </c>
      <c r="B1031" s="41" t="str">
        <f>Data!D1029</f>
        <v>Vehicle, Diesel, ECP 1107 Rubiales Serv. Integrales</v>
      </c>
      <c r="C1031" s="41">
        <f>Data!F1029</f>
        <v>0</v>
      </c>
      <c r="D1031" s="41">
        <f>Data!G1029</f>
        <v>0</v>
      </c>
      <c r="E1031" s="41">
        <f>Data!H1029</f>
        <v>0</v>
      </c>
      <c r="F1031" s="41">
        <f>Data!K1029</f>
        <v>0</v>
      </c>
      <c r="G1031" s="33" t="str">
        <f>Data!M1029</f>
        <v>Exceso Velocidad 40 Km/h</v>
      </c>
      <c r="H1031" s="41" t="str">
        <f>Data!P1029</f>
        <v>ECOPETROL RUBIALES- Quifa - CAÑO SUR: Resguardo Indígena, Puerto Gaitán, Meta, Colombia</v>
      </c>
      <c r="I1031" s="42" t="str">
        <f>Data!Q1029</f>
        <v>Cliente, Vel Max 40 Km/h</v>
      </c>
      <c r="J1031" s="43">
        <f>Data!S1029</f>
        <v>46174.423807870371</v>
      </c>
      <c r="K1031" s="44">
        <f>Data!S1029</f>
        <v>46174.423807870371</v>
      </c>
      <c r="L1031" s="45">
        <f>Data!T1029</f>
        <v>2.3437499999999999E-4</v>
      </c>
      <c r="M1031" s="46">
        <f>Data!U1029</f>
        <v>0.23555952310562134</v>
      </c>
      <c r="N1031" s="46" t="str">
        <f>CONCATENATE(Data!W1029," (",Data!V1029,")")</f>
        <v>Exceso Velocidad 40 Km/h (Velocidad máxima: 42 kmh)</v>
      </c>
      <c r="O1031" s="42" t="str">
        <f>IF(Data!V1029&lt;&gt;"",N1031,Data!W1029)</f>
        <v>Exceso Velocidad 40 Km/h (Velocidad máxima: 42 kmh)</v>
      </c>
      <c r="P1031" s="47" t="str">
        <f>Data!X1029</f>
        <v>Válido</v>
      </c>
    </row>
    <row r="1032" spans="1:16">
      <c r="A1032" s="41" t="str">
        <f>Data!A1030</f>
        <v>QLO286</v>
      </c>
      <c r="B1032" s="41" t="str">
        <f>Data!D1030</f>
        <v>Vehicle, Diesel, ECP 1107 Rubiales Serv. Integrales</v>
      </c>
      <c r="C1032" s="41">
        <f>Data!F1030</f>
        <v>0</v>
      </c>
      <c r="D1032" s="41">
        <f>Data!G1030</f>
        <v>0</v>
      </c>
      <c r="E1032" s="41">
        <f>Data!H1030</f>
        <v>0</v>
      </c>
      <c r="F1032" s="41">
        <f>Data!K1030</f>
        <v>0</v>
      </c>
      <c r="G1032" s="33" t="str">
        <f>Data!M1030</f>
        <v>Exceso Velocidad 20 Km/h</v>
      </c>
      <c r="H1032" s="41" t="str">
        <f>Data!P1030</f>
        <v>ECOPETROL RUBIALES- Quifa - CAÑO SUR, VEREDA PORVENIR: Resguardo Indígena, Puerto Gaitán, Meta, Colombia</v>
      </c>
      <c r="I1032" s="42" t="str">
        <f>Data!Q1030</f>
        <v>Cliente, Vel Max 40 Km/h, Vel Max 20 Km/h</v>
      </c>
      <c r="J1032" s="43">
        <f>Data!S1030</f>
        <v>46174.424300937499</v>
      </c>
      <c r="K1032" s="44">
        <f>Data!S1030</f>
        <v>46174.424300937499</v>
      </c>
      <c r="L1032" s="45">
        <f>Data!T1030</f>
        <v>1.0261574074074074E-4</v>
      </c>
      <c r="M1032" s="46">
        <f>Data!U1030</f>
        <v>8.4018044173717499E-2</v>
      </c>
      <c r="N1032" s="46" t="str">
        <f>CONCATENATE(Data!W1030," (",Data!V1030,")")</f>
        <v>Exceso Velocidad 20 Km/h (Velocidad máxima: 38 kmh)</v>
      </c>
      <c r="O1032" s="42" t="str">
        <f>IF(Data!V1030&lt;&gt;"",N1032,Data!W1030)</f>
        <v>Exceso Velocidad 20 Km/h (Velocidad máxima: 38 kmh)</v>
      </c>
      <c r="P1032" s="47" t="str">
        <f>Data!X1030</f>
        <v>Válido</v>
      </c>
    </row>
    <row r="1033" spans="1:16">
      <c r="A1033" s="41" t="str">
        <f>Data!A1031</f>
        <v>QLO286</v>
      </c>
      <c r="B1033" s="41" t="str">
        <f>Data!D1031</f>
        <v>Vehicle, Diesel, ECP 1107 Rubiales Serv. Integrales</v>
      </c>
      <c r="C1033" s="41">
        <f>Data!F1031</f>
        <v>0</v>
      </c>
      <c r="D1033" s="41">
        <f>Data!G1031</f>
        <v>0</v>
      </c>
      <c r="E1033" s="41">
        <f>Data!H1031</f>
        <v>0</v>
      </c>
      <c r="F1033" s="41">
        <f>Data!K1031</f>
        <v>0</v>
      </c>
      <c r="G1033" s="33" t="str">
        <f>Data!M1031</f>
        <v>Exceso Velocidad 20 Km/h</v>
      </c>
      <c r="H1033" s="41" t="str">
        <f>Data!P1031</f>
        <v>ECOPETROL RUBIALES- Quifa - CAÑO SUR, VEREDA PORVENIR: Resguardo Indígena, Puerto Gaitán, Meta, Colombia</v>
      </c>
      <c r="I1033" s="42" t="str">
        <f>Data!Q1031</f>
        <v>Cliente, Vel Max 40 Km/h, Vel Max 20 Km/h</v>
      </c>
      <c r="J1033" s="43">
        <f>Data!S1031</f>
        <v>46174.424532407407</v>
      </c>
      <c r="K1033" s="44">
        <f>Data!S1031</f>
        <v>46174.424532407407</v>
      </c>
      <c r="L1033" s="45">
        <f>Data!T1031</f>
        <v>1.0590277777777777E-4</v>
      </c>
      <c r="M1033" s="46">
        <f>Data!U1031</f>
        <v>5.4135903716087341E-2</v>
      </c>
      <c r="N1033" s="46" t="str">
        <f>CONCATENATE(Data!W1031," (",Data!V1031,")")</f>
        <v>Exceso Velocidad 20 Km/h (Velocidad máxima: 24 kmh)</v>
      </c>
      <c r="O1033" s="42" t="str">
        <f>IF(Data!V1031&lt;&gt;"",N1033,Data!W1031)</f>
        <v>Exceso Velocidad 20 Km/h (Velocidad máxima: 24 kmh)</v>
      </c>
      <c r="P1033" s="47" t="str">
        <f>Data!X1031</f>
        <v>Válido</v>
      </c>
    </row>
    <row r="1034" spans="1:16">
      <c r="A1034" s="41" t="str">
        <f>Data!A1032</f>
        <v>QLO286</v>
      </c>
      <c r="B1034" s="41" t="str">
        <f>Data!D1032</f>
        <v>Vehicle, Diesel, ECP 1107 Rubiales Serv. Integrales</v>
      </c>
      <c r="C1034" s="41">
        <f>Data!F1032</f>
        <v>0</v>
      </c>
      <c r="D1034" s="41">
        <f>Data!G1032</f>
        <v>0</v>
      </c>
      <c r="E1034" s="41">
        <f>Data!H1032</f>
        <v>0</v>
      </c>
      <c r="F1034" s="41">
        <f>Data!K1032</f>
        <v>0</v>
      </c>
      <c r="G1034" s="33" t="str">
        <f>Data!M1032</f>
        <v>Exceso Velocidad 20 Km/h</v>
      </c>
      <c r="H1034" s="41" t="str">
        <f>Data!P1032</f>
        <v>ECOPETROL RUBIALES- Quifa - CAÑO SUR, VEREDA PORVENIR: 67MCQJ8P+7H, El Porvenir, Puerto Gaitán, Meta, Colombia</v>
      </c>
      <c r="I1034" s="42" t="str">
        <f>Data!Q1032</f>
        <v>Cliente, Vel Max 40 Km/h, Vel Max 20 Km/h</v>
      </c>
      <c r="J1034" s="43">
        <f>Data!S1032</f>
        <v>46174.426312835647</v>
      </c>
      <c r="K1034" s="44">
        <f>Data!S1032</f>
        <v>46174.426312835647</v>
      </c>
      <c r="L1034" s="45">
        <f>Data!T1032</f>
        <v>2.4581018518518517E-4</v>
      </c>
      <c r="M1034" s="46">
        <f>Data!U1032</f>
        <v>0.13775230944156647</v>
      </c>
      <c r="N1034" s="46" t="str">
        <f>CONCATENATE(Data!W1032," (",Data!V1032,")")</f>
        <v>Exceso Velocidad 20 Km/h (Velocidad máxima: 26 kmh)</v>
      </c>
      <c r="O1034" s="42" t="str">
        <f>IF(Data!V1032&lt;&gt;"",N1034,Data!W1032)</f>
        <v>Exceso Velocidad 20 Km/h (Velocidad máxima: 26 kmh)</v>
      </c>
      <c r="P1034" s="47" t="str">
        <f>Data!X1032</f>
        <v>Válido</v>
      </c>
    </row>
    <row r="1035" spans="1:16">
      <c r="A1035" s="41" t="str">
        <f>Data!A1033</f>
        <v>QLO286</v>
      </c>
      <c r="B1035" s="41" t="str">
        <f>Data!D1033</f>
        <v>Vehicle, Diesel, ECP 1107 Rubiales Serv. Integrales</v>
      </c>
      <c r="C1035" s="41">
        <f>Data!F1033</f>
        <v>0</v>
      </c>
      <c r="D1035" s="41">
        <f>Data!G1033</f>
        <v>0</v>
      </c>
      <c r="E1035" s="41">
        <f>Data!H1033</f>
        <v>0</v>
      </c>
      <c r="F1035" s="41">
        <f>Data!K1033</f>
        <v>0</v>
      </c>
      <c r="G1035" s="33" t="str">
        <f>Data!M1033</f>
        <v>Exceso Velocidad 20 Km/h</v>
      </c>
      <c r="H1035" s="41" t="str">
        <f>Data!P1033</f>
        <v>ECOPETROL RUBIALES- Quifa - CAÑO SUR, VEREDA PORVENIR: Resguardo Indígena, Puerto Gaitán, Meta, Colombia</v>
      </c>
      <c r="I1035" s="42" t="str">
        <f>Data!Q1033</f>
        <v>Cliente, Vel Max 40 Km/h, Vel Max 20 Km/h</v>
      </c>
      <c r="J1035" s="43">
        <f>Data!S1033</f>
        <v>46174.426751539351</v>
      </c>
      <c r="K1035" s="44">
        <f>Data!S1033</f>
        <v>46174.426751539351</v>
      </c>
      <c r="L1035" s="45">
        <f>Data!T1033</f>
        <v>8.873842592592592E-5</v>
      </c>
      <c r="M1035" s="46">
        <f>Data!U1033</f>
        <v>5.218173936009407E-2</v>
      </c>
      <c r="N1035" s="46" t="str">
        <f>CONCATENATE(Data!W1033," (",Data!V1033,")")</f>
        <v>Exceso Velocidad 20 Km/h (Velocidad máxima: 29 kmh)</v>
      </c>
      <c r="O1035" s="42" t="str">
        <f>IF(Data!V1033&lt;&gt;"",N1035,Data!W1033)</f>
        <v>Exceso Velocidad 20 Km/h (Velocidad máxima: 29 kmh)</v>
      </c>
      <c r="P1035" s="47" t="str">
        <f>Data!X1033</f>
        <v>Válido</v>
      </c>
    </row>
    <row r="1036" spans="1:16">
      <c r="A1036" s="41" t="str">
        <f>Data!A1034</f>
        <v>QLO286</v>
      </c>
      <c r="B1036" s="41" t="str">
        <f>Data!D1034</f>
        <v>Vehicle, Diesel, ECP 1107 Rubiales Serv. Integrales</v>
      </c>
      <c r="C1036" s="41">
        <f>Data!F1034</f>
        <v>0</v>
      </c>
      <c r="D1036" s="41">
        <f>Data!G1034</f>
        <v>0</v>
      </c>
      <c r="E1036" s="41">
        <f>Data!H1034</f>
        <v>0</v>
      </c>
      <c r="F1036" s="41">
        <f>Data!K1034</f>
        <v>0</v>
      </c>
      <c r="G1036" s="33" t="str">
        <f>Data!M1034</f>
        <v>Exceso Velocidad 20 Km/h</v>
      </c>
      <c r="H1036" s="41" t="str">
        <f>Data!P1034</f>
        <v>ECOPETROL RUBIALES- Quifa - CAÑO SUR, VEREDA PORVENIR: Resguardo Indígena, Puerto Gaitán, Meta, Colombia</v>
      </c>
      <c r="I1036" s="42" t="str">
        <f>Data!Q1034</f>
        <v>Cliente, Vel Max 40 Km/h, Vel Max 20 Km/h</v>
      </c>
      <c r="J1036" s="43">
        <f>Data!S1034</f>
        <v>46174.426840277774</v>
      </c>
      <c r="K1036" s="44">
        <f>Data!S1034</f>
        <v>46174.426840277774</v>
      </c>
      <c r="L1036" s="45">
        <f>Data!T1034</f>
        <v>2.8187500000000001E-4</v>
      </c>
      <c r="M1036" s="46">
        <f>Data!U1034</f>
        <v>0.2605903148651123</v>
      </c>
      <c r="N1036" s="46" t="str">
        <f>CONCATENATE(Data!W1034," (",Data!V1034,")")</f>
        <v>Exceso Velocidad 20 Km/h (Velocidad máxima: 44 kmh)</v>
      </c>
      <c r="O1036" s="42" t="str">
        <f>IF(Data!V1034&lt;&gt;"",N1036,Data!W1034)</f>
        <v>Exceso Velocidad 20 Km/h (Velocidad máxima: 44 kmh)</v>
      </c>
      <c r="P1036" s="47" t="str">
        <f>Data!X1034</f>
        <v>Válido</v>
      </c>
    </row>
    <row r="1037" spans="1:16">
      <c r="A1037" s="41" t="str">
        <f>Data!A1035</f>
        <v>QLO286</v>
      </c>
      <c r="B1037" s="41" t="str">
        <f>Data!D1035</f>
        <v>Vehicle, Diesel, ECP 1107 Rubiales Serv. Integrales</v>
      </c>
      <c r="C1037" s="41">
        <f>Data!F1035</f>
        <v>0</v>
      </c>
      <c r="D1037" s="41">
        <f>Data!G1035</f>
        <v>0</v>
      </c>
      <c r="E1037" s="41">
        <f>Data!H1035</f>
        <v>0</v>
      </c>
      <c r="F1037" s="41">
        <f>Data!K1035</f>
        <v>0</v>
      </c>
      <c r="G1037" s="33" t="str">
        <f>Data!M1035</f>
        <v>Exceso Velocidad 40 Km/h</v>
      </c>
      <c r="H1037" s="41" t="str">
        <f>Data!P1035</f>
        <v>ECOPETROL RUBIALES- Quifa - CAÑO SUR, VEREDA PORVENIR: Resguardo Indígena, Puerto Gaitán, Meta, Colombia</v>
      </c>
      <c r="I1037" s="42" t="str">
        <f>Data!Q1035</f>
        <v>Cliente, Vel Max 40 Km/h, Vel Max 20 Km/h</v>
      </c>
      <c r="J1037" s="43">
        <f>Data!S1035</f>
        <v>46174.426979166667</v>
      </c>
      <c r="K1037" s="44">
        <f>Data!S1035</f>
        <v>46174.426979166667</v>
      </c>
      <c r="L1037" s="45">
        <f>Data!T1035</f>
        <v>1.550925925925926E-4</v>
      </c>
      <c r="M1037" s="46">
        <f>Data!U1035</f>
        <v>0.1564125269651413</v>
      </c>
      <c r="N1037" s="46" t="str">
        <f>CONCATENATE(Data!W1035," (",Data!V1035,")")</f>
        <v>Exceso Velocidad 40 Km/h (Velocidad máxima: 44 kmh)</v>
      </c>
      <c r="O1037" s="42" t="str">
        <f>IF(Data!V1035&lt;&gt;"",N1037,Data!W1035)</f>
        <v>Exceso Velocidad 40 Km/h (Velocidad máxima: 44 kmh)</v>
      </c>
      <c r="P1037" s="47" t="str">
        <f>Data!X1035</f>
        <v>Válido</v>
      </c>
    </row>
    <row r="1038" spans="1:16">
      <c r="A1038" s="41" t="str">
        <f>Data!A1036</f>
        <v>QLO286</v>
      </c>
      <c r="B1038" s="41" t="str">
        <f>Data!D1036</f>
        <v>Vehicle, Diesel, ECP 1107 Rubiales Serv. Integrales</v>
      </c>
      <c r="C1038" s="41">
        <f>Data!F1036</f>
        <v>0</v>
      </c>
      <c r="D1038" s="41">
        <f>Data!G1036</f>
        <v>0</v>
      </c>
      <c r="E1038" s="41">
        <f>Data!H1036</f>
        <v>0</v>
      </c>
      <c r="F1038" s="41">
        <f>Data!K1036</f>
        <v>0</v>
      </c>
      <c r="G1038" s="33" t="str">
        <f>Data!M1036</f>
        <v>Exceso Velocidad 40 Km/h</v>
      </c>
      <c r="H1038" s="41" t="str">
        <f>Data!P1036</f>
        <v>ECOPETROL RUBIALES- Quifa - CAÑO SUR: Resguardo Indígena, Puerto Gaitán, Meta, Colombia</v>
      </c>
      <c r="I1038" s="42" t="str">
        <f>Data!Q1036</f>
        <v>Cliente, Vel Max 40 Km/h</v>
      </c>
      <c r="J1038" s="43">
        <f>Data!S1036</f>
        <v>46174.427241030091</v>
      </c>
      <c r="K1038" s="44">
        <f>Data!S1036</f>
        <v>46174.427241030091</v>
      </c>
      <c r="L1038" s="45">
        <f>Data!T1036</f>
        <v>1.0923032407407407E-3</v>
      </c>
      <c r="M1038" s="46">
        <f>Data!U1036</f>
        <v>1.1050581932067871</v>
      </c>
      <c r="N1038" s="46" t="str">
        <f>CONCATENATE(Data!W1036," (",Data!V1036,")")</f>
        <v>Exceso Velocidad 40 Km/h (Velocidad máxima: 44 kmh)</v>
      </c>
      <c r="O1038" s="42" t="str">
        <f>IF(Data!V1036&lt;&gt;"",N1038,Data!W1036)</f>
        <v>Exceso Velocidad 40 Km/h (Velocidad máxima: 44 kmh)</v>
      </c>
      <c r="P1038" s="47" t="str">
        <f>Data!X1036</f>
        <v>Válido</v>
      </c>
    </row>
    <row r="1039" spans="1:16">
      <c r="A1039" s="41" t="str">
        <f>Data!A1037</f>
        <v>QLO286</v>
      </c>
      <c r="B1039" s="41" t="str">
        <f>Data!D1037</f>
        <v>Vehicle, Diesel, ECP 1107 Rubiales Serv. Integrales</v>
      </c>
      <c r="C1039" s="41">
        <f>Data!F1037</f>
        <v>0</v>
      </c>
      <c r="D1039" s="41">
        <f>Data!G1037</f>
        <v>0</v>
      </c>
      <c r="E1039" s="41">
        <f>Data!H1037</f>
        <v>0</v>
      </c>
      <c r="F1039" s="41">
        <f>Data!K1037</f>
        <v>0</v>
      </c>
      <c r="G1039" s="33" t="str">
        <f>Data!M1037</f>
        <v>Exceso Velocidad 40 Km/h</v>
      </c>
      <c r="H1039" s="41" t="str">
        <f>Data!P1037</f>
        <v>ECOPETROL RUBIALES- Quifa - CAÑO SUR: Rb 84 115 363, Puerto Gaitán, Meta, Colombia</v>
      </c>
      <c r="I1039" s="42" t="str">
        <f>Data!Q1037</f>
        <v>Cliente, Vel Max 40 Km/h</v>
      </c>
      <c r="J1039" s="43">
        <f>Data!S1037</f>
        <v>46174.428396990843</v>
      </c>
      <c r="K1039" s="44">
        <f>Data!S1037</f>
        <v>46174.428396990843</v>
      </c>
      <c r="L1039" s="45">
        <f>Data!T1037</f>
        <v>1.170138888888889E-3</v>
      </c>
      <c r="M1039" s="46">
        <f>Data!U1037</f>
        <v>1.2185662984848022</v>
      </c>
      <c r="N1039" s="46" t="str">
        <f>CONCATENATE(Data!W1037," (",Data!V1037,")")</f>
        <v>Exceso Velocidad 40 Km/h (Velocidad máxima: 46 kmh)</v>
      </c>
      <c r="O1039" s="42" t="str">
        <f>IF(Data!V1037&lt;&gt;"",N1039,Data!W1037)</f>
        <v>Exceso Velocidad 40 Km/h (Velocidad máxima: 46 kmh)</v>
      </c>
      <c r="P1039" s="47" t="str">
        <f>Data!X1037</f>
        <v>Válido</v>
      </c>
    </row>
    <row r="1040" spans="1:16">
      <c r="A1040" s="41" t="str">
        <f>Data!A1038</f>
        <v>QLO286</v>
      </c>
      <c r="B1040" s="41" t="str">
        <f>Data!D1038</f>
        <v>Vehicle, Diesel, ECP 1107 Rubiales Serv. Integrales</v>
      </c>
      <c r="C1040" s="41">
        <f>Data!F1038</f>
        <v>0</v>
      </c>
      <c r="D1040" s="41">
        <f>Data!G1038</f>
        <v>0</v>
      </c>
      <c r="E1040" s="41">
        <f>Data!H1038</f>
        <v>0</v>
      </c>
      <c r="F1040" s="41">
        <f>Data!K1038</f>
        <v>0</v>
      </c>
      <c r="G1040" s="33" t="str">
        <f>Data!M1038</f>
        <v>Exceso Velocidad 20 Km/h</v>
      </c>
      <c r="H1040" s="41" t="str">
        <f>Data!P1038</f>
        <v>ECOPETROL RUBIALES- Quifa - CAÑO SUR, VEREDA BUENOS AIRES: Rb 445 84 115 363, Puerto Gaitán, Meta, Colombia</v>
      </c>
      <c r="I1040" s="42" t="str">
        <f>Data!Q1038</f>
        <v>Cliente, Vel Max 40 Km/h, Vel Max 20 Km/h</v>
      </c>
      <c r="J1040" s="43">
        <f>Data!S1038</f>
        <v>46174.430057361111</v>
      </c>
      <c r="K1040" s="44">
        <f>Data!S1038</f>
        <v>46174.430057361111</v>
      </c>
      <c r="L1040" s="45">
        <f>Data!T1038</f>
        <v>4.101851851851852E-5</v>
      </c>
      <c r="M1040" s="46">
        <f>Data!U1038</f>
        <v>2.8098879382014275E-2</v>
      </c>
      <c r="N1040" s="46" t="str">
        <f>CONCATENATE(Data!W1038," (",Data!V1038,")")</f>
        <v>Exceso Velocidad 20 Km/h (Velocidad máxima: 32 kmh)</v>
      </c>
      <c r="O1040" s="42" t="str">
        <f>IF(Data!V1038&lt;&gt;"",N1040,Data!W1038)</f>
        <v>Exceso Velocidad 20 Km/h (Velocidad máxima: 32 kmh)</v>
      </c>
      <c r="P1040" s="47" t="str">
        <f>Data!X1038</f>
        <v>Válido</v>
      </c>
    </row>
    <row r="1041" spans="1:16">
      <c r="A1041" s="41" t="str">
        <f>Data!A1039</f>
        <v>QLO286</v>
      </c>
      <c r="B1041" s="41" t="str">
        <f>Data!D1039</f>
        <v>Vehicle, Diesel, ECP 1107 Rubiales Serv. Integrales</v>
      </c>
      <c r="C1041" s="41">
        <f>Data!F1039</f>
        <v>0</v>
      </c>
      <c r="D1041" s="41">
        <f>Data!G1039</f>
        <v>0</v>
      </c>
      <c r="E1041" s="41">
        <f>Data!H1039</f>
        <v>0</v>
      </c>
      <c r="F1041" s="41">
        <f>Data!K1039</f>
        <v>0</v>
      </c>
      <c r="G1041" s="33" t="str">
        <f>Data!M1039</f>
        <v>Exceso Velocidad 20 Km/h</v>
      </c>
      <c r="H1041" s="41" t="str">
        <f>Data!P1039</f>
        <v>ECOPETROL RUBIALES- Quifa - CAÑO SUR, VEREDA BUENOS AIRES: Rb 445 84 115 363, Puerto Gaitán, Meta, Colombia</v>
      </c>
      <c r="I1041" s="42" t="str">
        <f>Data!Q1039</f>
        <v>Cliente, Vel Max 40 Km/h, Vel Max 20 Km/h</v>
      </c>
      <c r="J1041" s="43">
        <f>Data!S1039</f>
        <v>46174.430208333331</v>
      </c>
      <c r="K1041" s="44">
        <f>Data!S1039</f>
        <v>46174.430208333331</v>
      </c>
      <c r="L1041" s="45">
        <f>Data!T1039</f>
        <v>1.6203703703703703E-4</v>
      </c>
      <c r="M1041" s="46">
        <f>Data!U1039</f>
        <v>8.7074346840381622E-2</v>
      </c>
      <c r="N1041" s="46" t="str">
        <f>CONCATENATE(Data!W1039," (",Data!V1039,")")</f>
        <v>Exceso Velocidad 20 Km/h (Velocidad máxima: 24 kmh)</v>
      </c>
      <c r="O1041" s="42" t="str">
        <f>IF(Data!V1039&lt;&gt;"",N1041,Data!W1039)</f>
        <v>Exceso Velocidad 20 Km/h (Velocidad máxima: 24 kmh)</v>
      </c>
      <c r="P1041" s="47" t="str">
        <f>Data!X1039</f>
        <v>Válido</v>
      </c>
    </row>
    <row r="1042" spans="1:16">
      <c r="A1042" s="41" t="str">
        <f>Data!A1040</f>
        <v>QLO286</v>
      </c>
      <c r="B1042" s="41" t="str">
        <f>Data!D1040</f>
        <v>Vehicle, Diesel, ECP 1107 Rubiales Serv. Integrales</v>
      </c>
      <c r="C1042" s="41">
        <f>Data!F1040</f>
        <v>0</v>
      </c>
      <c r="D1042" s="41">
        <f>Data!G1040</f>
        <v>0</v>
      </c>
      <c r="E1042" s="41">
        <f>Data!H1040</f>
        <v>0</v>
      </c>
      <c r="F1042" s="41">
        <f>Data!K1040</f>
        <v>0</v>
      </c>
      <c r="G1042" s="33" t="str">
        <f>Data!M1040</f>
        <v>Exceso Velocidad 20 Km/h</v>
      </c>
      <c r="H1042" s="41" t="str">
        <f>Data!P1040</f>
        <v>ECOPETROL RUBIALES- Quifa - CAÑO SUR, VEREDA BUENOS AIRES: Rb 445 84 115 363, Puerto Gaitán, Meta, Colombia</v>
      </c>
      <c r="I1042" s="42" t="str">
        <f>Data!Q1040</f>
        <v>Cliente, Vel Max 40 Km/h, Vel Max 20 Km/h</v>
      </c>
      <c r="J1042" s="43">
        <f>Data!S1040</f>
        <v>46174.430424386577</v>
      </c>
      <c r="K1042" s="44">
        <f>Data!S1040</f>
        <v>46174.430424386577</v>
      </c>
      <c r="L1042" s="45">
        <f>Data!T1040</f>
        <v>1.0907407407407407E-4</v>
      </c>
      <c r="M1042" s="46">
        <f>Data!U1040</f>
        <v>6.1198998242616653E-2</v>
      </c>
      <c r="N1042" s="46" t="str">
        <f>CONCATENATE(Data!W1040," (",Data!V1040,")")</f>
        <v>Exceso Velocidad 20 Km/h (Velocidad máxima: 24 kmh)</v>
      </c>
      <c r="O1042" s="42" t="str">
        <f>IF(Data!V1040&lt;&gt;"",N1042,Data!W1040)</f>
        <v>Exceso Velocidad 20 Km/h (Velocidad máxima: 24 kmh)</v>
      </c>
      <c r="P1042" s="47" t="str">
        <f>Data!X1040</f>
        <v>Válido</v>
      </c>
    </row>
    <row r="1043" spans="1:16">
      <c r="A1043" s="41" t="str">
        <f>Data!A1041</f>
        <v>QLO286</v>
      </c>
      <c r="B1043" s="41" t="str">
        <f>Data!D1041</f>
        <v>Vehicle, Diesel, ECP 1107 Rubiales Serv. Integrales</v>
      </c>
      <c r="C1043" s="41">
        <f>Data!F1041</f>
        <v>0</v>
      </c>
      <c r="D1043" s="41">
        <f>Data!G1041</f>
        <v>0</v>
      </c>
      <c r="E1043" s="41">
        <f>Data!H1041</f>
        <v>0</v>
      </c>
      <c r="F1043" s="41">
        <f>Data!K1041</f>
        <v>0</v>
      </c>
      <c r="G1043" s="33" t="str">
        <f>Data!M1041</f>
        <v>Exceso Velocidad 20 Km/h</v>
      </c>
      <c r="H1043" s="41" t="str">
        <f>Data!P1041</f>
        <v>ECOPETROL RUBIALES- Quifa - CAÑO SUR, VEREDA BUENOS AIRES: Km. 169, Sector Buenos Aires, Escuela Nueva Rubiales, Puerto Gaitán, Meta, Colombia</v>
      </c>
      <c r="I1043" s="42" t="str">
        <f>Data!Q1041</f>
        <v>Cliente, Vel Max 40 Km/h, Vel Max 20 Km/h</v>
      </c>
      <c r="J1043" s="43">
        <f>Data!S1041</f>
        <v>46174.430702164354</v>
      </c>
      <c r="K1043" s="44">
        <f>Data!S1041</f>
        <v>46174.430702164354</v>
      </c>
      <c r="L1043" s="45">
        <f>Data!T1041</f>
        <v>1.0866782407407407E-3</v>
      </c>
      <c r="M1043" s="46">
        <f>Data!U1041</f>
        <v>0.63392364978790283</v>
      </c>
      <c r="N1043" s="46" t="str">
        <f>CONCATENATE(Data!W1041," (",Data!V1041,")")</f>
        <v>Exceso Velocidad 20 Km/h (Velocidad máxima: 29 kmh)</v>
      </c>
      <c r="O1043" s="42" t="str">
        <f>IF(Data!V1041&lt;&gt;"",N1043,Data!W1041)</f>
        <v>Exceso Velocidad 20 Km/h (Velocidad máxima: 29 kmh)</v>
      </c>
      <c r="P1043" s="47" t="str">
        <f>Data!X1041</f>
        <v>Válido</v>
      </c>
    </row>
    <row r="1044" spans="1:16">
      <c r="A1044" s="41" t="str">
        <f>Data!A1042</f>
        <v>QLO286</v>
      </c>
      <c r="B1044" s="41" t="str">
        <f>Data!D1042</f>
        <v>Vehicle, Diesel, ECP 1107 Rubiales Serv. Integrales</v>
      </c>
      <c r="C1044" s="41">
        <f>Data!F1042</f>
        <v>0</v>
      </c>
      <c r="D1044" s="41">
        <f>Data!G1042</f>
        <v>0</v>
      </c>
      <c r="E1044" s="41">
        <f>Data!H1042</f>
        <v>0</v>
      </c>
      <c r="F1044" s="41">
        <f>Data!K1042</f>
        <v>0</v>
      </c>
      <c r="G1044" s="33" t="str">
        <f>Data!M1042</f>
        <v>Exceso Velocidad 20 Km/h</v>
      </c>
      <c r="H1044" s="41" t="str">
        <f>Data!P1042</f>
        <v>ECOPETROL RUBIALES- Quifa - CAÑO SUR, VEREDA BUENOS AIRES: Rb 445 84 115 363, Puerto Gaitán, Meta, Colombia</v>
      </c>
      <c r="I1044" s="42" t="str">
        <f>Data!Q1042</f>
        <v>Cliente, Vel Max 40 Km/h, Vel Max 20 Km/h</v>
      </c>
      <c r="J1044" s="43">
        <f>Data!S1042</f>
        <v>46174.431939479167</v>
      </c>
      <c r="K1044" s="44">
        <f>Data!S1042</f>
        <v>46174.431939479167</v>
      </c>
      <c r="L1044" s="45">
        <f>Data!T1042</f>
        <v>1.1298611111111111E-4</v>
      </c>
      <c r="M1044" s="46">
        <f>Data!U1042</f>
        <v>6.348099559545517E-2</v>
      </c>
      <c r="N1044" s="46" t="str">
        <f>CONCATENATE(Data!W1042," (",Data!V1042,")")</f>
        <v>Exceso Velocidad 20 Km/h (Velocidad máxima: 26 kmh)</v>
      </c>
      <c r="O1044" s="42" t="str">
        <f>IF(Data!V1042&lt;&gt;"",N1044,Data!W1042)</f>
        <v>Exceso Velocidad 20 Km/h (Velocidad máxima: 26 kmh)</v>
      </c>
      <c r="P1044" s="47" t="str">
        <f>Data!X1042</f>
        <v>Válido</v>
      </c>
    </row>
    <row r="1045" spans="1:16">
      <c r="A1045" s="41" t="str">
        <f>Data!A1043</f>
        <v>QLO286</v>
      </c>
      <c r="B1045" s="41" t="str">
        <f>Data!D1043</f>
        <v>Vehicle, Diesel, ECP 1107 Rubiales Serv. Integrales</v>
      </c>
      <c r="C1045" s="41">
        <f>Data!F1043</f>
        <v>0</v>
      </c>
      <c r="D1045" s="41">
        <f>Data!G1043</f>
        <v>0</v>
      </c>
      <c r="E1045" s="41">
        <f>Data!H1043</f>
        <v>0</v>
      </c>
      <c r="F1045" s="41">
        <f>Data!K1043</f>
        <v>0</v>
      </c>
      <c r="G1045" s="33" t="str">
        <f>Data!M1043</f>
        <v>Exceso Velocidad 20 Km/h</v>
      </c>
      <c r="H1045" s="41" t="str">
        <f>Data!P1043</f>
        <v>ECOPETROL RUBIALES- Quifa - CAÑO SUR, VEREDA BUENOS AIRES: Panadería Canaima, Puerto Gaitán, Meta, Colombia</v>
      </c>
      <c r="I1045" s="42" t="str">
        <f>Data!Q1043</f>
        <v>Cliente, Vel Max 40 Km/h, Vel Max 20 Km/h</v>
      </c>
      <c r="J1045" s="43">
        <f>Data!S1043</f>
        <v>46174.432083333333</v>
      </c>
      <c r="K1045" s="44">
        <f>Data!S1043</f>
        <v>46174.432083333333</v>
      </c>
      <c r="L1045" s="45">
        <f>Data!T1043</f>
        <v>9.9201388888888893E-5</v>
      </c>
      <c r="M1045" s="46">
        <f>Data!U1043</f>
        <v>5.5853337049484253E-2</v>
      </c>
      <c r="N1045" s="46" t="str">
        <f>CONCATENATE(Data!W1043," (",Data!V1043,")")</f>
        <v>Exceso Velocidad 20 Km/h (Velocidad máxima: 26 kmh)</v>
      </c>
      <c r="O1045" s="42" t="str">
        <f>IF(Data!V1043&lt;&gt;"",N1045,Data!W1043)</f>
        <v>Exceso Velocidad 20 Km/h (Velocidad máxima: 26 kmh)</v>
      </c>
      <c r="P1045" s="47" t="str">
        <f>Data!X1043</f>
        <v>Válido</v>
      </c>
    </row>
    <row r="1046" spans="1:16">
      <c r="A1046" s="41" t="str">
        <f>Data!A1044</f>
        <v>QLO286</v>
      </c>
      <c r="B1046" s="41" t="str">
        <f>Data!D1044</f>
        <v>Vehicle, Diesel, ECP 1107 Rubiales Serv. Integrales</v>
      </c>
      <c r="C1046" s="41">
        <f>Data!F1044</f>
        <v>0</v>
      </c>
      <c r="D1046" s="41">
        <f>Data!G1044</f>
        <v>0</v>
      </c>
      <c r="E1046" s="41">
        <f>Data!H1044</f>
        <v>0</v>
      </c>
      <c r="F1046" s="41">
        <f>Data!K1044</f>
        <v>0</v>
      </c>
      <c r="G1046" s="33" t="str">
        <f>Data!M1044</f>
        <v>Exceso Velocidad 20 Km/h</v>
      </c>
      <c r="H1046" s="41" t="str">
        <f>Data!P1044</f>
        <v>ECOPETROL RUBIALES- Quifa - CAÑO SUR, VEREDA BUENOS AIRES: Panadería Canaima, Puerto Gaitán, Meta, Colombia</v>
      </c>
      <c r="I1046" s="42" t="str">
        <f>Data!Q1044</f>
        <v>Cliente, Vel Max 40 Km/h, Vel Max 20 Km/h</v>
      </c>
      <c r="J1046" s="43">
        <f>Data!S1044</f>
        <v>46174.432245370372</v>
      </c>
      <c r="K1046" s="44">
        <f>Data!S1044</f>
        <v>46174.432245370372</v>
      </c>
      <c r="L1046" s="45">
        <f>Data!T1044</f>
        <v>3.6458343333333333E-4</v>
      </c>
      <c r="M1046" s="46">
        <f>Data!U1044</f>
        <v>0.25462621450424194</v>
      </c>
      <c r="N1046" s="46" t="str">
        <f>CONCATENATE(Data!W1044," (",Data!V1044,")")</f>
        <v>Exceso Velocidad 20 Km/h (Velocidad máxima: 33 kmh)</v>
      </c>
      <c r="O1046" s="42" t="str">
        <f>IF(Data!V1044&lt;&gt;"",N1046,Data!W1044)</f>
        <v>Exceso Velocidad 20 Km/h (Velocidad máxima: 33 kmh)</v>
      </c>
      <c r="P1046" s="47" t="str">
        <f>Data!X1044</f>
        <v>Válido</v>
      </c>
    </row>
    <row r="1047" spans="1:16">
      <c r="A1047" s="41" t="str">
        <f>Data!A1045</f>
        <v>QLO286</v>
      </c>
      <c r="B1047" s="41" t="str">
        <f>Data!D1045</f>
        <v>Vehicle, Diesel, ECP 1107 Rubiales Serv. Integrales</v>
      </c>
      <c r="C1047" s="41">
        <f>Data!F1045</f>
        <v>0</v>
      </c>
      <c r="D1047" s="41">
        <f>Data!G1045</f>
        <v>0</v>
      </c>
      <c r="E1047" s="41">
        <f>Data!H1045</f>
        <v>0</v>
      </c>
      <c r="F1047" s="41">
        <f>Data!K1045</f>
        <v>0</v>
      </c>
      <c r="G1047" s="33" t="str">
        <f>Data!M1045</f>
        <v>Exceso Velocidad 20 Km/h</v>
      </c>
      <c r="H1047" s="41" t="str">
        <f>Data!P1045</f>
        <v>ECOPETROL RUBIALES- Quifa - CAÑO SUR, VEREDA BUENOS AIRES: Panadería Canaima, Puerto Gaitán, Meta, Colombia</v>
      </c>
      <c r="I1047" s="42" t="str">
        <f>Data!Q1045</f>
        <v>Cliente, Vel Max 40 Km/h, Vel Max 20 Km/h</v>
      </c>
      <c r="J1047" s="43">
        <f>Data!S1045</f>
        <v>46174.432644676024</v>
      </c>
      <c r="K1047" s="44">
        <f>Data!S1045</f>
        <v>46174.432644676024</v>
      </c>
      <c r="L1047" s="45">
        <f>Data!T1045</f>
        <v>5.5624999999999997E-5</v>
      </c>
      <c r="M1047" s="46">
        <f>Data!U1045</f>
        <v>3.5540681332349777E-2</v>
      </c>
      <c r="N1047" s="46" t="str">
        <f>CONCATENATE(Data!W1045," (",Data!V1045,")")</f>
        <v>Exceso Velocidad 20 Km/h (Velocidad máxima: 28 kmh)</v>
      </c>
      <c r="O1047" s="42" t="str">
        <f>IF(Data!V1045&lt;&gt;"",N1047,Data!W1045)</f>
        <v>Exceso Velocidad 20 Km/h (Velocidad máxima: 28 kmh)</v>
      </c>
      <c r="P1047" s="47" t="str">
        <f>Data!X1045</f>
        <v>Válido</v>
      </c>
    </row>
    <row r="1048" spans="1:16">
      <c r="A1048" s="41" t="str">
        <f>Data!A1046</f>
        <v>QLO286</v>
      </c>
      <c r="B1048" s="41" t="str">
        <f>Data!D1046</f>
        <v>Vehicle, Diesel, ECP 1107 Rubiales Serv. Integrales</v>
      </c>
      <c r="C1048" s="41">
        <f>Data!F1046</f>
        <v>0</v>
      </c>
      <c r="D1048" s="41">
        <f>Data!G1046</f>
        <v>0</v>
      </c>
      <c r="E1048" s="41">
        <f>Data!H1046</f>
        <v>0</v>
      </c>
      <c r="F1048" s="41">
        <f>Data!K1046</f>
        <v>0</v>
      </c>
      <c r="G1048" s="33" t="str">
        <f>Data!M1046</f>
        <v>Frenado brusco (nuevo)</v>
      </c>
      <c r="H1048" s="41" t="str">
        <f>Data!P1046</f>
        <v>ECOPETROL RUBIALES- Quifa - CAÑO SUR: Panadería Canaima, Puerto Gaitán, Meta, Colombia</v>
      </c>
      <c r="I1048" s="42" t="str">
        <f>Data!Q1046</f>
        <v>Cliente, Vel Max 40 Km/h</v>
      </c>
      <c r="J1048" s="43">
        <f>Data!S1046</f>
        <v>46174.433032407411</v>
      </c>
      <c r="K1048" s="44">
        <f>Data!S1046</f>
        <v>46174.433032407411</v>
      </c>
      <c r="L1048" s="45">
        <f>Data!T1046</f>
        <v>0</v>
      </c>
      <c r="M1048" s="46">
        <f>Data!U1046</f>
        <v>0</v>
      </c>
      <c r="N1048" s="46" t="str">
        <f>CONCATENATE(Data!W1046," (",Data!V1046,")")</f>
        <v>Frenado brusco (nuevo) (Clase de vehículo para métricas de seguridad: Otra clase (no estandarizada), Velocidad máxima: 27 kmh,  Ignición: 1)</v>
      </c>
      <c r="O1048" s="42" t="str">
        <f>IF(Data!V1046&lt;&gt;"",N1048,Data!W1046)</f>
        <v>Frenado brusco (nuevo) (Clase de vehículo para métricas de seguridad: Otra clase (no estandarizada), Velocidad máxima: 27 kmh,  Ignición: 1)</v>
      </c>
      <c r="P1048" s="47" t="str">
        <f>Data!X1046</f>
        <v>Válido</v>
      </c>
    </row>
    <row r="1049" spans="1:16">
      <c r="A1049" s="41" t="str">
        <f>Data!A1047</f>
        <v>QLO286</v>
      </c>
      <c r="B1049" s="41" t="str">
        <f>Data!D1047</f>
        <v>Vehicle, Diesel, ECP 1107 Rubiales Serv. Integrales</v>
      </c>
      <c r="C1049" s="41">
        <f>Data!F1047</f>
        <v>0</v>
      </c>
      <c r="D1049" s="41">
        <f>Data!G1047</f>
        <v>0</v>
      </c>
      <c r="E1049" s="41">
        <f>Data!H1047</f>
        <v>0</v>
      </c>
      <c r="F1049" s="41">
        <f>Data!K1047</f>
        <v>0</v>
      </c>
      <c r="G1049" s="33" t="str">
        <f>Data!M1047</f>
        <v>Aceleración brusca (nuevo)</v>
      </c>
      <c r="H1049" s="41" t="str">
        <f>Data!P1047</f>
        <v>ECOPETROL RUBIALES- Quifa - CAÑO SUR: Rb 141, Puerto Gaitán, Meta, Colombia</v>
      </c>
      <c r="I1049" s="42" t="str">
        <f>Data!Q1047</f>
        <v>Cliente, Vel Max 40 Km/h</v>
      </c>
      <c r="J1049" s="43">
        <f>Data!S1047</f>
        <v>46174.434745370374</v>
      </c>
      <c r="K1049" s="44">
        <f>Data!S1047</f>
        <v>46174.434745370374</v>
      </c>
      <c r="L1049" s="45">
        <f>Data!T1047</f>
        <v>0</v>
      </c>
      <c r="M1049" s="46">
        <f>Data!U1047</f>
        <v>0</v>
      </c>
      <c r="N1049" s="46" t="str">
        <f>CONCATENATE(Data!W1047," (",Data!V1047,")")</f>
        <v>Aceleración brusca (nuevo) (Clase de vehículo para métricas de seguridad: Otra clase (no estandarizada), Velocidad máxima: 8 kmh,  Ignición: 1)</v>
      </c>
      <c r="O1049" s="42" t="str">
        <f>IF(Data!V1047&lt;&gt;"",N1049,Data!W1047)</f>
        <v>Aceleración brusca (nuevo) (Clase de vehículo para métricas de seguridad: Otra clase (no estandarizada), Velocidad máxima: 8 kmh,  Ignición: 1)</v>
      </c>
      <c r="P1049" s="47" t="str">
        <f>Data!X1047</f>
        <v>Válido</v>
      </c>
    </row>
    <row r="1050" spans="1:16">
      <c r="A1050" s="41" t="str">
        <f>Data!A1048</f>
        <v>QLO286</v>
      </c>
      <c r="B1050" s="41" t="str">
        <f>Data!D1048</f>
        <v>Vehicle, Diesel, ECP 1107 Rubiales Serv. Integrales</v>
      </c>
      <c r="C1050" s="41">
        <f>Data!F1048</f>
        <v>0</v>
      </c>
      <c r="D1050" s="41">
        <f>Data!G1048</f>
        <v>0</v>
      </c>
      <c r="E1050" s="41">
        <f>Data!H1048</f>
        <v>0</v>
      </c>
      <c r="F1050" s="41">
        <f>Data!K1048</f>
        <v>0</v>
      </c>
      <c r="G1050" s="33" t="str">
        <f>Data!M1048</f>
        <v>Aceleración brusca (nuevo)</v>
      </c>
      <c r="H1050" s="41" t="str">
        <f>Data!P1048</f>
        <v>ECOPETROL RUBIALES- Quifa - CAÑO SUR: Rb 141, Puerto Gaitán, Meta, Colombia</v>
      </c>
      <c r="I1050" s="42" t="str">
        <f>Data!Q1048</f>
        <v>Cliente, Vel Max 40 Km/h</v>
      </c>
      <c r="J1050" s="43">
        <f>Data!S1048</f>
        <v>46174.436319444445</v>
      </c>
      <c r="K1050" s="44">
        <f>Data!S1048</f>
        <v>46174.436319444445</v>
      </c>
      <c r="L1050" s="45">
        <f>Data!T1048</f>
        <v>0</v>
      </c>
      <c r="M1050" s="46">
        <f>Data!U1048</f>
        <v>0</v>
      </c>
      <c r="N1050" s="46" t="str">
        <f>CONCATENATE(Data!W1048," (",Data!V1048,")")</f>
        <v>Aceleración brusca (nuevo) (Clase de vehículo para métricas de seguridad: Otra clase (no estandarizada), Velocidad máxima: 4 kmh,  Ignición: 1)</v>
      </c>
      <c r="O1050" s="42" t="str">
        <f>IF(Data!V1048&lt;&gt;"",N1050,Data!W1048)</f>
        <v>Aceleración brusca (nuevo) (Clase de vehículo para métricas de seguridad: Otra clase (no estandarizada), Velocidad máxima: 4 kmh,  Ignición: 1)</v>
      </c>
      <c r="P1050" s="47" t="str">
        <f>Data!X1048</f>
        <v>Válido</v>
      </c>
    </row>
    <row r="1051" spans="1:16">
      <c r="A1051" s="41" t="str">
        <f>Data!A1049</f>
        <v>QLO286</v>
      </c>
      <c r="B1051" s="41" t="str">
        <f>Data!D1049</f>
        <v>Vehicle, Diesel, ECP 1107 Rubiales Serv. Integrales</v>
      </c>
      <c r="C1051" s="41">
        <f>Data!F1049</f>
        <v>0</v>
      </c>
      <c r="D1051" s="41">
        <f>Data!G1049</f>
        <v>0</v>
      </c>
      <c r="E1051" s="41">
        <f>Data!H1049</f>
        <v>0</v>
      </c>
      <c r="F1051" s="41">
        <f>Data!K1049</f>
        <v>0</v>
      </c>
      <c r="G1051" s="33" t="str">
        <f>Data!M1049</f>
        <v>Frenado brusco (nuevo)</v>
      </c>
      <c r="H1051" s="41" t="str">
        <f>Data!P1049</f>
        <v>ECOPETROL RUBIALES- Quifa - CAÑO SUR: Panadería Canaima, Puerto Gaitán, Meta, Colombia</v>
      </c>
      <c r="I1051" s="42" t="str">
        <f>Data!Q1049</f>
        <v>Cliente, Vel Max 40 Km/h</v>
      </c>
      <c r="J1051" s="43">
        <f>Data!S1049</f>
        <v>46174.437824074077</v>
      </c>
      <c r="K1051" s="44">
        <f>Data!S1049</f>
        <v>46174.437824074077</v>
      </c>
      <c r="L1051" s="45">
        <f>Data!T1049</f>
        <v>0</v>
      </c>
      <c r="M1051" s="46">
        <f>Data!U1049</f>
        <v>0</v>
      </c>
      <c r="N1051" s="46" t="str">
        <f>CONCATENATE(Data!W1049," (",Data!V1049,")")</f>
        <v>Frenado brusco (nuevo) (Clase de vehículo para métricas de seguridad: Otra clase (no estandarizada), Velocidad máxima: 32 kmh,  Ignición: 1)</v>
      </c>
      <c r="O1051" s="42" t="str">
        <f>IF(Data!V1049&lt;&gt;"",N1051,Data!W1049)</f>
        <v>Frenado brusco (nuevo) (Clase de vehículo para métricas de seguridad: Otra clase (no estandarizada), Velocidad máxima: 32 kmh,  Ignición: 1)</v>
      </c>
      <c r="P1051" s="47" t="str">
        <f>Data!X1049</f>
        <v>Válido</v>
      </c>
    </row>
    <row r="1052" spans="1:16">
      <c r="A1052" s="41" t="str">
        <f>Data!A1050</f>
        <v>QLO286</v>
      </c>
      <c r="B1052" s="41" t="str">
        <f>Data!D1050</f>
        <v>Vehicle, Diesel, ECP 1107 Rubiales Serv. Integrales</v>
      </c>
      <c r="C1052" s="41">
        <f>Data!F1050</f>
        <v>0</v>
      </c>
      <c r="D1052" s="41">
        <f>Data!G1050</f>
        <v>0</v>
      </c>
      <c r="E1052" s="41">
        <f>Data!H1050</f>
        <v>0</v>
      </c>
      <c r="F1052" s="41">
        <f>Data!K1050</f>
        <v>0</v>
      </c>
      <c r="G1052" s="33" t="str">
        <f>Data!M1050</f>
        <v>Exceso Velocidad 40 Km/h</v>
      </c>
      <c r="H1052" s="41" t="str">
        <f>Data!P1050</f>
        <v>ECOPETROL RUBIALES- Quifa - CAÑO SUR: Panadería Canaima, Puerto Gaitán, Meta, Colombia</v>
      </c>
      <c r="I1052" s="42" t="str">
        <f>Data!Q1050</f>
        <v>Cliente, Vel Max 40 Km/h</v>
      </c>
      <c r="J1052" s="43">
        <f>Data!S1050</f>
        <v>46174.437905613428</v>
      </c>
      <c r="K1052" s="44">
        <f>Data!S1050</f>
        <v>46174.437905613428</v>
      </c>
      <c r="L1052" s="45">
        <f>Data!T1050</f>
        <v>9.8327546296296292E-4</v>
      </c>
      <c r="M1052" s="46">
        <f>Data!U1050</f>
        <v>1.1135526895523071</v>
      </c>
      <c r="N1052" s="46" t="str">
        <f>CONCATENATE(Data!W1050," (",Data!V1050,")")</f>
        <v>Exceso Velocidad 40 Km/h (Velocidad máxima: 53 kmh)</v>
      </c>
      <c r="O1052" s="42" t="str">
        <f>IF(Data!V1050&lt;&gt;"",N1052,Data!W1050)</f>
        <v>Exceso Velocidad 40 Km/h (Velocidad máxima: 53 kmh)</v>
      </c>
      <c r="P1052" s="47" t="str">
        <f>Data!X1050</f>
        <v>Válido</v>
      </c>
    </row>
    <row r="1053" spans="1:16">
      <c r="A1053" s="41" t="str">
        <f>Data!A1051</f>
        <v>QLO286</v>
      </c>
      <c r="B1053" s="41" t="str">
        <f>Data!D1051</f>
        <v>Vehicle, Diesel, ECP 1107 Rubiales Serv. Integrales</v>
      </c>
      <c r="C1053" s="41">
        <f>Data!F1051</f>
        <v>0</v>
      </c>
      <c r="D1053" s="41">
        <f>Data!G1051</f>
        <v>0</v>
      </c>
      <c r="E1053" s="41">
        <f>Data!H1051</f>
        <v>0</v>
      </c>
      <c r="F1053" s="41">
        <f>Data!K1051</f>
        <v>0</v>
      </c>
      <c r="G1053" s="33" t="str">
        <f>Data!M1051</f>
        <v>Exceso Velocidad 40 Km/h</v>
      </c>
      <c r="H1053" s="41" t="str">
        <f>Data!P1051</f>
        <v>ECOPETROL RUBIALES- Quifa - CAÑO SUR: Cluster 30 Rb 30 62 63 64, Puerto Gaitán, Meta, Colombia</v>
      </c>
      <c r="I1053" s="42" t="str">
        <f>Data!Q1051</f>
        <v>Cliente, Vel Max 40 Km/h</v>
      </c>
      <c r="J1053" s="43">
        <f>Data!S1051</f>
        <v>46174.449563078706</v>
      </c>
      <c r="K1053" s="44">
        <f>Data!S1051</f>
        <v>46174.449563078706</v>
      </c>
      <c r="L1053" s="45">
        <f>Data!T1051</f>
        <v>3.8401620370370369E-4</v>
      </c>
      <c r="M1053" s="46">
        <f>Data!U1051</f>
        <v>0.42920702695846558</v>
      </c>
      <c r="N1053" s="46" t="str">
        <f>CONCATENATE(Data!W1051," (",Data!V1051,")")</f>
        <v>Exceso Velocidad 40 Km/h (Velocidad máxima: 52 kmh)</v>
      </c>
      <c r="O1053" s="42" t="str">
        <f>IF(Data!V1051&lt;&gt;"",N1053,Data!W1051)</f>
        <v>Exceso Velocidad 40 Km/h (Velocidad máxima: 52 kmh)</v>
      </c>
      <c r="P1053" s="47" t="str">
        <f>Data!X1051</f>
        <v>Válido</v>
      </c>
    </row>
    <row r="1054" spans="1:16">
      <c r="A1054" s="41" t="str">
        <f>Data!A1052</f>
        <v>QLO286</v>
      </c>
      <c r="B1054" s="41" t="str">
        <f>Data!D1052</f>
        <v>Vehicle, Diesel, ECP 1107 Rubiales Serv. Integrales</v>
      </c>
      <c r="C1054" s="41">
        <f>Data!F1052</f>
        <v>0</v>
      </c>
      <c r="D1054" s="41">
        <f>Data!G1052</f>
        <v>0</v>
      </c>
      <c r="E1054" s="41">
        <f>Data!H1052</f>
        <v>0</v>
      </c>
      <c r="F1054" s="41">
        <f>Data!K1052</f>
        <v>0</v>
      </c>
      <c r="G1054" s="33" t="str">
        <f>Data!M1052</f>
        <v>Aceleración brusca (nuevo)</v>
      </c>
      <c r="H1054" s="41" t="str">
        <f>Data!P1052</f>
        <v>ECOPETROL RUBIALES- Quifa - CAÑO SUR: Cluster 30 Rb 30 62 63 64, Puerto Gaitán, Meta, Colombia</v>
      </c>
      <c r="I1054" s="42" t="str">
        <f>Data!Q1052</f>
        <v>Cliente, Vel Max 40 Km/h</v>
      </c>
      <c r="J1054" s="43">
        <f>Data!S1052</f>
        <v>46174.456597222219</v>
      </c>
      <c r="K1054" s="44">
        <f>Data!S1052</f>
        <v>46174.456597222219</v>
      </c>
      <c r="L1054" s="45">
        <f>Data!T1052</f>
        <v>0</v>
      </c>
      <c r="M1054" s="46">
        <f>Data!U1052</f>
        <v>0</v>
      </c>
      <c r="N1054" s="46" t="str">
        <f>CONCATENATE(Data!W1052," (",Data!V1052,")")</f>
        <v>Aceleración brusca (nuevo) (Clase de vehículo para métricas de seguridad: Otra clase (no estandarizada), Velocidad máxima: 4 kmh,  Ignición: 1)</v>
      </c>
      <c r="O1054" s="42" t="str">
        <f>IF(Data!V1052&lt;&gt;"",N1054,Data!W1052)</f>
        <v>Aceleración brusca (nuevo) (Clase de vehículo para métricas de seguridad: Otra clase (no estandarizada), Velocidad máxima: 4 kmh,  Ignición: 1)</v>
      </c>
      <c r="P1054" s="47" t="str">
        <f>Data!X1052</f>
        <v>Válido</v>
      </c>
    </row>
    <row r="1055" spans="1:16">
      <c r="A1055" s="41" t="str">
        <f>Data!A1053</f>
        <v>QLO286</v>
      </c>
      <c r="B1055" s="41" t="str">
        <f>Data!D1053</f>
        <v>Vehicle, Diesel, ECP 1107 Rubiales Serv. Integrales</v>
      </c>
      <c r="C1055" s="41">
        <f>Data!F1053</f>
        <v>0</v>
      </c>
      <c r="D1055" s="41">
        <f>Data!G1053</f>
        <v>0</v>
      </c>
      <c r="E1055" s="41">
        <f>Data!H1053</f>
        <v>0</v>
      </c>
      <c r="F1055" s="41">
        <f>Data!K1053</f>
        <v>0</v>
      </c>
      <c r="G1055" s="33" t="str">
        <f>Data!M1053</f>
        <v>Aceleración brusca (nuevo)</v>
      </c>
      <c r="H1055" s="41" t="str">
        <f>Data!P1053</f>
        <v>ECOPETROL RUBIALES- Quifa - CAÑO SUR: Cluster 30 Rb 30 62 63 64, Puerto Gaitán, Meta, Colombia</v>
      </c>
      <c r="I1055" s="42" t="str">
        <f>Data!Q1053</f>
        <v>Cliente, Vel Max 40 Km/h</v>
      </c>
      <c r="J1055" s="43">
        <f>Data!S1053</f>
        <v>46174.457916666666</v>
      </c>
      <c r="K1055" s="44">
        <f>Data!S1053</f>
        <v>46174.457916666666</v>
      </c>
      <c r="L1055" s="45">
        <f>Data!T1053</f>
        <v>0</v>
      </c>
      <c r="M1055" s="46">
        <f>Data!U1053</f>
        <v>0</v>
      </c>
      <c r="N1055" s="46" t="str">
        <f>CONCATENATE(Data!W1053," (",Data!V1053,")")</f>
        <v>Aceleración brusca (nuevo) (Clase de vehículo para métricas de seguridad: Otra clase (no estandarizada), Velocidad máxima: 5 kmh,  Ignición: 1)</v>
      </c>
      <c r="O1055" s="42" t="str">
        <f>IF(Data!V1053&lt;&gt;"",N1055,Data!W1053)</f>
        <v>Aceleración brusca (nuevo) (Clase de vehículo para métricas de seguridad: Otra clase (no estandarizada), Velocidad máxima: 5 kmh,  Ignición: 1)</v>
      </c>
      <c r="P1055" s="47" t="str">
        <f>Data!X1053</f>
        <v>Válido</v>
      </c>
    </row>
    <row r="1056" spans="1:16">
      <c r="A1056" s="41" t="str">
        <f>Data!A1054</f>
        <v>QLO286</v>
      </c>
      <c r="B1056" s="41" t="str">
        <f>Data!D1054</f>
        <v>Vehicle, Diesel, ECP 1107 Rubiales Serv. Integrales</v>
      </c>
      <c r="C1056" s="41">
        <f>Data!F1054</f>
        <v>0</v>
      </c>
      <c r="D1056" s="41">
        <f>Data!G1054</f>
        <v>0</v>
      </c>
      <c r="E1056" s="41">
        <f>Data!H1054</f>
        <v>0</v>
      </c>
      <c r="F1056" s="41">
        <f>Data!K1054</f>
        <v>0</v>
      </c>
      <c r="G1056" s="33" t="str">
        <f>Data!M1054</f>
        <v>Exceso Velocidad 40 Km/h</v>
      </c>
      <c r="H1056" s="41" t="str">
        <f>Data!P1054</f>
        <v>ECOPETROL RUBIALES- Quifa - CAÑO SUR: Piscina 06 05 04 02 03 08 Rb 92 352 293 287 239 291, Puerto Gaitán, Meta, Colombia</v>
      </c>
      <c r="I1056" s="42" t="str">
        <f>Data!Q1054</f>
        <v>Cliente, Vel Max 40 Km/h</v>
      </c>
      <c r="J1056" s="43">
        <f>Data!S1054</f>
        <v>46174.458118564813</v>
      </c>
      <c r="K1056" s="44">
        <f>Data!S1054</f>
        <v>46174.458118564813</v>
      </c>
      <c r="L1056" s="45">
        <f>Data!T1054</f>
        <v>2.0319444444444446E-4</v>
      </c>
      <c r="M1056" s="46">
        <f>Data!U1054</f>
        <v>0.20628495514392853</v>
      </c>
      <c r="N1056" s="46" t="str">
        <f>CONCATENATE(Data!W1054," (",Data!V1054,")")</f>
        <v>Exceso Velocidad 40 Km/h (Velocidad máxima: 44 kmh)</v>
      </c>
      <c r="O1056" s="42" t="str">
        <f>IF(Data!V1054&lt;&gt;"",N1056,Data!W1054)</f>
        <v>Exceso Velocidad 40 Km/h (Velocidad máxima: 44 kmh)</v>
      </c>
      <c r="P1056" s="47" t="str">
        <f>Data!X1054</f>
        <v>Válido</v>
      </c>
    </row>
    <row r="1057" spans="1:16">
      <c r="A1057" s="41" t="str">
        <f>Data!A1055</f>
        <v>QLO286</v>
      </c>
      <c r="B1057" s="41" t="str">
        <f>Data!D1055</f>
        <v>Vehicle, Diesel, ECP 1107 Rubiales Serv. Integrales</v>
      </c>
      <c r="C1057" s="41">
        <f>Data!F1055</f>
        <v>0</v>
      </c>
      <c r="D1057" s="41">
        <f>Data!G1055</f>
        <v>0</v>
      </c>
      <c r="E1057" s="41">
        <f>Data!H1055</f>
        <v>0</v>
      </c>
      <c r="F1057" s="41">
        <f>Data!K1055</f>
        <v>0</v>
      </c>
      <c r="G1057" s="33" t="str">
        <f>Data!M1055</f>
        <v>Giro brusco (nuevo)</v>
      </c>
      <c r="H1057" s="41" t="str">
        <f>Data!P1055</f>
        <v>ECOPETROL RUBIALES- Quifa - CAÑO SUR: Piscina 06 05 04 02 03 08 Rb 92 352 293 287 239 291, Puerto Gaitán, Meta, Colombia</v>
      </c>
      <c r="I1057" s="42" t="str">
        <f>Data!Q1055</f>
        <v>Cliente, Vel Max 40 Km/h</v>
      </c>
      <c r="J1057" s="43">
        <f>Data!S1055</f>
        <v>46174.458356481482</v>
      </c>
      <c r="K1057" s="44">
        <f>Data!S1055</f>
        <v>46174.458356481482</v>
      </c>
      <c r="L1057" s="45">
        <f>Data!T1055</f>
        <v>0</v>
      </c>
      <c r="M1057" s="46">
        <f>Data!U1055</f>
        <v>0</v>
      </c>
      <c r="N1057" s="46" t="str">
        <f>CONCATENATE(Data!W1055," (",Data!V1055,")")</f>
        <v>Giro brusco (nuevo) (Clase de vehículo para métricas de seguridad: Otra clase (no estandarizada), Velocidad máxima: 31 kmh,  Ignición: 1)</v>
      </c>
      <c r="O1057" s="42" t="str">
        <f>IF(Data!V1055&lt;&gt;"",N1057,Data!W1055)</f>
        <v>Giro brusco (nuevo) (Clase de vehículo para métricas de seguridad: Otra clase (no estandarizada), Velocidad máxima: 31 kmh,  Ignición: 1)</v>
      </c>
      <c r="P1057" s="47" t="str">
        <f>Data!X1055</f>
        <v>Válido</v>
      </c>
    </row>
    <row r="1058" spans="1:16">
      <c r="A1058" s="41" t="str">
        <f>Data!A1056</f>
        <v>QLO286</v>
      </c>
      <c r="B1058" s="41" t="str">
        <f>Data!D1056</f>
        <v>Vehicle, Diesel, ECP 1107 Rubiales Serv. Integrales</v>
      </c>
      <c r="C1058" s="41">
        <f>Data!F1056</f>
        <v>0</v>
      </c>
      <c r="D1058" s="41">
        <f>Data!G1056</f>
        <v>0</v>
      </c>
      <c r="E1058" s="41">
        <f>Data!H1056</f>
        <v>0</v>
      </c>
      <c r="F1058" s="41">
        <f>Data!K1056</f>
        <v>0</v>
      </c>
      <c r="G1058" s="33" t="str">
        <f>Data!M1056</f>
        <v>Exceso Velocidad 40 Km/h</v>
      </c>
      <c r="H1058" s="41" t="str">
        <f>Data!P1056</f>
        <v>ECOPETROL RUBIALES- Quifa - CAÑO SUR: Piscina 06 05 04 02 03 08 Rb 92 352 293 287 239 291, Puerto Gaitán, Meta, Colombia</v>
      </c>
      <c r="I1058" s="42" t="str">
        <f>Data!Q1056</f>
        <v>Cliente, Vel Max 40 Km/h</v>
      </c>
      <c r="J1058" s="43">
        <f>Data!S1056</f>
        <v>46174.458541666667</v>
      </c>
      <c r="K1058" s="44">
        <f>Data!S1056</f>
        <v>46174.458541666667</v>
      </c>
      <c r="L1058" s="45">
        <f>Data!T1056</f>
        <v>1.3503472222222223E-4</v>
      </c>
      <c r="M1058" s="46">
        <f>Data!U1056</f>
        <v>0.1331133097410202</v>
      </c>
      <c r="N1058" s="46" t="str">
        <f>CONCATENATE(Data!W1056," (",Data!V1056,")")</f>
        <v>Exceso Velocidad 40 Km/h (Velocidad máxima: 42 kmh)</v>
      </c>
      <c r="O1058" s="42" t="str">
        <f>IF(Data!V1056&lt;&gt;"",N1058,Data!W1056)</f>
        <v>Exceso Velocidad 40 Km/h (Velocidad máxima: 42 kmh)</v>
      </c>
      <c r="P1058" s="47" t="str">
        <f>Data!X1056</f>
        <v>Válido</v>
      </c>
    </row>
    <row r="1059" spans="1:16">
      <c r="A1059" s="41" t="str">
        <f>Data!A1057</f>
        <v>QLO286</v>
      </c>
      <c r="B1059" s="41" t="str">
        <f>Data!D1057</f>
        <v>Vehicle, Diesel, ECP 1107 Rubiales Serv. Integrales</v>
      </c>
      <c r="C1059" s="41">
        <f>Data!F1057</f>
        <v>0</v>
      </c>
      <c r="D1059" s="41">
        <f>Data!G1057</f>
        <v>0</v>
      </c>
      <c r="E1059" s="41">
        <f>Data!H1057</f>
        <v>0</v>
      </c>
      <c r="F1059" s="41">
        <f>Data!K1057</f>
        <v>0</v>
      </c>
      <c r="G1059" s="33" t="str">
        <f>Data!M1057</f>
        <v>Exceso Velocidad 40 Km/h</v>
      </c>
      <c r="H1059" s="41" t="str">
        <f>Data!P1057</f>
        <v>ECOPETROL RUBIALES- Quifa - CAÑO SUR: Piscina 06 05 04 02 03 08 Rb 92 352 293 287 239 291, Puerto Gaitán, Meta, Colombia</v>
      </c>
      <c r="I1059" s="42" t="str">
        <f>Data!Q1057</f>
        <v>Cliente, Vel Max 40 Km/h</v>
      </c>
      <c r="J1059" s="43">
        <f>Data!S1057</f>
        <v>46174.458703703705</v>
      </c>
      <c r="K1059" s="44">
        <f>Data!S1057</f>
        <v>46174.458703703705</v>
      </c>
      <c r="L1059" s="45">
        <f>Data!T1057</f>
        <v>4.9606481481481481E-5</v>
      </c>
      <c r="M1059" s="46">
        <f>Data!U1057</f>
        <v>4.986238107085228E-2</v>
      </c>
      <c r="N1059" s="46" t="str">
        <f>CONCATENATE(Data!W1057," (",Data!V1057,")")</f>
        <v>Exceso Velocidad 40 Km/h (Velocidad máxima: 42 kmh)</v>
      </c>
      <c r="O1059" s="42" t="str">
        <f>IF(Data!V1057&lt;&gt;"",N1059,Data!W1057)</f>
        <v>Exceso Velocidad 40 Km/h (Velocidad máxima: 42 kmh)</v>
      </c>
      <c r="P1059" s="47" t="str">
        <f>Data!X1057</f>
        <v>Válido</v>
      </c>
    </row>
    <row r="1060" spans="1:16">
      <c r="A1060" s="41" t="str">
        <f>Data!A1058</f>
        <v>QLO286</v>
      </c>
      <c r="B1060" s="41" t="str">
        <f>Data!D1058</f>
        <v>Vehicle, Diesel, ECP 1107 Rubiales Serv. Integrales</v>
      </c>
      <c r="C1060" s="41">
        <f>Data!F1058</f>
        <v>0</v>
      </c>
      <c r="D1060" s="41">
        <f>Data!G1058</f>
        <v>0</v>
      </c>
      <c r="E1060" s="41">
        <f>Data!H1058</f>
        <v>0</v>
      </c>
      <c r="F1060" s="41">
        <f>Data!K1058</f>
        <v>0</v>
      </c>
      <c r="G1060" s="33" t="str">
        <f>Data!M1058</f>
        <v>Giro brusco (nuevo)</v>
      </c>
      <c r="H1060" s="41" t="str">
        <f>Data!P1058</f>
        <v>ECOPETROL RUBIALES- Quifa - CAÑO SUR: Piscina 06 05 04 02 03 08 Rb 286 90 92 352 293 287 239 291, Puerto Gaitán, Meta, Colombia</v>
      </c>
      <c r="I1060" s="42" t="str">
        <f>Data!Q1058</f>
        <v>Cliente, Vel Max 40 Km/h</v>
      </c>
      <c r="J1060" s="43">
        <f>Data!S1058</f>
        <v>46174.458784722221</v>
      </c>
      <c r="K1060" s="44">
        <f>Data!S1058</f>
        <v>46174.458784722221</v>
      </c>
      <c r="L1060" s="45">
        <f>Data!T1058</f>
        <v>0</v>
      </c>
      <c r="M1060" s="46">
        <f>Data!U1058</f>
        <v>0</v>
      </c>
      <c r="N1060" s="46" t="str">
        <f>CONCATENATE(Data!W1058," (",Data!V1058,")")</f>
        <v>Giro brusco (nuevo) (Clase de vehículo para métricas de seguridad: Otra clase (no estandarizada), Velocidad máxima: 24 kmh,  Ignición: 1)</v>
      </c>
      <c r="O1060" s="42" t="str">
        <f>IF(Data!V1058&lt;&gt;"",N1060,Data!W1058)</f>
        <v>Giro brusco (nuevo) (Clase de vehículo para métricas de seguridad: Otra clase (no estandarizada), Velocidad máxima: 24 kmh,  Ignición: 1)</v>
      </c>
      <c r="P1060" s="47" t="str">
        <f>Data!X1058</f>
        <v>Válido</v>
      </c>
    </row>
    <row r="1061" spans="1:16">
      <c r="A1061" s="41" t="str">
        <f>Data!A1059</f>
        <v>QLO286</v>
      </c>
      <c r="B1061" s="41" t="str">
        <f>Data!D1059</f>
        <v>Vehicle, Diesel, ECP 1107 Rubiales Serv. Integrales</v>
      </c>
      <c r="C1061" s="41">
        <f>Data!F1059</f>
        <v>0</v>
      </c>
      <c r="D1061" s="41">
        <f>Data!G1059</f>
        <v>0</v>
      </c>
      <c r="E1061" s="41">
        <f>Data!H1059</f>
        <v>0</v>
      </c>
      <c r="F1061" s="41">
        <f>Data!K1059</f>
        <v>0</v>
      </c>
      <c r="G1061" s="33" t="str">
        <f>Data!M1059</f>
        <v>Aceleración brusca (nuevo)</v>
      </c>
      <c r="H1061" s="41" t="str">
        <f>Data!P1059</f>
        <v>ECOPETROL RUBIALES- Quifa - CAÑO SUR: Piscina 06 05 04 02 03 08 Rb 286 90 92 352 293 287 239 291, Meta, 502057, Colombia</v>
      </c>
      <c r="I1061" s="42" t="str">
        <f>Data!Q1059</f>
        <v>Cliente, Vel Max 40 Km/h</v>
      </c>
      <c r="J1061" s="43">
        <f>Data!S1059</f>
        <v>46174.460474537038</v>
      </c>
      <c r="K1061" s="44">
        <f>Data!S1059</f>
        <v>46174.460474537038</v>
      </c>
      <c r="L1061" s="45">
        <f>Data!T1059</f>
        <v>0</v>
      </c>
      <c r="M1061" s="46">
        <f>Data!U1059</f>
        <v>0</v>
      </c>
      <c r="N1061" s="46" t="str">
        <f>CONCATENATE(Data!W1059," (",Data!V1059,")")</f>
        <v>Aceleración brusca (nuevo) (Clase de vehículo para métricas de seguridad: Otra clase (no estandarizada), Velocidad máxima: 4 kmh,  Ignición: 1)</v>
      </c>
      <c r="O1061" s="42" t="str">
        <f>IF(Data!V1059&lt;&gt;"",N1061,Data!W1059)</f>
        <v>Aceleración brusca (nuevo) (Clase de vehículo para métricas de seguridad: Otra clase (no estandarizada), Velocidad máxima: 4 kmh,  Ignición: 1)</v>
      </c>
      <c r="P1061" s="47" t="str">
        <f>Data!X1059</f>
        <v>Válido</v>
      </c>
    </row>
    <row r="1062" spans="1:16">
      <c r="A1062" s="41" t="str">
        <f>Data!A1060</f>
        <v>QLO286</v>
      </c>
      <c r="B1062" s="41" t="str">
        <f>Data!D1060</f>
        <v>Vehicle, Diesel, ECP 1107 Rubiales Serv. Integrales</v>
      </c>
      <c r="C1062" s="41">
        <f>Data!F1060</f>
        <v>0</v>
      </c>
      <c r="D1062" s="41">
        <f>Data!G1060</f>
        <v>0</v>
      </c>
      <c r="E1062" s="41">
        <f>Data!H1060</f>
        <v>0</v>
      </c>
      <c r="F1062" s="41">
        <f>Data!K1060</f>
        <v>0</v>
      </c>
      <c r="G1062" s="33" t="str">
        <f>Data!M1060</f>
        <v>Aceleración brusca (nuevo)</v>
      </c>
      <c r="H1062" s="41" t="str">
        <f>Data!P1060</f>
        <v>ECOPETROL RUBIALES- Quifa - CAÑO SUR: Piscina 06 05 04 02 03 08 Rb 286 90 92 352 293 287 239 291, Meta, 502057, Colombia</v>
      </c>
      <c r="I1062" s="42" t="str">
        <f>Data!Q1060</f>
        <v>Cliente, Vel Max 40 Km/h</v>
      </c>
      <c r="J1062" s="43">
        <f>Data!S1060</f>
        <v>46174.461516203701</v>
      </c>
      <c r="K1062" s="44">
        <f>Data!S1060</f>
        <v>46174.461516203701</v>
      </c>
      <c r="L1062" s="45">
        <f>Data!T1060</f>
        <v>0</v>
      </c>
      <c r="M1062" s="46">
        <f>Data!U1060</f>
        <v>0</v>
      </c>
      <c r="N1062" s="46" t="str">
        <f>CONCATENATE(Data!W1060," (",Data!V1060,")")</f>
        <v>Aceleración brusca (nuevo) (Clase de vehículo para métricas de seguridad: Otra clase (no estandarizada), Velocidad máxima: 5 kmh,  Ignición: 1)</v>
      </c>
      <c r="O1062" s="42" t="str">
        <f>IF(Data!V1060&lt;&gt;"",N1062,Data!W1060)</f>
        <v>Aceleración brusca (nuevo) (Clase de vehículo para métricas de seguridad: Otra clase (no estandarizada), Velocidad máxima: 5 kmh,  Ignición: 1)</v>
      </c>
      <c r="P1062" s="47" t="str">
        <f>Data!X1060</f>
        <v>Válido</v>
      </c>
    </row>
    <row r="1063" spans="1:16">
      <c r="A1063" s="41" t="str">
        <f>Data!A1061</f>
        <v>QLO286</v>
      </c>
      <c r="B1063" s="41" t="str">
        <f>Data!D1061</f>
        <v>Vehicle, Diesel, ECP 1107 Rubiales Serv. Integrales</v>
      </c>
      <c r="C1063" s="41">
        <f>Data!F1061</f>
        <v>0</v>
      </c>
      <c r="D1063" s="41">
        <f>Data!G1061</f>
        <v>0</v>
      </c>
      <c r="E1063" s="41">
        <f>Data!H1061</f>
        <v>0</v>
      </c>
      <c r="F1063" s="41">
        <f>Data!K1061</f>
        <v>0</v>
      </c>
      <c r="G1063" s="33" t="str">
        <f>Data!M1061</f>
        <v>Aceleración brusca (nuevo)</v>
      </c>
      <c r="H1063" s="41" t="str">
        <f>Data!P1061</f>
        <v>ECOPETROL RUBIALES- Quifa - CAÑO SUR: Rb 286 90, Puerto Gaitán, Meta, Colombia</v>
      </c>
      <c r="I1063" s="42" t="str">
        <f>Data!Q1061</f>
        <v>Cliente, Vel Max 40 Km/h</v>
      </c>
      <c r="J1063" s="43">
        <f>Data!S1061</f>
        <v>46174.467314814814</v>
      </c>
      <c r="K1063" s="44">
        <f>Data!S1061</f>
        <v>46174.467314814814</v>
      </c>
      <c r="L1063" s="45">
        <f>Data!T1061</f>
        <v>0</v>
      </c>
      <c r="M1063" s="46">
        <f>Data!U1061</f>
        <v>0</v>
      </c>
      <c r="N1063" s="46" t="str">
        <f>CONCATENATE(Data!W1061," (",Data!V1061,")")</f>
        <v>Aceleración brusca (nuevo) (Clase de vehículo para métricas de seguridad: Otra clase (no estandarizada), Velocidad máxima: 5 kmh,  Ignición: 1)</v>
      </c>
      <c r="O1063" s="42" t="str">
        <f>IF(Data!V1061&lt;&gt;"",N1063,Data!W1061)</f>
        <v>Aceleración brusca (nuevo) (Clase de vehículo para métricas de seguridad: Otra clase (no estandarizada), Velocidad máxima: 5 kmh,  Ignición: 1)</v>
      </c>
      <c r="P1063" s="47" t="str">
        <f>Data!X1061</f>
        <v>Válido</v>
      </c>
    </row>
    <row r="1064" spans="1:16">
      <c r="A1064" s="41" t="str">
        <f>Data!A1062</f>
        <v>QLO286</v>
      </c>
      <c r="B1064" s="41" t="str">
        <f>Data!D1062</f>
        <v>Vehicle, Diesel, ECP 1107 Rubiales Serv. Integrales</v>
      </c>
      <c r="C1064" s="41">
        <f>Data!F1062</f>
        <v>0</v>
      </c>
      <c r="D1064" s="41">
        <f>Data!G1062</f>
        <v>0</v>
      </c>
      <c r="E1064" s="41">
        <f>Data!H1062</f>
        <v>0</v>
      </c>
      <c r="F1064" s="41">
        <f>Data!K1062</f>
        <v>0</v>
      </c>
      <c r="G1064" s="33" t="str">
        <f>Data!M1062</f>
        <v>Aceleración brusca (nuevo)</v>
      </c>
      <c r="H1064" s="41" t="str">
        <f>Data!P1062</f>
        <v>ECOPETROL RUBIALES- Quifa - CAÑO SUR: Vía a RB-1052, Puerto Gaitán, Meta, Colombia</v>
      </c>
      <c r="I1064" s="42" t="str">
        <f>Data!Q1062</f>
        <v>Cliente, Vel Max 40 Km/h</v>
      </c>
      <c r="J1064" s="43">
        <f>Data!S1062</f>
        <v>46174.476168981484</v>
      </c>
      <c r="K1064" s="44">
        <f>Data!S1062</f>
        <v>46174.476168981484</v>
      </c>
      <c r="L1064" s="45">
        <f>Data!T1062</f>
        <v>0</v>
      </c>
      <c r="M1064" s="46">
        <f>Data!U1062</f>
        <v>0</v>
      </c>
      <c r="N1064" s="46" t="str">
        <f>CONCATENATE(Data!W1062," (",Data!V1062,")")</f>
        <v>Aceleración brusca (nuevo) (Clase de vehículo para métricas de seguridad: Otra clase (no estandarizada), Velocidad máxima: 6 kmh,  Ignición: 1)</v>
      </c>
      <c r="O1064" s="42" t="str">
        <f>IF(Data!V1062&lt;&gt;"",N1064,Data!W1062)</f>
        <v>Aceleración brusca (nuevo) (Clase de vehículo para métricas de seguridad: Otra clase (no estandarizada), Velocidad máxima: 6 kmh,  Ignición: 1)</v>
      </c>
      <c r="P1064" s="47" t="str">
        <f>Data!X1062</f>
        <v>Válido</v>
      </c>
    </row>
    <row r="1065" spans="1:16">
      <c r="A1065" s="41" t="str">
        <f>Data!A1063</f>
        <v>QLO286</v>
      </c>
      <c r="B1065" s="41" t="str">
        <f>Data!D1063</f>
        <v>Vehicle, Diesel, ECP 1107 Rubiales Serv. Integrales</v>
      </c>
      <c r="C1065" s="41">
        <f>Data!F1063</f>
        <v>0</v>
      </c>
      <c r="D1065" s="41">
        <f>Data!G1063</f>
        <v>0</v>
      </c>
      <c r="E1065" s="41">
        <f>Data!H1063</f>
        <v>0</v>
      </c>
      <c r="F1065" s="41">
        <f>Data!K1063</f>
        <v>0</v>
      </c>
      <c r="G1065" s="33" t="str">
        <f>Data!M1063</f>
        <v>Exceso Velocidad 40 Km/h</v>
      </c>
      <c r="H1065" s="41" t="str">
        <f>Data!P1063</f>
        <v>ECOPETROL RUBIALES- Quifa - CAÑO SUR: Rb 90, Puerto Gaitán, Meta, Colombia</v>
      </c>
      <c r="I1065" s="42" t="str">
        <f>Data!Q1063</f>
        <v>Cliente, Vel Max 40 Km/h</v>
      </c>
      <c r="J1065" s="43">
        <f>Data!S1063</f>
        <v>46174.476601851849</v>
      </c>
      <c r="K1065" s="44">
        <f>Data!S1063</f>
        <v>46174.476601851849</v>
      </c>
      <c r="L1065" s="45">
        <f>Data!T1063</f>
        <v>4.5833333333333332E-4</v>
      </c>
      <c r="M1065" s="46">
        <f>Data!U1063</f>
        <v>0.44759073853492737</v>
      </c>
      <c r="N1065" s="46" t="str">
        <f>CONCATENATE(Data!W1063," (",Data!V1063,")")</f>
        <v>Exceso Velocidad 40 Km/h (Velocidad máxima: 42 kmh)</v>
      </c>
      <c r="O1065" s="42" t="str">
        <f>IF(Data!V1063&lt;&gt;"",N1065,Data!W1063)</f>
        <v>Exceso Velocidad 40 Km/h (Velocidad máxima: 42 kmh)</v>
      </c>
      <c r="P1065" s="47" t="str">
        <f>Data!X1063</f>
        <v>Válido</v>
      </c>
    </row>
    <row r="1066" spans="1:16">
      <c r="A1066" s="41" t="str">
        <f>Data!A1064</f>
        <v>QLO286</v>
      </c>
      <c r="B1066" s="41" t="str">
        <f>Data!D1064</f>
        <v>Vehicle, Diesel, ECP 1107 Rubiales Serv. Integrales</v>
      </c>
      <c r="C1066" s="41">
        <f>Data!F1064</f>
        <v>0</v>
      </c>
      <c r="D1066" s="41">
        <f>Data!G1064</f>
        <v>0</v>
      </c>
      <c r="E1066" s="41">
        <f>Data!H1064</f>
        <v>0</v>
      </c>
      <c r="F1066" s="41">
        <f>Data!K1064</f>
        <v>0</v>
      </c>
      <c r="G1066" s="33" t="str">
        <f>Data!M1064</f>
        <v>Exceso Velocidad 20 Km/h</v>
      </c>
      <c r="H1066" s="41" t="str">
        <f>Data!P1064</f>
        <v>ECOPETROL RUBIALES- Quifa - CAÑO SUR, CAMPAMENTO MI LLANURA: Rb 90, Puerto Gaitán, Meta, Colombia</v>
      </c>
      <c r="I1066" s="42" t="str">
        <f>Data!Q1064</f>
        <v>Cliente, Vel Max 40 Km/h, Vel Max 20 Km/h</v>
      </c>
      <c r="J1066" s="43">
        <f>Data!S1064</f>
        <v>46174.477048472225</v>
      </c>
      <c r="K1066" s="44">
        <f>Data!S1064</f>
        <v>46174.477048472225</v>
      </c>
      <c r="L1066" s="45">
        <f>Data!T1064</f>
        <v>4.1680555555555557E-4</v>
      </c>
      <c r="M1066" s="46">
        <f>Data!U1064</f>
        <v>0.34914171695709229</v>
      </c>
      <c r="N1066" s="46" t="str">
        <f>CONCATENATE(Data!W1064," (",Data!V1064,")")</f>
        <v>Exceso Velocidad 20 Km/h (Velocidad máxima: 44 kmh)</v>
      </c>
      <c r="O1066" s="42" t="str">
        <f>IF(Data!V1064&lt;&gt;"",N1066,Data!W1064)</f>
        <v>Exceso Velocidad 20 Km/h (Velocidad máxima: 44 kmh)</v>
      </c>
      <c r="P1066" s="47" t="str">
        <f>Data!X1064</f>
        <v>Válido</v>
      </c>
    </row>
    <row r="1067" spans="1:16">
      <c r="A1067" s="41" t="str">
        <f>Data!A1065</f>
        <v>QLO286</v>
      </c>
      <c r="B1067" s="41" t="str">
        <f>Data!D1065</f>
        <v>Vehicle, Diesel, ECP 1107 Rubiales Serv. Integrales</v>
      </c>
      <c r="C1067" s="41">
        <f>Data!F1065</f>
        <v>0</v>
      </c>
      <c r="D1067" s="41">
        <f>Data!G1065</f>
        <v>0</v>
      </c>
      <c r="E1067" s="41">
        <f>Data!H1065</f>
        <v>0</v>
      </c>
      <c r="F1067" s="41">
        <f>Data!K1065</f>
        <v>0</v>
      </c>
      <c r="G1067" s="33" t="str">
        <f>Data!M1065</f>
        <v>Exceso Velocidad 40 Km/h</v>
      </c>
      <c r="H1067" s="41" t="str">
        <f>Data!P1065</f>
        <v>ECOPETROL RUBIALES- Quifa - CAÑO SUR, CAMPAMENTO MI LLANURA: Rb 90, Puerto Gaitán, Meta, Colombia</v>
      </c>
      <c r="I1067" s="42" t="str">
        <f>Data!Q1065</f>
        <v>Cliente, Vel Max 40 Km/h, Vel Max 20 Km/h</v>
      </c>
      <c r="J1067" s="43">
        <f>Data!S1065</f>
        <v>46174.477371030094</v>
      </c>
      <c r="K1067" s="44">
        <f>Data!S1065</f>
        <v>46174.477371030094</v>
      </c>
      <c r="L1067" s="45">
        <f>Data!T1065</f>
        <v>5.7210648148148145E-5</v>
      </c>
      <c r="M1067" s="46">
        <f>Data!U1065</f>
        <v>5.7330116629600525E-2</v>
      </c>
      <c r="N1067" s="46" t="str">
        <f>CONCATENATE(Data!W1065," (",Data!V1065,")")</f>
        <v>Exceso Velocidad 40 Km/h (Velocidad máxima: 44 kmh)</v>
      </c>
      <c r="O1067" s="42" t="str">
        <f>IF(Data!V1065&lt;&gt;"",N1067,Data!W1065)</f>
        <v>Exceso Velocidad 40 Km/h (Velocidad máxima: 44 kmh)</v>
      </c>
      <c r="P1067" s="47" t="str">
        <f>Data!X1065</f>
        <v>Válido</v>
      </c>
    </row>
    <row r="1068" spans="1:16">
      <c r="A1068" s="41" t="str">
        <f>Data!A1066</f>
        <v>QLO286</v>
      </c>
      <c r="B1068" s="41" t="str">
        <f>Data!D1066</f>
        <v>Vehicle, Diesel, ECP 1107 Rubiales Serv. Integrales</v>
      </c>
      <c r="C1068" s="41">
        <f>Data!F1066</f>
        <v>0</v>
      </c>
      <c r="D1068" s="41">
        <f>Data!G1066</f>
        <v>0</v>
      </c>
      <c r="E1068" s="41">
        <f>Data!H1066</f>
        <v>0</v>
      </c>
      <c r="F1068" s="41">
        <f>Data!K1066</f>
        <v>0</v>
      </c>
      <c r="G1068" s="33" t="str">
        <f>Data!M1066</f>
        <v>Exceso Velocidad 20 Km/h</v>
      </c>
      <c r="H1068" s="41" t="str">
        <f>Data!P1066</f>
        <v>ECOPETROL RUBIALES- Quifa - CAÑO SUR, CAMPAMENTO MI LLANURA: Rb 90, Puerto Gaitán, Meta, Colombia</v>
      </c>
      <c r="I1068" s="42" t="str">
        <f>Data!Q1066</f>
        <v>Cliente, Vel Max 40 Km/h, Vel Max 20 Km/h</v>
      </c>
      <c r="J1068" s="43">
        <f>Data!S1066</f>
        <v>46174.477465277778</v>
      </c>
      <c r="K1068" s="44">
        <f>Data!S1066</f>
        <v>46174.477465277778</v>
      </c>
      <c r="L1068" s="45">
        <f>Data!T1066</f>
        <v>1.087962962962963E-4</v>
      </c>
      <c r="M1068" s="46">
        <f>Data!U1066</f>
        <v>6.0812611132860184E-2</v>
      </c>
      <c r="N1068" s="46" t="str">
        <f>CONCATENATE(Data!W1066," (",Data!V1066,")")</f>
        <v>Exceso Velocidad 20 Km/h (Velocidad máxima: 28 kmh)</v>
      </c>
      <c r="O1068" s="42" t="str">
        <f>IF(Data!V1066&lt;&gt;"",N1068,Data!W1066)</f>
        <v>Exceso Velocidad 20 Km/h (Velocidad máxima: 28 kmh)</v>
      </c>
      <c r="P1068" s="47" t="str">
        <f>Data!X1066</f>
        <v>Válido</v>
      </c>
    </row>
    <row r="1069" spans="1:16">
      <c r="A1069" s="41" t="str">
        <f>Data!A1067</f>
        <v>QLO286</v>
      </c>
      <c r="B1069" s="41" t="str">
        <f>Data!D1067</f>
        <v>Vehicle, Diesel, ECP 1107 Rubiales Serv. Integrales</v>
      </c>
      <c r="C1069" s="41">
        <f>Data!F1067</f>
        <v>0</v>
      </c>
      <c r="D1069" s="41">
        <f>Data!G1067</f>
        <v>0</v>
      </c>
      <c r="E1069" s="41">
        <f>Data!H1067</f>
        <v>0</v>
      </c>
      <c r="F1069" s="41">
        <f>Data!K1067</f>
        <v>0</v>
      </c>
      <c r="G1069" s="33" t="str">
        <f>Data!M1067</f>
        <v>Exceso Velocidad 20 Km/h</v>
      </c>
      <c r="H1069" s="41" t="str">
        <f>Data!P1067</f>
        <v>ECOPETROL RUBIALES- Quifa - CAÑO SUR, CAMPAMENTO MI LLANURA: Rb 90, Puerto Gaitán, Meta, Colombia</v>
      </c>
      <c r="I1069" s="42" t="str">
        <f>Data!Q1067</f>
        <v>Cliente, Vel Max 40 Km/h, Vel Max 20 Km/h</v>
      </c>
      <c r="J1069" s="43">
        <f>Data!S1067</f>
        <v>46174.480221944446</v>
      </c>
      <c r="K1069" s="44">
        <f>Data!S1067</f>
        <v>46174.480221944446</v>
      </c>
      <c r="L1069" s="45">
        <f>Data!T1067</f>
        <v>6.7407407407407412E-5</v>
      </c>
      <c r="M1069" s="46">
        <f>Data!U1067</f>
        <v>3.0465243384242058E-2</v>
      </c>
      <c r="N1069" s="46" t="str">
        <f>CONCATENATE(Data!W1067," (",Data!V1067,")")</f>
        <v>Exceso Velocidad 20 Km/h (Velocidad máxima: 26 kmh)</v>
      </c>
      <c r="O1069" s="42" t="str">
        <f>IF(Data!V1067&lt;&gt;"",N1069,Data!W1067)</f>
        <v>Exceso Velocidad 20 Km/h (Velocidad máxima: 26 kmh)</v>
      </c>
      <c r="P1069" s="47" t="str">
        <f>Data!X1067</f>
        <v>Válido</v>
      </c>
    </row>
    <row r="1070" spans="1:16">
      <c r="A1070" s="41" t="str">
        <f>Data!A1068</f>
        <v>QLO286</v>
      </c>
      <c r="B1070" s="41" t="str">
        <f>Data!D1068</f>
        <v>Vehicle, Diesel, ECP 1107 Rubiales Serv. Integrales</v>
      </c>
      <c r="C1070" s="41">
        <f>Data!F1068</f>
        <v>0</v>
      </c>
      <c r="D1070" s="41">
        <f>Data!G1068</f>
        <v>0</v>
      </c>
      <c r="E1070" s="41">
        <f>Data!H1068</f>
        <v>0</v>
      </c>
      <c r="F1070" s="41">
        <f>Data!K1068</f>
        <v>0</v>
      </c>
      <c r="G1070" s="33" t="str">
        <f>Data!M1068</f>
        <v>Exceso Velocidad 20 Km/h</v>
      </c>
      <c r="H1070" s="41" t="str">
        <f>Data!P1068</f>
        <v>ECOPETROL RUBIALES- Quifa - CAÑO SUR, CAMPAMENTO MI LLANURA: Rb 90, Puerto Gaitán, Meta, Colombia</v>
      </c>
      <c r="I1070" s="42" t="str">
        <f>Data!Q1068</f>
        <v>Cliente, Vel Max 40 Km/h, Vel Max 20 Km/h</v>
      </c>
      <c r="J1070" s="43">
        <f>Data!S1068</f>
        <v>46174.48165509259</v>
      </c>
      <c r="K1070" s="44">
        <f>Data!S1068</f>
        <v>46174.48165509259</v>
      </c>
      <c r="L1070" s="45">
        <f>Data!T1068</f>
        <v>1.099538037037037E-4</v>
      </c>
      <c r="M1070" s="46">
        <f>Data!U1068</f>
        <v>5.731094628572464E-2</v>
      </c>
      <c r="N1070" s="46" t="str">
        <f>CONCATENATE(Data!W1068," (",Data!V1068,")")</f>
        <v>Exceso Velocidad 20 Km/h (Velocidad máxima: 24 kmh)</v>
      </c>
      <c r="O1070" s="42" t="str">
        <f>IF(Data!V1068&lt;&gt;"",N1070,Data!W1068)</f>
        <v>Exceso Velocidad 20 Km/h (Velocidad máxima: 24 kmh)</v>
      </c>
      <c r="P1070" s="47" t="str">
        <f>Data!X1068</f>
        <v>Válido</v>
      </c>
    </row>
    <row r="1071" spans="1:16">
      <c r="A1071" s="41" t="str">
        <f>Data!A1069</f>
        <v>QLO286</v>
      </c>
      <c r="B1071" s="41" t="str">
        <f>Data!D1069</f>
        <v>Vehicle, Diesel, ECP 1107 Rubiales Serv. Integrales</v>
      </c>
      <c r="C1071" s="41">
        <f>Data!F1069</f>
        <v>0</v>
      </c>
      <c r="D1071" s="41">
        <f>Data!G1069</f>
        <v>0</v>
      </c>
      <c r="E1071" s="41">
        <f>Data!H1069</f>
        <v>0</v>
      </c>
      <c r="F1071" s="41">
        <f>Data!K1069</f>
        <v>0</v>
      </c>
      <c r="G1071" s="33" t="str">
        <f>Data!M1069</f>
        <v>Exceso Velocidad 20 Km/h</v>
      </c>
      <c r="H1071" s="41" t="str">
        <f>Data!P1069</f>
        <v>ECOPETROL RUBIALES- Quifa - CAÑO SUR, CAMPAMENTO MI LLANURA: Rb 90, Puerto Gaitán, Meta, Colombia</v>
      </c>
      <c r="I1071" s="42" t="str">
        <f>Data!Q1069</f>
        <v>Cliente, Vel Max 40 Km/h, Vel Max 20 Km/h</v>
      </c>
      <c r="J1071" s="43">
        <f>Data!S1069</f>
        <v>46174.482499999998</v>
      </c>
      <c r="K1071" s="44">
        <f>Data!S1069</f>
        <v>46174.482499999998</v>
      </c>
      <c r="L1071" s="45">
        <f>Data!T1069</f>
        <v>4.9590277777777773E-4</v>
      </c>
      <c r="M1071" s="46">
        <f>Data!U1069</f>
        <v>0.30517169833183289</v>
      </c>
      <c r="N1071" s="46" t="str">
        <f>CONCATENATE(Data!W1069," (",Data!V1069,")")</f>
        <v>Exceso Velocidad 20 Km/h (Velocidad máxima: 29 kmh)</v>
      </c>
      <c r="O1071" s="42" t="str">
        <f>IF(Data!V1069&lt;&gt;"",N1071,Data!W1069)</f>
        <v>Exceso Velocidad 20 Km/h (Velocidad máxima: 29 kmh)</v>
      </c>
      <c r="P1071" s="47" t="str">
        <f>Data!X1069</f>
        <v>Válido</v>
      </c>
    </row>
    <row r="1072" spans="1:16">
      <c r="A1072" s="41" t="str">
        <f>Data!A1070</f>
        <v>QLO286</v>
      </c>
      <c r="B1072" s="41" t="str">
        <f>Data!D1070</f>
        <v>Vehicle, Diesel, ECP 1107 Rubiales Serv. Integrales</v>
      </c>
      <c r="C1072" s="41">
        <f>Data!F1070</f>
        <v>0</v>
      </c>
      <c r="D1072" s="41">
        <f>Data!G1070</f>
        <v>0</v>
      </c>
      <c r="E1072" s="41">
        <f>Data!H1070</f>
        <v>0</v>
      </c>
      <c r="F1072" s="41">
        <f>Data!K1070</f>
        <v>0</v>
      </c>
      <c r="G1072" s="33" t="str">
        <f>Data!M1070</f>
        <v>Exceso Velocidad 20 Km/h</v>
      </c>
      <c r="H1072" s="41" t="str">
        <f>Data!P1070</f>
        <v>ECOPETROL RUBIALES- Quifa - CAÑO SUR, CAMPAMENTO MI LLANURA: Rb 90, Puerto Gaitán, Meta, Colombia</v>
      </c>
      <c r="I1072" s="42" t="str">
        <f>Data!Q1070</f>
        <v>Cliente, Vel Max 40 Km/h, Vel Max 20 Km/h</v>
      </c>
      <c r="J1072" s="43">
        <f>Data!S1070</f>
        <v>46174.483217592591</v>
      </c>
      <c r="K1072" s="44">
        <f>Data!S1070</f>
        <v>46174.483217592591</v>
      </c>
      <c r="L1072" s="45">
        <f>Data!T1070</f>
        <v>4.0509359259259258E-5</v>
      </c>
      <c r="M1072" s="46">
        <f>Data!U1070</f>
        <v>1.9518794491887093E-2</v>
      </c>
      <c r="N1072" s="46" t="str">
        <f>CONCATENATE(Data!W1070," (",Data!V1070,")")</f>
        <v>Exceso Velocidad 20 Km/h (Velocidad máxima: 22 kmh)</v>
      </c>
      <c r="O1072" s="42" t="str">
        <f>IF(Data!V1070&lt;&gt;"",N1072,Data!W1070)</f>
        <v>Exceso Velocidad 20 Km/h (Velocidad máxima: 22 kmh)</v>
      </c>
      <c r="P1072" s="47" t="str">
        <f>Data!X1070</f>
        <v>Válido</v>
      </c>
    </row>
    <row r="1073" spans="1:16">
      <c r="A1073" s="41" t="str">
        <f>Data!A1071</f>
        <v>QLO286</v>
      </c>
      <c r="B1073" s="41" t="str">
        <f>Data!D1071</f>
        <v>Vehicle, Diesel, ECP 1107 Rubiales Serv. Integrales</v>
      </c>
      <c r="C1073" s="41">
        <f>Data!F1071</f>
        <v>0</v>
      </c>
      <c r="D1073" s="41">
        <f>Data!G1071</f>
        <v>0</v>
      </c>
      <c r="E1073" s="41">
        <f>Data!H1071</f>
        <v>0</v>
      </c>
      <c r="F1073" s="41">
        <f>Data!K1071</f>
        <v>0</v>
      </c>
      <c r="G1073" s="33" t="str">
        <f>Data!M1071</f>
        <v>Exceso Velocidad 20 Km/h</v>
      </c>
      <c r="H1073" s="41" t="str">
        <f>Data!P1071</f>
        <v>ECOPETROL RUBIALES- Quifa - CAÑO SUR, CAMPAMENTO MI LLANURA: Rb 90, Puerto Gaitán, Meta, Colombia</v>
      </c>
      <c r="I1073" s="42" t="str">
        <f>Data!Q1071</f>
        <v>Cliente, Vel Max 40 Km/h, Vel Max 20 Km/h</v>
      </c>
      <c r="J1073" s="43">
        <f>Data!S1071</f>
        <v>46174.483298611114</v>
      </c>
      <c r="K1073" s="44">
        <f>Data!S1071</f>
        <v>46174.483298611114</v>
      </c>
      <c r="L1073" s="45">
        <f>Data!T1071</f>
        <v>1.273148148148148E-4</v>
      </c>
      <c r="M1073" s="46">
        <f>Data!U1071</f>
        <v>6.8763233721256256E-2</v>
      </c>
      <c r="N1073" s="46" t="str">
        <f>CONCATENATE(Data!W1071," (",Data!V1071,")")</f>
        <v>Exceso Velocidad 20 Km/h (Velocidad máxima: 26 kmh)</v>
      </c>
      <c r="O1073" s="42" t="str">
        <f>IF(Data!V1071&lt;&gt;"",N1073,Data!W1071)</f>
        <v>Exceso Velocidad 20 Km/h (Velocidad máxima: 26 kmh)</v>
      </c>
      <c r="P1073" s="47" t="str">
        <f>Data!X1071</f>
        <v>Válido</v>
      </c>
    </row>
    <row r="1074" spans="1:16">
      <c r="A1074" s="41" t="str">
        <f>Data!A1072</f>
        <v>QLO286</v>
      </c>
      <c r="B1074" s="41" t="str">
        <f>Data!D1072</f>
        <v>Vehicle, Diesel, ECP 1107 Rubiales Serv. Integrales</v>
      </c>
      <c r="C1074" s="41">
        <f>Data!F1072</f>
        <v>0</v>
      </c>
      <c r="D1074" s="41">
        <f>Data!G1072</f>
        <v>0</v>
      </c>
      <c r="E1074" s="41">
        <f>Data!H1072</f>
        <v>0</v>
      </c>
      <c r="F1074" s="41">
        <f>Data!K1072</f>
        <v>0</v>
      </c>
      <c r="G1074" s="33" t="str">
        <f>Data!M1072</f>
        <v>Exceso Velocidad 20 Km/h</v>
      </c>
      <c r="H1074" s="41" t="str">
        <f>Data!P1072</f>
        <v>ECOPETROL RUBIALES- Quifa - CAÑO SUR, CAMPAMENTO MI LLANURA: Rb 90, Puerto Gaitán, Meta, Colombia</v>
      </c>
      <c r="I1074" s="42" t="str">
        <f>Data!Q1072</f>
        <v>Cliente, Vel Max 40 Km/h, Vel Max 20 Km/h</v>
      </c>
      <c r="J1074" s="43">
        <f>Data!S1072</f>
        <v>46174.498207847224</v>
      </c>
      <c r="K1074" s="44">
        <f>Data!S1072</f>
        <v>46174.498207847224</v>
      </c>
      <c r="L1074" s="45">
        <f>Data!T1072</f>
        <v>1.4164351851851851E-4</v>
      </c>
      <c r="M1074" s="46">
        <f>Data!U1072</f>
        <v>0.10159344971179962</v>
      </c>
      <c r="N1074" s="46" t="str">
        <f>CONCATENATE(Data!W1072," (",Data!V1072,")")</f>
        <v>Exceso Velocidad 20 Km/h (Velocidad máxima: 39 kmh)</v>
      </c>
      <c r="O1074" s="42" t="str">
        <f>IF(Data!V1072&lt;&gt;"",N1074,Data!W1072)</f>
        <v>Exceso Velocidad 20 Km/h (Velocidad máxima: 39 kmh)</v>
      </c>
      <c r="P1074" s="47" t="str">
        <f>Data!X1072</f>
        <v>Válido</v>
      </c>
    </row>
    <row r="1075" spans="1:16">
      <c r="A1075" s="41" t="str">
        <f>Data!A1073</f>
        <v>QLO286</v>
      </c>
      <c r="B1075" s="41" t="str">
        <f>Data!D1073</f>
        <v>Vehicle, Diesel, ECP 1107 Rubiales Serv. Integrales</v>
      </c>
      <c r="C1075" s="41">
        <f>Data!F1073</f>
        <v>0</v>
      </c>
      <c r="D1075" s="41">
        <f>Data!G1073</f>
        <v>0</v>
      </c>
      <c r="E1075" s="41">
        <f>Data!H1073</f>
        <v>0</v>
      </c>
      <c r="F1075" s="41">
        <f>Data!K1073</f>
        <v>0</v>
      </c>
      <c r="G1075" s="33" t="str">
        <f>Data!M1073</f>
        <v>Exceso Velocidad 40 Km/h</v>
      </c>
      <c r="H1075" s="41" t="str">
        <f>Data!P1073</f>
        <v>ECOPETROL RUBIALES- Quifa - CAÑO SUR: Rb 90, Puerto Gaitán, Meta, Colombia</v>
      </c>
      <c r="I1075" s="42" t="str">
        <f>Data!Q1073</f>
        <v>Cliente, Vel Max 40 Km/h</v>
      </c>
      <c r="J1075" s="43">
        <f>Data!S1073</f>
        <v>46174.498363425926</v>
      </c>
      <c r="K1075" s="44">
        <f>Data!S1073</f>
        <v>46174.498363425926</v>
      </c>
      <c r="L1075" s="45">
        <f>Data!T1073</f>
        <v>3.9525462962962962E-4</v>
      </c>
      <c r="M1075" s="46">
        <f>Data!U1073</f>
        <v>0.37570908665657043</v>
      </c>
      <c r="N1075" s="46" t="str">
        <f>CONCATENATE(Data!W1073," (",Data!V1073,")")</f>
        <v>Exceso Velocidad 40 Km/h (Velocidad máxima: 42 kmh)</v>
      </c>
      <c r="O1075" s="42" t="str">
        <f>IF(Data!V1073&lt;&gt;"",N1075,Data!W1073)</f>
        <v>Exceso Velocidad 40 Km/h (Velocidad máxima: 42 kmh)</v>
      </c>
      <c r="P1075" s="47" t="str">
        <f>Data!X1073</f>
        <v>Válido</v>
      </c>
    </row>
    <row r="1076" spans="1:16">
      <c r="A1076" s="41" t="str">
        <f>Data!A1074</f>
        <v>QLO286</v>
      </c>
      <c r="B1076" s="41" t="str">
        <f>Data!D1074</f>
        <v>Vehicle, Diesel, ECP 1107 Rubiales Serv. Integrales</v>
      </c>
      <c r="C1076" s="41">
        <f>Data!F1074</f>
        <v>0</v>
      </c>
      <c r="D1076" s="41">
        <f>Data!G1074</f>
        <v>0</v>
      </c>
      <c r="E1076" s="41">
        <f>Data!H1074</f>
        <v>0</v>
      </c>
      <c r="F1076" s="41">
        <f>Data!K1074</f>
        <v>0</v>
      </c>
      <c r="G1076" s="33" t="str">
        <f>Data!M1074</f>
        <v>Exceso Velocidad 40 Km/h</v>
      </c>
      <c r="H1076" s="41" t="str">
        <f>Data!P1074</f>
        <v>ECOPETROL RUBIALES- Quifa - CAÑO SUR: Rb 286 90, Puerto Gaitán, Meta, Colombia</v>
      </c>
      <c r="I1076" s="42" t="str">
        <f>Data!Q1074</f>
        <v>Cliente, Vel Max 40 Km/h</v>
      </c>
      <c r="J1076" s="43">
        <f>Data!S1074</f>
        <v>46174.498940972328</v>
      </c>
      <c r="K1076" s="44">
        <f>Data!S1074</f>
        <v>46174.498940972328</v>
      </c>
      <c r="L1076" s="45">
        <f>Data!T1074</f>
        <v>2.6041676666666664E-4</v>
      </c>
      <c r="M1076" s="46">
        <f>Data!U1074</f>
        <v>0.25404816865921021</v>
      </c>
      <c r="N1076" s="46" t="str">
        <f>CONCATENATE(Data!W1074," (",Data!V1074,")")</f>
        <v>Exceso Velocidad 40 Km/h (Velocidad máxima: 41 kmh)</v>
      </c>
      <c r="O1076" s="42" t="str">
        <f>IF(Data!V1074&lt;&gt;"",N1076,Data!W1074)</f>
        <v>Exceso Velocidad 40 Km/h (Velocidad máxima: 41 kmh)</v>
      </c>
      <c r="P1076" s="47" t="str">
        <f>Data!X1074</f>
        <v>Válido</v>
      </c>
    </row>
    <row r="1077" spans="1:16">
      <c r="A1077" s="41" t="str">
        <f>Data!A1075</f>
        <v>QLO286</v>
      </c>
      <c r="B1077" s="41" t="str">
        <f>Data!D1075</f>
        <v>Vehicle, Diesel, ECP 1107 Rubiales Serv. Integrales</v>
      </c>
      <c r="C1077" s="41">
        <f>Data!F1075</f>
        <v>0</v>
      </c>
      <c r="D1077" s="41">
        <f>Data!G1075</f>
        <v>0</v>
      </c>
      <c r="E1077" s="41">
        <f>Data!H1075</f>
        <v>0</v>
      </c>
      <c r="F1077" s="41">
        <f>Data!K1075</f>
        <v>0</v>
      </c>
      <c r="G1077" s="33" t="str">
        <f>Data!M1075</f>
        <v>Exceso Velocidad 40 Km/h</v>
      </c>
      <c r="H1077" s="41" t="str">
        <f>Data!P1075</f>
        <v>ECOPETROL RUBIALES- Quifa - CAÑO SUR: Rb 286 90, Puerto Gaitán, Meta, Colombia</v>
      </c>
      <c r="I1077" s="42" t="str">
        <f>Data!Q1075</f>
        <v>Cliente, Vel Max 40 Km/h</v>
      </c>
      <c r="J1077" s="43">
        <f>Data!S1075</f>
        <v>46174.499305555553</v>
      </c>
      <c r="K1077" s="44">
        <f>Data!S1075</f>
        <v>46174.499305555553</v>
      </c>
      <c r="L1077" s="45">
        <f>Data!T1075</f>
        <v>2.121875E-4</v>
      </c>
      <c r="M1077" s="46">
        <f>Data!U1075</f>
        <v>0.20776131749153137</v>
      </c>
      <c r="N1077" s="46" t="str">
        <f>CONCATENATE(Data!W1075," (",Data!V1075,")")</f>
        <v>Exceso Velocidad 40 Km/h (Velocidad máxima: 42 kmh)</v>
      </c>
      <c r="O1077" s="42" t="str">
        <f>IF(Data!V1075&lt;&gt;"",N1077,Data!W1075)</f>
        <v>Exceso Velocidad 40 Km/h (Velocidad máxima: 42 kmh)</v>
      </c>
      <c r="P1077" s="47" t="str">
        <f>Data!X1075</f>
        <v>Válido</v>
      </c>
    </row>
    <row r="1078" spans="1:16">
      <c r="A1078" s="41" t="str">
        <f>Data!A1076</f>
        <v>QLO286</v>
      </c>
      <c r="B1078" s="41" t="str">
        <f>Data!D1076</f>
        <v>Vehicle, Diesel, ECP 1107 Rubiales Serv. Integrales</v>
      </c>
      <c r="C1078" s="41">
        <f>Data!F1076</f>
        <v>0</v>
      </c>
      <c r="D1078" s="41">
        <f>Data!G1076</f>
        <v>0</v>
      </c>
      <c r="E1078" s="41">
        <f>Data!H1076</f>
        <v>0</v>
      </c>
      <c r="F1078" s="41">
        <f>Data!K1076</f>
        <v>0</v>
      </c>
      <c r="G1078" s="33" t="str">
        <f>Data!M1076</f>
        <v>Exceso Velocidad 40 Km/h</v>
      </c>
      <c r="H1078" s="41" t="str">
        <f>Data!P1076</f>
        <v>ECOPETROL RUBIALES- Quifa - CAÑO SUR: Rb 286 90, Puerto Gaitán, Meta, Colombia</v>
      </c>
      <c r="I1078" s="42" t="str">
        <f>Data!Q1076</f>
        <v>Cliente, Vel Max 40 Km/h</v>
      </c>
      <c r="J1078" s="43">
        <f>Data!S1076</f>
        <v>46174.499602627315</v>
      </c>
      <c r="K1078" s="44">
        <f>Data!S1076</f>
        <v>46174.499602627315</v>
      </c>
      <c r="L1078" s="45">
        <f>Data!T1076</f>
        <v>1.6357638888888889E-4</v>
      </c>
      <c r="M1078" s="46">
        <f>Data!U1076</f>
        <v>0.15732160210609436</v>
      </c>
      <c r="N1078" s="46" t="str">
        <f>CONCATENATE(Data!W1076," (",Data!V1076,")")</f>
        <v>Exceso Velocidad 40 Km/h (Velocidad máxima: 42 kmh)</v>
      </c>
      <c r="O1078" s="42" t="str">
        <f>IF(Data!V1076&lt;&gt;"",N1078,Data!W1076)</f>
        <v>Exceso Velocidad 40 Km/h (Velocidad máxima: 42 kmh)</v>
      </c>
      <c r="P1078" s="47" t="str">
        <f>Data!X1076</f>
        <v>Válido</v>
      </c>
    </row>
    <row r="1079" spans="1:16">
      <c r="A1079" s="41" t="str">
        <f>Data!A1077</f>
        <v>QLO286</v>
      </c>
      <c r="B1079" s="41" t="str">
        <f>Data!D1077</f>
        <v>Vehicle, Diesel, ECP 1107 Rubiales Serv. Integrales</v>
      </c>
      <c r="C1079" s="41">
        <f>Data!F1077</f>
        <v>0</v>
      </c>
      <c r="D1079" s="41">
        <f>Data!G1077</f>
        <v>0</v>
      </c>
      <c r="E1079" s="41">
        <f>Data!H1077</f>
        <v>0</v>
      </c>
      <c r="F1079" s="41">
        <f>Data!K1077</f>
        <v>0</v>
      </c>
      <c r="G1079" s="33" t="str">
        <f>Data!M1077</f>
        <v>Exceso Velocidad 40 Km/h</v>
      </c>
      <c r="H1079" s="41" t="str">
        <f>Data!P1077</f>
        <v>ECOPETROL RUBIALES- Quifa - CAÑO SUR: Piscina 06 05 04 02 03 08 Rb 92 352 293 287 239 291, Puerto Gaitán, Meta, Colombia</v>
      </c>
      <c r="I1079" s="42" t="str">
        <f>Data!Q1077</f>
        <v>Cliente, Vel Max 40 Km/h</v>
      </c>
      <c r="J1079" s="43">
        <f>Data!S1077</f>
        <v>46174.500028495371</v>
      </c>
      <c r="K1079" s="44">
        <f>Data!S1077</f>
        <v>46174.500028495371</v>
      </c>
      <c r="L1079" s="45">
        <f>Data!T1077</f>
        <v>4.5100694444444447E-4</v>
      </c>
      <c r="M1079" s="46">
        <f>Data!U1077</f>
        <v>0.45516559481620789</v>
      </c>
      <c r="N1079" s="46" t="str">
        <f>CONCATENATE(Data!W1077," (",Data!V1077,")")</f>
        <v>Exceso Velocidad 40 Km/h (Velocidad máxima: 44 kmh)</v>
      </c>
      <c r="O1079" s="42" t="str">
        <f>IF(Data!V1077&lt;&gt;"",N1079,Data!W1077)</f>
        <v>Exceso Velocidad 40 Km/h (Velocidad máxima: 44 kmh)</v>
      </c>
      <c r="P1079" s="47" t="str">
        <f>Data!X1077</f>
        <v>Válido</v>
      </c>
    </row>
    <row r="1080" spans="1:16">
      <c r="A1080" s="41" t="str">
        <f>Data!A1078</f>
        <v>QLO286</v>
      </c>
      <c r="B1080" s="41" t="str">
        <f>Data!D1078</f>
        <v>Vehicle, Diesel, ECP 1107 Rubiales Serv. Integrales</v>
      </c>
      <c r="C1080" s="41">
        <f>Data!F1078</f>
        <v>0</v>
      </c>
      <c r="D1080" s="41">
        <f>Data!G1078</f>
        <v>0</v>
      </c>
      <c r="E1080" s="41">
        <f>Data!H1078</f>
        <v>0</v>
      </c>
      <c r="F1080" s="41">
        <f>Data!K1078</f>
        <v>0</v>
      </c>
      <c r="G1080" s="33" t="str">
        <f>Data!M1078</f>
        <v>Exceso Velocidad 40 Km/h</v>
      </c>
      <c r="H1080" s="41" t="str">
        <f>Data!P1078</f>
        <v>ECOPETROL RUBIALES- Quifa - CAÑO SUR: Piscina 06 05 04 02 03 08 Rb 92 352 293 287 239 291, Puerto Gaitán, Meta, Colombia</v>
      </c>
      <c r="I1080" s="42" t="str">
        <f>Data!Q1078</f>
        <v>Cliente, Vel Max 40 Km/h</v>
      </c>
      <c r="J1080" s="43">
        <f>Data!S1078</f>
        <v>46174.500592592594</v>
      </c>
      <c r="K1080" s="44">
        <f>Data!S1078</f>
        <v>46174.500592592594</v>
      </c>
      <c r="L1080" s="45">
        <f>Data!T1078</f>
        <v>4.3584490740740742E-4</v>
      </c>
      <c r="M1080" s="46">
        <f>Data!U1078</f>
        <v>0.44769081473350525</v>
      </c>
      <c r="N1080" s="46" t="str">
        <f>CONCATENATE(Data!W1078," (",Data!V1078,")")</f>
        <v>Exceso Velocidad 40 Km/h (Velocidad máxima: 46 kmh)</v>
      </c>
      <c r="O1080" s="42" t="str">
        <f>IF(Data!V1078&lt;&gt;"",N1080,Data!W1078)</f>
        <v>Exceso Velocidad 40 Km/h (Velocidad máxima: 46 kmh)</v>
      </c>
      <c r="P1080" s="47" t="str">
        <f>Data!X1078</f>
        <v>Válido</v>
      </c>
    </row>
    <row r="1081" spans="1:16">
      <c r="A1081" s="41" t="str">
        <f>Data!A1079</f>
        <v>QLO286</v>
      </c>
      <c r="B1081" s="41" t="str">
        <f>Data!D1079</f>
        <v>Vehicle, Diesel, ECP 1107 Rubiales Serv. Integrales</v>
      </c>
      <c r="C1081" s="41">
        <f>Data!F1079</f>
        <v>0</v>
      </c>
      <c r="D1081" s="41">
        <f>Data!G1079</f>
        <v>0</v>
      </c>
      <c r="E1081" s="41">
        <f>Data!H1079</f>
        <v>0</v>
      </c>
      <c r="F1081" s="41">
        <f>Data!K1079</f>
        <v>0</v>
      </c>
      <c r="G1081" s="33" t="str">
        <f>Data!M1079</f>
        <v>Exceso Velocidad 40 Km/h</v>
      </c>
      <c r="H1081" s="41" t="str">
        <f>Data!P1079</f>
        <v>ECOPETROL RUBIALES- Quifa - CAÑO SUR: Rb 92, Puerto Gaitán, Meta, Colombia</v>
      </c>
      <c r="I1081" s="42" t="str">
        <f>Data!Q1079</f>
        <v>Cliente, Vel Max 40 Km/h</v>
      </c>
      <c r="J1081" s="43">
        <f>Data!S1079</f>
        <v>46174.501189236114</v>
      </c>
      <c r="K1081" s="44">
        <f>Data!S1079</f>
        <v>46174.501189236114</v>
      </c>
      <c r="L1081" s="45">
        <f>Data!T1079</f>
        <v>1.6400462962962961E-5</v>
      </c>
      <c r="M1081" s="46">
        <f>Data!U1079</f>
        <v>1.529829204082489E-2</v>
      </c>
      <c r="N1081" s="46" t="str">
        <f>CONCATENATE(Data!W1079," (",Data!V1079,")")</f>
        <v>Exceso Velocidad 40 Km/h (Velocidad máxima: 41 kmh)</v>
      </c>
      <c r="O1081" s="42" t="str">
        <f>IF(Data!V1079&lt;&gt;"",N1081,Data!W1079)</f>
        <v>Exceso Velocidad 40 Km/h (Velocidad máxima: 41 kmh)</v>
      </c>
      <c r="P1081" s="47" t="str">
        <f>Data!X1079</f>
        <v>Válido</v>
      </c>
    </row>
    <row r="1082" spans="1:16">
      <c r="A1082" s="41" t="str">
        <f>Data!A1080</f>
        <v>QLO286</v>
      </c>
      <c r="B1082" s="41" t="str">
        <f>Data!D1080</f>
        <v>Vehicle, Diesel, ECP 1107 Rubiales Serv. Integrales</v>
      </c>
      <c r="C1082" s="41">
        <f>Data!F1080</f>
        <v>0</v>
      </c>
      <c r="D1082" s="41">
        <f>Data!G1080</f>
        <v>0</v>
      </c>
      <c r="E1082" s="41">
        <f>Data!H1080</f>
        <v>0</v>
      </c>
      <c r="F1082" s="41">
        <f>Data!K1080</f>
        <v>0</v>
      </c>
      <c r="G1082" s="33" t="str">
        <f>Data!M1080</f>
        <v>Aceleración brusca (nuevo)</v>
      </c>
      <c r="H1082" s="41" t="str">
        <f>Data!P1080</f>
        <v>ECOPETROL RUBIALES- Quifa - CAÑO SUR: Rb 92, Puerto Gaitán, Meta, Colombia</v>
      </c>
      <c r="I1082" s="42" t="str">
        <f>Data!Q1080</f>
        <v>Cliente, Vel Max 40 Km/h</v>
      </c>
      <c r="J1082" s="43">
        <f>Data!S1080</f>
        <v>46174.506435185183</v>
      </c>
      <c r="K1082" s="44">
        <f>Data!S1080</f>
        <v>46174.506435185183</v>
      </c>
      <c r="L1082" s="45">
        <f>Data!T1080</f>
        <v>0</v>
      </c>
      <c r="M1082" s="46">
        <f>Data!U1080</f>
        <v>0</v>
      </c>
      <c r="N1082" s="46" t="str">
        <f>CONCATENATE(Data!W1080," (",Data!V1080,")")</f>
        <v>Aceleración brusca (nuevo) (Clase de vehículo para métricas de seguridad: Otra clase (no estandarizada), Velocidad máxima: 4 kmh,  Ignición: 1)</v>
      </c>
      <c r="O1082" s="42" t="str">
        <f>IF(Data!V1080&lt;&gt;"",N1082,Data!W1080)</f>
        <v>Aceleración brusca (nuevo) (Clase de vehículo para métricas de seguridad: Otra clase (no estandarizada), Velocidad máxima: 4 kmh,  Ignición: 1)</v>
      </c>
      <c r="P1082" s="47" t="str">
        <f>Data!X1080</f>
        <v>Válido</v>
      </c>
    </row>
    <row r="1083" spans="1:16">
      <c r="A1083" s="41" t="str">
        <f>Data!A1081</f>
        <v>QLO286</v>
      </c>
      <c r="B1083" s="41" t="str">
        <f>Data!D1081</f>
        <v>Vehicle, Diesel, ECP 1107 Rubiales Serv. Integrales</v>
      </c>
      <c r="C1083" s="41">
        <f>Data!F1081</f>
        <v>0</v>
      </c>
      <c r="D1083" s="41">
        <f>Data!G1081</f>
        <v>0</v>
      </c>
      <c r="E1083" s="41">
        <f>Data!H1081</f>
        <v>0</v>
      </c>
      <c r="F1083" s="41">
        <f>Data!K1081</f>
        <v>0</v>
      </c>
      <c r="G1083" s="33" t="str">
        <f>Data!M1081</f>
        <v>Aceleración brusca (nuevo)</v>
      </c>
      <c r="H1083" s="41" t="str">
        <f>Data!P1081</f>
        <v>ECOPETROL RUBIALES- Quifa - CAÑO SUR: Rb 92, Puerto Gaitán, Meta, Colombia</v>
      </c>
      <c r="I1083" s="42" t="str">
        <f>Data!Q1081</f>
        <v>Cliente, Vel Max 40 Km/h</v>
      </c>
      <c r="J1083" s="43">
        <f>Data!S1081</f>
        <v>46174.513368055559</v>
      </c>
      <c r="K1083" s="44">
        <f>Data!S1081</f>
        <v>46174.513368055559</v>
      </c>
      <c r="L1083" s="45">
        <f>Data!T1081</f>
        <v>0</v>
      </c>
      <c r="M1083" s="46">
        <f>Data!U1081</f>
        <v>0</v>
      </c>
      <c r="N1083" s="46" t="str">
        <f>CONCATENATE(Data!W1081," (",Data!V1081,")")</f>
        <v>Aceleración brusca (nuevo) (Clase de vehículo para métricas de seguridad: Otra clase (no estandarizada), Velocidad máxima: 4 kmh,  Ignición: 1)</v>
      </c>
      <c r="O1083" s="42" t="str">
        <f>IF(Data!V1081&lt;&gt;"",N1083,Data!W1081)</f>
        <v>Aceleración brusca (nuevo) (Clase de vehículo para métricas de seguridad: Otra clase (no estandarizada), Velocidad máxima: 4 kmh,  Ignición: 1)</v>
      </c>
      <c r="P1083" s="47" t="str">
        <f>Data!X1081</f>
        <v>Válido</v>
      </c>
    </row>
    <row r="1084" spans="1:16">
      <c r="A1084" s="41" t="str">
        <f>Data!A1082</f>
        <v>QLO286</v>
      </c>
      <c r="B1084" s="41" t="str">
        <f>Data!D1082</f>
        <v>Vehicle, Diesel, ECP 1107 Rubiales Serv. Integrales</v>
      </c>
      <c r="C1084" s="41">
        <f>Data!F1082</f>
        <v>0</v>
      </c>
      <c r="D1084" s="41">
        <f>Data!G1082</f>
        <v>0</v>
      </c>
      <c r="E1084" s="41">
        <f>Data!H1082</f>
        <v>0</v>
      </c>
      <c r="F1084" s="41">
        <f>Data!K1082</f>
        <v>0</v>
      </c>
      <c r="G1084" s="33" t="str">
        <f>Data!M1082</f>
        <v>Exceso Velocidad 40 Km/h</v>
      </c>
      <c r="H1084" s="41" t="str">
        <f>Data!P1082</f>
        <v>ECOPETROL RUBIALES- Quifa - CAÑO SUR: Piscina 06 05 04 02 03 08 Rb 352 293 287 239 291, Puerto Gaitán, Meta, Colombia</v>
      </c>
      <c r="I1084" s="42" t="str">
        <f>Data!Q1082</f>
        <v>Cliente, Vel Max 40 Km/h</v>
      </c>
      <c r="J1084" s="43">
        <f>Data!S1082</f>
        <v>46174.513871006944</v>
      </c>
      <c r="K1084" s="44">
        <f>Data!S1082</f>
        <v>46174.513871006944</v>
      </c>
      <c r="L1084" s="45">
        <f>Data!T1082</f>
        <v>1.2590277777777779E-4</v>
      </c>
      <c r="M1084" s="46">
        <f>Data!U1082</f>
        <v>0.12791456282138824</v>
      </c>
      <c r="N1084" s="46" t="str">
        <f>CONCATENATE(Data!W1082," (",Data!V1082,")")</f>
        <v>Exceso Velocidad 40 Km/h (Velocidad máxima: 44 kmh)</v>
      </c>
      <c r="O1084" s="42" t="str">
        <f>IF(Data!V1082&lt;&gt;"",N1084,Data!W1082)</f>
        <v>Exceso Velocidad 40 Km/h (Velocidad máxima: 44 kmh)</v>
      </c>
      <c r="P1084" s="47" t="str">
        <f>Data!X1082</f>
        <v>Válido</v>
      </c>
    </row>
    <row r="1085" spans="1:16">
      <c r="A1085" s="41" t="str">
        <f>Data!A1083</f>
        <v>QLO286</v>
      </c>
      <c r="B1085" s="41" t="str">
        <f>Data!D1083</f>
        <v>Vehicle, Diesel, ECP 1107 Rubiales Serv. Integrales</v>
      </c>
      <c r="C1085" s="41">
        <f>Data!F1083</f>
        <v>0</v>
      </c>
      <c r="D1085" s="41">
        <f>Data!G1083</f>
        <v>0</v>
      </c>
      <c r="E1085" s="41">
        <f>Data!H1083</f>
        <v>0</v>
      </c>
      <c r="F1085" s="41">
        <f>Data!K1083</f>
        <v>0</v>
      </c>
      <c r="G1085" s="33" t="str">
        <f>Data!M1083</f>
        <v>Exceso Velocidad 40 Km/h</v>
      </c>
      <c r="H1085" s="41" t="str">
        <f>Data!P1083</f>
        <v>ECOPETROL RUBIALES- Quifa - CAÑO SUR: Piscina 06 05 04 02 03 08 Rb 352 293 287 239 291, Puerto Gaitán, Meta, Colombia</v>
      </c>
      <c r="I1085" s="42" t="str">
        <f>Data!Q1083</f>
        <v>Cliente, Vel Max 40 Km/h</v>
      </c>
      <c r="J1085" s="43">
        <f>Data!S1083</f>
        <v>46174.514035497683</v>
      </c>
      <c r="K1085" s="44">
        <f>Data!S1083</f>
        <v>46174.514035497683</v>
      </c>
      <c r="L1085" s="45">
        <f>Data!T1083</f>
        <v>6.3319444444444447E-4</v>
      </c>
      <c r="M1085" s="46">
        <f>Data!U1083</f>
        <v>0.6677507758140564</v>
      </c>
      <c r="N1085" s="46" t="str">
        <f>CONCATENATE(Data!W1083," (",Data!V1083,")")</f>
        <v>Exceso Velocidad 40 Km/h (Velocidad máxima: 48 kmh)</v>
      </c>
      <c r="O1085" s="42" t="str">
        <f>IF(Data!V1083&lt;&gt;"",N1085,Data!W1083)</f>
        <v>Exceso Velocidad 40 Km/h (Velocidad máxima: 48 kmh)</v>
      </c>
      <c r="P1085" s="47" t="str">
        <f>Data!X1083</f>
        <v>Válido</v>
      </c>
    </row>
    <row r="1086" spans="1:16">
      <c r="A1086" s="41" t="str">
        <f>Data!A1084</f>
        <v>QLO286</v>
      </c>
      <c r="B1086" s="41" t="str">
        <f>Data!D1084</f>
        <v>Vehicle, Diesel, ECP 1107 Rubiales Serv. Integrales</v>
      </c>
      <c r="C1086" s="41">
        <f>Data!F1084</f>
        <v>0</v>
      </c>
      <c r="D1086" s="41">
        <f>Data!G1084</f>
        <v>0</v>
      </c>
      <c r="E1086" s="41">
        <f>Data!H1084</f>
        <v>0</v>
      </c>
      <c r="F1086" s="41">
        <f>Data!K1084</f>
        <v>0</v>
      </c>
      <c r="G1086" s="33" t="str">
        <f>Data!M1084</f>
        <v>Exceso Velocidad 40 Km/h</v>
      </c>
      <c r="H1086" s="41" t="str">
        <f>Data!P1084</f>
        <v>ECOPETROL RUBIALES- Quifa - CAÑO SUR: Rb 287 239 291, Puerto Gaitán, Meta, Colombia</v>
      </c>
      <c r="I1086" s="42" t="str">
        <f>Data!Q1084</f>
        <v>Cliente, Vel Max 40 Km/h</v>
      </c>
      <c r="J1086" s="43">
        <f>Data!S1084</f>
        <v>46174.515906631947</v>
      </c>
      <c r="K1086" s="44">
        <f>Data!S1084</f>
        <v>46174.515906631947</v>
      </c>
      <c r="L1086" s="45">
        <f>Data!T1084</f>
        <v>7.1377314814814819E-5</v>
      </c>
      <c r="M1086" s="46">
        <f>Data!U1084</f>
        <v>6.7719772458076477E-2</v>
      </c>
      <c r="N1086" s="46" t="str">
        <f>CONCATENATE(Data!W1084," (",Data!V1084,")")</f>
        <v>Exceso Velocidad 40 Km/h (Velocidad máxima: 41 kmh)</v>
      </c>
      <c r="O1086" s="42" t="str">
        <f>IF(Data!V1084&lt;&gt;"",N1086,Data!W1084)</f>
        <v>Exceso Velocidad 40 Km/h (Velocidad máxima: 41 kmh)</v>
      </c>
      <c r="P1086" s="47" t="str">
        <f>Data!X1084</f>
        <v>Válido</v>
      </c>
    </row>
    <row r="1087" spans="1:16">
      <c r="A1087" s="41" t="str">
        <f>Data!A1085</f>
        <v>QLO286</v>
      </c>
      <c r="B1087" s="41" t="str">
        <f>Data!D1085</f>
        <v>Vehicle, Diesel, ECP 1107 Rubiales Serv. Integrales</v>
      </c>
      <c r="C1087" s="41">
        <f>Data!F1085</f>
        <v>0</v>
      </c>
      <c r="D1087" s="41">
        <f>Data!G1085</f>
        <v>0</v>
      </c>
      <c r="E1087" s="41">
        <f>Data!H1085</f>
        <v>0</v>
      </c>
      <c r="F1087" s="41">
        <f>Data!K1085</f>
        <v>0</v>
      </c>
      <c r="G1087" s="33" t="str">
        <f>Data!M1085</f>
        <v>Exceso Velocidad 40 Km/h</v>
      </c>
      <c r="H1087" s="41" t="str">
        <f>Data!P1085</f>
        <v>ECOPETROL RUBIALES- Quifa - CAÑO SUR: Rb 287 239 291, Puerto Gaitán, Meta, Colombia</v>
      </c>
      <c r="I1087" s="42" t="str">
        <f>Data!Q1085</f>
        <v>Cliente, Vel Max 40 Km/h</v>
      </c>
      <c r="J1087" s="43">
        <f>Data!S1085</f>
        <v>46174.51666666667</v>
      </c>
      <c r="K1087" s="44">
        <f>Data!S1085</f>
        <v>46174.51666666667</v>
      </c>
      <c r="L1087" s="45">
        <f>Data!T1085</f>
        <v>1.6010416666666666E-4</v>
      </c>
      <c r="M1087" s="46">
        <f>Data!U1085</f>
        <v>0.14828576147556305</v>
      </c>
      <c r="N1087" s="46" t="str">
        <f>CONCATENATE(Data!W1085," (",Data!V1085,")")</f>
        <v>Exceso Velocidad 40 Km/h (Velocidad máxima: 41 kmh)</v>
      </c>
      <c r="O1087" s="42" t="str">
        <f>IF(Data!V1085&lt;&gt;"",N1087,Data!W1085)</f>
        <v>Exceso Velocidad 40 Km/h (Velocidad máxima: 41 kmh)</v>
      </c>
      <c r="P1087" s="47" t="str">
        <f>Data!X1085</f>
        <v>Válido</v>
      </c>
    </row>
    <row r="1088" spans="1:16">
      <c r="A1088" s="41" t="str">
        <f>Data!A1086</f>
        <v>QLO286</v>
      </c>
      <c r="B1088" s="41" t="str">
        <f>Data!D1086</f>
        <v>Vehicle, Diesel, ECP 1107 Rubiales Serv. Integrales</v>
      </c>
      <c r="C1088" s="41">
        <f>Data!F1086</f>
        <v>0</v>
      </c>
      <c r="D1088" s="41">
        <f>Data!G1086</f>
        <v>0</v>
      </c>
      <c r="E1088" s="41">
        <f>Data!H1086</f>
        <v>0</v>
      </c>
      <c r="F1088" s="41">
        <f>Data!K1086</f>
        <v>0</v>
      </c>
      <c r="G1088" s="33" t="str">
        <f>Data!M1086</f>
        <v>Exceso Velocidad 40 Km/h</v>
      </c>
      <c r="H1088" s="41" t="str">
        <f>Data!P1086</f>
        <v>ECOPETROL RUBIALES- Quifa - CAÑO SUR: Rb 239 291, Puerto Gaitán, Meta, Colombia</v>
      </c>
      <c r="I1088" s="42" t="str">
        <f>Data!Q1086</f>
        <v>Cliente, Vel Max 40 Km/h</v>
      </c>
      <c r="J1088" s="43">
        <f>Data!S1086</f>
        <v>46174.517299247687</v>
      </c>
      <c r="K1088" s="44">
        <f>Data!S1086</f>
        <v>46174.517299247687</v>
      </c>
      <c r="L1088" s="45">
        <f>Data!T1086</f>
        <v>5.0162037037037037E-5</v>
      </c>
      <c r="M1088" s="46">
        <f>Data!U1086</f>
        <v>4.6503681689500809E-2</v>
      </c>
      <c r="N1088" s="46" t="str">
        <f>CONCATENATE(Data!W1086," (",Data!V1086,")")</f>
        <v>Exceso Velocidad 40 Km/h (Velocidad máxima: 41 kmh)</v>
      </c>
      <c r="O1088" s="42" t="str">
        <f>IF(Data!V1086&lt;&gt;"",N1088,Data!W1086)</f>
        <v>Exceso Velocidad 40 Km/h (Velocidad máxima: 41 kmh)</v>
      </c>
      <c r="P1088" s="47" t="str">
        <f>Data!X1086</f>
        <v>Válido</v>
      </c>
    </row>
    <row r="1089" spans="1:16">
      <c r="A1089" s="41" t="str">
        <f>Data!A1087</f>
        <v>QLO286</v>
      </c>
      <c r="B1089" s="41" t="str">
        <f>Data!D1087</f>
        <v>Vehicle, Diesel, ECP 1107 Rubiales Serv. Integrales</v>
      </c>
      <c r="C1089" s="41">
        <f>Data!F1087</f>
        <v>0</v>
      </c>
      <c r="D1089" s="41">
        <f>Data!G1087</f>
        <v>0</v>
      </c>
      <c r="E1089" s="41">
        <f>Data!H1087</f>
        <v>0</v>
      </c>
      <c r="F1089" s="41">
        <f>Data!K1087</f>
        <v>0</v>
      </c>
      <c r="G1089" s="33" t="str">
        <f>Data!M1087</f>
        <v>Exceso Velocidad 40 Km/h</v>
      </c>
      <c r="H1089" s="41" t="str">
        <f>Data!P1087</f>
        <v>ECOPETROL RUBIALES- Quifa - CAÑO SUR: Rb 239 291, Puerto Gaitán, Meta, Colombia</v>
      </c>
      <c r="I1089" s="42" t="str">
        <f>Data!Q1087</f>
        <v>Cliente, Vel Max 40 Km/h</v>
      </c>
      <c r="J1089" s="43">
        <f>Data!S1087</f>
        <v>46174.517514467596</v>
      </c>
      <c r="K1089" s="44">
        <f>Data!S1087</f>
        <v>46174.517514467596</v>
      </c>
      <c r="L1089" s="45">
        <f>Data!T1087</f>
        <v>2.4016203703703705E-4</v>
      </c>
      <c r="M1089" s="46">
        <f>Data!U1087</f>
        <v>0.22847878932952881</v>
      </c>
      <c r="N1089" s="46" t="str">
        <f>CONCATENATE(Data!W1087," (",Data!V1087,")")</f>
        <v>Exceso Velocidad 40 Km/h (Velocidad máxima: 41 kmh)</v>
      </c>
      <c r="O1089" s="42" t="str">
        <f>IF(Data!V1087&lt;&gt;"",N1089,Data!W1087)</f>
        <v>Exceso Velocidad 40 Km/h (Velocidad máxima: 41 kmh)</v>
      </c>
      <c r="P1089" s="47" t="str">
        <f>Data!X1087</f>
        <v>Válido</v>
      </c>
    </row>
    <row r="1090" spans="1:16">
      <c r="A1090" s="41" t="str">
        <f>Data!A1088</f>
        <v>QLO286</v>
      </c>
      <c r="B1090" s="41" t="str">
        <f>Data!D1088</f>
        <v>Vehicle, Diesel, ECP 1107 Rubiales Serv. Integrales</v>
      </c>
      <c r="C1090" s="41">
        <f>Data!F1088</f>
        <v>0</v>
      </c>
      <c r="D1090" s="41">
        <f>Data!G1088</f>
        <v>0</v>
      </c>
      <c r="E1090" s="41">
        <f>Data!H1088</f>
        <v>0</v>
      </c>
      <c r="F1090" s="41">
        <f>Data!K1088</f>
        <v>0</v>
      </c>
      <c r="G1090" s="33" t="str">
        <f>Data!M1088</f>
        <v>Exceso Velocidad 40 Km/h</v>
      </c>
      <c r="H1090" s="41" t="str">
        <f>Data!P1088</f>
        <v>ECOPETROL RUBIALES- Quifa - CAÑO SUR: Piscina 06 05 04 02 03 08 Rb 352 293 287 239 291, Puerto Gaitán, Meta, Colombia</v>
      </c>
      <c r="I1090" s="42" t="str">
        <f>Data!Q1088</f>
        <v>Cliente, Vel Max 40 Km/h</v>
      </c>
      <c r="J1090" s="43">
        <f>Data!S1088</f>
        <v>46174.528329479166</v>
      </c>
      <c r="K1090" s="44">
        <f>Data!S1088</f>
        <v>46174.528329479166</v>
      </c>
      <c r="L1090" s="45">
        <f>Data!T1088</f>
        <v>7.3298611111111112E-5</v>
      </c>
      <c r="M1090" s="46">
        <f>Data!U1088</f>
        <v>6.9469615817070007E-2</v>
      </c>
      <c r="N1090" s="46" t="str">
        <f>CONCATENATE(Data!W1088," (",Data!V1088,")")</f>
        <v>Exceso Velocidad 40 Km/h (Velocidad máxima: 41 kmh)</v>
      </c>
      <c r="O1090" s="42" t="str">
        <f>IF(Data!V1088&lt;&gt;"",N1090,Data!W1088)</f>
        <v>Exceso Velocidad 40 Km/h (Velocidad máxima: 41 kmh)</v>
      </c>
      <c r="P1090" s="47" t="str">
        <f>Data!X1088</f>
        <v>Válido</v>
      </c>
    </row>
    <row r="1091" spans="1:16">
      <c r="A1091" s="41" t="str">
        <f>Data!A1089</f>
        <v>QLO286</v>
      </c>
      <c r="B1091" s="41" t="str">
        <f>Data!D1089</f>
        <v>Vehicle, Diesel, ECP 1107 Rubiales Serv. Integrales</v>
      </c>
      <c r="C1091" s="41">
        <f>Data!F1089</f>
        <v>0</v>
      </c>
      <c r="D1091" s="41">
        <f>Data!G1089</f>
        <v>0</v>
      </c>
      <c r="E1091" s="41">
        <f>Data!H1089</f>
        <v>0</v>
      </c>
      <c r="F1091" s="41">
        <f>Data!K1089</f>
        <v>0</v>
      </c>
      <c r="G1091" s="33" t="str">
        <f>Data!M1089</f>
        <v>Exceso Velocidad 40 Km/h</v>
      </c>
      <c r="H1091" s="41" t="str">
        <f>Data!P1089</f>
        <v>ECOPETROL RUBIALES- Quifa - CAÑO SUR: Piscina 06 05 04 02 03 08 Rb 352 293 287 239 291, Puerto Gaitán, Meta, Colombia</v>
      </c>
      <c r="I1091" s="42" t="str">
        <f>Data!Q1089</f>
        <v>Cliente, Vel Max 40 Km/h</v>
      </c>
      <c r="J1091" s="43">
        <f>Data!S1089</f>
        <v>46174.528715277775</v>
      </c>
      <c r="K1091" s="44">
        <f>Data!S1089</f>
        <v>46174.528715277775</v>
      </c>
      <c r="L1091" s="45">
        <f>Data!T1089</f>
        <v>2.121875E-4</v>
      </c>
      <c r="M1091" s="46">
        <f>Data!U1089</f>
        <v>0.2051081508398056</v>
      </c>
      <c r="N1091" s="46" t="str">
        <f>CONCATENATE(Data!W1089," (",Data!V1089,")")</f>
        <v>Exceso Velocidad 40 Km/h (Velocidad máxima: 42 kmh)</v>
      </c>
      <c r="O1091" s="42" t="str">
        <f>IF(Data!V1089&lt;&gt;"",N1091,Data!W1089)</f>
        <v>Exceso Velocidad 40 Km/h (Velocidad máxima: 42 kmh)</v>
      </c>
      <c r="P1091" s="47" t="str">
        <f>Data!X1089</f>
        <v>Válido</v>
      </c>
    </row>
    <row r="1092" spans="1:16">
      <c r="A1092" s="41" t="str">
        <f>Data!A1090</f>
        <v>QLO286</v>
      </c>
      <c r="B1092" s="41" t="str">
        <f>Data!D1090</f>
        <v>Vehicle, Diesel, ECP 1107 Rubiales Serv. Integrales</v>
      </c>
      <c r="C1092" s="41">
        <f>Data!F1090</f>
        <v>0</v>
      </c>
      <c r="D1092" s="41">
        <f>Data!G1090</f>
        <v>0</v>
      </c>
      <c r="E1092" s="41">
        <f>Data!H1090</f>
        <v>0</v>
      </c>
      <c r="F1092" s="41">
        <f>Data!K1090</f>
        <v>0</v>
      </c>
      <c r="G1092" s="33" t="str">
        <f>Data!M1090</f>
        <v>Exceso Velocidad 40 Km/h</v>
      </c>
      <c r="H1092" s="41" t="str">
        <f>Data!P1090</f>
        <v>ECOPETROL RUBIALES- Quifa - CAÑO SUR: Piscina 06 05 04 02 03 08 Rb 352 293 287 239 291, Puerto Gaitán, Meta, Colombia</v>
      </c>
      <c r="I1092" s="42" t="str">
        <f>Data!Q1090</f>
        <v>Cliente, Vel Max 40 Km/h</v>
      </c>
      <c r="J1092" s="43">
        <f>Data!S1090</f>
        <v>46174.528960648146</v>
      </c>
      <c r="K1092" s="44">
        <f>Data!S1090</f>
        <v>46174.528960648146</v>
      </c>
      <c r="L1092" s="45">
        <f>Data!T1090</f>
        <v>1.7361111111111112E-4</v>
      </c>
      <c r="M1092" s="46">
        <f>Data!U1090</f>
        <v>0.1734749972820282</v>
      </c>
      <c r="N1092" s="46" t="str">
        <f>CONCATENATE(Data!W1090," (",Data!V1090,")")</f>
        <v>Exceso Velocidad 40 Km/h (Velocidad máxima: 44 kmh)</v>
      </c>
      <c r="O1092" s="42" t="str">
        <f>IF(Data!V1090&lt;&gt;"",N1092,Data!W1090)</f>
        <v>Exceso Velocidad 40 Km/h (Velocidad máxima: 44 kmh)</v>
      </c>
      <c r="P1092" s="47" t="str">
        <f>Data!X1090</f>
        <v>Válido</v>
      </c>
    </row>
    <row r="1093" spans="1:16">
      <c r="A1093" s="41" t="str">
        <f>Data!A1091</f>
        <v>QLO286</v>
      </c>
      <c r="B1093" s="41" t="str">
        <f>Data!D1091</f>
        <v>Vehicle, Diesel, ECP 1107 Rubiales Serv. Integrales</v>
      </c>
      <c r="C1093" s="41">
        <f>Data!F1091</f>
        <v>0</v>
      </c>
      <c r="D1093" s="41">
        <f>Data!G1091</f>
        <v>0</v>
      </c>
      <c r="E1093" s="41">
        <f>Data!H1091</f>
        <v>0</v>
      </c>
      <c r="F1093" s="41">
        <f>Data!K1091</f>
        <v>0</v>
      </c>
      <c r="G1093" s="33" t="str">
        <f>Data!M1091</f>
        <v>Exceso Velocidad 40 Km/h</v>
      </c>
      <c r="H1093" s="41" t="str">
        <f>Data!P1091</f>
        <v>ECOPETROL RUBIALES- Quifa - CAÑO SUR: Piscina 06 05 04 02 03 08 Rb 92 352 293 287 239 291, Puerto Gaitán, Meta, Colombia</v>
      </c>
      <c r="I1093" s="42" t="str">
        <f>Data!Q1091</f>
        <v>Cliente, Vel Max 40 Km/h</v>
      </c>
      <c r="J1093" s="43">
        <f>Data!S1091</f>
        <v>46174.529229502317</v>
      </c>
      <c r="K1093" s="44">
        <f>Data!S1091</f>
        <v>46174.529229502317</v>
      </c>
      <c r="L1093" s="45">
        <f>Data!T1091</f>
        <v>3.5576388888888892E-4</v>
      </c>
      <c r="M1093" s="46">
        <f>Data!U1091</f>
        <v>0.35464853048324585</v>
      </c>
      <c r="N1093" s="46" t="str">
        <f>CONCATENATE(Data!W1091," (",Data!V1091,")")</f>
        <v>Exceso Velocidad 40 Km/h (Velocidad máxima: 44 kmh)</v>
      </c>
      <c r="O1093" s="42" t="str">
        <f>IF(Data!V1091&lt;&gt;"",N1093,Data!W1091)</f>
        <v>Exceso Velocidad 40 Km/h (Velocidad máxima: 44 kmh)</v>
      </c>
      <c r="P1093" s="47" t="str">
        <f>Data!X1091</f>
        <v>Válido</v>
      </c>
    </row>
    <row r="1094" spans="1:16">
      <c r="A1094" s="41" t="str">
        <f>Data!A1092</f>
        <v>QLO286</v>
      </c>
      <c r="B1094" s="41" t="str">
        <f>Data!D1092</f>
        <v>Vehicle, Diesel, ECP 1107 Rubiales Serv. Integrales</v>
      </c>
      <c r="C1094" s="41">
        <f>Data!F1092</f>
        <v>0</v>
      </c>
      <c r="D1094" s="41">
        <f>Data!G1092</f>
        <v>0</v>
      </c>
      <c r="E1094" s="41">
        <f>Data!H1092</f>
        <v>0</v>
      </c>
      <c r="F1094" s="41">
        <f>Data!K1092</f>
        <v>0</v>
      </c>
      <c r="G1094" s="33" t="str">
        <f>Data!M1092</f>
        <v>Exceso Velocidad 40 Km/h</v>
      </c>
      <c r="H1094" s="41" t="str">
        <f>Data!P1092</f>
        <v>ECOPETROL RUBIALES- Quifa - CAÑO SUR: Piscina 06 05 04 02 03 08 Rb 92 352 293 287 239 291, Puerto Gaitán, Meta, Colombia</v>
      </c>
      <c r="I1094" s="42" t="str">
        <f>Data!Q1092</f>
        <v>Cliente, Vel Max 40 Km/h</v>
      </c>
      <c r="J1094" s="43">
        <f>Data!S1092</f>
        <v>46174.529803240737</v>
      </c>
      <c r="K1094" s="44">
        <f>Data!S1092</f>
        <v>46174.529803240737</v>
      </c>
      <c r="L1094" s="45">
        <f>Data!T1092</f>
        <v>7.3184027777777776E-4</v>
      </c>
      <c r="M1094" s="46">
        <f>Data!U1092</f>
        <v>0.72499346733093262</v>
      </c>
      <c r="N1094" s="46" t="str">
        <f>CONCATENATE(Data!W1092," (",Data!V1092,")")</f>
        <v>Exceso Velocidad 40 Km/h (Velocidad máxima: 44 kmh)</v>
      </c>
      <c r="O1094" s="42" t="str">
        <f>IF(Data!V1092&lt;&gt;"",N1094,Data!W1092)</f>
        <v>Exceso Velocidad 40 Km/h (Velocidad máxima: 44 kmh)</v>
      </c>
      <c r="P1094" s="47" t="str">
        <f>Data!X1092</f>
        <v>Válido</v>
      </c>
    </row>
    <row r="1095" spans="1:16">
      <c r="A1095" s="41" t="str">
        <f>Data!A1093</f>
        <v>QLO286</v>
      </c>
      <c r="B1095" s="41" t="str">
        <f>Data!D1093</f>
        <v>Vehicle, Diesel, ECP 1107 Rubiales Serv. Integrales</v>
      </c>
      <c r="C1095" s="41">
        <f>Data!F1093</f>
        <v>0</v>
      </c>
      <c r="D1095" s="41">
        <f>Data!G1093</f>
        <v>0</v>
      </c>
      <c r="E1095" s="41">
        <f>Data!H1093</f>
        <v>0</v>
      </c>
      <c r="F1095" s="41">
        <f>Data!K1093</f>
        <v>0</v>
      </c>
      <c r="G1095" s="33" t="str">
        <f>Data!M1093</f>
        <v>Exceso Velocidad 40 Km/h</v>
      </c>
      <c r="H1095" s="41" t="str">
        <f>Data!P1093</f>
        <v>ECOPETROL RUBIALES- Quifa - CAÑO SUR: Cluster 41 Rb 111 Pco 13, Puerto Gaitán, Meta, Colombia</v>
      </c>
      <c r="I1095" s="42" t="str">
        <f>Data!Q1093</f>
        <v>Cliente, Vel Max 40 Km/h</v>
      </c>
      <c r="J1095" s="43">
        <f>Data!S1093</f>
        <v>46174.530735775465</v>
      </c>
      <c r="K1095" s="44">
        <f>Data!S1093</f>
        <v>46174.530735775465</v>
      </c>
      <c r="L1095" s="45">
        <f>Data!T1093</f>
        <v>1.8436342592592593E-4</v>
      </c>
      <c r="M1095" s="46">
        <f>Data!U1093</f>
        <v>0.17818373441696167</v>
      </c>
      <c r="N1095" s="46" t="str">
        <f>CONCATENATE(Data!W1093," (",Data!V1093,")")</f>
        <v>Exceso Velocidad 40 Km/h (Velocidad máxima: 42 kmh)</v>
      </c>
      <c r="O1095" s="42" t="str">
        <f>IF(Data!V1093&lt;&gt;"",N1095,Data!W1093)</f>
        <v>Exceso Velocidad 40 Km/h (Velocidad máxima: 42 kmh)</v>
      </c>
      <c r="P1095" s="47" t="str">
        <f>Data!X1093</f>
        <v>Válido</v>
      </c>
    </row>
    <row r="1096" spans="1:16">
      <c r="A1096" s="41" t="str">
        <f>Data!A1094</f>
        <v>QLO286</v>
      </c>
      <c r="B1096" s="41" t="str">
        <f>Data!D1094</f>
        <v>Vehicle, Diesel, ECP 1107 Rubiales Serv. Integrales</v>
      </c>
      <c r="C1096" s="41">
        <f>Data!F1094</f>
        <v>0</v>
      </c>
      <c r="D1096" s="41">
        <f>Data!G1094</f>
        <v>0</v>
      </c>
      <c r="E1096" s="41">
        <f>Data!H1094</f>
        <v>0</v>
      </c>
      <c r="F1096" s="41">
        <f>Data!K1094</f>
        <v>0</v>
      </c>
      <c r="G1096" s="33" t="str">
        <f>Data!M1094</f>
        <v>Exceso Velocidad 40 Km/h</v>
      </c>
      <c r="H1096" s="41" t="str">
        <f>Data!P1094</f>
        <v>ECOPETROL RUBIALES- Quifa - CAÑO SUR: Cluster 41 Rb 111 Pco 13, Puerto Gaitán, Meta, Colombia</v>
      </c>
      <c r="I1096" s="42" t="str">
        <f>Data!Q1094</f>
        <v>Cliente, Vel Max 40 Km/h</v>
      </c>
      <c r="J1096" s="43">
        <f>Data!S1094</f>
        <v>46174.530968368053</v>
      </c>
      <c r="K1096" s="44">
        <f>Data!S1094</f>
        <v>46174.530968368053</v>
      </c>
      <c r="L1096" s="45">
        <f>Data!T1094</f>
        <v>7.0983796296296298E-5</v>
      </c>
      <c r="M1096" s="46">
        <f>Data!U1094</f>
        <v>6.8040579557418823E-2</v>
      </c>
      <c r="N1096" s="46" t="str">
        <f>CONCATENATE(Data!W1094," (",Data!V1094,")")</f>
        <v>Exceso Velocidad 40 Km/h (Velocidad máxima: 42 kmh)</v>
      </c>
      <c r="O1096" s="42" t="str">
        <f>IF(Data!V1094&lt;&gt;"",N1096,Data!W1094)</f>
        <v>Exceso Velocidad 40 Km/h (Velocidad máxima: 42 kmh)</v>
      </c>
      <c r="P1096" s="47" t="str">
        <f>Data!X1094</f>
        <v>Válido</v>
      </c>
    </row>
    <row r="1097" spans="1:16">
      <c r="A1097" s="41" t="str">
        <f>Data!A1095</f>
        <v>QLO286</v>
      </c>
      <c r="B1097" s="41" t="str">
        <f>Data!D1095</f>
        <v>Vehicle, Diesel, ECP 1107 Rubiales Serv. Integrales</v>
      </c>
      <c r="C1097" s="41">
        <f>Data!F1095</f>
        <v>0</v>
      </c>
      <c r="D1097" s="41">
        <f>Data!G1095</f>
        <v>0</v>
      </c>
      <c r="E1097" s="41">
        <f>Data!H1095</f>
        <v>0</v>
      </c>
      <c r="F1097" s="41">
        <f>Data!K1095</f>
        <v>0</v>
      </c>
      <c r="G1097" s="33" t="str">
        <f>Data!M1095</f>
        <v>Exceso Velocidad 40 Km/h</v>
      </c>
      <c r="H1097" s="41" t="str">
        <f>Data!P1095</f>
        <v>ECOPETROL RUBIALES- Quifa - CAÑO SUR: Cluster 41, Puerto Gaitán, Meta, Colombia</v>
      </c>
      <c r="I1097" s="42" t="str">
        <f>Data!Q1095</f>
        <v>Cliente, Vel Max 40 Km/h</v>
      </c>
      <c r="J1097" s="43">
        <f>Data!S1095</f>
        <v>46174.537065972327</v>
      </c>
      <c r="K1097" s="44">
        <f>Data!S1095</f>
        <v>46174.537065972327</v>
      </c>
      <c r="L1097" s="45">
        <f>Data!T1095</f>
        <v>1.0003472222222222E-4</v>
      </c>
      <c r="M1097" s="46">
        <f>Data!U1095</f>
        <v>9.9797286093235016E-2</v>
      </c>
      <c r="N1097" s="46" t="str">
        <f>CONCATENATE(Data!W1095," (",Data!V1095,")")</f>
        <v>Exceso Velocidad 40 Km/h (Velocidad máxima: 42 kmh)</v>
      </c>
      <c r="O1097" s="42" t="str">
        <f>IF(Data!V1095&lt;&gt;"",N1097,Data!W1095)</f>
        <v>Exceso Velocidad 40 Km/h (Velocidad máxima: 42 kmh)</v>
      </c>
      <c r="P1097" s="47" t="str">
        <f>Data!X1095</f>
        <v>Válido</v>
      </c>
    </row>
    <row r="1098" spans="1:16">
      <c r="A1098" s="41" t="str">
        <f>Data!A1096</f>
        <v>QLO286</v>
      </c>
      <c r="B1098" s="41" t="str">
        <f>Data!D1096</f>
        <v>Vehicle, Diesel, ECP 1107 Rubiales Serv. Integrales</v>
      </c>
      <c r="C1098" s="41">
        <f>Data!F1096</f>
        <v>0</v>
      </c>
      <c r="D1098" s="41">
        <f>Data!G1096</f>
        <v>0</v>
      </c>
      <c r="E1098" s="41">
        <f>Data!H1096</f>
        <v>0</v>
      </c>
      <c r="F1098" s="41">
        <f>Data!K1096</f>
        <v>0</v>
      </c>
      <c r="G1098" s="33" t="str">
        <f>Data!M1096</f>
        <v>Exceso Velocidad 40 Km/h</v>
      </c>
      <c r="H1098" s="41" t="str">
        <f>Data!P1096</f>
        <v>ECOPETROL RUBIALES- Quifa - CAÑO SUR: Cluster 41, Puerto Gaitán, Meta, Colombia</v>
      </c>
      <c r="I1098" s="42" t="str">
        <f>Data!Q1096</f>
        <v>Cliente, Vel Max 40 Km/h</v>
      </c>
      <c r="J1098" s="43">
        <f>Data!S1096</f>
        <v>46174.540405092594</v>
      </c>
      <c r="K1098" s="44">
        <f>Data!S1096</f>
        <v>46174.540405092594</v>
      </c>
      <c r="L1098" s="45">
        <f>Data!T1096</f>
        <v>4.0069444444444442E-5</v>
      </c>
      <c r="M1098" s="46">
        <f>Data!U1096</f>
        <v>3.7808045744895935E-2</v>
      </c>
      <c r="N1098" s="46" t="str">
        <f>CONCATENATE(Data!W1096," (",Data!V1096,")")</f>
        <v>Exceso Velocidad 40 Km/h (Velocidad máxima: 41 kmh)</v>
      </c>
      <c r="O1098" s="42" t="str">
        <f>IF(Data!V1096&lt;&gt;"",N1098,Data!W1096)</f>
        <v>Exceso Velocidad 40 Km/h (Velocidad máxima: 41 kmh)</v>
      </c>
      <c r="P1098" s="47" t="str">
        <f>Data!X1096</f>
        <v>Válido</v>
      </c>
    </row>
    <row r="1099" spans="1:16">
      <c r="A1099" s="41" t="str">
        <f>Data!A1097</f>
        <v>QLO286</v>
      </c>
      <c r="B1099" s="41" t="str">
        <f>Data!D1097</f>
        <v>Vehicle, Diesel, ECP 1107 Rubiales Serv. Integrales</v>
      </c>
      <c r="C1099" s="41">
        <f>Data!F1097</f>
        <v>0</v>
      </c>
      <c r="D1099" s="41">
        <f>Data!G1097</f>
        <v>0</v>
      </c>
      <c r="E1099" s="41">
        <f>Data!H1097</f>
        <v>0</v>
      </c>
      <c r="F1099" s="41">
        <f>Data!K1097</f>
        <v>0</v>
      </c>
      <c r="G1099" s="33" t="str">
        <f>Data!M1097</f>
        <v>Exceso Velocidad 40 Km/h</v>
      </c>
      <c r="H1099" s="41" t="str">
        <f>Data!P1097</f>
        <v>ECOPETROL RUBIALES- Quifa - CAÑO SUR: Rb 111 Pco 13, Puerto Gaitán, Meta, Colombia</v>
      </c>
      <c r="I1099" s="42" t="str">
        <f>Data!Q1097</f>
        <v>Cliente, Vel Max 40 Km/h</v>
      </c>
      <c r="J1099" s="43">
        <f>Data!S1097</f>
        <v>46174.540659722225</v>
      </c>
      <c r="K1099" s="44">
        <f>Data!S1097</f>
        <v>46174.540659722225</v>
      </c>
      <c r="L1099" s="45">
        <f>Data!T1097</f>
        <v>1.7691782407407407E-3</v>
      </c>
      <c r="M1099" s="46">
        <f>Data!U1097</f>
        <v>1.8419663906097412</v>
      </c>
      <c r="N1099" s="46" t="str">
        <f>CONCATENATE(Data!W1097," (",Data!V1097,")")</f>
        <v>Exceso Velocidad 40 Km/h (Velocidad máxima: 46 kmh)</v>
      </c>
      <c r="O1099" s="42" t="str">
        <f>IF(Data!V1097&lt;&gt;"",N1099,Data!W1097)</f>
        <v>Exceso Velocidad 40 Km/h (Velocidad máxima: 46 kmh)</v>
      </c>
      <c r="P1099" s="47" t="str">
        <f>Data!X1097</f>
        <v>Válido</v>
      </c>
    </row>
    <row r="1100" spans="1:16">
      <c r="A1100" s="41" t="str">
        <f>Data!A1098</f>
        <v>QLO286</v>
      </c>
      <c r="B1100" s="41" t="str">
        <f>Data!D1098</f>
        <v>Vehicle, Diesel, ECP 1107 Rubiales Serv. Integrales</v>
      </c>
      <c r="C1100" s="41">
        <f>Data!F1098</f>
        <v>0</v>
      </c>
      <c r="D1100" s="41">
        <f>Data!G1098</f>
        <v>0</v>
      </c>
      <c r="E1100" s="41">
        <f>Data!H1098</f>
        <v>0</v>
      </c>
      <c r="F1100" s="41">
        <f>Data!K1098</f>
        <v>0</v>
      </c>
      <c r="G1100" s="33" t="str">
        <f>Data!M1098</f>
        <v>Exceso Velocidad 40 Km/h</v>
      </c>
      <c r="H1100" s="41" t="str">
        <f>Data!P1098</f>
        <v>ECOPETROL RUBIALES- Quifa - CAÑO SUR: Rb 111 Pco 13, Puerto Gaitán, Meta, Colombia</v>
      </c>
      <c r="I1100" s="42" t="str">
        <f>Data!Q1098</f>
        <v>Cliente, Vel Max 40 Km/h</v>
      </c>
      <c r="J1100" s="43">
        <f>Data!S1098</f>
        <v>46174.54251929398</v>
      </c>
      <c r="K1100" s="44">
        <f>Data!S1098</f>
        <v>46174.54251929398</v>
      </c>
      <c r="L1100" s="45">
        <f>Data!T1098</f>
        <v>1.542824074074074E-5</v>
      </c>
      <c r="M1100" s="46">
        <f>Data!U1098</f>
        <v>1.4123622328042984E-2</v>
      </c>
      <c r="N1100" s="46" t="str">
        <f>CONCATENATE(Data!W1098," (",Data!V1098,")")</f>
        <v>Exceso Velocidad 40 Km/h (Velocidad máxima: 41 kmh)</v>
      </c>
      <c r="O1100" s="42" t="str">
        <f>IF(Data!V1098&lt;&gt;"",N1100,Data!W1098)</f>
        <v>Exceso Velocidad 40 Km/h (Velocidad máxima: 41 kmh)</v>
      </c>
      <c r="P1100" s="47" t="str">
        <f>Data!X1098</f>
        <v>Válido</v>
      </c>
    </row>
    <row r="1101" spans="1:16">
      <c r="A1101" s="41" t="str">
        <f>Data!A1099</f>
        <v>QLO286</v>
      </c>
      <c r="B1101" s="41" t="str">
        <f>Data!D1099</f>
        <v>Vehicle, Diesel, ECP 1107 Rubiales Serv. Integrales</v>
      </c>
      <c r="C1101" s="41">
        <f>Data!F1099</f>
        <v>0</v>
      </c>
      <c r="D1101" s="41">
        <f>Data!G1099</f>
        <v>0</v>
      </c>
      <c r="E1101" s="41">
        <f>Data!H1099</f>
        <v>0</v>
      </c>
      <c r="F1101" s="41">
        <f>Data!K1099</f>
        <v>0</v>
      </c>
      <c r="G1101" s="33" t="str">
        <f>Data!M1099</f>
        <v>Exceso Velocidad 40 Km/h</v>
      </c>
      <c r="H1101" s="41" t="str">
        <f>Data!P1099</f>
        <v>ECOPETROL RUBIALES- Quifa - CAÑO SUR: Rb 111 Pco 13, Puerto Gaitán, Meta, Colombia</v>
      </c>
      <c r="I1101" s="42" t="str">
        <f>Data!Q1099</f>
        <v>Cliente, Vel Max 40 Km/h</v>
      </c>
      <c r="J1101" s="43">
        <f>Data!S1099</f>
        <v>46174.542604166665</v>
      </c>
      <c r="K1101" s="44">
        <f>Data!S1099</f>
        <v>46174.542604166665</v>
      </c>
      <c r="L1101" s="45">
        <f>Data!T1099</f>
        <v>2.0061342592592592E-4</v>
      </c>
      <c r="M1101" s="46">
        <f>Data!U1099</f>
        <v>0.20226427912712097</v>
      </c>
      <c r="N1101" s="46" t="str">
        <f>CONCATENATE(Data!W1099," (",Data!V1099,")")</f>
        <v>Exceso Velocidad 40 Km/h (Velocidad máxima: 42 kmh)</v>
      </c>
      <c r="O1101" s="42" t="str">
        <f>IF(Data!V1099&lt;&gt;"",N1101,Data!W1099)</f>
        <v>Exceso Velocidad 40 Km/h (Velocidad máxima: 42 kmh)</v>
      </c>
      <c r="P1101" s="47" t="str">
        <f>Data!X1099</f>
        <v>Válido</v>
      </c>
    </row>
    <row r="1102" spans="1:16">
      <c r="A1102" s="41" t="str">
        <f>Data!A1100</f>
        <v>QLO286</v>
      </c>
      <c r="B1102" s="41" t="str">
        <f>Data!D1100</f>
        <v>Vehicle, Diesel, ECP 1107 Rubiales Serv. Integrales</v>
      </c>
      <c r="C1102" s="41">
        <f>Data!F1100</f>
        <v>0</v>
      </c>
      <c r="D1102" s="41">
        <f>Data!G1100</f>
        <v>0</v>
      </c>
      <c r="E1102" s="41">
        <f>Data!H1100</f>
        <v>0</v>
      </c>
      <c r="F1102" s="41">
        <f>Data!K1100</f>
        <v>0</v>
      </c>
      <c r="G1102" s="33" t="str">
        <f>Data!M1100</f>
        <v>Exceso Velocidad 40 Km/h</v>
      </c>
      <c r="H1102" s="41" t="str">
        <f>Data!P1100</f>
        <v>ECOPETROL RUBIALES- Quifa - CAÑO SUR: Rb 111 Pco 13, Puerto Gaitán, Meta, Colombia</v>
      </c>
      <c r="I1102" s="42" t="str">
        <f>Data!Q1100</f>
        <v>Cliente, Vel Max 40 Km/h</v>
      </c>
      <c r="J1102" s="43">
        <f>Data!S1100</f>
        <v>46174.542928240742</v>
      </c>
      <c r="K1102" s="44">
        <f>Data!S1100</f>
        <v>46174.542928240742</v>
      </c>
      <c r="L1102" s="45">
        <f>Data!T1100</f>
        <v>3.0753472222222223E-4</v>
      </c>
      <c r="M1102" s="46">
        <f>Data!U1100</f>
        <v>0.31366854906082153</v>
      </c>
      <c r="N1102" s="46" t="str">
        <f>CONCATENATE(Data!W1100," (",Data!V1100,")")</f>
        <v>Exceso Velocidad 40 Km/h (Velocidad máxima: 46 kmh)</v>
      </c>
      <c r="O1102" s="42" t="str">
        <f>IF(Data!V1100&lt;&gt;"",N1102,Data!W1100)</f>
        <v>Exceso Velocidad 40 Km/h (Velocidad máxima: 46 kmh)</v>
      </c>
      <c r="P1102" s="47" t="str">
        <f>Data!X1100</f>
        <v>Válido</v>
      </c>
    </row>
    <row r="1103" spans="1:16">
      <c r="A1103" s="41" t="str">
        <f>Data!A1101</f>
        <v>QLO286</v>
      </c>
      <c r="B1103" s="41" t="str">
        <f>Data!D1101</f>
        <v>Vehicle, Diesel, ECP 1107 Rubiales Serv. Integrales</v>
      </c>
      <c r="C1103" s="41">
        <f>Data!F1101</f>
        <v>0</v>
      </c>
      <c r="D1103" s="41">
        <f>Data!G1101</f>
        <v>0</v>
      </c>
      <c r="E1103" s="41">
        <f>Data!H1101</f>
        <v>0</v>
      </c>
      <c r="F1103" s="41">
        <f>Data!K1101</f>
        <v>0</v>
      </c>
      <c r="G1103" s="33" t="str">
        <f>Data!M1101</f>
        <v>Exceso Velocidad 40 Km/h</v>
      </c>
      <c r="H1103" s="41" t="str">
        <f>Data!P1101</f>
        <v>ECOPETROL RUBIALES- Quifa - CAÑO SUR: Rb 111 Pco 13, Puerto Gaitán, Meta, Colombia</v>
      </c>
      <c r="I1103" s="42" t="str">
        <f>Data!Q1101</f>
        <v>Cliente, Vel Max 40 Km/h</v>
      </c>
      <c r="J1103" s="43">
        <f>Data!S1101</f>
        <v>46174.543279317128</v>
      </c>
      <c r="K1103" s="44">
        <f>Data!S1101</f>
        <v>46174.543279317128</v>
      </c>
      <c r="L1103" s="45">
        <f>Data!T1101</f>
        <v>4.4092592592592594E-4</v>
      </c>
      <c r="M1103" s="46">
        <f>Data!U1101</f>
        <v>0.44439795613288879</v>
      </c>
      <c r="N1103" s="46" t="str">
        <f>CONCATENATE(Data!W1101," (",Data!V1101,")")</f>
        <v>Exceso Velocidad 40 Km/h (Velocidad máxima: 44 kmh)</v>
      </c>
      <c r="O1103" s="42" t="str">
        <f>IF(Data!V1101&lt;&gt;"",N1103,Data!W1101)</f>
        <v>Exceso Velocidad 40 Km/h (Velocidad máxima: 44 kmh)</v>
      </c>
      <c r="P1103" s="47" t="str">
        <f>Data!X1101</f>
        <v>Válido</v>
      </c>
    </row>
    <row r="1104" spans="1:16">
      <c r="A1104" s="41" t="str">
        <f>Data!A1102</f>
        <v>QLO286</v>
      </c>
      <c r="B1104" s="41" t="str">
        <f>Data!D1102</f>
        <v>Vehicle, Diesel, ECP 1107 Rubiales Serv. Integrales</v>
      </c>
      <c r="C1104" s="41">
        <f>Data!F1102</f>
        <v>0</v>
      </c>
      <c r="D1104" s="41">
        <f>Data!G1102</f>
        <v>0</v>
      </c>
      <c r="E1104" s="41">
        <f>Data!H1102</f>
        <v>0</v>
      </c>
      <c r="F1104" s="41">
        <f>Data!K1102</f>
        <v>0</v>
      </c>
      <c r="G1104" s="33" t="str">
        <f>Data!M1102</f>
        <v>Aceleración brusca (nuevo)</v>
      </c>
      <c r="H1104" s="41" t="str">
        <f>Data!P1102</f>
        <v>ECOPETROL RUBIALES- Quifa - CAÑO SUR: Rb 111 Pco 13, Puerto Gaitán, Meta, Colombia</v>
      </c>
      <c r="I1104" s="42" t="str">
        <f>Data!Q1102</f>
        <v>Cliente, Vel Max 40 Km/h</v>
      </c>
      <c r="J1104" s="43">
        <f>Data!S1102</f>
        <v>46174.54515046296</v>
      </c>
      <c r="K1104" s="44">
        <f>Data!S1102</f>
        <v>46174.54515046296</v>
      </c>
      <c r="L1104" s="45">
        <f>Data!T1102</f>
        <v>0</v>
      </c>
      <c r="M1104" s="46">
        <f>Data!U1102</f>
        <v>0</v>
      </c>
      <c r="N1104" s="46" t="str">
        <f>CONCATENATE(Data!W1102," (",Data!V1102,")")</f>
        <v>Aceleración brusca (nuevo) (Clase de vehículo para métricas de seguridad: Otra clase (no estandarizada), Velocidad máxima: 6 kmh,  Ignición: 1)</v>
      </c>
      <c r="O1104" s="42" t="str">
        <f>IF(Data!V1102&lt;&gt;"",N1104,Data!W1102)</f>
        <v>Aceleración brusca (nuevo) (Clase de vehículo para métricas de seguridad: Otra clase (no estandarizada), Velocidad máxima: 6 kmh,  Ignición: 1)</v>
      </c>
      <c r="P1104" s="47" t="str">
        <f>Data!X1102</f>
        <v>Válido</v>
      </c>
    </row>
    <row r="1105" spans="1:16">
      <c r="A1105" s="41" t="str">
        <f>Data!A1103</f>
        <v>QLO286</v>
      </c>
      <c r="B1105" s="41" t="str">
        <f>Data!D1103</f>
        <v>Vehicle, Diesel, ECP 1107 Rubiales Serv. Integrales</v>
      </c>
      <c r="C1105" s="41">
        <f>Data!F1103</f>
        <v>0</v>
      </c>
      <c r="D1105" s="41">
        <f>Data!G1103</f>
        <v>0</v>
      </c>
      <c r="E1105" s="41">
        <f>Data!H1103</f>
        <v>0</v>
      </c>
      <c r="F1105" s="41">
        <f>Data!K1103</f>
        <v>0</v>
      </c>
      <c r="G1105" s="33" t="str">
        <f>Data!M1103</f>
        <v>Exceso Velocidad 40 Km/h</v>
      </c>
      <c r="H1105" s="41" t="str">
        <f>Data!P1103</f>
        <v>ECOPETROL RUBIALES- Quifa - CAÑO SUR: Rb 111 Pco 13, Puerto Gaitán, Meta, Colombia</v>
      </c>
      <c r="I1105" s="42" t="str">
        <f>Data!Q1103</f>
        <v>Cliente, Vel Max 40 Km/h</v>
      </c>
      <c r="J1105" s="43">
        <f>Data!S1103</f>
        <v>46174.546575034721</v>
      </c>
      <c r="K1105" s="44">
        <f>Data!S1103</f>
        <v>46174.546575034721</v>
      </c>
      <c r="L1105" s="45">
        <f>Data!T1103</f>
        <v>1.2650462962962963E-5</v>
      </c>
      <c r="M1105" s="46">
        <f>Data!U1103</f>
        <v>1.0675095021724701E-2</v>
      </c>
      <c r="N1105" s="46" t="str">
        <f>CONCATENATE(Data!W1103," (",Data!V1103,")")</f>
        <v>Exceso Velocidad 40 Km/h (Velocidad máxima: 41 kmh)</v>
      </c>
      <c r="O1105" s="42" t="str">
        <f>IF(Data!V1103&lt;&gt;"",N1105,Data!W1103)</f>
        <v>Exceso Velocidad 40 Km/h (Velocidad máxima: 41 kmh)</v>
      </c>
      <c r="P1105" s="47" t="str">
        <f>Data!X1103</f>
        <v>Válido</v>
      </c>
    </row>
    <row r="1106" spans="1:16">
      <c r="A1106" s="41" t="str">
        <f>Data!A1104</f>
        <v>QLO286</v>
      </c>
      <c r="B1106" s="41" t="str">
        <f>Data!D1104</f>
        <v>Vehicle, Diesel, ECP 1107 Rubiales Serv. Integrales</v>
      </c>
      <c r="C1106" s="41">
        <f>Data!F1104</f>
        <v>0</v>
      </c>
      <c r="D1106" s="41">
        <f>Data!G1104</f>
        <v>0</v>
      </c>
      <c r="E1106" s="41">
        <f>Data!H1104</f>
        <v>0</v>
      </c>
      <c r="F1106" s="41">
        <f>Data!K1104</f>
        <v>0</v>
      </c>
      <c r="G1106" s="33" t="str">
        <f>Data!M1104</f>
        <v>Exceso Velocidad 40 Km/h</v>
      </c>
      <c r="H1106" s="41" t="str">
        <f>Data!P1104</f>
        <v>ECOPETROL RUBIALES- Quifa - CAÑO SUR: Rb 111 Pco 13, Puerto Gaitán, Meta, Colombia</v>
      </c>
      <c r="I1106" s="42" t="str">
        <f>Data!Q1104</f>
        <v>Cliente, Vel Max 40 Km/h</v>
      </c>
      <c r="J1106" s="43">
        <f>Data!S1104</f>
        <v>46174.546744120373</v>
      </c>
      <c r="K1106" s="44">
        <f>Data!S1104</f>
        <v>46174.546744120373</v>
      </c>
      <c r="L1106" s="45">
        <f>Data!T1104</f>
        <v>1.3956018518518519E-4</v>
      </c>
      <c r="M1106" s="46">
        <f>Data!U1104</f>
        <v>0.13449369370937347</v>
      </c>
      <c r="N1106" s="46" t="str">
        <f>CONCATENATE(Data!W1104," (",Data!V1104,")")</f>
        <v>Exceso Velocidad 40 Km/h (Velocidad máxima: 42 kmh)</v>
      </c>
      <c r="O1106" s="42" t="str">
        <f>IF(Data!V1104&lt;&gt;"",N1106,Data!W1104)</f>
        <v>Exceso Velocidad 40 Km/h (Velocidad máxima: 42 kmh)</v>
      </c>
      <c r="P1106" s="47" t="str">
        <f>Data!X1104</f>
        <v>Válido</v>
      </c>
    </row>
    <row r="1107" spans="1:16">
      <c r="A1107" s="41" t="str">
        <f>Data!A1105</f>
        <v>QLO286</v>
      </c>
      <c r="B1107" s="41" t="str">
        <f>Data!D1105</f>
        <v>Vehicle, Diesel, ECP 1107 Rubiales Serv. Integrales</v>
      </c>
      <c r="C1107" s="41">
        <f>Data!F1105</f>
        <v>0</v>
      </c>
      <c r="D1107" s="41">
        <f>Data!G1105</f>
        <v>0</v>
      </c>
      <c r="E1107" s="41">
        <f>Data!H1105</f>
        <v>0</v>
      </c>
      <c r="F1107" s="41">
        <f>Data!K1105</f>
        <v>0</v>
      </c>
      <c r="G1107" s="33" t="str">
        <f>Data!M1105</f>
        <v>Exceso Velocidad 40 Km/h</v>
      </c>
      <c r="H1107" s="41" t="str">
        <f>Data!P1105</f>
        <v>ECOPETROL RUBIALES- Quifa - CAÑO SUR: Rb 111 Pco 13, Puerto Gaitán, Meta, Colombia</v>
      </c>
      <c r="I1107" s="42" t="str">
        <f>Data!Q1105</f>
        <v>Cliente, Vel Max 40 Km/h</v>
      </c>
      <c r="J1107" s="43">
        <f>Data!S1105</f>
        <v>46174.546984131943</v>
      </c>
      <c r="K1107" s="44">
        <f>Data!S1105</f>
        <v>46174.546984131943</v>
      </c>
      <c r="L1107" s="45">
        <f>Data!T1105</f>
        <v>3.290277777777778E-4</v>
      </c>
      <c r="M1107" s="46">
        <f>Data!U1105</f>
        <v>0.33970177173614502</v>
      </c>
      <c r="N1107" s="46" t="str">
        <f>CONCATENATE(Data!W1105," (",Data!V1105,")")</f>
        <v>Exceso Velocidad 40 Km/h (Velocidad máxima: 46 kmh)</v>
      </c>
      <c r="O1107" s="42" t="str">
        <f>IF(Data!V1105&lt;&gt;"",N1107,Data!W1105)</f>
        <v>Exceso Velocidad 40 Km/h (Velocidad máxima: 46 kmh)</v>
      </c>
      <c r="P1107" s="47" t="str">
        <f>Data!X1105</f>
        <v>Válido</v>
      </c>
    </row>
    <row r="1108" spans="1:16">
      <c r="A1108" s="41" t="str">
        <f>Data!A1106</f>
        <v>QLO286</v>
      </c>
      <c r="B1108" s="41" t="str">
        <f>Data!D1106</f>
        <v>Vehicle, Diesel, ECP 1107 Rubiales Serv. Integrales</v>
      </c>
      <c r="C1108" s="41">
        <f>Data!F1106</f>
        <v>0</v>
      </c>
      <c r="D1108" s="41">
        <f>Data!G1106</f>
        <v>0</v>
      </c>
      <c r="E1108" s="41">
        <f>Data!H1106</f>
        <v>0</v>
      </c>
      <c r="F1108" s="41">
        <f>Data!K1106</f>
        <v>0</v>
      </c>
      <c r="G1108" s="33" t="str">
        <f>Data!M1106</f>
        <v>Exceso Velocidad 40 Km/h</v>
      </c>
      <c r="H1108" s="41" t="str">
        <f>Data!P1106</f>
        <v>ECOPETROL RUBIALES- Quifa - CAÑO SUR: Rb 111 Pco 13, Puerto Gaitán, Meta, Colombia</v>
      </c>
      <c r="I1108" s="42" t="str">
        <f>Data!Q1106</f>
        <v>Cliente, Vel Max 40 Km/h</v>
      </c>
      <c r="J1108" s="43">
        <f>Data!S1106</f>
        <v>46174.547345682869</v>
      </c>
      <c r="K1108" s="44">
        <f>Data!S1106</f>
        <v>46174.547345682869</v>
      </c>
      <c r="L1108" s="45">
        <f>Data!T1106</f>
        <v>1.0802083333333333E-4</v>
      </c>
      <c r="M1108" s="46">
        <f>Data!U1106</f>
        <v>0.10457687824964523</v>
      </c>
      <c r="N1108" s="46" t="str">
        <f>CONCATENATE(Data!W1106," (",Data!V1106,")")</f>
        <v>Exceso Velocidad 40 Km/h (Velocidad máxima: 42 kmh)</v>
      </c>
      <c r="O1108" s="42" t="str">
        <f>IF(Data!V1106&lt;&gt;"",N1108,Data!W1106)</f>
        <v>Exceso Velocidad 40 Km/h (Velocidad máxima: 42 kmh)</v>
      </c>
      <c r="P1108" s="47" t="str">
        <f>Data!X1106</f>
        <v>Válido</v>
      </c>
    </row>
    <row r="1109" spans="1:16">
      <c r="A1109" s="41" t="str">
        <f>Data!A1107</f>
        <v>QLO286</v>
      </c>
      <c r="B1109" s="41" t="str">
        <f>Data!D1107</f>
        <v>Vehicle, Diesel, ECP 1107 Rubiales Serv. Integrales</v>
      </c>
      <c r="C1109" s="41">
        <f>Data!F1107</f>
        <v>0</v>
      </c>
      <c r="D1109" s="41">
        <f>Data!G1107</f>
        <v>0</v>
      </c>
      <c r="E1109" s="41">
        <f>Data!H1107</f>
        <v>0</v>
      </c>
      <c r="F1109" s="41">
        <f>Data!K1107</f>
        <v>0</v>
      </c>
      <c r="G1109" s="33" t="str">
        <f>Data!M1107</f>
        <v>Exceso Velocidad 40 Km/h</v>
      </c>
      <c r="H1109" s="41" t="str">
        <f>Data!P1107</f>
        <v>ECOPETROL RUBIALES- Quifa - CAÑO SUR: Pco 13, Puerto Gaitán, Meta, Colombia</v>
      </c>
      <c r="I1109" s="42" t="str">
        <f>Data!Q1107</f>
        <v>Cliente, Vel Max 40 Km/h</v>
      </c>
      <c r="J1109" s="43">
        <f>Data!S1107</f>
        <v>46174.547504629627</v>
      </c>
      <c r="K1109" s="44">
        <f>Data!S1107</f>
        <v>46174.547504629627</v>
      </c>
      <c r="L1109" s="45">
        <f>Data!T1107</f>
        <v>2.7893518518518518E-4</v>
      </c>
      <c r="M1109" s="46">
        <f>Data!U1107</f>
        <v>0.2818659245967865</v>
      </c>
      <c r="N1109" s="46" t="str">
        <f>CONCATENATE(Data!W1107," (",Data!V1107,")")</f>
        <v>Exceso Velocidad 40 Km/h (Velocidad máxima: 44 kmh)</v>
      </c>
      <c r="O1109" s="42" t="str">
        <f>IF(Data!V1107&lt;&gt;"",N1109,Data!W1107)</f>
        <v>Exceso Velocidad 40 Km/h (Velocidad máxima: 44 kmh)</v>
      </c>
      <c r="P1109" s="47" t="str">
        <f>Data!X1107</f>
        <v>Válido</v>
      </c>
    </row>
    <row r="1110" spans="1:16">
      <c r="A1110" s="41" t="str">
        <f>Data!A1108</f>
        <v>QLO286</v>
      </c>
      <c r="B1110" s="41" t="str">
        <f>Data!D1108</f>
        <v>Vehicle, Diesel, ECP 1107 Rubiales Serv. Integrales</v>
      </c>
      <c r="C1110" s="41">
        <f>Data!F1108</f>
        <v>0</v>
      </c>
      <c r="D1110" s="41">
        <f>Data!G1108</f>
        <v>0</v>
      </c>
      <c r="E1110" s="41">
        <f>Data!H1108</f>
        <v>0</v>
      </c>
      <c r="F1110" s="41">
        <f>Data!K1108</f>
        <v>0</v>
      </c>
      <c r="G1110" s="33" t="str">
        <f>Data!M1108</f>
        <v>Exceso Velocidad 40 Km/h</v>
      </c>
      <c r="H1110" s="41" t="str">
        <f>Data!P1108</f>
        <v>ECOPETROL RUBIALES- Quifa - CAÑO SUR: Pco 13, Puerto Gaitán, Meta, Colombia</v>
      </c>
      <c r="I1110" s="42" t="str">
        <f>Data!Q1108</f>
        <v>Cliente, Vel Max 40 Km/h</v>
      </c>
      <c r="J1110" s="43">
        <f>Data!S1108</f>
        <v>46174.548159722224</v>
      </c>
      <c r="K1110" s="44">
        <f>Data!S1108</f>
        <v>46174.548159722224</v>
      </c>
      <c r="L1110" s="45">
        <f>Data!T1108</f>
        <v>5.3240740740740744E-4</v>
      </c>
      <c r="M1110" s="46">
        <f>Data!U1108</f>
        <v>0.51804494857788086</v>
      </c>
      <c r="N1110" s="46" t="str">
        <f>CONCATENATE(Data!W1108," (",Data!V1108,")")</f>
        <v>Exceso Velocidad 40 Km/h (Velocidad máxima: 42 kmh)</v>
      </c>
      <c r="O1110" s="42" t="str">
        <f>IF(Data!V1108&lt;&gt;"",N1110,Data!W1108)</f>
        <v>Exceso Velocidad 40 Km/h (Velocidad máxima: 42 kmh)</v>
      </c>
      <c r="P1110" s="47" t="str">
        <f>Data!X1108</f>
        <v>Válido</v>
      </c>
    </row>
    <row r="1111" spans="1:16">
      <c r="A1111" s="41" t="str">
        <f>Data!A1109</f>
        <v>QLO286</v>
      </c>
      <c r="B1111" s="41" t="str">
        <f>Data!D1109</f>
        <v>Vehicle, Diesel, ECP 1107 Rubiales Serv. Integrales</v>
      </c>
      <c r="C1111" s="41">
        <f>Data!F1109</f>
        <v>0</v>
      </c>
      <c r="D1111" s="41">
        <f>Data!G1109</f>
        <v>0</v>
      </c>
      <c r="E1111" s="41">
        <f>Data!H1109</f>
        <v>0</v>
      </c>
      <c r="F1111" s="41">
        <f>Data!K1109</f>
        <v>0</v>
      </c>
      <c r="G1111" s="33" t="str">
        <f>Data!M1109</f>
        <v>Aceleración brusca (nuevo)</v>
      </c>
      <c r="H1111" s="41" t="str">
        <f>Data!P1109</f>
        <v>ECOPETROL RUBIALES- Quifa - CAÑO SUR: Vía a RB-561, Puerto Gaitán, Meta, Colombia</v>
      </c>
      <c r="I1111" s="42" t="str">
        <f>Data!Q1109</f>
        <v>Cliente, Vel Max 40 Km/h</v>
      </c>
      <c r="J1111" s="43">
        <f>Data!S1109</f>
        <v>46174.55028935185</v>
      </c>
      <c r="K1111" s="44">
        <f>Data!S1109</f>
        <v>46174.55028935185</v>
      </c>
      <c r="L1111" s="45">
        <f>Data!T1109</f>
        <v>0</v>
      </c>
      <c r="M1111" s="46">
        <f>Data!U1109</f>
        <v>0</v>
      </c>
      <c r="N1111" s="46" t="str">
        <f>CONCATENATE(Data!W1109," (",Data!V1109,")")</f>
        <v>Aceleración brusca (nuevo) (Clase de vehículo para métricas de seguridad: Otra clase (no estandarizada), Velocidad máxima: 4 kmh,  Ignición: 1)</v>
      </c>
      <c r="O1111" s="42" t="str">
        <f>IF(Data!V1109&lt;&gt;"",N1111,Data!W1109)</f>
        <v>Aceleración brusca (nuevo) (Clase de vehículo para métricas de seguridad: Otra clase (no estandarizada), Velocidad máxima: 4 kmh,  Ignición: 1)</v>
      </c>
      <c r="P1111" s="47" t="str">
        <f>Data!X1109</f>
        <v>Válido</v>
      </c>
    </row>
    <row r="1112" spans="1:16">
      <c r="A1112" s="41" t="str">
        <f>Data!A1110</f>
        <v>QLO286</v>
      </c>
      <c r="B1112" s="41" t="str">
        <f>Data!D1110</f>
        <v>Vehicle, Diesel, ECP 1107 Rubiales Serv. Integrales</v>
      </c>
      <c r="C1112" s="41">
        <f>Data!F1110</f>
        <v>0</v>
      </c>
      <c r="D1112" s="41">
        <f>Data!G1110</f>
        <v>0</v>
      </c>
      <c r="E1112" s="41">
        <f>Data!H1110</f>
        <v>0</v>
      </c>
      <c r="F1112" s="41">
        <f>Data!K1110</f>
        <v>0</v>
      </c>
      <c r="G1112" s="33" t="str">
        <f>Data!M1110</f>
        <v>Giro brusco (nuevo)</v>
      </c>
      <c r="H1112" s="41" t="str">
        <f>Data!P1110</f>
        <v>ECOPETROL RUBIALES- Quifa - CAÑO SUR: Vía a RB-741, Puerto Gaitán, Meta, Colombia</v>
      </c>
      <c r="I1112" s="42" t="str">
        <f>Data!Q1110</f>
        <v>Cliente, Vel Max 40 Km/h</v>
      </c>
      <c r="J1112" s="43">
        <f>Data!S1110</f>
        <v>46174.551493055558</v>
      </c>
      <c r="K1112" s="44">
        <f>Data!S1110</f>
        <v>46174.551493055558</v>
      </c>
      <c r="L1112" s="45">
        <f>Data!T1110</f>
        <v>0</v>
      </c>
      <c r="M1112" s="46">
        <f>Data!U1110</f>
        <v>0</v>
      </c>
      <c r="N1112" s="46" t="str">
        <f>CONCATENATE(Data!W1110," (",Data!V1110,")")</f>
        <v>Giro brusco (nuevo) (Clase de vehículo para métricas de seguridad: Otra clase (no estandarizada), Velocidad máxima: 19 kmh,  Ignición: 1)</v>
      </c>
      <c r="O1112" s="42" t="str">
        <f>IF(Data!V1110&lt;&gt;"",N1112,Data!W1110)</f>
        <v>Giro brusco (nuevo) (Clase de vehículo para métricas de seguridad: Otra clase (no estandarizada), Velocidad máxima: 19 kmh,  Ignición: 1)</v>
      </c>
      <c r="P1112" s="47" t="str">
        <f>Data!X1110</f>
        <v>Válido</v>
      </c>
    </row>
    <row r="1113" spans="1:16">
      <c r="A1113" s="41" t="str">
        <f>Data!A1111</f>
        <v>QLO286</v>
      </c>
      <c r="B1113" s="41" t="str">
        <f>Data!D1111</f>
        <v>Vehicle, Diesel, ECP 1107 Rubiales Serv. Integrales</v>
      </c>
      <c r="C1113" s="41">
        <f>Data!F1111</f>
        <v>0</v>
      </c>
      <c r="D1113" s="41">
        <f>Data!G1111</f>
        <v>0</v>
      </c>
      <c r="E1113" s="41">
        <f>Data!H1111</f>
        <v>0</v>
      </c>
      <c r="F1113" s="41">
        <f>Data!K1111</f>
        <v>0</v>
      </c>
      <c r="G1113" s="33" t="str">
        <f>Data!M1111</f>
        <v>Aceleración brusca (nuevo)</v>
      </c>
      <c r="H1113" s="41" t="str">
        <f>Data!P1111</f>
        <v>ECOPETROL RUBIALES- Quifa - CAÑO SUR: Vía a RB-741, Puerto Gaitán, Meta, Colombia</v>
      </c>
      <c r="I1113" s="42" t="str">
        <f>Data!Q1111</f>
        <v>Cliente, Vel Max 40 Km/h</v>
      </c>
      <c r="J1113" s="43">
        <f>Data!S1111</f>
        <v>46174.552870370368</v>
      </c>
      <c r="K1113" s="44">
        <f>Data!S1111</f>
        <v>46174.552870370368</v>
      </c>
      <c r="L1113" s="45">
        <f>Data!T1111</f>
        <v>0</v>
      </c>
      <c r="M1113" s="46">
        <f>Data!U1111</f>
        <v>0</v>
      </c>
      <c r="N1113" s="46" t="str">
        <f>CONCATENATE(Data!W1111," (",Data!V1111,")")</f>
        <v>Aceleración brusca (nuevo) (Clase de vehículo para métricas de seguridad: Otra clase (no estandarizada), Velocidad máxima: 7 kmh,  Ignición: 1)</v>
      </c>
      <c r="O1113" s="42" t="str">
        <f>IF(Data!V1111&lt;&gt;"",N1113,Data!W1111)</f>
        <v>Aceleración brusca (nuevo) (Clase de vehículo para métricas de seguridad: Otra clase (no estandarizada), Velocidad máxima: 7 kmh,  Ignición: 1)</v>
      </c>
      <c r="P1113" s="47" t="str">
        <f>Data!X1111</f>
        <v>Válido</v>
      </c>
    </row>
    <row r="1114" spans="1:16">
      <c r="A1114" s="41" t="str">
        <f>Data!A1112</f>
        <v>QLO286</v>
      </c>
      <c r="B1114" s="41" t="str">
        <f>Data!D1112</f>
        <v>Vehicle, Diesel, ECP 1107 Rubiales Serv. Integrales</v>
      </c>
      <c r="C1114" s="41">
        <f>Data!F1112</f>
        <v>0</v>
      </c>
      <c r="D1114" s="41">
        <f>Data!G1112</f>
        <v>0</v>
      </c>
      <c r="E1114" s="41">
        <f>Data!H1112</f>
        <v>0</v>
      </c>
      <c r="F1114" s="41">
        <f>Data!K1112</f>
        <v>0</v>
      </c>
      <c r="G1114" s="33" t="str">
        <f>Data!M1112</f>
        <v>Exceso Velocidad 40 Km/h</v>
      </c>
      <c r="H1114" s="41" t="str">
        <f>Data!P1112</f>
        <v>ECOPETROL RUBIALES- Quifa - CAÑO SUR: Pco 13, Puerto Gaitán, Meta, Colombia</v>
      </c>
      <c r="I1114" s="42" t="str">
        <f>Data!Q1112</f>
        <v>Cliente, Vel Max 40 Km/h</v>
      </c>
      <c r="J1114" s="43">
        <f>Data!S1112</f>
        <v>46174.556087962963</v>
      </c>
      <c r="K1114" s="44">
        <f>Data!S1112</f>
        <v>46174.556087962963</v>
      </c>
      <c r="L1114" s="45">
        <f>Data!T1112</f>
        <v>2.8935285185185187E-5</v>
      </c>
      <c r="M1114" s="46">
        <f>Data!U1112</f>
        <v>2.707500196993351E-2</v>
      </c>
      <c r="N1114" s="46" t="str">
        <f>CONCATENATE(Data!W1112," (",Data!V1112,")")</f>
        <v>Exceso Velocidad 40 Km/h (Velocidad máxima: 41 kmh)</v>
      </c>
      <c r="O1114" s="42" t="str">
        <f>IF(Data!V1112&lt;&gt;"",N1114,Data!W1112)</f>
        <v>Exceso Velocidad 40 Km/h (Velocidad máxima: 41 kmh)</v>
      </c>
      <c r="P1114" s="47" t="str">
        <f>Data!X1112</f>
        <v>Válido</v>
      </c>
    </row>
    <row r="1115" spans="1:16">
      <c r="A1115" s="41" t="str">
        <f>Data!A1113</f>
        <v>QLO286</v>
      </c>
      <c r="B1115" s="41" t="str">
        <f>Data!D1113</f>
        <v>Vehicle, Diesel, ECP 1107 Rubiales Serv. Integrales</v>
      </c>
      <c r="C1115" s="41">
        <f>Data!F1113</f>
        <v>0</v>
      </c>
      <c r="D1115" s="41">
        <f>Data!G1113</f>
        <v>0</v>
      </c>
      <c r="E1115" s="41">
        <f>Data!H1113</f>
        <v>0</v>
      </c>
      <c r="F1115" s="41">
        <f>Data!K1113</f>
        <v>0</v>
      </c>
      <c r="G1115" s="33" t="str">
        <f>Data!M1113</f>
        <v>Exceso Velocidad 40 Km/h</v>
      </c>
      <c r="H1115" s="41" t="str">
        <f>Data!P1113</f>
        <v>ECOPETROL RUBIALES- Quifa - CAÑO SUR: Rb 111 Pco 13, Puerto Gaitán, Meta, Colombia</v>
      </c>
      <c r="I1115" s="42" t="str">
        <f>Data!Q1113</f>
        <v>Cliente, Vel Max 40 Km/h</v>
      </c>
      <c r="J1115" s="43">
        <f>Data!S1113</f>
        <v>46174.556898148148</v>
      </c>
      <c r="K1115" s="44">
        <f>Data!S1113</f>
        <v>46174.556898148148</v>
      </c>
      <c r="L1115" s="45">
        <f>Data!T1113</f>
        <v>6.0763888888888887E-5</v>
      </c>
      <c r="M1115" s="46">
        <f>Data!U1113</f>
        <v>5.882500484585762E-2</v>
      </c>
      <c r="N1115" s="46" t="str">
        <f>CONCATENATE(Data!W1113," (",Data!V1113,")")</f>
        <v>Exceso Velocidad 40 Km/h (Velocidad máxima: 41 kmh)</v>
      </c>
      <c r="O1115" s="42" t="str">
        <f>IF(Data!V1113&lt;&gt;"",N1115,Data!W1113)</f>
        <v>Exceso Velocidad 40 Km/h (Velocidad máxima: 41 kmh)</v>
      </c>
      <c r="P1115" s="47" t="str">
        <f>Data!X1113</f>
        <v>Válido</v>
      </c>
    </row>
    <row r="1116" spans="1:16">
      <c r="A1116" s="41" t="str">
        <f>Data!A1114</f>
        <v>QLO286</v>
      </c>
      <c r="B1116" s="41" t="str">
        <f>Data!D1114</f>
        <v>Vehicle, Diesel, ECP 1107 Rubiales Serv. Integrales</v>
      </c>
      <c r="C1116" s="41">
        <f>Data!F1114</f>
        <v>0</v>
      </c>
      <c r="D1116" s="41">
        <f>Data!G1114</f>
        <v>0</v>
      </c>
      <c r="E1116" s="41">
        <f>Data!H1114</f>
        <v>0</v>
      </c>
      <c r="F1116" s="41">
        <f>Data!K1114</f>
        <v>0</v>
      </c>
      <c r="G1116" s="33" t="str">
        <f>Data!M1114</f>
        <v>Exceso Velocidad 40 Km/h</v>
      </c>
      <c r="H1116" s="41" t="str">
        <f>Data!P1114</f>
        <v>ECOPETROL RUBIALES- Quifa - CAÑO SUR: Rb 111 Pco 13, Puerto Gaitán, Meta, Colombia</v>
      </c>
      <c r="I1116" s="42" t="str">
        <f>Data!Q1114</f>
        <v>Cliente, Vel Max 40 Km/h</v>
      </c>
      <c r="J1116" s="43">
        <f>Data!S1114</f>
        <v>46174.557100694547</v>
      </c>
      <c r="K1116" s="44">
        <f>Data!S1114</f>
        <v>46174.557100694547</v>
      </c>
      <c r="L1116" s="45">
        <f>Data!T1114</f>
        <v>2.6504629629629632E-4</v>
      </c>
      <c r="M1116" s="46">
        <f>Data!U1114</f>
        <v>0.26610752940177917</v>
      </c>
      <c r="N1116" s="46" t="str">
        <f>CONCATENATE(Data!W1114," (",Data!V1114,")")</f>
        <v>Exceso Velocidad 40 Km/h (Velocidad máxima: 44 kmh)</v>
      </c>
      <c r="O1116" s="42" t="str">
        <f>IF(Data!V1114&lt;&gt;"",N1116,Data!W1114)</f>
        <v>Exceso Velocidad 40 Km/h (Velocidad máxima: 44 kmh)</v>
      </c>
      <c r="P1116" s="47" t="str">
        <f>Data!X1114</f>
        <v>Válido</v>
      </c>
    </row>
    <row r="1117" spans="1:16">
      <c r="A1117" s="41" t="str">
        <f>Data!A1115</f>
        <v>QLO286</v>
      </c>
      <c r="B1117" s="41" t="str">
        <f>Data!D1115</f>
        <v>Vehicle, Diesel, ECP 1107 Rubiales Serv. Integrales</v>
      </c>
      <c r="C1117" s="41">
        <f>Data!F1115</f>
        <v>0</v>
      </c>
      <c r="D1117" s="41">
        <f>Data!G1115</f>
        <v>0</v>
      </c>
      <c r="E1117" s="41">
        <f>Data!H1115</f>
        <v>0</v>
      </c>
      <c r="F1117" s="41">
        <f>Data!K1115</f>
        <v>0</v>
      </c>
      <c r="G1117" s="33" t="str">
        <f>Data!M1115</f>
        <v>Exceso Velocidad 40 Km/h</v>
      </c>
      <c r="H1117" s="41" t="str">
        <f>Data!P1115</f>
        <v>ECOPETROL RUBIALES- Quifa - CAÑO SUR: Rb 111 Pco 13, Puerto Gaitán, Meta, Colombia</v>
      </c>
      <c r="I1117" s="42" t="str">
        <f>Data!Q1115</f>
        <v>Cliente, Vel Max 40 Km/h</v>
      </c>
      <c r="J1117" s="43">
        <f>Data!S1115</f>
        <v>46174.55800636574</v>
      </c>
      <c r="K1117" s="44">
        <f>Data!S1115</f>
        <v>46174.55800636574</v>
      </c>
      <c r="L1117" s="45">
        <f>Data!T1115</f>
        <v>3.5474537037037039E-4</v>
      </c>
      <c r="M1117" s="46">
        <f>Data!U1115</f>
        <v>0.34535565972328186</v>
      </c>
      <c r="N1117" s="46" t="str">
        <f>CONCATENATE(Data!W1115," (",Data!V1115,")")</f>
        <v>Exceso Velocidad 40 Km/h (Velocidad máxima: 42 kmh)</v>
      </c>
      <c r="O1117" s="42" t="str">
        <f>IF(Data!V1115&lt;&gt;"",N1117,Data!W1115)</f>
        <v>Exceso Velocidad 40 Km/h (Velocidad máxima: 42 kmh)</v>
      </c>
      <c r="P1117" s="47" t="str">
        <f>Data!X1115</f>
        <v>Válido</v>
      </c>
    </row>
    <row r="1118" spans="1:16">
      <c r="A1118" s="41" t="str">
        <f>Data!A1116</f>
        <v>QLO286</v>
      </c>
      <c r="B1118" s="41" t="str">
        <f>Data!D1116</f>
        <v>Vehicle, Diesel, ECP 1107 Rubiales Serv. Integrales</v>
      </c>
      <c r="C1118" s="41">
        <f>Data!F1116</f>
        <v>0</v>
      </c>
      <c r="D1118" s="41">
        <f>Data!G1116</f>
        <v>0</v>
      </c>
      <c r="E1118" s="41">
        <f>Data!H1116</f>
        <v>0</v>
      </c>
      <c r="F1118" s="41">
        <f>Data!K1116</f>
        <v>0</v>
      </c>
      <c r="G1118" s="33" t="str">
        <f>Data!M1116</f>
        <v>Exceso Velocidad 40 Km/h</v>
      </c>
      <c r="H1118" s="41" t="str">
        <f>Data!P1116</f>
        <v>ECOPETROL RUBIALES- Quifa - CAÑO SUR: Rb 111 Pco 13, Puerto Gaitán, Meta, Colombia</v>
      </c>
      <c r="I1118" s="42" t="str">
        <f>Data!Q1116</f>
        <v>Cliente, Vel Max 40 Km/h</v>
      </c>
      <c r="J1118" s="43">
        <f>Data!S1116</f>
        <v>46174.558463541667</v>
      </c>
      <c r="K1118" s="44">
        <f>Data!S1116</f>
        <v>46174.558463541667</v>
      </c>
      <c r="L1118" s="45">
        <f>Data!T1116</f>
        <v>1.0127314814814815E-4</v>
      </c>
      <c r="M1118" s="46">
        <f>Data!U1116</f>
        <v>9.6910819411277771E-2</v>
      </c>
      <c r="N1118" s="46" t="str">
        <f>CONCATENATE(Data!W1116," (",Data!V1116,")")</f>
        <v>Exceso Velocidad 40 Km/h (Velocidad máxima: 41 kmh)</v>
      </c>
      <c r="O1118" s="42" t="str">
        <f>IF(Data!V1116&lt;&gt;"",N1118,Data!W1116)</f>
        <v>Exceso Velocidad 40 Km/h (Velocidad máxima: 41 kmh)</v>
      </c>
      <c r="P1118" s="47" t="str">
        <f>Data!X1116</f>
        <v>Válido</v>
      </c>
    </row>
    <row r="1119" spans="1:16">
      <c r="A1119" s="41" t="str">
        <f>Data!A1117</f>
        <v>QLO286</v>
      </c>
      <c r="B1119" s="41" t="str">
        <f>Data!D1117</f>
        <v>Vehicle, Diesel, ECP 1107 Rubiales Serv. Integrales</v>
      </c>
      <c r="C1119" s="41">
        <f>Data!F1117</f>
        <v>0</v>
      </c>
      <c r="D1119" s="41">
        <f>Data!G1117</f>
        <v>0</v>
      </c>
      <c r="E1119" s="41">
        <f>Data!H1117</f>
        <v>0</v>
      </c>
      <c r="F1119" s="41">
        <f>Data!K1117</f>
        <v>0</v>
      </c>
      <c r="G1119" s="33" t="str">
        <f>Data!M1117</f>
        <v>Exceso Velocidad 40 Km/h</v>
      </c>
      <c r="H1119" s="41" t="str">
        <f>Data!P1117</f>
        <v>ECOPETROL RUBIALES- Quifa - CAÑO SUR: Rb 111 Pco 13, Puerto Gaitán, Meta, Colombia</v>
      </c>
      <c r="I1119" s="42" t="str">
        <f>Data!Q1117</f>
        <v>Cliente, Vel Max 40 Km/h</v>
      </c>
      <c r="J1119" s="43">
        <f>Data!S1117</f>
        <v>46174.55862653935</v>
      </c>
      <c r="K1119" s="44">
        <f>Data!S1117</f>
        <v>46174.55862653935</v>
      </c>
      <c r="L1119" s="45">
        <f>Data!T1117</f>
        <v>1.9290509259259258E-4</v>
      </c>
      <c r="M1119" s="46">
        <f>Data!U1117</f>
        <v>0.18654549121856689</v>
      </c>
      <c r="N1119" s="46" t="str">
        <f>CONCATENATE(Data!W1117," (",Data!V1117,")")</f>
        <v>Exceso Velocidad 40 Km/h (Velocidad máxima: 42 kmh)</v>
      </c>
      <c r="O1119" s="42" t="str">
        <f>IF(Data!V1117&lt;&gt;"",N1119,Data!W1117)</f>
        <v>Exceso Velocidad 40 Km/h (Velocidad máxima: 42 kmh)</v>
      </c>
      <c r="P1119" s="47" t="str">
        <f>Data!X1117</f>
        <v>Válido</v>
      </c>
    </row>
    <row r="1120" spans="1:16">
      <c r="A1120" s="41" t="str">
        <f>Data!A1118</f>
        <v>QLO286</v>
      </c>
      <c r="B1120" s="41" t="str">
        <f>Data!D1118</f>
        <v>Vehicle, Diesel, ECP 1107 Rubiales Serv. Integrales</v>
      </c>
      <c r="C1120" s="41">
        <f>Data!F1118</f>
        <v>0</v>
      </c>
      <c r="D1120" s="41">
        <f>Data!G1118</f>
        <v>0</v>
      </c>
      <c r="E1120" s="41">
        <f>Data!H1118</f>
        <v>0</v>
      </c>
      <c r="F1120" s="41">
        <f>Data!K1118</f>
        <v>0</v>
      </c>
      <c r="G1120" s="33" t="str">
        <f>Data!M1118</f>
        <v>Exceso Velocidad 40 Km/h</v>
      </c>
      <c r="H1120" s="41" t="str">
        <f>Data!P1118</f>
        <v>ECOPETROL RUBIALES- Quifa - CAÑO SUR: Rb 111 Pco 13, Puerto Gaitán, Meta, Colombia</v>
      </c>
      <c r="I1120" s="42" t="str">
        <f>Data!Q1118</f>
        <v>Cliente, Vel Max 40 Km/h</v>
      </c>
      <c r="J1120" s="43">
        <f>Data!S1118</f>
        <v>46174.558887233798</v>
      </c>
      <c r="K1120" s="44">
        <f>Data!S1118</f>
        <v>46174.558887233798</v>
      </c>
      <c r="L1120" s="45">
        <f>Data!T1118</f>
        <v>1.6700231481481481E-4</v>
      </c>
      <c r="M1120" s="46">
        <f>Data!U1118</f>
        <v>0.17537470161914825</v>
      </c>
      <c r="N1120" s="46" t="str">
        <f>CONCATENATE(Data!W1118," (",Data!V1118,")")</f>
        <v>Exceso Velocidad 40 Km/h (Velocidad máxima: 46 kmh)</v>
      </c>
      <c r="O1120" s="42" t="str">
        <f>IF(Data!V1118&lt;&gt;"",N1120,Data!W1118)</f>
        <v>Exceso Velocidad 40 Km/h (Velocidad máxima: 46 kmh)</v>
      </c>
      <c r="P1120" s="47" t="str">
        <f>Data!X1118</f>
        <v>Válido</v>
      </c>
    </row>
    <row r="1121" spans="1:16">
      <c r="A1121" s="41" t="str">
        <f>Data!A1119</f>
        <v>QLO286</v>
      </c>
      <c r="B1121" s="41" t="str">
        <f>Data!D1119</f>
        <v>Vehicle, Diesel, ECP 1107 Rubiales Serv. Integrales</v>
      </c>
      <c r="C1121" s="41">
        <f>Data!F1119</f>
        <v>0</v>
      </c>
      <c r="D1121" s="41">
        <f>Data!G1119</f>
        <v>0</v>
      </c>
      <c r="E1121" s="41">
        <f>Data!H1119</f>
        <v>0</v>
      </c>
      <c r="F1121" s="41">
        <f>Data!K1119</f>
        <v>0</v>
      </c>
      <c r="G1121" s="33" t="str">
        <f>Data!M1119</f>
        <v>Exceso Velocidad 40 Km/h</v>
      </c>
      <c r="H1121" s="41" t="str">
        <f>Data!P1119</f>
        <v>ECOPETROL RUBIALES- Quifa - CAÑO SUR: Rb 111 Pco 13, Puerto Gaitán, Meta, Colombia</v>
      </c>
      <c r="I1121" s="42" t="str">
        <f>Data!Q1119</f>
        <v>Cliente, Vel Max 40 Km/h</v>
      </c>
      <c r="J1121" s="43">
        <f>Data!S1119</f>
        <v>46174.559581400463</v>
      </c>
      <c r="K1121" s="44">
        <f>Data!S1119</f>
        <v>46174.559581400463</v>
      </c>
      <c r="L1121" s="45">
        <f>Data!T1119</f>
        <v>1.2056712962962963E-4</v>
      </c>
      <c r="M1121" s="46">
        <f>Data!U1119</f>
        <v>0.11514431238174438</v>
      </c>
      <c r="N1121" s="46" t="str">
        <f>CONCATENATE(Data!W1119," (",Data!V1119,")")</f>
        <v>Exceso Velocidad 40 Km/h (Velocidad máxima: 41 kmh)</v>
      </c>
      <c r="O1121" s="42" t="str">
        <f>IF(Data!V1119&lt;&gt;"",N1121,Data!W1119)</f>
        <v>Exceso Velocidad 40 Km/h (Velocidad máxima: 41 kmh)</v>
      </c>
      <c r="P1121" s="47" t="str">
        <f>Data!X1119</f>
        <v>Válido</v>
      </c>
    </row>
    <row r="1122" spans="1:16">
      <c r="A1122" s="41" t="str">
        <f>Data!A1120</f>
        <v>QLO286</v>
      </c>
      <c r="B1122" s="41" t="str">
        <f>Data!D1120</f>
        <v>Vehicle, Diesel, ECP 1107 Rubiales Serv. Integrales</v>
      </c>
      <c r="C1122" s="41">
        <f>Data!F1120</f>
        <v>0</v>
      </c>
      <c r="D1122" s="41">
        <f>Data!G1120</f>
        <v>0</v>
      </c>
      <c r="E1122" s="41">
        <f>Data!H1120</f>
        <v>0</v>
      </c>
      <c r="F1122" s="41">
        <f>Data!K1120</f>
        <v>0</v>
      </c>
      <c r="G1122" s="33" t="str">
        <f>Data!M1120</f>
        <v>Exceso Velocidad 40 Km/h</v>
      </c>
      <c r="H1122" s="41" t="str">
        <f>Data!P1120</f>
        <v>ECOPETROL RUBIALES- Quifa - CAÑO SUR: Rb 111 Pco 13, Puerto Gaitán, Meta, Colombia</v>
      </c>
      <c r="I1122" s="42" t="str">
        <f>Data!Q1120</f>
        <v>Cliente, Vel Max 40 Km/h</v>
      </c>
      <c r="J1122" s="43">
        <f>Data!S1120</f>
        <v>46174.559809849539</v>
      </c>
      <c r="K1122" s="44">
        <f>Data!S1120</f>
        <v>46174.559809849539</v>
      </c>
      <c r="L1122" s="45">
        <f>Data!T1120</f>
        <v>1.6314814814814816E-4</v>
      </c>
      <c r="M1122" s="46">
        <f>Data!U1120</f>
        <v>0.16436204314231873</v>
      </c>
      <c r="N1122" s="46" t="str">
        <f>CONCATENATE(Data!W1120," (",Data!V1120,")")</f>
        <v>Exceso Velocidad 40 Km/h (Velocidad máxima: 44 kmh)</v>
      </c>
      <c r="O1122" s="42" t="str">
        <f>IF(Data!V1120&lt;&gt;"",N1122,Data!W1120)</f>
        <v>Exceso Velocidad 40 Km/h (Velocidad máxima: 44 kmh)</v>
      </c>
      <c r="P1122" s="47" t="str">
        <f>Data!X1120</f>
        <v>Válido</v>
      </c>
    </row>
    <row r="1123" spans="1:16">
      <c r="A1123" s="41" t="str">
        <f>Data!A1121</f>
        <v>QLO286</v>
      </c>
      <c r="B1123" s="41" t="str">
        <f>Data!D1121</f>
        <v>Vehicle, Diesel, ECP 1107 Rubiales Serv. Integrales</v>
      </c>
      <c r="C1123" s="41">
        <f>Data!F1121</f>
        <v>0</v>
      </c>
      <c r="D1123" s="41">
        <f>Data!G1121</f>
        <v>0</v>
      </c>
      <c r="E1123" s="41">
        <f>Data!H1121</f>
        <v>0</v>
      </c>
      <c r="F1123" s="41">
        <f>Data!K1121</f>
        <v>0</v>
      </c>
      <c r="G1123" s="33" t="str">
        <f>Data!M1121</f>
        <v>Exceso Velocidad 40 Km/h</v>
      </c>
      <c r="H1123" s="41" t="str">
        <f>Data!P1121</f>
        <v>ECOPETROL RUBIALES- Quifa - CAÑO SUR: Rb 111 Pco 13, Puerto Gaitán, Meta, Colombia</v>
      </c>
      <c r="I1123" s="42" t="str">
        <f>Data!Q1121</f>
        <v>Cliente, Vel Max 40 Km/h</v>
      </c>
      <c r="J1123" s="43">
        <f>Data!S1121</f>
        <v>46174.560028935288</v>
      </c>
      <c r="K1123" s="44">
        <f>Data!S1121</f>
        <v>46174.560028935288</v>
      </c>
      <c r="L1123" s="45">
        <f>Data!T1121</f>
        <v>1.8518518518518518E-4</v>
      </c>
      <c r="M1123" s="46">
        <f>Data!U1121</f>
        <v>0.17541907727718353</v>
      </c>
      <c r="N1123" s="46" t="str">
        <f>CONCATENATE(Data!W1121," (",Data!V1121,")")</f>
        <v>Exceso Velocidad 40 Km/h (Velocidad máxima: 41 kmh)</v>
      </c>
      <c r="O1123" s="42" t="str">
        <f>IF(Data!V1121&lt;&gt;"",N1123,Data!W1121)</f>
        <v>Exceso Velocidad 40 Km/h (Velocidad máxima: 41 kmh)</v>
      </c>
      <c r="P1123" s="47" t="str">
        <f>Data!X1121</f>
        <v>Válido</v>
      </c>
    </row>
    <row r="1124" spans="1:16">
      <c r="A1124" s="41" t="str">
        <f>Data!A1122</f>
        <v>QLO286</v>
      </c>
      <c r="B1124" s="41" t="str">
        <f>Data!D1122</f>
        <v>Vehicle, Diesel, ECP 1107 Rubiales Serv. Integrales</v>
      </c>
      <c r="C1124" s="41">
        <f>Data!F1122</f>
        <v>0</v>
      </c>
      <c r="D1124" s="41">
        <f>Data!G1122</f>
        <v>0</v>
      </c>
      <c r="E1124" s="41">
        <f>Data!H1122</f>
        <v>0</v>
      </c>
      <c r="F1124" s="41">
        <f>Data!K1122</f>
        <v>0</v>
      </c>
      <c r="G1124" s="33" t="str">
        <f>Data!M1122</f>
        <v>Exceso Velocidad 40 Km/h</v>
      </c>
      <c r="H1124" s="41" t="str">
        <f>Data!P1122</f>
        <v>ECOPETROL RUBIALES- Quifa - CAÑO SUR: Rb 111 Pco 13, Puerto Gaitán, Meta, Colombia</v>
      </c>
      <c r="I1124" s="42" t="str">
        <f>Data!Q1122</f>
        <v>Cliente, Vel Max 40 Km/h</v>
      </c>
      <c r="J1124" s="43">
        <f>Data!S1122</f>
        <v>46174.560250439812</v>
      </c>
      <c r="K1124" s="44">
        <f>Data!S1122</f>
        <v>46174.560250439812</v>
      </c>
      <c r="L1124" s="45">
        <f>Data!T1122</f>
        <v>6.4953703703703706E-5</v>
      </c>
      <c r="M1124" s="46">
        <f>Data!U1122</f>
        <v>6.4921922981739044E-2</v>
      </c>
      <c r="N1124" s="46" t="str">
        <f>CONCATENATE(Data!W1122," (",Data!V1122,")")</f>
        <v>Exceso Velocidad 40 Km/h (Velocidad máxima: 41 kmh)</v>
      </c>
      <c r="O1124" s="42" t="str">
        <f>IF(Data!V1122&lt;&gt;"",N1124,Data!W1122)</f>
        <v>Exceso Velocidad 40 Km/h (Velocidad máxima: 41 kmh)</v>
      </c>
      <c r="P1124" s="47" t="str">
        <f>Data!X1122</f>
        <v>Válido</v>
      </c>
    </row>
    <row r="1125" spans="1:16">
      <c r="A1125" s="41" t="str">
        <f>Data!A1123</f>
        <v>QLO286</v>
      </c>
      <c r="B1125" s="41" t="str">
        <f>Data!D1123</f>
        <v>Vehicle, Diesel, ECP 1107 Rubiales Serv. Integrales</v>
      </c>
      <c r="C1125" s="41">
        <f>Data!F1123</f>
        <v>0</v>
      </c>
      <c r="D1125" s="41">
        <f>Data!G1123</f>
        <v>0</v>
      </c>
      <c r="E1125" s="41">
        <f>Data!H1123</f>
        <v>0</v>
      </c>
      <c r="F1125" s="41">
        <f>Data!K1123</f>
        <v>0</v>
      </c>
      <c r="G1125" s="33" t="str">
        <f>Data!M1123</f>
        <v>Exceso Velocidad 40 Km/h</v>
      </c>
      <c r="H1125" s="41" t="str">
        <f>Data!P1123</f>
        <v>ECOPETROL RUBIALES- Quifa - CAÑO SUR: Rb 111 Pco 13, Puerto Gaitán, Meta, Colombia</v>
      </c>
      <c r="I1125" s="42" t="str">
        <f>Data!Q1123</f>
        <v>Cliente, Vel Max 40 Km/h</v>
      </c>
      <c r="J1125" s="43">
        <f>Data!S1123</f>
        <v>46174.560372685184</v>
      </c>
      <c r="K1125" s="44">
        <f>Data!S1123</f>
        <v>46174.560372685184</v>
      </c>
      <c r="L1125" s="45">
        <f>Data!T1123</f>
        <v>7.8703703703703702E-5</v>
      </c>
      <c r="M1125" s="46">
        <f>Data!U1123</f>
        <v>7.597997784614563E-2</v>
      </c>
      <c r="N1125" s="46" t="str">
        <f>CONCATENATE(Data!W1123," (",Data!V1123,")")</f>
        <v>Exceso Velocidad 40 Km/h (Velocidad máxima: 42 kmh)</v>
      </c>
      <c r="O1125" s="42" t="str">
        <f>IF(Data!V1123&lt;&gt;"",N1125,Data!W1123)</f>
        <v>Exceso Velocidad 40 Km/h (Velocidad máxima: 42 kmh)</v>
      </c>
      <c r="P1125" s="47" t="str">
        <f>Data!X1123</f>
        <v>Válido</v>
      </c>
    </row>
    <row r="1126" spans="1:16">
      <c r="A1126" s="41" t="str">
        <f>Data!A1124</f>
        <v>QLO286</v>
      </c>
      <c r="B1126" s="41" t="str">
        <f>Data!D1124</f>
        <v>Vehicle, Diesel, ECP 1107 Rubiales Serv. Integrales</v>
      </c>
      <c r="C1126" s="41">
        <f>Data!F1124</f>
        <v>0</v>
      </c>
      <c r="D1126" s="41">
        <f>Data!G1124</f>
        <v>0</v>
      </c>
      <c r="E1126" s="41">
        <f>Data!H1124</f>
        <v>0</v>
      </c>
      <c r="F1126" s="41">
        <f>Data!K1124</f>
        <v>0</v>
      </c>
      <c r="G1126" s="33" t="str">
        <f>Data!M1124</f>
        <v>Exceso Velocidad 40 Km/h</v>
      </c>
      <c r="H1126" s="41" t="str">
        <f>Data!P1124</f>
        <v>ECOPETROL RUBIALES- Quifa - CAÑO SUR: Rb 111 Pco 13, Puerto Gaitán, Meta, Colombia</v>
      </c>
      <c r="I1126" s="42" t="str">
        <f>Data!Q1124</f>
        <v>Cliente, Vel Max 40 Km/h</v>
      </c>
      <c r="J1126" s="43">
        <f>Data!S1124</f>
        <v>46174.56050925926</v>
      </c>
      <c r="K1126" s="44">
        <f>Data!S1124</f>
        <v>46174.56050925926</v>
      </c>
      <c r="L1126" s="45">
        <f>Data!T1124</f>
        <v>4.6296296296296294E-5</v>
      </c>
      <c r="M1126" s="46">
        <f>Data!U1124</f>
        <v>4.2983740568161011E-2</v>
      </c>
      <c r="N1126" s="46" t="str">
        <f>CONCATENATE(Data!W1124," (",Data!V1124,")")</f>
        <v>Exceso Velocidad 40 Km/h (Velocidad máxima: 41 kmh)</v>
      </c>
      <c r="O1126" s="42" t="str">
        <f>IF(Data!V1124&lt;&gt;"",N1126,Data!W1124)</f>
        <v>Exceso Velocidad 40 Km/h (Velocidad máxima: 41 kmh)</v>
      </c>
      <c r="P1126" s="47" t="str">
        <f>Data!X1124</f>
        <v>Válido</v>
      </c>
    </row>
    <row r="1127" spans="1:16">
      <c r="A1127" s="41" t="str">
        <f>Data!A1125</f>
        <v>QLO286</v>
      </c>
      <c r="B1127" s="41" t="str">
        <f>Data!D1125</f>
        <v>Vehicle, Diesel, ECP 1107 Rubiales Serv. Integrales</v>
      </c>
      <c r="C1127" s="41">
        <f>Data!F1125</f>
        <v>0</v>
      </c>
      <c r="D1127" s="41">
        <f>Data!G1125</f>
        <v>0</v>
      </c>
      <c r="E1127" s="41">
        <f>Data!H1125</f>
        <v>0</v>
      </c>
      <c r="F1127" s="41">
        <f>Data!K1125</f>
        <v>0</v>
      </c>
      <c r="G1127" s="33" t="str">
        <f>Data!M1125</f>
        <v>Exceso Velocidad 40 Km/h</v>
      </c>
      <c r="H1127" s="41" t="str">
        <f>Data!P1125</f>
        <v>ECOPETROL RUBIALES- Quifa - CAÑO SUR: Rb 111 Pco 13, Puerto Gaitán, Meta, Colombia</v>
      </c>
      <c r="I1127" s="42" t="str">
        <f>Data!Q1125</f>
        <v>Cliente, Vel Max 40 Km/h</v>
      </c>
      <c r="J1127" s="43">
        <f>Data!S1125</f>
        <v>46174.560633680558</v>
      </c>
      <c r="K1127" s="44">
        <f>Data!S1125</f>
        <v>46174.560633680558</v>
      </c>
      <c r="L1127" s="45">
        <f>Data!T1125</f>
        <v>2.4594907407407405E-4</v>
      </c>
      <c r="M1127" s="46">
        <f>Data!U1125</f>
        <v>0.23895837366580963</v>
      </c>
      <c r="N1127" s="46" t="str">
        <f>CONCATENATE(Data!W1125," (",Data!V1125,")")</f>
        <v>Exceso Velocidad 40 Km/h (Velocidad máxima: 42 kmh)</v>
      </c>
      <c r="O1127" s="42" t="str">
        <f>IF(Data!V1125&lt;&gt;"",N1127,Data!W1125)</f>
        <v>Exceso Velocidad 40 Km/h (Velocidad máxima: 42 kmh)</v>
      </c>
      <c r="P1127" s="47" t="str">
        <f>Data!X1125</f>
        <v>Válido</v>
      </c>
    </row>
    <row r="1128" spans="1:16">
      <c r="A1128" s="41" t="str">
        <f>Data!A1126</f>
        <v>QLO286</v>
      </c>
      <c r="B1128" s="41" t="str">
        <f>Data!D1126</f>
        <v>Vehicle, Diesel, ECP 1107 Rubiales Serv. Integrales</v>
      </c>
      <c r="C1128" s="41">
        <f>Data!F1126</f>
        <v>0</v>
      </c>
      <c r="D1128" s="41">
        <f>Data!G1126</f>
        <v>0</v>
      </c>
      <c r="E1128" s="41">
        <f>Data!H1126</f>
        <v>0</v>
      </c>
      <c r="F1128" s="41">
        <f>Data!K1126</f>
        <v>0</v>
      </c>
      <c r="G1128" s="33" t="str">
        <f>Data!M1126</f>
        <v>Exceso Velocidad 40 Km/h</v>
      </c>
      <c r="H1128" s="41" t="str">
        <f>Data!P1126</f>
        <v>ECOPETROL RUBIALES- Quifa - CAÑO SUR: Cluster 41 Rb 111 Pco 13, Puerto Gaitán, Meta, Colombia</v>
      </c>
      <c r="I1128" s="42" t="str">
        <f>Data!Q1126</f>
        <v>Cliente, Vel Max 40 Km/h</v>
      </c>
      <c r="J1128" s="43">
        <f>Data!S1126</f>
        <v>46174.561406250104</v>
      </c>
      <c r="K1128" s="44">
        <f>Data!S1126</f>
        <v>46174.561406250104</v>
      </c>
      <c r="L1128" s="45">
        <f>Data!T1126</f>
        <v>5.7870370370370373E-5</v>
      </c>
      <c r="M1128" s="46">
        <f>Data!U1126</f>
        <v>5.6881330907344818E-2</v>
      </c>
      <c r="N1128" s="46" t="str">
        <f>CONCATENATE(Data!W1126," (",Data!V1126,")")</f>
        <v>Exceso Velocidad 40 Km/h (Velocidad máxima: 41 kmh)</v>
      </c>
      <c r="O1128" s="42" t="str">
        <f>IF(Data!V1126&lt;&gt;"",N1128,Data!W1126)</f>
        <v>Exceso Velocidad 40 Km/h (Velocidad máxima: 41 kmh)</v>
      </c>
      <c r="P1128" s="47" t="str">
        <f>Data!X1126</f>
        <v>Válido</v>
      </c>
    </row>
    <row r="1129" spans="1:16">
      <c r="A1129" s="41" t="str">
        <f>Data!A1127</f>
        <v>QLO286</v>
      </c>
      <c r="B1129" s="41" t="str">
        <f>Data!D1127</f>
        <v>Vehicle, Diesel, ECP 1107 Rubiales Serv. Integrales</v>
      </c>
      <c r="C1129" s="41">
        <f>Data!F1127</f>
        <v>0</v>
      </c>
      <c r="D1129" s="41">
        <f>Data!G1127</f>
        <v>0</v>
      </c>
      <c r="E1129" s="41">
        <f>Data!H1127</f>
        <v>0</v>
      </c>
      <c r="F1129" s="41">
        <f>Data!K1127</f>
        <v>0</v>
      </c>
      <c r="G1129" s="33" t="str">
        <f>Data!M1127</f>
        <v>Exceso Velocidad 40 Km/h</v>
      </c>
      <c r="H1129" s="41" t="str">
        <f>Data!P1127</f>
        <v>ECOPETROL RUBIALES- Quifa - CAÑO SUR: Arrayanes, Puerto Gaitán, Meta, Colombia</v>
      </c>
      <c r="I1129" s="42" t="str">
        <f>Data!Q1127</f>
        <v>Cliente, Vel Max 40 Km/h</v>
      </c>
      <c r="J1129" s="43">
        <f>Data!S1127</f>
        <v>46174.563003472322</v>
      </c>
      <c r="K1129" s="44">
        <f>Data!S1127</f>
        <v>46174.563003472322</v>
      </c>
      <c r="L1129" s="45">
        <f>Data!T1127</f>
        <v>3.4722222222222222E-5</v>
      </c>
      <c r="M1129" s="46">
        <f>Data!U1127</f>
        <v>3.1928431242704391E-2</v>
      </c>
      <c r="N1129" s="46" t="str">
        <f>CONCATENATE(Data!W1127," (",Data!V1127,")")</f>
        <v>Exceso Velocidad 40 Km/h (Velocidad máxima: 41 kmh)</v>
      </c>
      <c r="O1129" s="42" t="str">
        <f>IF(Data!V1127&lt;&gt;"",N1129,Data!W1127)</f>
        <v>Exceso Velocidad 40 Km/h (Velocidad máxima: 41 kmh)</v>
      </c>
      <c r="P1129" s="47" t="str">
        <f>Data!X1127</f>
        <v>Válido</v>
      </c>
    </row>
    <row r="1130" spans="1:16">
      <c r="A1130" s="41" t="str">
        <f>Data!A1128</f>
        <v>QLO286</v>
      </c>
      <c r="B1130" s="41" t="str">
        <f>Data!D1128</f>
        <v>Vehicle, Diesel, ECP 1107 Rubiales Serv. Integrales</v>
      </c>
      <c r="C1130" s="41">
        <f>Data!F1128</f>
        <v>0</v>
      </c>
      <c r="D1130" s="41">
        <f>Data!G1128</f>
        <v>0</v>
      </c>
      <c r="E1130" s="41">
        <f>Data!H1128</f>
        <v>0</v>
      </c>
      <c r="F1130" s="41">
        <f>Data!K1128</f>
        <v>0</v>
      </c>
      <c r="G1130" s="33" t="str">
        <f>Data!M1128</f>
        <v>Exceso Velocidad 40 Km/h</v>
      </c>
      <c r="H1130" s="41" t="str">
        <f>Data!P1128</f>
        <v>ECOPETROL RUBIALES- Quifa - CAÑO SUR: Arrayanes, Puerto Gaitán, Meta, Colombia</v>
      </c>
      <c r="I1130" s="42" t="str">
        <f>Data!Q1128</f>
        <v>Cliente, Vel Max 40 Km/h</v>
      </c>
      <c r="J1130" s="43">
        <f>Data!S1128</f>
        <v>46174.563179016201</v>
      </c>
      <c r="K1130" s="44">
        <f>Data!S1128</f>
        <v>46174.563179016201</v>
      </c>
      <c r="L1130" s="45">
        <f>Data!T1128</f>
        <v>4.8533564814814815E-4</v>
      </c>
      <c r="M1130" s="46">
        <f>Data!U1128</f>
        <v>0.49029982089996338</v>
      </c>
      <c r="N1130" s="46" t="str">
        <f>CONCATENATE(Data!W1128," (",Data!V1128,")")</f>
        <v>Exceso Velocidad 40 Km/h (Velocidad máxima: 44 kmh)</v>
      </c>
      <c r="O1130" s="42" t="str">
        <f>IF(Data!V1128&lt;&gt;"",N1130,Data!W1128)</f>
        <v>Exceso Velocidad 40 Km/h (Velocidad máxima: 44 kmh)</v>
      </c>
      <c r="P1130" s="47" t="str">
        <f>Data!X1128</f>
        <v>Válido</v>
      </c>
    </row>
    <row r="1131" spans="1:16">
      <c r="A1131" s="41" t="str">
        <f>Data!A1129</f>
        <v>QLO286</v>
      </c>
      <c r="B1131" s="41" t="str">
        <f>Data!D1129</f>
        <v>Vehicle, Diesel, ECP 1107 Rubiales Serv. Integrales</v>
      </c>
      <c r="C1131" s="41">
        <f>Data!F1129</f>
        <v>0</v>
      </c>
      <c r="D1131" s="41">
        <f>Data!G1129</f>
        <v>0</v>
      </c>
      <c r="E1131" s="41">
        <f>Data!H1129</f>
        <v>0</v>
      </c>
      <c r="F1131" s="41">
        <f>Data!K1129</f>
        <v>0</v>
      </c>
      <c r="G1131" s="33" t="str">
        <f>Data!M1129</f>
        <v>Exceso Velocidad 40 Km/h</v>
      </c>
      <c r="H1131" s="41" t="str">
        <f>Data!P1129</f>
        <v>ECOPETROL RUBIALES- Quifa - CAÑO SUR: Arrayanes, Puerto Gaitán, Meta, Colombia</v>
      </c>
      <c r="I1131" s="42" t="str">
        <f>Data!Q1129</f>
        <v>Cliente, Vel Max 40 Km/h</v>
      </c>
      <c r="J1131" s="43">
        <f>Data!S1129</f>
        <v>46174.563753854163</v>
      </c>
      <c r="K1131" s="44">
        <f>Data!S1129</f>
        <v>46174.563753854163</v>
      </c>
      <c r="L1131" s="45">
        <f>Data!T1129</f>
        <v>1.4275462962962964E-4</v>
      </c>
      <c r="M1131" s="46">
        <f>Data!U1129</f>
        <v>0.14286796748638153</v>
      </c>
      <c r="N1131" s="46" t="str">
        <f>CONCATENATE(Data!W1129," (",Data!V1129,")")</f>
        <v>Exceso Velocidad 40 Km/h (Velocidad máxima: 42 kmh)</v>
      </c>
      <c r="O1131" s="42" t="str">
        <f>IF(Data!V1129&lt;&gt;"",N1131,Data!W1129)</f>
        <v>Exceso Velocidad 40 Km/h (Velocidad máxima: 42 kmh)</v>
      </c>
      <c r="P1131" s="47" t="str">
        <f>Data!X1129</f>
        <v>Válido</v>
      </c>
    </row>
    <row r="1132" spans="1:16">
      <c r="A1132" s="41" t="str">
        <f>Data!A1130</f>
        <v>QLO286</v>
      </c>
      <c r="B1132" s="41" t="str">
        <f>Data!D1130</f>
        <v>Vehicle, Diesel, ECP 1107 Rubiales Serv. Integrales</v>
      </c>
      <c r="C1132" s="41">
        <f>Data!F1130</f>
        <v>0</v>
      </c>
      <c r="D1132" s="41">
        <f>Data!G1130</f>
        <v>0</v>
      </c>
      <c r="E1132" s="41">
        <f>Data!H1130</f>
        <v>0</v>
      </c>
      <c r="F1132" s="41">
        <f>Data!K1130</f>
        <v>0</v>
      </c>
      <c r="G1132" s="33" t="str">
        <f>Data!M1130</f>
        <v>Exceso Velocidad 40 Km/h</v>
      </c>
      <c r="H1132" s="41" t="str">
        <f>Data!P1130</f>
        <v>ECOPETROL RUBIALES- Quifa - CAÑO SUR: Campamento Manacacias, Puerto Gaitán, Meta, Colombia</v>
      </c>
      <c r="I1132" s="42" t="str">
        <f>Data!Q1130</f>
        <v>Cliente, Vel Max 40 Km/h</v>
      </c>
      <c r="J1132" s="43">
        <f>Data!S1130</f>
        <v>46174.564571759256</v>
      </c>
      <c r="K1132" s="44">
        <f>Data!S1130</f>
        <v>46174.564571759256</v>
      </c>
      <c r="L1132" s="45">
        <f>Data!T1130</f>
        <v>6.3657507407407395E-5</v>
      </c>
      <c r="M1132" s="46">
        <f>Data!U1130</f>
        <v>5.8920226991176605E-2</v>
      </c>
      <c r="N1132" s="46" t="str">
        <f>CONCATENATE(Data!W1130," (",Data!V1130,")")</f>
        <v>Exceso Velocidad 40 Km/h (Velocidad máxima: 41 kmh)</v>
      </c>
      <c r="O1132" s="42" t="str">
        <f>IF(Data!V1130&lt;&gt;"",N1132,Data!W1130)</f>
        <v>Exceso Velocidad 40 Km/h (Velocidad máxima: 41 kmh)</v>
      </c>
      <c r="P1132" s="47" t="str">
        <f>Data!X1130</f>
        <v>Válido</v>
      </c>
    </row>
    <row r="1133" spans="1:16">
      <c r="A1133" s="41" t="str">
        <f>Data!A1131</f>
        <v>QLO286</v>
      </c>
      <c r="B1133" s="41" t="str">
        <f>Data!D1131</f>
        <v>Vehicle, Diesel, ECP 1107 Rubiales Serv. Integrales</v>
      </c>
      <c r="C1133" s="41">
        <f>Data!F1131</f>
        <v>0</v>
      </c>
      <c r="D1133" s="41">
        <f>Data!G1131</f>
        <v>0</v>
      </c>
      <c r="E1133" s="41">
        <f>Data!H1131</f>
        <v>0</v>
      </c>
      <c r="F1133" s="41">
        <f>Data!K1131</f>
        <v>0</v>
      </c>
      <c r="G1133" s="33" t="str">
        <f>Data!M1131</f>
        <v>Exceso Velocidad 20 Km/h</v>
      </c>
      <c r="H1133" s="41" t="str">
        <f>Data!P1131</f>
        <v>ECOPETROL RUBIALES- Quifa - CAÑO SUR, CAMPAMENTO ARRAYANES: Campamento Manacacias, Puerto Gaitán, Meta, Colombia</v>
      </c>
      <c r="I1133" s="42" t="str">
        <f>Data!Q1131</f>
        <v>Cliente, Vel Max 40 Km/h, Vel Max 20 Km/h</v>
      </c>
      <c r="J1133" s="43">
        <f>Data!S1131</f>
        <v>46174.565083483794</v>
      </c>
      <c r="K1133" s="44">
        <f>Data!S1131</f>
        <v>46174.565083483794</v>
      </c>
      <c r="L1133" s="45">
        <f>Data!T1131</f>
        <v>3.1003472222222223E-4</v>
      </c>
      <c r="M1133" s="46">
        <f>Data!U1131</f>
        <v>0.16963499784469604</v>
      </c>
      <c r="N1133" s="46" t="str">
        <f>CONCATENATE(Data!W1131," (",Data!V1131,")")</f>
        <v>Exceso Velocidad 20 Km/h (Velocidad máxima: 26 kmh)</v>
      </c>
      <c r="O1133" s="42" t="str">
        <f>IF(Data!V1131&lt;&gt;"",N1133,Data!W1131)</f>
        <v>Exceso Velocidad 20 Km/h (Velocidad máxima: 26 kmh)</v>
      </c>
      <c r="P1133" s="47" t="str">
        <f>Data!X1131</f>
        <v>Válido</v>
      </c>
    </row>
    <row r="1134" spans="1:16">
      <c r="A1134" s="41" t="str">
        <f>Data!A1132</f>
        <v>QLO286</v>
      </c>
      <c r="B1134" s="41" t="str">
        <f>Data!D1132</f>
        <v>Vehicle, Diesel, ECP 1107 Rubiales Serv. Integrales</v>
      </c>
      <c r="C1134" s="41">
        <f>Data!F1132</f>
        <v>0</v>
      </c>
      <c r="D1134" s="41">
        <f>Data!G1132</f>
        <v>0</v>
      </c>
      <c r="E1134" s="41">
        <f>Data!H1132</f>
        <v>0</v>
      </c>
      <c r="F1134" s="41">
        <f>Data!K1132</f>
        <v>0</v>
      </c>
      <c r="G1134" s="33" t="str">
        <f>Data!M1132</f>
        <v>Exceso Velocidad 20 Km/h</v>
      </c>
      <c r="H1134" s="41" t="str">
        <f>Data!P1132</f>
        <v>ECOPETROL RUBIALES- Quifa - CAÑO SUR, CAMPAMENTO ARRAYANES: Paradero Arrayanes, Puerto Gaitán, Meta, Colombia</v>
      </c>
      <c r="I1134" s="42" t="str">
        <f>Data!Q1132</f>
        <v>Cliente, Vel Max 40 Km/h, Vel Max 20 Km/h</v>
      </c>
      <c r="J1134" s="43">
        <f>Data!S1132</f>
        <v>46174.566618055556</v>
      </c>
      <c r="K1134" s="44">
        <f>Data!S1132</f>
        <v>46174.566618055556</v>
      </c>
      <c r="L1134" s="45">
        <f>Data!T1132</f>
        <v>1.238425925925926E-4</v>
      </c>
      <c r="M1134" s="46">
        <f>Data!U1132</f>
        <v>5.6812867522239685E-2</v>
      </c>
      <c r="N1134" s="46" t="str">
        <f>CONCATENATE(Data!W1132," (",Data!V1132,")")</f>
        <v>Exceso Velocidad 20 Km/h (Velocidad máxima: 22 kmh)</v>
      </c>
      <c r="O1134" s="42" t="str">
        <f>IF(Data!V1132&lt;&gt;"",N1134,Data!W1132)</f>
        <v>Exceso Velocidad 20 Km/h (Velocidad máxima: 22 kmh)</v>
      </c>
      <c r="P1134" s="47" t="str">
        <f>Data!X1132</f>
        <v>Válido</v>
      </c>
    </row>
    <row r="1135" spans="1:16">
      <c r="A1135" s="41" t="str">
        <f>Data!A1133</f>
        <v>QLO286</v>
      </c>
      <c r="B1135" s="41" t="str">
        <f>Data!D1133</f>
        <v>Vehicle, Diesel, ECP 1107 Rubiales Serv. Integrales</v>
      </c>
      <c r="C1135" s="41">
        <f>Data!F1133</f>
        <v>0</v>
      </c>
      <c r="D1135" s="41">
        <f>Data!G1133</f>
        <v>0</v>
      </c>
      <c r="E1135" s="41">
        <f>Data!H1133</f>
        <v>0</v>
      </c>
      <c r="F1135" s="41">
        <f>Data!K1133</f>
        <v>0</v>
      </c>
      <c r="G1135" s="33" t="str">
        <f>Data!M1133</f>
        <v>Exceso Velocidad 20 Km/h</v>
      </c>
      <c r="H1135" s="41" t="str">
        <f>Data!P1133</f>
        <v>ECOPETROL RUBIALES- Quifa - CAÑO SUR, CAMPAMENTO ARRAYANES: Vía Arrayanes, Puerto Gaitán, Meta, Colombia</v>
      </c>
      <c r="I1135" s="42" t="str">
        <f>Data!Q1133</f>
        <v>Cliente, Vel Max 40 Km/h, Vel Max 20 Km/h</v>
      </c>
      <c r="J1135" s="43">
        <f>Data!S1133</f>
        <v>46174.567257997682</v>
      </c>
      <c r="K1135" s="44">
        <f>Data!S1133</f>
        <v>46174.567257997682</v>
      </c>
      <c r="L1135" s="45">
        <f>Data!T1133</f>
        <v>2.2245370370370371E-5</v>
      </c>
      <c r="M1135" s="46">
        <f>Data!U1133</f>
        <v>1.2394759804010391E-2</v>
      </c>
      <c r="N1135" s="46" t="str">
        <f>CONCATENATE(Data!W1133," (",Data!V1133,")")</f>
        <v>Exceso Velocidad 20 Km/h (Velocidad máxima: 24 kmh)</v>
      </c>
      <c r="O1135" s="42" t="str">
        <f>IF(Data!V1133&lt;&gt;"",N1135,Data!W1133)</f>
        <v>Exceso Velocidad 20 Km/h (Velocidad máxima: 24 kmh)</v>
      </c>
      <c r="P1135" s="47" t="str">
        <f>Data!X1133</f>
        <v>Válido</v>
      </c>
    </row>
    <row r="1136" spans="1:16">
      <c r="A1136" s="41" t="str">
        <f>Data!A1134</f>
        <v>QLO286</v>
      </c>
      <c r="B1136" s="41" t="str">
        <f>Data!D1134</f>
        <v>Vehicle, Diesel, ECP 1107 Rubiales Serv. Integrales</v>
      </c>
      <c r="C1136" s="41">
        <f>Data!F1134</f>
        <v>0</v>
      </c>
      <c r="D1136" s="41">
        <f>Data!G1134</f>
        <v>0</v>
      </c>
      <c r="E1136" s="41">
        <f>Data!H1134</f>
        <v>0</v>
      </c>
      <c r="F1136" s="41">
        <f>Data!K1134</f>
        <v>0</v>
      </c>
      <c r="G1136" s="33" t="str">
        <f>Data!M1134</f>
        <v>Exceso Velocidad 40 Km/h</v>
      </c>
      <c r="H1136" s="41" t="str">
        <f>Data!P1134</f>
        <v>ECOPETROL RUBIALES- Quifa - CAÑO SUR: Vía Arrayanes, Puerto Gaitán, Meta, Colombia</v>
      </c>
      <c r="I1136" s="42" t="str">
        <f>Data!Q1134</f>
        <v>Cliente, Vel Max 40 Km/h</v>
      </c>
      <c r="J1136" s="43">
        <f>Data!S1134</f>
        <v>46174.567393159719</v>
      </c>
      <c r="K1136" s="44">
        <f>Data!S1134</f>
        <v>46174.567393159719</v>
      </c>
      <c r="L1136" s="45">
        <f>Data!T1134</f>
        <v>1.7049768518518518E-4</v>
      </c>
      <c r="M1136" s="46">
        <f>Data!U1134</f>
        <v>0.16536796092987061</v>
      </c>
      <c r="N1136" s="46" t="str">
        <f>CONCATENATE(Data!W1134," (",Data!V1134,")")</f>
        <v>Exceso Velocidad 40 Km/h (Velocidad máxima: 42 kmh)</v>
      </c>
      <c r="O1136" s="42" t="str">
        <f>IF(Data!V1134&lt;&gt;"",N1136,Data!W1134)</f>
        <v>Exceso Velocidad 40 Km/h (Velocidad máxima: 42 kmh)</v>
      </c>
      <c r="P1136" s="47" t="str">
        <f>Data!X1134</f>
        <v>Válido</v>
      </c>
    </row>
    <row r="1137" spans="1:16">
      <c r="A1137" s="41" t="str">
        <f>Data!A1135</f>
        <v>QLO286</v>
      </c>
      <c r="B1137" s="41" t="str">
        <f>Data!D1135</f>
        <v>Vehicle, Diesel, ECP 1107 Rubiales Serv. Integrales</v>
      </c>
      <c r="C1137" s="41">
        <f>Data!F1135</f>
        <v>0</v>
      </c>
      <c r="D1137" s="41">
        <f>Data!G1135</f>
        <v>0</v>
      </c>
      <c r="E1137" s="41">
        <f>Data!H1135</f>
        <v>0</v>
      </c>
      <c r="F1137" s="41">
        <f>Data!K1135</f>
        <v>0</v>
      </c>
      <c r="G1137" s="33" t="str">
        <f>Data!M1135</f>
        <v>Exceso Velocidad 40 Km/h</v>
      </c>
      <c r="H1137" s="41" t="str">
        <f>Data!P1135</f>
        <v>ECOPETROL RUBIALES- Quifa - CAÑO SUR: Vía Arrayanes, Puerto Gaitán, Meta, Colombia</v>
      </c>
      <c r="I1137" s="42" t="str">
        <f>Data!Q1135</f>
        <v>Cliente, Vel Max 40 Km/h</v>
      </c>
      <c r="J1137" s="43">
        <f>Data!S1135</f>
        <v>46174.568556134262</v>
      </c>
      <c r="K1137" s="44">
        <f>Data!S1135</f>
        <v>46174.568556134262</v>
      </c>
      <c r="L1137" s="45">
        <f>Data!T1135</f>
        <v>4.3402777777777779E-5</v>
      </c>
      <c r="M1137" s="46">
        <f>Data!U1135</f>
        <v>4.1067399084568024E-2</v>
      </c>
      <c r="N1137" s="46" t="str">
        <f>CONCATENATE(Data!W1135," (",Data!V1135,")")</f>
        <v>Exceso Velocidad 40 Km/h (Velocidad máxima: 41 kmh)</v>
      </c>
      <c r="O1137" s="42" t="str">
        <f>IF(Data!V1135&lt;&gt;"",N1137,Data!W1135)</f>
        <v>Exceso Velocidad 40 Km/h (Velocidad máxima: 41 kmh)</v>
      </c>
      <c r="P1137" s="47" t="str">
        <f>Data!X1135</f>
        <v>Válido</v>
      </c>
    </row>
    <row r="1138" spans="1:16">
      <c r="A1138" s="41" t="str">
        <f>Data!A1136</f>
        <v>QLO286</v>
      </c>
      <c r="B1138" s="41" t="str">
        <f>Data!D1136</f>
        <v>Vehicle, Diesel, ECP 1107 Rubiales Serv. Integrales</v>
      </c>
      <c r="C1138" s="41">
        <f>Data!F1136</f>
        <v>0</v>
      </c>
      <c r="D1138" s="41">
        <f>Data!G1136</f>
        <v>0</v>
      </c>
      <c r="E1138" s="41">
        <f>Data!H1136</f>
        <v>0</v>
      </c>
      <c r="F1138" s="41">
        <f>Data!K1136</f>
        <v>0</v>
      </c>
      <c r="G1138" s="33" t="str">
        <f>Data!M1136</f>
        <v>Exceso Velocidad 40 Km/h</v>
      </c>
      <c r="H1138" s="41" t="str">
        <f>Data!P1136</f>
        <v>ECOPETROL RUBIALES- Quifa - CAÑO SUR: Vía Arrayanes, Puerto Gaitán, Meta, Colombia</v>
      </c>
      <c r="I1138" s="42" t="str">
        <f>Data!Q1136</f>
        <v>Cliente, Vel Max 40 Km/h</v>
      </c>
      <c r="J1138" s="43">
        <f>Data!S1136</f>
        <v>46174.568981481483</v>
      </c>
      <c r="K1138" s="44">
        <f>Data!S1136</f>
        <v>46174.568981481483</v>
      </c>
      <c r="L1138" s="45">
        <f>Data!T1136</f>
        <v>6.0763888888888887E-5</v>
      </c>
      <c r="M1138" s="46">
        <f>Data!U1136</f>
        <v>5.72996586561203E-2</v>
      </c>
      <c r="N1138" s="46" t="str">
        <f>CONCATENATE(Data!W1136," (",Data!V1136,")")</f>
        <v>Exceso Velocidad 40 Km/h (Velocidad máxima: 41 kmh)</v>
      </c>
      <c r="O1138" s="42" t="str">
        <f>IF(Data!V1136&lt;&gt;"",N1138,Data!W1136)</f>
        <v>Exceso Velocidad 40 Km/h (Velocidad máxima: 41 kmh)</v>
      </c>
      <c r="P1138" s="47" t="str">
        <f>Data!X1136</f>
        <v>Válido</v>
      </c>
    </row>
    <row r="1139" spans="1:16">
      <c r="A1139" s="41" t="str">
        <f>Data!A1137</f>
        <v>QLO286</v>
      </c>
      <c r="B1139" s="41" t="str">
        <f>Data!D1137</f>
        <v>Vehicle, Diesel, ECP 1107 Rubiales Serv. Integrales</v>
      </c>
      <c r="C1139" s="41">
        <f>Data!F1137</f>
        <v>0</v>
      </c>
      <c r="D1139" s="41">
        <f>Data!G1137</f>
        <v>0</v>
      </c>
      <c r="E1139" s="41">
        <f>Data!H1137</f>
        <v>0</v>
      </c>
      <c r="F1139" s="41">
        <f>Data!K1137</f>
        <v>0</v>
      </c>
      <c r="G1139" s="33" t="str">
        <f>Data!M1137</f>
        <v>Exceso Velocidad 40 Km/h</v>
      </c>
      <c r="H1139" s="41" t="str">
        <f>Data!P1137</f>
        <v>ECOPETROL RUBIALES- Quifa - CAÑO SUR: Vía Arrayanes, Puerto Gaitán, Meta, Colombia</v>
      </c>
      <c r="I1139" s="42" t="str">
        <f>Data!Q1137</f>
        <v>Cliente, Vel Max 40 Km/h</v>
      </c>
      <c r="J1139" s="43">
        <f>Data!S1137</f>
        <v>46174.569675925923</v>
      </c>
      <c r="K1139" s="44">
        <f>Data!S1137</f>
        <v>46174.569675925923</v>
      </c>
      <c r="L1139" s="45">
        <f>Data!T1137</f>
        <v>4.6296296296296294E-5</v>
      </c>
      <c r="M1139" s="46">
        <f>Data!U1137</f>
        <v>4.3806053698062897E-2</v>
      </c>
      <c r="N1139" s="46" t="str">
        <f>CONCATENATE(Data!W1137," (",Data!V1137,")")</f>
        <v>Exceso Velocidad 40 Km/h (Velocidad máxima: 41 kmh)</v>
      </c>
      <c r="O1139" s="42" t="str">
        <f>IF(Data!V1137&lt;&gt;"",N1139,Data!W1137)</f>
        <v>Exceso Velocidad 40 Km/h (Velocidad máxima: 41 kmh)</v>
      </c>
      <c r="P1139" s="47" t="str">
        <f>Data!X1137</f>
        <v>Válido</v>
      </c>
    </row>
    <row r="1140" spans="1:16">
      <c r="A1140" s="41" t="str">
        <f>Data!A1138</f>
        <v>QLO286</v>
      </c>
      <c r="B1140" s="41" t="str">
        <f>Data!D1138</f>
        <v>Vehicle, Diesel, ECP 1107 Rubiales Serv. Integrales</v>
      </c>
      <c r="C1140" s="41">
        <f>Data!F1138</f>
        <v>0</v>
      </c>
      <c r="D1140" s="41">
        <f>Data!G1138</f>
        <v>0</v>
      </c>
      <c r="E1140" s="41">
        <f>Data!H1138</f>
        <v>0</v>
      </c>
      <c r="F1140" s="41">
        <f>Data!K1138</f>
        <v>0</v>
      </c>
      <c r="G1140" s="33" t="str">
        <f>Data!M1138</f>
        <v>Exceso Velocidad 10 Km/h</v>
      </c>
      <c r="H1140" s="41" t="str">
        <f>Data!P1138</f>
        <v>ECOPETROL RUBIALES- Quifa - CAÑO SUR, CPF 2: Vía CPF 2, Puerto Gaitán, Meta, Colombia</v>
      </c>
      <c r="I1140" s="42" t="str">
        <f>Data!Q1138</f>
        <v>Cliente, Vel Max 40 Km/h, Vel Max 10 Km/h</v>
      </c>
      <c r="J1140" s="43">
        <f>Data!S1138</f>
        <v>46174.570237615742</v>
      </c>
      <c r="K1140" s="44">
        <f>Data!S1138</f>
        <v>46174.570237615742</v>
      </c>
      <c r="L1140" s="45">
        <f>Data!T1138</f>
        <v>6.4862268518518513E-4</v>
      </c>
      <c r="M1140" s="46">
        <f>Data!U1138</f>
        <v>0.2909921407699585</v>
      </c>
      <c r="N1140" s="46" t="str">
        <f>CONCATENATE(Data!W1138," (",Data!V1138,")")</f>
        <v>Exceso Velocidad 10 Km/h (Velocidad máxima: 28 kmh)</v>
      </c>
      <c r="O1140" s="42" t="str">
        <f>IF(Data!V1138&lt;&gt;"",N1140,Data!W1138)</f>
        <v>Exceso Velocidad 10 Km/h (Velocidad máxima: 28 kmh)</v>
      </c>
      <c r="P1140" s="47" t="str">
        <f>Data!X1138</f>
        <v>Válido</v>
      </c>
    </row>
    <row r="1141" spans="1:16">
      <c r="A1141" s="41" t="str">
        <f>Data!A1139</f>
        <v>QLO286</v>
      </c>
      <c r="B1141" s="41" t="str">
        <f>Data!D1139</f>
        <v>Vehicle, Diesel, ECP 1107 Rubiales Serv. Integrales</v>
      </c>
      <c r="C1141" s="41">
        <f>Data!F1139</f>
        <v>0</v>
      </c>
      <c r="D1141" s="41">
        <f>Data!G1139</f>
        <v>0</v>
      </c>
      <c r="E1141" s="41">
        <f>Data!H1139</f>
        <v>0</v>
      </c>
      <c r="F1141" s="41">
        <f>Data!K1139</f>
        <v>0</v>
      </c>
      <c r="G1141" s="33" t="str">
        <f>Data!M1139</f>
        <v>Exceso Velocidad 10 Km/h</v>
      </c>
      <c r="H1141" s="41" t="str">
        <f>Data!P1139</f>
        <v>ECOPETROL RUBIALES- Quifa - CAÑO SUR, CPF 2: Vía CPF 2, Puerto Gaitán, Meta, Colombia</v>
      </c>
      <c r="I1141" s="42" t="str">
        <f>Data!Q1139</f>
        <v>Cliente, Vel Max 40 Km/h, Vel Max 10 Km/h</v>
      </c>
      <c r="J1141" s="43">
        <f>Data!S1139</f>
        <v>46174.57097453704</v>
      </c>
      <c r="K1141" s="44">
        <f>Data!S1139</f>
        <v>46174.57097453704</v>
      </c>
      <c r="L1141" s="45">
        <f>Data!T1139</f>
        <v>7.7418981481481479E-5</v>
      </c>
      <c r="M1141" s="46">
        <f>Data!U1139</f>
        <v>1.9396491348743439E-2</v>
      </c>
      <c r="N1141" s="46" t="str">
        <f>CONCATENATE(Data!W1139," (",Data!V1139,")")</f>
        <v>Exceso Velocidad 10 Km/h (Velocidad máxima: 12 kmh)</v>
      </c>
      <c r="O1141" s="42" t="str">
        <f>IF(Data!V1139&lt;&gt;"",N1141,Data!W1139)</f>
        <v>Exceso Velocidad 10 Km/h (Velocidad máxima: 12 kmh)</v>
      </c>
      <c r="P1141" s="47" t="str">
        <f>Data!X1139</f>
        <v>Válido</v>
      </c>
    </row>
    <row r="1142" spans="1:16">
      <c r="A1142" s="41" t="str">
        <f>Data!A1140</f>
        <v>QLO286</v>
      </c>
      <c r="B1142" s="41" t="str">
        <f>Data!D1140</f>
        <v>Vehicle, Diesel, ECP 1107 Rubiales Serv. Integrales</v>
      </c>
      <c r="C1142" s="41">
        <f>Data!F1140</f>
        <v>0</v>
      </c>
      <c r="D1142" s="41">
        <f>Data!G1140</f>
        <v>0</v>
      </c>
      <c r="E1142" s="41">
        <f>Data!H1140</f>
        <v>0</v>
      </c>
      <c r="F1142" s="41">
        <f>Data!K1140</f>
        <v>0</v>
      </c>
      <c r="G1142" s="33" t="str">
        <f>Data!M1140</f>
        <v>Exceso Velocidad 10 Km/h</v>
      </c>
      <c r="H1142" s="41" t="str">
        <f>Data!P1140</f>
        <v>ECOPETROL RUBIALES- Quifa - CAÑO SUR, CPF 2: Vía CPF 2, Puerto Gaitán, Meta, Colombia</v>
      </c>
      <c r="I1142" s="42" t="str">
        <f>Data!Q1140</f>
        <v>Cliente, Vel Max 40 Km/h, Vel Max 10 Km/h</v>
      </c>
      <c r="J1142" s="43">
        <f>Data!S1140</f>
        <v>46174.571128472322</v>
      </c>
      <c r="K1142" s="44">
        <f>Data!S1140</f>
        <v>46174.571128472322</v>
      </c>
      <c r="L1142" s="45">
        <f>Data!T1140</f>
        <v>1.9785069444444446E-3</v>
      </c>
      <c r="M1142" s="46">
        <f>Data!U1140</f>
        <v>0.73523461818695068</v>
      </c>
      <c r="N1142" s="46" t="str">
        <f>CONCATENATE(Data!W1140," (",Data!V1140,")")</f>
        <v>Exceso Velocidad 10 Km/h (Velocidad máxima: 22 kmh)</v>
      </c>
      <c r="O1142" s="42" t="str">
        <f>IF(Data!V1140&lt;&gt;"",N1142,Data!W1140)</f>
        <v>Exceso Velocidad 10 Km/h (Velocidad máxima: 22 kmh)</v>
      </c>
      <c r="P1142" s="47" t="str">
        <f>Data!X1140</f>
        <v>Válido</v>
      </c>
    </row>
    <row r="1143" spans="1:16">
      <c r="A1143" s="41" t="str">
        <f>Data!A1141</f>
        <v>QLO286</v>
      </c>
      <c r="B1143" s="41" t="str">
        <f>Data!D1141</f>
        <v>Vehicle, Diesel, ECP 1107 Rubiales Serv. Integrales</v>
      </c>
      <c r="C1143" s="41">
        <f>Data!F1141</f>
        <v>0</v>
      </c>
      <c r="D1143" s="41">
        <f>Data!G1141</f>
        <v>0</v>
      </c>
      <c r="E1143" s="41">
        <f>Data!H1141</f>
        <v>0</v>
      </c>
      <c r="F1143" s="41">
        <f>Data!K1141</f>
        <v>0</v>
      </c>
      <c r="G1143" s="33" t="str">
        <f>Data!M1141</f>
        <v>Exceso Velocidad 10 Km/h</v>
      </c>
      <c r="H1143" s="41" t="str">
        <f>Data!P1141</f>
        <v>ECOPETROL RUBIALES- Quifa - CAÑO SUR, CPF 2: Vía CPF 2, Puerto Gaitán, Meta, Colombia</v>
      </c>
      <c r="I1143" s="42" t="str">
        <f>Data!Q1141</f>
        <v>Cliente, Vel Max 40 Km/h, Vel Max 10 Km/h</v>
      </c>
      <c r="J1143" s="43">
        <f>Data!S1141</f>
        <v>46174.57353209491</v>
      </c>
      <c r="K1143" s="44">
        <f>Data!S1141</f>
        <v>46174.57353209491</v>
      </c>
      <c r="L1143" s="45">
        <f>Data!T1141</f>
        <v>1.2531249999999999E-4</v>
      </c>
      <c r="M1143" s="46">
        <f>Data!U1141</f>
        <v>4.2611192911863327E-2</v>
      </c>
      <c r="N1143" s="46" t="str">
        <f>CONCATENATE(Data!W1141," (",Data!V1141,")")</f>
        <v>Exceso Velocidad 10 Km/h (Velocidad máxima: 16 kmh)</v>
      </c>
      <c r="O1143" s="42" t="str">
        <f>IF(Data!V1141&lt;&gt;"",N1143,Data!W1141)</f>
        <v>Exceso Velocidad 10 Km/h (Velocidad máxima: 16 kmh)</v>
      </c>
      <c r="P1143" s="47" t="str">
        <f>Data!X1141</f>
        <v>Válido</v>
      </c>
    </row>
    <row r="1144" spans="1:16">
      <c r="A1144" s="41" t="str">
        <f>Data!A1142</f>
        <v>QLO286</v>
      </c>
      <c r="B1144" s="41" t="str">
        <f>Data!D1142</f>
        <v>Vehicle, Diesel, ECP 1107 Rubiales Serv. Integrales</v>
      </c>
      <c r="C1144" s="41">
        <f>Data!F1142</f>
        <v>0</v>
      </c>
      <c r="D1144" s="41">
        <f>Data!G1142</f>
        <v>0</v>
      </c>
      <c r="E1144" s="41">
        <f>Data!H1142</f>
        <v>0</v>
      </c>
      <c r="F1144" s="41">
        <f>Data!K1142</f>
        <v>0</v>
      </c>
      <c r="G1144" s="33" t="str">
        <f>Data!M1142</f>
        <v>Exceso Velocidad 10 Km/h</v>
      </c>
      <c r="H1144" s="41" t="str">
        <f>Data!P1142</f>
        <v>ECOPETROL RUBIALES- Quifa - CAÑO SUR, CPF 2: Vía CPF 2, Puerto Gaitán, Meta, Colombia</v>
      </c>
      <c r="I1144" s="42" t="str">
        <f>Data!Q1142</f>
        <v>Cliente, Vel Max 40 Km/h, Vel Max 10 Km/h</v>
      </c>
      <c r="J1144" s="43">
        <f>Data!S1142</f>
        <v>46174.573657407411</v>
      </c>
      <c r="K1144" s="44">
        <f>Data!S1142</f>
        <v>46174.573657407411</v>
      </c>
      <c r="L1144" s="45">
        <f>Data!T1142</f>
        <v>1.1316898148148148E-3</v>
      </c>
      <c r="M1144" s="46">
        <f>Data!U1142</f>
        <v>0.41876477003097534</v>
      </c>
      <c r="N1144" s="46" t="str">
        <f>CONCATENATE(Data!W1142," (",Data!V1142,")")</f>
        <v>Exceso Velocidad 10 Km/h (Velocidad máxima: 17 kmh)</v>
      </c>
      <c r="O1144" s="42" t="str">
        <f>IF(Data!V1142&lt;&gt;"",N1144,Data!W1142)</f>
        <v>Exceso Velocidad 10 Km/h (Velocidad máxima: 17 kmh)</v>
      </c>
      <c r="P1144" s="47" t="str">
        <f>Data!X1142</f>
        <v>Válido</v>
      </c>
    </row>
    <row r="1145" spans="1:16">
      <c r="A1145" s="41" t="str">
        <f>Data!A1143</f>
        <v>QLO286</v>
      </c>
      <c r="B1145" s="41" t="str">
        <f>Data!D1143</f>
        <v>Vehicle, Diesel, ECP 1107 Rubiales Serv. Integrales</v>
      </c>
      <c r="C1145" s="41">
        <f>Data!F1143</f>
        <v>0</v>
      </c>
      <c r="D1145" s="41">
        <f>Data!G1143</f>
        <v>0</v>
      </c>
      <c r="E1145" s="41">
        <f>Data!H1143</f>
        <v>0</v>
      </c>
      <c r="F1145" s="41">
        <f>Data!K1143</f>
        <v>0</v>
      </c>
      <c r="G1145" s="33" t="str">
        <f>Data!M1143</f>
        <v>Exceso Velocidad 10 Km/h</v>
      </c>
      <c r="H1145" s="41" t="str">
        <f>Data!P1143</f>
        <v>ECOPETROL RUBIALES- Quifa - CAÑO SUR, CPF 2: Vía CPF 2, Puerto Gaitán, Meta, Colombia</v>
      </c>
      <c r="I1145" s="42" t="str">
        <f>Data!Q1143</f>
        <v>Cliente, Vel Max 40 Km/h, Vel Max 10 Km/h</v>
      </c>
      <c r="J1145" s="43">
        <f>Data!S1143</f>
        <v>46174.5859837963</v>
      </c>
      <c r="K1145" s="44">
        <f>Data!S1143</f>
        <v>46174.5859837963</v>
      </c>
      <c r="L1145" s="45">
        <f>Data!T1143</f>
        <v>6.134259259259259E-4</v>
      </c>
      <c r="M1145" s="46">
        <f>Data!U1143</f>
        <v>0.17230555415153503</v>
      </c>
      <c r="N1145" s="46" t="str">
        <f>CONCATENATE(Data!W1143," (",Data!V1143,")")</f>
        <v>Exceso Velocidad 10 Km/h (Velocidad máxima: 13 kmh)</v>
      </c>
      <c r="O1145" s="42" t="str">
        <f>IF(Data!V1143&lt;&gt;"",N1145,Data!W1143)</f>
        <v>Exceso Velocidad 10 Km/h (Velocidad máxima: 13 kmh)</v>
      </c>
      <c r="P1145" s="47" t="str">
        <f>Data!X1143</f>
        <v>Válido</v>
      </c>
    </row>
    <row r="1146" spans="1:16">
      <c r="A1146" s="41" t="str">
        <f>Data!A1144</f>
        <v>QLO286</v>
      </c>
      <c r="B1146" s="41" t="str">
        <f>Data!D1144</f>
        <v>Vehicle, Diesel, ECP 1107 Rubiales Serv. Integrales</v>
      </c>
      <c r="C1146" s="41">
        <f>Data!F1144</f>
        <v>0</v>
      </c>
      <c r="D1146" s="41">
        <f>Data!G1144</f>
        <v>0</v>
      </c>
      <c r="E1146" s="41">
        <f>Data!H1144</f>
        <v>0</v>
      </c>
      <c r="F1146" s="41">
        <f>Data!K1144</f>
        <v>0</v>
      </c>
      <c r="G1146" s="33" t="str">
        <f>Data!M1144</f>
        <v>Exceso Velocidad 10 Km/h</v>
      </c>
      <c r="H1146" s="41" t="str">
        <f>Data!P1144</f>
        <v>ECOPETROL RUBIALES- Quifa - CAÑO SUR, CPF 2: Vía CPF 2, Puerto Gaitán, Meta, Colombia</v>
      </c>
      <c r="I1146" s="42" t="str">
        <f>Data!Q1144</f>
        <v>Cliente, Vel Max 40 Km/h, Vel Max 10 Km/h</v>
      </c>
      <c r="J1146" s="43">
        <f>Data!S1144</f>
        <v>46174.587557870371</v>
      </c>
      <c r="K1146" s="44">
        <f>Data!S1144</f>
        <v>46174.587557870371</v>
      </c>
      <c r="L1146" s="45">
        <f>Data!T1144</f>
        <v>1.9675925925925926E-4</v>
      </c>
      <c r="M1146" s="46">
        <f>Data!U1144</f>
        <v>5.0676483660936356E-2</v>
      </c>
      <c r="N1146" s="46" t="str">
        <f>CONCATENATE(Data!W1144," (",Data!V1144,")")</f>
        <v>Exceso Velocidad 10 Km/h (Velocidad máxima: 12 kmh)</v>
      </c>
      <c r="O1146" s="42" t="str">
        <f>IF(Data!V1144&lt;&gt;"",N1146,Data!W1144)</f>
        <v>Exceso Velocidad 10 Km/h (Velocidad máxima: 12 kmh)</v>
      </c>
      <c r="P1146" s="47" t="str">
        <f>Data!X1144</f>
        <v>Válido</v>
      </c>
    </row>
    <row r="1147" spans="1:16">
      <c r="A1147" s="41" t="str">
        <f>Data!A1145</f>
        <v>QLO286</v>
      </c>
      <c r="B1147" s="41" t="str">
        <f>Data!D1145</f>
        <v>Vehicle, Diesel, ECP 1107 Rubiales Serv. Integrales</v>
      </c>
      <c r="C1147" s="41">
        <f>Data!F1145</f>
        <v>0</v>
      </c>
      <c r="D1147" s="41">
        <f>Data!G1145</f>
        <v>0</v>
      </c>
      <c r="E1147" s="41">
        <f>Data!H1145</f>
        <v>0</v>
      </c>
      <c r="F1147" s="41">
        <f>Data!K1145</f>
        <v>0</v>
      </c>
      <c r="G1147" s="33" t="str">
        <f>Data!M1145</f>
        <v>Exceso Velocidad 10 Km/h</v>
      </c>
      <c r="H1147" s="41" t="str">
        <f>Data!P1145</f>
        <v>ECOPETROL RUBIALES- Quifa - CAÑO SUR, CPF 2: Vía CPF 2, Puerto Gaitán, Meta, Colombia</v>
      </c>
      <c r="I1147" s="42" t="str">
        <f>Data!Q1145</f>
        <v>Cliente, Vel Max 40 Km/h, Vel Max 10 Km/h</v>
      </c>
      <c r="J1147" s="43">
        <f>Data!S1145</f>
        <v>46174.587971643516</v>
      </c>
      <c r="K1147" s="44">
        <f>Data!S1145</f>
        <v>46174.587971643516</v>
      </c>
      <c r="L1147" s="45">
        <f>Data!T1145</f>
        <v>1.7632060185185186E-3</v>
      </c>
      <c r="M1147" s="46">
        <f>Data!U1145</f>
        <v>0.78022176027297974</v>
      </c>
      <c r="N1147" s="46" t="str">
        <f>CONCATENATE(Data!W1145," (",Data!V1145,")")</f>
        <v>Exceso Velocidad 10 Km/h (Velocidad máxima: 26 kmh)</v>
      </c>
      <c r="O1147" s="42" t="str">
        <f>IF(Data!V1145&lt;&gt;"",N1147,Data!W1145)</f>
        <v>Exceso Velocidad 10 Km/h (Velocidad máxima: 26 kmh)</v>
      </c>
      <c r="P1147" s="47" t="str">
        <f>Data!X1145</f>
        <v>Válido</v>
      </c>
    </row>
    <row r="1148" spans="1:16">
      <c r="A1148" s="41" t="str">
        <f>Data!A1146</f>
        <v>QLO286</v>
      </c>
      <c r="B1148" s="41" t="str">
        <f>Data!D1146</f>
        <v>Vehicle, Diesel, ECP 1107 Rubiales Serv. Integrales</v>
      </c>
      <c r="C1148" s="41">
        <f>Data!F1146</f>
        <v>0</v>
      </c>
      <c r="D1148" s="41">
        <f>Data!G1146</f>
        <v>0</v>
      </c>
      <c r="E1148" s="41">
        <f>Data!H1146</f>
        <v>0</v>
      </c>
      <c r="F1148" s="41">
        <f>Data!K1146</f>
        <v>0</v>
      </c>
      <c r="G1148" s="33" t="str">
        <f>Data!M1146</f>
        <v>Exceso Velocidad 10 Km/h</v>
      </c>
      <c r="H1148" s="41" t="str">
        <f>Data!P1146</f>
        <v>ECOPETROL RUBIALES- Quifa - CAÑO SUR, CPF 2: CCO CPF2, Puerto Gaitán, Meta, Colombia</v>
      </c>
      <c r="I1148" s="42" t="str">
        <f>Data!Q1146</f>
        <v>Cliente, Vel Max 40 Km/h, Vel Max 10 Km/h</v>
      </c>
      <c r="J1148" s="43">
        <f>Data!S1146</f>
        <v>46174.589961967591</v>
      </c>
      <c r="K1148" s="44">
        <f>Data!S1146</f>
        <v>46174.589961967591</v>
      </c>
      <c r="L1148" s="45">
        <f>Data!T1146</f>
        <v>1.8464120370370371E-4</v>
      </c>
      <c r="M1148" s="46">
        <f>Data!U1146</f>
        <v>5.358901247382164E-2</v>
      </c>
      <c r="N1148" s="46" t="str">
        <f>CONCATENATE(Data!W1146," (",Data!V1146,")")</f>
        <v>Exceso Velocidad 10 Km/h (Velocidad máxima: 14 kmh)</v>
      </c>
      <c r="O1148" s="42" t="str">
        <f>IF(Data!V1146&lt;&gt;"",N1148,Data!W1146)</f>
        <v>Exceso Velocidad 10 Km/h (Velocidad máxima: 14 kmh)</v>
      </c>
      <c r="P1148" s="47" t="str">
        <f>Data!X1146</f>
        <v>Válido</v>
      </c>
    </row>
    <row r="1149" spans="1:16">
      <c r="A1149" s="41" t="str">
        <f>Data!A1147</f>
        <v>QLO286</v>
      </c>
      <c r="B1149" s="41" t="str">
        <f>Data!D1147</f>
        <v>Vehicle, Diesel, ECP 1107 Rubiales Serv. Integrales</v>
      </c>
      <c r="C1149" s="41">
        <f>Data!F1147</f>
        <v>0</v>
      </c>
      <c r="D1149" s="41">
        <f>Data!G1147</f>
        <v>0</v>
      </c>
      <c r="E1149" s="41">
        <f>Data!H1147</f>
        <v>0</v>
      </c>
      <c r="F1149" s="41">
        <f>Data!K1147</f>
        <v>0</v>
      </c>
      <c r="G1149" s="33" t="str">
        <f>Data!M1147</f>
        <v>Exceso Velocidad 10 Km/h</v>
      </c>
      <c r="H1149" s="41" t="str">
        <f>Data!P1147</f>
        <v>ECOPETROL RUBIALES- Quifa - CAÑO SUR, CPF 2: Vía CPF 2, Puerto Gaitán, Meta, Colombia</v>
      </c>
      <c r="I1149" s="42" t="str">
        <f>Data!Q1147</f>
        <v>Cliente, Vel Max 40 Km/h, Vel Max 10 Km/h</v>
      </c>
      <c r="J1149" s="43">
        <f>Data!S1147</f>
        <v>46174.590439814812</v>
      </c>
      <c r="K1149" s="44">
        <f>Data!S1147</f>
        <v>46174.590439814812</v>
      </c>
      <c r="L1149" s="45">
        <f>Data!T1147</f>
        <v>7.1932870370370369E-4</v>
      </c>
      <c r="M1149" s="46">
        <f>Data!U1147</f>
        <v>0.32562550902366638</v>
      </c>
      <c r="N1149" s="46" t="str">
        <f>CONCATENATE(Data!W1147," (",Data!V1147,")")</f>
        <v>Exceso Velocidad 10 Km/h (Velocidad máxima: 24 kmh)</v>
      </c>
      <c r="O1149" s="42" t="str">
        <f>IF(Data!V1147&lt;&gt;"",N1149,Data!W1147)</f>
        <v>Exceso Velocidad 10 Km/h (Velocidad máxima: 24 kmh)</v>
      </c>
      <c r="P1149" s="47" t="str">
        <f>Data!X1147</f>
        <v>Válido</v>
      </c>
    </row>
    <row r="1150" spans="1:16">
      <c r="A1150" s="41" t="str">
        <f>Data!A1148</f>
        <v>QLO286</v>
      </c>
      <c r="B1150" s="41" t="str">
        <f>Data!D1148</f>
        <v>Vehicle, Diesel, ECP 1107 Rubiales Serv. Integrales</v>
      </c>
      <c r="C1150" s="41">
        <f>Data!F1148</f>
        <v>0</v>
      </c>
      <c r="D1150" s="41">
        <f>Data!G1148</f>
        <v>0</v>
      </c>
      <c r="E1150" s="41">
        <f>Data!H1148</f>
        <v>0</v>
      </c>
      <c r="F1150" s="41">
        <f>Data!K1148</f>
        <v>0</v>
      </c>
      <c r="G1150" s="33" t="str">
        <f>Data!M1148</f>
        <v>Exceso Velocidad 40 Km/h</v>
      </c>
      <c r="H1150" s="41" t="str">
        <f>Data!P1148</f>
        <v>ECOPETROL RUBIALES- Quifa - CAÑO SUR: Vía Arrayanes, Puerto Gaitán, Meta, Colombia</v>
      </c>
      <c r="I1150" s="42" t="str">
        <f>Data!Q1148</f>
        <v>Cliente, Vel Max 40 Km/h</v>
      </c>
      <c r="J1150" s="43">
        <f>Data!S1148</f>
        <v>46174.591451099535</v>
      </c>
      <c r="K1150" s="44">
        <f>Data!S1148</f>
        <v>46174.591451099535</v>
      </c>
      <c r="L1150" s="45">
        <f>Data!T1148</f>
        <v>1.8807870370370372E-5</v>
      </c>
      <c r="M1150" s="46">
        <f>Data!U1148</f>
        <v>1.7373889684677124E-2</v>
      </c>
      <c r="N1150" s="46" t="str">
        <f>CONCATENATE(Data!W1148," (",Data!V1148,")")</f>
        <v>Exceso Velocidad 40 Km/h (Velocidad máxima: 41 kmh)</v>
      </c>
      <c r="O1150" s="42" t="str">
        <f>IF(Data!V1148&lt;&gt;"",N1150,Data!W1148)</f>
        <v>Exceso Velocidad 40 Km/h (Velocidad máxima: 41 kmh)</v>
      </c>
      <c r="P1150" s="47" t="str">
        <f>Data!X1148</f>
        <v>Válido</v>
      </c>
    </row>
    <row r="1151" spans="1:16">
      <c r="A1151" s="41" t="str">
        <f>Data!A1149</f>
        <v>QLO286</v>
      </c>
      <c r="B1151" s="41" t="str">
        <f>Data!D1149</f>
        <v>Vehicle, Diesel, ECP 1107 Rubiales Serv. Integrales</v>
      </c>
      <c r="C1151" s="41">
        <f>Data!F1149</f>
        <v>0</v>
      </c>
      <c r="D1151" s="41">
        <f>Data!G1149</f>
        <v>0</v>
      </c>
      <c r="E1151" s="41">
        <f>Data!H1149</f>
        <v>0</v>
      </c>
      <c r="F1151" s="41">
        <f>Data!K1149</f>
        <v>0</v>
      </c>
      <c r="G1151" s="33" t="str">
        <f>Data!M1149</f>
        <v>Exceso Velocidad 40 Km/h</v>
      </c>
      <c r="H1151" s="41" t="str">
        <f>Data!P1149</f>
        <v>ECOPETROL RUBIALES- Quifa - CAÑO SUR: Vía Arrayanes, Puerto Gaitán, Meta, Colombia</v>
      </c>
      <c r="I1151" s="42" t="str">
        <f>Data!Q1149</f>
        <v>Cliente, Vel Max 40 Km/h</v>
      </c>
      <c r="J1151" s="43">
        <f>Data!S1149</f>
        <v>46174.591539351852</v>
      </c>
      <c r="K1151" s="44">
        <f>Data!S1149</f>
        <v>46174.591539351852</v>
      </c>
      <c r="L1151" s="45">
        <f>Data!T1149</f>
        <v>3.8773158148148145E-4</v>
      </c>
      <c r="M1151" s="46">
        <f>Data!U1149</f>
        <v>0.37065833806991577</v>
      </c>
      <c r="N1151" s="46" t="str">
        <f>CONCATENATE(Data!W1149," (",Data!V1149,")")</f>
        <v>Exceso Velocidad 40 Km/h (Velocidad máxima: 42 kmh)</v>
      </c>
      <c r="O1151" s="42" t="str">
        <f>IF(Data!V1149&lt;&gt;"",N1151,Data!W1149)</f>
        <v>Exceso Velocidad 40 Km/h (Velocidad máxima: 42 kmh)</v>
      </c>
      <c r="P1151" s="47" t="str">
        <f>Data!X1149</f>
        <v>Válido</v>
      </c>
    </row>
    <row r="1152" spans="1:16">
      <c r="A1152" s="41" t="str">
        <f>Data!A1150</f>
        <v>QLO286</v>
      </c>
      <c r="B1152" s="41" t="str">
        <f>Data!D1150</f>
        <v>Vehicle, Diesel, ECP 1107 Rubiales Serv. Integrales</v>
      </c>
      <c r="C1152" s="41">
        <f>Data!F1150</f>
        <v>0</v>
      </c>
      <c r="D1152" s="41">
        <f>Data!G1150</f>
        <v>0</v>
      </c>
      <c r="E1152" s="41">
        <f>Data!H1150</f>
        <v>0</v>
      </c>
      <c r="F1152" s="41">
        <f>Data!K1150</f>
        <v>0</v>
      </c>
      <c r="G1152" s="33" t="str">
        <f>Data!M1150</f>
        <v>Exceso Velocidad 40 Km/h</v>
      </c>
      <c r="H1152" s="41" t="str">
        <f>Data!P1150</f>
        <v>ECOPETROL RUBIALES- Quifa - CAÑO SUR: Vía Campamento Proyectos, Puerto Gaitán, Meta, Colombia</v>
      </c>
      <c r="I1152" s="42" t="str">
        <f>Data!Q1150</f>
        <v>Cliente, Vel Max 40 Km/h</v>
      </c>
      <c r="J1152" s="43">
        <f>Data!S1150</f>
        <v>46174.592808159723</v>
      </c>
      <c r="K1152" s="44">
        <f>Data!S1150</f>
        <v>46174.592808159723</v>
      </c>
      <c r="L1152" s="45">
        <f>Data!T1150</f>
        <v>2.4739583333333335E-4</v>
      </c>
      <c r="M1152" s="46">
        <f>Data!U1150</f>
        <v>0.23278288543224335</v>
      </c>
      <c r="N1152" s="46" t="str">
        <f>CONCATENATE(Data!W1150," (",Data!V1150,")")</f>
        <v>Exceso Velocidad 40 Km/h (Velocidad máxima: 41 kmh)</v>
      </c>
      <c r="O1152" s="42" t="str">
        <f>IF(Data!V1150&lt;&gt;"",N1152,Data!W1150)</f>
        <v>Exceso Velocidad 40 Km/h (Velocidad máxima: 41 kmh)</v>
      </c>
      <c r="P1152" s="47" t="str">
        <f>Data!X1150</f>
        <v>Válido</v>
      </c>
    </row>
    <row r="1153" spans="1:16">
      <c r="A1153" s="41" t="str">
        <f>Data!A1151</f>
        <v>QLO286</v>
      </c>
      <c r="B1153" s="41" t="str">
        <f>Data!D1151</f>
        <v>Vehicle, Diesel, ECP 1107 Rubiales Serv. Integrales</v>
      </c>
      <c r="C1153" s="41">
        <f>Data!F1151</f>
        <v>0</v>
      </c>
      <c r="D1153" s="41">
        <f>Data!G1151</f>
        <v>0</v>
      </c>
      <c r="E1153" s="41">
        <f>Data!H1151</f>
        <v>0</v>
      </c>
      <c r="F1153" s="41">
        <f>Data!K1151</f>
        <v>0</v>
      </c>
      <c r="G1153" s="33" t="str">
        <f>Data!M1151</f>
        <v>Exceso Velocidad 10 Km/h</v>
      </c>
      <c r="H1153" s="41" t="str">
        <f>Data!P1151</f>
        <v>ECOPETROL RUBIALES- Quifa - CAÑO SUR, EDS RUBIALES: Comedor Base Antigua, Puerto Gaitán, Meta, Colombia</v>
      </c>
      <c r="I1153" s="42" t="str">
        <f>Data!Q1151</f>
        <v>Cliente, Vel Max 40 Km/h, Vel Max 10 Km/h</v>
      </c>
      <c r="J1153" s="43">
        <f>Data!S1151</f>
        <v>46174.593626331021</v>
      </c>
      <c r="K1153" s="44">
        <f>Data!S1151</f>
        <v>46174.593626331021</v>
      </c>
      <c r="L1153" s="45">
        <f>Data!T1151</f>
        <v>3.7384259259259257E-5</v>
      </c>
      <c r="M1153" s="46">
        <f>Data!U1151</f>
        <v>1.5162540599703789E-2</v>
      </c>
      <c r="N1153" s="46" t="str">
        <f>CONCATENATE(Data!W1151," (",Data!V1151,")")</f>
        <v>Exceso Velocidad 10 Km/h (Velocidad máxima: 22 kmh)</v>
      </c>
      <c r="O1153" s="42" t="str">
        <f>IF(Data!V1151&lt;&gt;"",N1153,Data!W1151)</f>
        <v>Exceso Velocidad 10 Km/h (Velocidad máxima: 22 kmh)</v>
      </c>
      <c r="P1153" s="47" t="str">
        <f>Data!X1151</f>
        <v>Válido</v>
      </c>
    </row>
    <row r="1154" spans="1:16">
      <c r="A1154" s="41" t="str">
        <f>Data!A1152</f>
        <v>QLO286</v>
      </c>
      <c r="B1154" s="41" t="str">
        <f>Data!D1152</f>
        <v>Vehicle, Diesel, ECP 1107 Rubiales Serv. Integrales</v>
      </c>
      <c r="C1154" s="41">
        <f>Data!F1152</f>
        <v>0</v>
      </c>
      <c r="D1154" s="41">
        <f>Data!G1152</f>
        <v>0</v>
      </c>
      <c r="E1154" s="41">
        <f>Data!H1152</f>
        <v>0</v>
      </c>
      <c r="F1154" s="41">
        <f>Data!K1152</f>
        <v>0</v>
      </c>
      <c r="G1154" s="33" t="str">
        <f>Data!M1152</f>
        <v>Exceso Velocidad 10 Km/h</v>
      </c>
      <c r="H1154" s="41" t="str">
        <f>Data!P1152</f>
        <v>ECOPETROL RUBIALES- Quifa - CAÑO SUR, EDS RUBIALES: Comedor Base Antigua, Puerto Gaitán, Meta, Colombia</v>
      </c>
      <c r="I1154" s="42" t="str">
        <f>Data!Q1152</f>
        <v>Cliente, Vel Max 40 Km/h, Vel Max 10 Km/h</v>
      </c>
      <c r="J1154" s="43">
        <f>Data!S1152</f>
        <v>46174.594293981485</v>
      </c>
      <c r="K1154" s="44">
        <f>Data!S1152</f>
        <v>46174.594293981485</v>
      </c>
      <c r="L1154" s="45">
        <f>Data!T1152</f>
        <v>1.1217592592592593E-4</v>
      </c>
      <c r="M1154" s="46">
        <f>Data!U1152</f>
        <v>3.4515354782342911E-2</v>
      </c>
      <c r="N1154" s="46" t="str">
        <f>CONCATENATE(Data!W1152," (",Data!V1152,")")</f>
        <v>Exceso Velocidad 10 Km/h (Velocidad máxima: 17 kmh)</v>
      </c>
      <c r="O1154" s="42" t="str">
        <f>IF(Data!V1152&lt;&gt;"",N1154,Data!W1152)</f>
        <v>Exceso Velocidad 10 Km/h (Velocidad máxima: 17 kmh)</v>
      </c>
      <c r="P1154" s="47" t="str">
        <f>Data!X1152</f>
        <v>Válido</v>
      </c>
    </row>
    <row r="1155" spans="1:16">
      <c r="A1155" s="41" t="str">
        <f>Data!A1153</f>
        <v>QLO286</v>
      </c>
      <c r="B1155" s="41" t="str">
        <f>Data!D1153</f>
        <v>Vehicle, Diesel, ECP 1107 Rubiales Serv. Integrales</v>
      </c>
      <c r="C1155" s="41">
        <f>Data!F1153</f>
        <v>0</v>
      </c>
      <c r="D1155" s="41">
        <f>Data!G1153</f>
        <v>0</v>
      </c>
      <c r="E1155" s="41">
        <f>Data!H1153</f>
        <v>0</v>
      </c>
      <c r="F1155" s="41">
        <f>Data!K1153</f>
        <v>0</v>
      </c>
      <c r="G1155" s="33" t="str">
        <f>Data!M1153</f>
        <v>Uso del cinturón de seguridad</v>
      </c>
      <c r="H1155" s="41" t="str">
        <f>Data!P1153</f>
        <v>ECOPETROL RUBIALES- Quifa - CAÑO SUR, EDS RUBIALES - BATERIA 1: Vía Surtidor De Combustible, Puerto Gaitán, Meta, Colombia</v>
      </c>
      <c r="I1155" s="42" t="str">
        <f>Data!Q1153</f>
        <v>Cliente, Vel Max 40 Km/h, Vel Max 20 Km/h</v>
      </c>
      <c r="J1155" s="43">
        <f>Data!S1153</f>
        <v>46174.598275462966</v>
      </c>
      <c r="K1155" s="44">
        <f>Data!S1153</f>
        <v>46174.598275462966</v>
      </c>
      <c r="L1155" s="45">
        <f>Data!T1153</f>
        <v>1.4652777777777779E-5</v>
      </c>
      <c r="M1155" s="46">
        <f>Data!U1153</f>
        <v>4.587272647768259E-3</v>
      </c>
      <c r="N1155" s="46" t="str">
        <f>CONCATENATE(Data!W1153," (",Data!V1153,")")</f>
        <v>Uso del cinturón de seguridad (Velocidad máxima: 13 kmh Cinturón de seguridad del conductor (1. Desabrochado): 1.00)</v>
      </c>
      <c r="O1155" s="42" t="str">
        <f>IF(Data!V1153&lt;&gt;"",N1155,Data!W1153)</f>
        <v>Uso del cinturón de seguridad (Velocidad máxima: 13 kmh Cinturón de seguridad del conductor (1. Desabrochado): 1.00)</v>
      </c>
      <c r="P1155" s="47" t="str">
        <f>Data!X1153</f>
        <v>Válido</v>
      </c>
    </row>
    <row r="1156" spans="1:16">
      <c r="A1156" s="41" t="str">
        <f>Data!A1154</f>
        <v>QLO286</v>
      </c>
      <c r="B1156" s="41" t="str">
        <f>Data!D1154</f>
        <v>Vehicle, Diesel, ECP 1107 Rubiales Serv. Integrales</v>
      </c>
      <c r="C1156" s="41">
        <f>Data!F1154</f>
        <v>0</v>
      </c>
      <c r="D1156" s="41">
        <f>Data!G1154</f>
        <v>0</v>
      </c>
      <c r="E1156" s="41">
        <f>Data!H1154</f>
        <v>0</v>
      </c>
      <c r="F1156" s="41">
        <f>Data!K1154</f>
        <v>0</v>
      </c>
      <c r="G1156" s="33" t="str">
        <f>Data!M1154</f>
        <v>Exceso Velocidad 20 Km/h</v>
      </c>
      <c r="H1156" s="41" t="str">
        <f>Data!P1154</f>
        <v>ECOPETROL RUBIALES- Quifa - CAÑO SUR, EDS RUBIALES - BATERIA 1: Vía Surtidor De Combustible, Puerto Gaitán, Meta, Colombia</v>
      </c>
      <c r="I1156" s="42" t="str">
        <f>Data!Q1154</f>
        <v>Cliente, Vel Max 40 Km/h, Vel Max 20 Km/h</v>
      </c>
      <c r="J1156" s="43">
        <f>Data!S1154</f>
        <v>46174.598333333335</v>
      </c>
      <c r="K1156" s="44">
        <f>Data!S1154</f>
        <v>46174.598333333335</v>
      </c>
      <c r="L1156" s="45">
        <f>Data!T1154</f>
        <v>4.7349537037037036E-5</v>
      </c>
      <c r="M1156" s="46">
        <f>Data!U1154</f>
        <v>2.5094158947467804E-2</v>
      </c>
      <c r="N1156" s="46" t="str">
        <f>CONCATENATE(Data!W1154," (",Data!V1154,")")</f>
        <v>Exceso Velocidad 20 Km/h (Velocidad máxima: 26 kmh)</v>
      </c>
      <c r="O1156" s="42" t="str">
        <f>IF(Data!V1154&lt;&gt;"",N1156,Data!W1154)</f>
        <v>Exceso Velocidad 20 Km/h (Velocidad máxima: 26 kmh)</v>
      </c>
      <c r="P1156" s="47" t="str">
        <f>Data!X1154</f>
        <v>Válido</v>
      </c>
    </row>
    <row r="1157" spans="1:16">
      <c r="A1157" s="41" t="str">
        <f>Data!A1155</f>
        <v>QLO286</v>
      </c>
      <c r="B1157" s="41" t="str">
        <f>Data!D1155</f>
        <v>Vehicle, Diesel, ECP 1107 Rubiales Serv. Integrales</v>
      </c>
      <c r="C1157" s="41">
        <f>Data!F1155</f>
        <v>0</v>
      </c>
      <c r="D1157" s="41">
        <f>Data!G1155</f>
        <v>0</v>
      </c>
      <c r="E1157" s="41">
        <f>Data!H1155</f>
        <v>0</v>
      </c>
      <c r="F1157" s="41">
        <f>Data!K1155</f>
        <v>0</v>
      </c>
      <c r="G1157" s="33" t="str">
        <f>Data!M1155</f>
        <v>Exceso Velocidad 20 Km/h</v>
      </c>
      <c r="H1157" s="41" t="str">
        <f>Data!P1155</f>
        <v>ECOPETROL RUBIALES- Quifa - CAÑO SUR, EDS RUBIALES - BATERIA 1: Vía Surtidor De Combustible, Puerto Gaitán, Meta, Colombia</v>
      </c>
      <c r="I1157" s="42" t="str">
        <f>Data!Q1155</f>
        <v>Cliente, Vel Max 40 Km/h, Vel Max 20 Km/h</v>
      </c>
      <c r="J1157" s="43">
        <f>Data!S1155</f>
        <v>46174.598431713064</v>
      </c>
      <c r="K1157" s="44">
        <f>Data!S1155</f>
        <v>46174.598431713064</v>
      </c>
      <c r="L1157" s="45">
        <f>Data!T1155</f>
        <v>9.298611111111111E-5</v>
      </c>
      <c r="M1157" s="46">
        <f>Data!U1155</f>
        <v>6.0875121504068375E-2</v>
      </c>
      <c r="N1157" s="46" t="str">
        <f>CONCATENATE(Data!W1155," (",Data!V1155,")")</f>
        <v>Exceso Velocidad 20 Km/h (Velocidad máxima: 29 kmh)</v>
      </c>
      <c r="O1157" s="42" t="str">
        <f>IF(Data!V1155&lt;&gt;"",N1157,Data!W1155)</f>
        <v>Exceso Velocidad 20 Km/h (Velocidad máxima: 29 kmh)</v>
      </c>
      <c r="P1157" s="47" t="str">
        <f>Data!X1155</f>
        <v>Válido</v>
      </c>
    </row>
    <row r="1158" spans="1:16">
      <c r="A1158" s="41" t="str">
        <f>Data!A1156</f>
        <v>QLO286</v>
      </c>
      <c r="B1158" s="41" t="str">
        <f>Data!D1156</f>
        <v>Vehicle, Diesel, ECP 1107 Rubiales Serv. Integrales</v>
      </c>
      <c r="C1158" s="41">
        <f>Data!F1156</f>
        <v>0</v>
      </c>
      <c r="D1158" s="41">
        <f>Data!G1156</f>
        <v>0</v>
      </c>
      <c r="E1158" s="41">
        <f>Data!H1156</f>
        <v>0</v>
      </c>
      <c r="F1158" s="41">
        <f>Data!K1156</f>
        <v>0</v>
      </c>
      <c r="G1158" s="33" t="str">
        <f>Data!M1156</f>
        <v>Exceso Velocidad 40 Km/h</v>
      </c>
      <c r="H1158" s="41" t="str">
        <f>Data!P1156</f>
        <v>ECOPETROL RUBIALES- Quifa - CAÑO SUR: Vía Arrayanes, Puerto Gaitán, Meta, Colombia</v>
      </c>
      <c r="I1158" s="42" t="str">
        <f>Data!Q1156</f>
        <v>Cliente, Vel Max 40 Km/h</v>
      </c>
      <c r="J1158" s="43">
        <f>Data!S1156</f>
        <v>46174.601658946762</v>
      </c>
      <c r="K1158" s="44">
        <f>Data!S1156</f>
        <v>46174.601658946762</v>
      </c>
      <c r="L1158" s="45">
        <f>Data!T1156</f>
        <v>3.0241898148148147E-4</v>
      </c>
      <c r="M1158" s="46">
        <f>Data!U1156</f>
        <v>0.3438396155834198</v>
      </c>
      <c r="N1158" s="46" t="str">
        <f>CONCATENATE(Data!W1156," (",Data!V1156,")")</f>
        <v>Exceso Velocidad 40 Km/h (Velocidad máxima: 53 kmh)</v>
      </c>
      <c r="O1158" s="42" t="str">
        <f>IF(Data!V1156&lt;&gt;"",N1158,Data!W1156)</f>
        <v>Exceso Velocidad 40 Km/h (Velocidad máxima: 53 kmh)</v>
      </c>
      <c r="P1158" s="47" t="str">
        <f>Data!X1156</f>
        <v>Válido</v>
      </c>
    </row>
    <row r="1159" spans="1:16">
      <c r="A1159" s="41" t="str">
        <f>Data!A1157</f>
        <v>QLO286</v>
      </c>
      <c r="B1159" s="41" t="str">
        <f>Data!D1157</f>
        <v>Vehicle, Diesel, ECP 1107 Rubiales Serv. Integrales</v>
      </c>
      <c r="C1159" s="41">
        <f>Data!F1157</f>
        <v>0</v>
      </c>
      <c r="D1159" s="41">
        <f>Data!G1157</f>
        <v>0</v>
      </c>
      <c r="E1159" s="41">
        <f>Data!H1157</f>
        <v>0</v>
      </c>
      <c r="F1159" s="41">
        <f>Data!K1157</f>
        <v>0</v>
      </c>
      <c r="G1159" s="33" t="str">
        <f>Data!M1157</f>
        <v>Aceleración brusca (nuevo)</v>
      </c>
      <c r="H1159" s="41" t="str">
        <f>Data!P1157</f>
        <v>ECOPETROL RUBIALES- Quifa - CAÑO SUR: Vía Arrayanes, Puerto Gaitán, Meta, Colombia</v>
      </c>
      <c r="I1159" s="42" t="str">
        <f>Data!Q1157</f>
        <v>Cliente, Vel Max 40 Km/h</v>
      </c>
      <c r="J1159" s="43">
        <f>Data!S1157</f>
        <v>46174.602152777778</v>
      </c>
      <c r="K1159" s="44">
        <f>Data!S1157</f>
        <v>46174.602152777778</v>
      </c>
      <c r="L1159" s="45">
        <f>Data!T1157</f>
        <v>0</v>
      </c>
      <c r="M1159" s="46">
        <f>Data!U1157</f>
        <v>0</v>
      </c>
      <c r="N1159" s="46" t="str">
        <f>CONCATENATE(Data!W1157," (",Data!V1157,")")</f>
        <v>Aceleración brusca (nuevo) (Clase de vehículo para métricas de seguridad: Otra clase (no estandarizada), Velocidad máxima: 8 kmh,  Ignición: 1)</v>
      </c>
      <c r="O1159" s="42" t="str">
        <f>IF(Data!V1157&lt;&gt;"",N1159,Data!W1157)</f>
        <v>Aceleración brusca (nuevo) (Clase de vehículo para métricas de seguridad: Otra clase (no estandarizada), Velocidad máxima: 8 kmh,  Ignición: 1)</v>
      </c>
      <c r="P1159" s="47" t="str">
        <f>Data!X1157</f>
        <v>Válido</v>
      </c>
    </row>
    <row r="1160" spans="1:16">
      <c r="A1160" s="41" t="str">
        <f>Data!A1158</f>
        <v>QLO286</v>
      </c>
      <c r="B1160" s="41" t="str">
        <f>Data!D1158</f>
        <v>Vehicle, Diesel, ECP 1107 Rubiales Serv. Integrales</v>
      </c>
      <c r="C1160" s="41">
        <f>Data!F1158</f>
        <v>0</v>
      </c>
      <c r="D1160" s="41">
        <f>Data!G1158</f>
        <v>0</v>
      </c>
      <c r="E1160" s="41">
        <f>Data!H1158</f>
        <v>0</v>
      </c>
      <c r="F1160" s="41">
        <f>Data!K1158</f>
        <v>0</v>
      </c>
      <c r="G1160" s="33" t="str">
        <f>Data!M1158</f>
        <v>Exceso Velocidad 40 Km/h</v>
      </c>
      <c r="H1160" s="41" t="str">
        <f>Data!P1158</f>
        <v>ECOPETROL RUBIALES- Quifa - CAÑO SUR: Vía Arrayanes, Puerto Gaitán, Meta, Colombia</v>
      </c>
      <c r="I1160" s="42" t="str">
        <f>Data!Q1158</f>
        <v>Cliente, Vel Max 40 Km/h</v>
      </c>
      <c r="J1160" s="43">
        <f>Data!S1158</f>
        <v>46174.602314814816</v>
      </c>
      <c r="K1160" s="44">
        <f>Data!S1158</f>
        <v>46174.602314814816</v>
      </c>
      <c r="L1160" s="45">
        <f>Data!T1158</f>
        <v>2.8935285185185187E-5</v>
      </c>
      <c r="M1160" s="46">
        <f>Data!U1158</f>
        <v>2.7458610013127327E-2</v>
      </c>
      <c r="N1160" s="46" t="str">
        <f>CONCATENATE(Data!W1158," (",Data!V1158,")")</f>
        <v>Exceso Velocidad 40 Km/h (Velocidad máxima: 41 kmh)</v>
      </c>
      <c r="O1160" s="42" t="str">
        <f>IF(Data!V1158&lt;&gt;"",N1160,Data!W1158)</f>
        <v>Exceso Velocidad 40 Km/h (Velocidad máxima: 41 kmh)</v>
      </c>
      <c r="P1160" s="47" t="str">
        <f>Data!X1158</f>
        <v>Válido</v>
      </c>
    </row>
    <row r="1161" spans="1:16">
      <c r="A1161" s="41" t="str">
        <f>Data!A1159</f>
        <v>QLO286</v>
      </c>
      <c r="B1161" s="41" t="str">
        <f>Data!D1159</f>
        <v>Vehicle, Diesel, ECP 1107 Rubiales Serv. Integrales</v>
      </c>
      <c r="C1161" s="41">
        <f>Data!F1159</f>
        <v>0</v>
      </c>
      <c r="D1161" s="41">
        <f>Data!G1159</f>
        <v>0</v>
      </c>
      <c r="E1161" s="41">
        <f>Data!H1159</f>
        <v>0</v>
      </c>
      <c r="F1161" s="41">
        <f>Data!K1159</f>
        <v>0</v>
      </c>
      <c r="G1161" s="33" t="str">
        <f>Data!M1159</f>
        <v>Exceso Velocidad 40 Km/h</v>
      </c>
      <c r="H1161" s="41" t="str">
        <f>Data!P1159</f>
        <v>ECOPETROL RUBIALES- Quifa - CAÑO SUR: Vía Arrayanes, Puerto Gaitán, Meta, Colombia</v>
      </c>
      <c r="I1161" s="42" t="str">
        <f>Data!Q1159</f>
        <v>Cliente, Vel Max 40 Km/h</v>
      </c>
      <c r="J1161" s="43">
        <f>Data!S1159</f>
        <v>46174.602436342691</v>
      </c>
      <c r="K1161" s="44">
        <f>Data!S1159</f>
        <v>46174.602436342691</v>
      </c>
      <c r="L1161" s="45">
        <f>Data!T1159</f>
        <v>6.9444444444444444E-5</v>
      </c>
      <c r="M1161" s="46">
        <f>Data!U1159</f>
        <v>6.4834922552108765E-2</v>
      </c>
      <c r="N1161" s="46" t="str">
        <f>CONCATENATE(Data!W1159," (",Data!V1159,")")</f>
        <v>Exceso Velocidad 40 Km/h (Velocidad máxima: 41 kmh)</v>
      </c>
      <c r="O1161" s="42" t="str">
        <f>IF(Data!V1159&lt;&gt;"",N1161,Data!W1159)</f>
        <v>Exceso Velocidad 40 Km/h (Velocidad máxima: 41 kmh)</v>
      </c>
      <c r="P1161" s="47" t="str">
        <f>Data!X1159</f>
        <v>Válido</v>
      </c>
    </row>
    <row r="1162" spans="1:16">
      <c r="A1162" s="41" t="str">
        <f>Data!A1160</f>
        <v>QLO286</v>
      </c>
      <c r="B1162" s="41" t="str">
        <f>Data!D1160</f>
        <v>Vehicle, Diesel, ECP 1107 Rubiales Serv. Integrales</v>
      </c>
      <c r="C1162" s="41">
        <f>Data!F1160</f>
        <v>0</v>
      </c>
      <c r="D1162" s="41">
        <f>Data!G1160</f>
        <v>0</v>
      </c>
      <c r="E1162" s="41">
        <f>Data!H1160</f>
        <v>0</v>
      </c>
      <c r="F1162" s="41">
        <f>Data!K1160</f>
        <v>0</v>
      </c>
      <c r="G1162" s="33" t="str">
        <f>Data!M1160</f>
        <v>Exceso Velocidad 40 Km/h</v>
      </c>
      <c r="H1162" s="41" t="str">
        <f>Data!P1160</f>
        <v>ECOPETROL RUBIALES- Quifa - CAÑO SUR: Vía Arrayanes, Puerto Gaitán, Meta, Colombia</v>
      </c>
      <c r="I1162" s="42" t="str">
        <f>Data!Q1160</f>
        <v>Cliente, Vel Max 40 Km/h</v>
      </c>
      <c r="J1162" s="43">
        <f>Data!S1160</f>
        <v>46174.603117766201</v>
      </c>
      <c r="K1162" s="44">
        <f>Data!S1160</f>
        <v>46174.603117766201</v>
      </c>
      <c r="L1162" s="45">
        <f>Data!T1160</f>
        <v>1.4033564814814814E-4</v>
      </c>
      <c r="M1162" s="46">
        <f>Data!U1160</f>
        <v>0.1357448399066925</v>
      </c>
      <c r="N1162" s="46" t="str">
        <f>CONCATENATE(Data!W1160," (",Data!V1160,")")</f>
        <v>Exceso Velocidad 40 Km/h (Velocidad máxima: 41 kmh)</v>
      </c>
      <c r="O1162" s="42" t="str">
        <f>IF(Data!V1160&lt;&gt;"",N1162,Data!W1160)</f>
        <v>Exceso Velocidad 40 Km/h (Velocidad máxima: 41 kmh)</v>
      </c>
      <c r="P1162" s="47" t="str">
        <f>Data!X1160</f>
        <v>Válido</v>
      </c>
    </row>
    <row r="1163" spans="1:16">
      <c r="A1163" s="41" t="str">
        <f>Data!A1161</f>
        <v>QLO286</v>
      </c>
      <c r="B1163" s="41" t="str">
        <f>Data!D1161</f>
        <v>Vehicle, Diesel, ECP 1107 Rubiales Serv. Integrales</v>
      </c>
      <c r="C1163" s="41">
        <f>Data!F1161</f>
        <v>0</v>
      </c>
      <c r="D1163" s="41">
        <f>Data!G1161</f>
        <v>0</v>
      </c>
      <c r="E1163" s="41">
        <f>Data!H1161</f>
        <v>0</v>
      </c>
      <c r="F1163" s="41">
        <f>Data!K1161</f>
        <v>0</v>
      </c>
      <c r="G1163" s="33" t="str">
        <f>Data!M1161</f>
        <v>Exceso Velocidad 40 Km/h</v>
      </c>
      <c r="H1163" s="41" t="str">
        <f>Data!P1161</f>
        <v>ECOPETROL RUBIALES- Quifa - CAÑO SUR: Vía Arrayanes, Puerto Gaitán, Meta, Colombia</v>
      </c>
      <c r="I1163" s="42" t="str">
        <f>Data!Q1161</f>
        <v>Cliente, Vel Max 40 Km/h</v>
      </c>
      <c r="J1163" s="43">
        <f>Data!S1161</f>
        <v>46174.603385416769</v>
      </c>
      <c r="K1163" s="44">
        <f>Data!S1161</f>
        <v>46174.603385416769</v>
      </c>
      <c r="L1163" s="45">
        <f>Data!T1161</f>
        <v>5.4398148148148144E-4</v>
      </c>
      <c r="M1163" s="46">
        <f>Data!U1161</f>
        <v>0.54598128795623779</v>
      </c>
      <c r="N1163" s="46" t="str">
        <f>CONCATENATE(Data!W1161," (",Data!V1161,")")</f>
        <v>Exceso Velocidad 40 Km/h (Velocidad máxima: 44 kmh)</v>
      </c>
      <c r="O1163" s="42" t="str">
        <f>IF(Data!V1161&lt;&gt;"",N1163,Data!W1161)</f>
        <v>Exceso Velocidad 40 Km/h (Velocidad máxima: 44 kmh)</v>
      </c>
      <c r="P1163" s="47" t="str">
        <f>Data!X1161</f>
        <v>Válido</v>
      </c>
    </row>
    <row r="1164" spans="1:16">
      <c r="A1164" s="41" t="str">
        <f>Data!A1162</f>
        <v>QLO286</v>
      </c>
      <c r="B1164" s="41" t="str">
        <f>Data!D1162</f>
        <v>Vehicle, Diesel, ECP 1107 Rubiales Serv. Integrales</v>
      </c>
      <c r="C1164" s="41">
        <f>Data!F1162</f>
        <v>0</v>
      </c>
      <c r="D1164" s="41">
        <f>Data!G1162</f>
        <v>0</v>
      </c>
      <c r="E1164" s="41">
        <f>Data!H1162</f>
        <v>0</v>
      </c>
      <c r="F1164" s="41">
        <f>Data!K1162</f>
        <v>0</v>
      </c>
      <c r="G1164" s="33" t="str">
        <f>Data!M1162</f>
        <v>Exceso Velocidad 20 Km/h</v>
      </c>
      <c r="H1164" s="41" t="str">
        <f>Data!P1162</f>
        <v>ECOPETROL RUBIALES- Quifa - CAÑO SUR, CAMPAMENTO ARRAYANES: Cluster 47, Puerto Gaitán, Meta, Colombia</v>
      </c>
      <c r="I1164" s="42" t="str">
        <f>Data!Q1162</f>
        <v>Cliente, Vel Max 40 Km/h, Vel Max 20 Km/h</v>
      </c>
      <c r="J1164" s="43">
        <f>Data!S1162</f>
        <v>46174.604180300928</v>
      </c>
      <c r="K1164" s="44">
        <f>Data!S1162</f>
        <v>46174.604180300928</v>
      </c>
      <c r="L1164" s="45">
        <f>Data!T1162</f>
        <v>3.9608796296296294E-4</v>
      </c>
      <c r="M1164" s="46">
        <f>Data!U1162</f>
        <v>0.28910845518112183</v>
      </c>
      <c r="N1164" s="46" t="str">
        <f>CONCATENATE(Data!W1162," (",Data!V1162,")")</f>
        <v>Exceso Velocidad 20 Km/h (Velocidad máxima: 37 kmh)</v>
      </c>
      <c r="O1164" s="42" t="str">
        <f>IF(Data!V1162&lt;&gt;"",N1164,Data!W1162)</f>
        <v>Exceso Velocidad 20 Km/h (Velocidad máxima: 37 kmh)</v>
      </c>
      <c r="P1164" s="47" t="str">
        <f>Data!X1162</f>
        <v>Válido</v>
      </c>
    </row>
    <row r="1165" spans="1:16">
      <c r="A1165" s="41" t="str">
        <f>Data!A1163</f>
        <v>QLO286</v>
      </c>
      <c r="B1165" s="41" t="str">
        <f>Data!D1163</f>
        <v>Vehicle, Diesel, ECP 1107 Rubiales Serv. Integrales</v>
      </c>
      <c r="C1165" s="41">
        <f>Data!F1163</f>
        <v>0</v>
      </c>
      <c r="D1165" s="41">
        <f>Data!G1163</f>
        <v>0</v>
      </c>
      <c r="E1165" s="41">
        <f>Data!H1163</f>
        <v>0</v>
      </c>
      <c r="F1165" s="41">
        <f>Data!K1163</f>
        <v>0</v>
      </c>
      <c r="G1165" s="33" t="str">
        <f>Data!M1163</f>
        <v>Uso del cinturón de seguridad</v>
      </c>
      <c r="H1165" s="41" t="str">
        <f>Data!P1163</f>
        <v>ECOPETROL RUBIALES- Quifa - CAÑO SUR, CAMPAMENTO ARRAYANES: Paradero Arrayanes, Puerto Gaitán, Meta, Colombia</v>
      </c>
      <c r="I1165" s="42" t="str">
        <f>Data!Q1163</f>
        <v>Cliente, Vel Max 40 Km/h, Vel Max 20 Km/h</v>
      </c>
      <c r="J1165" s="43">
        <f>Data!S1163</f>
        <v>46174.606576967592</v>
      </c>
      <c r="K1165" s="44">
        <f>Data!S1163</f>
        <v>46174.606576967592</v>
      </c>
      <c r="L1165" s="45">
        <f>Data!T1163</f>
        <v>6.1458333333333331E-6</v>
      </c>
      <c r="M1165" s="46">
        <f>Data!U1163</f>
        <v>1.7474234336987138E-3</v>
      </c>
      <c r="N1165" s="46" t="str">
        <f>CONCATENATE(Data!W1163," (",Data!V1163,")")</f>
        <v>Uso del cinturón de seguridad (Velocidad máxima: 10 kmh Cinturón de seguridad del conductor (1. Desabrochado): 1.00)</v>
      </c>
      <c r="O1165" s="42" t="str">
        <f>IF(Data!V1163&lt;&gt;"",N1165,Data!W1163)</f>
        <v>Uso del cinturón de seguridad (Velocidad máxima: 10 kmh Cinturón de seguridad del conductor (1. Desabrochado): 1.00)</v>
      </c>
      <c r="P1165" s="47" t="str">
        <f>Data!X1163</f>
        <v>Válido</v>
      </c>
    </row>
    <row r="1166" spans="1:16">
      <c r="A1166" s="41" t="str">
        <f>Data!A1164</f>
        <v>QLO286</v>
      </c>
      <c r="B1166" s="41" t="str">
        <f>Data!D1164</f>
        <v>Vehicle, Diesel, ECP 1107 Rubiales Serv. Integrales</v>
      </c>
      <c r="C1166" s="41">
        <f>Data!F1164</f>
        <v>0</v>
      </c>
      <c r="D1166" s="41">
        <f>Data!G1164</f>
        <v>0</v>
      </c>
      <c r="E1166" s="41">
        <f>Data!H1164</f>
        <v>0</v>
      </c>
      <c r="F1166" s="41">
        <f>Data!K1164</f>
        <v>0</v>
      </c>
      <c r="G1166" s="33" t="str">
        <f>Data!M1164</f>
        <v>Exceso Velocidad 10 Km/h</v>
      </c>
      <c r="H1166" s="41" t="str">
        <f>Data!P1164</f>
        <v>ECOPETROL RUBIALES- Quifa - CAÑO SUR, OFICINAS ECOPETROL ARRAYANES, CAMPAMENTO ARRAYANES: Paradero Arrayanes, Puerto Gaitán, Meta, Colombia</v>
      </c>
      <c r="I1166" s="42" t="str">
        <f>Data!Q1164</f>
        <v>Cliente, Vel Max 40 Km/h, Vel Max 10 Km/h, Vel Max 20 Km/h</v>
      </c>
      <c r="J1166" s="43">
        <f>Data!S1164</f>
        <v>46174.60691978009</v>
      </c>
      <c r="K1166" s="44">
        <f>Data!S1164</f>
        <v>46174.60691978009</v>
      </c>
      <c r="L1166" s="45">
        <f>Data!T1164</f>
        <v>8.8114583333333328E-4</v>
      </c>
      <c r="M1166" s="46">
        <f>Data!U1164</f>
        <v>0.24199272692203522</v>
      </c>
      <c r="N1166" s="46" t="str">
        <f>CONCATENATE(Data!W1164," (",Data!V1164,")")</f>
        <v>Exceso Velocidad 10 Km/h (Velocidad máxima: 12 kmh)</v>
      </c>
      <c r="O1166" s="42" t="str">
        <f>IF(Data!V1164&lt;&gt;"",N1166,Data!W1164)</f>
        <v>Exceso Velocidad 10 Km/h (Velocidad máxima: 12 kmh)</v>
      </c>
      <c r="P1166" s="47" t="str">
        <f>Data!X1164</f>
        <v>Válido</v>
      </c>
    </row>
    <row r="1167" spans="1:16">
      <c r="A1167" s="41" t="str">
        <f>Data!A1165</f>
        <v>QLO286</v>
      </c>
      <c r="B1167" s="41" t="str">
        <f>Data!D1165</f>
        <v>Vehicle, Diesel, ECP 1107 Rubiales Serv. Integrales</v>
      </c>
      <c r="C1167" s="41">
        <f>Data!F1165</f>
        <v>0</v>
      </c>
      <c r="D1167" s="41">
        <f>Data!G1165</f>
        <v>0</v>
      </c>
      <c r="E1167" s="41">
        <f>Data!H1165</f>
        <v>0</v>
      </c>
      <c r="F1167" s="41">
        <f>Data!K1165</f>
        <v>0</v>
      </c>
      <c r="G1167" s="33" t="str">
        <f>Data!M1165</f>
        <v>Exceso Velocidad 10 Km/h</v>
      </c>
      <c r="H1167" s="41" t="str">
        <f>Data!P1165</f>
        <v>ECOPETROL RUBIALES- Quifa - CAÑO SUR, OFICINAS ECOPETROL ARRAYANES, CAMPAMENTO ARRAYANES: Paradero Arrayanes, Puerto Gaitán, Meta, Colombia</v>
      </c>
      <c r="I1167" s="42" t="str">
        <f>Data!Q1165</f>
        <v>Cliente, Vel Max 40 Km/h, Vel Max 10 Km/h, Vel Max 20 Km/h</v>
      </c>
      <c r="J1167" s="43">
        <f>Data!S1165</f>
        <v>46174.607800925929</v>
      </c>
      <c r="K1167" s="44">
        <f>Data!S1165</f>
        <v>46174.607800925929</v>
      </c>
      <c r="L1167" s="45">
        <f>Data!T1165</f>
        <v>6.7258101851851854E-4</v>
      </c>
      <c r="M1167" s="46">
        <f>Data!U1165</f>
        <v>0.19344490766525269</v>
      </c>
      <c r="N1167" s="46" t="str">
        <f>CONCATENATE(Data!W1165," (",Data!V1165,")")</f>
        <v>Exceso Velocidad 10 Km/h (Velocidad máxima: 16 kmh)</v>
      </c>
      <c r="O1167" s="42" t="str">
        <f>IF(Data!V1165&lt;&gt;"",N1167,Data!W1165)</f>
        <v>Exceso Velocidad 10 Km/h (Velocidad máxima: 16 kmh)</v>
      </c>
      <c r="P1167" s="47" t="str">
        <f>Data!X1165</f>
        <v>Válido</v>
      </c>
    </row>
    <row r="1168" spans="1:16">
      <c r="A1168" s="41" t="str">
        <f>Data!A1166</f>
        <v>QLO286</v>
      </c>
      <c r="B1168" s="41" t="str">
        <f>Data!D1166</f>
        <v>Vehicle, Diesel, ECP 1107 Rubiales Serv. Integrales</v>
      </c>
      <c r="C1168" s="41">
        <f>Data!F1166</f>
        <v>0</v>
      </c>
      <c r="D1168" s="41">
        <f>Data!G1166</f>
        <v>0</v>
      </c>
      <c r="E1168" s="41">
        <f>Data!H1166</f>
        <v>0</v>
      </c>
      <c r="F1168" s="41">
        <f>Data!K1166</f>
        <v>0</v>
      </c>
      <c r="G1168" s="33" t="str">
        <f>Data!M1166</f>
        <v>Exceso Velocidad 10 Km/h</v>
      </c>
      <c r="H1168" s="41" t="str">
        <f>Data!P1166</f>
        <v>ECOPETROL RUBIALES- Quifa - CAÑO SUR, OFICINAS ECOPETROL ARRAYANES, CAMPAMENTO ARRAYANES: Puerto Gaitan - Rubiales, Puerto Gaitán, Meta, Colombia</v>
      </c>
      <c r="I1168" s="42" t="str">
        <f>Data!Q1166</f>
        <v>Cliente, Vel Max 40 Km/h, Vel Max 10 Km/h, Vel Max 20 Km/h</v>
      </c>
      <c r="J1168" s="43">
        <f>Data!S1166</f>
        <v>46174.6875</v>
      </c>
      <c r="K1168" s="44">
        <f>Data!S1166</f>
        <v>46174.6875</v>
      </c>
      <c r="L1168" s="45">
        <f>Data!T1166</f>
        <v>9.7334490740740736E-4</v>
      </c>
      <c r="M1168" s="46">
        <f>Data!U1166</f>
        <v>0.37394171953201294</v>
      </c>
      <c r="N1168" s="46" t="str">
        <f>CONCATENATE(Data!W1166," (",Data!V1166,")")</f>
        <v>Exceso Velocidad 10 Km/h (Velocidad máxima: 18 kmh)</v>
      </c>
      <c r="O1168" s="42" t="str">
        <f>IF(Data!V1166&lt;&gt;"",N1168,Data!W1166)</f>
        <v>Exceso Velocidad 10 Km/h (Velocidad máxima: 18 kmh)</v>
      </c>
      <c r="P1168" s="47" t="str">
        <f>Data!X1166</f>
        <v>Válido</v>
      </c>
    </row>
    <row r="1169" spans="1:16">
      <c r="A1169" s="41" t="str">
        <f>Data!A1167</f>
        <v>QLO286</v>
      </c>
      <c r="B1169" s="41" t="str">
        <f>Data!D1167</f>
        <v>Vehicle, Diesel, ECP 1107 Rubiales Serv. Integrales</v>
      </c>
      <c r="C1169" s="41">
        <f>Data!F1167</f>
        <v>0</v>
      </c>
      <c r="D1169" s="41">
        <f>Data!G1167</f>
        <v>0</v>
      </c>
      <c r="E1169" s="41">
        <f>Data!H1167</f>
        <v>0</v>
      </c>
      <c r="F1169" s="41">
        <f>Data!K1167</f>
        <v>0</v>
      </c>
      <c r="G1169" s="33" t="str">
        <f>Data!M1167</f>
        <v>Tiempo en ralentí</v>
      </c>
      <c r="H1169" s="41" t="str">
        <f>Data!P1167</f>
        <v>ECOPETROL RUBIALES- Quifa - CAÑO SUR, CAMPAMENTO ARRAYANES: Paradero Arrayanes, Puerto Gaitán, Meta, Colombia</v>
      </c>
      <c r="I1169" s="42" t="str">
        <f>Data!Q1167</f>
        <v>Cliente, Vel Max 40 Km/h, Vel Max 20 Km/h</v>
      </c>
      <c r="J1169" s="43">
        <f>Data!S1167</f>
        <v>46174.688807870371</v>
      </c>
      <c r="K1169" s="44">
        <f>Data!S1167</f>
        <v>46174.688807870371</v>
      </c>
      <c r="L1169" s="45">
        <f>Data!T1167</f>
        <v>4.6412037037037038E-3</v>
      </c>
      <c r="M1169" s="46">
        <f>Data!U1167</f>
        <v>0</v>
      </c>
      <c r="N1169" s="46" t="str">
        <f>CONCATENATE(Data!W1167," (",Data!V1167,")")</f>
        <v>Tiempo en ralentí (Ignición: 1.00)</v>
      </c>
      <c r="O1169" s="42" t="str">
        <f>IF(Data!V1167&lt;&gt;"",N1169,Data!W1167)</f>
        <v>Tiempo en ralentí (Ignición: 1.00)</v>
      </c>
      <c r="P1169" s="47" t="str">
        <f>Data!X1167</f>
        <v>Válido</v>
      </c>
    </row>
    <row r="1170" spans="1:16">
      <c r="A1170" s="41" t="str">
        <f>Data!A1168</f>
        <v>QLO286</v>
      </c>
      <c r="B1170" s="41" t="str">
        <f>Data!D1168</f>
        <v>Vehicle, Diesel, ECP 1107 Rubiales Serv. Integrales</v>
      </c>
      <c r="C1170" s="41">
        <f>Data!F1168</f>
        <v>0</v>
      </c>
      <c r="D1170" s="41">
        <f>Data!G1168</f>
        <v>0</v>
      </c>
      <c r="E1170" s="41">
        <f>Data!H1168</f>
        <v>0</v>
      </c>
      <c r="F1170" s="41">
        <f>Data!K1168</f>
        <v>0</v>
      </c>
      <c r="G1170" s="33" t="str">
        <f>Data!M1168</f>
        <v>Uso del cinturón de seguridad</v>
      </c>
      <c r="H1170" s="41" t="str">
        <f>Data!P1168</f>
        <v>ECOPETROL RUBIALES- Quifa - CAÑO SUR, CAMPAMENTO ARRAYANES: Paradero Arrayanes, Puerto Gaitán, Meta, Colombia</v>
      </c>
      <c r="I1170" s="42" t="str">
        <f>Data!Q1168</f>
        <v>Cliente, Vel Max 40 Km/h, Vel Max 20 Km/h</v>
      </c>
      <c r="J1170" s="43">
        <f>Data!S1168</f>
        <v>46174.693495370368</v>
      </c>
      <c r="K1170" s="44">
        <f>Data!S1168</f>
        <v>46174.693495370368</v>
      </c>
      <c r="L1170" s="45">
        <f>Data!T1168</f>
        <v>5.2939814814814812E-5</v>
      </c>
      <c r="M1170" s="46">
        <f>Data!U1168</f>
        <v>1.4142281375825405E-2</v>
      </c>
      <c r="N1170" s="46" t="str">
        <f>CONCATENATE(Data!W1168," (",Data!V1168,")")</f>
        <v>Uso del cinturón de seguridad (Velocidad máxima: 11 kmh Cinturón de seguridad del conductor (1. Desabrochado): 1.00)</v>
      </c>
      <c r="O1170" s="42" t="str">
        <f>IF(Data!V1168&lt;&gt;"",N1170,Data!W1168)</f>
        <v>Uso del cinturón de seguridad (Velocidad máxima: 11 kmh Cinturón de seguridad del conductor (1. Desabrochado): 1.00)</v>
      </c>
      <c r="P1170" s="47" t="str">
        <f>Data!X1168</f>
        <v>Válido</v>
      </c>
    </row>
    <row r="1171" spans="1:16">
      <c r="A1171" s="41" t="str">
        <f>Data!A1169</f>
        <v>QLO286</v>
      </c>
      <c r="B1171" s="41" t="str">
        <f>Data!D1169</f>
        <v>Vehicle, Diesel, ECP 1107 Rubiales Serv. Integrales</v>
      </c>
      <c r="C1171" s="41">
        <f>Data!F1169</f>
        <v>0</v>
      </c>
      <c r="D1171" s="41">
        <f>Data!G1169</f>
        <v>0</v>
      </c>
      <c r="E1171" s="41">
        <f>Data!H1169</f>
        <v>0</v>
      </c>
      <c r="F1171" s="41">
        <f>Data!K1169</f>
        <v>0</v>
      </c>
      <c r="G1171" s="33" t="str">
        <f>Data!M1169</f>
        <v>Exceso Velocidad 10 Km/h</v>
      </c>
      <c r="H1171" s="41" t="str">
        <f>Data!P1169</f>
        <v>ECOPETROL RUBIALES- Quifa - CAÑO SUR, OFICINAS ECOPETROL ARRAYANES, CAMPAMENTO ARRAYANES: Paradero Arrayanes, Puerto Gaitán, Meta, Colombia</v>
      </c>
      <c r="I1171" s="42" t="str">
        <f>Data!Q1169</f>
        <v>Cliente, Vel Max 40 Km/h, Vel Max 10 Km/h, Vel Max 20 Km/h</v>
      </c>
      <c r="J1171" s="43">
        <f>Data!S1169</f>
        <v>46174.693894814816</v>
      </c>
      <c r="K1171" s="44">
        <f>Data!S1169</f>
        <v>46174.693894814816</v>
      </c>
      <c r="L1171" s="45">
        <f>Data!T1169</f>
        <v>1.0209490740740741E-4</v>
      </c>
      <c r="M1171" s="46">
        <f>Data!U1169</f>
        <v>2.7434611693024635E-2</v>
      </c>
      <c r="N1171" s="46" t="str">
        <f>CONCATENATE(Data!W1169," (",Data!V1169,")")</f>
        <v>Exceso Velocidad 10 Km/h (Velocidad máxima: 12 kmh)</v>
      </c>
      <c r="O1171" s="42" t="str">
        <f>IF(Data!V1169&lt;&gt;"",N1171,Data!W1169)</f>
        <v>Exceso Velocidad 10 Km/h (Velocidad máxima: 12 kmh)</v>
      </c>
      <c r="P1171" s="47" t="str">
        <f>Data!X1169</f>
        <v>Válido</v>
      </c>
    </row>
    <row r="1172" spans="1:16">
      <c r="A1172" s="41" t="str">
        <f>Data!A1170</f>
        <v>QLO286</v>
      </c>
      <c r="B1172" s="41" t="str">
        <f>Data!D1170</f>
        <v>Vehicle, Diesel, ECP 1107 Rubiales Serv. Integrales</v>
      </c>
      <c r="C1172" s="41">
        <f>Data!F1170</f>
        <v>0</v>
      </c>
      <c r="D1172" s="41">
        <f>Data!G1170</f>
        <v>0</v>
      </c>
      <c r="E1172" s="41">
        <f>Data!H1170</f>
        <v>0</v>
      </c>
      <c r="F1172" s="41">
        <f>Data!K1170</f>
        <v>0</v>
      </c>
      <c r="G1172" s="33" t="str">
        <f>Data!M1170</f>
        <v>Exceso Velocidad 10 Km/h</v>
      </c>
      <c r="H1172" s="41" t="str">
        <f>Data!P1170</f>
        <v>ECOPETROL RUBIALES- Quifa - CAÑO SUR, OFICINAS ECOPETROL ARRAYANES, CAMPAMENTO ARRAYANES: Paradero Arrayanes, Puerto Gaitán, Meta, Colombia</v>
      </c>
      <c r="I1172" s="42" t="str">
        <f>Data!Q1170</f>
        <v>Cliente, Vel Max 40 Km/h, Vel Max 10 Km/h, Vel Max 20 Km/h</v>
      </c>
      <c r="J1172" s="43">
        <f>Data!S1170</f>
        <v>46174.694203703701</v>
      </c>
      <c r="K1172" s="44">
        <f>Data!S1170</f>
        <v>46174.694203703701</v>
      </c>
      <c r="L1172" s="45">
        <f>Data!T1170</f>
        <v>1.0404050925925926E-3</v>
      </c>
      <c r="M1172" s="46">
        <f>Data!U1170</f>
        <v>0.35250440239906311</v>
      </c>
      <c r="N1172" s="46" t="str">
        <f>CONCATENATE(Data!W1170," (",Data!V1170,")")</f>
        <v>Exceso Velocidad 10 Km/h (Velocidad máxima: 18 kmh)</v>
      </c>
      <c r="O1172" s="42" t="str">
        <f>IF(Data!V1170&lt;&gt;"",N1172,Data!W1170)</f>
        <v>Exceso Velocidad 10 Km/h (Velocidad máxima: 18 kmh)</v>
      </c>
      <c r="P1172" s="47" t="str">
        <f>Data!X1170</f>
        <v>Válido</v>
      </c>
    </row>
    <row r="1173" spans="1:16">
      <c r="A1173" s="41" t="str">
        <f>Data!A1171</f>
        <v>QLO286</v>
      </c>
      <c r="B1173" s="41" t="str">
        <f>Data!D1171</f>
        <v>Vehicle, Diesel, ECP 1107 Rubiales Serv. Integrales</v>
      </c>
      <c r="C1173" s="41">
        <f>Data!F1171</f>
        <v>0</v>
      </c>
      <c r="D1173" s="41">
        <f>Data!G1171</f>
        <v>0</v>
      </c>
      <c r="E1173" s="41">
        <f>Data!H1171</f>
        <v>0</v>
      </c>
      <c r="F1173" s="41">
        <f>Data!K1171</f>
        <v>0</v>
      </c>
      <c r="G1173" s="33" t="str">
        <f>Data!M1171</f>
        <v>Exceso Velocidad 10 Km/h</v>
      </c>
      <c r="H1173" s="41" t="str">
        <f>Data!P1171</f>
        <v>ECOPETROL RUBIALES- Quifa - CAÑO SUR, OFICINAS ECOPETROL ARRAYANES, CAMPAMENTO ARRAYANES: Puerto Gaitan - Rubiales, Puerto Gaitán, Meta, Colombia</v>
      </c>
      <c r="I1173" s="42" t="str">
        <f>Data!Q1171</f>
        <v>Cliente, Vel Max 40 Km/h, Vel Max 10 Km/h, Vel Max 20 Km/h</v>
      </c>
      <c r="J1173" s="43">
        <f>Data!S1171</f>
        <v>46174.776722222225</v>
      </c>
      <c r="K1173" s="44">
        <f>Data!S1171</f>
        <v>46174.776722222225</v>
      </c>
      <c r="L1173" s="45">
        <f>Data!T1171</f>
        <v>3.1215277777777779E-4</v>
      </c>
      <c r="M1173" s="46">
        <f>Data!U1171</f>
        <v>8.1597201526165009E-2</v>
      </c>
      <c r="N1173" s="46" t="str">
        <f>CONCATENATE(Data!W1171," (",Data!V1171,")")</f>
        <v>Exceso Velocidad 10 Km/h (Velocidad máxima: 12 kmh)</v>
      </c>
      <c r="O1173" s="42" t="str">
        <f>IF(Data!V1171&lt;&gt;"",N1173,Data!W1171)</f>
        <v>Exceso Velocidad 10 Km/h (Velocidad máxima: 12 kmh)</v>
      </c>
      <c r="P1173" s="47" t="str">
        <f>Data!X1171</f>
        <v>Válido</v>
      </c>
    </row>
    <row r="1174" spans="1:16">
      <c r="A1174" s="41" t="str">
        <f>Data!A1172</f>
        <v>QLO286</v>
      </c>
      <c r="B1174" s="41" t="str">
        <f>Data!D1172</f>
        <v>Vehicle, Diesel, ECP 1107 Rubiales Serv. Integrales</v>
      </c>
      <c r="C1174" s="41">
        <f>Data!F1172</f>
        <v>0</v>
      </c>
      <c r="D1174" s="41">
        <f>Data!G1172</f>
        <v>0</v>
      </c>
      <c r="E1174" s="41">
        <f>Data!H1172</f>
        <v>0</v>
      </c>
      <c r="F1174" s="41">
        <f>Data!K1172</f>
        <v>0</v>
      </c>
      <c r="G1174" s="33" t="str">
        <f>Data!M1172</f>
        <v>Uso del cinturón de seguridad</v>
      </c>
      <c r="H1174" s="41" t="str">
        <f>Data!P1172</f>
        <v>ECOPETROL RUBIALES- Quifa - CAÑO SUR: Batería 3, Puerto Gaitán, Meta, Colombia</v>
      </c>
      <c r="I1174" s="42" t="str">
        <f>Data!Q1172</f>
        <v>Cliente, Vel Max 40 Km/h</v>
      </c>
      <c r="J1174" s="43">
        <f>Data!S1172</f>
        <v>46174.7815162037</v>
      </c>
      <c r="K1174" s="44">
        <f>Data!S1172</f>
        <v>46174.7815162037</v>
      </c>
      <c r="L1174" s="45">
        <f>Data!T1172</f>
        <v>8.1018518518518516E-5</v>
      </c>
      <c r="M1174" s="46">
        <f>Data!U1172</f>
        <v>1.8449703231453896E-2</v>
      </c>
      <c r="N1174" s="46" t="str">
        <f>CONCATENATE(Data!W1172," (",Data!V1172,")")</f>
        <v>Uso del cinturón de seguridad (Velocidad máxima: 12 kmh Cinturón de seguridad del conductor (1. Desabrochado): 1.00)</v>
      </c>
      <c r="O1174" s="42" t="str">
        <f>IF(Data!V1172&lt;&gt;"",N1174,Data!W1172)</f>
        <v>Uso del cinturón de seguridad (Velocidad máxima: 12 kmh Cinturón de seguridad del conductor (1. Desabrochado): 1.00)</v>
      </c>
      <c r="P1174" s="47" t="str">
        <f>Data!X1172</f>
        <v>Válido</v>
      </c>
    </row>
    <row r="1175" spans="1:16">
      <c r="A1175" s="41" t="str">
        <f>Data!A1173</f>
        <v>QLO286</v>
      </c>
      <c r="B1175" s="41" t="str">
        <f>Data!D1173</f>
        <v>Vehicle, Diesel, ECP 1107 Rubiales Serv. Integrales</v>
      </c>
      <c r="C1175" s="41">
        <f>Data!F1173</f>
        <v>0</v>
      </c>
      <c r="D1175" s="41">
        <f>Data!G1173</f>
        <v>0</v>
      </c>
      <c r="E1175" s="41">
        <f>Data!H1173</f>
        <v>0</v>
      </c>
      <c r="F1175" s="41">
        <f>Data!K1173</f>
        <v>0</v>
      </c>
      <c r="G1175" s="33" t="str">
        <f>Data!M1173</f>
        <v>Uso del cinturón de seguridad</v>
      </c>
      <c r="H1175" s="41" t="str">
        <f>Data!P1173</f>
        <v>ECOPETROL RUBIALES- Quifa - CAÑO SUR: Batería 3, Puerto Gaitán, Meta, Colombia</v>
      </c>
      <c r="I1175" s="42" t="str">
        <f>Data!Q1173</f>
        <v>Cliente, Vel Max 40 Km/h</v>
      </c>
      <c r="J1175" s="43">
        <f>Data!S1173</f>
        <v>46174.781682870373</v>
      </c>
      <c r="K1175" s="44">
        <f>Data!S1173</f>
        <v>46174.781682870373</v>
      </c>
      <c r="L1175" s="45">
        <f>Data!T1173</f>
        <v>4.0990740740740739E-4</v>
      </c>
      <c r="M1175" s="46">
        <f>Data!U1173</f>
        <v>0.12713651359081268</v>
      </c>
      <c r="N1175" s="46" t="str">
        <f>CONCATENATE(Data!W1173," (",Data!V1173,")")</f>
        <v>Uso del cinturón de seguridad (Velocidad máxima: 15 kmh Cinturón de seguridad del conductor (1. Desabrochado): 1.00)</v>
      </c>
      <c r="O1175" s="42" t="str">
        <f>IF(Data!V1173&lt;&gt;"",N1175,Data!W1173)</f>
        <v>Uso del cinturón de seguridad (Velocidad máxima: 15 kmh Cinturón de seguridad del conductor (1. Desabrochado): 1.00)</v>
      </c>
      <c r="P1175" s="47" t="str">
        <f>Data!X1173</f>
        <v>Válido</v>
      </c>
    </row>
    <row r="1176" spans="1:16">
      <c r="A1176" s="41" t="str">
        <f>Data!A1174</f>
        <v>QLO286</v>
      </c>
      <c r="B1176" s="41" t="str">
        <f>Data!D1174</f>
        <v>Vehicle, Diesel, ECP 1107 Rubiales Serv. Integrales</v>
      </c>
      <c r="C1176" s="41">
        <f>Data!F1174</f>
        <v>0</v>
      </c>
      <c r="D1176" s="41">
        <f>Data!G1174</f>
        <v>0</v>
      </c>
      <c r="E1176" s="41">
        <f>Data!H1174</f>
        <v>0</v>
      </c>
      <c r="F1176" s="41">
        <f>Data!K1174</f>
        <v>0</v>
      </c>
      <c r="G1176" s="33" t="str">
        <f>Data!M1174</f>
        <v>Uso del cinturón de seguridad</v>
      </c>
      <c r="H1176" s="41" t="str">
        <f>Data!P1174</f>
        <v>ECOPETROL RUBIALES- Quifa - CAÑO SUR: Piscina 06 05 04 02 03 08 Rb 92 352 293 287 239 291, Puerto Gaitán, Meta, Colombia</v>
      </c>
      <c r="I1176" s="42" t="str">
        <f>Data!Q1174</f>
        <v>Cliente, Vel Max 40 Km/h</v>
      </c>
      <c r="J1176" s="43">
        <f>Data!S1174</f>
        <v>46174.785219907404</v>
      </c>
      <c r="K1176" s="44">
        <f>Data!S1174</f>
        <v>46174.785219907404</v>
      </c>
      <c r="L1176" s="45">
        <f>Data!T1174</f>
        <v>6.9444444444444444E-5</v>
      </c>
      <c r="M1176" s="46">
        <f>Data!U1174</f>
        <v>1.9112365320324898E-2</v>
      </c>
      <c r="N1176" s="46" t="str">
        <f>CONCATENATE(Data!W1174," (",Data!V1174,")")</f>
        <v>Uso del cinturón de seguridad (Velocidad máxima: 13 kmh Cinturón de seguridad del conductor (1. Desabrochado): 1.00)</v>
      </c>
      <c r="O1176" s="42" t="str">
        <f>IF(Data!V1174&lt;&gt;"",N1176,Data!W1174)</f>
        <v>Uso del cinturón de seguridad (Velocidad máxima: 13 kmh Cinturón de seguridad del conductor (1. Desabrochado): 1.00)</v>
      </c>
      <c r="P1176" s="47" t="str">
        <f>Data!X1174</f>
        <v>Válido</v>
      </c>
    </row>
    <row r="1177" spans="1:16">
      <c r="A1177" s="41" t="str">
        <f>Data!A1175</f>
        <v>QLO286</v>
      </c>
      <c r="B1177" s="41" t="str">
        <f>Data!D1175</f>
        <v>Vehicle, Diesel, ECP 1107 Rubiales Serv. Integrales</v>
      </c>
      <c r="C1177" s="41">
        <f>Data!F1175</f>
        <v>0</v>
      </c>
      <c r="D1177" s="41">
        <f>Data!G1175</f>
        <v>0</v>
      </c>
      <c r="E1177" s="41">
        <f>Data!H1175</f>
        <v>0</v>
      </c>
      <c r="F1177" s="41">
        <f>Data!K1175</f>
        <v>0</v>
      </c>
      <c r="G1177" s="33" t="str">
        <f>Data!M1175</f>
        <v>Uso del cinturón de seguridad</v>
      </c>
      <c r="H1177" s="41" t="str">
        <f>Data!P1175</f>
        <v>ECOPETROL RUBIALES- Quifa - CAÑO SUR: Piscina 06 05 04 02 03 08 Rb 92 352 293 287 239 291, Puerto Gaitán, Meta, Colombia</v>
      </c>
      <c r="I1177" s="42" t="str">
        <f>Data!Q1175</f>
        <v>Cliente, Vel Max 40 Km/h</v>
      </c>
      <c r="J1177" s="43">
        <f>Data!S1175</f>
        <v>46174.78533564815</v>
      </c>
      <c r="K1177" s="44">
        <f>Data!S1175</f>
        <v>46174.78533564815</v>
      </c>
      <c r="L1177" s="45">
        <f>Data!T1175</f>
        <v>2.6064814814814814E-4</v>
      </c>
      <c r="M1177" s="46">
        <f>Data!U1175</f>
        <v>6.8561166524887085E-2</v>
      </c>
      <c r="N1177" s="46" t="str">
        <f>CONCATENATE(Data!W1175," (",Data!V1175,")")</f>
        <v>Uso del cinturón de seguridad (Velocidad máxima: 15 kmh Cinturón de seguridad del conductor (1. Desabrochado): 1.00)</v>
      </c>
      <c r="O1177" s="42" t="str">
        <f>IF(Data!V1175&lt;&gt;"",N1177,Data!W1175)</f>
        <v>Uso del cinturón de seguridad (Velocidad máxima: 15 kmh Cinturón de seguridad del conductor (1. Desabrochado): 1.00)</v>
      </c>
      <c r="P1177" s="47" t="str">
        <f>Data!X1175</f>
        <v>Válido</v>
      </c>
    </row>
    <row r="1178" spans="1:16">
      <c r="A1178" s="41" t="str">
        <f>Data!A1176</f>
        <v>QLO286</v>
      </c>
      <c r="B1178" s="41" t="str">
        <f>Data!D1176</f>
        <v>Vehicle, Diesel, ECP 1107 Rubiales Serv. Integrales</v>
      </c>
      <c r="C1178" s="41">
        <f>Data!F1176</f>
        <v>0</v>
      </c>
      <c r="D1178" s="41">
        <f>Data!G1176</f>
        <v>0</v>
      </c>
      <c r="E1178" s="41">
        <f>Data!H1176</f>
        <v>0</v>
      </c>
      <c r="F1178" s="41">
        <f>Data!K1176</f>
        <v>0</v>
      </c>
      <c r="G1178" s="33" t="str">
        <f>Data!M1176</f>
        <v>Uso del cinturón de seguridad</v>
      </c>
      <c r="H1178" s="41" t="str">
        <f>Data!P1176</f>
        <v>ECOPETROL RUBIALES- Quifa - CAÑO SUR: Cluster 30 Rb 30 62 63 64, Puerto Gaitán, Meta, Colombia</v>
      </c>
      <c r="I1178" s="42" t="str">
        <f>Data!Q1176</f>
        <v>Cliente, Vel Max 40 Km/h</v>
      </c>
      <c r="J1178" s="43">
        <f>Data!S1176</f>
        <v>46174.786712962959</v>
      </c>
      <c r="K1178" s="44">
        <f>Data!S1176</f>
        <v>46174.786712962959</v>
      </c>
      <c r="L1178" s="45">
        <f>Data!T1176</f>
        <v>2.9288194444444446E-4</v>
      </c>
      <c r="M1178" s="46">
        <f>Data!U1176</f>
        <v>9.1771043837070465E-2</v>
      </c>
      <c r="N1178" s="46" t="str">
        <f>CONCATENATE(Data!W1176," (",Data!V1176,")")</f>
        <v>Uso del cinturón de seguridad (Velocidad máxima: 16 kmh Cinturón de seguridad del conductor (1. Desabrochado): 1.00)</v>
      </c>
      <c r="O1178" s="42" t="str">
        <f>IF(Data!V1176&lt;&gt;"",N1178,Data!W1176)</f>
        <v>Uso del cinturón de seguridad (Velocidad máxima: 16 kmh Cinturón de seguridad del conductor (1. Desabrochado): 1.00)</v>
      </c>
      <c r="P1178" s="47" t="str">
        <f>Data!X1176</f>
        <v>Válido</v>
      </c>
    </row>
    <row r="1179" spans="1:16">
      <c r="A1179" s="41" t="str">
        <f>Data!A1177</f>
        <v>QLO286</v>
      </c>
      <c r="B1179" s="41" t="str">
        <f>Data!D1177</f>
        <v>Vehicle, Diesel, ECP 1107 Rubiales Serv. Integrales</v>
      </c>
      <c r="C1179" s="41">
        <f>Data!F1177</f>
        <v>0</v>
      </c>
      <c r="D1179" s="41">
        <f>Data!G1177</f>
        <v>0</v>
      </c>
      <c r="E1179" s="41">
        <f>Data!H1177</f>
        <v>0</v>
      </c>
      <c r="F1179" s="41">
        <f>Data!K1177</f>
        <v>0</v>
      </c>
      <c r="G1179" s="33" t="str">
        <f>Data!M1177</f>
        <v>Giro brusco (nuevo)</v>
      </c>
      <c r="H1179" s="41" t="str">
        <f>Data!P1177</f>
        <v>ECOPETROL RUBIALES- Quifa - CAÑO SUR: Rb 111 Pco 13, Puerto Gaitán, Meta, Colombia</v>
      </c>
      <c r="I1179" s="42" t="str">
        <f>Data!Q1177</f>
        <v>Cliente, Vel Max 40 Km/h</v>
      </c>
      <c r="J1179" s="43">
        <f>Data!S1177</f>
        <v>46174.793275127318</v>
      </c>
      <c r="K1179" s="44">
        <f>Data!S1177</f>
        <v>46174.793275127318</v>
      </c>
      <c r="L1179" s="45">
        <f>Data!T1177</f>
        <v>0</v>
      </c>
      <c r="M1179" s="46">
        <f>Data!U1177</f>
        <v>0</v>
      </c>
      <c r="N1179" s="46" t="str">
        <f>CONCATENATE(Data!W1177," (",Data!V1177,")")</f>
        <v>Giro brusco (nuevo) (Clase de vehículo para métricas de seguridad: Otra clase (no estandarizada), Velocidad máxima: 26 kmh,  Ignición: 1)</v>
      </c>
      <c r="O1179" s="42" t="str">
        <f>IF(Data!V1177&lt;&gt;"",N1179,Data!W1177)</f>
        <v>Giro brusco (nuevo) (Clase de vehículo para métricas de seguridad: Otra clase (no estandarizada), Velocidad máxima: 26 kmh,  Ignición: 1)</v>
      </c>
      <c r="P1179" s="47" t="str">
        <f>Data!X1177</f>
        <v>Válido</v>
      </c>
    </row>
    <row r="1180" spans="1:16">
      <c r="A1180" s="41" t="str">
        <f>Data!A1178</f>
        <v>QLO286</v>
      </c>
      <c r="B1180" s="41" t="str">
        <f>Data!D1178</f>
        <v>Vehicle, Diesel, ECP 1107 Rubiales Serv. Integrales</v>
      </c>
      <c r="C1180" s="41">
        <f>Data!F1178</f>
        <v>0</v>
      </c>
      <c r="D1180" s="41">
        <f>Data!G1178</f>
        <v>0</v>
      </c>
      <c r="E1180" s="41">
        <f>Data!H1178</f>
        <v>0</v>
      </c>
      <c r="F1180" s="41">
        <f>Data!K1178</f>
        <v>0</v>
      </c>
      <c r="G1180" s="33" t="str">
        <f>Data!M1178</f>
        <v>Exceso Velocidad 40 Km/h</v>
      </c>
      <c r="H1180" s="41" t="str">
        <f>Data!P1178</f>
        <v>ECOPETROL RUBIALES- Quifa - CAÑO SUR: Pco 13, Puerto Gaitán, Meta, Colombia</v>
      </c>
      <c r="I1180" s="42" t="str">
        <f>Data!Q1178</f>
        <v>Cliente, Vel Max 40 Km/h</v>
      </c>
      <c r="J1180" s="43">
        <f>Data!S1178</f>
        <v>46174.800734953802</v>
      </c>
      <c r="K1180" s="44">
        <f>Data!S1178</f>
        <v>46174.800734953802</v>
      </c>
      <c r="L1180" s="45">
        <f>Data!T1178</f>
        <v>6.9444444444444444E-5</v>
      </c>
      <c r="M1180" s="46">
        <f>Data!U1178</f>
        <v>6.5168768167495728E-2</v>
      </c>
      <c r="N1180" s="46" t="str">
        <f>CONCATENATE(Data!W1178," (",Data!V1178,")")</f>
        <v>Exceso Velocidad 40 Km/h (Velocidad máxima: 41 kmh)</v>
      </c>
      <c r="O1180" s="42" t="str">
        <f>IF(Data!V1178&lt;&gt;"",N1180,Data!W1178)</f>
        <v>Exceso Velocidad 40 Km/h (Velocidad máxima: 41 kmh)</v>
      </c>
      <c r="P1180" s="47" t="str">
        <f>Data!X1178</f>
        <v>Válido</v>
      </c>
    </row>
    <row r="1181" spans="1:16">
      <c r="A1181" s="41" t="str">
        <f>Data!A1179</f>
        <v>QLO286</v>
      </c>
      <c r="B1181" s="41" t="str">
        <f>Data!D1179</f>
        <v>Vehicle, Diesel, ECP 1107 Rubiales Serv. Integrales</v>
      </c>
      <c r="C1181" s="41">
        <f>Data!F1179</f>
        <v>0</v>
      </c>
      <c r="D1181" s="41">
        <f>Data!G1179</f>
        <v>0</v>
      </c>
      <c r="E1181" s="41">
        <f>Data!H1179</f>
        <v>0</v>
      </c>
      <c r="F1181" s="41">
        <f>Data!K1179</f>
        <v>0</v>
      </c>
      <c r="G1181" s="33" t="str">
        <f>Data!M1179</f>
        <v>Uso del cinturón de seguridad</v>
      </c>
      <c r="H1181" s="41" t="str">
        <f>Data!P1179</f>
        <v>ECOPETROL RUBIALES- Quifa - CAÑO SUR: Vía a RB-561, Puerto Gaitán, Meta, Colombia</v>
      </c>
      <c r="I1181" s="42" t="str">
        <f>Data!Q1179</f>
        <v>Cliente, Vel Max 40 Km/h</v>
      </c>
      <c r="J1181" s="43">
        <f>Data!S1179</f>
        <v>46174.805648148147</v>
      </c>
      <c r="K1181" s="44">
        <f>Data!S1179</f>
        <v>46174.805648148147</v>
      </c>
      <c r="L1181" s="45">
        <f>Data!T1179</f>
        <v>8.9699084074074077E-4</v>
      </c>
      <c r="M1181" s="46">
        <f>Data!U1179</f>
        <v>0.46629077196121216</v>
      </c>
      <c r="N1181" s="46" t="str">
        <f>CONCATENATE(Data!W1179," (",Data!V1179,")")</f>
        <v>Uso del cinturón de seguridad (Velocidad máxima: 33 kmh Cinturón de seguridad del conductor (1. Desabrochado): 1.00)</v>
      </c>
      <c r="O1181" s="42" t="str">
        <f>IF(Data!V1179&lt;&gt;"",N1181,Data!W1179)</f>
        <v>Uso del cinturón de seguridad (Velocidad máxima: 33 kmh Cinturón de seguridad del conductor (1. Desabrochado): 1.00)</v>
      </c>
      <c r="P1181" s="47" t="str">
        <f>Data!X1179</f>
        <v>Válido</v>
      </c>
    </row>
    <row r="1182" spans="1:16">
      <c r="A1182" s="41" t="str">
        <f>Data!A1180</f>
        <v>QLO286</v>
      </c>
      <c r="B1182" s="41" t="str">
        <f>Data!D1180</f>
        <v>Vehicle, Diesel, ECP 1107 Rubiales Serv. Integrales</v>
      </c>
      <c r="C1182" s="41">
        <f>Data!F1180</f>
        <v>0</v>
      </c>
      <c r="D1182" s="41">
        <f>Data!G1180</f>
        <v>0</v>
      </c>
      <c r="E1182" s="41">
        <f>Data!H1180</f>
        <v>0</v>
      </c>
      <c r="F1182" s="41">
        <f>Data!K1180</f>
        <v>0</v>
      </c>
      <c r="G1182" s="33" t="str">
        <f>Data!M1180</f>
        <v>Uso del cinturón de seguridad</v>
      </c>
      <c r="H1182" s="41" t="str">
        <f>Data!P1180</f>
        <v>ECOPETROL RUBIALES- Quifa - CAÑO SUR: Vía a RB-741, Puerto Gaitán, Meta, Colombia</v>
      </c>
      <c r="I1182" s="42" t="str">
        <f>Data!Q1180</f>
        <v>Cliente, Vel Max 40 Km/h</v>
      </c>
      <c r="J1182" s="43">
        <f>Data!S1180</f>
        <v>46174.81129795139</v>
      </c>
      <c r="K1182" s="44">
        <f>Data!S1180</f>
        <v>46174.81129795139</v>
      </c>
      <c r="L1182" s="45">
        <f>Data!T1180</f>
        <v>1.5922453703703704E-4</v>
      </c>
      <c r="M1182" s="46">
        <f>Data!U1180</f>
        <v>4.7407098114490509E-2</v>
      </c>
      <c r="N1182" s="46" t="str">
        <f>CONCATENATE(Data!W1180," (",Data!V1180,")")</f>
        <v>Uso del cinturón de seguridad (Velocidad máxima: 14 kmh Cinturón de seguridad del conductor (1. Desabrochado): 1.00)</v>
      </c>
      <c r="O1182" s="42" t="str">
        <f>IF(Data!V1180&lt;&gt;"",N1182,Data!W1180)</f>
        <v>Uso del cinturón de seguridad (Velocidad máxima: 14 kmh Cinturón de seguridad del conductor (1. Desabrochado): 1.00)</v>
      </c>
      <c r="P1182" s="47" t="str">
        <f>Data!X1180</f>
        <v>Válido</v>
      </c>
    </row>
    <row r="1183" spans="1:16">
      <c r="A1183" s="41" t="str">
        <f>Data!A1181</f>
        <v>QLO286</v>
      </c>
      <c r="B1183" s="41" t="str">
        <f>Data!D1181</f>
        <v>Vehicle, Diesel, ECP 1107 Rubiales Serv. Integrales</v>
      </c>
      <c r="C1183" s="41">
        <f>Data!F1181</f>
        <v>0</v>
      </c>
      <c r="D1183" s="41">
        <f>Data!G1181</f>
        <v>0</v>
      </c>
      <c r="E1183" s="41">
        <f>Data!H1181</f>
        <v>0</v>
      </c>
      <c r="F1183" s="41">
        <f>Data!K1181</f>
        <v>0</v>
      </c>
      <c r="G1183" s="33" t="str">
        <f>Data!M1181</f>
        <v>Uso del cinturón de seguridad</v>
      </c>
      <c r="H1183" s="41" t="str">
        <f>Data!P1181</f>
        <v>ECOPETROL RUBIALES- Quifa - CAÑO SUR: Vía a RB-741, Puerto Gaitán, Meta, Colombia</v>
      </c>
      <c r="I1183" s="42" t="str">
        <f>Data!Q1181</f>
        <v>Cliente, Vel Max 40 Km/h</v>
      </c>
      <c r="J1183" s="43">
        <f>Data!S1181</f>
        <v>46174.813651620476</v>
      </c>
      <c r="K1183" s="44">
        <f>Data!S1181</f>
        <v>46174.813651620476</v>
      </c>
      <c r="L1183" s="45">
        <f>Data!T1181</f>
        <v>1.1163194444444445E-4</v>
      </c>
      <c r="M1183" s="46">
        <f>Data!U1181</f>
        <v>3.0906843021512032E-2</v>
      </c>
      <c r="N1183" s="46" t="str">
        <f>CONCATENATE(Data!W1181," (",Data!V1181,")")</f>
        <v>Uso del cinturón de seguridad (Velocidad máxima: 13 kmh Cinturón de seguridad del conductor (1. Desabrochado): 1.00)</v>
      </c>
      <c r="O1183" s="42" t="str">
        <f>IF(Data!V1181&lt;&gt;"",N1183,Data!W1181)</f>
        <v>Uso del cinturón de seguridad (Velocidad máxima: 13 kmh Cinturón de seguridad del conductor (1. Desabrochado): 1.00)</v>
      </c>
      <c r="P1183" s="47" t="str">
        <f>Data!X1181</f>
        <v>Válido</v>
      </c>
    </row>
    <row r="1184" spans="1:16">
      <c r="A1184" s="41" t="str">
        <f>Data!A1182</f>
        <v>QLO286</v>
      </c>
      <c r="B1184" s="41" t="str">
        <f>Data!D1182</f>
        <v>Vehicle, Diesel, ECP 1107 Rubiales Serv. Integrales</v>
      </c>
      <c r="C1184" s="41">
        <f>Data!F1182</f>
        <v>0</v>
      </c>
      <c r="D1184" s="41">
        <f>Data!G1182</f>
        <v>0</v>
      </c>
      <c r="E1184" s="41">
        <f>Data!H1182</f>
        <v>0</v>
      </c>
      <c r="F1184" s="41">
        <f>Data!K1182</f>
        <v>0</v>
      </c>
      <c r="G1184" s="33" t="str">
        <f>Data!M1182</f>
        <v>Exceso Velocidad 40 Km/h</v>
      </c>
      <c r="H1184" s="41" t="str">
        <f>Data!P1182</f>
        <v>ECOPETROL RUBIALES- Quifa - CAÑO SUR: Vía a RB-741, Puerto Gaitán, Meta, Colombia</v>
      </c>
      <c r="I1184" s="42" t="str">
        <f>Data!Q1182</f>
        <v>Cliente, Vel Max 40 Km/h</v>
      </c>
      <c r="J1184" s="43">
        <f>Data!S1182</f>
        <v>46174.814500208333</v>
      </c>
      <c r="K1184" s="44">
        <f>Data!S1182</f>
        <v>46174.814500208333</v>
      </c>
      <c r="L1184" s="45">
        <f>Data!T1182</f>
        <v>6.1263888888888891E-4</v>
      </c>
      <c r="M1184" s="46">
        <f>Data!U1182</f>
        <v>0.64778518676757813</v>
      </c>
      <c r="N1184" s="46" t="str">
        <f>CONCATENATE(Data!W1182," (",Data!V1182,")")</f>
        <v>Exceso Velocidad 40 Km/h (Velocidad máxima: 46 kmh)</v>
      </c>
      <c r="O1184" s="42" t="str">
        <f>IF(Data!V1182&lt;&gt;"",N1184,Data!W1182)</f>
        <v>Exceso Velocidad 40 Km/h (Velocidad máxima: 46 kmh)</v>
      </c>
      <c r="P1184" s="47" t="str">
        <f>Data!X1182</f>
        <v>Válido</v>
      </c>
    </row>
    <row r="1185" spans="1:16">
      <c r="A1185" s="41" t="str">
        <f>Data!A1183</f>
        <v>QLO286</v>
      </c>
      <c r="B1185" s="41" t="str">
        <f>Data!D1183</f>
        <v>Vehicle, Diesel, ECP 1107 Rubiales Serv. Integrales</v>
      </c>
      <c r="C1185" s="41">
        <f>Data!F1183</f>
        <v>0</v>
      </c>
      <c r="D1185" s="41">
        <f>Data!G1183</f>
        <v>0</v>
      </c>
      <c r="E1185" s="41">
        <f>Data!H1183</f>
        <v>0</v>
      </c>
      <c r="F1185" s="41">
        <f>Data!K1183</f>
        <v>0</v>
      </c>
      <c r="G1185" s="33" t="str">
        <f>Data!M1183</f>
        <v>Exceso Velocidad 40 Km/h</v>
      </c>
      <c r="H1185" s="41" t="str">
        <f>Data!P1183</f>
        <v>ECOPETROL RUBIALES- Quifa - CAÑO SUR: Pco 13, Puerto Gaitán, Meta, Colombia</v>
      </c>
      <c r="I1185" s="42" t="str">
        <f>Data!Q1183</f>
        <v>Cliente, Vel Max 40 Km/h</v>
      </c>
      <c r="J1185" s="43">
        <f>Data!S1183</f>
        <v>46174.815159722224</v>
      </c>
      <c r="K1185" s="44">
        <f>Data!S1183</f>
        <v>46174.815159722224</v>
      </c>
      <c r="L1185" s="45">
        <f>Data!T1183</f>
        <v>8.4618055555555553E-5</v>
      </c>
      <c r="M1185" s="46">
        <f>Data!U1183</f>
        <v>8.3550095558166504E-2</v>
      </c>
      <c r="N1185" s="46" t="str">
        <f>CONCATENATE(Data!W1183," (",Data!V1183,")")</f>
        <v>Exceso Velocidad 40 Km/h (Velocidad máxima: 42 kmh)</v>
      </c>
      <c r="O1185" s="42" t="str">
        <f>IF(Data!V1183&lt;&gt;"",N1185,Data!W1183)</f>
        <v>Exceso Velocidad 40 Km/h (Velocidad máxima: 42 kmh)</v>
      </c>
      <c r="P1185" s="47" t="str">
        <f>Data!X1183</f>
        <v>Válido</v>
      </c>
    </row>
    <row r="1186" spans="1:16">
      <c r="A1186" s="41" t="str">
        <f>Data!A1184</f>
        <v>QLO286</v>
      </c>
      <c r="B1186" s="41" t="str">
        <f>Data!D1184</f>
        <v>Vehicle, Diesel, ECP 1107 Rubiales Serv. Integrales</v>
      </c>
      <c r="C1186" s="41">
        <f>Data!F1184</f>
        <v>0</v>
      </c>
      <c r="D1186" s="41">
        <f>Data!G1184</f>
        <v>0</v>
      </c>
      <c r="E1186" s="41">
        <f>Data!H1184</f>
        <v>0</v>
      </c>
      <c r="F1186" s="41">
        <f>Data!K1184</f>
        <v>0</v>
      </c>
      <c r="G1186" s="33" t="str">
        <f>Data!M1184</f>
        <v>Exceso Velocidad 40 Km/h</v>
      </c>
      <c r="H1186" s="41" t="str">
        <f>Data!P1184</f>
        <v>ECOPETROL RUBIALES- Quifa - CAÑO SUR: Pco 13, Puerto Gaitán, Meta, Colombia</v>
      </c>
      <c r="I1186" s="42" t="str">
        <f>Data!Q1184</f>
        <v>Cliente, Vel Max 40 Km/h</v>
      </c>
      <c r="J1186" s="43">
        <f>Data!S1184</f>
        <v>46174.815443125</v>
      </c>
      <c r="K1186" s="44">
        <f>Data!S1184</f>
        <v>46174.815443125</v>
      </c>
      <c r="L1186" s="45">
        <f>Data!T1184</f>
        <v>6.1793981481481479E-5</v>
      </c>
      <c r="M1186" s="46">
        <f>Data!U1184</f>
        <v>6.2730669975280762E-2</v>
      </c>
      <c r="N1186" s="46" t="str">
        <f>CONCATENATE(Data!W1184," (",Data!V1184,")")</f>
        <v>Exceso Velocidad 40 Km/h (Velocidad máxima: 46 kmh)</v>
      </c>
      <c r="O1186" s="42" t="str">
        <f>IF(Data!V1184&lt;&gt;"",N1186,Data!W1184)</f>
        <v>Exceso Velocidad 40 Km/h (Velocidad máxima: 46 kmh)</v>
      </c>
      <c r="P1186" s="47" t="str">
        <f>Data!X1184</f>
        <v>Válido</v>
      </c>
    </row>
    <row r="1187" spans="1:16">
      <c r="A1187" s="41" t="str">
        <f>Data!A1185</f>
        <v>QLO286</v>
      </c>
      <c r="B1187" s="41" t="str">
        <f>Data!D1185</f>
        <v>Vehicle, Diesel, ECP 1107 Rubiales Serv. Integrales</v>
      </c>
      <c r="C1187" s="41">
        <f>Data!F1185</f>
        <v>0</v>
      </c>
      <c r="D1187" s="41">
        <f>Data!G1185</f>
        <v>0</v>
      </c>
      <c r="E1187" s="41">
        <f>Data!H1185</f>
        <v>0</v>
      </c>
      <c r="F1187" s="41">
        <f>Data!K1185</f>
        <v>0</v>
      </c>
      <c r="G1187" s="33" t="str">
        <f>Data!M1185</f>
        <v>Exceso Velocidad 40 Km/h</v>
      </c>
      <c r="H1187" s="41" t="str">
        <f>Data!P1185</f>
        <v>ECOPETROL RUBIALES- Quifa - CAÑO SUR: Pco 13, Puerto Gaitán, Meta, Colombia</v>
      </c>
      <c r="I1187" s="42" t="str">
        <f>Data!Q1185</f>
        <v>Cliente, Vel Max 40 Km/h</v>
      </c>
      <c r="J1187" s="43">
        <f>Data!S1185</f>
        <v>46174.815660775464</v>
      </c>
      <c r="K1187" s="44">
        <f>Data!S1185</f>
        <v>46174.815660775464</v>
      </c>
      <c r="L1187" s="45">
        <f>Data!T1185</f>
        <v>1.5519675925925925E-4</v>
      </c>
      <c r="M1187" s="46">
        <f>Data!U1185</f>
        <v>0.16834025084972382</v>
      </c>
      <c r="N1187" s="46" t="str">
        <f>CONCATENATE(Data!W1185," (",Data!V1185,")")</f>
        <v>Exceso Velocidad 40 Km/h (Velocidad máxima: 50 kmh)</v>
      </c>
      <c r="O1187" s="42" t="str">
        <f>IF(Data!V1185&lt;&gt;"",N1187,Data!W1185)</f>
        <v>Exceso Velocidad 40 Km/h (Velocidad máxima: 50 kmh)</v>
      </c>
      <c r="P1187" s="47" t="str">
        <f>Data!X1185</f>
        <v>Válido</v>
      </c>
    </row>
    <row r="1188" spans="1:16">
      <c r="A1188" s="41" t="str">
        <f>Data!A1186</f>
        <v>QLO286</v>
      </c>
      <c r="B1188" s="41" t="str">
        <f>Data!D1186</f>
        <v>Vehicle, Diesel, ECP 1107 Rubiales Serv. Integrales</v>
      </c>
      <c r="C1188" s="41">
        <f>Data!F1186</f>
        <v>0</v>
      </c>
      <c r="D1188" s="41">
        <f>Data!G1186</f>
        <v>0</v>
      </c>
      <c r="E1188" s="41">
        <f>Data!H1186</f>
        <v>0</v>
      </c>
      <c r="F1188" s="41">
        <f>Data!K1186</f>
        <v>0</v>
      </c>
      <c r="G1188" s="33" t="str">
        <f>Data!M1186</f>
        <v>Uso del cinturón de seguridad</v>
      </c>
      <c r="H1188" s="41" t="str">
        <f>Data!P1186</f>
        <v>ECOPETROL RUBIALES- Quifa - CAÑO SUR: Rb 286 90, Puerto Gaitán, Meta, Colombia</v>
      </c>
      <c r="I1188" s="42" t="str">
        <f>Data!Q1186</f>
        <v>Cliente, Vel Max 40 Km/h</v>
      </c>
      <c r="J1188" s="43">
        <f>Data!S1186</f>
        <v>46174.838245370367</v>
      </c>
      <c r="K1188" s="44">
        <f>Data!S1186</f>
        <v>46174.838245370367</v>
      </c>
      <c r="L1188" s="45">
        <f>Data!T1186</f>
        <v>5.9027777777777778E-4</v>
      </c>
      <c r="M1188" s="46">
        <f>Data!U1186</f>
        <v>0.17334666848182678</v>
      </c>
      <c r="N1188" s="46" t="str">
        <f>CONCATENATE(Data!W1186," (",Data!V1186,")")</f>
        <v>Uso del cinturón de seguridad (Velocidad máxima: 15 kmh Cinturón de seguridad del conductor (1. Desabrochado): 1.00)</v>
      </c>
      <c r="O1188" s="42" t="str">
        <f>IF(Data!V1186&lt;&gt;"",N1188,Data!W1186)</f>
        <v>Uso del cinturón de seguridad (Velocidad máxima: 15 kmh Cinturón de seguridad del conductor (1. Desabrochado): 1.00)</v>
      </c>
      <c r="P1188" s="47" t="str">
        <f>Data!X1186</f>
        <v>Válido</v>
      </c>
    </row>
    <row r="1189" spans="1:16">
      <c r="A1189" s="41" t="str">
        <f>Data!A1187</f>
        <v>QLO286</v>
      </c>
      <c r="B1189" s="41" t="str">
        <f>Data!D1187</f>
        <v>Vehicle, Diesel, ECP 1107 Rubiales Serv. Integrales</v>
      </c>
      <c r="C1189" s="41">
        <f>Data!F1187</f>
        <v>0</v>
      </c>
      <c r="D1189" s="41">
        <f>Data!G1187</f>
        <v>0</v>
      </c>
      <c r="E1189" s="41">
        <f>Data!H1187</f>
        <v>0</v>
      </c>
      <c r="F1189" s="41">
        <f>Data!K1187</f>
        <v>0</v>
      </c>
      <c r="G1189" s="33" t="str">
        <f>Data!M1187</f>
        <v>Uso del cinturón de seguridad</v>
      </c>
      <c r="H1189" s="41" t="str">
        <f>Data!P1187</f>
        <v>ECOPETROL RUBIALES- Quifa - CAÑO SUR: Vía a RB-1052, Puerto Gaitán, Meta, Colombia</v>
      </c>
      <c r="I1189" s="42" t="str">
        <f>Data!Q1187</f>
        <v>Cliente, Vel Max 40 Km/h</v>
      </c>
      <c r="J1189" s="43">
        <f>Data!S1187</f>
        <v>46174.840983796297</v>
      </c>
      <c r="K1189" s="44">
        <f>Data!S1187</f>
        <v>46174.840983796297</v>
      </c>
      <c r="L1189" s="45">
        <f>Data!T1187</f>
        <v>1.6782417407407407E-4</v>
      </c>
      <c r="M1189" s="46">
        <f>Data!U1187</f>
        <v>4.6982448548078537E-2</v>
      </c>
      <c r="N1189" s="46" t="str">
        <f>CONCATENATE(Data!W1187," (",Data!V1187,")")</f>
        <v>Uso del cinturón de seguridad (Velocidad máxima: 12 kmh Cinturón de seguridad del conductor (1. Desabrochado): 1.00)</v>
      </c>
      <c r="O1189" s="42" t="str">
        <f>IF(Data!V1187&lt;&gt;"",N1189,Data!W1187)</f>
        <v>Uso del cinturón de seguridad (Velocidad máxima: 12 kmh Cinturón de seguridad del conductor (1. Desabrochado): 1.00)</v>
      </c>
      <c r="P1189" s="47" t="str">
        <f>Data!X1187</f>
        <v>Válido</v>
      </c>
    </row>
    <row r="1190" spans="1:16">
      <c r="A1190" s="41" t="str">
        <f>Data!A1188</f>
        <v>QLO286</v>
      </c>
      <c r="B1190" s="41" t="str">
        <f>Data!D1188</f>
        <v>Vehicle, Diesel, ECP 1107 Rubiales Serv. Integrales</v>
      </c>
      <c r="C1190" s="41">
        <f>Data!F1188</f>
        <v>0</v>
      </c>
      <c r="D1190" s="41">
        <f>Data!G1188</f>
        <v>0</v>
      </c>
      <c r="E1190" s="41">
        <f>Data!H1188</f>
        <v>0</v>
      </c>
      <c r="F1190" s="41">
        <f>Data!K1188</f>
        <v>0</v>
      </c>
      <c r="G1190" s="33" t="str">
        <f>Data!M1188</f>
        <v>Uso del cinturón de seguridad</v>
      </c>
      <c r="H1190" s="41" t="str">
        <f>Data!P1188</f>
        <v>ECOPETROL RUBIALES- Quifa - CAÑO SUR: Vía a RB-1052, Puerto Gaitán, Meta, Colombia</v>
      </c>
      <c r="I1190" s="42" t="str">
        <f>Data!Q1188</f>
        <v>Cliente, Vel Max 40 Km/h</v>
      </c>
      <c r="J1190" s="43">
        <f>Data!S1188</f>
        <v>46174.842156631945</v>
      </c>
      <c r="K1190" s="44">
        <f>Data!S1188</f>
        <v>46174.842156631945</v>
      </c>
      <c r="L1190" s="45">
        <f>Data!T1188</f>
        <v>1.8133101851851852E-4</v>
      </c>
      <c r="M1190" s="46">
        <f>Data!U1188</f>
        <v>4.6828899532556534E-2</v>
      </c>
      <c r="N1190" s="46" t="str">
        <f>CONCATENATE(Data!W1188," (",Data!V1188,")")</f>
        <v>Uso del cinturón de seguridad (Velocidad máxima: 12 kmh Cinturón de seguridad del conductor (1. Desabrochado): 1.00)</v>
      </c>
      <c r="O1190" s="42" t="str">
        <f>IF(Data!V1188&lt;&gt;"",N1190,Data!W1188)</f>
        <v>Uso del cinturón de seguridad (Velocidad máxima: 12 kmh Cinturón de seguridad del conductor (1. Desabrochado): 1.00)</v>
      </c>
      <c r="P1190" s="47" t="str">
        <f>Data!X1188</f>
        <v>Válido</v>
      </c>
    </row>
    <row r="1191" spans="1:16">
      <c r="A1191" s="41" t="str">
        <f>Data!A1189</f>
        <v>QLO286</v>
      </c>
      <c r="B1191" s="41" t="str">
        <f>Data!D1189</f>
        <v>Vehicle, Diesel, ECP 1107 Rubiales Serv. Integrales</v>
      </c>
      <c r="C1191" s="41">
        <f>Data!F1189</f>
        <v>0</v>
      </c>
      <c r="D1191" s="41">
        <f>Data!G1189</f>
        <v>0</v>
      </c>
      <c r="E1191" s="41">
        <f>Data!H1189</f>
        <v>0</v>
      </c>
      <c r="F1191" s="41">
        <f>Data!K1189</f>
        <v>0</v>
      </c>
      <c r="G1191" s="33" t="str">
        <f>Data!M1189</f>
        <v>Uso del cinturón de seguridad</v>
      </c>
      <c r="H1191" s="41" t="str">
        <f>Data!P1189</f>
        <v>ECOPETROL RUBIALES- Quifa - CAÑO SUR: Vía a RB-1052, Puerto Gaitán, Meta, Colombia</v>
      </c>
      <c r="I1191" s="42" t="str">
        <f>Data!Q1189</f>
        <v>Cliente, Vel Max 40 Km/h</v>
      </c>
      <c r="J1191" s="43">
        <f>Data!S1189</f>
        <v>46174.844079861214</v>
      </c>
      <c r="K1191" s="44">
        <f>Data!S1189</f>
        <v>46174.844079861214</v>
      </c>
      <c r="L1191" s="45">
        <f>Data!T1189</f>
        <v>1.099538037037037E-4</v>
      </c>
      <c r="M1191" s="46">
        <f>Data!U1189</f>
        <v>2.9446752741932869E-2</v>
      </c>
      <c r="N1191" s="46" t="str">
        <f>CONCATENATE(Data!W1189," (",Data!V1189,")")</f>
        <v>Uso del cinturón de seguridad (Velocidad máxima: 14 kmh Cinturón de seguridad del conductor (1. Desabrochado): 1.00)</v>
      </c>
      <c r="O1191" s="42" t="str">
        <f>IF(Data!V1189&lt;&gt;"",N1191,Data!W1189)</f>
        <v>Uso del cinturón de seguridad (Velocidad máxima: 14 kmh Cinturón de seguridad del conductor (1. Desabrochado): 1.00)</v>
      </c>
      <c r="P1191" s="47" t="str">
        <f>Data!X1189</f>
        <v>Válido</v>
      </c>
    </row>
    <row r="1192" spans="1:16">
      <c r="A1192" s="41" t="str">
        <f>Data!A1190</f>
        <v>QLO286</v>
      </c>
      <c r="B1192" s="41" t="str">
        <f>Data!D1190</f>
        <v>Vehicle, Diesel, ECP 1107 Rubiales Serv. Integrales</v>
      </c>
      <c r="C1192" s="41">
        <f>Data!F1190</f>
        <v>0</v>
      </c>
      <c r="D1192" s="41">
        <f>Data!G1190</f>
        <v>0</v>
      </c>
      <c r="E1192" s="41">
        <f>Data!H1190</f>
        <v>0</v>
      </c>
      <c r="F1192" s="41">
        <f>Data!K1190</f>
        <v>0</v>
      </c>
      <c r="G1192" s="33" t="str">
        <f>Data!M1190</f>
        <v>Uso del cinturón de seguridad</v>
      </c>
      <c r="H1192" s="41" t="str">
        <f>Data!P1190</f>
        <v>ECOPETROL RUBIALES- Quifa - CAÑO SUR: Vía a RB-1052, Puerto Gaitán, Meta, Colombia</v>
      </c>
      <c r="I1192" s="42" t="str">
        <f>Data!Q1190</f>
        <v>Cliente, Vel Max 40 Km/h</v>
      </c>
      <c r="J1192" s="43">
        <f>Data!S1190</f>
        <v>46174.844189814816</v>
      </c>
      <c r="K1192" s="44">
        <f>Data!S1190</f>
        <v>46174.844189814816</v>
      </c>
      <c r="L1192" s="45">
        <f>Data!T1190</f>
        <v>5.0231481481481482E-5</v>
      </c>
      <c r="M1192" s="46">
        <f>Data!U1190</f>
        <v>1.5228393487632275E-2</v>
      </c>
      <c r="N1192" s="46" t="str">
        <f>CONCATENATE(Data!W1190," (",Data!V1190,")")</f>
        <v>Uso del cinturón de seguridad (Velocidad máxima: 13 kmh Cinturón de seguridad del conductor (1. Desabrochado): 1.00)</v>
      </c>
      <c r="O1192" s="42" t="str">
        <f>IF(Data!V1190&lt;&gt;"",N1192,Data!W1190)</f>
        <v>Uso del cinturón de seguridad (Velocidad máxima: 13 kmh Cinturón de seguridad del conductor (1. Desabrochado): 1.00)</v>
      </c>
      <c r="P1192" s="47" t="str">
        <f>Data!X1190</f>
        <v>Válido</v>
      </c>
    </row>
    <row r="1193" spans="1:16">
      <c r="A1193" s="41" t="str">
        <f>Data!A1191</f>
        <v>QLO286</v>
      </c>
      <c r="B1193" s="41" t="str">
        <f>Data!D1191</f>
        <v>Vehicle, Diesel, ECP 1107 Rubiales Serv. Integrales</v>
      </c>
      <c r="C1193" s="41">
        <f>Data!F1191</f>
        <v>0</v>
      </c>
      <c r="D1193" s="41">
        <f>Data!G1191</f>
        <v>0</v>
      </c>
      <c r="E1193" s="41">
        <f>Data!H1191</f>
        <v>0</v>
      </c>
      <c r="F1193" s="41">
        <f>Data!K1191</f>
        <v>0</v>
      </c>
      <c r="G1193" s="33" t="str">
        <f>Data!M1191</f>
        <v>Exceso Velocidad 20 Km/h</v>
      </c>
      <c r="H1193" s="41" t="str">
        <f>Data!P1191</f>
        <v>ECOPETROL RUBIALES- Quifa - CAÑO SUR, CAMPAMENTO MI LLANURA: Rb 90, Puerto Gaitán, Meta, Colombia</v>
      </c>
      <c r="I1193" s="42" t="str">
        <f>Data!Q1191</f>
        <v>Cliente, Vel Max 40 Km/h, Vel Max 20 Km/h</v>
      </c>
      <c r="J1193" s="43">
        <f>Data!S1191</f>
        <v>46174.846078252318</v>
      </c>
      <c r="K1193" s="44">
        <f>Data!S1191</f>
        <v>46174.846078252318</v>
      </c>
      <c r="L1193" s="45">
        <f>Data!T1191</f>
        <v>2.1341435185185184E-4</v>
      </c>
      <c r="M1193" s="46">
        <f>Data!U1191</f>
        <v>0.12245739996433258</v>
      </c>
      <c r="N1193" s="46" t="str">
        <f>CONCATENATE(Data!W1191," (",Data!V1191,")")</f>
        <v>Exceso Velocidad 20 Km/h (Velocidad máxima: 28 kmh)</v>
      </c>
      <c r="O1193" s="42" t="str">
        <f>IF(Data!V1191&lt;&gt;"",N1193,Data!W1191)</f>
        <v>Exceso Velocidad 20 Km/h (Velocidad máxima: 28 kmh)</v>
      </c>
      <c r="P1193" s="47" t="str">
        <f>Data!X1191</f>
        <v>Válido</v>
      </c>
    </row>
    <row r="1194" spans="1:16">
      <c r="A1194" s="41" t="str">
        <f>Data!A1192</f>
        <v>QLO286</v>
      </c>
      <c r="B1194" s="41" t="str">
        <f>Data!D1192</f>
        <v>Vehicle, Diesel, ECP 1107 Rubiales Serv. Integrales</v>
      </c>
      <c r="C1194" s="41">
        <f>Data!F1192</f>
        <v>0</v>
      </c>
      <c r="D1194" s="41">
        <f>Data!G1192</f>
        <v>0</v>
      </c>
      <c r="E1194" s="41">
        <f>Data!H1192</f>
        <v>0</v>
      </c>
      <c r="F1194" s="41">
        <f>Data!K1192</f>
        <v>0</v>
      </c>
      <c r="G1194" s="33" t="str">
        <f>Data!M1192</f>
        <v>Exceso Velocidad 20 Km/h</v>
      </c>
      <c r="H1194" s="41" t="str">
        <f>Data!P1192</f>
        <v>ECOPETROL RUBIALES- Quifa - CAÑO SUR, CAMPAMENTO MI LLANURA: Rb 90, Puerto Gaitán, Meta, Colombia</v>
      </c>
      <c r="I1194" s="42" t="str">
        <f>Data!Q1192</f>
        <v>Cliente, Vel Max 40 Km/h, Vel Max 20 Km/h</v>
      </c>
      <c r="J1194" s="43">
        <f>Data!S1192</f>
        <v>46174.846525462963</v>
      </c>
      <c r="K1194" s="44">
        <f>Data!S1192</f>
        <v>46174.846525462963</v>
      </c>
      <c r="L1194" s="45">
        <f>Data!T1192</f>
        <v>1.5804398148148147E-4</v>
      </c>
      <c r="M1194" s="46">
        <f>Data!U1192</f>
        <v>0.10048903524875641</v>
      </c>
      <c r="N1194" s="46" t="str">
        <f>CONCATENATE(Data!W1192," (",Data!V1192,")")</f>
        <v>Exceso Velocidad 20 Km/h (Velocidad máxima: 29 kmh)</v>
      </c>
      <c r="O1194" s="42" t="str">
        <f>IF(Data!V1192&lt;&gt;"",N1194,Data!W1192)</f>
        <v>Exceso Velocidad 20 Km/h (Velocidad máxima: 29 kmh)</v>
      </c>
      <c r="P1194" s="47" t="str">
        <f>Data!X1192</f>
        <v>Válido</v>
      </c>
    </row>
    <row r="1195" spans="1:16">
      <c r="A1195" s="41" t="str">
        <f>Data!A1193</f>
        <v>QLO286</v>
      </c>
      <c r="B1195" s="41" t="str">
        <f>Data!D1193</f>
        <v>Vehicle, Diesel, ECP 1107 Rubiales Serv. Integrales</v>
      </c>
      <c r="C1195" s="41">
        <f>Data!F1193</f>
        <v>0</v>
      </c>
      <c r="D1195" s="41">
        <f>Data!G1193</f>
        <v>0</v>
      </c>
      <c r="E1195" s="41">
        <f>Data!H1193</f>
        <v>0</v>
      </c>
      <c r="F1195" s="41">
        <f>Data!K1193</f>
        <v>0</v>
      </c>
      <c r="G1195" s="33" t="str">
        <f>Data!M1193</f>
        <v>Uso del cinturón de seguridad</v>
      </c>
      <c r="H1195" s="41" t="str">
        <f>Data!P1193</f>
        <v>ECOPETROL RUBIALES- Quifa - CAÑO SUR, CAMPAMENTO MI LLANURA: Rb 90, Puerto Gaitán, Meta, Colombia</v>
      </c>
      <c r="I1195" s="42" t="str">
        <f>Data!Q1193</f>
        <v>Cliente, Vel Max 40 Km/h, Vel Max 20 Km/h</v>
      </c>
      <c r="J1195" s="43">
        <f>Data!S1193</f>
        <v>46174.848719907408</v>
      </c>
      <c r="K1195" s="44">
        <f>Data!S1193</f>
        <v>46174.848719907408</v>
      </c>
      <c r="L1195" s="45">
        <f>Data!T1193</f>
        <v>8.5208333333333335E-5</v>
      </c>
      <c r="M1195" s="46">
        <f>Data!U1193</f>
        <v>2.9930774122476578E-2</v>
      </c>
      <c r="N1195" s="46" t="str">
        <f>CONCATENATE(Data!W1193," (",Data!V1193,")")</f>
        <v>Uso del cinturón de seguridad (Velocidad máxima: 14 kmh Cinturón de seguridad del conductor (1. Desabrochado): 1.00)</v>
      </c>
      <c r="O1195" s="42" t="str">
        <f>IF(Data!V1193&lt;&gt;"",N1195,Data!W1193)</f>
        <v>Uso del cinturón de seguridad (Velocidad máxima: 14 kmh Cinturón de seguridad del conductor (1. Desabrochado): 1.00)</v>
      </c>
      <c r="P1195" s="47" t="str">
        <f>Data!X1193</f>
        <v>Válido</v>
      </c>
    </row>
    <row r="1196" spans="1:16">
      <c r="A1196" s="41" t="str">
        <f>Data!A1194</f>
        <v>QLO286</v>
      </c>
      <c r="B1196" s="41" t="str">
        <f>Data!D1194</f>
        <v>Vehicle, Diesel, ECP 1107 Rubiales Serv. Integrales</v>
      </c>
      <c r="C1196" s="41">
        <f>Data!F1194</f>
        <v>0</v>
      </c>
      <c r="D1196" s="41">
        <f>Data!G1194</f>
        <v>0</v>
      </c>
      <c r="E1196" s="41">
        <f>Data!H1194</f>
        <v>0</v>
      </c>
      <c r="F1196" s="41">
        <f>Data!K1194</f>
        <v>0</v>
      </c>
      <c r="G1196" s="33" t="str">
        <f>Data!M1194</f>
        <v>Frenado brusco (nuevo)</v>
      </c>
      <c r="H1196" s="41" t="str">
        <f>Data!P1194</f>
        <v>ECOPETROL RUBIALES- Quifa - CAÑO SUR, CAMPAMENTO MI LLANURA: Rb 90, Puerto Gaitán, Meta, Colombia</v>
      </c>
      <c r="I1196" s="42" t="str">
        <f>Data!Q1194</f>
        <v>Cliente, Vel Max 40 Km/h, Vel Max 20 Km/h</v>
      </c>
      <c r="J1196" s="43">
        <f>Data!S1194</f>
        <v>46174.849965277775</v>
      </c>
      <c r="K1196" s="44">
        <f>Data!S1194</f>
        <v>46174.849965277775</v>
      </c>
      <c r="L1196" s="45">
        <f>Data!T1194</f>
        <v>0</v>
      </c>
      <c r="M1196" s="46">
        <f>Data!U1194</f>
        <v>0</v>
      </c>
      <c r="N1196" s="46" t="str">
        <f>CONCATENATE(Data!W1194," (",Data!V1194,")")</f>
        <v>Frenado brusco (nuevo) (Clase de vehículo para métricas de seguridad: Otra clase (no estandarizada), Velocidad máxima: 4 kmh,  Ignición: 1)</v>
      </c>
      <c r="O1196" s="42" t="str">
        <f>IF(Data!V1194&lt;&gt;"",N1196,Data!W1194)</f>
        <v>Frenado brusco (nuevo) (Clase de vehículo para métricas de seguridad: Otra clase (no estandarizada), Velocidad máxima: 4 kmh,  Ignición: 1)</v>
      </c>
      <c r="P1196" s="47" t="str">
        <f>Data!X1194</f>
        <v>Válido</v>
      </c>
    </row>
    <row r="1197" spans="1:16">
      <c r="A1197" s="41" t="str">
        <f>Data!A1195</f>
        <v>QLO286</v>
      </c>
      <c r="B1197" s="41" t="str">
        <f>Data!D1195</f>
        <v>Vehicle, Diesel, ECP 1107 Rubiales Serv. Integrales</v>
      </c>
      <c r="C1197" s="41">
        <f>Data!F1195</f>
        <v>0</v>
      </c>
      <c r="D1197" s="41">
        <f>Data!G1195</f>
        <v>0</v>
      </c>
      <c r="E1197" s="41">
        <f>Data!H1195</f>
        <v>0</v>
      </c>
      <c r="F1197" s="41">
        <f>Data!K1195</f>
        <v>0</v>
      </c>
      <c r="G1197" s="33" t="str">
        <f>Data!M1195</f>
        <v>Tiempo en ralentí</v>
      </c>
      <c r="H1197" s="41" t="str">
        <f>Data!P1195</f>
        <v>ECOPETROL RUBIALES- Quifa - CAÑO SUR: Rb 92, Puerto Gaitán, Meta, Colombia</v>
      </c>
      <c r="I1197" s="42" t="str">
        <f>Data!Q1195</f>
        <v>Cliente, Vel Max 40 Km/h</v>
      </c>
      <c r="J1197" s="43">
        <f>Data!S1195</f>
        <v>46174.866481481484</v>
      </c>
      <c r="K1197" s="44">
        <f>Data!S1195</f>
        <v>46174.866481481484</v>
      </c>
      <c r="L1197" s="45">
        <f>Data!T1195</f>
        <v>6.4351851851851853E-3</v>
      </c>
      <c r="M1197" s="46">
        <f>Data!U1195</f>
        <v>1.9693702924996614E-3</v>
      </c>
      <c r="N1197" s="46" t="str">
        <f>CONCATENATE(Data!W1195," (",Data!V1195,")")</f>
        <v>Tiempo en ralentí (Ignición: 1.00)</v>
      </c>
      <c r="O1197" s="42" t="str">
        <f>IF(Data!V1195&lt;&gt;"",N1197,Data!W1195)</f>
        <v>Tiempo en ralentí (Ignición: 1.00)</v>
      </c>
      <c r="P1197" s="47" t="str">
        <f>Data!X1195</f>
        <v>Válido</v>
      </c>
    </row>
    <row r="1198" spans="1:16">
      <c r="A1198" s="41" t="str">
        <f>Data!A1196</f>
        <v>QLO286</v>
      </c>
      <c r="B1198" s="41" t="str">
        <f>Data!D1196</f>
        <v>Vehicle, Diesel, ECP 1107 Rubiales Serv. Integrales</v>
      </c>
      <c r="C1198" s="41">
        <f>Data!F1196</f>
        <v>0</v>
      </c>
      <c r="D1198" s="41">
        <f>Data!G1196</f>
        <v>0</v>
      </c>
      <c r="E1198" s="41">
        <f>Data!H1196</f>
        <v>0</v>
      </c>
      <c r="F1198" s="41">
        <f>Data!K1196</f>
        <v>0</v>
      </c>
      <c r="G1198" s="33" t="str">
        <f>Data!M1196</f>
        <v>Uso del cinturón de seguridad</v>
      </c>
      <c r="H1198" s="41" t="str">
        <f>Data!P1196</f>
        <v>ECOPETROL RUBIALES- Quifa - CAÑO SUR: Rb 92, Puerto Gaitán, Meta, Colombia</v>
      </c>
      <c r="I1198" s="42" t="str">
        <f>Data!Q1196</f>
        <v>Cliente, Vel Max 40 Km/h</v>
      </c>
      <c r="J1198" s="43">
        <f>Data!S1196</f>
        <v>46174.875133101952</v>
      </c>
      <c r="K1198" s="44">
        <f>Data!S1196</f>
        <v>46174.875133101952</v>
      </c>
      <c r="L1198" s="45">
        <f>Data!T1196</f>
        <v>1.0787037037037037E-4</v>
      </c>
      <c r="M1198" s="46">
        <f>Data!U1196</f>
        <v>4.9148485064506531E-2</v>
      </c>
      <c r="N1198" s="46" t="str">
        <f>CONCATENATE(Data!W1196," (",Data!V1196,")")</f>
        <v>Uso del cinturón de seguridad (Velocidad máxima: 28 kmh Cinturón de seguridad del conductor (1. Desabrochado): 1.00)</v>
      </c>
      <c r="O1198" s="42" t="str">
        <f>IF(Data!V1196&lt;&gt;"",N1198,Data!W1196)</f>
        <v>Uso del cinturón de seguridad (Velocidad máxima: 28 kmh Cinturón de seguridad del conductor (1. Desabrochado): 1.00)</v>
      </c>
      <c r="P1198" s="47" t="str">
        <f>Data!X1196</f>
        <v>Válido</v>
      </c>
    </row>
    <row r="1199" spans="1:16">
      <c r="A1199" s="41" t="str">
        <f>Data!A1197</f>
        <v>QLO286</v>
      </c>
      <c r="B1199" s="41" t="str">
        <f>Data!D1197</f>
        <v>Vehicle, Diesel, ECP 1107 Rubiales Serv. Integrales</v>
      </c>
      <c r="C1199" s="41">
        <f>Data!F1197</f>
        <v>0</v>
      </c>
      <c r="D1199" s="41">
        <f>Data!G1197</f>
        <v>0</v>
      </c>
      <c r="E1199" s="41">
        <f>Data!H1197</f>
        <v>0</v>
      </c>
      <c r="F1199" s="41">
        <f>Data!K1197</f>
        <v>0</v>
      </c>
      <c r="G1199" s="33" t="str">
        <f>Data!M1197</f>
        <v>Uso del cinturón de seguridad</v>
      </c>
      <c r="H1199" s="41" t="str">
        <f>Data!P1197</f>
        <v>ECOPETROL RUBIALES- Quifa - CAÑO SUR: Rb 92, Puerto Gaitán, Meta, Colombia</v>
      </c>
      <c r="I1199" s="42" t="str">
        <f>Data!Q1197</f>
        <v>Cliente, Vel Max 40 Km/h</v>
      </c>
      <c r="J1199" s="43">
        <f>Data!S1197</f>
        <v>46174.878587962965</v>
      </c>
      <c r="K1199" s="44">
        <f>Data!S1197</f>
        <v>46174.878587962965</v>
      </c>
      <c r="L1199" s="45">
        <f>Data!T1197</f>
        <v>5.0543981481481483E-5</v>
      </c>
      <c r="M1199" s="46">
        <f>Data!U1197</f>
        <v>1.3095386326313019E-2</v>
      </c>
      <c r="N1199" s="46" t="str">
        <f>CONCATENATE(Data!W1197," (",Data!V1197,")")</f>
        <v>Uso del cinturón de seguridad (Velocidad máxima: 13 kmh Cinturón de seguridad del conductor (1. Desabrochado): 1.00)</v>
      </c>
      <c r="O1199" s="42" t="str">
        <f>IF(Data!V1197&lt;&gt;"",N1199,Data!W1197)</f>
        <v>Uso del cinturón de seguridad (Velocidad máxima: 13 kmh Cinturón de seguridad del conductor (1. Desabrochado): 1.00)</v>
      </c>
      <c r="P1199" s="47" t="str">
        <f>Data!X1197</f>
        <v>Válido</v>
      </c>
    </row>
    <row r="1200" spans="1:16">
      <c r="A1200" s="41" t="str">
        <f>Data!A1198</f>
        <v>QLO286</v>
      </c>
      <c r="B1200" s="41" t="str">
        <f>Data!D1198</f>
        <v>Vehicle, Diesel, ECP 1107 Rubiales Serv. Integrales</v>
      </c>
      <c r="C1200" s="41">
        <f>Data!F1198</f>
        <v>0</v>
      </c>
      <c r="D1200" s="41">
        <f>Data!G1198</f>
        <v>0</v>
      </c>
      <c r="E1200" s="41">
        <f>Data!H1198</f>
        <v>0</v>
      </c>
      <c r="F1200" s="41">
        <f>Data!K1198</f>
        <v>0</v>
      </c>
      <c r="G1200" s="33" t="str">
        <f>Data!M1198</f>
        <v>Exceso Velocidad 40 Km/h</v>
      </c>
      <c r="H1200" s="41" t="str">
        <f>Data!P1198</f>
        <v>ECOPETROL RUBIALES- Quifa - CAÑO SUR: Piscina 06 05 04 02 03 08 Rb 352 293 287 239 291, Puerto Gaitán, Meta, Colombia</v>
      </c>
      <c r="I1200" s="42" t="str">
        <f>Data!Q1198</f>
        <v>Cliente, Vel Max 40 Km/h</v>
      </c>
      <c r="J1200" s="43">
        <f>Data!S1198</f>
        <v>46174.879610335651</v>
      </c>
      <c r="K1200" s="44">
        <f>Data!S1198</f>
        <v>46174.879610335651</v>
      </c>
      <c r="L1200" s="45">
        <f>Data!T1198</f>
        <v>5.1122685185185183E-5</v>
      </c>
      <c r="M1200" s="46">
        <f>Data!U1198</f>
        <v>4.6973563730716705E-2</v>
      </c>
      <c r="N1200" s="46" t="str">
        <f>CONCATENATE(Data!W1198," (",Data!V1198,")")</f>
        <v>Exceso Velocidad 40 Km/h (Velocidad máxima: 41 kmh)</v>
      </c>
      <c r="O1200" s="42" t="str">
        <f>IF(Data!V1198&lt;&gt;"",N1200,Data!W1198)</f>
        <v>Exceso Velocidad 40 Km/h (Velocidad máxima: 41 kmh)</v>
      </c>
      <c r="P1200" s="47" t="str">
        <f>Data!X1198</f>
        <v>Válido</v>
      </c>
    </row>
    <row r="1201" spans="1:16">
      <c r="A1201" s="41" t="str">
        <f>Data!A1199</f>
        <v>QLO286</v>
      </c>
      <c r="B1201" s="41" t="str">
        <f>Data!D1199</f>
        <v>Vehicle, Diesel, ECP 1107 Rubiales Serv. Integrales</v>
      </c>
      <c r="C1201" s="41">
        <f>Data!F1199</f>
        <v>0</v>
      </c>
      <c r="D1201" s="41">
        <f>Data!G1199</f>
        <v>0</v>
      </c>
      <c r="E1201" s="41">
        <f>Data!H1199</f>
        <v>0</v>
      </c>
      <c r="F1201" s="41">
        <f>Data!K1199</f>
        <v>0</v>
      </c>
      <c r="G1201" s="33" t="str">
        <f>Data!M1199</f>
        <v>Uso del cinturón de seguridad</v>
      </c>
      <c r="H1201" s="41" t="str">
        <f>Data!P1199</f>
        <v>ECOPETROL RUBIALES- Quifa - CAÑO SUR: Rb 239, Puerto Gaitán, Meta, Colombia</v>
      </c>
      <c r="I1201" s="42" t="str">
        <f>Data!Q1199</f>
        <v>Cliente, Vel Max 40 Km/h</v>
      </c>
      <c r="J1201" s="43">
        <f>Data!S1199</f>
        <v>46174.889351851853</v>
      </c>
      <c r="K1201" s="44">
        <f>Data!S1199</f>
        <v>46174.889351851853</v>
      </c>
      <c r="L1201" s="45">
        <f>Data!T1199</f>
        <v>3.5879629629629629E-4</v>
      </c>
      <c r="M1201" s="46">
        <f>Data!U1199</f>
        <v>9.4750568270683289E-2</v>
      </c>
      <c r="N1201" s="46" t="str">
        <f>CONCATENATE(Data!W1199," (",Data!V1199,")")</f>
        <v>Uso del cinturón de seguridad (Velocidad máxima: 13 kmh Cinturón de seguridad del conductor (1. Desabrochado): 1.00)</v>
      </c>
      <c r="O1201" s="42" t="str">
        <f>IF(Data!V1199&lt;&gt;"",N1201,Data!W1199)</f>
        <v>Uso del cinturón de seguridad (Velocidad máxima: 13 kmh Cinturón de seguridad del conductor (1. Desabrochado): 1.00)</v>
      </c>
      <c r="P1201" s="47" t="str">
        <f>Data!X1199</f>
        <v>Válido</v>
      </c>
    </row>
    <row r="1202" spans="1:16">
      <c r="A1202" s="41" t="str">
        <f>Data!A1200</f>
        <v>QLO286</v>
      </c>
      <c r="B1202" s="41" t="str">
        <f>Data!D1200</f>
        <v>Vehicle, Diesel, ECP 1107 Rubiales Serv. Integrales</v>
      </c>
      <c r="C1202" s="41">
        <f>Data!F1200</f>
        <v>0</v>
      </c>
      <c r="D1202" s="41">
        <f>Data!G1200</f>
        <v>0</v>
      </c>
      <c r="E1202" s="41">
        <f>Data!H1200</f>
        <v>0</v>
      </c>
      <c r="F1202" s="41">
        <f>Data!K1200</f>
        <v>0</v>
      </c>
      <c r="G1202" s="33" t="str">
        <f>Data!M1200</f>
        <v>Uso del cinturón de seguridad</v>
      </c>
      <c r="H1202" s="41" t="str">
        <f>Data!P1200</f>
        <v>ECOPETROL RUBIALES- Quifa - CAÑO SUR: Rb 239, Puerto Gaitán, Meta, Colombia</v>
      </c>
      <c r="I1202" s="42" t="str">
        <f>Data!Q1200</f>
        <v>Cliente, Vel Max 40 Km/h</v>
      </c>
      <c r="J1202" s="43">
        <f>Data!S1200</f>
        <v>46174.898726851854</v>
      </c>
      <c r="K1202" s="44">
        <f>Data!S1200</f>
        <v>46174.898726851854</v>
      </c>
      <c r="L1202" s="45">
        <f>Data!T1200</f>
        <v>3.4722222222222222E-5</v>
      </c>
      <c r="M1202" s="46">
        <f>Data!U1200</f>
        <v>8.695981465280056E-3</v>
      </c>
      <c r="N1202" s="46" t="str">
        <f>CONCATENATE(Data!W1200," (",Data!V1200,")")</f>
        <v>Uso del cinturón de seguridad (Velocidad máxima: 12 kmh Cinturón de seguridad del conductor (1. Desabrochado): 1.00)</v>
      </c>
      <c r="O1202" s="42" t="str">
        <f>IF(Data!V1200&lt;&gt;"",N1202,Data!W1200)</f>
        <v>Uso del cinturón de seguridad (Velocidad máxima: 12 kmh Cinturón de seguridad del conductor (1. Desabrochado): 1.00)</v>
      </c>
      <c r="P1202" s="47" t="str">
        <f>Data!X1200</f>
        <v>Válido</v>
      </c>
    </row>
    <row r="1203" spans="1:16">
      <c r="A1203" s="41" t="str">
        <f>Data!A1201</f>
        <v>QLO286</v>
      </c>
      <c r="B1203" s="41" t="str">
        <f>Data!D1201</f>
        <v>Vehicle, Diesel, ECP 1107 Rubiales Serv. Integrales</v>
      </c>
      <c r="C1203" s="41">
        <f>Data!F1201</f>
        <v>0</v>
      </c>
      <c r="D1203" s="41">
        <f>Data!G1201</f>
        <v>0</v>
      </c>
      <c r="E1203" s="41">
        <f>Data!H1201</f>
        <v>0</v>
      </c>
      <c r="F1203" s="41">
        <f>Data!K1201</f>
        <v>0</v>
      </c>
      <c r="G1203" s="33" t="str">
        <f>Data!M1201</f>
        <v>Uso del cinturón de seguridad</v>
      </c>
      <c r="H1203" s="41" t="str">
        <f>Data!P1201</f>
        <v>ECOPETROL RUBIALES- Quifa - CAÑO SUR: Rb 239, Puerto Gaitán, Meta, Colombia</v>
      </c>
      <c r="I1203" s="42" t="str">
        <f>Data!Q1201</f>
        <v>Cliente, Vel Max 40 Km/h</v>
      </c>
      <c r="J1203" s="43">
        <f>Data!S1201</f>
        <v>46174.89880787037</v>
      </c>
      <c r="K1203" s="44">
        <f>Data!S1201</f>
        <v>46174.89880787037</v>
      </c>
      <c r="L1203" s="45">
        <f>Data!T1201</f>
        <v>1.5150462962962963E-5</v>
      </c>
      <c r="M1203" s="46">
        <f>Data!U1201</f>
        <v>5.7863541878759861E-3</v>
      </c>
      <c r="N1203" s="46" t="str">
        <f>CONCATENATE(Data!W1201," (",Data!V1201,")")</f>
        <v>Uso del cinturón de seguridad (Velocidad máxima: 12 kmh Cinturón de seguridad del conductor (1. Desabrochado): 1.00)</v>
      </c>
      <c r="O1203" s="42" t="str">
        <f>IF(Data!V1201&lt;&gt;"",N1203,Data!W1201)</f>
        <v>Uso del cinturón de seguridad (Velocidad máxima: 12 kmh Cinturón de seguridad del conductor (1. Desabrochado): 1.00)</v>
      </c>
      <c r="P1203" s="47" t="str">
        <f>Data!X1201</f>
        <v>Válido</v>
      </c>
    </row>
    <row r="1204" spans="1:16">
      <c r="A1204" s="41" t="str">
        <f>Data!A1202</f>
        <v>QLO286</v>
      </c>
      <c r="B1204" s="41" t="str">
        <f>Data!D1202</f>
        <v>Vehicle, Diesel, ECP 1107 Rubiales Serv. Integrales</v>
      </c>
      <c r="C1204" s="41">
        <f>Data!F1202</f>
        <v>0</v>
      </c>
      <c r="D1204" s="41">
        <f>Data!G1202</f>
        <v>0</v>
      </c>
      <c r="E1204" s="41">
        <f>Data!H1202</f>
        <v>0</v>
      </c>
      <c r="F1204" s="41">
        <f>Data!K1202</f>
        <v>0</v>
      </c>
      <c r="G1204" s="33" t="str">
        <f>Data!M1202</f>
        <v>Exceso Velocidad 40 Km/h</v>
      </c>
      <c r="H1204" s="41" t="str">
        <f>Data!P1202</f>
        <v>ECOPETROL RUBIALES- Quifa - CAÑO SUR: Piscina 06 05 04 02 03 08 Rb 352 293 287 239 291, Puerto Gaitán, Meta, Colombia</v>
      </c>
      <c r="I1204" s="42" t="str">
        <f>Data!Q1202</f>
        <v>Cliente, Vel Max 40 Km/h</v>
      </c>
      <c r="J1204" s="43">
        <f>Data!S1202</f>
        <v>46174.902873842591</v>
      </c>
      <c r="K1204" s="44">
        <f>Data!S1202</f>
        <v>46174.902873842591</v>
      </c>
      <c r="L1204" s="45">
        <f>Data!T1202</f>
        <v>3.7037037037037037E-5</v>
      </c>
      <c r="M1204" s="46">
        <f>Data!U1202</f>
        <v>3.487863764166832E-2</v>
      </c>
      <c r="N1204" s="46" t="str">
        <f>CONCATENATE(Data!W1202," (",Data!V1202,")")</f>
        <v>Exceso Velocidad 40 Km/h (Velocidad máxima: 41 kmh)</v>
      </c>
      <c r="O1204" s="42" t="str">
        <f>IF(Data!V1202&lt;&gt;"",N1204,Data!W1202)</f>
        <v>Exceso Velocidad 40 Km/h (Velocidad máxima: 41 kmh)</v>
      </c>
      <c r="P1204" s="47" t="str">
        <f>Data!X1202</f>
        <v>Válido</v>
      </c>
    </row>
    <row r="1205" spans="1:16">
      <c r="A1205" s="41" t="str">
        <f>Data!A1203</f>
        <v>QLO286</v>
      </c>
      <c r="B1205" s="41" t="str">
        <f>Data!D1203</f>
        <v>Vehicle, Diesel, ECP 1107 Rubiales Serv. Integrales</v>
      </c>
      <c r="C1205" s="41">
        <f>Data!F1203</f>
        <v>0</v>
      </c>
      <c r="D1205" s="41">
        <f>Data!G1203</f>
        <v>0</v>
      </c>
      <c r="E1205" s="41">
        <f>Data!H1203</f>
        <v>0</v>
      </c>
      <c r="F1205" s="41">
        <f>Data!K1203</f>
        <v>0</v>
      </c>
      <c r="G1205" s="33" t="str">
        <f>Data!M1203</f>
        <v>Exceso Velocidad 40 Km/h</v>
      </c>
      <c r="H1205" s="41" t="str">
        <f>Data!P1203</f>
        <v>ECOPETROL RUBIALES- Quifa - CAÑO SUR: Piscina 06 05 04 02 03 08 Rb 92 352 293 287 239 291, Puerto Gaitán, Meta, Colombia</v>
      </c>
      <c r="I1205" s="42" t="str">
        <f>Data!Q1203</f>
        <v>Cliente, Vel Max 40 Km/h</v>
      </c>
      <c r="J1205" s="43">
        <f>Data!S1203</f>
        <v>46174.903132719905</v>
      </c>
      <c r="K1205" s="44">
        <f>Data!S1203</f>
        <v>46174.903132719905</v>
      </c>
      <c r="L1205" s="45">
        <f>Data!T1203</f>
        <v>4.1469907407407404E-5</v>
      </c>
      <c r="M1205" s="46">
        <f>Data!U1203</f>
        <v>3.8655776530504227E-2</v>
      </c>
      <c r="N1205" s="46" t="str">
        <f>CONCATENATE(Data!W1203," (",Data!V1203,")")</f>
        <v>Exceso Velocidad 40 Km/h (Velocidad máxima: 41 kmh)</v>
      </c>
      <c r="O1205" s="42" t="str">
        <f>IF(Data!V1203&lt;&gt;"",N1205,Data!W1203)</f>
        <v>Exceso Velocidad 40 Km/h (Velocidad máxima: 41 kmh)</v>
      </c>
      <c r="P1205" s="47" t="str">
        <f>Data!X1203</f>
        <v>Válido</v>
      </c>
    </row>
    <row r="1206" spans="1:16">
      <c r="A1206" s="41" t="str">
        <f>Data!A1204</f>
        <v>QLO286</v>
      </c>
      <c r="B1206" s="41" t="str">
        <f>Data!D1204</f>
        <v>Vehicle, Diesel, ECP 1107 Rubiales Serv. Integrales</v>
      </c>
      <c r="C1206" s="41">
        <f>Data!F1204</f>
        <v>0</v>
      </c>
      <c r="D1206" s="41">
        <f>Data!G1204</f>
        <v>0</v>
      </c>
      <c r="E1206" s="41">
        <f>Data!H1204</f>
        <v>0</v>
      </c>
      <c r="F1206" s="41">
        <f>Data!K1204</f>
        <v>0</v>
      </c>
      <c r="G1206" s="33" t="str">
        <f>Data!M1204</f>
        <v>Exceso Velocidad 40 Km/h</v>
      </c>
      <c r="H1206" s="41" t="str">
        <f>Data!P1204</f>
        <v>ECOPETROL RUBIALES- Quifa - CAÑO SUR: Piscina 06 05 04 02 03 08 Rb 92 352 293 287 239 291, Puerto Gaitán, Meta, Colombia</v>
      </c>
      <c r="I1206" s="42" t="str">
        <f>Data!Q1204</f>
        <v>Cliente, Vel Max 40 Km/h</v>
      </c>
      <c r="J1206" s="43">
        <f>Data!S1204</f>
        <v>46174.903327546395</v>
      </c>
      <c r="K1206" s="44">
        <f>Data!S1204</f>
        <v>46174.903327546395</v>
      </c>
      <c r="L1206" s="45">
        <f>Data!T1204</f>
        <v>4.4363425925925926E-5</v>
      </c>
      <c r="M1206" s="46">
        <f>Data!U1204</f>
        <v>4.1178494691848755E-2</v>
      </c>
      <c r="N1206" s="46" t="str">
        <f>CONCATENATE(Data!W1204," (",Data!V1204,")")</f>
        <v>Exceso Velocidad 40 Km/h (Velocidad máxima: 41 kmh)</v>
      </c>
      <c r="O1206" s="42" t="str">
        <f>IF(Data!V1204&lt;&gt;"",N1206,Data!W1204)</f>
        <v>Exceso Velocidad 40 Km/h (Velocidad máxima: 41 kmh)</v>
      </c>
      <c r="P1206" s="47" t="str">
        <f>Data!X1204</f>
        <v>Válido</v>
      </c>
    </row>
    <row r="1207" spans="1:16">
      <c r="A1207" s="41" t="str">
        <f>Data!A1205</f>
        <v>QLO286</v>
      </c>
      <c r="B1207" s="41" t="str">
        <f>Data!D1205</f>
        <v>Vehicle, Diesel, ECP 1107 Rubiales Serv. Integrales</v>
      </c>
      <c r="C1207" s="41">
        <f>Data!F1205</f>
        <v>0</v>
      </c>
      <c r="D1207" s="41">
        <f>Data!G1205</f>
        <v>0</v>
      </c>
      <c r="E1207" s="41">
        <f>Data!H1205</f>
        <v>0</v>
      </c>
      <c r="F1207" s="41">
        <f>Data!K1205</f>
        <v>0</v>
      </c>
      <c r="G1207" s="33" t="str">
        <f>Data!M1205</f>
        <v>Uso del cinturón de seguridad</v>
      </c>
      <c r="H1207" s="41" t="str">
        <f>Data!P1205</f>
        <v>ECOPETROL RUBIALES- Quifa - CAÑO SUR: Cluster 30 Rb 30 62 63 64, Puerto Gaitán, Meta, Colombia</v>
      </c>
      <c r="I1207" s="42" t="str">
        <f>Data!Q1205</f>
        <v>Cliente, Vel Max 40 Km/h</v>
      </c>
      <c r="J1207" s="43">
        <f>Data!S1205</f>
        <v>46174.908668981479</v>
      </c>
      <c r="K1207" s="44">
        <f>Data!S1205</f>
        <v>46174.908668981479</v>
      </c>
      <c r="L1207" s="45">
        <f>Data!T1205</f>
        <v>7.5231581481481481E-5</v>
      </c>
      <c r="M1207" s="46">
        <f>Data!U1205</f>
        <v>1.6339167952537537E-2</v>
      </c>
      <c r="N1207" s="46" t="str">
        <f>CONCATENATE(Data!W1205," (",Data!V1205,")")</f>
        <v>Uso del cinturón de seguridad (Velocidad máxima: 13 kmh Cinturón de seguridad del conductor (1. Desabrochado): 1.00)</v>
      </c>
      <c r="O1207" s="42" t="str">
        <f>IF(Data!V1205&lt;&gt;"",N1207,Data!W1205)</f>
        <v>Uso del cinturón de seguridad (Velocidad máxima: 13 kmh Cinturón de seguridad del conductor (1. Desabrochado): 1.00)</v>
      </c>
      <c r="P1207" s="47" t="str">
        <f>Data!X1205</f>
        <v>Válido</v>
      </c>
    </row>
    <row r="1208" spans="1:16">
      <c r="A1208" s="41" t="str">
        <f>Data!A1206</f>
        <v>QLO286</v>
      </c>
      <c r="B1208" s="41" t="str">
        <f>Data!D1206</f>
        <v>Vehicle, Diesel, ECP 1107 Rubiales Serv. Integrales</v>
      </c>
      <c r="C1208" s="41">
        <f>Data!F1206</f>
        <v>0</v>
      </c>
      <c r="D1208" s="41">
        <f>Data!G1206</f>
        <v>0</v>
      </c>
      <c r="E1208" s="41">
        <f>Data!H1206</f>
        <v>0</v>
      </c>
      <c r="F1208" s="41">
        <f>Data!K1206</f>
        <v>0</v>
      </c>
      <c r="G1208" s="33" t="str">
        <f>Data!M1206</f>
        <v>Uso del cinturón de seguridad</v>
      </c>
      <c r="H1208" s="41" t="str">
        <f>Data!P1206</f>
        <v>ECOPETROL RUBIALES- Quifa - CAÑO SUR: Cluster 30 Rb 30 62 63 64, Puerto Gaitán, Meta, Colombia</v>
      </c>
      <c r="I1208" s="42" t="str">
        <f>Data!Q1206</f>
        <v>Cliente, Vel Max 40 Km/h</v>
      </c>
      <c r="J1208" s="43">
        <f>Data!S1206</f>
        <v>46174.911319444444</v>
      </c>
      <c r="K1208" s="44">
        <f>Data!S1206</f>
        <v>46174.911319444444</v>
      </c>
      <c r="L1208" s="45">
        <f>Data!T1206</f>
        <v>3.0868055555555554E-5</v>
      </c>
      <c r="M1208" s="46">
        <f>Data!U1206</f>
        <v>7.2681396268308163E-3</v>
      </c>
      <c r="N1208" s="46" t="str">
        <f>CONCATENATE(Data!W1206," (",Data!V1206,")")</f>
        <v>Uso del cinturón de seguridad (Velocidad máxima: 11 kmh Cinturón de seguridad del conductor (1. Desabrochado): 1.00)</v>
      </c>
      <c r="O1208" s="42" t="str">
        <f>IF(Data!V1206&lt;&gt;"",N1208,Data!W1206)</f>
        <v>Uso del cinturón de seguridad (Velocidad máxima: 11 kmh Cinturón de seguridad del conductor (1. Desabrochado): 1.00)</v>
      </c>
      <c r="P1208" s="47" t="str">
        <f>Data!X1206</f>
        <v>Válido</v>
      </c>
    </row>
    <row r="1209" spans="1:16">
      <c r="A1209" s="41" t="str">
        <f>Data!A1207</f>
        <v>QLO286</v>
      </c>
      <c r="B1209" s="41" t="str">
        <f>Data!D1207</f>
        <v>Vehicle, Diesel, ECP 1107 Rubiales Serv. Integrales</v>
      </c>
      <c r="C1209" s="41">
        <f>Data!F1207</f>
        <v>0</v>
      </c>
      <c r="D1209" s="41">
        <f>Data!G1207</f>
        <v>0</v>
      </c>
      <c r="E1209" s="41">
        <f>Data!H1207</f>
        <v>0</v>
      </c>
      <c r="F1209" s="41">
        <f>Data!K1207</f>
        <v>0</v>
      </c>
      <c r="G1209" s="33" t="str">
        <f>Data!M1207</f>
        <v>Uso del cinturón de seguridad</v>
      </c>
      <c r="H1209" s="41" t="str">
        <f>Data!P1207</f>
        <v>ECOPETROL RUBIALES- Quifa - CAÑO SUR: Cluster 30 Rb 30 62 63 64, Puerto Gaitán, Meta, Colombia</v>
      </c>
      <c r="I1209" s="42" t="str">
        <f>Data!Q1207</f>
        <v>Cliente, Vel Max 40 Km/h</v>
      </c>
      <c r="J1209" s="43">
        <f>Data!S1207</f>
        <v>46174.911469907405</v>
      </c>
      <c r="K1209" s="44">
        <f>Data!S1207</f>
        <v>46174.911469907405</v>
      </c>
      <c r="L1209" s="45">
        <f>Data!T1207</f>
        <v>9.2326388888888889E-5</v>
      </c>
      <c r="M1209" s="46">
        <f>Data!U1207</f>
        <v>3.9036784321069717E-2</v>
      </c>
      <c r="N1209" s="46" t="str">
        <f>CONCATENATE(Data!W1207," (",Data!V1207,")")</f>
        <v>Uso del cinturón de seguridad (Velocidad máxima: 15 kmh Cinturón de seguridad del conductor (1. Desabrochado): 1.00)</v>
      </c>
      <c r="O1209" s="42" t="str">
        <f>IF(Data!V1207&lt;&gt;"",N1209,Data!W1207)</f>
        <v>Uso del cinturón de seguridad (Velocidad máxima: 15 kmh Cinturón de seguridad del conductor (1. Desabrochado): 1.00)</v>
      </c>
      <c r="P1209" s="47" t="str">
        <f>Data!X1207</f>
        <v>Válido</v>
      </c>
    </row>
    <row r="1210" spans="1:16">
      <c r="A1210" s="41" t="str">
        <f>Data!A1208</f>
        <v>QLO286</v>
      </c>
      <c r="B1210" s="41" t="str">
        <f>Data!D1208</f>
        <v>Vehicle, Diesel, ECP 1107 Rubiales Serv. Integrales</v>
      </c>
      <c r="C1210" s="41">
        <f>Data!F1208</f>
        <v>0</v>
      </c>
      <c r="D1210" s="41">
        <f>Data!G1208</f>
        <v>0</v>
      </c>
      <c r="E1210" s="41">
        <f>Data!H1208</f>
        <v>0</v>
      </c>
      <c r="F1210" s="41">
        <f>Data!K1208</f>
        <v>0</v>
      </c>
      <c r="G1210" s="33" t="str">
        <f>Data!M1208</f>
        <v>Tiempo en ralentí</v>
      </c>
      <c r="H1210" s="41" t="str">
        <f>Data!P1208</f>
        <v>ECOPETROL RUBIALES- Quifa - CAÑO SUR: Rb 141, Puerto Gaitán, Meta, Colombia</v>
      </c>
      <c r="I1210" s="42" t="str">
        <f>Data!Q1208</f>
        <v>Cliente, Vel Max 40 Km/h</v>
      </c>
      <c r="J1210" s="43">
        <f>Data!S1208</f>
        <v>46174.926145833335</v>
      </c>
      <c r="K1210" s="44">
        <f>Data!S1208</f>
        <v>46174.926145833335</v>
      </c>
      <c r="L1210" s="45">
        <f>Data!T1208</f>
        <v>3.5348148148148149E-3</v>
      </c>
      <c r="M1210" s="46">
        <f>Data!U1208</f>
        <v>0</v>
      </c>
      <c r="N1210" s="46" t="str">
        <f>CONCATENATE(Data!W1208," (",Data!V1208,")")</f>
        <v>Tiempo en ralentí (Ignición: 1.00)</v>
      </c>
      <c r="O1210" s="42" t="str">
        <f>IF(Data!V1208&lt;&gt;"",N1210,Data!W1208)</f>
        <v>Tiempo en ralentí (Ignición: 1.00)</v>
      </c>
      <c r="P1210" s="47" t="str">
        <f>Data!X1208</f>
        <v>Válido</v>
      </c>
    </row>
    <row r="1211" spans="1:16">
      <c r="A1211" s="41" t="str">
        <f>Data!A1209</f>
        <v>QLO286</v>
      </c>
      <c r="B1211" s="41" t="str">
        <f>Data!D1209</f>
        <v>Vehicle, Diesel, ECP 1107 Rubiales Serv. Integrales</v>
      </c>
      <c r="C1211" s="41">
        <f>Data!F1209</f>
        <v>0</v>
      </c>
      <c r="D1211" s="41">
        <f>Data!G1209</f>
        <v>0</v>
      </c>
      <c r="E1211" s="41">
        <f>Data!H1209</f>
        <v>0</v>
      </c>
      <c r="F1211" s="41">
        <f>Data!K1209</f>
        <v>0</v>
      </c>
      <c r="G1211" s="33" t="str">
        <f>Data!M1209</f>
        <v>Uso del cinturón de seguridad</v>
      </c>
      <c r="H1211" s="41" t="str">
        <f>Data!P1209</f>
        <v>ECOPETROL RUBIALES- Quifa - CAÑO SUR: Rb 141, Puerto Gaitán, Meta, Colombia</v>
      </c>
      <c r="I1211" s="42" t="str">
        <f>Data!Q1209</f>
        <v>Cliente, Vel Max 40 Km/h</v>
      </c>
      <c r="J1211" s="43">
        <f>Data!S1209</f>
        <v>46174.938356481478</v>
      </c>
      <c r="K1211" s="44">
        <f>Data!S1209</f>
        <v>46174.938356481478</v>
      </c>
      <c r="L1211" s="45">
        <f>Data!T1209</f>
        <v>3.857638888888889E-5</v>
      </c>
      <c r="M1211" s="46">
        <f>Data!U1209</f>
        <v>1.1712014675140381E-2</v>
      </c>
      <c r="N1211" s="46" t="str">
        <f>CONCATENATE(Data!W1209," (",Data!V1209,")")</f>
        <v>Uso del cinturón de seguridad (Velocidad máxima: 11 kmh Cinturón de seguridad del conductor (1. Desabrochado): 1.00)</v>
      </c>
      <c r="O1211" s="42" t="str">
        <f>IF(Data!V1209&lt;&gt;"",N1211,Data!W1209)</f>
        <v>Uso del cinturón de seguridad (Velocidad máxima: 11 kmh Cinturón de seguridad del conductor (1. Desabrochado): 1.00)</v>
      </c>
      <c r="P1211" s="47" t="str">
        <f>Data!X1209</f>
        <v>Válido</v>
      </c>
    </row>
    <row r="1212" spans="1:16">
      <c r="A1212" s="41" t="str">
        <f>Data!A1210</f>
        <v>QLO286</v>
      </c>
      <c r="B1212" s="41" t="str">
        <f>Data!D1210</f>
        <v>Vehicle, Diesel, ECP 1107 Rubiales Serv. Integrales</v>
      </c>
      <c r="C1212" s="41">
        <f>Data!F1210</f>
        <v>0</v>
      </c>
      <c r="D1212" s="41">
        <f>Data!G1210</f>
        <v>0</v>
      </c>
      <c r="E1212" s="41">
        <f>Data!H1210</f>
        <v>0</v>
      </c>
      <c r="F1212" s="41">
        <f>Data!K1210</f>
        <v>0</v>
      </c>
      <c r="G1212" s="33" t="str">
        <f>Data!M1210</f>
        <v>Uso del cinturón de seguridad</v>
      </c>
      <c r="H1212" s="41" t="str">
        <f>Data!P1210</f>
        <v>ECOPETROL RUBIALES- Quifa - CAÑO SUR: Rb 141, Puerto Gaitán, Meta, Colombia</v>
      </c>
      <c r="I1212" s="42" t="str">
        <f>Data!Q1210</f>
        <v>Cliente, Vel Max 40 Km/h</v>
      </c>
      <c r="J1212" s="43">
        <f>Data!S1210</f>
        <v>46174.938622685186</v>
      </c>
      <c r="K1212" s="44">
        <f>Data!S1210</f>
        <v>46174.938622685186</v>
      </c>
      <c r="L1212" s="45">
        <f>Data!T1210</f>
        <v>1.4756944444444445E-4</v>
      </c>
      <c r="M1212" s="46">
        <f>Data!U1210</f>
        <v>3.853849321603775E-2</v>
      </c>
      <c r="N1212" s="46" t="str">
        <f>CONCATENATE(Data!W1210," (",Data!V1210,")")</f>
        <v>Uso del cinturón de seguridad (Velocidad máxima: 12 kmh Cinturón de seguridad del conductor (1. Desabrochado): 1.00)</v>
      </c>
      <c r="O1212" s="42" t="str">
        <f>IF(Data!V1210&lt;&gt;"",N1212,Data!W1210)</f>
        <v>Uso del cinturón de seguridad (Velocidad máxima: 12 kmh Cinturón de seguridad del conductor (1. Desabrochado): 1.00)</v>
      </c>
      <c r="P1212" s="47" t="str">
        <f>Data!X1210</f>
        <v>Válido</v>
      </c>
    </row>
    <row r="1213" spans="1:16">
      <c r="A1213" s="41" t="str">
        <f>Data!A1211</f>
        <v>QLO286</v>
      </c>
      <c r="B1213" s="41" t="str">
        <f>Data!D1211</f>
        <v>Vehicle, Diesel, ECP 1107 Rubiales Serv. Integrales</v>
      </c>
      <c r="C1213" s="41">
        <f>Data!F1211</f>
        <v>0</v>
      </c>
      <c r="D1213" s="41">
        <f>Data!G1211</f>
        <v>0</v>
      </c>
      <c r="E1213" s="41">
        <f>Data!H1211</f>
        <v>0</v>
      </c>
      <c r="F1213" s="41">
        <f>Data!K1211</f>
        <v>0</v>
      </c>
      <c r="G1213" s="33" t="str">
        <f>Data!M1211</f>
        <v>Uso del cinturón de seguridad</v>
      </c>
      <c r="H1213" s="41" t="str">
        <f>Data!P1211</f>
        <v>ECOPETROL RUBIALES- Quifa - CAÑO SUR: Rb 141, Puerto Gaitán, Meta, Colombia</v>
      </c>
      <c r="I1213" s="42" t="str">
        <f>Data!Q1211</f>
        <v>Cliente, Vel Max 40 Km/h</v>
      </c>
      <c r="J1213" s="43">
        <f>Data!S1211</f>
        <v>46174.940341435286</v>
      </c>
      <c r="K1213" s="44">
        <f>Data!S1211</f>
        <v>46174.940341435286</v>
      </c>
      <c r="L1213" s="45">
        <f>Data!T1211</f>
        <v>1.2708333333333332E-4</v>
      </c>
      <c r="M1213" s="46">
        <f>Data!U1211</f>
        <v>4.0298033505678177E-2</v>
      </c>
      <c r="N1213" s="46" t="str">
        <f>CONCATENATE(Data!W1211," (",Data!V1211,")")</f>
        <v>Uso del cinturón de seguridad (Velocidad máxima: 16 kmh Cinturón de seguridad del conductor (1. Desabrochado): 1.00)</v>
      </c>
      <c r="O1213" s="42" t="str">
        <f>IF(Data!V1211&lt;&gt;"",N1213,Data!W1211)</f>
        <v>Uso del cinturón de seguridad (Velocidad máxima: 16 kmh Cinturón de seguridad del conductor (1. Desabrochado): 1.00)</v>
      </c>
      <c r="P1213" s="47" t="str">
        <f>Data!X1211</f>
        <v>Válido</v>
      </c>
    </row>
    <row r="1214" spans="1:16">
      <c r="A1214" s="41" t="str">
        <f>Data!A1212</f>
        <v>QLO286</v>
      </c>
      <c r="B1214" s="41" t="str">
        <f>Data!D1212</f>
        <v>Vehicle, Diesel, ECP 1107 Rubiales Serv. Integrales</v>
      </c>
      <c r="C1214" s="41">
        <f>Data!F1212</f>
        <v>0</v>
      </c>
      <c r="D1214" s="41">
        <f>Data!G1212</f>
        <v>0</v>
      </c>
      <c r="E1214" s="41">
        <f>Data!H1212</f>
        <v>0</v>
      </c>
      <c r="F1214" s="41">
        <f>Data!K1212</f>
        <v>0</v>
      </c>
      <c r="G1214" s="33" t="str">
        <f>Data!M1212</f>
        <v>Frenado brusco (nuevo)</v>
      </c>
      <c r="H1214" s="41" t="str">
        <f>Data!P1212</f>
        <v>ECOPETROL RUBIALES- Quifa - CAÑO SUR: Panadería Canaima, Puerto Gaitán, Meta, Colombia</v>
      </c>
      <c r="I1214" s="42" t="str">
        <f>Data!Q1212</f>
        <v>Cliente, Vel Max 40 Km/h</v>
      </c>
      <c r="J1214" s="43">
        <f>Data!S1212</f>
        <v>46174.940706018519</v>
      </c>
      <c r="K1214" s="44">
        <f>Data!S1212</f>
        <v>46174.940706018519</v>
      </c>
      <c r="L1214" s="45">
        <f>Data!T1212</f>
        <v>1.1574074074074073E-5</v>
      </c>
      <c r="M1214" s="46">
        <f>Data!U1212</f>
        <v>4.3194885365664959E-3</v>
      </c>
      <c r="N1214" s="46" t="str">
        <f>CONCATENATE(Data!W1212," (",Data!V1212,")")</f>
        <v>Frenado brusco (nuevo) (Clase de vehículo para métricas de seguridad: Otra clase (no estandarizada), Velocidad máxima: 17 kmh,  Ignición: 1)</v>
      </c>
      <c r="O1214" s="42" t="str">
        <f>IF(Data!V1212&lt;&gt;"",N1214,Data!W1212)</f>
        <v>Frenado brusco (nuevo) (Clase de vehículo para métricas de seguridad: Otra clase (no estandarizada), Velocidad máxima: 17 kmh,  Ignición: 1)</v>
      </c>
      <c r="P1214" s="47" t="str">
        <f>Data!X1212</f>
        <v>Válido</v>
      </c>
    </row>
    <row r="1215" spans="1:16">
      <c r="A1215" s="41" t="str">
        <f>Data!A1213</f>
        <v>QLO286</v>
      </c>
      <c r="B1215" s="41" t="str">
        <f>Data!D1213</f>
        <v>Vehicle, Diesel, ECP 1107 Rubiales Serv. Integrales</v>
      </c>
      <c r="C1215" s="41">
        <f>Data!F1213</f>
        <v>0</v>
      </c>
      <c r="D1215" s="41">
        <f>Data!G1213</f>
        <v>0</v>
      </c>
      <c r="E1215" s="41">
        <f>Data!H1213</f>
        <v>0</v>
      </c>
      <c r="F1215" s="41">
        <f>Data!K1213</f>
        <v>0</v>
      </c>
      <c r="G1215" s="33" t="str">
        <f>Data!M1213</f>
        <v>Uso del cinturón de seguridad</v>
      </c>
      <c r="H1215" s="41" t="str">
        <f>Data!P1213</f>
        <v>ECOPETROL RUBIALES- Quifa - CAÑO SUR: Panadería Canaima, Puerto Gaitán, Meta, Colombia</v>
      </c>
      <c r="I1215" s="42" t="str">
        <f>Data!Q1213</f>
        <v>Cliente, Vel Max 40 Km/h</v>
      </c>
      <c r="J1215" s="43">
        <f>Data!S1213</f>
        <v>46174.942615740743</v>
      </c>
      <c r="K1215" s="44">
        <f>Data!S1213</f>
        <v>46174.942615740743</v>
      </c>
      <c r="L1215" s="45">
        <f>Data!T1213</f>
        <v>3.0474537037037036E-5</v>
      </c>
      <c r="M1215" s="46">
        <f>Data!U1213</f>
        <v>1.5611923299729824E-2</v>
      </c>
      <c r="N1215" s="46" t="str">
        <f>CONCATENATE(Data!W1213," (",Data!V1213,")")</f>
        <v>Uso del cinturón de seguridad (Velocidad máxima: 21 kmh Cinturón de seguridad del conductor (1. Desabrochado): 1.00)</v>
      </c>
      <c r="O1215" s="42" t="str">
        <f>IF(Data!V1213&lt;&gt;"",N1215,Data!W1213)</f>
        <v>Uso del cinturón de seguridad (Velocidad máxima: 21 kmh Cinturón de seguridad del conductor (1. Desabrochado): 1.00)</v>
      </c>
      <c r="P1215" s="47" t="str">
        <f>Data!X1213</f>
        <v>Válido</v>
      </c>
    </row>
    <row r="1216" spans="1:16">
      <c r="A1216" s="41" t="str">
        <f>Data!A1214</f>
        <v>QLO286</v>
      </c>
      <c r="B1216" s="41" t="str">
        <f>Data!D1214</f>
        <v>Vehicle, Diesel, ECP 1107 Rubiales Serv. Integrales</v>
      </c>
      <c r="C1216" s="41">
        <f>Data!F1214</f>
        <v>0</v>
      </c>
      <c r="D1216" s="41">
        <f>Data!G1214</f>
        <v>0</v>
      </c>
      <c r="E1216" s="41">
        <f>Data!H1214</f>
        <v>0</v>
      </c>
      <c r="F1216" s="41">
        <f>Data!K1214</f>
        <v>0</v>
      </c>
      <c r="G1216" s="33" t="str">
        <f>Data!M1214</f>
        <v>Exceso Velocidad 20 Km/h</v>
      </c>
      <c r="H1216" s="41" t="str">
        <f>Data!P1214</f>
        <v>ECOPETROL RUBIALES- Quifa - CAÑO SUR, VEREDA BUENOS AIRES</v>
      </c>
      <c r="I1216" s="42" t="str">
        <f>Data!Q1214</f>
        <v>Cliente, Vel Max 40 Km/h, Vel Max 20 Km/h</v>
      </c>
      <c r="J1216" s="43">
        <f>Data!S1214</f>
        <v>46174.942851770837</v>
      </c>
      <c r="K1216" s="44">
        <f>Data!S1214</f>
        <v>46174.942851770837</v>
      </c>
      <c r="L1216" s="45">
        <f>Data!T1214</f>
        <v>3.7276620370370371E-4</v>
      </c>
      <c r="M1216" s="46">
        <f>Data!U1214</f>
        <v>0.30360600352287292</v>
      </c>
      <c r="N1216" s="46" t="str">
        <f>CONCATENATE(Data!W1214," (",Data!V1214,")")</f>
        <v>Exceso Velocidad 20 Km/h (Velocidad máxima: 39 kmh)</v>
      </c>
      <c r="O1216" s="42" t="str">
        <f>IF(Data!V1214&lt;&gt;"",N1216,Data!W1214)</f>
        <v>Exceso Velocidad 20 Km/h (Velocidad máxima: 39 kmh)</v>
      </c>
      <c r="P1216" s="47" t="str">
        <f>Data!X1214</f>
        <v>Válido</v>
      </c>
    </row>
    <row r="1217" spans="1:16">
      <c r="A1217" s="41" t="str">
        <f>Data!A1215</f>
        <v>QLO286</v>
      </c>
      <c r="B1217" s="41" t="str">
        <f>Data!D1215</f>
        <v>Vehicle, Diesel, ECP 1107 Rubiales Serv. Integrales</v>
      </c>
      <c r="C1217" s="41">
        <f>Data!F1215</f>
        <v>0</v>
      </c>
      <c r="D1217" s="41">
        <f>Data!G1215</f>
        <v>0</v>
      </c>
      <c r="E1217" s="41">
        <f>Data!H1215</f>
        <v>0</v>
      </c>
      <c r="F1217" s="41">
        <f>Data!K1215</f>
        <v>0</v>
      </c>
      <c r="G1217" s="33" t="str">
        <f>Data!M1215</f>
        <v>Exceso Velocidad 20 Km/h</v>
      </c>
      <c r="H1217" s="41" t="str">
        <f>Data!P1215</f>
        <v>ECOPETROL RUBIALES- Quifa - CAÑO SUR, VEREDA BUENOS AIRES: Panadería Canaima, Puerto Gaitán, Meta, Colombia</v>
      </c>
      <c r="I1217" s="42" t="str">
        <f>Data!Q1215</f>
        <v>Cliente, Vel Max 40 Km/h, Vel Max 20 Km/h</v>
      </c>
      <c r="J1217" s="43">
        <f>Data!S1215</f>
        <v>46174.94328472222</v>
      </c>
      <c r="K1217" s="44">
        <f>Data!S1215</f>
        <v>46174.94328472222</v>
      </c>
      <c r="L1217" s="45">
        <f>Data!T1215</f>
        <v>1.1868055555555556E-4</v>
      </c>
      <c r="M1217" s="46">
        <f>Data!U1215</f>
        <v>6.4194612205028534E-2</v>
      </c>
      <c r="N1217" s="46" t="str">
        <f>CONCATENATE(Data!W1215," (",Data!V1215,")")</f>
        <v>Exceso Velocidad 20 Km/h (Velocidad máxima: 26 kmh)</v>
      </c>
      <c r="O1217" s="42" t="str">
        <f>IF(Data!V1215&lt;&gt;"",N1217,Data!W1215)</f>
        <v>Exceso Velocidad 20 Km/h (Velocidad máxima: 26 kmh)</v>
      </c>
      <c r="P1217" s="47" t="str">
        <f>Data!X1215</f>
        <v>Válido</v>
      </c>
    </row>
    <row r="1218" spans="1:16">
      <c r="A1218" s="41" t="str">
        <f>Data!A1216</f>
        <v>QLO286</v>
      </c>
      <c r="B1218" s="41" t="str">
        <f>Data!D1216</f>
        <v>Vehicle, Diesel, ECP 1107 Rubiales Serv. Integrales</v>
      </c>
      <c r="C1218" s="41">
        <f>Data!F1216</f>
        <v>0</v>
      </c>
      <c r="D1218" s="41">
        <f>Data!G1216</f>
        <v>0</v>
      </c>
      <c r="E1218" s="41">
        <f>Data!H1216</f>
        <v>0</v>
      </c>
      <c r="F1218" s="41">
        <f>Data!K1216</f>
        <v>0</v>
      </c>
      <c r="G1218" s="33" t="str">
        <f>Data!M1216</f>
        <v>Exceso Velocidad 20 Km/h</v>
      </c>
      <c r="H1218" s="41" t="str">
        <f>Data!P1216</f>
        <v>ECOPETROL RUBIALES- Quifa - CAÑO SUR, VEREDA BUENOS AIRES: Panadería Canaima, Puerto Gaitán, Meta, Colombia</v>
      </c>
      <c r="I1218" s="42" t="str">
        <f>Data!Q1216</f>
        <v>Cliente, Vel Max 40 Km/h, Vel Max 20 Km/h</v>
      </c>
      <c r="J1218" s="43">
        <f>Data!S1216</f>
        <v>46174.943454039349</v>
      </c>
      <c r="K1218" s="44">
        <f>Data!S1216</f>
        <v>46174.943454039349</v>
      </c>
      <c r="L1218" s="45">
        <f>Data!T1216</f>
        <v>2.9756944444444445E-5</v>
      </c>
      <c r="M1218" s="46">
        <f>Data!U1216</f>
        <v>1.4127574861049652E-2</v>
      </c>
      <c r="N1218" s="46" t="str">
        <f>CONCATENATE(Data!W1216," (",Data!V1216,")")</f>
        <v>Exceso Velocidad 20 Km/h (Velocidad máxima: 22 kmh)</v>
      </c>
      <c r="O1218" s="42" t="str">
        <f>IF(Data!V1216&lt;&gt;"",N1218,Data!W1216)</f>
        <v>Exceso Velocidad 20 Km/h (Velocidad máxima: 22 kmh)</v>
      </c>
      <c r="P1218" s="47" t="str">
        <f>Data!X1216</f>
        <v>Válido</v>
      </c>
    </row>
    <row r="1219" spans="1:16">
      <c r="A1219" s="41" t="str">
        <f>Data!A1217</f>
        <v>QLO286</v>
      </c>
      <c r="B1219" s="41" t="str">
        <f>Data!D1217</f>
        <v>Vehicle, Diesel, ECP 1107 Rubiales Serv. Integrales</v>
      </c>
      <c r="C1219" s="41">
        <f>Data!F1217</f>
        <v>0</v>
      </c>
      <c r="D1219" s="41">
        <f>Data!G1217</f>
        <v>0</v>
      </c>
      <c r="E1219" s="41">
        <f>Data!H1217</f>
        <v>0</v>
      </c>
      <c r="F1219" s="41">
        <f>Data!K1217</f>
        <v>0</v>
      </c>
      <c r="G1219" s="33" t="str">
        <f>Data!M1217</f>
        <v>Exceso Velocidad 20 Km/h</v>
      </c>
      <c r="H1219" s="41" t="str">
        <f>Data!P1217</f>
        <v>ECOPETROL RUBIALES- Quifa - CAÑO SUR, VEREDA BUENOS AIRES: Rb 445 84 115 363, Puerto Gaitán, Meta, Colombia</v>
      </c>
      <c r="I1219" s="42" t="str">
        <f>Data!Q1217</f>
        <v>Cliente, Vel Max 40 Km/h, Vel Max 20 Km/h</v>
      </c>
      <c r="J1219" s="43">
        <f>Data!S1217</f>
        <v>46174.943742280091</v>
      </c>
      <c r="K1219" s="44">
        <f>Data!S1217</f>
        <v>46174.943742280091</v>
      </c>
      <c r="L1219" s="45">
        <f>Data!T1217</f>
        <v>2.6234953703703701E-4</v>
      </c>
      <c r="M1219" s="46">
        <f>Data!U1217</f>
        <v>0.15031565725803375</v>
      </c>
      <c r="N1219" s="46" t="str">
        <f>CONCATENATE(Data!W1217," (",Data!V1217,")")</f>
        <v>Exceso Velocidad 20 Km/h (Velocidad máxima: 28 kmh)</v>
      </c>
      <c r="O1219" s="42" t="str">
        <f>IF(Data!V1217&lt;&gt;"",N1219,Data!W1217)</f>
        <v>Exceso Velocidad 20 Km/h (Velocidad máxima: 28 kmh)</v>
      </c>
      <c r="P1219" s="47" t="str">
        <f>Data!X1217</f>
        <v>Válido</v>
      </c>
    </row>
    <row r="1220" spans="1:16">
      <c r="A1220" s="41" t="str">
        <f>Data!A1218</f>
        <v>QLO286</v>
      </c>
      <c r="B1220" s="41" t="str">
        <f>Data!D1218</f>
        <v>Vehicle, Diesel, ECP 1107 Rubiales Serv. Integrales</v>
      </c>
      <c r="C1220" s="41">
        <f>Data!F1218</f>
        <v>0</v>
      </c>
      <c r="D1220" s="41">
        <f>Data!G1218</f>
        <v>0</v>
      </c>
      <c r="E1220" s="41">
        <f>Data!H1218</f>
        <v>0</v>
      </c>
      <c r="F1220" s="41">
        <f>Data!K1218</f>
        <v>0</v>
      </c>
      <c r="G1220" s="33" t="str">
        <f>Data!M1218</f>
        <v>Exceso Velocidad 20 Km/h</v>
      </c>
      <c r="H1220" s="41" t="str">
        <f>Data!P1218</f>
        <v>ECOPETROL RUBIALES- Quifa - CAÑO SUR, VEREDA BUENOS AIRES: Rb 445 84 115 363, Puerto Gaitán, Meta, Colombia</v>
      </c>
      <c r="I1220" s="42" t="str">
        <f>Data!Q1218</f>
        <v>Cliente, Vel Max 40 Km/h, Vel Max 20 Km/h</v>
      </c>
      <c r="J1220" s="43">
        <f>Data!S1218</f>
        <v>46174.944097222222</v>
      </c>
      <c r="K1220" s="44">
        <f>Data!S1218</f>
        <v>46174.944097222222</v>
      </c>
      <c r="L1220" s="45">
        <f>Data!T1218</f>
        <v>4.6296296296296294E-5</v>
      </c>
      <c r="M1220" s="46">
        <f>Data!U1218</f>
        <v>2.2865964099764824E-2</v>
      </c>
      <c r="N1220" s="46" t="str">
        <f>CONCATENATE(Data!W1218," (",Data!V1218,")")</f>
        <v>Exceso Velocidad 20 Km/h (Velocidad máxima: 22 kmh)</v>
      </c>
      <c r="O1220" s="42" t="str">
        <f>IF(Data!V1218&lt;&gt;"",N1220,Data!W1218)</f>
        <v>Exceso Velocidad 20 Km/h (Velocidad máxima: 22 kmh)</v>
      </c>
      <c r="P1220" s="47" t="str">
        <f>Data!X1218</f>
        <v>Válido</v>
      </c>
    </row>
    <row r="1221" spans="1:16">
      <c r="A1221" s="41" t="str">
        <f>Data!A1219</f>
        <v>QLO286</v>
      </c>
      <c r="B1221" s="41" t="str">
        <f>Data!D1219</f>
        <v>Vehicle, Diesel, ECP 1107 Rubiales Serv. Integrales</v>
      </c>
      <c r="C1221" s="41">
        <f>Data!F1219</f>
        <v>0</v>
      </c>
      <c r="D1221" s="41">
        <f>Data!G1219</f>
        <v>0</v>
      </c>
      <c r="E1221" s="41">
        <f>Data!H1219</f>
        <v>0</v>
      </c>
      <c r="F1221" s="41">
        <f>Data!K1219</f>
        <v>0</v>
      </c>
      <c r="G1221" s="33" t="str">
        <f>Data!M1219</f>
        <v>Exceso Velocidad 20 Km/h</v>
      </c>
      <c r="H1221" s="41" t="str">
        <f>Data!P1219</f>
        <v>ECOPETROL RUBIALES- Quifa - CAÑO SUR, VEREDA BUENOS AIRES: Rb 445 84 115 363, Puerto Gaitán, Meta, Colombia</v>
      </c>
      <c r="I1221" s="42" t="str">
        <f>Data!Q1219</f>
        <v>Cliente, Vel Max 40 Km/h, Vel Max 20 Km/h</v>
      </c>
      <c r="J1221" s="43">
        <f>Data!S1219</f>
        <v>46174.944143518522</v>
      </c>
      <c r="K1221" s="44">
        <f>Data!S1219</f>
        <v>46174.944143518522</v>
      </c>
      <c r="L1221" s="45">
        <f>Data!T1219</f>
        <v>6.018518518518519E-4</v>
      </c>
      <c r="M1221" s="46">
        <f>Data!U1219</f>
        <v>0.31718382239341736</v>
      </c>
      <c r="N1221" s="46" t="str">
        <f>CONCATENATE(Data!W1219," (",Data!V1219,")")</f>
        <v>Exceso Velocidad 20 Km/h (Velocidad máxima: 24 kmh)</v>
      </c>
      <c r="O1221" s="42" t="str">
        <f>IF(Data!V1219&lt;&gt;"",N1221,Data!W1219)</f>
        <v>Exceso Velocidad 20 Km/h (Velocidad máxima: 24 kmh)</v>
      </c>
      <c r="P1221" s="47" t="str">
        <f>Data!X1219</f>
        <v>Válido</v>
      </c>
    </row>
    <row r="1222" spans="1:16">
      <c r="A1222" s="41" t="str">
        <f>Data!A1220</f>
        <v>QLO286</v>
      </c>
      <c r="B1222" s="41" t="str">
        <f>Data!D1220</f>
        <v>Vehicle, Diesel, ECP 1107 Rubiales Serv. Integrales</v>
      </c>
      <c r="C1222" s="41">
        <f>Data!F1220</f>
        <v>0</v>
      </c>
      <c r="D1222" s="41">
        <f>Data!G1220</f>
        <v>0</v>
      </c>
      <c r="E1222" s="41">
        <f>Data!H1220</f>
        <v>0</v>
      </c>
      <c r="F1222" s="41">
        <f>Data!K1220</f>
        <v>0</v>
      </c>
      <c r="G1222" s="33" t="str">
        <f>Data!M1220</f>
        <v>Exceso Velocidad 20 Km/h</v>
      </c>
      <c r="H1222" s="41" t="str">
        <f>Data!P1220</f>
        <v>ECOPETROL RUBIALES- Quifa - CAÑO SUR, VEREDA BUENOS AIRES: Km. 169, Sector Buenos Aires, Escuela Nueva Rubiales, Puerto Gaitán, Meta, Colombia</v>
      </c>
      <c r="I1222" s="42" t="str">
        <f>Data!Q1220</f>
        <v>Cliente, Vel Max 40 Km/h, Vel Max 20 Km/h</v>
      </c>
      <c r="J1222" s="43">
        <f>Data!S1220</f>
        <v>46174.944745370369</v>
      </c>
      <c r="K1222" s="44">
        <f>Data!S1220</f>
        <v>46174.944745370369</v>
      </c>
      <c r="L1222" s="45">
        <f>Data!T1220</f>
        <v>4.1666666666666669E-4</v>
      </c>
      <c r="M1222" s="46">
        <f>Data!U1220</f>
        <v>0.22424770891666412</v>
      </c>
      <c r="N1222" s="46" t="str">
        <f>CONCATENATE(Data!W1220," (",Data!V1220,")")</f>
        <v>Exceso Velocidad 20 Km/h (Velocidad máxima: 24 kmh)</v>
      </c>
      <c r="O1222" s="42" t="str">
        <f>IF(Data!V1220&lt;&gt;"",N1222,Data!W1220)</f>
        <v>Exceso Velocidad 20 Km/h (Velocidad máxima: 24 kmh)</v>
      </c>
      <c r="P1222" s="47" t="str">
        <f>Data!X1220</f>
        <v>Válido</v>
      </c>
    </row>
    <row r="1223" spans="1:16">
      <c r="A1223" s="41" t="str">
        <f>Data!A1221</f>
        <v>QLO286</v>
      </c>
      <c r="B1223" s="41" t="str">
        <f>Data!D1221</f>
        <v>Vehicle, Diesel, ECP 1107 Rubiales Serv. Integrales</v>
      </c>
      <c r="C1223" s="41">
        <f>Data!F1221</f>
        <v>0</v>
      </c>
      <c r="D1223" s="41">
        <f>Data!G1221</f>
        <v>0</v>
      </c>
      <c r="E1223" s="41">
        <f>Data!H1221</f>
        <v>0</v>
      </c>
      <c r="F1223" s="41">
        <f>Data!K1221</f>
        <v>0</v>
      </c>
      <c r="G1223" s="33" t="str">
        <f>Data!M1221</f>
        <v>Exceso Velocidad 20 Km/h</v>
      </c>
      <c r="H1223" s="41" t="str">
        <f>Data!P1221</f>
        <v>ECOPETROL RUBIALES- Quifa - CAÑO SUR, VEREDA BUENOS AIRES: Rb 445 84 115 363, Puerto Gaitán, Meta, Colombia</v>
      </c>
      <c r="I1223" s="42" t="str">
        <f>Data!Q1221</f>
        <v>Cliente, Vel Max 40 Km/h, Vel Max 20 Km/h</v>
      </c>
      <c r="J1223" s="43">
        <f>Data!S1221</f>
        <v>46174.945335648146</v>
      </c>
      <c r="K1223" s="44">
        <f>Data!S1221</f>
        <v>46174.945335648146</v>
      </c>
      <c r="L1223" s="45">
        <f>Data!T1221</f>
        <v>4.6296296296296294E-5</v>
      </c>
      <c r="M1223" s="46">
        <f>Data!U1221</f>
        <v>2.4586236104369164E-2</v>
      </c>
      <c r="N1223" s="46" t="str">
        <f>CONCATENATE(Data!W1221," (",Data!V1221,")")</f>
        <v>Exceso Velocidad 20 Km/h (Velocidad máxima: 24 kmh)</v>
      </c>
      <c r="O1223" s="42" t="str">
        <f>IF(Data!V1221&lt;&gt;"",N1223,Data!W1221)</f>
        <v>Exceso Velocidad 20 Km/h (Velocidad máxima: 24 kmh)</v>
      </c>
      <c r="P1223" s="47" t="str">
        <f>Data!X1221</f>
        <v>Válido</v>
      </c>
    </row>
    <row r="1224" spans="1:16">
      <c r="A1224" s="41" t="str">
        <f>Data!A1222</f>
        <v>QLO286</v>
      </c>
      <c r="B1224" s="41" t="str">
        <f>Data!D1222</f>
        <v>Vehicle, Diesel, ECP 1107 Rubiales Serv. Integrales</v>
      </c>
      <c r="C1224" s="41">
        <f>Data!F1222</f>
        <v>0</v>
      </c>
      <c r="D1224" s="41">
        <f>Data!G1222</f>
        <v>0</v>
      </c>
      <c r="E1224" s="41">
        <f>Data!H1222</f>
        <v>0</v>
      </c>
      <c r="F1224" s="41">
        <f>Data!K1222</f>
        <v>0</v>
      </c>
      <c r="G1224" s="33" t="str">
        <f>Data!M1222</f>
        <v>Exceso Velocidad 20 Km/h</v>
      </c>
      <c r="H1224" s="41" t="str">
        <f>Data!P1222</f>
        <v>ECOPETROL RUBIALES- Quifa - CAÑO SUR, VEREDA BUENOS AIRES: Rb 445 84 115 363, Puerto Gaitán, Meta, Colombia</v>
      </c>
      <c r="I1224" s="42" t="str">
        <f>Data!Q1222</f>
        <v>Cliente, Vel Max 40 Km/h, Vel Max 20 Km/h</v>
      </c>
      <c r="J1224" s="43">
        <f>Data!S1222</f>
        <v>46174.945679560187</v>
      </c>
      <c r="K1224" s="44">
        <f>Data!S1222</f>
        <v>46174.945679560187</v>
      </c>
      <c r="L1224" s="45">
        <f>Data!T1222</f>
        <v>2.3020833333333335E-5</v>
      </c>
      <c r="M1224" s="46">
        <f>Data!U1222</f>
        <v>1.2967753224074841E-2</v>
      </c>
      <c r="N1224" s="46" t="str">
        <f>CONCATENATE(Data!W1222," (",Data!V1222,")")</f>
        <v>Exceso Velocidad 20 Km/h (Velocidad máxima: 27 kmh)</v>
      </c>
      <c r="O1224" s="42" t="str">
        <f>IF(Data!V1222&lt;&gt;"",N1224,Data!W1222)</f>
        <v>Exceso Velocidad 20 Km/h (Velocidad máxima: 27 kmh)</v>
      </c>
      <c r="P1224" s="47" t="str">
        <f>Data!X1222</f>
        <v>Válido</v>
      </c>
    </row>
    <row r="1225" spans="1:16">
      <c r="A1225" s="41" t="str">
        <f>Data!A1223</f>
        <v>QLO286</v>
      </c>
      <c r="B1225" s="41" t="str">
        <f>Data!D1223</f>
        <v>Vehicle, Diesel, ECP 1107 Rubiales Serv. Integrales</v>
      </c>
      <c r="C1225" s="41">
        <f>Data!F1223</f>
        <v>0</v>
      </c>
      <c r="D1225" s="41">
        <f>Data!G1223</f>
        <v>0</v>
      </c>
      <c r="E1225" s="41">
        <f>Data!H1223</f>
        <v>0</v>
      </c>
      <c r="F1225" s="41">
        <f>Data!K1223</f>
        <v>0</v>
      </c>
      <c r="G1225" s="33" t="str">
        <f>Data!M1223</f>
        <v>Uso del cinturón de seguridad</v>
      </c>
      <c r="H1225" s="41" t="str">
        <f>Data!P1223</f>
        <v>ECOPETROL RUBIALES- Quifa - CAÑO SUR: Rb 233, Puerto Gaitán, Meta, Colombia</v>
      </c>
      <c r="I1225" s="42" t="str">
        <f>Data!Q1223</f>
        <v>Cliente, Vel Max 40 Km/h</v>
      </c>
      <c r="J1225" s="43">
        <f>Data!S1223</f>
        <v>46174.950777118058</v>
      </c>
      <c r="K1225" s="44">
        <f>Data!S1223</f>
        <v>46174.950777118058</v>
      </c>
      <c r="L1225" s="45">
        <f>Data!T1223</f>
        <v>4.3815972222222222E-4</v>
      </c>
      <c r="M1225" s="46">
        <f>Data!U1223</f>
        <v>0.1398601233959198</v>
      </c>
      <c r="N1225" s="46" t="str">
        <f>CONCATENATE(Data!W1223," (",Data!V1223,")")</f>
        <v>Uso del cinturón de seguridad (Velocidad máxima: 16 kmh Cinturón de seguridad del conductor (1. Desabrochado): 1.00)</v>
      </c>
      <c r="O1225" s="42" t="str">
        <f>IF(Data!V1223&lt;&gt;"",N1225,Data!W1223)</f>
        <v>Uso del cinturón de seguridad (Velocidad máxima: 16 kmh Cinturón de seguridad del conductor (1. Desabrochado): 1.00)</v>
      </c>
      <c r="P1225" s="47" t="str">
        <f>Data!X1223</f>
        <v>Válido</v>
      </c>
    </row>
    <row r="1226" spans="1:16">
      <c r="A1226" s="41" t="str">
        <f>Data!A1224</f>
        <v>QLO286</v>
      </c>
      <c r="B1226" s="41" t="str">
        <f>Data!D1224</f>
        <v>Vehicle, Diesel, ECP 1107 Rubiales Serv. Integrales</v>
      </c>
      <c r="C1226" s="41">
        <f>Data!F1224</f>
        <v>0</v>
      </c>
      <c r="D1226" s="41">
        <f>Data!G1224</f>
        <v>0</v>
      </c>
      <c r="E1226" s="41">
        <f>Data!H1224</f>
        <v>0</v>
      </c>
      <c r="F1226" s="41">
        <f>Data!K1224</f>
        <v>0</v>
      </c>
      <c r="G1226" s="33" t="str">
        <f>Data!M1224</f>
        <v>Uso del cinturón de seguridad</v>
      </c>
      <c r="H1226" s="41" t="str">
        <f>Data!P1224</f>
        <v>ECOPETROL RUBIALES- Quifa - CAÑO SUR: Rb 233, Puerto Gaitán, Meta, Colombia</v>
      </c>
      <c r="I1226" s="42" t="str">
        <f>Data!Q1224</f>
        <v>Cliente, Vel Max 40 Km/h</v>
      </c>
      <c r="J1226" s="43">
        <f>Data!S1224</f>
        <v>46174.953324652779</v>
      </c>
      <c r="K1226" s="44">
        <f>Data!S1224</f>
        <v>46174.953324652779</v>
      </c>
      <c r="L1226" s="45">
        <f>Data!T1224</f>
        <v>4.1145833333333335E-5</v>
      </c>
      <c r="M1226" s="46">
        <f>Data!U1224</f>
        <v>1.0074814781546593E-2</v>
      </c>
      <c r="N1226" s="46" t="str">
        <f>CONCATENATE(Data!W1224," (",Data!V1224,")")</f>
        <v>Uso del cinturón de seguridad (Velocidad máxima: 11 kmh Cinturón de seguridad del conductor (1. Desabrochado): 1.00)</v>
      </c>
      <c r="O1226" s="42" t="str">
        <f>IF(Data!V1224&lt;&gt;"",N1226,Data!W1224)</f>
        <v>Uso del cinturón de seguridad (Velocidad máxima: 11 kmh Cinturón de seguridad del conductor (1. Desabrochado): 1.00)</v>
      </c>
      <c r="P1226" s="47" t="str">
        <f>Data!X1224</f>
        <v>Válido</v>
      </c>
    </row>
    <row r="1227" spans="1:16">
      <c r="A1227" s="41" t="str">
        <f>Data!A1225</f>
        <v>QLO286</v>
      </c>
      <c r="B1227" s="41" t="str">
        <f>Data!D1225</f>
        <v>Vehicle, Diesel, ECP 1107 Rubiales Serv. Integrales</v>
      </c>
      <c r="C1227" s="41">
        <f>Data!F1225</f>
        <v>0</v>
      </c>
      <c r="D1227" s="41">
        <f>Data!G1225</f>
        <v>0</v>
      </c>
      <c r="E1227" s="41">
        <f>Data!H1225</f>
        <v>0</v>
      </c>
      <c r="F1227" s="41">
        <f>Data!K1225</f>
        <v>0</v>
      </c>
      <c r="G1227" s="33" t="str">
        <f>Data!M1225</f>
        <v>Giro brusco</v>
      </c>
      <c r="H1227" s="41" t="str">
        <f>Data!P1225</f>
        <v>ECOPETROL RUBIALES- Quifa - CAÑO SUR: Rb 445, Puerto Gaitán, Meta, Colombia</v>
      </c>
      <c r="I1227" s="42" t="str">
        <f>Data!Q1225</f>
        <v>Cliente, Vel Max 40 Km/h</v>
      </c>
      <c r="J1227" s="43">
        <f>Data!S1225</f>
        <v>46174.955178078701</v>
      </c>
      <c r="K1227" s="44">
        <f>Data!S1225</f>
        <v>46174.955178078701</v>
      </c>
      <c r="L1227" s="45">
        <f>Data!T1225</f>
        <v>1.0416666666666667E-7</v>
      </c>
      <c r="M1227" s="46">
        <f>Data!U1225</f>
        <v>4.140219243708998E-5</v>
      </c>
      <c r="N1227" s="46" t="str">
        <f>CONCATENATE(Data!W1225," (",Data!V1225,")")</f>
        <v>Giro brusco (Velocidad máxima: 16 kmh Aceleración de lado a lado: -0.48 g-force, Ignición: 1.00)</v>
      </c>
      <c r="O1227" s="42" t="str">
        <f>IF(Data!V1225&lt;&gt;"",N1227,Data!W1225)</f>
        <v>Giro brusco (Velocidad máxima: 16 kmh Aceleración de lado a lado: -0.48 g-force, Ignición: 1.00)</v>
      </c>
      <c r="P1227" s="47" t="str">
        <f>Data!X1225</f>
        <v>Válido</v>
      </c>
    </row>
    <row r="1228" spans="1:16">
      <c r="A1228" s="41" t="str">
        <f>Data!A1226</f>
        <v>QLO286</v>
      </c>
      <c r="B1228" s="41" t="str">
        <f>Data!D1226</f>
        <v>Vehicle, Diesel, ECP 1107 Rubiales Serv. Integrales</v>
      </c>
      <c r="C1228" s="41">
        <f>Data!F1226</f>
        <v>0</v>
      </c>
      <c r="D1228" s="41">
        <f>Data!G1226</f>
        <v>0</v>
      </c>
      <c r="E1228" s="41">
        <f>Data!H1226</f>
        <v>0</v>
      </c>
      <c r="F1228" s="41">
        <f>Data!K1226</f>
        <v>0</v>
      </c>
      <c r="G1228" s="33" t="str">
        <f>Data!M1226</f>
        <v>Giro brusco</v>
      </c>
      <c r="H1228" s="41" t="str">
        <f>Data!P1226</f>
        <v>ECOPETROL RUBIALES- Quifa - CAÑO SUR: Rb 445, Puerto Gaitán, Meta, Colombia</v>
      </c>
      <c r="I1228" s="42" t="str">
        <f>Data!Q1226</f>
        <v>Cliente, Vel Max 40 Km/h</v>
      </c>
      <c r="J1228" s="43">
        <f>Data!S1226</f>
        <v>46174.955360601853</v>
      </c>
      <c r="K1228" s="44">
        <f>Data!S1226</f>
        <v>46174.955360601853</v>
      </c>
      <c r="L1228" s="45">
        <f>Data!T1226</f>
        <v>1.0879629629629629E-6</v>
      </c>
      <c r="M1228" s="46">
        <f>Data!U1226</f>
        <v>3.6549411015585065E-4</v>
      </c>
      <c r="N1228" s="46" t="str">
        <f>CONCATENATE(Data!W1226," (",Data!V1226,")")</f>
        <v>Giro brusco (Velocidad máxima: 15 kmh Aceleración de lado a lado: -0.56 g-force, Ignición: 1.00)</v>
      </c>
      <c r="O1228" s="42" t="str">
        <f>IF(Data!V1226&lt;&gt;"",N1228,Data!W1226)</f>
        <v>Giro brusco (Velocidad máxima: 15 kmh Aceleración de lado a lado: -0.56 g-force, Ignición: 1.00)</v>
      </c>
      <c r="P1228" s="47" t="str">
        <f>Data!X1226</f>
        <v>Válido</v>
      </c>
    </row>
    <row r="1229" spans="1:16">
      <c r="A1229" s="41" t="str">
        <f>Data!A1227</f>
        <v>QLO286</v>
      </c>
      <c r="B1229" s="41" t="str">
        <f>Data!D1227</f>
        <v>Vehicle, Diesel, ECP 1107 Rubiales Serv. Integrales</v>
      </c>
      <c r="C1229" s="41">
        <f>Data!F1227</f>
        <v>0</v>
      </c>
      <c r="D1229" s="41">
        <f>Data!G1227</f>
        <v>0</v>
      </c>
      <c r="E1229" s="41">
        <f>Data!H1227</f>
        <v>0</v>
      </c>
      <c r="F1229" s="41">
        <f>Data!K1227</f>
        <v>0</v>
      </c>
      <c r="G1229" s="33" t="str">
        <f>Data!M1227</f>
        <v>Giro brusco</v>
      </c>
      <c r="H1229" s="41" t="str">
        <f>Data!P1227</f>
        <v>ECOPETROL RUBIALES- Quifa - CAÑO SUR: Rb 445, Puerto Gaitán, Meta, Colombia</v>
      </c>
      <c r="I1229" s="42" t="str">
        <f>Data!Q1227</f>
        <v>Cliente, Vel Max 40 Km/h</v>
      </c>
      <c r="J1229" s="43">
        <f>Data!S1227</f>
        <v>46174.956868553243</v>
      </c>
      <c r="K1229" s="44">
        <f>Data!S1227</f>
        <v>46174.956868553243</v>
      </c>
      <c r="L1229" s="45">
        <f>Data!T1227</f>
        <v>6.712962962962963E-7</v>
      </c>
      <c r="M1229" s="46">
        <f>Data!U1227</f>
        <v>1.9778500427491963E-4</v>
      </c>
      <c r="N1229" s="46" t="str">
        <f>CONCATENATE(Data!W1227," (",Data!V1227,")")</f>
        <v>Giro brusco (Velocidad máxima: 12 kmh Aceleración de lado a lado: 0.55 g-force, Ignición: 1.00)</v>
      </c>
      <c r="O1229" s="42" t="str">
        <f>IF(Data!V1227&lt;&gt;"",N1229,Data!W1227)</f>
        <v>Giro brusco (Velocidad máxima: 12 kmh Aceleración de lado a lado: 0.55 g-force, Ignición: 1.00)</v>
      </c>
      <c r="P1229" s="47" t="str">
        <f>Data!X1227</f>
        <v>Válido</v>
      </c>
    </row>
    <row r="1230" spans="1:16">
      <c r="A1230" s="41" t="str">
        <f>Data!A1228</f>
        <v>QLO286</v>
      </c>
      <c r="B1230" s="41" t="str">
        <f>Data!D1228</f>
        <v>Vehicle, Diesel, ECP 1107 Rubiales Serv. Integrales</v>
      </c>
      <c r="C1230" s="41">
        <f>Data!F1228</f>
        <v>0</v>
      </c>
      <c r="D1230" s="41">
        <f>Data!G1228</f>
        <v>0</v>
      </c>
      <c r="E1230" s="41">
        <f>Data!H1228</f>
        <v>0</v>
      </c>
      <c r="F1230" s="41">
        <f>Data!K1228</f>
        <v>0</v>
      </c>
      <c r="G1230" s="33" t="str">
        <f>Data!M1228</f>
        <v>Giro brusco</v>
      </c>
      <c r="H1230" s="41" t="str">
        <f>Data!P1228</f>
        <v>ECOPETROL RUBIALES- Quifa - CAÑO SUR: Rb 445, Puerto Gaitán, Meta, Colombia</v>
      </c>
      <c r="I1230" s="42" t="str">
        <f>Data!Q1228</f>
        <v>Cliente, Vel Max 40 Km/h</v>
      </c>
      <c r="J1230" s="43">
        <f>Data!S1228</f>
        <v>46174.956878368059</v>
      </c>
      <c r="K1230" s="44">
        <f>Data!S1228</f>
        <v>46174.956878368059</v>
      </c>
      <c r="L1230" s="45">
        <f>Data!T1228</f>
        <v>4.6296296296296295E-8</v>
      </c>
      <c r="M1230" s="46">
        <f>Data!U1228</f>
        <v>1.3640346878673881E-5</v>
      </c>
      <c r="N1230" s="46" t="str">
        <f>CONCATENATE(Data!W1228," (",Data!V1228,")")</f>
        <v>Giro brusco (Velocidad máxima: 13 kmh Aceleración de lado a lado: 0.47 g-force, Ignición: 1.00)</v>
      </c>
      <c r="O1230" s="42" t="str">
        <f>IF(Data!V1228&lt;&gt;"",N1230,Data!W1228)</f>
        <v>Giro brusco (Velocidad máxima: 13 kmh Aceleración de lado a lado: 0.47 g-force, Ignición: 1.00)</v>
      </c>
      <c r="P1230" s="47" t="str">
        <f>Data!X1228</f>
        <v>Válido</v>
      </c>
    </row>
    <row r="1231" spans="1:16">
      <c r="A1231" s="41" t="str">
        <f>Data!A1229</f>
        <v>QLO286</v>
      </c>
      <c r="B1231" s="41" t="str">
        <f>Data!D1229</f>
        <v>Vehicle, Diesel, ECP 1107 Rubiales Serv. Integrales</v>
      </c>
      <c r="C1231" s="41">
        <f>Data!F1229</f>
        <v>0</v>
      </c>
      <c r="D1231" s="41">
        <f>Data!G1229</f>
        <v>0</v>
      </c>
      <c r="E1231" s="41">
        <f>Data!H1229</f>
        <v>0</v>
      </c>
      <c r="F1231" s="41">
        <f>Data!K1229</f>
        <v>0</v>
      </c>
      <c r="G1231" s="33" t="str">
        <f>Data!M1229</f>
        <v>Exceso Velocidad 40 Km/h</v>
      </c>
      <c r="H1231" s="41" t="str">
        <f>Data!P1229</f>
        <v>ECOPETROL RUBIALES- Quifa - CAÑO SUR: Rb 84 115 363, Puerto Gaitán, Meta, Colombia</v>
      </c>
      <c r="I1231" s="42" t="str">
        <f>Data!Q1229</f>
        <v>Cliente, Vel Max 40 Km/h</v>
      </c>
      <c r="J1231" s="43">
        <f>Data!S1229</f>
        <v>46174.957905092589</v>
      </c>
      <c r="K1231" s="44">
        <f>Data!S1229</f>
        <v>46174.957905092589</v>
      </c>
      <c r="L1231" s="45">
        <f>Data!T1229</f>
        <v>3.4722222222222222E-5</v>
      </c>
      <c r="M1231" s="46">
        <f>Data!U1229</f>
        <v>3.2768778502941132E-2</v>
      </c>
      <c r="N1231" s="46" t="str">
        <f>CONCATENATE(Data!W1229," (",Data!V1229,")")</f>
        <v>Exceso Velocidad 40 Km/h (Velocidad máxima: 41 kmh)</v>
      </c>
      <c r="O1231" s="42" t="str">
        <f>IF(Data!V1229&lt;&gt;"",N1231,Data!W1229)</f>
        <v>Exceso Velocidad 40 Km/h (Velocidad máxima: 41 kmh)</v>
      </c>
      <c r="P1231" s="47" t="str">
        <f>Data!X1229</f>
        <v>Válido</v>
      </c>
    </row>
    <row r="1232" spans="1:16">
      <c r="A1232" s="41" t="str">
        <f>Data!A1230</f>
        <v>QLO286</v>
      </c>
      <c r="B1232" s="41" t="str">
        <f>Data!D1230</f>
        <v>Vehicle, Diesel, ECP 1107 Rubiales Serv. Integrales</v>
      </c>
      <c r="C1232" s="41">
        <f>Data!F1230</f>
        <v>0</v>
      </c>
      <c r="D1232" s="41">
        <f>Data!G1230</f>
        <v>0</v>
      </c>
      <c r="E1232" s="41">
        <f>Data!H1230</f>
        <v>0</v>
      </c>
      <c r="F1232" s="41">
        <f>Data!K1230</f>
        <v>0</v>
      </c>
      <c r="G1232" s="33" t="str">
        <f>Data!M1230</f>
        <v>Uso del cinturón de seguridad</v>
      </c>
      <c r="H1232" s="41" t="str">
        <f>Data!P1230</f>
        <v>ECOPETROL RUBIALES- Quifa - CAÑO SUR: Rb 84, Puerto Gaitán, Meta, Colombia</v>
      </c>
      <c r="I1232" s="42" t="str">
        <f>Data!Q1230</f>
        <v>Cliente, Vel Max 40 Km/h</v>
      </c>
      <c r="J1232" s="43">
        <f>Data!S1230</f>
        <v>46174.962642743056</v>
      </c>
      <c r="K1232" s="44">
        <f>Data!S1230</f>
        <v>46174.962642743056</v>
      </c>
      <c r="L1232" s="45">
        <f>Data!T1230</f>
        <v>1.9290509259259258E-4</v>
      </c>
      <c r="M1232" s="46">
        <f>Data!U1230</f>
        <v>5.4308995604515076E-2</v>
      </c>
      <c r="N1232" s="46" t="str">
        <f>CONCATENATE(Data!W1230," (",Data!V1230,")")</f>
        <v>Uso del cinturón de seguridad (Velocidad máxima: 16 kmh Cinturón de seguridad del conductor (1. Desabrochado): 1.00)</v>
      </c>
      <c r="O1232" s="42" t="str">
        <f>IF(Data!V1230&lt;&gt;"",N1232,Data!W1230)</f>
        <v>Uso del cinturón de seguridad (Velocidad máxima: 16 kmh Cinturón de seguridad del conductor (1. Desabrochado): 1.00)</v>
      </c>
      <c r="P1232" s="47" t="str">
        <f>Data!X1230</f>
        <v>Válido</v>
      </c>
    </row>
    <row r="1233" spans="1:16">
      <c r="A1233" s="41" t="str">
        <f>Data!A1231</f>
        <v>QLO286</v>
      </c>
      <c r="B1233" s="41" t="str">
        <f>Data!D1231</f>
        <v>Vehicle, Diesel, ECP 1107 Rubiales Serv. Integrales</v>
      </c>
      <c r="C1233" s="41">
        <f>Data!F1231</f>
        <v>0</v>
      </c>
      <c r="D1233" s="41">
        <f>Data!G1231</f>
        <v>0</v>
      </c>
      <c r="E1233" s="41">
        <f>Data!H1231</f>
        <v>0</v>
      </c>
      <c r="F1233" s="41">
        <f>Data!K1231</f>
        <v>0</v>
      </c>
      <c r="G1233" s="33" t="str">
        <f>Data!M1231</f>
        <v>Uso del cinturón de seguridad</v>
      </c>
      <c r="H1233" s="41" t="str">
        <f>Data!P1231</f>
        <v>ECOPETROL RUBIALES- Quifa - CAÑO SUR: Rb 84, Puerto Gaitán, Meta, Colombia</v>
      </c>
      <c r="I1233" s="42" t="str">
        <f>Data!Q1231</f>
        <v>Cliente, Vel Max 40 Km/h</v>
      </c>
      <c r="J1233" s="43">
        <f>Data!S1231</f>
        <v>46174.963017939815</v>
      </c>
      <c r="K1233" s="44">
        <f>Data!S1231</f>
        <v>46174.963017939815</v>
      </c>
      <c r="L1233" s="45">
        <f>Data!T1231</f>
        <v>1.3406250000000001E-4</v>
      </c>
      <c r="M1233" s="46">
        <f>Data!U1231</f>
        <v>3.7787530571222305E-2</v>
      </c>
      <c r="N1233" s="46" t="str">
        <f>CONCATENATE(Data!W1231," (",Data!V1231,")")</f>
        <v>Uso del cinturón de seguridad (Velocidad máxima: 17 kmh Cinturón de seguridad del conductor (1. Desabrochado): 1.00)</v>
      </c>
      <c r="O1233" s="42" t="str">
        <f>IF(Data!V1231&lt;&gt;"",N1233,Data!W1231)</f>
        <v>Uso del cinturón de seguridad (Velocidad máxima: 17 kmh Cinturón de seguridad del conductor (1. Desabrochado): 1.00)</v>
      </c>
      <c r="P1233" s="47" t="str">
        <f>Data!X1231</f>
        <v>Válido</v>
      </c>
    </row>
    <row r="1234" spans="1:16">
      <c r="A1234" s="41" t="str">
        <f>Data!A1232</f>
        <v>QLO286</v>
      </c>
      <c r="B1234" s="41" t="str">
        <f>Data!D1232</f>
        <v>Vehicle, Diesel, ECP 1107 Rubiales Serv. Integrales</v>
      </c>
      <c r="C1234" s="41">
        <f>Data!F1232</f>
        <v>0</v>
      </c>
      <c r="D1234" s="41">
        <f>Data!G1232</f>
        <v>0</v>
      </c>
      <c r="E1234" s="41">
        <f>Data!H1232</f>
        <v>0</v>
      </c>
      <c r="F1234" s="41">
        <f>Data!K1232</f>
        <v>0</v>
      </c>
      <c r="G1234" s="33" t="str">
        <f>Data!M1232</f>
        <v>Uso del cinturón de seguridad</v>
      </c>
      <c r="H1234" s="41" t="str">
        <f>Data!P1232</f>
        <v>ECOPETROL RUBIALES- Quifa - CAÑO SUR: Rb 84, Puerto Gaitán, Meta, Colombia</v>
      </c>
      <c r="I1234" s="42" t="str">
        <f>Data!Q1232</f>
        <v>Cliente, Vel Max 40 Km/h</v>
      </c>
      <c r="J1234" s="43">
        <f>Data!S1232</f>
        <v>46174.963168981485</v>
      </c>
      <c r="K1234" s="44">
        <f>Data!S1232</f>
        <v>46174.963168981485</v>
      </c>
      <c r="L1234" s="45">
        <f>Data!T1232</f>
        <v>2.5462962962962961E-5</v>
      </c>
      <c r="M1234" s="46">
        <f>Data!U1232</f>
        <v>6.3974820077419281E-3</v>
      </c>
      <c r="N1234" s="46" t="str">
        <f>CONCATENATE(Data!W1232," (",Data!V1232,")")</f>
        <v>Uso del cinturón de seguridad (Velocidad máxima: 13 kmh Cinturón de seguridad del conductor (1. Desabrochado): 1.00)</v>
      </c>
      <c r="O1234" s="42" t="str">
        <f>IF(Data!V1232&lt;&gt;"",N1234,Data!W1232)</f>
        <v>Uso del cinturón de seguridad (Velocidad máxima: 13 kmh Cinturón de seguridad del conductor (1. Desabrochado): 1.00)</v>
      </c>
      <c r="P1234" s="47" t="str">
        <f>Data!X1232</f>
        <v>Válido</v>
      </c>
    </row>
    <row r="1235" spans="1:16">
      <c r="A1235" s="41" t="str">
        <f>Data!A1233</f>
        <v>QLO286</v>
      </c>
      <c r="B1235" s="41" t="str">
        <f>Data!D1233</f>
        <v>Vehicle, Diesel, ECP 1107 Rubiales Serv. Integrales</v>
      </c>
      <c r="C1235" s="41">
        <f>Data!F1233</f>
        <v>0</v>
      </c>
      <c r="D1235" s="41">
        <f>Data!G1233</f>
        <v>0</v>
      </c>
      <c r="E1235" s="41">
        <f>Data!H1233</f>
        <v>0</v>
      </c>
      <c r="F1235" s="41">
        <f>Data!K1233</f>
        <v>0</v>
      </c>
      <c r="G1235" s="33" t="str">
        <f>Data!M1233</f>
        <v>Uso del cinturón de seguridad</v>
      </c>
      <c r="H1235" s="41" t="str">
        <f>Data!P1233</f>
        <v>ECOPETROL RUBIALES- Quifa - CAÑO SUR: Rb 84, Puerto Gaitán, Meta, Colombia</v>
      </c>
      <c r="I1235" s="42" t="str">
        <f>Data!Q1233</f>
        <v>Cliente, Vel Max 40 Km/h</v>
      </c>
      <c r="J1235" s="43">
        <f>Data!S1233</f>
        <v>46174.964918981481</v>
      </c>
      <c r="K1235" s="44">
        <f>Data!S1233</f>
        <v>46174.964918981481</v>
      </c>
      <c r="L1235" s="45">
        <f>Data!T1233</f>
        <v>1.638425925925926E-4</v>
      </c>
      <c r="M1235" s="46">
        <f>Data!U1233</f>
        <v>6.4287394285202026E-2</v>
      </c>
      <c r="N1235" s="46" t="str">
        <f>CONCATENATE(Data!W1233," (",Data!V1233,")")</f>
        <v>Uso del cinturón de seguridad (Velocidad máxima: 22 kmh Cinturón de seguridad del conductor (1. Desabrochado): 1.00)</v>
      </c>
      <c r="O1235" s="42" t="str">
        <f>IF(Data!V1233&lt;&gt;"",N1235,Data!W1233)</f>
        <v>Uso del cinturón de seguridad (Velocidad máxima: 22 kmh Cinturón de seguridad del conductor (1. Desabrochado): 1.00)</v>
      </c>
      <c r="P1235" s="47" t="str">
        <f>Data!X1233</f>
        <v>Válido</v>
      </c>
    </row>
    <row r="1236" spans="1:16">
      <c r="A1236" s="41" t="str">
        <f>Data!A1234</f>
        <v>QLO286</v>
      </c>
      <c r="B1236" s="41" t="str">
        <f>Data!D1234</f>
        <v>Vehicle, Diesel, ECP 1107 Rubiales Serv. Integrales</v>
      </c>
      <c r="C1236" s="41">
        <f>Data!F1234</f>
        <v>0</v>
      </c>
      <c r="D1236" s="41">
        <f>Data!G1234</f>
        <v>0</v>
      </c>
      <c r="E1236" s="41">
        <f>Data!H1234</f>
        <v>0</v>
      </c>
      <c r="F1236" s="41">
        <f>Data!K1234</f>
        <v>0</v>
      </c>
      <c r="G1236" s="33" t="str">
        <f>Data!M1234</f>
        <v>Uso del cinturón de seguridad</v>
      </c>
      <c r="H1236" s="41" t="str">
        <f>Data!P1234</f>
        <v>ECOPETROL RUBIALES- Quifa - CAÑO SUR: Rb 115, Puerto Gaitán, Meta, Colombia</v>
      </c>
      <c r="I1236" s="42" t="str">
        <f>Data!Q1234</f>
        <v>Cliente, Vel Max 40 Km/h</v>
      </c>
      <c r="J1236" s="43">
        <f>Data!S1234</f>
        <v>46174.975142743053</v>
      </c>
      <c r="K1236" s="44">
        <f>Data!S1234</f>
        <v>46174.975142743053</v>
      </c>
      <c r="L1236" s="45">
        <f>Data!T1234</f>
        <v>9.1053240740740735E-5</v>
      </c>
      <c r="M1236" s="46">
        <f>Data!U1234</f>
        <v>2.0831955596804619E-2</v>
      </c>
      <c r="N1236" s="46" t="str">
        <f>CONCATENATE(Data!W1234," (",Data!V1234,")")</f>
        <v>Uso del cinturón de seguridad (Velocidad máxima: 11 kmh Cinturón de seguridad del conductor (1. Desabrochado): 1.00)</v>
      </c>
      <c r="O1236" s="42" t="str">
        <f>IF(Data!V1234&lt;&gt;"",N1236,Data!W1234)</f>
        <v>Uso del cinturón de seguridad (Velocidad máxima: 11 kmh Cinturón de seguridad del conductor (1. Desabrochado): 1.00)</v>
      </c>
      <c r="P1236" s="47" t="str">
        <f>Data!X1234</f>
        <v>Válido</v>
      </c>
    </row>
    <row r="1237" spans="1:16">
      <c r="A1237" s="41" t="str">
        <f>Data!A1235</f>
        <v>QLO286</v>
      </c>
      <c r="B1237" s="41" t="str">
        <f>Data!D1235</f>
        <v>Vehicle, Diesel, ECP 1107 Rubiales Serv. Integrales</v>
      </c>
      <c r="C1237" s="41">
        <f>Data!F1235</f>
        <v>0</v>
      </c>
      <c r="D1237" s="41">
        <f>Data!G1235</f>
        <v>0</v>
      </c>
      <c r="E1237" s="41">
        <f>Data!H1235</f>
        <v>0</v>
      </c>
      <c r="F1237" s="41">
        <f>Data!K1235</f>
        <v>0</v>
      </c>
      <c r="G1237" s="33" t="str">
        <f>Data!M1235</f>
        <v>Uso del cinturón de seguridad</v>
      </c>
      <c r="H1237" s="41" t="str">
        <f>Data!P1235</f>
        <v>ECOPETROL RUBIALES- Quifa - CAÑO SUR: Rb 115, Puerto Gaitán, Meta, Colombia</v>
      </c>
      <c r="I1237" s="42" t="str">
        <f>Data!Q1235</f>
        <v>Cliente, Vel Max 40 Km/h</v>
      </c>
      <c r="J1237" s="43">
        <f>Data!S1235</f>
        <v>46174.975519247688</v>
      </c>
      <c r="K1237" s="44">
        <f>Data!S1235</f>
        <v>46174.975519247688</v>
      </c>
      <c r="L1237" s="45">
        <f>Data!T1235</f>
        <v>6.7175925925925931E-5</v>
      </c>
      <c r="M1237" s="46">
        <f>Data!U1235</f>
        <v>1.831904798746109E-2</v>
      </c>
      <c r="N1237" s="46" t="str">
        <f>CONCATENATE(Data!W1235," (",Data!V1235,")")</f>
        <v>Uso del cinturón de seguridad (Velocidad máxima: 12 kmh Cinturón de seguridad del conductor (1. Desabrochado): 1.00)</v>
      </c>
      <c r="O1237" s="42" t="str">
        <f>IF(Data!V1235&lt;&gt;"",N1237,Data!W1235)</f>
        <v>Uso del cinturón de seguridad (Velocidad máxima: 12 kmh Cinturón de seguridad del conductor (1. Desabrochado): 1.00)</v>
      </c>
      <c r="P1237" s="47" t="str">
        <f>Data!X1235</f>
        <v>Válido</v>
      </c>
    </row>
    <row r="1238" spans="1:16">
      <c r="A1238" s="41" t="str">
        <f>Data!A1236</f>
        <v>QLO286</v>
      </c>
      <c r="B1238" s="41" t="str">
        <f>Data!D1236</f>
        <v>Vehicle, Diesel, ECP 1107 Rubiales Serv. Integrales</v>
      </c>
      <c r="C1238" s="41">
        <f>Data!F1236</f>
        <v>0</v>
      </c>
      <c r="D1238" s="41">
        <f>Data!G1236</f>
        <v>0</v>
      </c>
      <c r="E1238" s="41">
        <f>Data!H1236</f>
        <v>0</v>
      </c>
      <c r="F1238" s="41">
        <f>Data!K1236</f>
        <v>0</v>
      </c>
      <c r="G1238" s="33" t="str">
        <f>Data!M1236</f>
        <v>Uso del cinturón de seguridad</v>
      </c>
      <c r="H1238" s="41" t="str">
        <f>Data!P1236</f>
        <v>ECOPETROL RUBIALES- Quifa - CAÑO SUR: Rb 115, Puerto Gaitán, Meta, Colombia</v>
      </c>
      <c r="I1238" s="42" t="str">
        <f>Data!Q1236</f>
        <v>Cliente, Vel Max 40 Km/h</v>
      </c>
      <c r="J1238" s="43">
        <f>Data!S1236</f>
        <v>46174.975745370371</v>
      </c>
      <c r="K1238" s="44">
        <f>Data!S1236</f>
        <v>46174.975745370371</v>
      </c>
      <c r="L1238" s="45">
        <f>Data!T1236</f>
        <v>4.6458333333333335E-5</v>
      </c>
      <c r="M1238" s="46">
        <f>Data!U1236</f>
        <v>1.1764995753765106E-2</v>
      </c>
      <c r="N1238" s="46" t="str">
        <f>CONCATENATE(Data!W1236," (",Data!V1236,")")</f>
        <v>Uso del cinturón de seguridad (Velocidad máxima: 12 kmh Cinturón de seguridad del conductor (1. Desabrochado): 1.00)</v>
      </c>
      <c r="O1238" s="42" t="str">
        <f>IF(Data!V1236&lt;&gt;"",N1238,Data!W1236)</f>
        <v>Uso del cinturón de seguridad (Velocidad máxima: 12 kmh Cinturón de seguridad del conductor (1. Desabrochado): 1.00)</v>
      </c>
      <c r="P1238" s="47" t="str">
        <f>Data!X1236</f>
        <v>Válido</v>
      </c>
    </row>
    <row r="1239" spans="1:16">
      <c r="A1239" s="41" t="str">
        <f>Data!A1237</f>
        <v>QLO286</v>
      </c>
      <c r="B1239" s="41" t="str">
        <f>Data!D1237</f>
        <v>Vehicle, Diesel, ECP 1107 Rubiales Serv. Integrales</v>
      </c>
      <c r="C1239" s="41">
        <f>Data!F1237</f>
        <v>0</v>
      </c>
      <c r="D1239" s="41">
        <f>Data!G1237</f>
        <v>0</v>
      </c>
      <c r="E1239" s="41">
        <f>Data!H1237</f>
        <v>0</v>
      </c>
      <c r="F1239" s="41">
        <f>Data!K1237</f>
        <v>0</v>
      </c>
      <c r="G1239" s="33" t="str">
        <f>Data!M1237</f>
        <v>Exceso Velocidad 20 Km/h</v>
      </c>
      <c r="H1239" s="41" t="str">
        <f>Data!P1237</f>
        <v>ECOPETROL RUBIALES- Quifa - CAÑO SUR, VEREDA PORVENIR: Resguardo Indígena, Puerto Gaitán, Meta, Colombia</v>
      </c>
      <c r="I1239" s="42" t="str">
        <f>Data!Q1237</f>
        <v>Cliente, Vel Max 40 Km/h, Vel Max 20 Km/h</v>
      </c>
      <c r="J1239" s="43">
        <f>Data!S1237</f>
        <v>46174.981629722221</v>
      </c>
      <c r="K1239" s="44">
        <f>Data!S1237</f>
        <v>46174.981629722221</v>
      </c>
      <c r="L1239" s="45">
        <f>Data!T1237</f>
        <v>3.5471064814814816E-4</v>
      </c>
      <c r="M1239" s="46">
        <f>Data!U1237</f>
        <v>0.24730139970779419</v>
      </c>
      <c r="N1239" s="46" t="str">
        <f>CONCATENATE(Data!W1237," (",Data!V1237,")")</f>
        <v>Exceso Velocidad 20 Km/h (Velocidad máxima: 35 kmh)</v>
      </c>
      <c r="O1239" s="42" t="str">
        <f>IF(Data!V1237&lt;&gt;"",N1239,Data!W1237)</f>
        <v>Exceso Velocidad 20 Km/h (Velocidad máxima: 35 kmh)</v>
      </c>
      <c r="P1239" s="47" t="str">
        <f>Data!X1237</f>
        <v>Válido</v>
      </c>
    </row>
    <row r="1240" spans="1:16">
      <c r="A1240" s="41" t="str">
        <f>Data!A1238</f>
        <v>QLO286</v>
      </c>
      <c r="B1240" s="41" t="str">
        <f>Data!D1238</f>
        <v>Vehicle, Diesel, ECP 1107 Rubiales Serv. Integrales</v>
      </c>
      <c r="C1240" s="41">
        <f>Data!F1238</f>
        <v>0</v>
      </c>
      <c r="D1240" s="41">
        <f>Data!G1238</f>
        <v>0</v>
      </c>
      <c r="E1240" s="41">
        <f>Data!H1238</f>
        <v>0</v>
      </c>
      <c r="F1240" s="41">
        <f>Data!K1238</f>
        <v>0</v>
      </c>
      <c r="G1240" s="33" t="str">
        <f>Data!M1238</f>
        <v>Exceso Velocidad 20 Km/h</v>
      </c>
      <c r="H1240" s="41" t="str">
        <f>Data!P1238</f>
        <v>ECOPETROL RUBIALES- Quifa - CAÑO SUR, VEREDA PORVENIR: Resguardo Indígena, Puerto Gaitán, Meta, Colombia</v>
      </c>
      <c r="I1240" s="42" t="str">
        <f>Data!Q1238</f>
        <v>Cliente, Vel Max 40 Km/h, Vel Max 20 Km/h</v>
      </c>
      <c r="J1240" s="43">
        <f>Data!S1238</f>
        <v>46174.982021608797</v>
      </c>
      <c r="K1240" s="44">
        <f>Data!S1238</f>
        <v>46174.982021608797</v>
      </c>
      <c r="L1240" s="45">
        <f>Data!T1238</f>
        <v>1.0802083333333333E-4</v>
      </c>
      <c r="M1240" s="46">
        <f>Data!U1238</f>
        <v>5.4605327546596527E-2</v>
      </c>
      <c r="N1240" s="46" t="str">
        <f>CONCATENATE(Data!W1238," (",Data!V1238,")")</f>
        <v>Exceso Velocidad 20 Km/h (Velocidad máxima: 22 kmh)</v>
      </c>
      <c r="O1240" s="42" t="str">
        <f>IF(Data!V1238&lt;&gt;"",N1240,Data!W1238)</f>
        <v>Exceso Velocidad 20 Km/h (Velocidad máxima: 22 kmh)</v>
      </c>
      <c r="P1240" s="47" t="str">
        <f>Data!X1238</f>
        <v>Válido</v>
      </c>
    </row>
    <row r="1241" spans="1:16">
      <c r="A1241" s="41" t="str">
        <f>Data!A1239</f>
        <v>QLO286</v>
      </c>
      <c r="B1241" s="41" t="str">
        <f>Data!D1239</f>
        <v>Vehicle, Diesel, ECP 1107 Rubiales Serv. Integrales</v>
      </c>
      <c r="C1241" s="41">
        <f>Data!F1239</f>
        <v>0</v>
      </c>
      <c r="D1241" s="41">
        <f>Data!G1239</f>
        <v>0</v>
      </c>
      <c r="E1241" s="41">
        <f>Data!H1239</f>
        <v>0</v>
      </c>
      <c r="F1241" s="41">
        <f>Data!K1239</f>
        <v>0</v>
      </c>
      <c r="G1241" s="33" t="str">
        <f>Data!M1239</f>
        <v>Exceso Velocidad 20 Km/h</v>
      </c>
      <c r="H1241" s="41" t="str">
        <f>Data!P1239</f>
        <v>ECOPETROL RUBIALES- Quifa - CAÑO SUR, VEREDA PORVENIR: Resguardo Indígena, Puerto Gaitán, Meta, Colombia</v>
      </c>
      <c r="I1241" s="42" t="str">
        <f>Data!Q1239</f>
        <v>Cliente, Vel Max 40 Km/h, Vel Max 20 Km/h</v>
      </c>
      <c r="J1241" s="43">
        <f>Data!S1239</f>
        <v>46174.98232638889</v>
      </c>
      <c r="K1241" s="44">
        <f>Data!S1239</f>
        <v>46174.98232638889</v>
      </c>
      <c r="L1241" s="45">
        <f>Data!T1239</f>
        <v>2.199074074074074E-4</v>
      </c>
      <c r="M1241" s="46">
        <f>Data!U1239</f>
        <v>0.11526836454868317</v>
      </c>
      <c r="N1241" s="46" t="str">
        <f>CONCATENATE(Data!W1239," (",Data!V1239,")")</f>
        <v>Exceso Velocidad 20 Km/h (Velocidad máxima: 24 kmh)</v>
      </c>
      <c r="O1241" s="42" t="str">
        <f>IF(Data!V1239&lt;&gt;"",N1241,Data!W1239)</f>
        <v>Exceso Velocidad 20 Km/h (Velocidad máxima: 24 kmh)</v>
      </c>
      <c r="P1241" s="47" t="str">
        <f>Data!X1239</f>
        <v>Válido</v>
      </c>
    </row>
    <row r="1242" spans="1:16">
      <c r="A1242" s="41" t="str">
        <f>Data!A1240</f>
        <v>QLO286</v>
      </c>
      <c r="B1242" s="41" t="str">
        <f>Data!D1240</f>
        <v>Vehicle, Diesel, ECP 1107 Rubiales Serv. Integrales</v>
      </c>
      <c r="C1242" s="41">
        <f>Data!F1240</f>
        <v>0</v>
      </c>
      <c r="D1242" s="41">
        <f>Data!G1240</f>
        <v>0</v>
      </c>
      <c r="E1242" s="41">
        <f>Data!H1240</f>
        <v>0</v>
      </c>
      <c r="F1242" s="41">
        <f>Data!K1240</f>
        <v>0</v>
      </c>
      <c r="G1242" s="33" t="str">
        <f>Data!M1240</f>
        <v>Exceso Velocidad 20 Km/h</v>
      </c>
      <c r="H1242" s="41" t="str">
        <f>Data!P1240</f>
        <v>ECOPETROL RUBIALES- Quifa - CAÑO SUR, VEREDA PORVENIR: 67MCQJ8P+7H, El Porvenir, Puerto Gaitán, Meta, Colombia</v>
      </c>
      <c r="I1242" s="42" t="str">
        <f>Data!Q1240</f>
        <v>Cliente, Vel Max 40 Km/h, Vel Max 20 Km/h</v>
      </c>
      <c r="J1242" s="43">
        <f>Data!S1240</f>
        <v>46174.982546296298</v>
      </c>
      <c r="K1242" s="44">
        <f>Data!S1240</f>
        <v>46174.982546296298</v>
      </c>
      <c r="L1242" s="45">
        <f>Data!T1240</f>
        <v>1.7361111111111112E-4</v>
      </c>
      <c r="M1242" s="46">
        <f>Data!U1240</f>
        <v>8.6414255201816559E-2</v>
      </c>
      <c r="N1242" s="46" t="str">
        <f>CONCATENATE(Data!W1240," (",Data!V1240,")")</f>
        <v>Exceso Velocidad 20 Km/h (Velocidad máxima: 22 kmh)</v>
      </c>
      <c r="O1242" s="42" t="str">
        <f>IF(Data!V1240&lt;&gt;"",N1242,Data!W1240)</f>
        <v>Exceso Velocidad 20 Km/h (Velocidad máxima: 22 kmh)</v>
      </c>
      <c r="P1242" s="47" t="str">
        <f>Data!X1240</f>
        <v>Válido</v>
      </c>
    </row>
    <row r="1243" spans="1:16">
      <c r="A1243" s="41" t="str">
        <f>Data!A1241</f>
        <v>QLO286</v>
      </c>
      <c r="B1243" s="41" t="str">
        <f>Data!D1241</f>
        <v>Vehicle, Diesel, ECP 1107 Rubiales Serv. Integrales</v>
      </c>
      <c r="C1243" s="41">
        <f>Data!F1241</f>
        <v>0</v>
      </c>
      <c r="D1243" s="41">
        <f>Data!G1241</f>
        <v>0</v>
      </c>
      <c r="E1243" s="41">
        <f>Data!H1241</f>
        <v>0</v>
      </c>
      <c r="F1243" s="41">
        <f>Data!K1241</f>
        <v>0</v>
      </c>
      <c r="G1243" s="33" t="str">
        <f>Data!M1241</f>
        <v>Exceso Velocidad 20 Km/h</v>
      </c>
      <c r="H1243" s="41" t="str">
        <f>Data!P1241</f>
        <v>ECOPETROL RUBIALES- Quifa - CAÑO SUR, VEREDA PORVENIR: 67MCQJ8P+7H, El Porvenir, Puerto Gaitán, Meta, Colombia</v>
      </c>
      <c r="I1243" s="42" t="str">
        <f>Data!Q1241</f>
        <v>Cliente, Vel Max 40 Km/h, Vel Max 20 Km/h</v>
      </c>
      <c r="J1243" s="43">
        <f>Data!S1241</f>
        <v>46174.982905092591</v>
      </c>
      <c r="K1243" s="44">
        <f>Data!S1241</f>
        <v>46174.982905092591</v>
      </c>
      <c r="L1243" s="45">
        <f>Data!T1241</f>
        <v>1.6369212962962963E-4</v>
      </c>
      <c r="M1243" s="46">
        <f>Data!U1241</f>
        <v>7.9363599419593811E-2</v>
      </c>
      <c r="N1243" s="46" t="str">
        <f>CONCATENATE(Data!W1241," (",Data!V1241,")")</f>
        <v>Exceso Velocidad 20 Km/h (Velocidad máxima: 22 kmh)</v>
      </c>
      <c r="O1243" s="42" t="str">
        <f>IF(Data!V1241&lt;&gt;"",N1243,Data!W1241)</f>
        <v>Exceso Velocidad 20 Km/h (Velocidad máxima: 22 kmh)</v>
      </c>
      <c r="P1243" s="47" t="str">
        <f>Data!X1241</f>
        <v>Válido</v>
      </c>
    </row>
    <row r="1244" spans="1:16">
      <c r="A1244" s="41" t="str">
        <f>Data!A1242</f>
        <v>QLO286</v>
      </c>
      <c r="B1244" s="41" t="str">
        <f>Data!D1242</f>
        <v>Vehicle, Diesel, ECP 1107 Rubiales Serv. Integrales</v>
      </c>
      <c r="C1244" s="41">
        <f>Data!F1242</f>
        <v>0</v>
      </c>
      <c r="D1244" s="41">
        <f>Data!G1242</f>
        <v>0</v>
      </c>
      <c r="E1244" s="41">
        <f>Data!H1242</f>
        <v>0</v>
      </c>
      <c r="F1244" s="41">
        <f>Data!K1242</f>
        <v>0</v>
      </c>
      <c r="G1244" s="33" t="str">
        <f>Data!M1242</f>
        <v>Exceso Velocidad 20 Km/h</v>
      </c>
      <c r="H1244" s="41" t="str">
        <f>Data!P1242</f>
        <v>ECOPETROL RUBIALES- Quifa - CAÑO SUR, VEREDA PORVENIR: Resguardo Indígena, Puerto Gaitán, Meta, Colombia</v>
      </c>
      <c r="I1244" s="42" t="str">
        <f>Data!Q1242</f>
        <v>Cliente, Vel Max 40 Km/h, Vel Max 20 Km/h</v>
      </c>
      <c r="J1244" s="43">
        <f>Data!S1242</f>
        <v>46174.983554687497</v>
      </c>
      <c r="K1244" s="44">
        <f>Data!S1242</f>
        <v>46174.983554687497</v>
      </c>
      <c r="L1244" s="45">
        <f>Data!T1242</f>
        <v>1.2122685185185186E-4</v>
      </c>
      <c r="M1244" s="46">
        <f>Data!U1242</f>
        <v>8.0878995358943939E-2</v>
      </c>
      <c r="N1244" s="46" t="str">
        <f>CONCATENATE(Data!W1242," (",Data!V1242,")")</f>
        <v>Exceso Velocidad 20 Km/h (Velocidad máxima: 29 kmh)</v>
      </c>
      <c r="O1244" s="42" t="str">
        <f>IF(Data!V1242&lt;&gt;"",N1244,Data!W1242)</f>
        <v>Exceso Velocidad 20 Km/h (Velocidad máxima: 29 kmh)</v>
      </c>
      <c r="P1244" s="47" t="str">
        <f>Data!X1242</f>
        <v>Válido</v>
      </c>
    </row>
    <row r="1245" spans="1:16">
      <c r="A1245" s="41" t="str">
        <f>Data!A1243</f>
        <v>QLO286</v>
      </c>
      <c r="B1245" s="41" t="str">
        <f>Data!D1243</f>
        <v>Vehicle, Diesel, ECP 1107 Rubiales Serv. Integrales</v>
      </c>
      <c r="C1245" s="41">
        <f>Data!F1243</f>
        <v>0</v>
      </c>
      <c r="D1245" s="41">
        <f>Data!G1243</f>
        <v>0</v>
      </c>
      <c r="E1245" s="41">
        <f>Data!H1243</f>
        <v>0</v>
      </c>
      <c r="F1245" s="41">
        <f>Data!K1243</f>
        <v>0</v>
      </c>
      <c r="G1245" s="33" t="str">
        <f>Data!M1243</f>
        <v>Uso del cinturón de seguridad</v>
      </c>
      <c r="H1245" s="41" t="str">
        <f>Data!P1243</f>
        <v>ECOPETROL RUBIALES- Quifa - CAÑO SUR: Resguardo Indígena, Puerto Gaitán, Meta, Colombia</v>
      </c>
      <c r="I1245" s="42" t="str">
        <f>Data!Q1243</f>
        <v>Cliente, Vel Max 40 Km/h</v>
      </c>
      <c r="J1245" s="43">
        <f>Data!S1243</f>
        <v>46174.994225625</v>
      </c>
      <c r="K1245" s="44">
        <f>Data!S1243</f>
        <v>46174.994225625</v>
      </c>
      <c r="L1245" s="45">
        <f>Data!T1243</f>
        <v>3.667013888888889E-4</v>
      </c>
      <c r="M1245" s="46">
        <f>Data!U1243</f>
        <v>0.15915125608444214</v>
      </c>
      <c r="N1245" s="46" t="str">
        <f>CONCATENATE(Data!W1243," (",Data!V1243,")")</f>
        <v>Uso del cinturón de seguridad (Velocidad máxima: 33 kmh Cinturón de seguridad del conductor (1. Desabrochado): 1.00)</v>
      </c>
      <c r="O1245" s="42" t="str">
        <f>IF(Data!V1243&lt;&gt;"",N1245,Data!W1243)</f>
        <v>Uso del cinturón de seguridad (Velocidad máxima: 33 kmh Cinturón de seguridad del conductor (1. Desabrochado): 1.00)</v>
      </c>
      <c r="P1245" s="47" t="str">
        <f>Data!X1243</f>
        <v>Válido</v>
      </c>
    </row>
    <row r="1246" spans="1:16">
      <c r="A1246" s="41" t="str">
        <f>Data!A1244</f>
        <v>QLO286</v>
      </c>
      <c r="B1246" s="41" t="str">
        <f>Data!D1244</f>
        <v>Vehicle, Diesel, ECP 1107 Rubiales Serv. Integrales</v>
      </c>
      <c r="C1246" s="41">
        <f>Data!F1244</f>
        <v>0</v>
      </c>
      <c r="D1246" s="41">
        <f>Data!G1244</f>
        <v>0</v>
      </c>
      <c r="E1246" s="41">
        <f>Data!H1244</f>
        <v>0</v>
      </c>
      <c r="F1246" s="41">
        <f>Data!K1244</f>
        <v>0</v>
      </c>
      <c r="G1246" s="33" t="str">
        <f>Data!M1244</f>
        <v>Exceso Velocidad 20 Km/h</v>
      </c>
      <c r="H1246" s="41" t="str">
        <f>Data!P1244</f>
        <v>ECOPETROL RUBIALES- Quifa - CAÑO SUR, VEREDA PORVENIR: Resguardo Indígena, Puerto Gaitán, Meta, Colombia</v>
      </c>
      <c r="I1246" s="42" t="str">
        <f>Data!Q1244</f>
        <v>Cliente, Vel Max 40 Km/h, Vel Max 20 Km/h</v>
      </c>
      <c r="J1246" s="43">
        <f>Data!S1244</f>
        <v>46174.998799687499</v>
      </c>
      <c r="K1246" s="44">
        <f>Data!S1244</f>
        <v>46174.998799687499</v>
      </c>
      <c r="L1246" s="45">
        <f>Data!T1244</f>
        <v>1.2623842592592594E-4</v>
      </c>
      <c r="M1246" s="46">
        <f>Data!U1244</f>
        <v>8.307231217622757E-2</v>
      </c>
      <c r="N1246" s="46" t="str">
        <f>CONCATENATE(Data!W1244," (",Data!V1244,")")</f>
        <v>Exceso Velocidad 20 Km/h (Velocidad máxima: 31 kmh)</v>
      </c>
      <c r="O1246" s="42" t="str">
        <f>IF(Data!V1244&lt;&gt;"",N1246,Data!W1244)</f>
        <v>Exceso Velocidad 20 Km/h (Velocidad máxima: 31 kmh)</v>
      </c>
      <c r="P1246" s="47" t="str">
        <f>Data!X1244</f>
        <v>Válido</v>
      </c>
    </row>
    <row r="1247" spans="1:16">
      <c r="A1247" s="41" t="str">
        <f>Data!A1245</f>
        <v>QLO286</v>
      </c>
      <c r="B1247" s="41" t="str">
        <f>Data!D1245</f>
        <v>Vehicle, Diesel, ECP 1107 Rubiales Serv. Integrales</v>
      </c>
      <c r="C1247" s="41">
        <f>Data!F1245</f>
        <v>0</v>
      </c>
      <c r="D1247" s="41">
        <f>Data!G1245</f>
        <v>0</v>
      </c>
      <c r="E1247" s="41">
        <f>Data!H1245</f>
        <v>0</v>
      </c>
      <c r="F1247" s="41">
        <f>Data!K1245</f>
        <v>0</v>
      </c>
      <c r="G1247" s="33" t="str">
        <f>Data!M1245</f>
        <v>Exceso Velocidad 20 Km/h</v>
      </c>
      <c r="H1247" s="41" t="str">
        <f>Data!P1245</f>
        <v>ECOPETROL RUBIALES- Quifa - CAÑO SUR, VEREDA PORVENIR: Resguardo Indígena, Puerto Gaitán, Meta, Colombia</v>
      </c>
      <c r="I1247" s="42" t="str">
        <f>Data!Q1245</f>
        <v>Cliente, Vel Max 40 Km/h, Vel Max 20 Km/h</v>
      </c>
      <c r="J1247" s="43">
        <f>Data!S1245</f>
        <v>46174.999141435183</v>
      </c>
      <c r="K1247" s="44">
        <f>Data!S1245</f>
        <v>46174.999141435183</v>
      </c>
      <c r="L1247" s="45">
        <f>Data!T1245</f>
        <v>3.1018518518518521E-5</v>
      </c>
      <c r="M1247" s="46">
        <f>Data!U1245</f>
        <v>1.5514397993683815E-2</v>
      </c>
      <c r="N1247" s="46" t="str">
        <f>CONCATENATE(Data!W1245," (",Data!V1245,")")</f>
        <v>Exceso Velocidad 20 Km/h (Velocidad máxima: 22 kmh)</v>
      </c>
      <c r="O1247" s="42" t="str">
        <f>IF(Data!V1245&lt;&gt;"",N1247,Data!W1245)</f>
        <v>Exceso Velocidad 20 Km/h (Velocidad máxima: 22 kmh)</v>
      </c>
      <c r="P1247" s="47" t="str">
        <f>Data!X1245</f>
        <v>Válido</v>
      </c>
    </row>
    <row r="1248" spans="1:16">
      <c r="A1248" s="41" t="str">
        <f>Data!A1246</f>
        <v>QLO286</v>
      </c>
      <c r="B1248" s="41" t="str">
        <f>Data!D1246</f>
        <v>Vehicle, Diesel, ECP 1107 Rubiales Serv. Integrales</v>
      </c>
      <c r="C1248" s="41">
        <f>Data!F1246</f>
        <v>0</v>
      </c>
      <c r="D1248" s="41">
        <f>Data!G1246</f>
        <v>0</v>
      </c>
      <c r="E1248" s="41">
        <f>Data!H1246</f>
        <v>0</v>
      </c>
      <c r="F1248" s="41">
        <f>Data!K1246</f>
        <v>0</v>
      </c>
      <c r="G1248" s="33" t="str">
        <f>Data!M1246</f>
        <v>Exceso Velocidad 20 Km/h</v>
      </c>
      <c r="H1248" s="41" t="str">
        <f>Data!P1246</f>
        <v>ECOPETROL RUBIALES- Quifa - CAÑO SUR, VEREDA PORVENIR: 67MCQJ8P+7H, El Porvenir, Puerto Gaitán, Meta, Colombia</v>
      </c>
      <c r="I1248" s="42" t="str">
        <f>Data!Q1246</f>
        <v>Cliente, Vel Max 40 Km/h, Vel Max 20 Km/h</v>
      </c>
      <c r="J1248" s="43">
        <f>Data!S1246</f>
        <v>46174.999531250105</v>
      </c>
      <c r="K1248" s="44">
        <f>Data!S1246</f>
        <v>46174.999531250105</v>
      </c>
      <c r="L1248" s="45">
        <f>Data!T1246</f>
        <v>4.3402777777777779E-5</v>
      </c>
      <c r="M1248" s="46">
        <f>Data!U1246</f>
        <v>2.0741015672683716E-2</v>
      </c>
      <c r="N1248" s="46" t="str">
        <f>CONCATENATE(Data!W1246," (",Data!V1246,")")</f>
        <v>Exceso Velocidad 20 Km/h (Velocidad máxima: 22 kmh)</v>
      </c>
      <c r="O1248" s="42" t="str">
        <f>IF(Data!V1246&lt;&gt;"",N1248,Data!W1246)</f>
        <v>Exceso Velocidad 20 Km/h (Velocidad máxima: 22 kmh)</v>
      </c>
      <c r="P1248" s="47" t="str">
        <f>Data!X1246</f>
        <v>Válido</v>
      </c>
    </row>
    <row r="1249" spans="1:16">
      <c r="A1249" s="41" t="str">
        <f>Data!A1247</f>
        <v>QLO286</v>
      </c>
      <c r="B1249" s="41" t="str">
        <f>Data!D1247</f>
        <v>Vehicle, Diesel, ECP 1107 Rubiales Serv. Integrales</v>
      </c>
      <c r="C1249" s="41">
        <f>Data!F1247</f>
        <v>0</v>
      </c>
      <c r="D1249" s="41">
        <f>Data!G1247</f>
        <v>0</v>
      </c>
      <c r="E1249" s="41">
        <f>Data!H1247</f>
        <v>0</v>
      </c>
      <c r="F1249" s="41">
        <f>Data!K1247</f>
        <v>0</v>
      </c>
      <c r="G1249" s="33" t="str">
        <f>Data!M1247</f>
        <v>Exceso Velocidad 20 Km/h</v>
      </c>
      <c r="H1249" s="41" t="str">
        <f>Data!P1247</f>
        <v>ECOPETROL RUBIALES- Quifa - CAÑO SUR, VEREDA PORVENIR: 67MCQJ8P+7H, El Porvenir, Puerto Gaitán, Meta, Colombia</v>
      </c>
      <c r="I1249" s="42" t="str">
        <f>Data!Q1247</f>
        <v>Cliente, Vel Max 40 Km/h, Vel Max 20 Km/h</v>
      </c>
      <c r="J1249" s="43">
        <f>Data!S1247</f>
        <v>46174.999652777777</v>
      </c>
      <c r="K1249" s="44">
        <f>Data!S1247</f>
        <v>46174.999652777777</v>
      </c>
      <c r="L1249" s="45">
        <f>Data!T1247</f>
        <v>7.5231581481481481E-5</v>
      </c>
      <c r="M1249" s="46">
        <f>Data!U1247</f>
        <v>3.7659447640180588E-2</v>
      </c>
      <c r="N1249" s="46" t="str">
        <f>CONCATENATE(Data!W1247," (",Data!V1247,")")</f>
        <v>Exceso Velocidad 20 Km/h (Velocidad máxima: 22 kmh)</v>
      </c>
      <c r="O1249" s="42" t="str">
        <f>IF(Data!V1247&lt;&gt;"",N1249,Data!W1247)</f>
        <v>Exceso Velocidad 20 Km/h (Velocidad máxima: 22 kmh)</v>
      </c>
      <c r="P1249" s="47" t="str">
        <f>Data!X1247</f>
        <v>Válido</v>
      </c>
    </row>
    <row r="1250" spans="1:16">
      <c r="A1250" s="41" t="str">
        <f>Data!A1248</f>
        <v>QLO286</v>
      </c>
      <c r="B1250" s="41" t="str">
        <f>Data!D1248</f>
        <v>Vehicle, Diesel, ECP 1107 Rubiales Serv. Integrales</v>
      </c>
      <c r="C1250" s="41">
        <f>Data!F1248</f>
        <v>0</v>
      </c>
      <c r="D1250" s="41">
        <f>Data!G1248</f>
        <v>0</v>
      </c>
      <c r="E1250" s="41">
        <f>Data!H1248</f>
        <v>0</v>
      </c>
      <c r="F1250" s="41">
        <f>Data!K1248</f>
        <v>0</v>
      </c>
      <c r="G1250" s="33" t="str">
        <f>Data!M1248</f>
        <v>Exceso Velocidad 20 Km/h</v>
      </c>
      <c r="H1250" s="41" t="str">
        <f>Data!P1248</f>
        <v>ECOPETROL RUBIALES- Quifa - CAÑO SUR, VEREDA PORVENIR: 67MCQJ8P+7H, El Porvenir, Puerto Gaitán, Meta, Colombia</v>
      </c>
      <c r="I1250" s="42" t="str">
        <f>Data!Q1248</f>
        <v>Cliente, Vel Max 40 Km/h, Vel Max 20 Km/h</v>
      </c>
      <c r="J1250" s="43">
        <f>Data!S1248</f>
        <v>46174.999875995367</v>
      </c>
      <c r="K1250" s="44">
        <f>Data!S1248</f>
        <v>46174.999875995367</v>
      </c>
      <c r="L1250" s="45">
        <f>Data!T1248</f>
        <v>2.6289351851851853E-4</v>
      </c>
      <c r="M1250" s="46">
        <f>Data!U1248</f>
        <v>0.1465701162815094</v>
      </c>
      <c r="N1250" s="46" t="str">
        <f>CONCATENATE(Data!W1248," (",Data!V1248,")")</f>
        <v>Exceso Velocidad 20 Km/h (Velocidad máxima: 26 kmh)</v>
      </c>
      <c r="O1250" s="42" t="str">
        <f>IF(Data!V1248&lt;&gt;"",N1250,Data!W1248)</f>
        <v>Exceso Velocidad 20 Km/h (Velocidad máxima: 26 kmh)</v>
      </c>
      <c r="P1250" s="47" t="str">
        <f>Data!X1248</f>
        <v>Válido</v>
      </c>
    </row>
    <row r="1251" spans="1:16">
      <c r="A1251" s="41" t="str">
        <f>Data!A1249</f>
        <v>QLT513</v>
      </c>
      <c r="B1251" s="41" t="str">
        <f>Data!D1249</f>
        <v>Vehicle, Diesel, Frontera Energy Col 2679</v>
      </c>
      <c r="C1251" s="41" t="str">
        <f>Data!F1249</f>
        <v>Luis Felipe</v>
      </c>
      <c r="D1251" s="41" t="str">
        <f>Data!G1249</f>
        <v>Gomez Perdomo</v>
      </c>
      <c r="E1251" s="41" t="str">
        <f>Data!H1249</f>
        <v>luis.gomez@magnexgroup.com</v>
      </c>
      <c r="F1251" s="41" t="str">
        <f>Data!K1249</f>
        <v>Rubiales</v>
      </c>
      <c r="G1251" s="33" t="str">
        <f>Data!M1249</f>
        <v>Exceso Velocidad 30 Km/h</v>
      </c>
      <c r="H1251" s="41" t="str">
        <f>Data!P1249</f>
        <v>ECOPETROL RUBIALES- Quifa - CAÑO SUR, Puerto Triunfo - Estacion Policia: vereda puerto triunfo Km 129+300 vía rubiales, Puerto Gaitán, Meta, Colombia</v>
      </c>
      <c r="I1251" s="42" t="str">
        <f>Data!Q1249</f>
        <v>Cliente, Vel Max 40 Km/h, Vel Max 30 Km/h</v>
      </c>
      <c r="J1251" s="43">
        <f>Data!S1249</f>
        <v>46174.247473692129</v>
      </c>
      <c r="K1251" s="44">
        <f>Data!S1249</f>
        <v>46174.247473692129</v>
      </c>
      <c r="L1251" s="45">
        <f>Data!T1249</f>
        <v>1.9699074074074073E-5</v>
      </c>
      <c r="M1251" s="46">
        <f>Data!U1249</f>
        <v>1.3185929507017136E-2</v>
      </c>
      <c r="N1251" s="46" t="str">
        <f>CONCATENATE(Data!W1249," (",Data!V1249,")")</f>
        <v>Exceso Velocidad 30 Km/h (Velocidad máxima: 31 kmh)</v>
      </c>
      <c r="O1251" s="42" t="str">
        <f>IF(Data!V1249&lt;&gt;"",N1251,Data!W1249)</f>
        <v>Exceso Velocidad 30 Km/h (Velocidad máxima: 31 kmh)</v>
      </c>
      <c r="P1251" s="47" t="str">
        <f>Data!X1249</f>
        <v>Válido</v>
      </c>
    </row>
    <row r="1252" spans="1:16">
      <c r="A1252" s="41" t="str">
        <f>Data!A1250</f>
        <v>QLT513</v>
      </c>
      <c r="B1252" s="41" t="str">
        <f>Data!D1250</f>
        <v>Vehicle, Diesel, Frontera Energy Col 2679</v>
      </c>
      <c r="C1252" s="41" t="str">
        <f>Data!F1250</f>
        <v>Luis Felipe</v>
      </c>
      <c r="D1252" s="41" t="str">
        <f>Data!G1250</f>
        <v>Gomez Perdomo</v>
      </c>
      <c r="E1252" s="41" t="str">
        <f>Data!H1250</f>
        <v>luis.gomez@magnexgroup.com</v>
      </c>
      <c r="F1252" s="41" t="str">
        <f>Data!K1250</f>
        <v>Rubiales</v>
      </c>
      <c r="G1252" s="33" t="str">
        <f>Data!M1250</f>
        <v>Exceso Velocidad 30 Km/h</v>
      </c>
      <c r="H1252" s="41" t="str">
        <f>Data!P1250</f>
        <v>ECOPETROL RUBIALES- Quifa - CAÑO SUR, Puerto Triunfo - Estacion Policia: Puerto Gaitan - Rubiales, Puerto Gaitán, Meta, Colombia</v>
      </c>
      <c r="I1252" s="42" t="str">
        <f>Data!Q1250</f>
        <v>Cliente, Vel Max 40 Km/h, Vel Max 30 Km/h</v>
      </c>
      <c r="J1252" s="43">
        <f>Data!S1250</f>
        <v>46174.250796678243</v>
      </c>
      <c r="K1252" s="44">
        <f>Data!S1250</f>
        <v>46174.250796678243</v>
      </c>
      <c r="L1252" s="45">
        <f>Data!T1250</f>
        <v>2.1721064814814815E-4</v>
      </c>
      <c r="M1252" s="46">
        <f>Data!U1250</f>
        <v>0.17245160043239594</v>
      </c>
      <c r="N1252" s="46" t="str">
        <f>CONCATENATE(Data!W1250," (",Data!V1250,")")</f>
        <v>Exceso Velocidad 30 Km/h (Velocidad máxima: 35 kmh)</v>
      </c>
      <c r="O1252" s="42" t="str">
        <f>IF(Data!V1250&lt;&gt;"",N1252,Data!W1250)</f>
        <v>Exceso Velocidad 30 Km/h (Velocidad máxima: 35 kmh)</v>
      </c>
      <c r="P1252" s="47" t="str">
        <f>Data!X1250</f>
        <v>Válido</v>
      </c>
    </row>
    <row r="1253" spans="1:16">
      <c r="A1253" s="41" t="str">
        <f>Data!A1251</f>
        <v>QLT513</v>
      </c>
      <c r="B1253" s="41" t="str">
        <f>Data!D1251</f>
        <v>Vehicle, Diesel, Frontera Energy Col 2679</v>
      </c>
      <c r="C1253" s="41" t="str">
        <f>Data!F1251</f>
        <v>Luis Felipe</v>
      </c>
      <c r="D1253" s="41" t="str">
        <f>Data!G1251</f>
        <v>Gomez Perdomo</v>
      </c>
      <c r="E1253" s="41" t="str">
        <f>Data!H1251</f>
        <v>luis.gomez@magnexgroup.com</v>
      </c>
      <c r="F1253" s="41" t="str">
        <f>Data!K1251</f>
        <v>Rubiales</v>
      </c>
      <c r="G1253" s="33" t="str">
        <f>Data!M1251</f>
        <v>Exceso Velocidad 10 Km/h</v>
      </c>
      <c r="H1253" s="41" t="str">
        <f>Data!P1251</f>
        <v>ECOPETROL RUBIALES- Quifa - CAÑO SUR, Puerto Triunfo - Estacion Policia, PUESTRO CONTROL QUIFA: Puerto Gaitan - Rubiales, Puerto Gaitán, Meta, Colombia</v>
      </c>
      <c r="I1253" s="42" t="str">
        <f>Data!Q1251</f>
        <v>Cliente, Vel Max 40 Km/h, Vel Max 30 Km/h, Vel Max 10 Km/h</v>
      </c>
      <c r="J1253" s="43">
        <f>Data!S1251</f>
        <v>46174.251289756947</v>
      </c>
      <c r="K1253" s="44">
        <f>Data!S1251</f>
        <v>46174.251289756947</v>
      </c>
      <c r="L1253" s="45">
        <f>Data!T1251</f>
        <v>3.4945601851851853E-4</v>
      </c>
      <c r="M1253" s="46">
        <f>Data!U1251</f>
        <v>0.18272776901721954</v>
      </c>
      <c r="N1253" s="46" t="str">
        <f>CONCATENATE(Data!W1251," (",Data!V1251,")")</f>
        <v>Exceso Velocidad 10 Km/h (Velocidad máxima: 26 kmh)</v>
      </c>
      <c r="O1253" s="42" t="str">
        <f>IF(Data!V1251&lt;&gt;"",N1253,Data!W1251)</f>
        <v>Exceso Velocidad 10 Km/h (Velocidad máxima: 26 kmh)</v>
      </c>
      <c r="P1253" s="47" t="str">
        <f>Data!X1251</f>
        <v>Válido</v>
      </c>
    </row>
    <row r="1254" spans="1:16">
      <c r="A1254" s="41" t="str">
        <f>Data!A1252</f>
        <v>QLT513</v>
      </c>
      <c r="B1254" s="41" t="str">
        <f>Data!D1252</f>
        <v>Vehicle, Diesel, Frontera Energy Col 2679</v>
      </c>
      <c r="C1254" s="41" t="str">
        <f>Data!F1252</f>
        <v>Luis Felipe</v>
      </c>
      <c r="D1254" s="41" t="str">
        <f>Data!G1252</f>
        <v>Gomez Perdomo</v>
      </c>
      <c r="E1254" s="41" t="str">
        <f>Data!H1252</f>
        <v>luis.gomez@magnexgroup.com</v>
      </c>
      <c r="F1254" s="41" t="str">
        <f>Data!K1252</f>
        <v>Rubiales</v>
      </c>
      <c r="G1254" s="33" t="str">
        <f>Data!M1252</f>
        <v>Exceso Velocidad 30 Km/h</v>
      </c>
      <c r="H1254" s="41" t="str">
        <f>Data!P1252</f>
        <v>ECOPETROL RUBIALES- Quifa - CAÑO SUR, Puerto Triunfo - Estacion Policia: Puerto Gaitan - Rubiales, Puerto Gaitán, Meta, Colombia</v>
      </c>
      <c r="I1254" s="42" t="str">
        <f>Data!Q1252</f>
        <v>Cliente, Vel Max 40 Km/h, Vel Max 30 Km/h</v>
      </c>
      <c r="J1254" s="43">
        <f>Data!S1252</f>
        <v>46174.252899305655</v>
      </c>
      <c r="K1254" s="44">
        <f>Data!S1252</f>
        <v>46174.252899305655</v>
      </c>
      <c r="L1254" s="45">
        <f>Data!T1252</f>
        <v>2.0833333333333335E-4</v>
      </c>
      <c r="M1254" s="46">
        <f>Data!U1252</f>
        <v>0.16029195487499237</v>
      </c>
      <c r="N1254" s="46" t="str">
        <f>CONCATENATE(Data!W1252," (",Data!V1252,")")</f>
        <v>Exceso Velocidad 30 Km/h (Velocidad máxima: 31 kmh)</v>
      </c>
      <c r="O1254" s="42" t="str">
        <f>IF(Data!V1252&lt;&gt;"",N1254,Data!W1252)</f>
        <v>Exceso Velocidad 30 Km/h (Velocidad máxima: 31 kmh)</v>
      </c>
      <c r="P1254" s="47" t="str">
        <f>Data!X1252</f>
        <v>Válido</v>
      </c>
    </row>
    <row r="1255" spans="1:16">
      <c r="A1255" s="41" t="str">
        <f>Data!A1253</f>
        <v>QLT513</v>
      </c>
      <c r="B1255" s="41" t="str">
        <f>Data!D1253</f>
        <v>Vehicle, Diesel, Frontera Energy Col 2679</v>
      </c>
      <c r="C1255" s="41" t="str">
        <f>Data!F1253</f>
        <v>Luis Felipe</v>
      </c>
      <c r="D1255" s="41" t="str">
        <f>Data!G1253</f>
        <v>Gomez Perdomo</v>
      </c>
      <c r="E1255" s="41" t="str">
        <f>Data!H1253</f>
        <v>luis.gomez@magnexgroup.com</v>
      </c>
      <c r="F1255" s="41" t="str">
        <f>Data!K1253</f>
        <v>Rubiales</v>
      </c>
      <c r="G1255" s="33" t="str">
        <f>Data!M1253</f>
        <v>Exceso Velocidad 10 Km/h</v>
      </c>
      <c r="H1255" s="41" t="str">
        <f>Data!P1253</f>
        <v>CAMPAMENTO QUIFA, ECOPETROL RUBIALES- Quifa - CAÑO SUR, Campamento Quifa - CMA: Ent. CAMPAMENTO, Puerto Gaitán, Meta, Colombia</v>
      </c>
      <c r="I1255" s="42" t="str">
        <f>Data!Q1253</f>
        <v>Vel Max 10 Km/h, Cliente, Vel Max 40 Km/h</v>
      </c>
      <c r="J1255" s="43">
        <f>Data!S1253</f>
        <v>46174.254066354166</v>
      </c>
      <c r="K1255" s="44">
        <f>Data!S1253</f>
        <v>46174.254066354166</v>
      </c>
      <c r="L1255" s="45">
        <f>Data!T1253</f>
        <v>2.5656250000000001E-4</v>
      </c>
      <c r="M1255" s="46">
        <f>Data!U1253</f>
        <v>5.8944858610630035E-2</v>
      </c>
      <c r="N1255" s="46" t="str">
        <f>CONCATENATE(Data!W1253," (",Data!V1253,")")</f>
        <v>Exceso Velocidad 10 Km/h (Velocidad máxima: 11 kmh)</v>
      </c>
      <c r="O1255" s="42" t="str">
        <f>IF(Data!V1253&lt;&gt;"",N1255,Data!W1253)</f>
        <v>Exceso Velocidad 10 Km/h (Velocidad máxima: 11 kmh)</v>
      </c>
      <c r="P1255" s="47" t="str">
        <f>Data!X1253</f>
        <v>Válido</v>
      </c>
    </row>
    <row r="1256" spans="1:16">
      <c r="A1256" s="41" t="str">
        <f>Data!A1254</f>
        <v>QLT513</v>
      </c>
      <c r="B1256" s="41" t="str">
        <f>Data!D1254</f>
        <v>Vehicle, Diesel, Frontera Energy Col 2679</v>
      </c>
      <c r="C1256" s="41" t="str">
        <f>Data!F1254</f>
        <v>Luis Felipe</v>
      </c>
      <c r="D1256" s="41" t="str">
        <f>Data!G1254</f>
        <v>Gomez Perdomo</v>
      </c>
      <c r="E1256" s="41" t="str">
        <f>Data!H1254</f>
        <v>luis.gomez@magnexgroup.com</v>
      </c>
      <c r="F1256" s="41" t="str">
        <f>Data!K1254</f>
        <v>Rubiales</v>
      </c>
      <c r="G1256" s="33" t="str">
        <f>Data!M1254</f>
        <v>Exceso Velocidad 10 Km/h</v>
      </c>
      <c r="H1256" s="41" t="str">
        <f>Data!P1254</f>
        <v>CAMPAMENTO QUIFA, ECOPETROL RUBIALES- Quifa - CAÑO SUR, Campamento Quifa - CMA: Ent. CAMPAMENTO, Puerto Gaitán, Meta, Colombia</v>
      </c>
      <c r="I1256" s="42" t="str">
        <f>Data!Q1254</f>
        <v>Vel Max 10 Km/h, Cliente, Vel Max 40 Km/h</v>
      </c>
      <c r="J1256" s="43">
        <f>Data!S1254</f>
        <v>46174.25485532418</v>
      </c>
      <c r="K1256" s="44">
        <f>Data!S1254</f>
        <v>46174.25485532418</v>
      </c>
      <c r="L1256" s="45">
        <f>Data!T1254</f>
        <v>4.7453703703703701E-5</v>
      </c>
      <c r="M1256" s="46">
        <f>Data!U1254</f>
        <v>9.2681925743818283E-3</v>
      </c>
      <c r="N1256" s="46" t="str">
        <f>CONCATENATE(Data!W1254," (",Data!V1254,")")</f>
        <v>Exceso Velocidad 10 Km/h (Velocidad máxima: 11 kmh)</v>
      </c>
      <c r="O1256" s="42" t="str">
        <f>IF(Data!V1254&lt;&gt;"",N1256,Data!W1254)</f>
        <v>Exceso Velocidad 10 Km/h (Velocidad máxima: 11 kmh)</v>
      </c>
      <c r="P1256" s="47" t="str">
        <f>Data!X1254</f>
        <v>Válido</v>
      </c>
    </row>
    <row r="1257" spans="1:16">
      <c r="A1257" s="41" t="str">
        <f>Data!A1255</f>
        <v>QLT513</v>
      </c>
      <c r="B1257" s="41" t="str">
        <f>Data!D1255</f>
        <v>Vehicle, Diesel, Frontera Energy Col 2679</v>
      </c>
      <c r="C1257" s="41" t="str">
        <f>Data!F1255</f>
        <v>Luis Felipe</v>
      </c>
      <c r="D1257" s="41" t="str">
        <f>Data!G1255</f>
        <v>Gomez Perdomo</v>
      </c>
      <c r="E1257" s="41" t="str">
        <f>Data!H1255</f>
        <v>luis.gomez@magnexgroup.com</v>
      </c>
      <c r="F1257" s="41" t="str">
        <f>Data!K1255</f>
        <v>Rubiales</v>
      </c>
      <c r="G1257" s="33" t="str">
        <f>Data!M1255</f>
        <v>Tiempo en ralentí</v>
      </c>
      <c r="H1257" s="41" t="str">
        <f>Data!P1255</f>
        <v>CAMPAMENTO QUIFA, ECOPETROL RUBIALES- Quifa - CAÑO SUR, Puerto Gaitan - Rubiales, Puerto Gaitán, Meta, Colombia, Campamento Quifa - CMA: Ent. CAMPAMENTO, Puerto Gaitán, Meta, Colombia</v>
      </c>
      <c r="I1257" s="42" t="str">
        <f>Data!Q1255</f>
        <v>Vel Max 10 Km/h, Cliente, Vel Max 40 Km/h, Centro de servicios del proveedor</v>
      </c>
      <c r="J1257" s="43">
        <f>Data!S1255</f>
        <v>46174.272407407407</v>
      </c>
      <c r="K1257" s="44">
        <f>Data!S1255</f>
        <v>46174.272407407407</v>
      </c>
      <c r="L1257" s="45">
        <f>Data!T1255</f>
        <v>1.3761574074074074E-2</v>
      </c>
      <c r="M1257" s="46">
        <f>Data!U1255</f>
        <v>0</v>
      </c>
      <c r="N1257" s="46" t="str">
        <f>CONCATENATE(Data!W1255," (",Data!V1255,")")</f>
        <v>Tiempo en ralentí (Ignición: 1.00)</v>
      </c>
      <c r="O1257" s="42" t="str">
        <f>IF(Data!V1255&lt;&gt;"",N1257,Data!W1255)</f>
        <v>Tiempo en ralentí (Ignición: 1.00)</v>
      </c>
      <c r="P1257" s="47" t="str">
        <f>Data!X1255</f>
        <v>Válido</v>
      </c>
    </row>
    <row r="1258" spans="1:16">
      <c r="A1258" s="41" t="str">
        <f>Data!A1256</f>
        <v>QLT513</v>
      </c>
      <c r="B1258" s="41" t="str">
        <f>Data!D1256</f>
        <v>Vehicle, Diesel, Frontera Energy Col 2679</v>
      </c>
      <c r="C1258" s="41" t="str">
        <f>Data!F1256</f>
        <v>Luis Felipe</v>
      </c>
      <c r="D1258" s="41" t="str">
        <f>Data!G1256</f>
        <v>Gomez Perdomo</v>
      </c>
      <c r="E1258" s="41" t="str">
        <f>Data!H1256</f>
        <v>luis.gomez@magnexgroup.com</v>
      </c>
      <c r="F1258" s="41" t="str">
        <f>Data!K1256</f>
        <v>Rubiales</v>
      </c>
      <c r="G1258" s="33" t="str">
        <f>Data!M1256</f>
        <v>Exceso Velocidad 10 Km/h</v>
      </c>
      <c r="H1258" s="41" t="str">
        <f>Data!P1256</f>
        <v>CAMPAMENTO QUIFA, ECOPETROL RUBIALES- Quifa - CAÑO SUR, Puerto Gaitan - Rubiales, Puerto Gaitán, Meta, Colombia, Campamento Quifa - CMA: Ent. CAMPAMENTO, Puerto Gaitán, Meta, Colombia</v>
      </c>
      <c r="I1258" s="42" t="str">
        <f>Data!Q1256</f>
        <v>Vel Max 10 Km/h, Cliente, Vel Max 40 Km/h, Centro de servicios del proveedor</v>
      </c>
      <c r="J1258" s="43">
        <f>Data!S1256</f>
        <v>46174.287125000003</v>
      </c>
      <c r="K1258" s="44">
        <f>Data!S1256</f>
        <v>46174.287125000003</v>
      </c>
      <c r="L1258" s="45">
        <f>Data!T1256</f>
        <v>6.2500000000000001E-5</v>
      </c>
      <c r="M1258" s="46">
        <f>Data!U1256</f>
        <v>1.5454188920557499E-2</v>
      </c>
      <c r="N1258" s="46" t="str">
        <f>CONCATENATE(Data!W1256," (",Data!V1256,")")</f>
        <v>Exceso Velocidad 10 Km/h (Velocidad máxima: 11 kmh)</v>
      </c>
      <c r="O1258" s="42" t="str">
        <f>IF(Data!V1256&lt;&gt;"",N1258,Data!W1256)</f>
        <v>Exceso Velocidad 10 Km/h (Velocidad máxima: 11 kmh)</v>
      </c>
      <c r="P1258" s="47" t="str">
        <f>Data!X1256</f>
        <v>Válido</v>
      </c>
    </row>
    <row r="1259" spans="1:16">
      <c r="A1259" s="41" t="str">
        <f>Data!A1257</f>
        <v>QLT513</v>
      </c>
      <c r="B1259" s="41" t="str">
        <f>Data!D1257</f>
        <v>Vehicle, Diesel, Frontera Energy Col 2679</v>
      </c>
      <c r="C1259" s="41" t="str">
        <f>Data!F1257</f>
        <v>Luis Felipe</v>
      </c>
      <c r="D1259" s="41" t="str">
        <f>Data!G1257</f>
        <v>Gomez Perdomo</v>
      </c>
      <c r="E1259" s="41" t="str">
        <f>Data!H1257</f>
        <v>luis.gomez@magnexgroup.com</v>
      </c>
      <c r="F1259" s="41" t="str">
        <f>Data!K1257</f>
        <v>Rubiales</v>
      </c>
      <c r="G1259" s="33" t="str">
        <f>Data!M1257</f>
        <v>Exceso Velocidad 10 Km/h</v>
      </c>
      <c r="H1259" s="41" t="str">
        <f>Data!P1257</f>
        <v>CAMPAMENTO QUIFA, ECOPETROL RUBIALES- Quifa - CAÑO SUR, Puerto Gaitan - Rubiales, Puerto Gaitán, Meta, Colombia, Puerto Triunfo - Estacion Policia: Puerto Gaitan - Rubiales, Puerto Gaitán, Meta, Colombia</v>
      </c>
      <c r="I1259" s="42" t="str">
        <f>Data!Q1257</f>
        <v>Vel Max 10 Km/h, Cliente, Vel Max 40 Km/h, Centro de servicios del proveedor, Vel Max 30 Km/h</v>
      </c>
      <c r="J1259" s="43">
        <f>Data!S1257</f>
        <v>46174.287268518521</v>
      </c>
      <c r="K1259" s="44">
        <f>Data!S1257</f>
        <v>46174.287268518521</v>
      </c>
      <c r="L1259" s="45">
        <f>Data!T1257</f>
        <v>1.7361111111111112E-4</v>
      </c>
      <c r="M1259" s="46">
        <f>Data!U1257</f>
        <v>5.6862637400627136E-2</v>
      </c>
      <c r="N1259" s="46" t="str">
        <f>CONCATENATE(Data!W1257," (",Data!V1257,")")</f>
        <v>Exceso Velocidad 10 Km/h (Velocidad máxima: 16 kmh)</v>
      </c>
      <c r="O1259" s="42" t="str">
        <f>IF(Data!V1257&lt;&gt;"",N1259,Data!W1257)</f>
        <v>Exceso Velocidad 10 Km/h (Velocidad máxima: 16 kmh)</v>
      </c>
      <c r="P1259" s="47" t="str">
        <f>Data!X1257</f>
        <v>Válido</v>
      </c>
    </row>
    <row r="1260" spans="1:16">
      <c r="A1260" s="41" t="str">
        <f>Data!A1258</f>
        <v>QLT513</v>
      </c>
      <c r="B1260" s="41" t="str">
        <f>Data!D1258</f>
        <v>Vehicle, Diesel, Frontera Energy Col 2679</v>
      </c>
      <c r="C1260" s="41" t="str">
        <f>Data!F1258</f>
        <v>Luis Felipe</v>
      </c>
      <c r="D1260" s="41" t="str">
        <f>Data!G1258</f>
        <v>Gomez Perdomo</v>
      </c>
      <c r="E1260" s="41" t="str">
        <f>Data!H1258</f>
        <v>luis.gomez@magnexgroup.com</v>
      </c>
      <c r="F1260" s="41" t="str">
        <f>Data!K1258</f>
        <v>Rubiales</v>
      </c>
      <c r="G1260" s="33" t="str">
        <f>Data!M1258</f>
        <v>Exceso Velocidad 10 Km/h</v>
      </c>
      <c r="H1260" s="41" t="str">
        <f>Data!P1258</f>
        <v>CAMPAMENTO QUIFA, ECOPETROL RUBIALES- Quifa - CAÑO SUR, Puerto Triunfo - Estacion Policia: Puerto Gaitan - Rubiales, Puerto Gaitán, Meta, Colombia</v>
      </c>
      <c r="I1260" s="42" t="str">
        <f>Data!Q1258</f>
        <v>Vel Max 10 Km/h, Cliente, Vel Max 40 Km/h, Vel Max 30 Km/h</v>
      </c>
      <c r="J1260" s="43">
        <f>Data!S1258</f>
        <v>46174.287442129629</v>
      </c>
      <c r="K1260" s="44">
        <f>Data!S1258</f>
        <v>46174.287442129629</v>
      </c>
      <c r="L1260" s="45">
        <f>Data!T1258</f>
        <v>1.0644675925925925E-4</v>
      </c>
      <c r="M1260" s="46">
        <f>Data!U1258</f>
        <v>4.2648885399103165E-2</v>
      </c>
      <c r="N1260" s="46" t="str">
        <f>CONCATENATE(Data!W1258," (",Data!V1258,")")</f>
        <v>Exceso Velocidad 10 Km/h (Velocidad máxima: 18 kmh)</v>
      </c>
      <c r="O1260" s="42" t="str">
        <f>IF(Data!V1258&lt;&gt;"",N1260,Data!W1258)</f>
        <v>Exceso Velocidad 10 Km/h (Velocidad máxima: 18 kmh)</v>
      </c>
      <c r="P1260" s="47" t="str">
        <f>Data!X1258</f>
        <v>Válido</v>
      </c>
    </row>
    <row r="1261" spans="1:16">
      <c r="A1261" s="41" t="str">
        <f>Data!A1259</f>
        <v>QLT513</v>
      </c>
      <c r="B1261" s="41" t="str">
        <f>Data!D1259</f>
        <v>Vehicle, Diesel, Frontera Energy Col 2679</v>
      </c>
      <c r="C1261" s="41" t="str">
        <f>Data!F1259</f>
        <v>Luis Felipe</v>
      </c>
      <c r="D1261" s="41" t="str">
        <f>Data!G1259</f>
        <v>Gomez Perdomo</v>
      </c>
      <c r="E1261" s="41" t="str">
        <f>Data!H1259</f>
        <v>luis.gomez@magnexgroup.com</v>
      </c>
      <c r="F1261" s="41" t="str">
        <f>Data!K1259</f>
        <v>Rubiales</v>
      </c>
      <c r="G1261" s="33" t="str">
        <f>Data!M1259</f>
        <v>Exceso Velocidad 10 Km/h</v>
      </c>
      <c r="H1261" s="41" t="str">
        <f>Data!P1259</f>
        <v>ECOPETROL RUBIALES- Quifa - CAÑO SUR, BATERIA 4: Rb 4 324 126 129 195 14 325 316 143 217 1 26 523 256 28, Puerto Gaitán, Meta, Colombia</v>
      </c>
      <c r="I1261" s="42" t="str">
        <f>Data!Q1259</f>
        <v>Cliente, Vel Max 40 Km/h, Vel Max 10 Km/h</v>
      </c>
      <c r="J1261" s="43">
        <f>Data!S1259</f>
        <v>46174.317546296297</v>
      </c>
      <c r="K1261" s="44">
        <f>Data!S1259</f>
        <v>46174.317546296297</v>
      </c>
      <c r="L1261" s="45">
        <f>Data!T1259</f>
        <v>3.4722222222222224E-4</v>
      </c>
      <c r="M1261" s="46">
        <f>Data!U1259</f>
        <v>8.363698422908783E-2</v>
      </c>
      <c r="N1261" s="46" t="str">
        <f>CONCATENATE(Data!W1259," (",Data!V1259,")")</f>
        <v>Exceso Velocidad 10 Km/h (Velocidad máxima: 11 kmh)</v>
      </c>
      <c r="O1261" s="42" t="str">
        <f>IF(Data!V1259&lt;&gt;"",N1261,Data!W1259)</f>
        <v>Exceso Velocidad 10 Km/h (Velocidad máxima: 11 kmh)</v>
      </c>
      <c r="P1261" s="47" t="str">
        <f>Data!X1259</f>
        <v>Válido</v>
      </c>
    </row>
    <row r="1262" spans="1:16">
      <c r="A1262" s="41" t="str">
        <f>Data!A1260</f>
        <v>QLT513</v>
      </c>
      <c r="B1262" s="41" t="str">
        <f>Data!D1260</f>
        <v>Vehicle, Diesel, Frontera Energy Col 2679</v>
      </c>
      <c r="C1262" s="41" t="str">
        <f>Data!F1260</f>
        <v>Luis Felipe</v>
      </c>
      <c r="D1262" s="41" t="str">
        <f>Data!G1260</f>
        <v>Gomez Perdomo</v>
      </c>
      <c r="E1262" s="41" t="str">
        <f>Data!H1260</f>
        <v>luis.gomez@magnexgroup.com</v>
      </c>
      <c r="F1262" s="41" t="str">
        <f>Data!K1260</f>
        <v>Rubiales</v>
      </c>
      <c r="G1262" s="33" t="str">
        <f>Data!M1260</f>
        <v>Exceso Velocidad 10 Km/h</v>
      </c>
      <c r="H1262" s="41" t="str">
        <f>Data!P1260</f>
        <v>ECOPETROL RUBIALES- Quifa - CAÑO SUR, BATERIA 4: Rb 4, Puerto Gaitán, Meta, Colombia</v>
      </c>
      <c r="I1262" s="42" t="str">
        <f>Data!Q1260</f>
        <v>Cliente, Vel Max 40 Km/h, Vel Max 10 Km/h</v>
      </c>
      <c r="J1262" s="43">
        <f>Data!S1260</f>
        <v>46174.375381944446</v>
      </c>
      <c r="K1262" s="44">
        <f>Data!S1260</f>
        <v>46174.375381944446</v>
      </c>
      <c r="L1262" s="45">
        <f>Data!T1260</f>
        <v>5.6712962962962967E-4</v>
      </c>
      <c r="M1262" s="46">
        <f>Data!U1260</f>
        <v>0.14740543067455292</v>
      </c>
      <c r="N1262" s="46" t="str">
        <f>CONCATENATE(Data!W1260," (",Data!V1260,")")</f>
        <v>Exceso Velocidad 10 Km/h (Velocidad máxima: 14 kmh)</v>
      </c>
      <c r="O1262" s="42" t="str">
        <f>IF(Data!V1260&lt;&gt;"",N1262,Data!W1260)</f>
        <v>Exceso Velocidad 10 Km/h (Velocidad máxima: 14 kmh)</v>
      </c>
      <c r="P1262" s="47" t="str">
        <f>Data!X1260</f>
        <v>Válido</v>
      </c>
    </row>
    <row r="1263" spans="1:16">
      <c r="A1263" s="41" t="str">
        <f>Data!A1261</f>
        <v>QLT513</v>
      </c>
      <c r="B1263" s="41" t="str">
        <f>Data!D1261</f>
        <v>Vehicle, Diesel, Frontera Energy Col 2679</v>
      </c>
      <c r="C1263" s="41" t="str">
        <f>Data!F1261</f>
        <v>Luis Felipe</v>
      </c>
      <c r="D1263" s="41" t="str">
        <f>Data!G1261</f>
        <v>Gomez Perdomo</v>
      </c>
      <c r="E1263" s="41" t="str">
        <f>Data!H1261</f>
        <v>luis.gomez@magnexgroup.com</v>
      </c>
      <c r="F1263" s="41" t="str">
        <f>Data!K1261</f>
        <v>Rubiales</v>
      </c>
      <c r="G1263" s="33" t="str">
        <f>Data!M1261</f>
        <v>Exceso Velocidad 10 Km/h</v>
      </c>
      <c r="H1263" s="41" t="str">
        <f>Data!P1261</f>
        <v>ECOPETROL RUBIALES- Quifa - CAÑO SUR, BATERIA 4: Rb 4, Puerto Gaitán, Meta, Colombia</v>
      </c>
      <c r="I1263" s="42" t="str">
        <f>Data!Q1261</f>
        <v>Cliente, Vel Max 40 Km/h, Vel Max 10 Km/h</v>
      </c>
      <c r="J1263" s="43">
        <f>Data!S1261</f>
        <v>46174.376626157507</v>
      </c>
      <c r="K1263" s="44">
        <f>Data!S1261</f>
        <v>46174.376626157507</v>
      </c>
      <c r="L1263" s="45">
        <f>Data!T1261</f>
        <v>1.2152787777777777E-4</v>
      </c>
      <c r="M1263" s="46">
        <f>Data!U1261</f>
        <v>2.6797110214829445E-2</v>
      </c>
      <c r="N1263" s="46" t="str">
        <f>CONCATENATE(Data!W1261," (",Data!V1261,")")</f>
        <v>Exceso Velocidad 10 Km/h (Velocidad máxima: 11 kmh)</v>
      </c>
      <c r="O1263" s="42" t="str">
        <f>IF(Data!V1261&lt;&gt;"",N1263,Data!W1261)</f>
        <v>Exceso Velocidad 10 Km/h (Velocidad máxima: 11 kmh)</v>
      </c>
      <c r="P1263" s="47" t="str">
        <f>Data!X1261</f>
        <v>Válido</v>
      </c>
    </row>
    <row r="1264" spans="1:16">
      <c r="A1264" s="41" t="str">
        <f>Data!A1262</f>
        <v>QLT513</v>
      </c>
      <c r="B1264" s="41" t="str">
        <f>Data!D1262</f>
        <v>Vehicle, Diesel, Frontera Energy Col 2679</v>
      </c>
      <c r="C1264" s="41" t="str">
        <f>Data!F1262</f>
        <v>Luis Felipe</v>
      </c>
      <c r="D1264" s="41" t="str">
        <f>Data!G1262</f>
        <v>Gomez Perdomo</v>
      </c>
      <c r="E1264" s="41" t="str">
        <f>Data!H1262</f>
        <v>luis.gomez@magnexgroup.com</v>
      </c>
      <c r="F1264" s="41" t="str">
        <f>Data!K1262</f>
        <v>Rubiales</v>
      </c>
      <c r="G1264" s="33" t="str">
        <f>Data!M1262</f>
        <v>Exceso Velocidad 10 Km/h</v>
      </c>
      <c r="H1264" s="41" t="str">
        <f>Data!P1262</f>
        <v>ECOPETROL RUBIALES- Quifa - CAÑO SUR, BATERIA 4: Vía Sin Nombre, Puerto Gaitán, Meta, Colombia</v>
      </c>
      <c r="I1264" s="42" t="str">
        <f>Data!Q1262</f>
        <v>Cliente, Vel Max 40 Km/h, Vel Max 10 Km/h</v>
      </c>
      <c r="J1264" s="43">
        <f>Data!S1262</f>
        <v>46174.393361620372</v>
      </c>
      <c r="K1264" s="44">
        <f>Data!S1262</f>
        <v>46174.393361620372</v>
      </c>
      <c r="L1264" s="45">
        <f>Data!T1262</f>
        <v>9.5173611111111115E-5</v>
      </c>
      <c r="M1264" s="46">
        <f>Data!U1262</f>
        <v>2.1919699385762215E-2</v>
      </c>
      <c r="N1264" s="46" t="str">
        <f>CONCATENATE(Data!W1262," (",Data!V1262,")")</f>
        <v>Exceso Velocidad 10 Km/h (Velocidad máxima: 12 kmh)</v>
      </c>
      <c r="O1264" s="42" t="str">
        <f>IF(Data!V1262&lt;&gt;"",N1264,Data!W1262)</f>
        <v>Exceso Velocidad 10 Km/h (Velocidad máxima: 12 kmh)</v>
      </c>
      <c r="P1264" s="47" t="str">
        <f>Data!X1262</f>
        <v>Válido</v>
      </c>
    </row>
    <row r="1265" spans="1:16">
      <c r="A1265" s="41" t="str">
        <f>Data!A1263</f>
        <v>QLT513</v>
      </c>
      <c r="B1265" s="41" t="str">
        <f>Data!D1263</f>
        <v>Vehicle, Diesel, Frontera Energy Col 2679</v>
      </c>
      <c r="C1265" s="41" t="str">
        <f>Data!F1263</f>
        <v>Luis Felipe</v>
      </c>
      <c r="D1265" s="41" t="str">
        <f>Data!G1263</f>
        <v>Gomez Perdomo</v>
      </c>
      <c r="E1265" s="41" t="str">
        <f>Data!H1263</f>
        <v>luis.gomez@magnexgroup.com</v>
      </c>
      <c r="F1265" s="41" t="str">
        <f>Data!K1263</f>
        <v>Rubiales</v>
      </c>
      <c r="G1265" s="33" t="str">
        <f>Data!M1263</f>
        <v>Exceso Velocidad 10 Km/h</v>
      </c>
      <c r="H1265" s="41" t="str">
        <f>Data!P1263</f>
        <v>ECOPETROL RUBIALES- Quifa - CAÑO SUR, BATERIA 4: Rb 4, Puerto Gaitán, Meta, Colombia</v>
      </c>
      <c r="I1265" s="42" t="str">
        <f>Data!Q1263</f>
        <v>Cliente, Vel Max 40 Km/h, Vel Max 10 Km/h</v>
      </c>
      <c r="J1265" s="43">
        <f>Data!S1263</f>
        <v>46174.39371527778</v>
      </c>
      <c r="K1265" s="44">
        <f>Data!S1263</f>
        <v>46174.39371527778</v>
      </c>
      <c r="L1265" s="45">
        <f>Data!T1263</f>
        <v>1.6203703703703703E-4</v>
      </c>
      <c r="M1265" s="46">
        <f>Data!U1263</f>
        <v>4.110327735543251E-2</v>
      </c>
      <c r="N1265" s="46" t="str">
        <f>CONCATENATE(Data!W1263," (",Data!V1263,")")</f>
        <v>Exceso Velocidad 10 Km/h (Velocidad máxima: 11 kmh)</v>
      </c>
      <c r="O1265" s="42" t="str">
        <f>IF(Data!V1263&lt;&gt;"",N1265,Data!W1263)</f>
        <v>Exceso Velocidad 10 Km/h (Velocidad máxima: 11 kmh)</v>
      </c>
      <c r="P1265" s="47" t="str">
        <f>Data!X1263</f>
        <v>Válido</v>
      </c>
    </row>
    <row r="1266" spans="1:16">
      <c r="A1266" s="41" t="str">
        <f>Data!A1264</f>
        <v>QLT513</v>
      </c>
      <c r="B1266" s="41" t="str">
        <f>Data!D1264</f>
        <v>Vehicle, Diesel, Frontera Energy Col 2679</v>
      </c>
      <c r="C1266" s="41" t="str">
        <f>Data!F1264</f>
        <v>Luis Felipe</v>
      </c>
      <c r="D1266" s="41" t="str">
        <f>Data!G1264</f>
        <v>Gomez Perdomo</v>
      </c>
      <c r="E1266" s="41" t="str">
        <f>Data!H1264</f>
        <v>luis.gomez@magnexgroup.com</v>
      </c>
      <c r="F1266" s="41" t="str">
        <f>Data!K1264</f>
        <v>Rubiales</v>
      </c>
      <c r="G1266" s="33" t="str">
        <f>Data!M1264</f>
        <v>Exceso Velocidad 10 Km/h</v>
      </c>
      <c r="H1266" s="41" t="str">
        <f>Data!P1264</f>
        <v>ECOPETROL RUBIALES- Quifa - CAÑO SUR, BATERIA 4: Rb 4 324 126 129 195 14 325 316 143 217 1 26 523 256 28, Meta, 502057, Colombia</v>
      </c>
      <c r="I1266" s="42" t="str">
        <f>Data!Q1264</f>
        <v>Cliente, Vel Max 40 Km/h, Vel Max 10 Km/h</v>
      </c>
      <c r="J1266" s="43">
        <f>Data!S1264</f>
        <v>46174.394409722219</v>
      </c>
      <c r="K1266" s="44">
        <f>Data!S1264</f>
        <v>46174.394409722219</v>
      </c>
      <c r="L1266" s="45">
        <f>Data!T1264</f>
        <v>1.3425925925925926E-4</v>
      </c>
      <c r="M1266" s="46">
        <f>Data!U1264</f>
        <v>3.0592670664191246E-2</v>
      </c>
      <c r="N1266" s="46" t="str">
        <f>CONCATENATE(Data!W1264," (",Data!V1264,")")</f>
        <v>Exceso Velocidad 10 Km/h (Velocidad máxima: 11 kmh)</v>
      </c>
      <c r="O1266" s="42" t="str">
        <f>IF(Data!V1264&lt;&gt;"",N1266,Data!W1264)</f>
        <v>Exceso Velocidad 10 Km/h (Velocidad máxima: 11 kmh)</v>
      </c>
      <c r="P1266" s="47" t="str">
        <f>Data!X1264</f>
        <v>Válido</v>
      </c>
    </row>
    <row r="1267" spans="1:16">
      <c r="A1267" s="41" t="str">
        <f>Data!A1265</f>
        <v>QLT513</v>
      </c>
      <c r="B1267" s="41" t="str">
        <f>Data!D1265</f>
        <v>Vehicle, Diesel, Frontera Energy Col 2679</v>
      </c>
      <c r="C1267" s="41" t="str">
        <f>Data!F1265</f>
        <v>Luis Felipe</v>
      </c>
      <c r="D1267" s="41" t="str">
        <f>Data!G1265</f>
        <v>Gomez Perdomo</v>
      </c>
      <c r="E1267" s="41" t="str">
        <f>Data!H1265</f>
        <v>luis.gomez@magnexgroup.com</v>
      </c>
      <c r="F1267" s="41" t="str">
        <f>Data!K1265</f>
        <v>Rubiales</v>
      </c>
      <c r="G1267" s="33" t="str">
        <f>Data!M1265</f>
        <v>Exceso Velocidad 10 Km/h</v>
      </c>
      <c r="H1267" s="41" t="str">
        <f>Data!P1265</f>
        <v>ECOPETROL RUBIALES- Quifa - CAÑO SUR, BATERIA 4: Rb 4 324 126 129 195 14 325 316 143 217 1 26 523 256 28, Meta, 502057, Colombia</v>
      </c>
      <c r="I1267" s="42" t="str">
        <f>Data!Q1265</f>
        <v>Cliente, Vel Max 40 Km/h, Vel Max 10 Km/h</v>
      </c>
      <c r="J1267" s="43">
        <f>Data!S1265</f>
        <v>46174.633545520832</v>
      </c>
      <c r="K1267" s="44">
        <f>Data!S1265</f>
        <v>46174.633545520832</v>
      </c>
      <c r="L1267" s="45">
        <f>Data!T1265</f>
        <v>9.1049768518518519E-4</v>
      </c>
      <c r="M1267" s="46">
        <f>Data!U1265</f>
        <v>0.2611420750617981</v>
      </c>
      <c r="N1267" s="46" t="str">
        <f>CONCATENATE(Data!W1265," (",Data!V1265,")")</f>
        <v>Exceso Velocidad 10 Km/h (Velocidad máxima: 16 kmh)</v>
      </c>
      <c r="O1267" s="42" t="str">
        <f>IF(Data!V1265&lt;&gt;"",N1267,Data!W1265)</f>
        <v>Exceso Velocidad 10 Km/h (Velocidad máxima: 16 kmh)</v>
      </c>
      <c r="P1267" s="47" t="str">
        <f>Data!X1265</f>
        <v>Válido</v>
      </c>
    </row>
    <row r="1268" spans="1:16">
      <c r="A1268" s="41" t="str">
        <f>Data!A1266</f>
        <v>QLT513</v>
      </c>
      <c r="B1268" s="41" t="str">
        <f>Data!D1266</f>
        <v>Vehicle, Diesel, Frontera Energy Col 2679</v>
      </c>
      <c r="C1268" s="41" t="str">
        <f>Data!F1266</f>
        <v>Luis Felipe</v>
      </c>
      <c r="D1268" s="41" t="str">
        <f>Data!G1266</f>
        <v>Gomez Perdomo</v>
      </c>
      <c r="E1268" s="41" t="str">
        <f>Data!H1266</f>
        <v>luis.gomez@magnexgroup.com</v>
      </c>
      <c r="F1268" s="41" t="str">
        <f>Data!K1266</f>
        <v>Rubiales</v>
      </c>
      <c r="G1268" s="33" t="str">
        <f>Data!M1266</f>
        <v>Exceso Velocidad 10 Km/h</v>
      </c>
      <c r="H1268" s="41" t="str">
        <f>Data!P1266</f>
        <v>ECOPETROL RUBIALES- Quifa - CAÑO SUR, BATERIA 4: Rb 4, Puerto Gaitán, Meta, Colombia</v>
      </c>
      <c r="I1268" s="42" t="str">
        <f>Data!Q1266</f>
        <v>Cliente, Vel Max 40 Km/h, Vel Max 10 Km/h</v>
      </c>
      <c r="J1268" s="43">
        <f>Data!S1266</f>
        <v>46174.634456018517</v>
      </c>
      <c r="K1268" s="44">
        <f>Data!S1266</f>
        <v>46174.634456018517</v>
      </c>
      <c r="L1268" s="45">
        <f>Data!T1266</f>
        <v>1.9675925925925926E-4</v>
      </c>
      <c r="M1268" s="46">
        <f>Data!U1266</f>
        <v>5.2732914686203003E-2</v>
      </c>
      <c r="N1268" s="46" t="str">
        <f>CONCATENATE(Data!W1266," (",Data!V1266,")")</f>
        <v>Exceso Velocidad 10 Km/h (Velocidad máxima: 13 kmh)</v>
      </c>
      <c r="O1268" s="42" t="str">
        <f>IF(Data!V1266&lt;&gt;"",N1268,Data!W1266)</f>
        <v>Exceso Velocidad 10 Km/h (Velocidad máxima: 13 kmh)</v>
      </c>
      <c r="P1268" s="47" t="str">
        <f>Data!X1266</f>
        <v>Válido</v>
      </c>
    </row>
    <row r="1269" spans="1:16">
      <c r="A1269" s="41" t="str">
        <f>Data!A1267</f>
        <v>QLT513</v>
      </c>
      <c r="B1269" s="41" t="str">
        <f>Data!D1267</f>
        <v>Vehicle, Diesel, Frontera Energy Col 2679</v>
      </c>
      <c r="C1269" s="41" t="str">
        <f>Data!F1267</f>
        <v>Luis Felipe</v>
      </c>
      <c r="D1269" s="41" t="str">
        <f>Data!G1267</f>
        <v>Gomez Perdomo</v>
      </c>
      <c r="E1269" s="41" t="str">
        <f>Data!H1267</f>
        <v>luis.gomez@magnexgroup.com</v>
      </c>
      <c r="F1269" s="41" t="str">
        <f>Data!K1267</f>
        <v>Rubiales</v>
      </c>
      <c r="G1269" s="33" t="str">
        <f>Data!M1267</f>
        <v>Exceso Velocidad 10 Km/h</v>
      </c>
      <c r="H1269" s="41" t="str">
        <f>Data!P1267</f>
        <v>ECOPETROL RUBIALES- Quifa - CAÑO SUR, BATERIA 4: Vía Sin Nombre, Puerto Gaitán, Meta, Colombia</v>
      </c>
      <c r="I1269" s="42" t="str">
        <f>Data!Q1267</f>
        <v>Cliente, Vel Max 40 Km/h, Vel Max 10 Km/h</v>
      </c>
      <c r="J1269" s="43">
        <f>Data!S1267</f>
        <v>46174.634652777779</v>
      </c>
      <c r="K1269" s="44">
        <f>Data!S1267</f>
        <v>46174.634652777779</v>
      </c>
      <c r="L1269" s="45">
        <f>Data!T1267</f>
        <v>6.8947916666666669E-4</v>
      </c>
      <c r="M1269" s="46">
        <f>Data!U1267</f>
        <v>0.18503116071224213</v>
      </c>
      <c r="N1269" s="46" t="str">
        <f>CONCATENATE(Data!W1267," (",Data!V1267,")")</f>
        <v>Exceso Velocidad 10 Km/h (Velocidad máxima: 13 kmh)</v>
      </c>
      <c r="O1269" s="42" t="str">
        <f>IF(Data!V1267&lt;&gt;"",N1269,Data!W1267)</f>
        <v>Exceso Velocidad 10 Km/h (Velocidad máxima: 13 kmh)</v>
      </c>
      <c r="P1269" s="47" t="str">
        <f>Data!X1267</f>
        <v>Válido</v>
      </c>
    </row>
    <row r="1270" spans="1:16">
      <c r="A1270" s="41" t="str">
        <f>Data!A1268</f>
        <v>QLT513</v>
      </c>
      <c r="B1270" s="41" t="str">
        <f>Data!D1268</f>
        <v>Vehicle, Diesel, Frontera Energy Col 2679</v>
      </c>
      <c r="C1270" s="41" t="str">
        <f>Data!F1268</f>
        <v>Luis Felipe</v>
      </c>
      <c r="D1270" s="41" t="str">
        <f>Data!G1268</f>
        <v>Gomez Perdomo</v>
      </c>
      <c r="E1270" s="41" t="str">
        <f>Data!H1268</f>
        <v>luis.gomez@magnexgroup.com</v>
      </c>
      <c r="F1270" s="41" t="str">
        <f>Data!K1268</f>
        <v>Rubiales</v>
      </c>
      <c r="G1270" s="33" t="str">
        <f>Data!M1268</f>
        <v>Exceso Velocidad 10 Km/h</v>
      </c>
      <c r="H1270" s="41" t="str">
        <f>Data!P1268</f>
        <v>ECOPETROL RUBIALES- Quifa - CAÑO SUR, BATERIA 4: Vía Sin Nombre, Puerto Gaitán, Meta, Colombia</v>
      </c>
      <c r="I1270" s="42" t="str">
        <f>Data!Q1268</f>
        <v>Cliente, Vel Max 40 Km/h, Vel Max 10 Km/h</v>
      </c>
      <c r="J1270" s="43">
        <f>Data!S1268</f>
        <v>46174.64576388889</v>
      </c>
      <c r="K1270" s="44">
        <f>Data!S1268</f>
        <v>46174.64576388889</v>
      </c>
      <c r="L1270" s="45">
        <f>Data!T1268</f>
        <v>1.0300925925925926E-3</v>
      </c>
      <c r="M1270" s="46">
        <f>Data!U1268</f>
        <v>0.29461216926574707</v>
      </c>
      <c r="N1270" s="46" t="str">
        <f>CONCATENATE(Data!W1268," (",Data!V1268,")")</f>
        <v>Exceso Velocidad 10 Km/h (Velocidad máxima: 12 kmh)</v>
      </c>
      <c r="O1270" s="42" t="str">
        <f>IF(Data!V1268&lt;&gt;"",N1270,Data!W1268)</f>
        <v>Exceso Velocidad 10 Km/h (Velocidad máxima: 12 kmh)</v>
      </c>
      <c r="P1270" s="47" t="str">
        <f>Data!X1268</f>
        <v>Válido</v>
      </c>
    </row>
    <row r="1271" spans="1:16">
      <c r="A1271" s="41" t="str">
        <f>Data!A1269</f>
        <v>QLT513</v>
      </c>
      <c r="B1271" s="41" t="str">
        <f>Data!D1269</f>
        <v>Vehicle, Diesel, Frontera Energy Col 2679</v>
      </c>
      <c r="C1271" s="41" t="str">
        <f>Data!F1269</f>
        <v>Luis Felipe</v>
      </c>
      <c r="D1271" s="41" t="str">
        <f>Data!G1269</f>
        <v>Gomez Perdomo</v>
      </c>
      <c r="E1271" s="41" t="str">
        <f>Data!H1269</f>
        <v>luis.gomez@magnexgroup.com</v>
      </c>
      <c r="F1271" s="41" t="str">
        <f>Data!K1269</f>
        <v>Rubiales</v>
      </c>
      <c r="G1271" s="33" t="str">
        <f>Data!M1269</f>
        <v>Exceso Velocidad 10 Km/h</v>
      </c>
      <c r="H1271" s="41" t="str">
        <f>Data!P1269</f>
        <v>ECOPETROL RUBIALES- Quifa - CAÑO SUR, BATERIA 4: Rb 4 324 126 129 195 14 325 316 143 217 1 26 523 256 28, Puerto Gaitán, Meta, Colombia</v>
      </c>
      <c r="I1271" s="42" t="str">
        <f>Data!Q1269</f>
        <v>Cliente, Vel Max 40 Km/h, Vel Max 10 Km/h</v>
      </c>
      <c r="J1271" s="43">
        <f>Data!S1269</f>
        <v>46174.64707175926</v>
      </c>
      <c r="K1271" s="44">
        <f>Data!S1269</f>
        <v>46174.64707175926</v>
      </c>
      <c r="L1271" s="45">
        <f>Data!T1269</f>
        <v>6.2500000000000001E-4</v>
      </c>
      <c r="M1271" s="46">
        <f>Data!U1269</f>
        <v>0.15654397010803223</v>
      </c>
      <c r="N1271" s="46" t="str">
        <f>CONCATENATE(Data!W1269," (",Data!V1269,")")</f>
        <v>Exceso Velocidad 10 Km/h (Velocidad máxima: 12 kmh)</v>
      </c>
      <c r="O1271" s="42" t="str">
        <f>IF(Data!V1269&lt;&gt;"",N1271,Data!W1269)</f>
        <v>Exceso Velocidad 10 Km/h (Velocidad máxima: 12 kmh)</v>
      </c>
      <c r="P1271" s="47" t="str">
        <f>Data!X1269</f>
        <v>Válido</v>
      </c>
    </row>
    <row r="1272" spans="1:16">
      <c r="A1272" s="41" t="str">
        <f>Data!A1270</f>
        <v>QLT513</v>
      </c>
      <c r="B1272" s="41" t="str">
        <f>Data!D1270</f>
        <v>Vehicle, Diesel, Frontera Energy Col 2679</v>
      </c>
      <c r="C1272" s="41" t="str">
        <f>Data!F1270</f>
        <v>Luis Felipe</v>
      </c>
      <c r="D1272" s="41" t="str">
        <f>Data!G1270</f>
        <v>Gomez Perdomo</v>
      </c>
      <c r="E1272" s="41" t="str">
        <f>Data!H1270</f>
        <v>luis.gomez@magnexgroup.com</v>
      </c>
      <c r="F1272" s="41" t="str">
        <f>Data!K1270</f>
        <v>Rubiales</v>
      </c>
      <c r="G1272" s="33" t="str">
        <f>Data!M1270</f>
        <v>Exceso Velocidad 10 Km/h</v>
      </c>
      <c r="H1272" s="41" t="str">
        <f>Data!P1270</f>
        <v>ECOPETROL RUBIALES- Quifa - CAÑO SUR, BATERIA 4: Rb 4 324 126 129 195 14 325 316 143 217 1 26 523 256 28, Meta, 502057, Colombia</v>
      </c>
      <c r="I1272" s="42" t="str">
        <f>Data!Q1270</f>
        <v>Cliente, Vel Max 40 Km/h, Vel Max 10 Km/h</v>
      </c>
      <c r="J1272" s="43">
        <f>Data!S1270</f>
        <v>46174.647932094907</v>
      </c>
      <c r="K1272" s="44">
        <f>Data!S1270</f>
        <v>46174.647932094907</v>
      </c>
      <c r="L1272" s="45">
        <f>Data!T1270</f>
        <v>1.1419791666666666E-3</v>
      </c>
      <c r="M1272" s="46">
        <f>Data!U1270</f>
        <v>0.31294152140617371</v>
      </c>
      <c r="N1272" s="46" t="str">
        <f>CONCATENATE(Data!W1270," (",Data!V1270,")")</f>
        <v>Exceso Velocidad 10 Km/h (Velocidad máxima: 13 kmh)</v>
      </c>
      <c r="O1272" s="42" t="str">
        <f>IF(Data!V1270&lt;&gt;"",N1272,Data!W1270)</f>
        <v>Exceso Velocidad 10 Km/h (Velocidad máxima: 13 kmh)</v>
      </c>
      <c r="P1272" s="47" t="str">
        <f>Data!X1270</f>
        <v>Válido</v>
      </c>
    </row>
    <row r="1273" spans="1:16">
      <c r="A1273" s="41" t="str">
        <f>Data!A1271</f>
        <v>QLT513</v>
      </c>
      <c r="B1273" s="41" t="str">
        <f>Data!D1271</f>
        <v>Vehicle, Diesel, Frontera Energy Col 2679</v>
      </c>
      <c r="C1273" s="41" t="str">
        <f>Data!F1271</f>
        <v>Luis Felipe</v>
      </c>
      <c r="D1273" s="41" t="str">
        <f>Data!G1271</f>
        <v>Gomez Perdomo</v>
      </c>
      <c r="E1273" s="41" t="str">
        <f>Data!H1271</f>
        <v>luis.gomez@magnexgroup.com</v>
      </c>
      <c r="F1273" s="41" t="str">
        <f>Data!K1271</f>
        <v>Rubiales</v>
      </c>
      <c r="G1273" s="33" t="str">
        <f>Data!M1271</f>
        <v>Exceso Velocidad 10 Km/h</v>
      </c>
      <c r="H1273" s="41" t="str">
        <f>Data!P1271</f>
        <v>ECOPETROL RUBIALES- Quifa - CAÑO SUR, BATERIA 4: Rb 4 324 126 129 195 14 325 316 143 217 1 26 523 256 28, Meta, 502057, Colombia</v>
      </c>
      <c r="I1273" s="42" t="str">
        <f>Data!Q1271</f>
        <v>Cliente, Vel Max 40 Km/h, Vel Max 10 Km/h</v>
      </c>
      <c r="J1273" s="43">
        <f>Data!S1271</f>
        <v>46174.649930555555</v>
      </c>
      <c r="K1273" s="44">
        <f>Data!S1271</f>
        <v>46174.649930555555</v>
      </c>
      <c r="L1273" s="45">
        <f>Data!T1271</f>
        <v>2.6234953703703701E-4</v>
      </c>
      <c r="M1273" s="46">
        <f>Data!U1271</f>
        <v>6.9224238395690918E-2</v>
      </c>
      <c r="N1273" s="46" t="str">
        <f>CONCATENATE(Data!W1271," (",Data!V1271,")")</f>
        <v>Exceso Velocidad 10 Km/h (Velocidad máxima: 12 kmh)</v>
      </c>
      <c r="O1273" s="42" t="str">
        <f>IF(Data!V1271&lt;&gt;"",N1273,Data!W1271)</f>
        <v>Exceso Velocidad 10 Km/h (Velocidad máxima: 12 kmh)</v>
      </c>
      <c r="P1273" s="47" t="str">
        <f>Data!X1271</f>
        <v>Válido</v>
      </c>
    </row>
    <row r="1274" spans="1:16">
      <c r="A1274" s="41" t="str">
        <f>Data!A1272</f>
        <v>QLT513</v>
      </c>
      <c r="B1274" s="41" t="str">
        <f>Data!D1272</f>
        <v>Vehicle, Diesel, Frontera Energy Col 2679</v>
      </c>
      <c r="C1274" s="41" t="str">
        <f>Data!F1272</f>
        <v>Luis Felipe</v>
      </c>
      <c r="D1274" s="41" t="str">
        <f>Data!G1272</f>
        <v>Gomez Perdomo</v>
      </c>
      <c r="E1274" s="41" t="str">
        <f>Data!H1272</f>
        <v>luis.gomez@magnexgroup.com</v>
      </c>
      <c r="F1274" s="41" t="str">
        <f>Data!K1272</f>
        <v>Rubiales</v>
      </c>
      <c r="G1274" s="33" t="str">
        <f>Data!M1272</f>
        <v>Tiempo en ralentí</v>
      </c>
      <c r="H1274" s="41" t="str">
        <f>Data!P1272</f>
        <v>ECOPETROL RUBIALES- Quifa - CAÑO SUR, BATERIA 4: Rb 4 324 126 129 195 14 325 316 143 217 1 26 523 256 28, Meta, 502057, Colombia</v>
      </c>
      <c r="I1274" s="42" t="str">
        <f>Data!Q1272</f>
        <v>Cliente, Vel Max 40 Km/h, Vel Max 10 Km/h</v>
      </c>
      <c r="J1274" s="43">
        <f>Data!S1272</f>
        <v>46174.650266203702</v>
      </c>
      <c r="K1274" s="44">
        <f>Data!S1272</f>
        <v>46174.650266203702</v>
      </c>
      <c r="L1274" s="45">
        <f>Data!T1272</f>
        <v>3.5069444444444445E-3</v>
      </c>
      <c r="M1274" s="46">
        <f>Data!U1272</f>
        <v>0</v>
      </c>
      <c r="N1274" s="46" t="str">
        <f>CONCATENATE(Data!W1272," (",Data!V1272,")")</f>
        <v>Tiempo en ralentí (Ignición: 1.00)</v>
      </c>
      <c r="O1274" s="42" t="str">
        <f>IF(Data!V1272&lt;&gt;"",N1274,Data!W1272)</f>
        <v>Tiempo en ralentí (Ignición: 1.00)</v>
      </c>
      <c r="P1274" s="47" t="str">
        <f>Data!X1272</f>
        <v>Válido</v>
      </c>
    </row>
    <row r="1275" spans="1:16">
      <c r="A1275" s="41" t="str">
        <f>Data!A1273</f>
        <v>QLT513</v>
      </c>
      <c r="B1275" s="41" t="str">
        <f>Data!D1273</f>
        <v>Vehicle, Diesel, Frontera Energy Col 2679</v>
      </c>
      <c r="C1275" s="41" t="str">
        <f>Data!F1273</f>
        <v>Luis Felipe</v>
      </c>
      <c r="D1275" s="41" t="str">
        <f>Data!G1273</f>
        <v>Gomez Perdomo</v>
      </c>
      <c r="E1275" s="41" t="str">
        <f>Data!H1273</f>
        <v>luis.gomez@magnexgroup.com</v>
      </c>
      <c r="F1275" s="41" t="str">
        <f>Data!K1273</f>
        <v>Rubiales</v>
      </c>
      <c r="G1275" s="33" t="str">
        <f>Data!M1273</f>
        <v>Exceso Velocidad 10 Km/h</v>
      </c>
      <c r="H1275" s="41" t="str">
        <f>Data!P1273</f>
        <v>ECOPETROL RUBIALES- Quifa - CAÑO SUR, BATERIA 4: Rb 4 324 126 129 195 14 325 316 143 217 1 26 523 256 28, Puerto Gaitán, Meta, Colombia</v>
      </c>
      <c r="I1275" s="42" t="str">
        <f>Data!Q1273</f>
        <v>Cliente, Vel Max 40 Km/h, Vel Max 10 Km/h</v>
      </c>
      <c r="J1275" s="43">
        <f>Data!S1273</f>
        <v>46174.655261574073</v>
      </c>
      <c r="K1275" s="44">
        <f>Data!S1273</f>
        <v>46174.655261574073</v>
      </c>
      <c r="L1275" s="45">
        <f>Data!T1273</f>
        <v>1.550925925925926E-4</v>
      </c>
      <c r="M1275" s="46">
        <f>Data!U1273</f>
        <v>3.7647653371095657E-2</v>
      </c>
      <c r="N1275" s="46" t="str">
        <f>CONCATENATE(Data!W1273," (",Data!V1273,")")</f>
        <v>Exceso Velocidad 10 Km/h (Velocidad máxima: 13 kmh)</v>
      </c>
      <c r="O1275" s="42" t="str">
        <f>IF(Data!V1273&lt;&gt;"",N1275,Data!W1273)</f>
        <v>Exceso Velocidad 10 Km/h (Velocidad máxima: 13 kmh)</v>
      </c>
      <c r="P1275" s="47" t="str">
        <f>Data!X1273</f>
        <v>Válido</v>
      </c>
    </row>
    <row r="1276" spans="1:16">
      <c r="A1276" s="41" t="str">
        <f>Data!A1274</f>
        <v>QLT513</v>
      </c>
      <c r="B1276" s="41" t="str">
        <f>Data!D1274</f>
        <v>Vehicle, Diesel, Frontera Energy Col 2679</v>
      </c>
      <c r="C1276" s="41" t="str">
        <f>Data!F1274</f>
        <v>Luis Felipe</v>
      </c>
      <c r="D1276" s="41" t="str">
        <f>Data!G1274</f>
        <v>Gomez Perdomo</v>
      </c>
      <c r="E1276" s="41" t="str">
        <f>Data!H1274</f>
        <v>luis.gomez@magnexgroup.com</v>
      </c>
      <c r="F1276" s="41" t="str">
        <f>Data!K1274</f>
        <v>Rubiales</v>
      </c>
      <c r="G1276" s="33" t="str">
        <f>Data!M1274</f>
        <v>Exceso Velocidad 10 Km/h</v>
      </c>
      <c r="H1276" s="41" t="str">
        <f>Data!P1274</f>
        <v>ECOPETROL RUBIALES- Quifa - CAÑO SUR, BATERIA 4: Rb 4 324 126 129 195 14 325 316 143 217 1 26 523 256 28, Meta, 502057, Colombia</v>
      </c>
      <c r="I1276" s="42" t="str">
        <f>Data!Q1274</f>
        <v>Cliente, Vel Max 40 Km/h, Vel Max 10 Km/h</v>
      </c>
      <c r="J1276" s="43">
        <f>Data!S1274</f>
        <v>46174.655960648146</v>
      </c>
      <c r="K1276" s="44">
        <f>Data!S1274</f>
        <v>46174.655960648146</v>
      </c>
      <c r="L1276" s="45">
        <f>Data!T1274</f>
        <v>2.5925925925925926E-4</v>
      </c>
      <c r="M1276" s="46">
        <f>Data!U1274</f>
        <v>6.4180813729763031E-2</v>
      </c>
      <c r="N1276" s="46" t="str">
        <f>CONCATENATE(Data!W1274," (",Data!V1274,")")</f>
        <v>Exceso Velocidad 10 Km/h (Velocidad máxima: 12 kmh)</v>
      </c>
      <c r="O1276" s="42" t="str">
        <f>IF(Data!V1274&lt;&gt;"",N1276,Data!W1274)</f>
        <v>Exceso Velocidad 10 Km/h (Velocidad máxima: 12 kmh)</v>
      </c>
      <c r="P1276" s="47" t="str">
        <f>Data!X1274</f>
        <v>Válido</v>
      </c>
    </row>
    <row r="1277" spans="1:16">
      <c r="A1277" s="41" t="str">
        <f>Data!A1275</f>
        <v>QLT513</v>
      </c>
      <c r="B1277" s="41" t="str">
        <f>Data!D1275</f>
        <v>Vehicle, Diesel, Frontera Energy Col 2679</v>
      </c>
      <c r="C1277" s="41" t="str">
        <f>Data!F1275</f>
        <v>Luis Felipe</v>
      </c>
      <c r="D1277" s="41" t="str">
        <f>Data!G1275</f>
        <v>Gomez Perdomo</v>
      </c>
      <c r="E1277" s="41" t="str">
        <f>Data!H1275</f>
        <v>luis.gomez@magnexgroup.com</v>
      </c>
      <c r="F1277" s="41" t="str">
        <f>Data!K1275</f>
        <v>Rubiales</v>
      </c>
      <c r="G1277" s="33" t="str">
        <f>Data!M1275</f>
        <v>Exceso Velocidad 10 Km/h</v>
      </c>
      <c r="H1277" s="41" t="str">
        <f>Data!P1275</f>
        <v>ECOPETROL RUBIALES- Quifa - CAÑO SUR, BATERIA 4: Rb 4 324 126 129 195 14 325 316 143 217 1 26 523 256 28, Puerto Gaitán, Meta, Colombia</v>
      </c>
      <c r="I1277" s="42" t="str">
        <f>Data!Q1275</f>
        <v>Cliente, Vel Max 40 Km/h, Vel Max 10 Km/h</v>
      </c>
      <c r="J1277" s="43">
        <f>Data!S1275</f>
        <v>46174.656348379729</v>
      </c>
      <c r="K1277" s="44">
        <f>Data!S1275</f>
        <v>46174.656348379729</v>
      </c>
      <c r="L1277" s="45">
        <f>Data!T1275</f>
        <v>4.1473379629629629E-4</v>
      </c>
      <c r="M1277" s="46">
        <f>Data!U1275</f>
        <v>0.10307075083255768</v>
      </c>
      <c r="N1277" s="46" t="str">
        <f>CONCATENATE(Data!W1275," (",Data!V1275,")")</f>
        <v>Exceso Velocidad 10 Km/h (Velocidad máxima: 13 kmh)</v>
      </c>
      <c r="O1277" s="42" t="str">
        <f>IF(Data!V1275&lt;&gt;"",N1277,Data!W1275)</f>
        <v>Exceso Velocidad 10 Km/h (Velocidad máxima: 13 kmh)</v>
      </c>
      <c r="P1277" s="47" t="str">
        <f>Data!X1275</f>
        <v>Válido</v>
      </c>
    </row>
    <row r="1278" spans="1:16">
      <c r="A1278" s="41" t="str">
        <f>Data!A1276</f>
        <v>QLT513</v>
      </c>
      <c r="B1278" s="41" t="str">
        <f>Data!D1276</f>
        <v>Vehicle, Diesel, Frontera Energy Col 2679</v>
      </c>
      <c r="C1278" s="41" t="str">
        <f>Data!F1276</f>
        <v>Luis Felipe</v>
      </c>
      <c r="D1278" s="41" t="str">
        <f>Data!G1276</f>
        <v>Gomez Perdomo</v>
      </c>
      <c r="E1278" s="41" t="str">
        <f>Data!H1276</f>
        <v>luis.gomez@magnexgroup.com</v>
      </c>
      <c r="F1278" s="41" t="str">
        <f>Data!K1276</f>
        <v>Rubiales</v>
      </c>
      <c r="G1278" s="33" t="str">
        <f>Data!M1276</f>
        <v>Exceso Velocidad 10 Km/h</v>
      </c>
      <c r="H1278" s="41" t="str">
        <f>Data!P1276</f>
        <v>ECOPETROL RUBIALES- Quifa - CAÑO SUR, BATERIA 4: Rb 4 324 126 129 195 14 325 316 143 217 1 26 523 256 28, Meta, 502057, Colombia</v>
      </c>
      <c r="I1278" s="42" t="str">
        <f>Data!Q1276</f>
        <v>Cliente, Vel Max 40 Km/h, Vel Max 10 Km/h</v>
      </c>
      <c r="J1278" s="43">
        <f>Data!S1276</f>
        <v>46174.65693287037</v>
      </c>
      <c r="K1278" s="44">
        <f>Data!S1276</f>
        <v>46174.65693287037</v>
      </c>
      <c r="L1278" s="45">
        <f>Data!T1276</f>
        <v>8.4872685185185184E-5</v>
      </c>
      <c r="M1278" s="46">
        <f>Data!U1276</f>
        <v>2.0032715052366257E-2</v>
      </c>
      <c r="N1278" s="46" t="str">
        <f>CONCATENATE(Data!W1276," (",Data!V1276,")")</f>
        <v>Exceso Velocidad 10 Km/h (Velocidad máxima: 11 kmh)</v>
      </c>
      <c r="O1278" s="42" t="str">
        <f>IF(Data!V1276&lt;&gt;"",N1278,Data!W1276)</f>
        <v>Exceso Velocidad 10 Km/h (Velocidad máxima: 11 kmh)</v>
      </c>
      <c r="P1278" s="47" t="str">
        <f>Data!X1276</f>
        <v>Válido</v>
      </c>
    </row>
    <row r="1279" spans="1:16">
      <c r="A1279" s="41" t="str">
        <f>Data!A1277</f>
        <v>QLT513</v>
      </c>
      <c r="B1279" s="41" t="str">
        <f>Data!D1277</f>
        <v>Vehicle, Diesel, Frontera Energy Col 2679</v>
      </c>
      <c r="C1279" s="41" t="str">
        <f>Data!F1277</f>
        <v>Luis Felipe</v>
      </c>
      <c r="D1279" s="41" t="str">
        <f>Data!G1277</f>
        <v>Gomez Perdomo</v>
      </c>
      <c r="E1279" s="41" t="str">
        <f>Data!H1277</f>
        <v>luis.gomez@magnexgroup.com</v>
      </c>
      <c r="F1279" s="41" t="str">
        <f>Data!K1277</f>
        <v>Rubiales</v>
      </c>
      <c r="G1279" s="33" t="str">
        <f>Data!M1277</f>
        <v>Exceso Velocidad 10 Km/h</v>
      </c>
      <c r="H1279" s="41" t="str">
        <f>Data!P1277</f>
        <v>ECOPETROL RUBIALES- Quifa - CAÑO SUR, BATERIA 4: Rb 4 324 126 129 195 14 325 316 143 217 1 26 523 256 28, Puerto Gaitán, Meta, Colombia</v>
      </c>
      <c r="I1279" s="42" t="str">
        <f>Data!Q1277</f>
        <v>Cliente, Vel Max 40 Km/h, Vel Max 10 Km/h</v>
      </c>
      <c r="J1279" s="43">
        <f>Data!S1277</f>
        <v>46174.657314814816</v>
      </c>
      <c r="K1279" s="44">
        <f>Data!S1277</f>
        <v>46174.657314814816</v>
      </c>
      <c r="L1279" s="45">
        <f>Data!T1277</f>
        <v>4.9768518518518521E-4</v>
      </c>
      <c r="M1279" s="46">
        <f>Data!U1277</f>
        <v>0.13411055505275726</v>
      </c>
      <c r="N1279" s="46" t="str">
        <f>CONCATENATE(Data!W1277," (",Data!V1277,")")</f>
        <v>Exceso Velocidad 10 Km/h (Velocidad máxima: 13 kmh)</v>
      </c>
      <c r="O1279" s="42" t="str">
        <f>IF(Data!V1277&lt;&gt;"",N1279,Data!W1277)</f>
        <v>Exceso Velocidad 10 Km/h (Velocidad máxima: 13 kmh)</v>
      </c>
      <c r="P1279" s="47" t="str">
        <f>Data!X1277</f>
        <v>Válido</v>
      </c>
    </row>
    <row r="1280" spans="1:16">
      <c r="A1280" s="41" t="str">
        <f>Data!A1278</f>
        <v>QLT513</v>
      </c>
      <c r="B1280" s="41" t="str">
        <f>Data!D1278</f>
        <v>Vehicle, Diesel, Frontera Energy Col 2679</v>
      </c>
      <c r="C1280" s="41" t="str">
        <f>Data!F1278</f>
        <v>Luis Felipe</v>
      </c>
      <c r="D1280" s="41" t="str">
        <f>Data!G1278</f>
        <v>Gomez Perdomo</v>
      </c>
      <c r="E1280" s="41" t="str">
        <f>Data!H1278</f>
        <v>luis.gomez@magnexgroup.com</v>
      </c>
      <c r="F1280" s="41" t="str">
        <f>Data!K1278</f>
        <v>Rubiales</v>
      </c>
      <c r="G1280" s="33" t="str">
        <f>Data!M1278</f>
        <v>Exceso Velocidad 10 Km/h</v>
      </c>
      <c r="H1280" s="41" t="str">
        <f>Data!P1278</f>
        <v>ECOPETROL RUBIALES- Quifa - CAÑO SUR, BATERIA 4: Rb 4, Puerto Gaitán, Meta, Colombia</v>
      </c>
      <c r="I1280" s="42" t="str">
        <f>Data!Q1278</f>
        <v>Cliente, Vel Max 40 Km/h, Vel Max 10 Km/h</v>
      </c>
      <c r="J1280" s="43">
        <f>Data!S1278</f>
        <v>46174.657812500001</v>
      </c>
      <c r="K1280" s="44">
        <f>Data!S1278</f>
        <v>46174.657812500001</v>
      </c>
      <c r="L1280" s="45">
        <f>Data!T1278</f>
        <v>6.4236121111111116E-4</v>
      </c>
      <c r="M1280" s="46">
        <f>Data!U1278</f>
        <v>0.17934346199035645</v>
      </c>
      <c r="N1280" s="46" t="str">
        <f>CONCATENATE(Data!W1278," (",Data!V1278,")")</f>
        <v>Exceso Velocidad 10 Km/h (Velocidad máxima: 12 kmh)</v>
      </c>
      <c r="O1280" s="42" t="str">
        <f>IF(Data!V1278&lt;&gt;"",N1280,Data!W1278)</f>
        <v>Exceso Velocidad 10 Km/h (Velocidad máxima: 12 kmh)</v>
      </c>
      <c r="P1280" s="47" t="str">
        <f>Data!X1278</f>
        <v>Válido</v>
      </c>
    </row>
    <row r="1281" spans="1:16">
      <c r="A1281" s="41" t="str">
        <f>Data!A1279</f>
        <v>QLT513</v>
      </c>
      <c r="B1281" s="41" t="str">
        <f>Data!D1279</f>
        <v>Vehicle, Diesel, Frontera Energy Col 2679</v>
      </c>
      <c r="C1281" s="41" t="str">
        <f>Data!F1279</f>
        <v>Luis Felipe</v>
      </c>
      <c r="D1281" s="41" t="str">
        <f>Data!G1279</f>
        <v>Gomez Perdomo</v>
      </c>
      <c r="E1281" s="41" t="str">
        <f>Data!H1279</f>
        <v>luis.gomez@magnexgroup.com</v>
      </c>
      <c r="F1281" s="41" t="str">
        <f>Data!K1279</f>
        <v>Rubiales</v>
      </c>
      <c r="G1281" s="33" t="str">
        <f>Data!M1279</f>
        <v>Exceso Velocidad 10 Km/h</v>
      </c>
      <c r="H1281" s="41" t="str">
        <f>Data!P1279</f>
        <v>ECOPETROL RUBIALES- Quifa - CAÑO SUR, BATERIA 4: Rb 4, Puerto Gaitán, Meta, Colombia</v>
      </c>
      <c r="I1281" s="42" t="str">
        <f>Data!Q1279</f>
        <v>Cliente, Vel Max 40 Km/h, Vel Max 10 Km/h</v>
      </c>
      <c r="J1281" s="43">
        <f>Data!S1279</f>
        <v>46174.658668981479</v>
      </c>
      <c r="K1281" s="44">
        <f>Data!S1279</f>
        <v>46174.658668981479</v>
      </c>
      <c r="L1281" s="45">
        <f>Data!T1279</f>
        <v>1.8518518518518518E-4</v>
      </c>
      <c r="M1281" s="46">
        <f>Data!U1279</f>
        <v>4.0022648870944977E-2</v>
      </c>
      <c r="N1281" s="46" t="str">
        <f>CONCATENATE(Data!W1279," (",Data!V1279,")")</f>
        <v>Exceso Velocidad 10 Km/h (Velocidad máxima: 12 kmh)</v>
      </c>
      <c r="O1281" s="42" t="str">
        <f>IF(Data!V1279&lt;&gt;"",N1281,Data!W1279)</f>
        <v>Exceso Velocidad 10 Km/h (Velocidad máxima: 12 kmh)</v>
      </c>
      <c r="P1281" s="47" t="str">
        <f>Data!X1279</f>
        <v>Válido</v>
      </c>
    </row>
    <row r="1282" spans="1:16">
      <c r="A1282" s="41" t="str">
        <f>Data!A1280</f>
        <v>QLT513</v>
      </c>
      <c r="B1282" s="41" t="str">
        <f>Data!D1280</f>
        <v>Vehicle, Diesel, Frontera Energy Col 2679</v>
      </c>
      <c r="C1282" s="41" t="str">
        <f>Data!F1280</f>
        <v>Luis Felipe</v>
      </c>
      <c r="D1282" s="41" t="str">
        <f>Data!G1280</f>
        <v>Gomez Perdomo</v>
      </c>
      <c r="E1282" s="41" t="str">
        <f>Data!H1280</f>
        <v>luis.gomez@magnexgroup.com</v>
      </c>
      <c r="F1282" s="41" t="str">
        <f>Data!K1280</f>
        <v>Rubiales</v>
      </c>
      <c r="G1282" s="33" t="str">
        <f>Data!M1280</f>
        <v>Tiempo en ralentí</v>
      </c>
      <c r="H1282" s="41" t="str">
        <f>Data!P1280</f>
        <v>ECOPETROL RUBIALES- Quifa - CAÑO SUR, BATERIA 4: Rb 4, Puerto Gaitán, Meta, Colombia</v>
      </c>
      <c r="I1282" s="42" t="str">
        <f>Data!Q1280</f>
        <v>Cliente, Vel Max 40 Km/h, Vel Max 10 Km/h</v>
      </c>
      <c r="J1282" s="43">
        <f>Data!S1280</f>
        <v>46174.672151053244</v>
      </c>
      <c r="K1282" s="44">
        <f>Data!S1280</f>
        <v>46174.672151053244</v>
      </c>
      <c r="L1282" s="45">
        <f>Data!T1280</f>
        <v>7.6290393518518521E-3</v>
      </c>
      <c r="M1282" s="46">
        <f>Data!U1280</f>
        <v>9.1441059485077858E-3</v>
      </c>
      <c r="N1282" s="46" t="str">
        <f>CONCATENATE(Data!W1280," (",Data!V1280,")")</f>
        <v>Tiempo en ralentí (Ignición: 1.00)</v>
      </c>
      <c r="O1282" s="42" t="str">
        <f>IF(Data!V1280&lt;&gt;"",N1282,Data!W1280)</f>
        <v>Tiempo en ralentí (Ignición: 1.00)</v>
      </c>
      <c r="P1282" s="47" t="str">
        <f>Data!X1280</f>
        <v>Válido</v>
      </c>
    </row>
    <row r="1283" spans="1:16">
      <c r="A1283" s="41" t="str">
        <f>Data!A1281</f>
        <v>QLT513</v>
      </c>
      <c r="B1283" s="41" t="str">
        <f>Data!D1281</f>
        <v>Vehicle, Diesel, Frontera Energy Col 2679</v>
      </c>
      <c r="C1283" s="41" t="str">
        <f>Data!F1281</f>
        <v>Luis Felipe</v>
      </c>
      <c r="D1283" s="41" t="str">
        <f>Data!G1281</f>
        <v>Gomez Perdomo</v>
      </c>
      <c r="E1283" s="41" t="str">
        <f>Data!H1281</f>
        <v>luis.gomez@magnexgroup.com</v>
      </c>
      <c r="F1283" s="41" t="str">
        <f>Data!K1281</f>
        <v>Rubiales</v>
      </c>
      <c r="G1283" s="33" t="str">
        <f>Data!M1281</f>
        <v>Exceso Velocidad 10 Km/h</v>
      </c>
      <c r="H1283" s="41" t="str">
        <f>Data!P1281</f>
        <v>ECOPETROL RUBIALES- Quifa - CAÑO SUR, BATERIA 4: Rb 4, Puerto Gaitán, Meta, Colombia</v>
      </c>
      <c r="I1283" s="42" t="str">
        <f>Data!Q1281</f>
        <v>Cliente, Vel Max 40 Km/h, Vel Max 10 Km/h</v>
      </c>
      <c r="J1283" s="43">
        <f>Data!S1281</f>
        <v>46174.682650462964</v>
      </c>
      <c r="K1283" s="44">
        <f>Data!S1281</f>
        <v>46174.682650462964</v>
      </c>
      <c r="L1283" s="45">
        <f>Data!T1281</f>
        <v>7.7546296296296293E-4</v>
      </c>
      <c r="M1283" s="46">
        <f>Data!U1281</f>
        <v>0.22681073844432831</v>
      </c>
      <c r="N1283" s="46" t="str">
        <f>CONCATENATE(Data!W1281," (",Data!V1281,")")</f>
        <v>Exceso Velocidad 10 Km/h (Velocidad máxima: 13 kmh)</v>
      </c>
      <c r="O1283" s="42" t="str">
        <f>IF(Data!V1281&lt;&gt;"",N1283,Data!W1281)</f>
        <v>Exceso Velocidad 10 Km/h (Velocidad máxima: 13 kmh)</v>
      </c>
      <c r="P1283" s="47" t="str">
        <f>Data!X1281</f>
        <v>Válido</v>
      </c>
    </row>
    <row r="1284" spans="1:16">
      <c r="A1284" s="41" t="str">
        <f>Data!A1282</f>
        <v>QLT513</v>
      </c>
      <c r="B1284" s="41" t="str">
        <f>Data!D1282</f>
        <v>Vehicle, Diesel, Frontera Energy Col 2679</v>
      </c>
      <c r="C1284" s="41" t="str">
        <f>Data!F1282</f>
        <v>Luis Felipe</v>
      </c>
      <c r="D1284" s="41" t="str">
        <f>Data!G1282</f>
        <v>Gomez Perdomo</v>
      </c>
      <c r="E1284" s="41" t="str">
        <f>Data!H1282</f>
        <v>luis.gomez@magnexgroup.com</v>
      </c>
      <c r="F1284" s="41" t="str">
        <f>Data!K1282</f>
        <v>Rubiales</v>
      </c>
      <c r="G1284" s="33" t="str">
        <f>Data!M1282</f>
        <v>Tiempo en ralentí</v>
      </c>
      <c r="H1284" s="41" t="str">
        <f>Data!P1282</f>
        <v>ECOPETROL RUBIALES- Quifa - CAÑO SUR: Puerto Gaitan - Rubiales, Puerto Gaitán, Meta, Colombia</v>
      </c>
      <c r="I1284" s="42" t="str">
        <f>Data!Q1282</f>
        <v>Cliente, Vel Max 40 Km/h</v>
      </c>
      <c r="J1284" s="43">
        <f>Data!S1282</f>
        <v>46174.703009259261</v>
      </c>
      <c r="K1284" s="44">
        <f>Data!S1282</f>
        <v>46174.703009259261</v>
      </c>
      <c r="L1284" s="45">
        <f>Data!T1282</f>
        <v>4.5949074074074078E-3</v>
      </c>
      <c r="M1284" s="46">
        <f>Data!U1282</f>
        <v>0</v>
      </c>
      <c r="N1284" s="46" t="str">
        <f>CONCATENATE(Data!W1282," (",Data!V1282,")")</f>
        <v>Tiempo en ralentí (Ignición: 1.00)</v>
      </c>
      <c r="O1284" s="42" t="str">
        <f>IF(Data!V1282&lt;&gt;"",N1284,Data!W1282)</f>
        <v>Tiempo en ralentí (Ignición: 1.00)</v>
      </c>
      <c r="P1284" s="47" t="str">
        <f>Data!X1282</f>
        <v>Válido</v>
      </c>
    </row>
    <row r="1285" spans="1:16">
      <c r="A1285" s="41" t="str">
        <f>Data!A1283</f>
        <v>QLT513</v>
      </c>
      <c r="B1285" s="41" t="str">
        <f>Data!D1283</f>
        <v>Vehicle, Diesel, Frontera Energy Col 2679</v>
      </c>
      <c r="C1285" s="41" t="str">
        <f>Data!F1283</f>
        <v>Luis Felipe</v>
      </c>
      <c r="D1285" s="41" t="str">
        <f>Data!G1283</f>
        <v>Gomez Perdomo</v>
      </c>
      <c r="E1285" s="41" t="str">
        <f>Data!H1283</f>
        <v>luis.gomez@magnexgroup.com</v>
      </c>
      <c r="F1285" s="41" t="str">
        <f>Data!K1283</f>
        <v>Rubiales</v>
      </c>
      <c r="G1285" s="33" t="str">
        <f>Data!M1283</f>
        <v>Exceso Velocidad 10 Km/h</v>
      </c>
      <c r="H1285" s="41" t="str">
        <f>Data!P1283</f>
        <v>CAMPAMENTO QUIFA, ECOPETROL RUBIALES- Quifa - CAÑO SUR, Puerto Triunfo - Estacion Policia: Puerto Gaitan - Rubiales, Puerto Gaitán, Meta, Colombia</v>
      </c>
      <c r="I1285" s="42" t="str">
        <f>Data!Q1283</f>
        <v>Vel Max 10 Km/h, Cliente, Vel Max 40 Km/h, Vel Max 30 Km/h</v>
      </c>
      <c r="J1285" s="43">
        <f>Data!S1283</f>
        <v>46174.727128530096</v>
      </c>
      <c r="K1285" s="44">
        <f>Data!S1283</f>
        <v>46174.727128530096</v>
      </c>
      <c r="L1285" s="45">
        <f>Data!T1283</f>
        <v>8.211805555555556E-5</v>
      </c>
      <c r="M1285" s="46">
        <f>Data!U1283</f>
        <v>3.1676527112722397E-2</v>
      </c>
      <c r="N1285" s="46" t="str">
        <f>CONCATENATE(Data!W1283," (",Data!V1283,")")</f>
        <v>Exceso Velocidad 10 Km/h (Velocidad máxima: 20 kmh)</v>
      </c>
      <c r="O1285" s="42" t="str">
        <f>IF(Data!V1283&lt;&gt;"",N1285,Data!W1283)</f>
        <v>Exceso Velocidad 10 Km/h (Velocidad máxima: 20 kmh)</v>
      </c>
      <c r="P1285" s="47" t="str">
        <f>Data!X1283</f>
        <v>Válido</v>
      </c>
    </row>
    <row r="1286" spans="1:16">
      <c r="A1286" s="41" t="str">
        <f>Data!A1284</f>
        <v>QLT513</v>
      </c>
      <c r="B1286" s="41" t="str">
        <f>Data!D1284</f>
        <v>Vehicle, Diesel, Frontera Energy Col 2679</v>
      </c>
      <c r="C1286" s="41" t="str">
        <f>Data!F1284</f>
        <v>Luis Felipe</v>
      </c>
      <c r="D1286" s="41" t="str">
        <f>Data!G1284</f>
        <v>Gomez Perdomo</v>
      </c>
      <c r="E1286" s="41" t="str">
        <f>Data!H1284</f>
        <v>luis.gomez@magnexgroup.com</v>
      </c>
      <c r="F1286" s="41" t="str">
        <f>Data!K1284</f>
        <v>Rubiales</v>
      </c>
      <c r="G1286" s="33" t="str">
        <f>Data!M1284</f>
        <v>Exceso Velocidad 10 Km/h</v>
      </c>
      <c r="H1286" s="41" t="str">
        <f>Data!P1284</f>
        <v>CAMPAMENTO QUIFA, ECOPETROL RUBIALES- Quifa - CAÑO SUR, Puerto Triunfo - Estacion Policia: Puerto Gaitan - Rubiales, Puerto Gaitán, Meta, Colombia</v>
      </c>
      <c r="I1286" s="42" t="str">
        <f>Data!Q1284</f>
        <v>Vel Max 10 Km/h, Cliente, Vel Max 40 Km/h, Vel Max 30 Km/h</v>
      </c>
      <c r="J1286" s="43">
        <f>Data!S1284</f>
        <v>46174.727210648147</v>
      </c>
      <c r="K1286" s="44">
        <f>Data!S1284</f>
        <v>46174.727210648147</v>
      </c>
      <c r="L1286" s="45">
        <f>Data!T1284</f>
        <v>1.5046296296296297E-4</v>
      </c>
      <c r="M1286" s="46">
        <f>Data!U1284</f>
        <v>5.8448091149330139E-2</v>
      </c>
      <c r="N1286" s="46" t="str">
        <f>CONCATENATE(Data!W1284," (",Data!V1284,")")</f>
        <v>Exceso Velocidad 10 Km/h (Velocidad máxima: 20 kmh)</v>
      </c>
      <c r="O1286" s="42" t="str">
        <f>IF(Data!V1284&lt;&gt;"",N1286,Data!W1284)</f>
        <v>Exceso Velocidad 10 Km/h (Velocidad máxima: 20 kmh)</v>
      </c>
      <c r="P1286" s="47" t="str">
        <f>Data!X1284</f>
        <v>Válido</v>
      </c>
    </row>
    <row r="1287" spans="1:16">
      <c r="A1287" s="41" t="str">
        <f>Data!A1285</f>
        <v>QLT513</v>
      </c>
      <c r="B1287" s="41" t="str">
        <f>Data!D1285</f>
        <v>Vehicle, Diesel, Frontera Energy Col 2679</v>
      </c>
      <c r="C1287" s="41" t="str">
        <f>Data!F1285</f>
        <v>Luis Felipe</v>
      </c>
      <c r="D1287" s="41" t="str">
        <f>Data!G1285</f>
        <v>Gomez Perdomo</v>
      </c>
      <c r="E1287" s="41" t="str">
        <f>Data!H1285</f>
        <v>luis.gomez@magnexgroup.com</v>
      </c>
      <c r="F1287" s="41" t="str">
        <f>Data!K1285</f>
        <v>Rubiales</v>
      </c>
      <c r="G1287" s="33" t="str">
        <f>Data!M1285</f>
        <v>Exceso Velocidad 10 Km/h</v>
      </c>
      <c r="H1287" s="41" t="str">
        <f>Data!P1285</f>
        <v>CAMPAMENTO QUIFA, ECOPETROL RUBIALES- Quifa - CAÑO SUR, Campamento Quifa - CMA: Ent. CAMPAMENTO, Puerto Gaitán, Meta, Colombia</v>
      </c>
      <c r="I1287" s="42" t="str">
        <f>Data!Q1285</f>
        <v>Vel Max 10 Km/h, Cliente, Vel Max 40 Km/h</v>
      </c>
      <c r="J1287" s="43">
        <f>Data!S1285</f>
        <v>46174.728229166663</v>
      </c>
      <c r="K1287" s="44">
        <f>Data!S1285</f>
        <v>46174.728229166663</v>
      </c>
      <c r="L1287" s="45">
        <f>Data!T1285</f>
        <v>2.7777777777777778E-4</v>
      </c>
      <c r="M1287" s="46">
        <f>Data!U1285</f>
        <v>7.9029001295566559E-2</v>
      </c>
      <c r="N1287" s="46" t="str">
        <f>CONCATENATE(Data!W1285," (",Data!V1285,")")</f>
        <v>Exceso Velocidad 10 Km/h (Velocidad máxima: 13 kmh)</v>
      </c>
      <c r="O1287" s="42" t="str">
        <f>IF(Data!V1285&lt;&gt;"",N1287,Data!W1285)</f>
        <v>Exceso Velocidad 10 Km/h (Velocidad máxima: 13 kmh)</v>
      </c>
      <c r="P1287" s="47" t="str">
        <f>Data!X1285</f>
        <v>Válido</v>
      </c>
    </row>
    <row r="1288" spans="1:16">
      <c r="A1288" s="41" t="str">
        <f>Data!A1286</f>
        <v>QLT513</v>
      </c>
      <c r="B1288" s="41" t="str">
        <f>Data!D1286</f>
        <v>Vehicle, Diesel, Frontera Energy Col 2679</v>
      </c>
      <c r="C1288" s="41" t="str">
        <f>Data!F1286</f>
        <v>Luis Felipe</v>
      </c>
      <c r="D1288" s="41" t="str">
        <f>Data!G1286</f>
        <v>Gomez Perdomo</v>
      </c>
      <c r="E1288" s="41" t="str">
        <f>Data!H1286</f>
        <v>luis.gomez@magnexgroup.com</v>
      </c>
      <c r="F1288" s="41" t="str">
        <f>Data!K1286</f>
        <v>Rubiales</v>
      </c>
      <c r="G1288" s="33" t="str">
        <f>Data!M1286</f>
        <v>Exceso Velocidad 10 Km/h</v>
      </c>
      <c r="H1288" s="41" t="str">
        <f>Data!P1286</f>
        <v>CAMPAMENTO QUIFA, ECOPETROL RUBIALES- Quifa - CAÑO SUR, Campamento Quifa - CMA: Ent. CAMPAMENTO, Puerto Gaitán, Meta, Colombia</v>
      </c>
      <c r="I1288" s="42" t="str">
        <f>Data!Q1286</f>
        <v>Vel Max 10 Km/h, Cliente, Vel Max 40 Km/h</v>
      </c>
      <c r="J1288" s="43">
        <f>Data!S1286</f>
        <v>46174.744953321759</v>
      </c>
      <c r="K1288" s="44">
        <f>Data!S1286</f>
        <v>46174.744953321759</v>
      </c>
      <c r="L1288" s="45">
        <f>Data!T1286</f>
        <v>1.1456018518518518E-4</v>
      </c>
      <c r="M1288" s="46">
        <f>Data!U1286</f>
        <v>2.6676932349801064E-2</v>
      </c>
      <c r="N1288" s="46" t="str">
        <f>CONCATENATE(Data!W1286," (",Data!V1286,")")</f>
        <v>Exceso Velocidad 10 Km/h (Velocidad máxima: 12 kmh)</v>
      </c>
      <c r="O1288" s="42" t="str">
        <f>IF(Data!V1286&lt;&gt;"",N1288,Data!W1286)</f>
        <v>Exceso Velocidad 10 Km/h (Velocidad máxima: 12 kmh)</v>
      </c>
      <c r="P1288" s="47" t="str">
        <f>Data!X1286</f>
        <v>Válido</v>
      </c>
    </row>
    <row r="1289" spans="1:16">
      <c r="A1289" s="41" t="str">
        <f>Data!A1287</f>
        <v>QLT513</v>
      </c>
      <c r="B1289" s="41" t="str">
        <f>Data!D1287</f>
        <v>Vehicle, Diesel, Frontera Energy Col 2679</v>
      </c>
      <c r="C1289" s="41" t="str">
        <f>Data!F1287</f>
        <v>Luis Felipe</v>
      </c>
      <c r="D1289" s="41" t="str">
        <f>Data!G1287</f>
        <v>Gomez Perdomo</v>
      </c>
      <c r="E1289" s="41" t="str">
        <f>Data!H1287</f>
        <v>luis.gomez@magnexgroup.com</v>
      </c>
      <c r="F1289" s="41" t="str">
        <f>Data!K1287</f>
        <v>Rubiales</v>
      </c>
      <c r="G1289" s="33" t="str">
        <f>Data!M1287</f>
        <v>Exceso Velocidad 10 Km/h</v>
      </c>
      <c r="H1289" s="41" t="str">
        <f>Data!P1287</f>
        <v>ECOPETROL RUBIALES- Quifa - CAÑO SUR, Puerto Triunfo - Estacion Policia, PUESTRO CONTROL QUIFA: Puerto Gaitan - Rubiales, Puerto Gaitán, Meta, Colombia</v>
      </c>
      <c r="I1289" s="42" t="str">
        <f>Data!Q1287</f>
        <v>Cliente, Vel Max 40 Km/h, Vel Max 30 Km/h, Vel Max 10 Km/h</v>
      </c>
      <c r="J1289" s="43">
        <f>Data!S1287</f>
        <v>46174.748197337962</v>
      </c>
      <c r="K1289" s="44">
        <f>Data!S1287</f>
        <v>46174.748197337962</v>
      </c>
      <c r="L1289" s="45">
        <f>Data!T1287</f>
        <v>4.6542824074074075E-4</v>
      </c>
      <c r="M1289" s="46">
        <f>Data!U1287</f>
        <v>0.18447498977184296</v>
      </c>
      <c r="N1289" s="46" t="str">
        <f>CONCATENATE(Data!W1287," (",Data!V1287,")")</f>
        <v>Exceso Velocidad 10 Km/h (Velocidad máxima: 24 kmh)</v>
      </c>
      <c r="O1289" s="42" t="str">
        <f>IF(Data!V1287&lt;&gt;"",N1289,Data!W1287)</f>
        <v>Exceso Velocidad 10 Km/h (Velocidad máxima: 24 kmh)</v>
      </c>
      <c r="P1289" s="47" t="str">
        <f>Data!X1287</f>
        <v>Válido</v>
      </c>
    </row>
    <row r="1290" spans="1:16">
      <c r="A1290" s="41" t="str">
        <f>Data!A1288</f>
        <v>QLT513</v>
      </c>
      <c r="B1290" s="41" t="str">
        <f>Data!D1288</f>
        <v>Vehicle, Diesel, Frontera Energy Col 2679</v>
      </c>
      <c r="C1290" s="41" t="str">
        <f>Data!F1288</f>
        <v>Luis Felipe</v>
      </c>
      <c r="D1290" s="41" t="str">
        <f>Data!G1288</f>
        <v>Gomez Perdomo</v>
      </c>
      <c r="E1290" s="41" t="str">
        <f>Data!H1288</f>
        <v>luis.gomez@magnexgroup.com</v>
      </c>
      <c r="F1290" s="41" t="str">
        <f>Data!K1288</f>
        <v>Rubiales</v>
      </c>
      <c r="G1290" s="33" t="str">
        <f>Data!M1288</f>
        <v>Exceso Velocidad 30 Km/h</v>
      </c>
      <c r="H1290" s="41" t="str">
        <f>Data!P1288</f>
        <v>ECOPETROL RUBIALES- Quifa - CAÑO SUR, Puerto Triunfo - Estacion Policia: Puerto Gaitan - Rubiales, Puerto Gaitán, Meta, Colombia</v>
      </c>
      <c r="I1290" s="42" t="str">
        <f>Data!Q1288</f>
        <v>Cliente, Vel Max 40 Km/h, Vel Max 30 Km/h</v>
      </c>
      <c r="J1290" s="43">
        <f>Data!S1288</f>
        <v>46174.748945706022</v>
      </c>
      <c r="K1290" s="44">
        <f>Data!S1288</f>
        <v>46174.748945706022</v>
      </c>
      <c r="L1290" s="45">
        <f>Data!T1288</f>
        <v>1.6887731481481482E-4</v>
      </c>
      <c r="M1290" s="46">
        <f>Data!U1288</f>
        <v>0.12916874885559082</v>
      </c>
      <c r="N1290" s="46" t="str">
        <f>CONCATENATE(Data!W1288," (",Data!V1288,")")</f>
        <v>Exceso Velocidad 30 Km/h (Velocidad máxima: 31 kmh)</v>
      </c>
      <c r="O1290" s="42" t="str">
        <f>IF(Data!V1288&lt;&gt;"",N1290,Data!W1288)</f>
        <v>Exceso Velocidad 30 Km/h (Velocidad máxima: 31 kmh)</v>
      </c>
      <c r="P1290" s="47" t="str">
        <f>Data!X1288</f>
        <v>Válido</v>
      </c>
    </row>
    <row r="1291" spans="1:16">
      <c r="A1291" s="41" t="str">
        <f>Data!A1289</f>
        <v>QLT519</v>
      </c>
      <c r="B1291" s="41" t="str">
        <f>Data!D1289</f>
        <v>Vehicle, Diesel, Frontera Energy Col 2679</v>
      </c>
      <c r="C1291" s="41">
        <f>Data!F1289</f>
        <v>0</v>
      </c>
      <c r="D1291" s="41">
        <f>Data!G1289</f>
        <v>0</v>
      </c>
      <c r="E1291" s="41">
        <f>Data!H1289</f>
        <v>0</v>
      </c>
      <c r="F1291" s="41">
        <f>Data!K1289</f>
        <v>0</v>
      </c>
      <c r="G1291" s="33" t="str">
        <f>Data!M1289</f>
        <v>Tiempo en ralentí</v>
      </c>
      <c r="H1291" s="41" t="str">
        <f>Data!P1289</f>
        <v>ECOPETROL RUBIALES- Quifa - CAÑO SUR: Vía QF-578, Puerto Gaitán, Meta, Colombia</v>
      </c>
      <c r="I1291" s="42" t="str">
        <f>Data!Q1289</f>
        <v>Cliente, Vel Max 40 Km/h</v>
      </c>
      <c r="J1291" s="43">
        <f>Data!S1289</f>
        <v>46174.008631979166</v>
      </c>
      <c r="K1291" s="44">
        <f>Data!S1289</f>
        <v>46174.008631979166</v>
      </c>
      <c r="L1291" s="45">
        <f>Data!T1289</f>
        <v>5.1180208333333329E-3</v>
      </c>
      <c r="M1291" s="46">
        <f>Data!U1289</f>
        <v>3.52891581133008E-3</v>
      </c>
      <c r="N1291" s="46" t="str">
        <f>CONCATENATE(Data!W1289," (",Data!V1289,")")</f>
        <v>Tiempo en ralentí (Ignición: 1.00)</v>
      </c>
      <c r="O1291" s="42" t="str">
        <f>IF(Data!V1289&lt;&gt;"",N1291,Data!W1289)</f>
        <v>Tiempo en ralentí (Ignición: 1.00)</v>
      </c>
      <c r="P1291" s="47" t="str">
        <f>Data!X1289</f>
        <v>Válido</v>
      </c>
    </row>
    <row r="1292" spans="1:16">
      <c r="A1292" s="41" t="str">
        <f>Data!A1290</f>
        <v>QLT519</v>
      </c>
      <c r="B1292" s="41" t="str">
        <f>Data!D1290</f>
        <v>Vehicle, Diesel, Frontera Energy Col 2679</v>
      </c>
      <c r="C1292" s="41">
        <f>Data!F1290</f>
        <v>0</v>
      </c>
      <c r="D1292" s="41">
        <f>Data!G1290</f>
        <v>0</v>
      </c>
      <c r="E1292" s="41">
        <f>Data!H1290</f>
        <v>0</v>
      </c>
      <c r="F1292" s="41">
        <f>Data!K1290</f>
        <v>0</v>
      </c>
      <c r="G1292" s="33" t="str">
        <f>Data!M1290</f>
        <v>Uso del cinturón de seguridad</v>
      </c>
      <c r="H1292" s="41" t="str">
        <f>Data!P1290</f>
        <v>ECOPETROL RUBIALES- Quifa - CAÑO SUR: Vía QF-578, Puerto Gaitán, Meta, Colombia</v>
      </c>
      <c r="I1292" s="42" t="str">
        <f>Data!Q1290</f>
        <v>Cliente, Vel Max 40 Km/h</v>
      </c>
      <c r="J1292" s="43">
        <f>Data!S1290</f>
        <v>46174.015594907411</v>
      </c>
      <c r="K1292" s="44">
        <f>Data!S1290</f>
        <v>46174.015594907411</v>
      </c>
      <c r="L1292" s="45">
        <f>Data!T1290</f>
        <v>1.3425925925925926E-4</v>
      </c>
      <c r="M1292" s="46">
        <f>Data!U1290</f>
        <v>3.4750469028949738E-2</v>
      </c>
      <c r="N1292" s="46" t="str">
        <f>CONCATENATE(Data!W1290," (",Data!V1290,")")</f>
        <v>Uso del cinturón de seguridad (Velocidad máxima: 12 kmh Cinturón de seguridad del conductor (1. Desabrochado): 1.00)</v>
      </c>
      <c r="O1292" s="42" t="str">
        <f>IF(Data!V1290&lt;&gt;"",N1292,Data!W1290)</f>
        <v>Uso del cinturón de seguridad (Velocidad máxima: 12 kmh Cinturón de seguridad del conductor (1. Desabrochado): 1.00)</v>
      </c>
      <c r="P1292" s="47" t="str">
        <f>Data!X1290</f>
        <v>Válido</v>
      </c>
    </row>
    <row r="1293" spans="1:16">
      <c r="A1293" s="41" t="str">
        <f>Data!A1291</f>
        <v>QLT519</v>
      </c>
      <c r="B1293" s="41" t="str">
        <f>Data!D1291</f>
        <v>Vehicle, Diesel, Frontera Energy Col 2679</v>
      </c>
      <c r="C1293" s="41">
        <f>Data!F1291</f>
        <v>0</v>
      </c>
      <c r="D1293" s="41">
        <f>Data!G1291</f>
        <v>0</v>
      </c>
      <c r="E1293" s="41">
        <f>Data!H1291</f>
        <v>0</v>
      </c>
      <c r="F1293" s="41">
        <f>Data!K1291</f>
        <v>0</v>
      </c>
      <c r="G1293" s="33" t="str">
        <f>Data!M1291</f>
        <v>Uso del cinturón de seguridad</v>
      </c>
      <c r="H1293" s="41" t="str">
        <f>Data!P1291</f>
        <v>ECOPETROL RUBIALES- Quifa - CAÑO SUR: Vía Sin Nombre, Puerto Gaitán, Meta, Colombia</v>
      </c>
      <c r="I1293" s="42" t="str">
        <f>Data!Q1291</f>
        <v>Cliente, Vel Max 40 Km/h</v>
      </c>
      <c r="J1293" s="43">
        <f>Data!S1291</f>
        <v>46174.021264467592</v>
      </c>
      <c r="K1293" s="44">
        <f>Data!S1291</f>
        <v>46174.021264467592</v>
      </c>
      <c r="L1293" s="45">
        <f>Data!T1291</f>
        <v>1.0127314814814815E-4</v>
      </c>
      <c r="M1293" s="46">
        <f>Data!U1291</f>
        <v>2.4680158123373985E-2</v>
      </c>
      <c r="N1293" s="46" t="str">
        <f>CONCATENATE(Data!W1291," (",Data!V1291,")")</f>
        <v>Uso del cinturón de seguridad (Velocidad máxima: 11 kmh Cinturón de seguridad del conductor (1. Desabrochado): 1.00)</v>
      </c>
      <c r="O1293" s="42" t="str">
        <f>IF(Data!V1291&lt;&gt;"",N1293,Data!W1291)</f>
        <v>Uso del cinturón de seguridad (Velocidad máxima: 11 kmh Cinturón de seguridad del conductor (1. Desabrochado): 1.00)</v>
      </c>
      <c r="P1293" s="47" t="str">
        <f>Data!X1291</f>
        <v>Válido</v>
      </c>
    </row>
    <row r="1294" spans="1:16">
      <c r="A1294" s="41" t="str">
        <f>Data!A1292</f>
        <v>QLT519</v>
      </c>
      <c r="B1294" s="41" t="str">
        <f>Data!D1292</f>
        <v>Vehicle, Diesel, Frontera Energy Col 2679</v>
      </c>
      <c r="C1294" s="41">
        <f>Data!F1292</f>
        <v>0</v>
      </c>
      <c r="D1294" s="41">
        <f>Data!G1292</f>
        <v>0</v>
      </c>
      <c r="E1294" s="41">
        <f>Data!H1292</f>
        <v>0</v>
      </c>
      <c r="F1294" s="41">
        <f>Data!K1292</f>
        <v>0</v>
      </c>
      <c r="G1294" s="33" t="str">
        <f>Data!M1292</f>
        <v>Tiempo en ralentí</v>
      </c>
      <c r="H1294" s="41" t="str">
        <f>Data!P1292</f>
        <v>ECOPETROL RUBIALES- Quifa - CAÑO SUR: Vía QF-578, Puerto Gaitán, Meta, Colombia</v>
      </c>
      <c r="I1294" s="42" t="str">
        <f>Data!Q1292</f>
        <v>Cliente, Vel Max 40 Km/h</v>
      </c>
      <c r="J1294" s="43">
        <f>Data!S1292</f>
        <v>46174.167280092595</v>
      </c>
      <c r="K1294" s="44">
        <f>Data!S1292</f>
        <v>46174.167280092595</v>
      </c>
      <c r="L1294" s="45">
        <f>Data!T1292</f>
        <v>7.3032407407407404E-3</v>
      </c>
      <c r="M1294" s="46">
        <f>Data!U1292</f>
        <v>1.1002452112734318E-2</v>
      </c>
      <c r="N1294" s="46" t="str">
        <f>CONCATENATE(Data!W1292," (",Data!V1292,")")</f>
        <v>Tiempo en ralentí (Ignición: 1.00)</v>
      </c>
      <c r="O1294" s="42" t="str">
        <f>IF(Data!V1292&lt;&gt;"",N1294,Data!W1292)</f>
        <v>Tiempo en ralentí (Ignición: 1.00)</v>
      </c>
      <c r="P1294" s="47" t="str">
        <f>Data!X1292</f>
        <v>Válido</v>
      </c>
    </row>
    <row r="1295" spans="1:16">
      <c r="A1295" s="41" t="str">
        <f>Data!A1293</f>
        <v>QLT519</v>
      </c>
      <c r="B1295" s="41" t="str">
        <f>Data!D1293</f>
        <v>Vehicle, Diesel, Frontera Energy Col 2679</v>
      </c>
      <c r="C1295" s="41">
        <f>Data!F1293</f>
        <v>0</v>
      </c>
      <c r="D1295" s="41">
        <f>Data!G1293</f>
        <v>0</v>
      </c>
      <c r="E1295" s="41">
        <f>Data!H1293</f>
        <v>0</v>
      </c>
      <c r="F1295" s="41">
        <f>Data!K1293</f>
        <v>0</v>
      </c>
      <c r="G1295" s="33" t="str">
        <f>Data!M1293</f>
        <v>Tiempo en ralentí</v>
      </c>
      <c r="H1295" s="41" t="str">
        <f>Data!P1293</f>
        <v>ECOPETROL RUBIALES- Quifa - CAÑO SUR: Vía Sin Nombre, Puerto Gaitán, Meta, Colombia</v>
      </c>
      <c r="I1295" s="42" t="str">
        <f>Data!Q1293</f>
        <v>Cliente, Vel Max 40 Km/h</v>
      </c>
      <c r="J1295" s="43">
        <f>Data!S1293</f>
        <v>46174.178032407406</v>
      </c>
      <c r="K1295" s="44">
        <f>Data!S1293</f>
        <v>46174.178032407406</v>
      </c>
      <c r="L1295" s="45">
        <f>Data!T1293</f>
        <v>3.5069444444444445E-3</v>
      </c>
      <c r="M1295" s="46">
        <f>Data!U1293</f>
        <v>0</v>
      </c>
      <c r="N1295" s="46" t="str">
        <f>CONCATENATE(Data!W1293," (",Data!V1293,")")</f>
        <v>Tiempo en ralentí (Ignición: 1.00)</v>
      </c>
      <c r="O1295" s="42" t="str">
        <f>IF(Data!V1293&lt;&gt;"",N1295,Data!W1293)</f>
        <v>Tiempo en ralentí (Ignición: 1.00)</v>
      </c>
      <c r="P1295" s="47" t="str">
        <f>Data!X1293</f>
        <v>Válido</v>
      </c>
    </row>
    <row r="1296" spans="1:16">
      <c r="A1296" s="41" t="str">
        <f>Data!A1294</f>
        <v>QLT519</v>
      </c>
      <c r="B1296" s="41" t="str">
        <f>Data!D1294</f>
        <v>Vehicle, Diesel, Frontera Energy Col 2679</v>
      </c>
      <c r="C1296" s="41">
        <f>Data!F1294</f>
        <v>0</v>
      </c>
      <c r="D1296" s="41">
        <f>Data!G1294</f>
        <v>0</v>
      </c>
      <c r="E1296" s="41">
        <f>Data!H1294</f>
        <v>0</v>
      </c>
      <c r="F1296" s="41">
        <f>Data!K1294</f>
        <v>0</v>
      </c>
      <c r="G1296" s="33" t="str">
        <f>Data!M1294</f>
        <v>Uso del cinturón de seguridad</v>
      </c>
      <c r="H1296" s="41" t="str">
        <f>Data!P1294</f>
        <v>ECOPETROL RUBIALES- Quifa - CAÑO SUR: Vía QF-578, Puerto Gaitán, Meta, Colombia</v>
      </c>
      <c r="I1296" s="42" t="str">
        <f>Data!Q1294</f>
        <v>Cliente, Vel Max 40 Km/h</v>
      </c>
      <c r="J1296" s="43">
        <f>Data!S1294</f>
        <v>46174.222025462965</v>
      </c>
      <c r="K1296" s="44">
        <f>Data!S1294</f>
        <v>46174.222025462965</v>
      </c>
      <c r="L1296" s="45">
        <f>Data!T1294</f>
        <v>1.5689814814814814E-4</v>
      </c>
      <c r="M1296" s="46">
        <f>Data!U1294</f>
        <v>3.6150209605693817E-2</v>
      </c>
      <c r="N1296" s="46" t="str">
        <f>CONCATENATE(Data!W1294," (",Data!V1294,")")</f>
        <v>Uso del cinturón de seguridad (Velocidad máxima: 11 kmh Cinturón de seguridad del conductor (1. Desabrochado): 1.00)</v>
      </c>
      <c r="O1296" s="42" t="str">
        <f>IF(Data!V1294&lt;&gt;"",N1296,Data!W1294)</f>
        <v>Uso del cinturón de seguridad (Velocidad máxima: 11 kmh Cinturón de seguridad del conductor (1. Desabrochado): 1.00)</v>
      </c>
      <c r="P1296" s="47" t="str">
        <f>Data!X1294</f>
        <v>Válido</v>
      </c>
    </row>
    <row r="1297" spans="1:16">
      <c r="A1297" s="41" t="str">
        <f>Data!A1295</f>
        <v>QLT519</v>
      </c>
      <c r="B1297" s="41" t="str">
        <f>Data!D1295</f>
        <v>Vehicle, Diesel, Frontera Energy Col 2679</v>
      </c>
      <c r="C1297" s="41">
        <f>Data!F1295</f>
        <v>0</v>
      </c>
      <c r="D1297" s="41">
        <f>Data!G1295</f>
        <v>0</v>
      </c>
      <c r="E1297" s="41">
        <f>Data!H1295</f>
        <v>0</v>
      </c>
      <c r="F1297" s="41">
        <f>Data!K1295</f>
        <v>0</v>
      </c>
      <c r="G1297" s="33" t="str">
        <f>Data!M1295</f>
        <v>Tiempo en ralentí</v>
      </c>
      <c r="H1297" s="41" t="str">
        <f>Data!P1295</f>
        <v>ECOPETROL RUBIALES- Quifa - CAÑO SUR: Vía QF-578, Puerto Gaitán, Meta, Colombia</v>
      </c>
      <c r="I1297" s="42" t="str">
        <f>Data!Q1295</f>
        <v>Cliente, Vel Max 40 Km/h</v>
      </c>
      <c r="J1297" s="43">
        <f>Data!S1295</f>
        <v>46174.258148148147</v>
      </c>
      <c r="K1297" s="44">
        <f>Data!S1295</f>
        <v>46174.258148148147</v>
      </c>
      <c r="L1297" s="45">
        <f>Data!T1295</f>
        <v>9.0247337962962963E-3</v>
      </c>
      <c r="M1297" s="46">
        <f>Data!U1295</f>
        <v>5.3340056183515117E-5</v>
      </c>
      <c r="N1297" s="46" t="str">
        <f>CONCATENATE(Data!W1295," (",Data!V1295,")")</f>
        <v>Tiempo en ralentí (Ignición: 1.00)</v>
      </c>
      <c r="O1297" s="42" t="str">
        <f>IF(Data!V1295&lt;&gt;"",N1297,Data!W1295)</f>
        <v>Tiempo en ralentí (Ignición: 1.00)</v>
      </c>
      <c r="P1297" s="47" t="str">
        <f>Data!X1295</f>
        <v>Válido</v>
      </c>
    </row>
    <row r="1298" spans="1:16">
      <c r="A1298" s="41" t="str">
        <f>Data!A1296</f>
        <v>QLT519</v>
      </c>
      <c r="B1298" s="41" t="str">
        <f>Data!D1296</f>
        <v>Vehicle, Diesel, Frontera Energy Col 2679</v>
      </c>
      <c r="C1298" s="41">
        <f>Data!F1296</f>
        <v>0</v>
      </c>
      <c r="D1298" s="41">
        <f>Data!G1296</f>
        <v>0</v>
      </c>
      <c r="E1298" s="41">
        <f>Data!H1296</f>
        <v>0</v>
      </c>
      <c r="F1298" s="41">
        <f>Data!K1296</f>
        <v>0</v>
      </c>
      <c r="G1298" s="33" t="str">
        <f>Data!M1296</f>
        <v>Tiempo en ralentí</v>
      </c>
      <c r="H1298" s="41" t="str">
        <f>Data!P1296</f>
        <v>ECOPETROL RUBIALES- Quifa - CAÑO SUR: Vía QF-578, Puerto Gaitán, Meta, Colombia</v>
      </c>
      <c r="I1298" s="42" t="str">
        <f>Data!Q1296</f>
        <v>Cliente, Vel Max 40 Km/h</v>
      </c>
      <c r="J1298" s="43">
        <f>Data!S1296</f>
        <v>46174.286945300926</v>
      </c>
      <c r="K1298" s="44">
        <f>Data!S1296</f>
        <v>46174.286945300926</v>
      </c>
      <c r="L1298" s="45">
        <f>Data!T1296</f>
        <v>6.3301620370370369E-3</v>
      </c>
      <c r="M1298" s="46">
        <f>Data!U1296</f>
        <v>7.3975143022835255E-3</v>
      </c>
      <c r="N1298" s="46" t="str">
        <f>CONCATENATE(Data!W1296," (",Data!V1296,")")</f>
        <v>Tiempo en ralentí (Ignición: 1.00)</v>
      </c>
      <c r="O1298" s="42" t="str">
        <f>IF(Data!V1296&lt;&gt;"",N1298,Data!W1296)</f>
        <v>Tiempo en ralentí (Ignición: 1.00)</v>
      </c>
      <c r="P1298" s="47" t="str">
        <f>Data!X1296</f>
        <v>Válido</v>
      </c>
    </row>
    <row r="1299" spans="1:16">
      <c r="A1299" s="41" t="str">
        <f>Data!A1297</f>
        <v>QLT519</v>
      </c>
      <c r="B1299" s="41" t="str">
        <f>Data!D1297</f>
        <v>Vehicle, Diesel, Frontera Energy Col 2679</v>
      </c>
      <c r="C1299" s="41">
        <f>Data!F1297</f>
        <v>0</v>
      </c>
      <c r="D1299" s="41">
        <f>Data!G1297</f>
        <v>0</v>
      </c>
      <c r="E1299" s="41">
        <f>Data!H1297</f>
        <v>0</v>
      </c>
      <c r="F1299" s="41">
        <f>Data!K1297</f>
        <v>0</v>
      </c>
      <c r="G1299" s="33" t="str">
        <f>Data!M1297</f>
        <v>Tiempo en ralentí</v>
      </c>
      <c r="H1299" s="41" t="str">
        <f>Data!P1297</f>
        <v>ECOPETROL RUBIALES- Quifa - CAÑO SUR: Vía QF-578, Puerto Gaitán, Meta, Colombia</v>
      </c>
      <c r="I1299" s="42" t="str">
        <f>Data!Q1297</f>
        <v>Cliente, Vel Max 40 Km/h</v>
      </c>
      <c r="J1299" s="43">
        <f>Data!S1297</f>
        <v>46174.295486111114</v>
      </c>
      <c r="K1299" s="44">
        <f>Data!S1297</f>
        <v>46174.295486111114</v>
      </c>
      <c r="L1299" s="45">
        <f>Data!T1297</f>
        <v>6.8771643518518522E-3</v>
      </c>
      <c r="M1299" s="46">
        <f>Data!U1297</f>
        <v>1.7775431042537093E-3</v>
      </c>
      <c r="N1299" s="46" t="str">
        <f>CONCATENATE(Data!W1297," (",Data!V1297,")")</f>
        <v>Tiempo en ralentí (Ignición: 1.00)</v>
      </c>
      <c r="O1299" s="42" t="str">
        <f>IF(Data!V1297&lt;&gt;"",N1299,Data!W1297)</f>
        <v>Tiempo en ralentí (Ignición: 1.00)</v>
      </c>
      <c r="P1299" s="47" t="str">
        <f>Data!X1297</f>
        <v>Válido</v>
      </c>
    </row>
    <row r="1300" spans="1:16">
      <c r="A1300" s="41" t="str">
        <f>Data!A1298</f>
        <v>QLT519</v>
      </c>
      <c r="B1300" s="41" t="str">
        <f>Data!D1298</f>
        <v>Vehicle, Diesel, Frontera Energy Col 2679</v>
      </c>
      <c r="C1300" s="41">
        <f>Data!F1298</f>
        <v>0</v>
      </c>
      <c r="D1300" s="41">
        <f>Data!G1298</f>
        <v>0</v>
      </c>
      <c r="E1300" s="41">
        <f>Data!H1298</f>
        <v>0</v>
      </c>
      <c r="F1300" s="41">
        <f>Data!K1298</f>
        <v>0</v>
      </c>
      <c r="G1300" s="33" t="str">
        <f>Data!M1298</f>
        <v>Tiempo en ralentí</v>
      </c>
      <c r="H1300" s="41" t="str">
        <f>Data!P1298</f>
        <v>ECOPETROL RUBIALES- Quifa - CAÑO SUR: Vía QF-578, Puerto Gaitán, Meta, Colombia</v>
      </c>
      <c r="I1300" s="42" t="str">
        <f>Data!Q1298</f>
        <v>Cliente, Vel Max 40 Km/h</v>
      </c>
      <c r="J1300" s="43">
        <f>Data!S1298</f>
        <v>46174.317149131944</v>
      </c>
      <c r="K1300" s="44">
        <f>Data!S1298</f>
        <v>46174.317149131944</v>
      </c>
      <c r="L1300" s="45">
        <f>Data!T1298</f>
        <v>8.7845023148148144E-3</v>
      </c>
      <c r="M1300" s="46">
        <f>Data!U1298</f>
        <v>3.5525707062333822E-3</v>
      </c>
      <c r="N1300" s="46" t="str">
        <f>CONCATENATE(Data!W1298," (",Data!V1298,")")</f>
        <v>Tiempo en ralentí (Ignición: 1.00)</v>
      </c>
      <c r="O1300" s="42" t="str">
        <f>IF(Data!V1298&lt;&gt;"",N1300,Data!W1298)</f>
        <v>Tiempo en ralentí (Ignición: 1.00)</v>
      </c>
      <c r="P1300" s="47" t="str">
        <f>Data!X1298</f>
        <v>Válido</v>
      </c>
    </row>
    <row r="1301" spans="1:16">
      <c r="A1301" s="41" t="str">
        <f>Data!A1299</f>
        <v>QLT519</v>
      </c>
      <c r="B1301" s="41" t="str">
        <f>Data!D1299</f>
        <v>Vehicle, Diesel, Frontera Energy Col 2679</v>
      </c>
      <c r="C1301" s="41">
        <f>Data!F1299</f>
        <v>0</v>
      </c>
      <c r="D1301" s="41">
        <f>Data!G1299</f>
        <v>0</v>
      </c>
      <c r="E1301" s="41">
        <f>Data!H1299</f>
        <v>0</v>
      </c>
      <c r="F1301" s="41">
        <f>Data!K1299</f>
        <v>0</v>
      </c>
      <c r="G1301" s="33" t="str">
        <f>Data!M1299</f>
        <v>Tiempo en ralentí</v>
      </c>
      <c r="H1301" s="41" t="str">
        <f>Data!P1299</f>
        <v>ECOPETROL RUBIALES- Quifa - CAÑO SUR: Vía QF-578, Puerto Gaitán, Meta, Colombia</v>
      </c>
      <c r="I1301" s="42" t="str">
        <f>Data!Q1299</f>
        <v>Cliente, Vel Max 40 Km/h</v>
      </c>
      <c r="J1301" s="43">
        <f>Data!S1299</f>
        <v>46174.334699074076</v>
      </c>
      <c r="K1301" s="44">
        <f>Data!S1299</f>
        <v>46174.334699074076</v>
      </c>
      <c r="L1301" s="45">
        <f>Data!T1299</f>
        <v>8.1712962962962963E-3</v>
      </c>
      <c r="M1301" s="46">
        <f>Data!U1299</f>
        <v>0</v>
      </c>
      <c r="N1301" s="46" t="str">
        <f>CONCATENATE(Data!W1299," (",Data!V1299,")")</f>
        <v>Tiempo en ralentí (Ignición: 1.00)</v>
      </c>
      <c r="O1301" s="42" t="str">
        <f>IF(Data!V1299&lt;&gt;"",N1301,Data!W1299)</f>
        <v>Tiempo en ralentí (Ignición: 1.00)</v>
      </c>
      <c r="P1301" s="47" t="str">
        <f>Data!X1299</f>
        <v>Válido</v>
      </c>
    </row>
    <row r="1302" spans="1:16">
      <c r="A1302" s="41" t="str">
        <f>Data!A1300</f>
        <v>QLT519</v>
      </c>
      <c r="B1302" s="41" t="str">
        <f>Data!D1300</f>
        <v>Vehicle, Diesel, Frontera Energy Col 2679</v>
      </c>
      <c r="C1302" s="41">
        <f>Data!F1300</f>
        <v>0</v>
      </c>
      <c r="D1302" s="41">
        <f>Data!G1300</f>
        <v>0</v>
      </c>
      <c r="E1302" s="41">
        <f>Data!H1300</f>
        <v>0</v>
      </c>
      <c r="F1302" s="41">
        <f>Data!K1300</f>
        <v>0</v>
      </c>
      <c r="G1302" s="33" t="str">
        <f>Data!M1300</f>
        <v>Tiempo en ralentí</v>
      </c>
      <c r="H1302" s="41" t="str">
        <f>Data!P1300</f>
        <v>ECOPETROL RUBIALES- Quifa - CAÑO SUR: Vía QF-578, Puerto Gaitán, Meta, Colombia</v>
      </c>
      <c r="I1302" s="42" t="str">
        <f>Data!Q1300</f>
        <v>Cliente, Vel Max 40 Km/h</v>
      </c>
      <c r="J1302" s="43">
        <f>Data!S1300</f>
        <v>46174.379155798611</v>
      </c>
      <c r="K1302" s="44">
        <f>Data!S1300</f>
        <v>46174.379155798611</v>
      </c>
      <c r="L1302" s="45">
        <f>Data!T1300</f>
        <v>4.7151157407407411E-3</v>
      </c>
      <c r="M1302" s="46">
        <f>Data!U1300</f>
        <v>4.0943152271211147E-3</v>
      </c>
      <c r="N1302" s="46" t="str">
        <f>CONCATENATE(Data!W1300," (",Data!V1300,")")</f>
        <v>Tiempo en ralentí (Ignición: 1.00)</v>
      </c>
      <c r="O1302" s="42" t="str">
        <f>IF(Data!V1300&lt;&gt;"",N1302,Data!W1300)</f>
        <v>Tiempo en ralentí (Ignición: 1.00)</v>
      </c>
      <c r="P1302" s="47" t="str">
        <f>Data!X1300</f>
        <v>Válido</v>
      </c>
    </row>
    <row r="1303" spans="1:16">
      <c r="A1303" s="41" t="str">
        <f>Data!A1301</f>
        <v>QLT519</v>
      </c>
      <c r="B1303" s="41" t="str">
        <f>Data!D1301</f>
        <v>Vehicle, Diesel, Frontera Energy Col 2679</v>
      </c>
      <c r="C1303" s="41">
        <f>Data!F1301</f>
        <v>0</v>
      </c>
      <c r="D1303" s="41">
        <f>Data!G1301</f>
        <v>0</v>
      </c>
      <c r="E1303" s="41">
        <f>Data!H1301</f>
        <v>0</v>
      </c>
      <c r="F1303" s="41">
        <f>Data!K1301</f>
        <v>0</v>
      </c>
      <c r="G1303" s="33" t="str">
        <f>Data!M1301</f>
        <v>Tiempo en ralentí</v>
      </c>
      <c r="H1303" s="41" t="str">
        <f>Data!P1301</f>
        <v>ECOPETROL RUBIALES- Quifa - CAÑO SUR: Vía QF-578, Puerto Gaitán, Meta, Colombia</v>
      </c>
      <c r="I1303" s="42" t="str">
        <f>Data!Q1301</f>
        <v>Cliente, Vel Max 40 Km/h</v>
      </c>
      <c r="J1303" s="43">
        <f>Data!S1301</f>
        <v>46174.40749484954</v>
      </c>
      <c r="K1303" s="44">
        <f>Data!S1301</f>
        <v>46174.40749484954</v>
      </c>
      <c r="L1303" s="45">
        <f>Data!T1301</f>
        <v>6.322997685185185E-3</v>
      </c>
      <c r="M1303" s="46">
        <f>Data!U1301</f>
        <v>4.6710954047739506E-3</v>
      </c>
      <c r="N1303" s="46" t="str">
        <f>CONCATENATE(Data!W1301," (",Data!V1301,")")</f>
        <v>Tiempo en ralentí (Ignición: 1.00)</v>
      </c>
      <c r="O1303" s="42" t="str">
        <f>IF(Data!V1301&lt;&gt;"",N1303,Data!W1301)</f>
        <v>Tiempo en ralentí (Ignición: 1.00)</v>
      </c>
      <c r="P1303" s="47" t="str">
        <f>Data!X1301</f>
        <v>Válido</v>
      </c>
    </row>
    <row r="1304" spans="1:16">
      <c r="A1304" s="41" t="str">
        <f>Data!A1302</f>
        <v>QLT519</v>
      </c>
      <c r="B1304" s="41" t="str">
        <f>Data!D1302</f>
        <v>Vehicle, Diesel, Frontera Energy Col 2679</v>
      </c>
      <c r="C1304" s="41">
        <f>Data!F1302</f>
        <v>0</v>
      </c>
      <c r="D1304" s="41">
        <f>Data!G1302</f>
        <v>0</v>
      </c>
      <c r="E1304" s="41">
        <f>Data!H1302</f>
        <v>0</v>
      </c>
      <c r="F1304" s="41">
        <f>Data!K1302</f>
        <v>0</v>
      </c>
      <c r="G1304" s="33" t="str">
        <f>Data!M1302</f>
        <v>Tiempo en ralentí</v>
      </c>
      <c r="H1304" s="41" t="str">
        <f>Data!P1302</f>
        <v>ECOPETROL RUBIALES- Quifa - CAÑO SUR: Vía QF-578, Puerto Gaitán, Meta, Colombia</v>
      </c>
      <c r="I1304" s="42" t="str">
        <f>Data!Q1302</f>
        <v>Cliente, Vel Max 40 Km/h</v>
      </c>
      <c r="J1304" s="43">
        <f>Data!S1302</f>
        <v>46174.479102349535</v>
      </c>
      <c r="K1304" s="44">
        <f>Data!S1302</f>
        <v>46174.479102349535</v>
      </c>
      <c r="L1304" s="45">
        <f>Data!T1302</f>
        <v>1.0917094907407407E-2</v>
      </c>
      <c r="M1304" s="46">
        <f>Data!U1302</f>
        <v>2.5181690230965614E-2</v>
      </c>
      <c r="N1304" s="46" t="str">
        <f>CONCATENATE(Data!W1302," (",Data!V1302,")")</f>
        <v>Tiempo en ralentí (Ignición: 1.00)</v>
      </c>
      <c r="O1304" s="42" t="str">
        <f>IF(Data!V1302&lt;&gt;"",N1304,Data!W1302)</f>
        <v>Tiempo en ralentí (Ignición: 1.00)</v>
      </c>
      <c r="P1304" s="47" t="str">
        <f>Data!X1302</f>
        <v>Válido</v>
      </c>
    </row>
    <row r="1305" spans="1:16">
      <c r="A1305" s="41" t="str">
        <f>Data!A1303</f>
        <v>QLT519</v>
      </c>
      <c r="B1305" s="41" t="str">
        <f>Data!D1303</f>
        <v>Vehicle, Diesel, Frontera Energy Col 2679</v>
      </c>
      <c r="C1305" s="41">
        <f>Data!F1303</f>
        <v>0</v>
      </c>
      <c r="D1305" s="41">
        <f>Data!G1303</f>
        <v>0</v>
      </c>
      <c r="E1305" s="41">
        <f>Data!H1303</f>
        <v>0</v>
      </c>
      <c r="F1305" s="41">
        <f>Data!K1303</f>
        <v>0</v>
      </c>
      <c r="G1305" s="33" t="str">
        <f>Data!M1303</f>
        <v>Tiempo en ralentí</v>
      </c>
      <c r="H1305" s="41" t="str">
        <f>Data!P1303</f>
        <v>ECOPETROL RUBIALES- Quifa - CAÑO SUR: Vía QF-578, Puerto Gaitán, Meta, Colombia</v>
      </c>
      <c r="I1305" s="42" t="str">
        <f>Data!Q1303</f>
        <v>Cliente, Vel Max 40 Km/h</v>
      </c>
      <c r="J1305" s="43">
        <f>Data!S1303</f>
        <v>46174.516772141207</v>
      </c>
      <c r="K1305" s="44">
        <f>Data!S1303</f>
        <v>46174.516772141207</v>
      </c>
      <c r="L1305" s="45">
        <f>Data!T1303</f>
        <v>1.0343912037037037E-2</v>
      </c>
      <c r="M1305" s="46">
        <f>Data!U1303</f>
        <v>2.9816285241395235E-3</v>
      </c>
      <c r="N1305" s="46" t="str">
        <f>CONCATENATE(Data!W1303," (",Data!V1303,")")</f>
        <v>Tiempo en ralentí (Ignición: 1.00)</v>
      </c>
      <c r="O1305" s="42" t="str">
        <f>IF(Data!V1303&lt;&gt;"",N1305,Data!W1303)</f>
        <v>Tiempo en ralentí (Ignición: 1.00)</v>
      </c>
      <c r="P1305" s="47" t="str">
        <f>Data!X1303</f>
        <v>Válido</v>
      </c>
    </row>
    <row r="1306" spans="1:16">
      <c r="A1306" s="41" t="str">
        <f>Data!A1304</f>
        <v>QLT519</v>
      </c>
      <c r="B1306" s="41" t="str">
        <f>Data!D1304</f>
        <v>Vehicle, Diesel, Frontera Energy Col 2679</v>
      </c>
      <c r="C1306" s="41">
        <f>Data!F1304</f>
        <v>0</v>
      </c>
      <c r="D1306" s="41">
        <f>Data!G1304</f>
        <v>0</v>
      </c>
      <c r="E1306" s="41">
        <f>Data!H1304</f>
        <v>0</v>
      </c>
      <c r="F1306" s="41">
        <f>Data!K1304</f>
        <v>0</v>
      </c>
      <c r="G1306" s="33" t="str">
        <f>Data!M1304</f>
        <v>Tiempo en ralentí</v>
      </c>
      <c r="H1306" s="41" t="str">
        <f>Data!P1304</f>
        <v>ECOPETROL RUBIALES- Quifa - CAÑO SUR: Vía QF-578, Puerto Gaitán, Meta, Colombia</v>
      </c>
      <c r="I1306" s="42" t="str">
        <f>Data!Q1304</f>
        <v>Cliente, Vel Max 40 Km/h</v>
      </c>
      <c r="J1306" s="43">
        <f>Data!S1304</f>
        <v>46174.588780972219</v>
      </c>
      <c r="K1306" s="44">
        <f>Data!S1304</f>
        <v>46174.588780972219</v>
      </c>
      <c r="L1306" s="45">
        <f>Data!T1304</f>
        <v>8.8546643518518514E-3</v>
      </c>
      <c r="M1306" s="46">
        <f>Data!U1304</f>
        <v>1.9332912052050233E-3</v>
      </c>
      <c r="N1306" s="46" t="str">
        <f>CONCATENATE(Data!W1304," (",Data!V1304,")")</f>
        <v>Tiempo en ralentí (Ignición: 1.00)</v>
      </c>
      <c r="O1306" s="42" t="str">
        <f>IF(Data!V1304&lt;&gt;"",N1306,Data!W1304)</f>
        <v>Tiempo en ralentí (Ignición: 1.00)</v>
      </c>
      <c r="P1306" s="47" t="str">
        <f>Data!X1304</f>
        <v>Válido</v>
      </c>
    </row>
    <row r="1307" spans="1:16">
      <c r="A1307" s="41" t="str">
        <f>Data!A1305</f>
        <v>QLT519</v>
      </c>
      <c r="B1307" s="41" t="str">
        <f>Data!D1305</f>
        <v>Vehicle, Diesel, Frontera Energy Col 2679</v>
      </c>
      <c r="C1307" s="41">
        <f>Data!F1305</f>
        <v>0</v>
      </c>
      <c r="D1307" s="41">
        <f>Data!G1305</f>
        <v>0</v>
      </c>
      <c r="E1307" s="41">
        <f>Data!H1305</f>
        <v>0</v>
      </c>
      <c r="F1307" s="41">
        <f>Data!K1305</f>
        <v>0</v>
      </c>
      <c r="G1307" s="33" t="str">
        <f>Data!M1305</f>
        <v>Tiempo en ralentí</v>
      </c>
      <c r="H1307" s="41" t="str">
        <f>Data!P1305</f>
        <v>ECOPETROL RUBIALES- Quifa - CAÑO SUR: Vía QF-578, Puerto Gaitán, Meta, Colombia</v>
      </c>
      <c r="I1307" s="42" t="str">
        <f>Data!Q1305</f>
        <v>Cliente, Vel Max 40 Km/h</v>
      </c>
      <c r="J1307" s="43">
        <f>Data!S1305</f>
        <v>46174.624535648145</v>
      </c>
      <c r="K1307" s="44">
        <f>Data!S1305</f>
        <v>46174.624535648145</v>
      </c>
      <c r="L1307" s="45">
        <f>Data!T1305</f>
        <v>9.7814814814814813E-3</v>
      </c>
      <c r="M1307" s="46">
        <f>Data!U1305</f>
        <v>2.1175732836127281E-2</v>
      </c>
      <c r="N1307" s="46" t="str">
        <f>CONCATENATE(Data!W1305," (",Data!V1305,")")</f>
        <v>Tiempo en ralentí (Ignición: 1.00)</v>
      </c>
      <c r="O1307" s="42" t="str">
        <f>IF(Data!V1305&lt;&gt;"",N1307,Data!W1305)</f>
        <v>Tiempo en ralentí (Ignición: 1.00)</v>
      </c>
      <c r="P1307" s="47" t="str">
        <f>Data!X1305</f>
        <v>Válido</v>
      </c>
    </row>
    <row r="1308" spans="1:16">
      <c r="A1308" s="41" t="str">
        <f>Data!A1306</f>
        <v>QLT519</v>
      </c>
      <c r="B1308" s="41" t="str">
        <f>Data!D1306</f>
        <v>Vehicle, Diesel, Frontera Energy Col 2679</v>
      </c>
      <c r="C1308" s="41">
        <f>Data!F1306</f>
        <v>0</v>
      </c>
      <c r="D1308" s="41">
        <f>Data!G1306</f>
        <v>0</v>
      </c>
      <c r="E1308" s="41">
        <f>Data!H1306</f>
        <v>0</v>
      </c>
      <c r="F1308" s="41">
        <f>Data!K1306</f>
        <v>0</v>
      </c>
      <c r="G1308" s="33" t="str">
        <f>Data!M1306</f>
        <v>Tiempo en ralentí</v>
      </c>
      <c r="H1308" s="41" t="str">
        <f>Data!P1306</f>
        <v>ECOPETROL RUBIALES- Quifa - CAÑO SUR: Vía QF-578, Puerto Gaitán, Meta, Colombia</v>
      </c>
      <c r="I1308" s="42" t="str">
        <f>Data!Q1306</f>
        <v>Cliente, Vel Max 40 Km/h</v>
      </c>
      <c r="J1308" s="43">
        <f>Data!S1306</f>
        <v>46174.66548891204</v>
      </c>
      <c r="K1308" s="44">
        <f>Data!S1306</f>
        <v>46174.66548891204</v>
      </c>
      <c r="L1308" s="45">
        <f>Data!T1306</f>
        <v>6.3615972222222225E-3</v>
      </c>
      <c r="M1308" s="46">
        <f>Data!U1306</f>
        <v>3.3411683980375528E-3</v>
      </c>
      <c r="N1308" s="46" t="str">
        <f>CONCATENATE(Data!W1306," (",Data!V1306,")")</f>
        <v>Tiempo en ralentí (Ignición: 1.00)</v>
      </c>
      <c r="O1308" s="42" t="str">
        <f>IF(Data!V1306&lt;&gt;"",N1308,Data!W1306)</f>
        <v>Tiempo en ralentí (Ignición: 1.00)</v>
      </c>
      <c r="P1308" s="47" t="str">
        <f>Data!X1306</f>
        <v>Válido</v>
      </c>
    </row>
    <row r="1309" spans="1:16">
      <c r="A1309" s="41" t="str">
        <f>Data!A1307</f>
        <v>QLT519</v>
      </c>
      <c r="B1309" s="41" t="str">
        <f>Data!D1307</f>
        <v>Vehicle, Diesel, Frontera Energy Col 2679</v>
      </c>
      <c r="C1309" s="41">
        <f>Data!F1307</f>
        <v>0</v>
      </c>
      <c r="D1309" s="41">
        <f>Data!G1307</f>
        <v>0</v>
      </c>
      <c r="E1309" s="41">
        <f>Data!H1307</f>
        <v>0</v>
      </c>
      <c r="F1309" s="41">
        <f>Data!K1307</f>
        <v>0</v>
      </c>
      <c r="G1309" s="33" t="str">
        <f>Data!M1307</f>
        <v>Tiempo en ralentí</v>
      </c>
      <c r="H1309" s="41" t="str">
        <f>Data!P1307</f>
        <v>ECOPETROL RUBIALES- Quifa - CAÑO SUR: Vía QF-578, Puerto Gaitán, Meta, Colombia</v>
      </c>
      <c r="I1309" s="42" t="str">
        <f>Data!Q1307</f>
        <v>Cliente, Vel Max 40 Km/h</v>
      </c>
      <c r="J1309" s="43">
        <f>Data!S1307</f>
        <v>46174.700589363427</v>
      </c>
      <c r="K1309" s="44">
        <f>Data!S1307</f>
        <v>46174.700589363427</v>
      </c>
      <c r="L1309" s="45">
        <f>Data!T1307</f>
        <v>7.7704166666666668E-3</v>
      </c>
      <c r="M1309" s="46">
        <f>Data!U1307</f>
        <v>5.6737316772341728E-3</v>
      </c>
      <c r="N1309" s="46" t="str">
        <f>CONCATENATE(Data!W1307," (",Data!V1307,")")</f>
        <v>Tiempo en ralentí (Ignición: 1.00)</v>
      </c>
      <c r="O1309" s="42" t="str">
        <f>IF(Data!V1307&lt;&gt;"",N1309,Data!W1307)</f>
        <v>Tiempo en ralentí (Ignición: 1.00)</v>
      </c>
      <c r="P1309" s="47" t="str">
        <f>Data!X1307</f>
        <v>Válido</v>
      </c>
    </row>
    <row r="1310" spans="1:16">
      <c r="A1310" s="41" t="str">
        <f>Data!A1308</f>
        <v>QLT519</v>
      </c>
      <c r="B1310" s="41" t="str">
        <f>Data!D1308</f>
        <v>Vehicle, Diesel, Frontera Energy Col 2679</v>
      </c>
      <c r="C1310" s="41">
        <f>Data!F1308</f>
        <v>0</v>
      </c>
      <c r="D1310" s="41">
        <f>Data!G1308</f>
        <v>0</v>
      </c>
      <c r="E1310" s="41">
        <f>Data!H1308</f>
        <v>0</v>
      </c>
      <c r="F1310" s="41">
        <f>Data!K1308</f>
        <v>0</v>
      </c>
      <c r="G1310" s="33" t="str">
        <f>Data!M1308</f>
        <v>Tiempo en ralentí</v>
      </c>
      <c r="H1310" s="41" t="str">
        <f>Data!P1308</f>
        <v>ECOPETROL RUBIALES- Quifa - CAÑO SUR: Vía QF-578, Puerto Gaitán, Meta, Colombia</v>
      </c>
      <c r="I1310" s="42" t="str">
        <f>Data!Q1308</f>
        <v>Cliente, Vel Max 40 Km/h</v>
      </c>
      <c r="J1310" s="43">
        <f>Data!S1308</f>
        <v>46174.963301076386</v>
      </c>
      <c r="K1310" s="44">
        <f>Data!S1308</f>
        <v>46174.963301076386</v>
      </c>
      <c r="L1310" s="45">
        <f>Data!T1308</f>
        <v>4.0947569444444443E-3</v>
      </c>
      <c r="M1310" s="46">
        <f>Data!U1308</f>
        <v>5.2991644479334354E-3</v>
      </c>
      <c r="N1310" s="46" t="str">
        <f>CONCATENATE(Data!W1308," (",Data!V1308,")")</f>
        <v>Tiempo en ralentí (Ignición: 1.00)</v>
      </c>
      <c r="O1310" s="42" t="str">
        <f>IF(Data!V1308&lt;&gt;"",N1310,Data!W1308)</f>
        <v>Tiempo en ralentí (Ignición: 1.00)</v>
      </c>
      <c r="P1310" s="47" t="str">
        <f>Data!X1308</f>
        <v>Válido</v>
      </c>
    </row>
    <row r="1311" spans="1:16">
      <c r="A1311" s="41" t="str">
        <f>Data!A1309</f>
        <v>QLT519</v>
      </c>
      <c r="B1311" s="41" t="str">
        <f>Data!D1309</f>
        <v>Vehicle, Diesel, Frontera Energy Col 2679</v>
      </c>
      <c r="C1311" s="41">
        <f>Data!F1309</f>
        <v>0</v>
      </c>
      <c r="D1311" s="41">
        <f>Data!G1309</f>
        <v>0</v>
      </c>
      <c r="E1311" s="41">
        <f>Data!H1309</f>
        <v>0</v>
      </c>
      <c r="F1311" s="41">
        <f>Data!K1309</f>
        <v>0</v>
      </c>
      <c r="G1311" s="33" t="str">
        <f>Data!M1309</f>
        <v>Uso del cinturón de seguridad</v>
      </c>
      <c r="H1311" s="41" t="str">
        <f>Data!P1309</f>
        <v>ECOPETROL RUBIALES- Quifa - CAÑO SUR: Vía Sin Nombre, Puerto Gaitán, Meta, Colombia</v>
      </c>
      <c r="I1311" s="42" t="str">
        <f>Data!Q1309</f>
        <v>Cliente, Vel Max 40 Km/h</v>
      </c>
      <c r="J1311" s="43">
        <f>Data!S1309</f>
        <v>46174.971952708336</v>
      </c>
      <c r="K1311" s="44">
        <f>Data!S1309</f>
        <v>46174.971952708336</v>
      </c>
      <c r="L1311" s="45">
        <f>Data!T1309</f>
        <v>2.1936342592592594E-4</v>
      </c>
      <c r="M1311" s="46">
        <f>Data!U1309</f>
        <v>6.0617540031671524E-2</v>
      </c>
      <c r="N1311" s="46" t="str">
        <f>CONCATENATE(Data!W1309," (",Data!V1309,")")</f>
        <v>Uso del cinturón de seguridad (Velocidad máxima: 13 kmh Cinturón de seguridad del conductor (1. Desabrochado): 1.00)</v>
      </c>
      <c r="O1311" s="42" t="str">
        <f>IF(Data!V1309&lt;&gt;"",N1311,Data!W1309)</f>
        <v>Uso del cinturón de seguridad (Velocidad máxima: 13 kmh Cinturón de seguridad del conductor (1. Desabrochado): 1.00)</v>
      </c>
      <c r="P1311" s="47" t="str">
        <f>Data!X1309</f>
        <v>Válido</v>
      </c>
    </row>
    <row r="1312" spans="1:16">
      <c r="A1312" s="41" t="str">
        <f>Data!A1310</f>
        <v>QLT528</v>
      </c>
      <c r="B1312" s="41" t="str">
        <f>Data!D1310</f>
        <v>Vehicle, Diesel, Frontera Energy Col 2679</v>
      </c>
      <c r="C1312" s="41">
        <f>Data!F1310</f>
        <v>0</v>
      </c>
      <c r="D1312" s="41">
        <f>Data!G1310</f>
        <v>0</v>
      </c>
      <c r="E1312" s="41">
        <f>Data!H1310</f>
        <v>0</v>
      </c>
      <c r="F1312" s="41">
        <f>Data!K1310</f>
        <v>0</v>
      </c>
      <c r="G1312" s="33" t="str">
        <f>Data!M1310</f>
        <v>Exceso Velocidad 10 Km/h</v>
      </c>
      <c r="H1312" s="41" t="str">
        <f>Data!P1310</f>
        <v>ECOPETROL RUBIALES- Quifa - CAÑO SUR, Puerto Triunfo - Estacion Policia, PUESTRO CONTROL QUIFA: Puerto Gaitan - Rubiales, Puerto Gaitán, Meta, Colombia</v>
      </c>
      <c r="I1312" s="42" t="str">
        <f>Data!Q1310</f>
        <v>Cliente, Vel Max 40 Km/h, Vel Max 30 Km/h, Vel Max 10 Km/h</v>
      </c>
      <c r="J1312" s="43">
        <f>Data!S1310</f>
        <v>46174.243295740744</v>
      </c>
      <c r="K1312" s="44">
        <f>Data!S1310</f>
        <v>46174.243295740744</v>
      </c>
      <c r="L1312" s="45">
        <f>Data!T1310</f>
        <v>1.6781249999999999E-4</v>
      </c>
      <c r="M1312" s="46">
        <f>Data!U1310</f>
        <v>7.9250730574131012E-2</v>
      </c>
      <c r="N1312" s="46" t="str">
        <f>CONCATENATE(Data!W1310," (",Data!V1310,")")</f>
        <v>Exceso Velocidad 10 Km/h (Velocidad máxima: 24 kmh)</v>
      </c>
      <c r="O1312" s="42" t="str">
        <f>IF(Data!V1310&lt;&gt;"",N1312,Data!W1310)</f>
        <v>Exceso Velocidad 10 Km/h (Velocidad máxima: 24 kmh)</v>
      </c>
      <c r="P1312" s="47" t="str">
        <f>Data!X1310</f>
        <v>Válido</v>
      </c>
    </row>
    <row r="1313" spans="1:16">
      <c r="A1313" s="41" t="str">
        <f>Data!A1311</f>
        <v>QLT528</v>
      </c>
      <c r="B1313" s="41" t="str">
        <f>Data!D1311</f>
        <v>Vehicle, Diesel, Frontera Energy Col 2679</v>
      </c>
      <c r="C1313" s="41">
        <f>Data!F1311</f>
        <v>0</v>
      </c>
      <c r="D1313" s="41">
        <f>Data!G1311</f>
        <v>0</v>
      </c>
      <c r="E1313" s="41">
        <f>Data!H1311</f>
        <v>0</v>
      </c>
      <c r="F1313" s="41">
        <f>Data!K1311</f>
        <v>0</v>
      </c>
      <c r="G1313" s="33" t="str">
        <f>Data!M1311</f>
        <v>Exceso Velocidad 10 Km/h</v>
      </c>
      <c r="H1313" s="41" t="str">
        <f>Data!P1311</f>
        <v>ECOPETROL RUBIALES- Quifa - CAÑO SUR, Puerto Triunfo - Estacion Policia, PUESTRO CONTROL QUIFA: Puerto Gaitan - Rubiales, Puerto Gaitán, Meta, Colombia</v>
      </c>
      <c r="I1313" s="42" t="str">
        <f>Data!Q1311</f>
        <v>Cliente, Vel Max 40 Km/h, Vel Max 30 Km/h, Vel Max 10 Km/h</v>
      </c>
      <c r="J1313" s="43">
        <f>Data!S1311</f>
        <v>46174.246571365744</v>
      </c>
      <c r="K1313" s="44">
        <f>Data!S1311</f>
        <v>46174.246571365744</v>
      </c>
      <c r="L1313" s="45">
        <f>Data!T1311</f>
        <v>1.9365740740740742E-4</v>
      </c>
      <c r="M1313" s="46">
        <f>Data!U1311</f>
        <v>7.7775426208972931E-2</v>
      </c>
      <c r="N1313" s="46" t="str">
        <f>CONCATENATE(Data!W1311," (",Data!V1311,")")</f>
        <v>Exceso Velocidad 10 Km/h (Velocidad máxima: 19 kmh)</v>
      </c>
      <c r="O1313" s="42" t="str">
        <f>IF(Data!V1311&lt;&gt;"",N1313,Data!W1311)</f>
        <v>Exceso Velocidad 10 Km/h (Velocidad máxima: 19 kmh)</v>
      </c>
      <c r="P1313" s="47" t="str">
        <f>Data!X1311</f>
        <v>Válido</v>
      </c>
    </row>
    <row r="1314" spans="1:16">
      <c r="A1314" s="41" t="str">
        <f>Data!A1312</f>
        <v>QLT528</v>
      </c>
      <c r="B1314" s="41" t="str">
        <f>Data!D1312</f>
        <v>Vehicle, Diesel, Frontera Energy Col 2679</v>
      </c>
      <c r="C1314" s="41">
        <f>Data!F1312</f>
        <v>0</v>
      </c>
      <c r="D1314" s="41">
        <f>Data!G1312</f>
        <v>0</v>
      </c>
      <c r="E1314" s="41">
        <f>Data!H1312</f>
        <v>0</v>
      </c>
      <c r="F1314" s="41">
        <f>Data!K1312</f>
        <v>0</v>
      </c>
      <c r="G1314" s="33" t="str">
        <f>Data!M1312</f>
        <v>Exceso Velocidad 10 Km/h</v>
      </c>
      <c r="H1314" s="41" t="str">
        <f>Data!P1312</f>
        <v>CAMPAMENTO QUIFA, ECOPETROL RUBIALES- Quifa - CAÑO SUR, Puerto Gaitan - Rubiales, Puerto Gaitán, Meta, Colombia: Ent. CAMPAMENTO, Puerto Gaitán, Meta, Colombia</v>
      </c>
      <c r="I1314" s="42" t="str">
        <f>Data!Q1312</f>
        <v>Vel Max 10 Km/h, Cliente, Vel Max 40 Km/h, Centro de servicios del proveedor</v>
      </c>
      <c r="J1314" s="43">
        <f>Data!S1312</f>
        <v>46174.248663622682</v>
      </c>
      <c r="K1314" s="44">
        <f>Data!S1312</f>
        <v>46174.248663622682</v>
      </c>
      <c r="L1314" s="45">
        <f>Data!T1312</f>
        <v>1.4259259259259259E-5</v>
      </c>
      <c r="M1314" s="46">
        <f>Data!U1312</f>
        <v>2.4862545542418957E-3</v>
      </c>
      <c r="N1314" s="46" t="str">
        <f>CONCATENATE(Data!W1312," (",Data!V1312,")")</f>
        <v>Exceso Velocidad 10 Km/h (Velocidad máxima: 11 kmh)</v>
      </c>
      <c r="O1314" s="42" t="str">
        <f>IF(Data!V1312&lt;&gt;"",N1314,Data!W1312)</f>
        <v>Exceso Velocidad 10 Km/h (Velocidad máxima: 11 kmh)</v>
      </c>
      <c r="P1314" s="47" t="str">
        <f>Data!X1312</f>
        <v>Válido</v>
      </c>
    </row>
    <row r="1315" spans="1:16">
      <c r="A1315" s="41" t="str">
        <f>Data!A1313</f>
        <v>QLT528</v>
      </c>
      <c r="B1315" s="41" t="str">
        <f>Data!D1313</f>
        <v>Vehicle, Diesel, Frontera Energy Col 2679</v>
      </c>
      <c r="C1315" s="41">
        <f>Data!F1313</f>
        <v>0</v>
      </c>
      <c r="D1315" s="41">
        <f>Data!G1313</f>
        <v>0</v>
      </c>
      <c r="E1315" s="41">
        <f>Data!H1313</f>
        <v>0</v>
      </c>
      <c r="F1315" s="41">
        <f>Data!K1313</f>
        <v>0</v>
      </c>
      <c r="G1315" s="33" t="str">
        <f>Data!M1313</f>
        <v>Exceso Velocidad 10 Km/h</v>
      </c>
      <c r="H1315" s="41" t="str">
        <f>Data!P1313</f>
        <v>CAMPAMENTO QUIFA, ECOPETROL RUBIALES- Quifa - CAÑO SUR, Puerto Gaitan - Rubiales, Puerto Gaitán, Meta, Colombia, Campamento Quifa - CMA: Ent. CAMPAMENTO, Puerto Gaitán, Meta, Colombia</v>
      </c>
      <c r="I1315" s="42" t="str">
        <f>Data!Q1313</f>
        <v>Vel Max 10 Km/h, Cliente, Vel Max 40 Km/h, Centro de servicios del proveedor</v>
      </c>
      <c r="J1315" s="43">
        <f>Data!S1313</f>
        <v>46174.248892013886</v>
      </c>
      <c r="K1315" s="44">
        <f>Data!S1313</f>
        <v>46174.248892013886</v>
      </c>
      <c r="L1315" s="45">
        <f>Data!T1313</f>
        <v>1.6395833333333334E-4</v>
      </c>
      <c r="M1315" s="46">
        <f>Data!U1313</f>
        <v>4.3007507920265198E-2</v>
      </c>
      <c r="N1315" s="46" t="str">
        <f>CONCATENATE(Data!W1313," (",Data!V1313,")")</f>
        <v>Exceso Velocidad 10 Km/h (Velocidad máxima: 12 kmh)</v>
      </c>
      <c r="O1315" s="42" t="str">
        <f>IF(Data!V1313&lt;&gt;"",N1315,Data!W1313)</f>
        <v>Exceso Velocidad 10 Km/h (Velocidad máxima: 12 kmh)</v>
      </c>
      <c r="P1315" s="47" t="str">
        <f>Data!X1313</f>
        <v>Válido</v>
      </c>
    </row>
    <row r="1316" spans="1:16">
      <c r="A1316" s="41" t="str">
        <f>Data!A1314</f>
        <v>QLT528</v>
      </c>
      <c r="B1316" s="41" t="str">
        <f>Data!D1314</f>
        <v>Vehicle, Diesel, Frontera Energy Col 2679</v>
      </c>
      <c r="C1316" s="41">
        <f>Data!F1314</f>
        <v>0</v>
      </c>
      <c r="D1316" s="41">
        <f>Data!G1314</f>
        <v>0</v>
      </c>
      <c r="E1316" s="41">
        <f>Data!H1314</f>
        <v>0</v>
      </c>
      <c r="F1316" s="41">
        <f>Data!K1314</f>
        <v>0</v>
      </c>
      <c r="G1316" s="33" t="str">
        <f>Data!M1314</f>
        <v>Exceso Velocidad 10 Km/h</v>
      </c>
      <c r="H1316" s="41" t="str">
        <f>Data!P1314</f>
        <v>CAMPAMENTO QUIFA, ECOPETROL RUBIALES- Quifa - CAÑO SUR, Puerto Gaitan - Rubiales, Puerto Gaitán, Meta, Colombia, Puerto Triunfo - Estacion Policia: Ent. CAMPAMENTO, Puerto Gaitán, Meta, Colombia</v>
      </c>
      <c r="I1316" s="42" t="str">
        <f>Data!Q1314</f>
        <v>Vel Max 10 Km/h, Cliente, Vel Max 40 Km/h, Centro de servicios del proveedor, Vel Max 30 Km/h</v>
      </c>
      <c r="J1316" s="43">
        <f>Data!S1314</f>
        <v>46174.308409016201</v>
      </c>
      <c r="K1316" s="44">
        <f>Data!S1314</f>
        <v>46174.308409016201</v>
      </c>
      <c r="L1316" s="45">
        <f>Data!T1314</f>
        <v>9.1435185185185185E-7</v>
      </c>
      <c r="M1316" s="46">
        <f>Data!U1314</f>
        <v>2.0149044576101005E-4</v>
      </c>
      <c r="N1316" s="46" t="str">
        <f>CONCATENATE(Data!W1314," (",Data!V1314,")")</f>
        <v>Exceso Velocidad 10 Km/h (Velocidad máxima: 10 kmh)</v>
      </c>
      <c r="O1316" s="42" t="str">
        <f>IF(Data!V1314&lt;&gt;"",N1316,Data!W1314)</f>
        <v>Exceso Velocidad 10 Km/h (Velocidad máxima: 10 kmh)</v>
      </c>
      <c r="P1316" s="47" t="str">
        <f>Data!X1314</f>
        <v>Válido</v>
      </c>
    </row>
    <row r="1317" spans="1:16">
      <c r="A1317" s="41" t="str">
        <f>Data!A1315</f>
        <v>QLT528</v>
      </c>
      <c r="B1317" s="41" t="str">
        <f>Data!D1315</f>
        <v>Vehicle, Diesel, Frontera Energy Col 2679</v>
      </c>
      <c r="C1317" s="41">
        <f>Data!F1315</f>
        <v>0</v>
      </c>
      <c r="D1317" s="41">
        <f>Data!G1315</f>
        <v>0</v>
      </c>
      <c r="E1317" s="41">
        <f>Data!H1315</f>
        <v>0</v>
      </c>
      <c r="F1317" s="41">
        <f>Data!K1315</f>
        <v>0</v>
      </c>
      <c r="G1317" s="33" t="str">
        <f>Data!M1315</f>
        <v>Exceso Velocidad 30 Km/h</v>
      </c>
      <c r="H1317" s="41" t="str">
        <f>Data!P1315</f>
        <v>ECOPETROL RUBIALES- Quifa - CAÑO SUR, Puerto Triunfo - Estacion Policia: Puerto Gaitan - Rubiales, Puerto Gaitán, Meta, Colombia</v>
      </c>
      <c r="I1317" s="42" t="str">
        <f>Data!Q1315</f>
        <v>Cliente, Vel Max 40 Km/h, Vel Max 30 Km/h</v>
      </c>
      <c r="J1317" s="43">
        <f>Data!S1315</f>
        <v>46174.309512141204</v>
      </c>
      <c r="K1317" s="44">
        <f>Data!S1315</f>
        <v>46174.309512141204</v>
      </c>
      <c r="L1317" s="45">
        <f>Data!T1315</f>
        <v>2.9740740740740742E-4</v>
      </c>
      <c r="M1317" s="46">
        <f>Data!U1315</f>
        <v>0.24100759625434875</v>
      </c>
      <c r="N1317" s="46" t="str">
        <f>CONCATENATE(Data!W1315," (",Data!V1315,")")</f>
        <v>Exceso Velocidad 30 Km/h (Velocidad máxima: 34 kmh)</v>
      </c>
      <c r="O1317" s="42" t="str">
        <f>IF(Data!V1315&lt;&gt;"",N1317,Data!W1315)</f>
        <v>Exceso Velocidad 30 Km/h (Velocidad máxima: 34 kmh)</v>
      </c>
      <c r="P1317" s="47" t="str">
        <f>Data!X1315</f>
        <v>Válido</v>
      </c>
    </row>
    <row r="1318" spans="1:16">
      <c r="A1318" s="41" t="str">
        <f>Data!A1316</f>
        <v>QLT528</v>
      </c>
      <c r="B1318" s="41" t="str">
        <f>Data!D1316</f>
        <v>Vehicle, Diesel, Frontera Energy Col 2679</v>
      </c>
      <c r="C1318" s="41">
        <f>Data!F1316</f>
        <v>0</v>
      </c>
      <c r="D1318" s="41">
        <f>Data!G1316</f>
        <v>0</v>
      </c>
      <c r="E1318" s="41">
        <f>Data!H1316</f>
        <v>0</v>
      </c>
      <c r="F1318" s="41">
        <f>Data!K1316</f>
        <v>0</v>
      </c>
      <c r="G1318" s="33" t="str">
        <f>Data!M1316</f>
        <v>Exceso Velocidad 30 Km/h</v>
      </c>
      <c r="H1318" s="41" t="str">
        <f>Data!P1316</f>
        <v>ECOPETROL RUBIALES- Quifa - CAÑO SUR, Puerto Triunfo - Estacion Policia: Puerto Gaitan - Rubiales, Puerto Gaitán, Meta, Colombia</v>
      </c>
      <c r="I1318" s="42" t="str">
        <f>Data!Q1316</f>
        <v>Cliente, Vel Max 40 Km/h, Vel Max 30 Km/h</v>
      </c>
      <c r="J1318" s="43">
        <f>Data!S1316</f>
        <v>46174.310193715275</v>
      </c>
      <c r="K1318" s="44">
        <f>Data!S1316</f>
        <v>46174.310193715275</v>
      </c>
      <c r="L1318" s="45">
        <f>Data!T1316</f>
        <v>5.7141203703703706E-5</v>
      </c>
      <c r="M1318" s="46">
        <f>Data!U1316</f>
        <v>4.5406859368085861E-2</v>
      </c>
      <c r="N1318" s="46" t="str">
        <f>CONCATENATE(Data!W1316," (",Data!V1316,")")</f>
        <v>Exceso Velocidad 30 Km/h (Velocidad máxima: 35 kmh)</v>
      </c>
      <c r="O1318" s="42" t="str">
        <f>IF(Data!V1316&lt;&gt;"",N1318,Data!W1316)</f>
        <v>Exceso Velocidad 30 Km/h (Velocidad máxima: 35 kmh)</v>
      </c>
      <c r="P1318" s="47" t="str">
        <f>Data!X1316</f>
        <v>Válido</v>
      </c>
    </row>
    <row r="1319" spans="1:16">
      <c r="A1319" s="41" t="str">
        <f>Data!A1317</f>
        <v>QLT528</v>
      </c>
      <c r="B1319" s="41" t="str">
        <f>Data!D1317</f>
        <v>Vehicle, Diesel, Frontera Energy Col 2679</v>
      </c>
      <c r="C1319" s="41">
        <f>Data!F1317</f>
        <v>0</v>
      </c>
      <c r="D1319" s="41">
        <f>Data!G1317</f>
        <v>0</v>
      </c>
      <c r="E1319" s="41">
        <f>Data!H1317</f>
        <v>0</v>
      </c>
      <c r="F1319" s="41">
        <f>Data!K1317</f>
        <v>0</v>
      </c>
      <c r="G1319" s="33" t="str">
        <f>Data!M1317</f>
        <v>Exceso Velocidad 30 Km/h</v>
      </c>
      <c r="H1319" s="41" t="str">
        <f>Data!P1317</f>
        <v>ECOPETROL RUBIALES- Quifa - CAÑO SUR, Puerto Triunfo - Estacion Policia: Puerto Gaitan - Rubiales, Puerto Gaitán, Meta, Colombia</v>
      </c>
      <c r="I1319" s="42" t="str">
        <f>Data!Q1317</f>
        <v>Cliente, Vel Max 40 Km/h, Vel Max 30 Km/h</v>
      </c>
      <c r="J1319" s="43">
        <f>Data!S1317</f>
        <v>46174.310278344907</v>
      </c>
      <c r="K1319" s="44">
        <f>Data!S1317</f>
        <v>46174.310278344907</v>
      </c>
      <c r="L1319" s="45">
        <f>Data!T1317</f>
        <v>3.857638888888889E-5</v>
      </c>
      <c r="M1319" s="46">
        <f>Data!U1317</f>
        <v>2.7426118031144142E-2</v>
      </c>
      <c r="N1319" s="46" t="str">
        <f>CONCATENATE(Data!W1317," (",Data!V1317,")")</f>
        <v>Exceso Velocidad 30 Km/h (Velocidad máxima: 34 kmh)</v>
      </c>
      <c r="O1319" s="42" t="str">
        <f>IF(Data!V1317&lt;&gt;"",N1319,Data!W1317)</f>
        <v>Exceso Velocidad 30 Km/h (Velocidad máxima: 34 kmh)</v>
      </c>
      <c r="P1319" s="47" t="str">
        <f>Data!X1317</f>
        <v>Válido</v>
      </c>
    </row>
    <row r="1320" spans="1:16">
      <c r="A1320" s="41" t="str">
        <f>Data!A1318</f>
        <v>QLT528</v>
      </c>
      <c r="B1320" s="41" t="str">
        <f>Data!D1318</f>
        <v>Vehicle, Diesel, Frontera Energy Col 2679</v>
      </c>
      <c r="C1320" s="41">
        <f>Data!F1318</f>
        <v>0</v>
      </c>
      <c r="D1320" s="41">
        <f>Data!G1318</f>
        <v>0</v>
      </c>
      <c r="E1320" s="41">
        <f>Data!H1318</f>
        <v>0</v>
      </c>
      <c r="F1320" s="41">
        <f>Data!K1318</f>
        <v>0</v>
      </c>
      <c r="G1320" s="33" t="str">
        <f>Data!M1318</f>
        <v>Exceso Velocidad 30 Km/h</v>
      </c>
      <c r="H1320" s="41" t="str">
        <f>Data!P1318</f>
        <v>ECOPETROL RUBIALES- Quifa - CAÑO SUR, Puerto Triunfo - Estacion Policia: Puerto Gaitan - Rubiales, Puerto Gaitán, Meta, Colombia</v>
      </c>
      <c r="I1320" s="42" t="str">
        <f>Data!Q1318</f>
        <v>Cliente, Vel Max 40 Km/h, Vel Max 30 Km/h</v>
      </c>
      <c r="J1320" s="43">
        <f>Data!S1318</f>
        <v>46174.310401817129</v>
      </c>
      <c r="K1320" s="44">
        <f>Data!S1318</f>
        <v>46174.310401817129</v>
      </c>
      <c r="L1320" s="45">
        <f>Data!T1318</f>
        <v>5.9398148148148151E-5</v>
      </c>
      <c r="M1320" s="46">
        <f>Data!U1318</f>
        <v>4.7521498054265976E-2</v>
      </c>
      <c r="N1320" s="46" t="str">
        <f>CONCATENATE(Data!W1318," (",Data!V1318,")")</f>
        <v>Exceso Velocidad 30 Km/h (Velocidad máxima: 36 kmh)</v>
      </c>
      <c r="O1320" s="42" t="str">
        <f>IF(Data!V1318&lt;&gt;"",N1320,Data!W1318)</f>
        <v>Exceso Velocidad 30 Km/h (Velocidad máxima: 36 kmh)</v>
      </c>
      <c r="P1320" s="47" t="str">
        <f>Data!X1318</f>
        <v>Válido</v>
      </c>
    </row>
    <row r="1321" spans="1:16">
      <c r="A1321" s="41" t="str">
        <f>Data!A1319</f>
        <v>QLT528</v>
      </c>
      <c r="B1321" s="41" t="str">
        <f>Data!D1319</f>
        <v>Vehicle, Diesel, Frontera Energy Col 2679</v>
      </c>
      <c r="C1321" s="41">
        <f>Data!F1319</f>
        <v>0</v>
      </c>
      <c r="D1321" s="41">
        <f>Data!G1319</f>
        <v>0</v>
      </c>
      <c r="E1321" s="41">
        <f>Data!H1319</f>
        <v>0</v>
      </c>
      <c r="F1321" s="41">
        <f>Data!K1319</f>
        <v>0</v>
      </c>
      <c r="G1321" s="33" t="str">
        <f>Data!M1319</f>
        <v>Exceso Velocidad 30 Km/h</v>
      </c>
      <c r="H1321" s="41" t="str">
        <f>Data!P1319</f>
        <v>ECOPETROL RUBIALES- Quifa - CAÑO SUR, Puerto Triunfo - Estacion Policia: Puerto Gaitan - Rubiales, Puerto Gaitán, Meta, Colombia</v>
      </c>
      <c r="I1321" s="42" t="str">
        <f>Data!Q1319</f>
        <v>Cliente, Vel Max 40 Km/h, Vel Max 30 Km/h</v>
      </c>
      <c r="J1321" s="43">
        <f>Data!S1319</f>
        <v>46174.310509826391</v>
      </c>
      <c r="K1321" s="44">
        <f>Data!S1319</f>
        <v>46174.310509826391</v>
      </c>
      <c r="L1321" s="45">
        <f>Data!T1319</f>
        <v>1.9675925925925926E-4</v>
      </c>
      <c r="M1321" s="46">
        <f>Data!U1319</f>
        <v>0.15134251117706299</v>
      </c>
      <c r="N1321" s="46" t="str">
        <f>CONCATENATE(Data!W1319," (",Data!V1319,")")</f>
        <v>Exceso Velocidad 30 Km/h (Velocidad máxima: 33 kmh)</v>
      </c>
      <c r="O1321" s="42" t="str">
        <f>IF(Data!V1319&lt;&gt;"",N1321,Data!W1319)</f>
        <v>Exceso Velocidad 30 Km/h (Velocidad máxima: 33 kmh)</v>
      </c>
      <c r="P1321" s="47" t="str">
        <f>Data!X1319</f>
        <v>Válido</v>
      </c>
    </row>
    <row r="1322" spans="1:16">
      <c r="A1322" s="41" t="str">
        <f>Data!A1320</f>
        <v>QLT528</v>
      </c>
      <c r="B1322" s="41" t="str">
        <f>Data!D1320</f>
        <v>Vehicle, Diesel, Frontera Energy Col 2679</v>
      </c>
      <c r="C1322" s="41">
        <f>Data!F1320</f>
        <v>0</v>
      </c>
      <c r="D1322" s="41">
        <f>Data!G1320</f>
        <v>0</v>
      </c>
      <c r="E1322" s="41">
        <f>Data!H1320</f>
        <v>0</v>
      </c>
      <c r="F1322" s="41">
        <f>Data!K1320</f>
        <v>0</v>
      </c>
      <c r="G1322" s="33" t="str">
        <f>Data!M1320</f>
        <v>Exceso Velocidad 10 Km/h</v>
      </c>
      <c r="H1322" s="41" t="str">
        <f>Data!P1320</f>
        <v>ECOPETROL RUBIALES- Quifa - CAÑO SUR, Puerto Triunfo - Estacion Policia, PUESTRO CONTROL QUIFA: Puerto Gaitan - Rubiales, Puerto Gaitán, Meta, Colombia</v>
      </c>
      <c r="I1322" s="42" t="str">
        <f>Data!Q1320</f>
        <v>Cliente, Vel Max 40 Km/h, Vel Max 30 Km/h, Vel Max 10 Km/h</v>
      </c>
      <c r="J1322" s="43">
        <f>Data!S1320</f>
        <v>46174.310819722225</v>
      </c>
      <c r="K1322" s="44">
        <f>Data!S1320</f>
        <v>46174.310819722225</v>
      </c>
      <c r="L1322" s="45">
        <f>Data!T1320</f>
        <v>2.5100694444444443E-4</v>
      </c>
      <c r="M1322" s="46">
        <f>Data!U1320</f>
        <v>0.18369325995445251</v>
      </c>
      <c r="N1322" s="46" t="str">
        <f>CONCATENATE(Data!W1320," (",Data!V1320,")")</f>
        <v>Exceso Velocidad 10 Km/h (Velocidad máxima: 31 kmh)</v>
      </c>
      <c r="O1322" s="42" t="str">
        <f>IF(Data!V1320&lt;&gt;"",N1322,Data!W1320)</f>
        <v>Exceso Velocidad 10 Km/h (Velocidad máxima: 31 kmh)</v>
      </c>
      <c r="P1322" s="47" t="str">
        <f>Data!X1320</f>
        <v>Válido</v>
      </c>
    </row>
    <row r="1323" spans="1:16">
      <c r="A1323" s="41" t="str">
        <f>Data!A1321</f>
        <v>QLT528</v>
      </c>
      <c r="B1323" s="41" t="str">
        <f>Data!D1321</f>
        <v>Vehicle, Diesel, Frontera Energy Col 2679</v>
      </c>
      <c r="C1323" s="41">
        <f>Data!F1321</f>
        <v>0</v>
      </c>
      <c r="D1323" s="41">
        <f>Data!G1321</f>
        <v>0</v>
      </c>
      <c r="E1323" s="41">
        <f>Data!H1321</f>
        <v>0</v>
      </c>
      <c r="F1323" s="41">
        <f>Data!K1321</f>
        <v>0</v>
      </c>
      <c r="G1323" s="33" t="str">
        <f>Data!M1321</f>
        <v>Exceso Velocidad 30 Km/h</v>
      </c>
      <c r="H1323" s="41" t="str">
        <f>Data!P1321</f>
        <v>ECOPETROL RUBIALES- Quifa - CAÑO SUR, Puerto Triunfo - Estacion Policia, PUESTRO CONTROL QUIFA: Puerto Gaitan - Rubiales, Puerto Gaitán, Meta, Colombia</v>
      </c>
      <c r="I1323" s="42" t="str">
        <f>Data!Q1321</f>
        <v>Cliente, Vel Max 40 Km/h, Vel Max 30 Km/h, Vel Max 10 Km/h</v>
      </c>
      <c r="J1323" s="43">
        <f>Data!S1321</f>
        <v>46174.310868622684</v>
      </c>
      <c r="K1323" s="44">
        <f>Data!S1321</f>
        <v>46174.310868622684</v>
      </c>
      <c r="L1323" s="45">
        <f>Data!T1321</f>
        <v>2.199074074074074E-4</v>
      </c>
      <c r="M1323" s="46">
        <f>Data!U1321</f>
        <v>0.16127757728099823</v>
      </c>
      <c r="N1323" s="46" t="str">
        <f>CONCATENATE(Data!W1321," (",Data!V1321,")")</f>
        <v>Exceso Velocidad 30 Km/h (Velocidad máxima: 31 kmh)</v>
      </c>
      <c r="O1323" s="42" t="str">
        <f>IF(Data!V1321&lt;&gt;"",N1323,Data!W1321)</f>
        <v>Exceso Velocidad 30 Km/h (Velocidad máxima: 31 kmh)</v>
      </c>
      <c r="P1323" s="47" t="str">
        <f>Data!X1321</f>
        <v>Válido</v>
      </c>
    </row>
    <row r="1324" spans="1:16">
      <c r="A1324" s="41" t="str">
        <f>Data!A1322</f>
        <v>QLT528</v>
      </c>
      <c r="B1324" s="41" t="str">
        <f>Data!D1322</f>
        <v>Vehicle, Diesel, Frontera Energy Col 2679</v>
      </c>
      <c r="C1324" s="41">
        <f>Data!F1322</f>
        <v>0</v>
      </c>
      <c r="D1324" s="41">
        <f>Data!G1322</f>
        <v>0</v>
      </c>
      <c r="E1324" s="41">
        <f>Data!H1322</f>
        <v>0</v>
      </c>
      <c r="F1324" s="41">
        <f>Data!K1322</f>
        <v>0</v>
      </c>
      <c r="G1324" s="33" t="str">
        <f>Data!M1322</f>
        <v>Exceso Velocidad 30 Km/h</v>
      </c>
      <c r="H1324" s="41" t="str">
        <f>Data!P1322</f>
        <v>ECOPETROL RUBIALES- Quifa - CAÑO SUR, Puerto Triunfo - Estacion Policia: Puerto Gaitan - Rubiales, Puerto Gaitán, Meta, Colombia</v>
      </c>
      <c r="I1324" s="42" t="str">
        <f>Data!Q1322</f>
        <v>Cliente, Vel Max 40 Km/h, Vel Max 30 Km/h</v>
      </c>
      <c r="J1324" s="43">
        <f>Data!S1322</f>
        <v>46174.311189386572</v>
      </c>
      <c r="K1324" s="44">
        <f>Data!S1322</f>
        <v>46174.311189386572</v>
      </c>
      <c r="L1324" s="45">
        <f>Data!T1322</f>
        <v>3.6909722222222221E-4</v>
      </c>
      <c r="M1324" s="46">
        <f>Data!U1322</f>
        <v>0.29502514004707336</v>
      </c>
      <c r="N1324" s="46" t="str">
        <f>CONCATENATE(Data!W1322," (",Data!V1322,")")</f>
        <v>Exceso Velocidad 30 Km/h (Velocidad máxima: 36 kmh)</v>
      </c>
      <c r="O1324" s="42" t="str">
        <f>IF(Data!V1322&lt;&gt;"",N1324,Data!W1322)</f>
        <v>Exceso Velocidad 30 Km/h (Velocidad máxima: 36 kmh)</v>
      </c>
      <c r="P1324" s="47" t="str">
        <f>Data!X1322</f>
        <v>Válido</v>
      </c>
    </row>
    <row r="1325" spans="1:16">
      <c r="A1325" s="41" t="str">
        <f>Data!A1323</f>
        <v>QLT528</v>
      </c>
      <c r="B1325" s="41" t="str">
        <f>Data!D1323</f>
        <v>Vehicle, Diesel, Frontera Energy Col 2679</v>
      </c>
      <c r="C1325" s="41">
        <f>Data!F1323</f>
        <v>0</v>
      </c>
      <c r="D1325" s="41">
        <f>Data!G1323</f>
        <v>0</v>
      </c>
      <c r="E1325" s="41">
        <f>Data!H1323</f>
        <v>0</v>
      </c>
      <c r="F1325" s="41">
        <f>Data!K1323</f>
        <v>0</v>
      </c>
      <c r="G1325" s="33" t="str">
        <f>Data!M1323</f>
        <v>Exceso Velocidad 30 Km/h</v>
      </c>
      <c r="H1325" s="41" t="str">
        <f>Data!P1323</f>
        <v>ECOPETROL RUBIALES- Quifa - CAÑO SUR, Puerto Triunfo - Estacion Policia: Puerto Gaitan - Rubiales, Puerto Gaitán, Meta, Colombia</v>
      </c>
      <c r="I1325" s="42" t="str">
        <f>Data!Q1323</f>
        <v>Cliente, Vel Max 40 Km/h, Vel Max 30 Km/h</v>
      </c>
      <c r="J1325" s="43">
        <f>Data!S1323</f>
        <v>46174.312014456016</v>
      </c>
      <c r="K1325" s="44">
        <f>Data!S1323</f>
        <v>46174.312014456016</v>
      </c>
      <c r="L1325" s="45">
        <f>Data!T1323</f>
        <v>6.9444444444444444E-5</v>
      </c>
      <c r="M1325" s="46">
        <f>Data!U1323</f>
        <v>4.926672950387001E-2</v>
      </c>
      <c r="N1325" s="46" t="str">
        <f>CONCATENATE(Data!W1323," (",Data!V1323,")")</f>
        <v>Exceso Velocidad 30 Km/h (Velocidad máxima: 31 kmh)</v>
      </c>
      <c r="O1325" s="42" t="str">
        <f>IF(Data!V1323&lt;&gt;"",N1325,Data!W1323)</f>
        <v>Exceso Velocidad 30 Km/h (Velocidad máxima: 31 kmh)</v>
      </c>
      <c r="P1325" s="47" t="str">
        <f>Data!X1323</f>
        <v>Válido</v>
      </c>
    </row>
    <row r="1326" spans="1:16">
      <c r="A1326" s="41" t="str">
        <f>Data!A1324</f>
        <v>QLT528</v>
      </c>
      <c r="B1326" s="41" t="str">
        <f>Data!D1324</f>
        <v>Vehicle, Diesel, Frontera Energy Col 2679</v>
      </c>
      <c r="C1326" s="41">
        <f>Data!F1324</f>
        <v>0</v>
      </c>
      <c r="D1326" s="41">
        <f>Data!G1324</f>
        <v>0</v>
      </c>
      <c r="E1326" s="41">
        <f>Data!H1324</f>
        <v>0</v>
      </c>
      <c r="F1326" s="41">
        <f>Data!K1324</f>
        <v>0</v>
      </c>
      <c r="G1326" s="33" t="str">
        <f>Data!M1324</f>
        <v>Tiempo en ralentí</v>
      </c>
      <c r="H1326" s="41" t="str">
        <f>Data!P1324</f>
        <v>ECOPETROL RUBIALES- Quifa - CAÑO SUR, Puerto Triunfo - Estacion Policia: Puerto Gaitan - Rubiales, Puerto Gaitán, Meta, Colombia</v>
      </c>
      <c r="I1326" s="42" t="str">
        <f>Data!Q1324</f>
        <v>Cliente, Vel Max 40 Km/h, Vel Max 30 Km/h</v>
      </c>
      <c r="J1326" s="43">
        <f>Data!S1324</f>
        <v>46174.318993854169</v>
      </c>
      <c r="K1326" s="44">
        <f>Data!S1324</f>
        <v>46174.318993854169</v>
      </c>
      <c r="L1326" s="45">
        <f>Data!T1324</f>
        <v>1.4976967592592592E-2</v>
      </c>
      <c r="M1326" s="46">
        <f>Data!U1324</f>
        <v>2.9652662575244904E-2</v>
      </c>
      <c r="N1326" s="46" t="str">
        <f>CONCATENATE(Data!W1324," (",Data!V1324,")")</f>
        <v>Tiempo en ralentí (Ignición: 1.00)</v>
      </c>
      <c r="O1326" s="42" t="str">
        <f>IF(Data!V1324&lt;&gt;"",N1326,Data!W1324)</f>
        <v>Tiempo en ralentí (Ignición: 1.00)</v>
      </c>
      <c r="P1326" s="47" t="str">
        <f>Data!X1324</f>
        <v>Válido</v>
      </c>
    </row>
    <row r="1327" spans="1:16">
      <c r="A1327" s="41" t="str">
        <f>Data!A1325</f>
        <v>QLT528</v>
      </c>
      <c r="B1327" s="41" t="str">
        <f>Data!D1325</f>
        <v>Vehicle, Diesel, Frontera Energy Col 2679</v>
      </c>
      <c r="C1327" s="41">
        <f>Data!F1325</f>
        <v>0</v>
      </c>
      <c r="D1327" s="41">
        <f>Data!G1325</f>
        <v>0</v>
      </c>
      <c r="E1327" s="41">
        <f>Data!H1325</f>
        <v>0</v>
      </c>
      <c r="F1327" s="41">
        <f>Data!K1325</f>
        <v>0</v>
      </c>
      <c r="G1327" s="33" t="str">
        <f>Data!M1325</f>
        <v>Tiempo en ralentí</v>
      </c>
      <c r="H1327" s="41" t="str">
        <f>Data!P1325</f>
        <v>ECOPETROL RUBIALES- Quifa - CAÑO SUR, Puerto Triunfo - Estacion Policia: Puerto Gaitan - Rubiales, Puerto Gaitán, Meta, Colombia</v>
      </c>
      <c r="I1327" s="42" t="str">
        <f>Data!Q1325</f>
        <v>Cliente, Vel Max 40 Km/h, Vel Max 30 Km/h</v>
      </c>
      <c r="J1327" s="43">
        <f>Data!S1325</f>
        <v>46174.3340865625</v>
      </c>
      <c r="K1327" s="44">
        <f>Data!S1325</f>
        <v>46174.3340865625</v>
      </c>
      <c r="L1327" s="45">
        <f>Data!T1325</f>
        <v>5.5902893518518515E-3</v>
      </c>
      <c r="M1327" s="46">
        <f>Data!U1325</f>
        <v>6.131109781563282E-3</v>
      </c>
      <c r="N1327" s="46" t="str">
        <f>CONCATENATE(Data!W1325," (",Data!V1325,")")</f>
        <v>Tiempo en ralentí (Ignición: 1.00)</v>
      </c>
      <c r="O1327" s="42" t="str">
        <f>IF(Data!V1325&lt;&gt;"",N1327,Data!W1325)</f>
        <v>Tiempo en ralentí (Ignición: 1.00)</v>
      </c>
      <c r="P1327" s="47" t="str">
        <f>Data!X1325</f>
        <v>Válido</v>
      </c>
    </row>
    <row r="1328" spans="1:16">
      <c r="A1328" s="41" t="str">
        <f>Data!A1326</f>
        <v>QLT528</v>
      </c>
      <c r="B1328" s="41" t="str">
        <f>Data!D1326</f>
        <v>Vehicle, Diesel, Frontera Energy Col 2679</v>
      </c>
      <c r="C1328" s="41">
        <f>Data!F1326</f>
        <v>0</v>
      </c>
      <c r="D1328" s="41">
        <f>Data!G1326</f>
        <v>0</v>
      </c>
      <c r="E1328" s="41">
        <f>Data!H1326</f>
        <v>0</v>
      </c>
      <c r="F1328" s="41">
        <f>Data!K1326</f>
        <v>0</v>
      </c>
      <c r="G1328" s="33" t="str">
        <f>Data!M1326</f>
        <v>Tiempo en ralentí</v>
      </c>
      <c r="H1328" s="41" t="str">
        <f>Data!P1326</f>
        <v>ECOPETROL RUBIALES- Quifa - CAÑO SUR, Puerto Triunfo - Estacion Policia: Puerto Gaitan - Rubiales, Puerto Gaitán, Meta, Colombia</v>
      </c>
      <c r="I1328" s="42" t="str">
        <f>Data!Q1326</f>
        <v>Cliente, Vel Max 40 Km/h, Vel Max 30 Km/h</v>
      </c>
      <c r="J1328" s="43">
        <f>Data!S1326</f>
        <v>46174.340845833336</v>
      </c>
      <c r="K1328" s="44">
        <f>Data!S1326</f>
        <v>46174.340845833336</v>
      </c>
      <c r="L1328" s="45">
        <f>Data!T1326</f>
        <v>6.9791550925925924E-3</v>
      </c>
      <c r="M1328" s="46">
        <f>Data!U1326</f>
        <v>7.6327645219862461E-3</v>
      </c>
      <c r="N1328" s="46" t="str">
        <f>CONCATENATE(Data!W1326," (",Data!V1326,")")</f>
        <v>Tiempo en ralentí (Ignición: 1.00)</v>
      </c>
      <c r="O1328" s="42" t="str">
        <f>IF(Data!V1326&lt;&gt;"",N1328,Data!W1326)</f>
        <v>Tiempo en ralentí (Ignición: 1.00)</v>
      </c>
      <c r="P1328" s="47" t="str">
        <f>Data!X1326</f>
        <v>Válido</v>
      </c>
    </row>
    <row r="1329" spans="1:16">
      <c r="A1329" s="41" t="str">
        <f>Data!A1327</f>
        <v>QLT528</v>
      </c>
      <c r="B1329" s="41" t="str">
        <f>Data!D1327</f>
        <v>Vehicle, Diesel, Frontera Energy Col 2679</v>
      </c>
      <c r="C1329" s="41">
        <f>Data!F1327</f>
        <v>0</v>
      </c>
      <c r="D1329" s="41">
        <f>Data!G1327</f>
        <v>0</v>
      </c>
      <c r="E1329" s="41">
        <f>Data!H1327</f>
        <v>0</v>
      </c>
      <c r="F1329" s="41">
        <f>Data!K1327</f>
        <v>0</v>
      </c>
      <c r="G1329" s="33" t="str">
        <f>Data!M1327</f>
        <v>Exceso Velocidad 30 Km/h</v>
      </c>
      <c r="H1329" s="41" t="str">
        <f>Data!P1327</f>
        <v>ECOPETROL RUBIALES- Quifa - CAÑO SUR, Puerto Triunfo - Estacion Policia: Puerto Gaitan - Rubiales, Puerto Gaitán, Meta, Colombia</v>
      </c>
      <c r="I1329" s="42" t="str">
        <f>Data!Q1327</f>
        <v>Cliente, Vel Max 40 Km/h, Vel Max 30 Km/h</v>
      </c>
      <c r="J1329" s="43">
        <f>Data!S1327</f>
        <v>46174.349986782407</v>
      </c>
      <c r="K1329" s="44">
        <f>Data!S1327</f>
        <v>46174.349986782407</v>
      </c>
      <c r="L1329" s="45">
        <f>Data!T1327</f>
        <v>1.5307870370370369E-4</v>
      </c>
      <c r="M1329" s="46">
        <f>Data!U1327</f>
        <v>0.10825046896934509</v>
      </c>
      <c r="N1329" s="46" t="str">
        <f>CONCATENATE(Data!W1327," (",Data!V1327,")")</f>
        <v>Exceso Velocidad 30 Km/h (Velocidad máxima: 31 kmh)</v>
      </c>
      <c r="O1329" s="42" t="str">
        <f>IF(Data!V1327&lt;&gt;"",N1329,Data!W1327)</f>
        <v>Exceso Velocidad 30 Km/h (Velocidad máxima: 31 kmh)</v>
      </c>
      <c r="P1329" s="47" t="str">
        <f>Data!X1327</f>
        <v>Válido</v>
      </c>
    </row>
    <row r="1330" spans="1:16">
      <c r="A1330" s="41" t="str">
        <f>Data!A1328</f>
        <v>QLT528</v>
      </c>
      <c r="B1330" s="41" t="str">
        <f>Data!D1328</f>
        <v>Vehicle, Diesel, Frontera Energy Col 2679</v>
      </c>
      <c r="C1330" s="41">
        <f>Data!F1328</f>
        <v>0</v>
      </c>
      <c r="D1330" s="41">
        <f>Data!G1328</f>
        <v>0</v>
      </c>
      <c r="E1330" s="41">
        <f>Data!H1328</f>
        <v>0</v>
      </c>
      <c r="F1330" s="41">
        <f>Data!K1328</f>
        <v>0</v>
      </c>
      <c r="G1330" s="33" t="str">
        <f>Data!M1328</f>
        <v>Exceso Velocidad 30 Km/h</v>
      </c>
      <c r="H1330" s="41" t="str">
        <f>Data!P1328</f>
        <v>ECOPETROL RUBIALES- Quifa - CAÑO SUR, Puerto Triunfo - Estacion Policia: Puerto Gaitan - Rubiales, Puerto Gaitán, Meta, Colombia</v>
      </c>
      <c r="I1330" s="42" t="str">
        <f>Data!Q1328</f>
        <v>Cliente, Vel Max 40 Km/h, Vel Max 30 Km/h</v>
      </c>
      <c r="J1330" s="43">
        <f>Data!S1328</f>
        <v>46174.350232395831</v>
      </c>
      <c r="K1330" s="44">
        <f>Data!S1328</f>
        <v>46174.350232395831</v>
      </c>
      <c r="L1330" s="45">
        <f>Data!T1328</f>
        <v>5.3541666666666669E-5</v>
      </c>
      <c r="M1330" s="46">
        <f>Data!U1328</f>
        <v>4.036238044500351E-2</v>
      </c>
      <c r="N1330" s="46" t="str">
        <f>CONCATENATE(Data!W1328," (",Data!V1328,")")</f>
        <v>Exceso Velocidad 30 Km/h (Velocidad máxima: 31 kmh)</v>
      </c>
      <c r="O1330" s="42" t="str">
        <f>IF(Data!V1328&lt;&gt;"",N1330,Data!W1328)</f>
        <v>Exceso Velocidad 30 Km/h (Velocidad máxima: 31 kmh)</v>
      </c>
      <c r="P1330" s="47" t="str">
        <f>Data!X1328</f>
        <v>Válido</v>
      </c>
    </row>
    <row r="1331" spans="1:16">
      <c r="A1331" s="41" t="str">
        <f>Data!A1329</f>
        <v>QLT528</v>
      </c>
      <c r="B1331" s="41" t="str">
        <f>Data!D1329</f>
        <v>Vehicle, Diesel, Frontera Energy Col 2679</v>
      </c>
      <c r="C1331" s="41">
        <f>Data!F1329</f>
        <v>0</v>
      </c>
      <c r="D1331" s="41">
        <f>Data!G1329</f>
        <v>0</v>
      </c>
      <c r="E1331" s="41">
        <f>Data!H1329</f>
        <v>0</v>
      </c>
      <c r="F1331" s="41">
        <f>Data!K1329</f>
        <v>0</v>
      </c>
      <c r="G1331" s="33" t="str">
        <f>Data!M1329</f>
        <v>Exceso Velocidad 10 Km/h</v>
      </c>
      <c r="H1331" s="41" t="str">
        <f>Data!P1329</f>
        <v>ECOPETROL RUBIALES- Quifa - CAÑO SUR, Puerto Triunfo - Estacion Policia, PUESTRO CONTROL QUIFA: Puerto Gaitan - Rubiales, Puerto Gaitán, Meta, Colombia</v>
      </c>
      <c r="I1331" s="42" t="str">
        <f>Data!Q1329</f>
        <v>Cliente, Vel Max 40 Km/h, Vel Max 30 Km/h, Vel Max 10 Km/h</v>
      </c>
      <c r="J1331" s="43">
        <f>Data!S1329</f>
        <v>46174.350474965278</v>
      </c>
      <c r="K1331" s="44">
        <f>Data!S1329</f>
        <v>46174.350474965278</v>
      </c>
      <c r="L1331" s="45">
        <f>Data!T1329</f>
        <v>2.9354166666666667E-4</v>
      </c>
      <c r="M1331" s="46">
        <f>Data!U1329</f>
        <v>0.18268759548664093</v>
      </c>
      <c r="N1331" s="46" t="str">
        <f>CONCATENATE(Data!W1329," (",Data!V1329,")")</f>
        <v>Exceso Velocidad 10 Km/h (Velocidad máxima: 26 kmh)</v>
      </c>
      <c r="O1331" s="42" t="str">
        <f>IF(Data!V1329&lt;&gt;"",N1331,Data!W1329)</f>
        <v>Exceso Velocidad 10 Km/h (Velocidad máxima: 26 kmh)</v>
      </c>
      <c r="P1331" s="47" t="str">
        <f>Data!X1329</f>
        <v>Válido</v>
      </c>
    </row>
    <row r="1332" spans="1:16">
      <c r="A1332" s="41" t="str">
        <f>Data!A1330</f>
        <v>QLT528</v>
      </c>
      <c r="B1332" s="41" t="str">
        <f>Data!D1330</f>
        <v>Vehicle, Diesel, Frontera Energy Col 2679</v>
      </c>
      <c r="C1332" s="41">
        <f>Data!F1330</f>
        <v>0</v>
      </c>
      <c r="D1332" s="41">
        <f>Data!G1330</f>
        <v>0</v>
      </c>
      <c r="E1332" s="41">
        <f>Data!H1330</f>
        <v>0</v>
      </c>
      <c r="F1332" s="41">
        <f>Data!K1330</f>
        <v>0</v>
      </c>
      <c r="G1332" s="33" t="str">
        <f>Data!M1330</f>
        <v>Exceso de velocidad (nuevo)</v>
      </c>
      <c r="H1332" s="41" t="str">
        <f>Data!P1330</f>
        <v>ECOPETROL RUBIALES- Quifa - CAÑO SUR: Puerto Gaitan - Rubiales, Puerto Gaitán, Meta, Colombia</v>
      </c>
      <c r="I1332" s="42" t="str">
        <f>Data!Q1330</f>
        <v>Cliente, Vel Max 40 Km/h</v>
      </c>
      <c r="J1332" s="43">
        <f>Data!S1330</f>
        <v>46174.350949988424</v>
      </c>
      <c r="K1332" s="44">
        <f>Data!S1330</f>
        <v>46174.350949988424</v>
      </c>
      <c r="L1332" s="45">
        <f>Data!T1330</f>
        <v>4.2835648148148149E-4</v>
      </c>
      <c r="M1332" s="46">
        <f>Data!U1330</f>
        <v>0.2873547375202179</v>
      </c>
      <c r="N1332" s="46" t="str">
        <f>CONCATENATE(Data!W1330," (",Data!V1330,")")</f>
        <v>Exceso de velocidad (nuevo) (Velocidad máxima: 32 kmh (Velocidad máxima en carretera: 7 kmh))</v>
      </c>
      <c r="O1332" s="42" t="str">
        <f>IF(Data!V1330&lt;&gt;"",N1332,Data!W1330)</f>
        <v>Exceso de velocidad (nuevo) (Velocidad máxima: 32 kmh (Velocidad máxima en carretera: 7 kmh))</v>
      </c>
      <c r="P1332" s="47" t="str">
        <f>Data!X1330</f>
        <v>Válido</v>
      </c>
    </row>
    <row r="1333" spans="1:16">
      <c r="A1333" s="41" t="str">
        <f>Data!A1331</f>
        <v>QLT528</v>
      </c>
      <c r="B1333" s="41" t="str">
        <f>Data!D1331</f>
        <v>Vehicle, Diesel, Frontera Energy Col 2679</v>
      </c>
      <c r="C1333" s="41">
        <f>Data!F1331</f>
        <v>0</v>
      </c>
      <c r="D1333" s="41">
        <f>Data!G1331</f>
        <v>0</v>
      </c>
      <c r="E1333" s="41">
        <f>Data!H1331</f>
        <v>0</v>
      </c>
      <c r="F1333" s="41">
        <f>Data!K1331</f>
        <v>0</v>
      </c>
      <c r="G1333" s="33" t="str">
        <f>Data!M1331</f>
        <v>Exceso Velocidad 10 Km/h</v>
      </c>
      <c r="H1333" s="41" t="str">
        <f>Data!P1331</f>
        <v>ECOPETROL RUBIALES- Quifa - CAÑO SUR, Centralizado de combustible Quifa: Vía Sin Nombre, Puerto Gaitán, Meta, Colombia</v>
      </c>
      <c r="I1333" s="42" t="str">
        <f>Data!Q1331</f>
        <v>Cliente, Vel Max 40 Km/h, Vel Max 10 Km/h</v>
      </c>
      <c r="J1333" s="43">
        <f>Data!S1331</f>
        <v>46174.351443171297</v>
      </c>
      <c r="K1333" s="44">
        <f>Data!S1331</f>
        <v>46174.351443171297</v>
      </c>
      <c r="L1333" s="45">
        <f>Data!T1331</f>
        <v>4.5920138888888888E-4</v>
      </c>
      <c r="M1333" s="46">
        <f>Data!U1331</f>
        <v>0.14076884090900421</v>
      </c>
      <c r="N1333" s="46" t="str">
        <f>CONCATENATE(Data!W1331," (",Data!V1331,")")</f>
        <v>Exceso Velocidad 10 Km/h (Velocidad máxima: 16 kmh)</v>
      </c>
      <c r="O1333" s="42" t="str">
        <f>IF(Data!V1331&lt;&gt;"",N1333,Data!W1331)</f>
        <v>Exceso Velocidad 10 Km/h (Velocidad máxima: 16 kmh)</v>
      </c>
      <c r="P1333" s="47" t="str">
        <f>Data!X1331</f>
        <v>Válido</v>
      </c>
    </row>
    <row r="1334" spans="1:16">
      <c r="A1334" s="41" t="str">
        <f>Data!A1332</f>
        <v>QLT528</v>
      </c>
      <c r="B1334" s="41" t="str">
        <f>Data!D1332</f>
        <v>Vehicle, Diesel, Frontera Energy Col 2679</v>
      </c>
      <c r="C1334" s="41">
        <f>Data!F1332</f>
        <v>0</v>
      </c>
      <c r="D1334" s="41">
        <f>Data!G1332</f>
        <v>0</v>
      </c>
      <c r="E1334" s="41">
        <f>Data!H1332</f>
        <v>0</v>
      </c>
      <c r="F1334" s="41">
        <f>Data!K1332</f>
        <v>0</v>
      </c>
      <c r="G1334" s="33" t="str">
        <f>Data!M1332</f>
        <v>Tiempo en ralentí</v>
      </c>
      <c r="H1334" s="41" t="str">
        <f>Data!P1332</f>
        <v>ECOPETROL RUBIALES- Quifa - CAÑO SUR, Centralizado de combustible Quifa: Vía Sin Nombre, Puerto Gaitán, Meta, Colombia</v>
      </c>
      <c r="I1334" s="42" t="str">
        <f>Data!Q1332</f>
        <v>Cliente, Vel Max 40 Km/h, Vel Max 10 Km/h</v>
      </c>
      <c r="J1334" s="43">
        <f>Data!S1332</f>
        <v>46174.352477766202</v>
      </c>
      <c r="K1334" s="44">
        <f>Data!S1332</f>
        <v>46174.352477766202</v>
      </c>
      <c r="L1334" s="45">
        <f>Data!T1332</f>
        <v>9.3055555555555548E-3</v>
      </c>
      <c r="M1334" s="46">
        <f>Data!U1332</f>
        <v>8.9217992499470711E-3</v>
      </c>
      <c r="N1334" s="46" t="str">
        <f>CONCATENATE(Data!W1332," (",Data!V1332,")")</f>
        <v>Tiempo en ralentí (Ignición: 1.00)</v>
      </c>
      <c r="O1334" s="42" t="str">
        <f>IF(Data!V1332&lt;&gt;"",N1334,Data!W1332)</f>
        <v>Tiempo en ralentí (Ignición: 1.00)</v>
      </c>
      <c r="P1334" s="47" t="str">
        <f>Data!X1332</f>
        <v>Válido</v>
      </c>
    </row>
    <row r="1335" spans="1:16">
      <c r="A1335" s="41" t="str">
        <f>Data!A1333</f>
        <v>QLT528</v>
      </c>
      <c r="B1335" s="41" t="str">
        <f>Data!D1333</f>
        <v>Vehicle, Diesel, Frontera Energy Col 2679</v>
      </c>
      <c r="C1335" s="41">
        <f>Data!F1333</f>
        <v>0</v>
      </c>
      <c r="D1335" s="41">
        <f>Data!G1333</f>
        <v>0</v>
      </c>
      <c r="E1335" s="41">
        <f>Data!H1333</f>
        <v>0</v>
      </c>
      <c r="F1335" s="41">
        <f>Data!K1333</f>
        <v>0</v>
      </c>
      <c r="G1335" s="33" t="str">
        <f>Data!M1333</f>
        <v>Exceso Velocidad 10 Km/h</v>
      </c>
      <c r="H1335" s="41" t="str">
        <f>Data!P1333</f>
        <v>ECOPETROL RUBIALES- Quifa - CAÑO SUR, Centralizado de combustible Quifa: Vía Sin Nombre, Puerto Gaitán, Meta, Colombia</v>
      </c>
      <c r="I1335" s="42" t="str">
        <f>Data!Q1333</f>
        <v>Cliente, Vel Max 40 Km/h, Vel Max 10 Km/h</v>
      </c>
      <c r="J1335" s="43">
        <f>Data!S1333</f>
        <v>46174.362142233796</v>
      </c>
      <c r="K1335" s="44">
        <f>Data!S1333</f>
        <v>46174.362142233796</v>
      </c>
      <c r="L1335" s="45">
        <f>Data!T1333</f>
        <v>3.3564814814814812E-4</v>
      </c>
      <c r="M1335" s="46">
        <f>Data!U1333</f>
        <v>8.813796192407608E-2</v>
      </c>
      <c r="N1335" s="46" t="str">
        <f>CONCATENATE(Data!W1333," (",Data!V1333,")")</f>
        <v>Exceso Velocidad 10 Km/h (Velocidad máxima: 11 kmh)</v>
      </c>
      <c r="O1335" s="42" t="str">
        <f>IF(Data!V1333&lt;&gt;"",N1335,Data!W1333)</f>
        <v>Exceso Velocidad 10 Km/h (Velocidad máxima: 11 kmh)</v>
      </c>
      <c r="P1335" s="47" t="str">
        <f>Data!X1333</f>
        <v>Válido</v>
      </c>
    </row>
    <row r="1336" spans="1:16">
      <c r="A1336" s="41" t="str">
        <f>Data!A1334</f>
        <v>QLT528</v>
      </c>
      <c r="B1336" s="41" t="str">
        <f>Data!D1334</f>
        <v>Vehicle, Diesel, Frontera Energy Col 2679</v>
      </c>
      <c r="C1336" s="41">
        <f>Data!F1334</f>
        <v>0</v>
      </c>
      <c r="D1336" s="41">
        <f>Data!G1334</f>
        <v>0</v>
      </c>
      <c r="E1336" s="41">
        <f>Data!H1334</f>
        <v>0</v>
      </c>
      <c r="F1336" s="41">
        <f>Data!K1334</f>
        <v>0</v>
      </c>
      <c r="G1336" s="33" t="str">
        <f>Data!M1334</f>
        <v>Exceso Velocidad 10 Km/h</v>
      </c>
      <c r="H1336" s="41" t="str">
        <f>Data!P1334</f>
        <v>ECOPETROL RUBIALES- Quifa - CAÑO SUR, Centralizado de combustible Quifa: Vía Sin Nombre, Puerto Gaitán, Meta, Colombia</v>
      </c>
      <c r="I1336" s="42" t="str">
        <f>Data!Q1334</f>
        <v>Cliente, Vel Max 40 Km/h, Vel Max 10 Km/h</v>
      </c>
      <c r="J1336" s="43">
        <f>Data!S1334</f>
        <v>46174.362477881943</v>
      </c>
      <c r="K1336" s="44">
        <f>Data!S1334</f>
        <v>46174.362477881943</v>
      </c>
      <c r="L1336" s="45">
        <f>Data!T1334</f>
        <v>1.9820601851851851E-4</v>
      </c>
      <c r="M1336" s="46">
        <f>Data!U1334</f>
        <v>5.1646258682012558E-2</v>
      </c>
      <c r="N1336" s="46" t="str">
        <f>CONCATENATE(Data!W1334," (",Data!V1334,")")</f>
        <v>Exceso Velocidad 10 Km/h (Velocidad máxima: 11 kmh)</v>
      </c>
      <c r="O1336" s="42" t="str">
        <f>IF(Data!V1334&lt;&gt;"",N1336,Data!W1334)</f>
        <v>Exceso Velocidad 10 Km/h (Velocidad máxima: 11 kmh)</v>
      </c>
      <c r="P1336" s="47" t="str">
        <f>Data!X1334</f>
        <v>Válido</v>
      </c>
    </row>
    <row r="1337" spans="1:16">
      <c r="A1337" s="41" t="str">
        <f>Data!A1335</f>
        <v>QLT528</v>
      </c>
      <c r="B1337" s="41" t="str">
        <f>Data!D1335</f>
        <v>Vehicle, Diesel, Frontera Energy Col 2679</v>
      </c>
      <c r="C1337" s="41">
        <f>Data!F1335</f>
        <v>0</v>
      </c>
      <c r="D1337" s="41">
        <f>Data!G1335</f>
        <v>0</v>
      </c>
      <c r="E1337" s="41">
        <f>Data!H1335</f>
        <v>0</v>
      </c>
      <c r="F1337" s="41">
        <f>Data!K1335</f>
        <v>0</v>
      </c>
      <c r="G1337" s="33" t="str">
        <f>Data!M1335</f>
        <v>Exceso de velocidad (nuevo)</v>
      </c>
      <c r="H1337" s="41" t="str">
        <f>Data!P1335</f>
        <v>ECOPETROL RUBIALES- Quifa - CAÑO SUR: Puerto Gaitan - Rubiales, Puerto Gaitán, Meta, Colombia</v>
      </c>
      <c r="I1337" s="42" t="str">
        <f>Data!Q1335</f>
        <v>Cliente, Vel Max 40 Km/h</v>
      </c>
      <c r="J1337" s="43">
        <f>Data!S1335</f>
        <v>46174.362790393519</v>
      </c>
      <c r="K1337" s="44">
        <f>Data!S1335</f>
        <v>46174.362790393519</v>
      </c>
      <c r="L1337" s="45">
        <f>Data!T1335</f>
        <v>4.9767361111111106E-4</v>
      </c>
      <c r="M1337" s="46">
        <f>Data!U1335</f>
        <v>0.30687850713729858</v>
      </c>
      <c r="N1337" s="46" t="str">
        <f>CONCATENATE(Data!W1335," (",Data!V1335,")")</f>
        <v>Exceso de velocidad (nuevo) (Velocidad máxima: 36 kmh (Velocidad máxima en carretera: 7 kmh))</v>
      </c>
      <c r="O1337" s="42" t="str">
        <f>IF(Data!V1335&lt;&gt;"",N1337,Data!W1335)</f>
        <v>Exceso de velocidad (nuevo) (Velocidad máxima: 36 kmh (Velocidad máxima en carretera: 7 kmh))</v>
      </c>
      <c r="P1337" s="47" t="str">
        <f>Data!X1335</f>
        <v>Válido</v>
      </c>
    </row>
    <row r="1338" spans="1:16">
      <c r="A1338" s="41" t="str">
        <f>Data!A1336</f>
        <v>QLT528</v>
      </c>
      <c r="B1338" s="41" t="str">
        <f>Data!D1336</f>
        <v>Vehicle, Diesel, Frontera Energy Col 2679</v>
      </c>
      <c r="C1338" s="41">
        <f>Data!F1336</f>
        <v>0</v>
      </c>
      <c r="D1338" s="41">
        <f>Data!G1336</f>
        <v>0</v>
      </c>
      <c r="E1338" s="41">
        <f>Data!H1336</f>
        <v>0</v>
      </c>
      <c r="F1338" s="41">
        <f>Data!K1336</f>
        <v>0</v>
      </c>
      <c r="G1338" s="33" t="str">
        <f>Data!M1336</f>
        <v>Exceso Velocidad 30 Km/h</v>
      </c>
      <c r="H1338" s="41" t="str">
        <f>Data!P1336</f>
        <v>ECOPETROL RUBIALES- Quifa - CAÑO SUR, Puerto Triunfo - Estacion Policia: Puerto Gaitan - Rubiales, Puerto Gaitán, Meta, Colombia</v>
      </c>
      <c r="I1338" s="42" t="str">
        <f>Data!Q1336</f>
        <v>Cliente, Vel Max 40 Km/h, Vel Max 30 Km/h</v>
      </c>
      <c r="J1338" s="43">
        <f>Data!S1336</f>
        <v>46174.364101724539</v>
      </c>
      <c r="K1338" s="44">
        <f>Data!S1336</f>
        <v>46174.364101724539</v>
      </c>
      <c r="L1338" s="45">
        <f>Data!T1336</f>
        <v>3.4374999999999998E-4</v>
      </c>
      <c r="M1338" s="46">
        <f>Data!U1336</f>
        <v>0.27620616555213928</v>
      </c>
      <c r="N1338" s="46" t="str">
        <f>CONCATENATE(Data!W1336," (",Data!V1336,")")</f>
        <v>Exceso Velocidad 30 Km/h (Velocidad máxima: 35 kmh)</v>
      </c>
      <c r="O1338" s="42" t="str">
        <f>IF(Data!V1336&lt;&gt;"",N1338,Data!W1336)</f>
        <v>Exceso Velocidad 30 Km/h (Velocidad máxima: 35 kmh)</v>
      </c>
      <c r="P1338" s="47" t="str">
        <f>Data!X1336</f>
        <v>Válido</v>
      </c>
    </row>
    <row r="1339" spans="1:16">
      <c r="A1339" s="41" t="str">
        <f>Data!A1337</f>
        <v>QLT528</v>
      </c>
      <c r="B1339" s="41" t="str">
        <f>Data!D1337</f>
        <v>Vehicle, Diesel, Frontera Energy Col 2679</v>
      </c>
      <c r="C1339" s="41">
        <f>Data!F1337</f>
        <v>0</v>
      </c>
      <c r="D1339" s="41">
        <f>Data!G1337</f>
        <v>0</v>
      </c>
      <c r="E1339" s="41">
        <f>Data!H1337</f>
        <v>0</v>
      </c>
      <c r="F1339" s="41">
        <f>Data!K1337</f>
        <v>0</v>
      </c>
      <c r="G1339" s="33" t="str">
        <f>Data!M1337</f>
        <v>Exceso Velocidad 10 Km/h</v>
      </c>
      <c r="H1339" s="41" t="str">
        <f>Data!P1337</f>
        <v>CAMPAMENTO QUIFA, ECOPETROL RUBIALES- Quifa - CAÑO SUR, Puerto Gaitan - Rubiales, Puerto Gaitán, Meta, Colombia, Puerto Triunfo - Estacion Policia: Ent. CAMPAMENTO, Puerto Gaitán, Meta, Colombia</v>
      </c>
      <c r="I1339" s="42" t="str">
        <f>Data!Q1337</f>
        <v>Vel Max 10 Km/h, Cliente, Vel Max 40 Km/h, Centro de servicios del proveedor, Vel Max 30 Km/h</v>
      </c>
      <c r="J1339" s="43">
        <f>Data!S1337</f>
        <v>46174.364843344905</v>
      </c>
      <c r="K1339" s="44">
        <f>Data!S1337</f>
        <v>46174.364843344905</v>
      </c>
      <c r="L1339" s="45">
        <f>Data!T1337</f>
        <v>1.8796296296296296E-5</v>
      </c>
      <c r="M1339" s="46">
        <f>Data!U1337</f>
        <v>5.0360937602818012E-3</v>
      </c>
      <c r="N1339" s="46" t="str">
        <f>CONCATENATE(Data!W1337," (",Data!V1337,")")</f>
        <v>Exceso Velocidad 10 Km/h (Velocidad máxima: 13 kmh)</v>
      </c>
      <c r="O1339" s="42" t="str">
        <f>IF(Data!V1337&lt;&gt;"",N1339,Data!W1337)</f>
        <v>Exceso Velocidad 10 Km/h (Velocidad máxima: 13 kmh)</v>
      </c>
      <c r="P1339" s="47" t="str">
        <f>Data!X1337</f>
        <v>Válido</v>
      </c>
    </row>
    <row r="1340" spans="1:16">
      <c r="A1340" s="41" t="str">
        <f>Data!A1338</f>
        <v>QLT528</v>
      </c>
      <c r="B1340" s="41" t="str">
        <f>Data!D1338</f>
        <v>Vehicle, Diesel, Frontera Energy Col 2679</v>
      </c>
      <c r="C1340" s="41">
        <f>Data!F1338</f>
        <v>0</v>
      </c>
      <c r="D1340" s="41">
        <f>Data!G1338</f>
        <v>0</v>
      </c>
      <c r="E1340" s="41">
        <f>Data!H1338</f>
        <v>0</v>
      </c>
      <c r="F1340" s="41">
        <f>Data!K1338</f>
        <v>0</v>
      </c>
      <c r="G1340" s="33" t="str">
        <f>Data!M1338</f>
        <v>Exceso Velocidad 10 Km/h</v>
      </c>
      <c r="H1340" s="41" t="str">
        <f>Data!P1338</f>
        <v>CAMPAMENTO QUIFA, ECOPETROL RUBIALES- Quifa - CAÑO SUR, Puerto Gaitan - Rubiales, Puerto Gaitán, Meta, Colombia, Campamento Quifa - CMA: Ent. CAMPAMENTO, Puerto Gaitán, Meta, Colombia</v>
      </c>
      <c r="I1340" s="42" t="str">
        <f>Data!Q1338</f>
        <v>Vel Max 10 Km/h, Cliente, Vel Max 40 Km/h, Centro de servicios del proveedor</v>
      </c>
      <c r="J1340" s="43">
        <f>Data!S1338</f>
        <v>46174.365452418984</v>
      </c>
      <c r="K1340" s="44">
        <f>Data!S1338</f>
        <v>46174.365452418984</v>
      </c>
      <c r="L1340" s="45">
        <f>Data!T1338</f>
        <v>3.5107638888888889E-4</v>
      </c>
      <c r="M1340" s="46">
        <f>Data!U1338</f>
        <v>9.2774763703346252E-2</v>
      </c>
      <c r="N1340" s="46" t="str">
        <f>CONCATENATE(Data!W1338," (",Data!V1338,")")</f>
        <v>Exceso Velocidad 10 Km/h (Velocidad máxima: 11 kmh)</v>
      </c>
      <c r="O1340" s="42" t="str">
        <f>IF(Data!V1338&lt;&gt;"",N1340,Data!W1338)</f>
        <v>Exceso Velocidad 10 Km/h (Velocidad máxima: 11 kmh)</v>
      </c>
      <c r="P1340" s="47" t="str">
        <f>Data!X1338</f>
        <v>Válido</v>
      </c>
    </row>
    <row r="1341" spans="1:16">
      <c r="A1341" s="41" t="str">
        <f>Data!A1339</f>
        <v>QLT528</v>
      </c>
      <c r="B1341" s="41" t="str">
        <f>Data!D1339</f>
        <v>Vehicle, Diesel, Frontera Energy Col 2679</v>
      </c>
      <c r="C1341" s="41">
        <f>Data!F1339</f>
        <v>0</v>
      </c>
      <c r="D1341" s="41">
        <f>Data!G1339</f>
        <v>0</v>
      </c>
      <c r="E1341" s="41">
        <f>Data!H1339</f>
        <v>0</v>
      </c>
      <c r="F1341" s="41">
        <f>Data!K1339</f>
        <v>0</v>
      </c>
      <c r="G1341" s="33" t="str">
        <f>Data!M1339</f>
        <v>Tiempo en ralentí</v>
      </c>
      <c r="H1341" s="41" t="str">
        <f>Data!P1339</f>
        <v>CAMPAMENTO QUIFA, ECOPETROL RUBIALES- Quifa - CAÑO SUR, Campamento Quifa - CMA: Ent. CAMPAMENTO, Puerto Gaitán, Meta, Colombia</v>
      </c>
      <c r="I1341" s="42" t="str">
        <f>Data!Q1339</f>
        <v>Vel Max 10 Km/h, Cliente, Vel Max 40 Km/h</v>
      </c>
      <c r="J1341" s="43">
        <f>Data!S1339</f>
        <v>46174.369954733796</v>
      </c>
      <c r="K1341" s="44">
        <f>Data!S1339</f>
        <v>46174.369954733796</v>
      </c>
      <c r="L1341" s="45">
        <f>Data!T1339</f>
        <v>5.7638888888888887E-3</v>
      </c>
      <c r="M1341" s="46">
        <f>Data!U1339</f>
        <v>6.126046646386385E-3</v>
      </c>
      <c r="N1341" s="46" t="str">
        <f>CONCATENATE(Data!W1339," (",Data!V1339,")")</f>
        <v>Tiempo en ralentí (Ignición: 1.00)</v>
      </c>
      <c r="O1341" s="42" t="str">
        <f>IF(Data!V1339&lt;&gt;"",N1341,Data!W1339)</f>
        <v>Tiempo en ralentí (Ignición: 1.00)</v>
      </c>
      <c r="P1341" s="47" t="str">
        <f>Data!X1339</f>
        <v>Válido</v>
      </c>
    </row>
    <row r="1342" spans="1:16">
      <c r="A1342" s="41" t="str">
        <f>Data!A1340</f>
        <v>QLT528</v>
      </c>
      <c r="B1342" s="41" t="str">
        <f>Data!D1340</f>
        <v>Vehicle, Diesel, Frontera Energy Col 2679</v>
      </c>
      <c r="C1342" s="41">
        <f>Data!F1340</f>
        <v>0</v>
      </c>
      <c r="D1342" s="41">
        <f>Data!G1340</f>
        <v>0</v>
      </c>
      <c r="E1342" s="41">
        <f>Data!H1340</f>
        <v>0</v>
      </c>
      <c r="F1342" s="41">
        <f>Data!K1340</f>
        <v>0</v>
      </c>
      <c r="G1342" s="33" t="str">
        <f>Data!M1340</f>
        <v>Exceso Velocidad 10 Km/h</v>
      </c>
      <c r="H1342" s="41" t="str">
        <f>Data!P1340</f>
        <v>CAMPAMENTO QUIFA, ECOPETROL RUBIALES- Quifa - CAÑO SUR, Puerto Gaitan - Rubiales, Puerto Gaitán, Meta, Colombia, Campamento Quifa - CMA: Ent. CAMPAMENTO, Puerto Gaitán, Meta, Colombia</v>
      </c>
      <c r="I1342" s="42" t="str">
        <f>Data!Q1340</f>
        <v>Vel Max 10 Km/h, Cliente, Vel Max 40 Km/h, Centro de servicios del proveedor</v>
      </c>
      <c r="J1342" s="43">
        <f>Data!S1340</f>
        <v>46174.376551956018</v>
      </c>
      <c r="K1342" s="44">
        <f>Data!S1340</f>
        <v>46174.376551956018</v>
      </c>
      <c r="L1342" s="45">
        <f>Data!T1340</f>
        <v>3.7042824074074072E-4</v>
      </c>
      <c r="M1342" s="46">
        <f>Data!U1340</f>
        <v>9.0177051723003387E-2</v>
      </c>
      <c r="N1342" s="46" t="str">
        <f>CONCATENATE(Data!W1340," (",Data!V1340,")")</f>
        <v>Exceso Velocidad 10 Km/h (Velocidad máxima: 11 kmh)</v>
      </c>
      <c r="O1342" s="42" t="str">
        <f>IF(Data!V1340&lt;&gt;"",N1342,Data!W1340)</f>
        <v>Exceso Velocidad 10 Km/h (Velocidad máxima: 11 kmh)</v>
      </c>
      <c r="P1342" s="47" t="str">
        <f>Data!X1340</f>
        <v>Válido</v>
      </c>
    </row>
    <row r="1343" spans="1:16">
      <c r="A1343" s="41" t="str">
        <f>Data!A1341</f>
        <v>QLT528</v>
      </c>
      <c r="B1343" s="41" t="str">
        <f>Data!D1341</f>
        <v>Vehicle, Diesel, Frontera Energy Col 2679</v>
      </c>
      <c r="C1343" s="41">
        <f>Data!F1341</f>
        <v>0</v>
      </c>
      <c r="D1343" s="41">
        <f>Data!G1341</f>
        <v>0</v>
      </c>
      <c r="E1343" s="41">
        <f>Data!H1341</f>
        <v>0</v>
      </c>
      <c r="F1343" s="41">
        <f>Data!K1341</f>
        <v>0</v>
      </c>
      <c r="G1343" s="33" t="str">
        <f>Data!M1341</f>
        <v>Tiempo en ralentí</v>
      </c>
      <c r="H1343" s="41" t="str">
        <f>Data!P1341</f>
        <v>CAMPAMENTO QUIFA, ECOPETROL RUBIALES- Quifa - CAÑO SUR: Puerto Gaitan - Rubiales, Puerto Gaitán, Meta, Colombia</v>
      </c>
      <c r="I1343" s="42" t="str">
        <f>Data!Q1341</f>
        <v>Vel Max 10 Km/h, Cliente, Vel Max 40 Km/h</v>
      </c>
      <c r="J1343" s="43">
        <f>Data!S1341</f>
        <v>46174.378392233797</v>
      </c>
      <c r="K1343" s="44">
        <f>Data!S1341</f>
        <v>46174.378392233797</v>
      </c>
      <c r="L1343" s="45">
        <f>Data!T1341</f>
        <v>3.7268414351851853E-2</v>
      </c>
      <c r="M1343" s="46">
        <f>Data!U1341</f>
        <v>4.7907359898090363E-2</v>
      </c>
      <c r="N1343" s="46" t="str">
        <f>CONCATENATE(Data!W1341," (",Data!V1341,")")</f>
        <v>Tiempo en ralentí (Ignición: 1.00)</v>
      </c>
      <c r="O1343" s="42" t="str">
        <f>IF(Data!V1341&lt;&gt;"",N1343,Data!W1341)</f>
        <v>Tiempo en ralentí (Ignición: 1.00)</v>
      </c>
      <c r="P1343" s="47" t="str">
        <f>Data!X1341</f>
        <v>Válido</v>
      </c>
    </row>
    <row r="1344" spans="1:16">
      <c r="A1344" s="41" t="str">
        <f>Data!A1342</f>
        <v>QLT528</v>
      </c>
      <c r="B1344" s="41" t="str">
        <f>Data!D1342</f>
        <v>Vehicle, Diesel, Frontera Energy Col 2679</v>
      </c>
      <c r="C1344" s="41">
        <f>Data!F1342</f>
        <v>0</v>
      </c>
      <c r="D1344" s="41">
        <f>Data!G1342</f>
        <v>0</v>
      </c>
      <c r="E1344" s="41">
        <f>Data!H1342</f>
        <v>0</v>
      </c>
      <c r="F1344" s="41">
        <f>Data!K1342</f>
        <v>0</v>
      </c>
      <c r="G1344" s="33" t="str">
        <f>Data!M1342</f>
        <v>Tiempo en ralentí</v>
      </c>
      <c r="H1344" s="41" t="str">
        <f>Data!P1342</f>
        <v>CAMPAMENTO QUIFA, ECOPETROL RUBIALES- Quifa - CAÑO SUR: Ent. CAMPAMENTO, Puerto Gaitán, Meta, Colombia</v>
      </c>
      <c r="I1344" s="42" t="str">
        <f>Data!Q1342</f>
        <v>Vel Max 10 Km/h, Cliente, Vel Max 40 Km/h</v>
      </c>
      <c r="J1344" s="43">
        <f>Data!S1342</f>
        <v>46174.416829618058</v>
      </c>
      <c r="K1344" s="44">
        <f>Data!S1342</f>
        <v>46174.416829618058</v>
      </c>
      <c r="L1344" s="45">
        <f>Data!T1342</f>
        <v>1.5139004629629629E-2</v>
      </c>
      <c r="M1344" s="46">
        <f>Data!U1342</f>
        <v>2.0682400092482567E-2</v>
      </c>
      <c r="N1344" s="46" t="str">
        <f>CONCATENATE(Data!W1342," (",Data!V1342,")")</f>
        <v>Tiempo en ralentí (Ignición: 1.00)</v>
      </c>
      <c r="O1344" s="42" t="str">
        <f>IF(Data!V1342&lt;&gt;"",N1344,Data!W1342)</f>
        <v>Tiempo en ralentí (Ignición: 1.00)</v>
      </c>
      <c r="P1344" s="47" t="str">
        <f>Data!X1342</f>
        <v>Válido</v>
      </c>
    </row>
    <row r="1345" spans="1:16">
      <c r="A1345" s="41" t="str">
        <f>Data!A1343</f>
        <v>QLT528</v>
      </c>
      <c r="B1345" s="41" t="str">
        <f>Data!D1343</f>
        <v>Vehicle, Diesel, Frontera Energy Col 2679</v>
      </c>
      <c r="C1345" s="41">
        <f>Data!F1343</f>
        <v>0</v>
      </c>
      <c r="D1345" s="41">
        <f>Data!G1343</f>
        <v>0</v>
      </c>
      <c r="E1345" s="41">
        <f>Data!H1343</f>
        <v>0</v>
      </c>
      <c r="F1345" s="41">
        <f>Data!K1343</f>
        <v>0</v>
      </c>
      <c r="G1345" s="33" t="str">
        <f>Data!M1343</f>
        <v>Exceso de velocidad (nuevo)</v>
      </c>
      <c r="H1345" s="41" t="str">
        <f>Data!P1343</f>
        <v>ECOPETROL RUBIALES- Quifa - CAÑO SUR, Puerto Triunfo - Estacion Policia: Puerto Gaitan - Rubiales, Puerto Gaitán, Meta, Colombia</v>
      </c>
      <c r="I1345" s="42" t="str">
        <f>Data!Q1343</f>
        <v>Cliente, Vel Max 40 Km/h, Vel Max 30 Km/h</v>
      </c>
      <c r="J1345" s="43">
        <f>Data!S1343</f>
        <v>46174.43498302083</v>
      </c>
      <c r="K1345" s="44">
        <f>Data!S1343</f>
        <v>46174.43498302083</v>
      </c>
      <c r="L1345" s="45">
        <f>Data!T1343</f>
        <v>5.2715277777777775E-4</v>
      </c>
      <c r="M1345" s="46">
        <f>Data!U1343</f>
        <v>0.30573582649230957</v>
      </c>
      <c r="N1345" s="46" t="str">
        <f>CONCATENATE(Data!W1343," (",Data!V1343,")")</f>
        <v>Exceso de velocidad (nuevo) (Velocidad máxima: 30 kmh (Velocidad máxima en carretera: 7 kmh))</v>
      </c>
      <c r="O1345" s="42" t="str">
        <f>IF(Data!V1343&lt;&gt;"",N1345,Data!W1343)</f>
        <v>Exceso de velocidad (nuevo) (Velocidad máxima: 30 kmh (Velocidad máxima en carretera: 7 kmh))</v>
      </c>
      <c r="P1345" s="47" t="str">
        <f>Data!X1343</f>
        <v>Válido</v>
      </c>
    </row>
    <row r="1346" spans="1:16">
      <c r="A1346" s="41" t="str">
        <f>Data!A1344</f>
        <v>QLT528</v>
      </c>
      <c r="B1346" s="41" t="str">
        <f>Data!D1344</f>
        <v>Vehicle, Diesel, Frontera Energy Col 2679</v>
      </c>
      <c r="C1346" s="41">
        <f>Data!F1344</f>
        <v>0</v>
      </c>
      <c r="D1346" s="41">
        <f>Data!G1344</f>
        <v>0</v>
      </c>
      <c r="E1346" s="41">
        <f>Data!H1344</f>
        <v>0</v>
      </c>
      <c r="F1346" s="41">
        <f>Data!K1344</f>
        <v>0</v>
      </c>
      <c r="G1346" s="33" t="str">
        <f>Data!M1344</f>
        <v>Exceso Velocidad 10 Km/h</v>
      </c>
      <c r="H1346" s="41" t="str">
        <f>Data!P1344</f>
        <v>ECOPETROL RUBIALES- Quifa - CAÑO SUR, Centralizado de combustible Quifa: Vía Sin Nombre, Puerto Gaitán, Meta, Colombia</v>
      </c>
      <c r="I1346" s="42" t="str">
        <f>Data!Q1344</f>
        <v>Cliente, Vel Max 40 Km/h, Vel Max 10 Km/h</v>
      </c>
      <c r="J1346" s="43">
        <f>Data!S1344</f>
        <v>46174.435590844907</v>
      </c>
      <c r="K1346" s="44">
        <f>Data!S1344</f>
        <v>46174.435590844907</v>
      </c>
      <c r="L1346" s="45">
        <f>Data!T1344</f>
        <v>4.1135416666666669E-4</v>
      </c>
      <c r="M1346" s="46">
        <f>Data!U1344</f>
        <v>0.11279092729091644</v>
      </c>
      <c r="N1346" s="46" t="str">
        <f>CONCATENATE(Data!W1344," (",Data!V1344,")")</f>
        <v>Exceso Velocidad 10 Km/h (Velocidad máxima: 13 kmh)</v>
      </c>
      <c r="O1346" s="42" t="str">
        <f>IF(Data!V1344&lt;&gt;"",N1346,Data!W1344)</f>
        <v>Exceso Velocidad 10 Km/h (Velocidad máxima: 13 kmh)</v>
      </c>
      <c r="P1346" s="47" t="str">
        <f>Data!X1344</f>
        <v>Válido</v>
      </c>
    </row>
    <row r="1347" spans="1:16">
      <c r="A1347" s="41" t="str">
        <f>Data!A1345</f>
        <v>QLT528</v>
      </c>
      <c r="B1347" s="41" t="str">
        <f>Data!D1345</f>
        <v>Vehicle, Diesel, Frontera Energy Col 2679</v>
      </c>
      <c r="C1347" s="41">
        <f>Data!F1345</f>
        <v>0</v>
      </c>
      <c r="D1347" s="41">
        <f>Data!G1345</f>
        <v>0</v>
      </c>
      <c r="E1347" s="41">
        <f>Data!H1345</f>
        <v>0</v>
      </c>
      <c r="F1347" s="41">
        <f>Data!K1345</f>
        <v>0</v>
      </c>
      <c r="G1347" s="33" t="str">
        <f>Data!M1345</f>
        <v>Exceso Velocidad 10 Km/h</v>
      </c>
      <c r="H1347" s="41" t="str">
        <f>Data!P1345</f>
        <v>ECOPETROL RUBIALES- Quifa - CAÑO SUR, Centralizado de combustible Quifa: Vía Sin Nombre, Puerto Gaitán, Meta, Colombia</v>
      </c>
      <c r="I1347" s="42" t="str">
        <f>Data!Q1345</f>
        <v>Cliente, Vel Max 40 Km/h, Vel Max 10 Km/h</v>
      </c>
      <c r="J1347" s="43">
        <f>Data!S1345</f>
        <v>46174.438459305558</v>
      </c>
      <c r="K1347" s="44">
        <f>Data!S1345</f>
        <v>46174.438459305558</v>
      </c>
      <c r="L1347" s="45">
        <f>Data!T1345</f>
        <v>2.2922453703703703E-4</v>
      </c>
      <c r="M1347" s="46">
        <f>Data!U1345</f>
        <v>6.0592062771320343E-2</v>
      </c>
      <c r="N1347" s="46" t="str">
        <f>CONCATENATE(Data!W1345," (",Data!V1345,")")</f>
        <v>Exceso Velocidad 10 Km/h (Velocidad máxima: 13 kmh)</v>
      </c>
      <c r="O1347" s="42" t="str">
        <f>IF(Data!V1345&lt;&gt;"",N1347,Data!W1345)</f>
        <v>Exceso Velocidad 10 Km/h (Velocidad máxima: 13 kmh)</v>
      </c>
      <c r="P1347" s="47" t="str">
        <f>Data!X1345</f>
        <v>Válido</v>
      </c>
    </row>
    <row r="1348" spans="1:16">
      <c r="A1348" s="41" t="str">
        <f>Data!A1346</f>
        <v>QLT528</v>
      </c>
      <c r="B1348" s="41" t="str">
        <f>Data!D1346</f>
        <v>Vehicle, Diesel, Frontera Energy Col 2679</v>
      </c>
      <c r="C1348" s="41">
        <f>Data!F1346</f>
        <v>0</v>
      </c>
      <c r="D1348" s="41">
        <f>Data!G1346</f>
        <v>0</v>
      </c>
      <c r="E1348" s="41">
        <f>Data!H1346</f>
        <v>0</v>
      </c>
      <c r="F1348" s="41">
        <f>Data!K1346</f>
        <v>0</v>
      </c>
      <c r="G1348" s="33" t="str">
        <f>Data!M1346</f>
        <v>Exceso Velocidad 10 Km/h</v>
      </c>
      <c r="H1348" s="41" t="str">
        <f>Data!P1346</f>
        <v>ECOPETROL RUBIALES- Quifa - CAÑO SUR, Centralizado de combustible Quifa: Vía Sin Nombre, Puerto Gaitán, Meta, Colombia</v>
      </c>
      <c r="I1348" s="42" t="str">
        <f>Data!Q1346</f>
        <v>Cliente, Vel Max 40 Km/h, Vel Max 10 Km/h</v>
      </c>
      <c r="J1348" s="43">
        <f>Data!S1346</f>
        <v>46174.438827673614</v>
      </c>
      <c r="K1348" s="44">
        <f>Data!S1346</f>
        <v>46174.438827673614</v>
      </c>
      <c r="L1348" s="45">
        <f>Data!T1346</f>
        <v>7.4965277777777774E-5</v>
      </c>
      <c r="M1348" s="46">
        <f>Data!U1346</f>
        <v>2.1506365388631821E-2</v>
      </c>
      <c r="N1348" s="46" t="str">
        <f>CONCATENATE(Data!W1346," (",Data!V1346,")")</f>
        <v>Exceso Velocidad 10 Km/h (Velocidad máxima: 15 kmh)</v>
      </c>
      <c r="O1348" s="42" t="str">
        <f>IF(Data!V1346&lt;&gt;"",N1348,Data!W1346)</f>
        <v>Exceso Velocidad 10 Km/h (Velocidad máxima: 15 kmh)</v>
      </c>
      <c r="P1348" s="47" t="str">
        <f>Data!X1346</f>
        <v>Válido</v>
      </c>
    </row>
    <row r="1349" spans="1:16">
      <c r="A1349" s="41" t="str">
        <f>Data!A1347</f>
        <v>QLT528</v>
      </c>
      <c r="B1349" s="41" t="str">
        <f>Data!D1347</f>
        <v>Vehicle, Diesel, Frontera Energy Col 2679</v>
      </c>
      <c r="C1349" s="41">
        <f>Data!F1347</f>
        <v>0</v>
      </c>
      <c r="D1349" s="41">
        <f>Data!G1347</f>
        <v>0</v>
      </c>
      <c r="E1349" s="41">
        <f>Data!H1347</f>
        <v>0</v>
      </c>
      <c r="F1349" s="41">
        <f>Data!K1347</f>
        <v>0</v>
      </c>
      <c r="G1349" s="33" t="str">
        <f>Data!M1347</f>
        <v>Exceso de velocidad (nuevo)</v>
      </c>
      <c r="H1349" s="41" t="str">
        <f>Data!P1347</f>
        <v>ECOPETROL RUBIALES- Quifa - CAÑO SUR: Puerto Gaitan - Rubiales, Puerto Gaitán, Meta, Colombia</v>
      </c>
      <c r="I1349" s="42" t="str">
        <f>Data!Q1347</f>
        <v>Cliente, Vel Max 40 Km/h</v>
      </c>
      <c r="J1349" s="43">
        <f>Data!S1347</f>
        <v>46174.439017233795</v>
      </c>
      <c r="K1349" s="44">
        <f>Data!S1347</f>
        <v>46174.439017233795</v>
      </c>
      <c r="L1349" s="45">
        <f>Data!T1347</f>
        <v>5.1158564814814816E-4</v>
      </c>
      <c r="M1349" s="46">
        <f>Data!U1347</f>
        <v>0.29547443985939026</v>
      </c>
      <c r="N1349" s="46" t="str">
        <f>CONCATENATE(Data!W1347," (",Data!V1347,")")</f>
        <v>Exceso de velocidad (nuevo) (Velocidad máxima: 26 kmh (Velocidad máxima en carretera: 7 kmh))</v>
      </c>
      <c r="O1349" s="42" t="str">
        <f>IF(Data!V1347&lt;&gt;"",N1349,Data!W1347)</f>
        <v>Exceso de velocidad (nuevo) (Velocidad máxima: 26 kmh (Velocidad máxima en carretera: 7 kmh))</v>
      </c>
      <c r="P1349" s="47" t="str">
        <f>Data!X1347</f>
        <v>Válido</v>
      </c>
    </row>
    <row r="1350" spans="1:16">
      <c r="A1350" s="41" t="str">
        <f>Data!A1348</f>
        <v>QLT528</v>
      </c>
      <c r="B1350" s="41" t="str">
        <f>Data!D1348</f>
        <v>Vehicle, Diesel, Frontera Energy Col 2679</v>
      </c>
      <c r="C1350" s="41">
        <f>Data!F1348</f>
        <v>0</v>
      </c>
      <c r="D1350" s="41">
        <f>Data!G1348</f>
        <v>0</v>
      </c>
      <c r="E1350" s="41">
        <f>Data!H1348</f>
        <v>0</v>
      </c>
      <c r="F1350" s="41">
        <f>Data!K1348</f>
        <v>0</v>
      </c>
      <c r="G1350" s="33" t="str">
        <f>Data!M1348</f>
        <v>Exceso Velocidad 10 Km/h</v>
      </c>
      <c r="H1350" s="41" t="str">
        <f>Data!P1348</f>
        <v>ECOPETROL RUBIALES- Quifa - CAÑO SUR, Puerto Triunfo - Estacion Policia, PUESTRO CONTROL QUIFA: Puerto Gaitan - Rubiales, Puerto Gaitán, Meta, Colombia</v>
      </c>
      <c r="I1350" s="42" t="str">
        <f>Data!Q1348</f>
        <v>Cliente, Vel Max 40 Km/h, Vel Max 30 Km/h, Vel Max 10 Km/h</v>
      </c>
      <c r="J1350" s="43">
        <f>Data!S1348</f>
        <v>46174.439881759259</v>
      </c>
      <c r="K1350" s="44">
        <f>Data!S1348</f>
        <v>46174.439881759259</v>
      </c>
      <c r="L1350" s="45">
        <f>Data!T1348</f>
        <v>4.0373842592592593E-4</v>
      </c>
      <c r="M1350" s="46">
        <f>Data!U1348</f>
        <v>0.18361526727676392</v>
      </c>
      <c r="N1350" s="46" t="str">
        <f>CONCATENATE(Data!W1348," (",Data!V1348,")")</f>
        <v>Exceso Velocidad 10 Km/h (Velocidad máxima: 30 kmh)</v>
      </c>
      <c r="O1350" s="42" t="str">
        <f>IF(Data!V1348&lt;&gt;"",N1350,Data!W1348)</f>
        <v>Exceso Velocidad 10 Km/h (Velocidad máxima: 30 kmh)</v>
      </c>
      <c r="P1350" s="47" t="str">
        <f>Data!X1348</f>
        <v>Válido</v>
      </c>
    </row>
    <row r="1351" spans="1:16">
      <c r="A1351" s="41" t="str">
        <f>Data!A1349</f>
        <v>QLT528</v>
      </c>
      <c r="B1351" s="41" t="str">
        <f>Data!D1349</f>
        <v>Vehicle, Diesel, Frontera Energy Col 2679</v>
      </c>
      <c r="C1351" s="41">
        <f>Data!F1349</f>
        <v>0</v>
      </c>
      <c r="D1351" s="41">
        <f>Data!G1349</f>
        <v>0</v>
      </c>
      <c r="E1351" s="41">
        <f>Data!H1349</f>
        <v>0</v>
      </c>
      <c r="F1351" s="41">
        <f>Data!K1349</f>
        <v>0</v>
      </c>
      <c r="G1351" s="33" t="str">
        <f>Data!M1349</f>
        <v>Exceso Velocidad 40 Km/h</v>
      </c>
      <c r="H1351" s="41" t="str">
        <f>Data!P1349</f>
        <v>ECOPETROL RUBIALES- Quifa - CAÑO SUR: Hato San Fernando, Puerto Gaitán, Meta, Colombia</v>
      </c>
      <c r="I1351" s="42" t="str">
        <f>Data!Q1349</f>
        <v>Cliente, Vel Max 40 Km/h</v>
      </c>
      <c r="J1351" s="43">
        <f>Data!S1349</f>
        <v>46174.449202418982</v>
      </c>
      <c r="K1351" s="44">
        <f>Data!S1349</f>
        <v>46174.449202418982</v>
      </c>
      <c r="L1351" s="45">
        <f>Data!T1349</f>
        <v>8.3888888888888894E-5</v>
      </c>
      <c r="M1351" s="46">
        <f>Data!U1349</f>
        <v>7.8420035541057587E-2</v>
      </c>
      <c r="N1351" s="46" t="str">
        <f>CONCATENATE(Data!W1349," (",Data!V1349,")")</f>
        <v>Exceso Velocidad 40 Km/h (Velocidad máxima: 41 kmh)</v>
      </c>
      <c r="O1351" s="42" t="str">
        <f>IF(Data!V1349&lt;&gt;"",N1351,Data!W1349)</f>
        <v>Exceso Velocidad 40 Km/h (Velocidad máxima: 41 kmh)</v>
      </c>
      <c r="P1351" s="47" t="str">
        <f>Data!X1349</f>
        <v>Válido</v>
      </c>
    </row>
    <row r="1352" spans="1:16">
      <c r="A1352" s="41" t="str">
        <f>Data!A1350</f>
        <v>QLT528</v>
      </c>
      <c r="B1352" s="41" t="str">
        <f>Data!D1350</f>
        <v>Vehicle, Diesel, Frontera Energy Col 2679</v>
      </c>
      <c r="C1352" s="41">
        <f>Data!F1350</f>
        <v>0</v>
      </c>
      <c r="D1352" s="41">
        <f>Data!G1350</f>
        <v>0</v>
      </c>
      <c r="E1352" s="41">
        <f>Data!H1350</f>
        <v>0</v>
      </c>
      <c r="F1352" s="41">
        <f>Data!K1350</f>
        <v>0</v>
      </c>
      <c r="G1352" s="33" t="str">
        <f>Data!M1350</f>
        <v>Exceso Velocidad 40 Km/h</v>
      </c>
      <c r="H1352" s="41" t="str">
        <f>Data!P1350</f>
        <v>ECOPETROL RUBIALES- Quifa - CAÑO SUR: Alto Neblinas, Puerto Gaitán, Meta, Colombia</v>
      </c>
      <c r="I1352" s="42" t="str">
        <f>Data!Q1350</f>
        <v>Cliente, Vel Max 40 Km/h</v>
      </c>
      <c r="J1352" s="43">
        <f>Data!S1350</f>
        <v>46174.449838877314</v>
      </c>
      <c r="K1352" s="44">
        <f>Data!S1350</f>
        <v>46174.449838877314</v>
      </c>
      <c r="L1352" s="45">
        <f>Data!T1350</f>
        <v>4.5150462962962961E-4</v>
      </c>
      <c r="M1352" s="46">
        <f>Data!U1350</f>
        <v>0.44577199220657349</v>
      </c>
      <c r="N1352" s="46" t="str">
        <f>CONCATENATE(Data!W1350," (",Data!V1350,")")</f>
        <v>Exceso Velocidad 40 Km/h (Velocidad máxima: 42 kmh)</v>
      </c>
      <c r="O1352" s="42" t="str">
        <f>IF(Data!V1350&lt;&gt;"",N1352,Data!W1350)</f>
        <v>Exceso Velocidad 40 Km/h (Velocidad máxima: 42 kmh)</v>
      </c>
      <c r="P1352" s="47" t="str">
        <f>Data!X1350</f>
        <v>Válido</v>
      </c>
    </row>
    <row r="1353" spans="1:16">
      <c r="A1353" s="41" t="str">
        <f>Data!A1351</f>
        <v>QLT528</v>
      </c>
      <c r="B1353" s="41" t="str">
        <f>Data!D1351</f>
        <v>Vehicle, Diesel, Frontera Energy Col 2679</v>
      </c>
      <c r="C1353" s="41">
        <f>Data!F1351</f>
        <v>0</v>
      </c>
      <c r="D1353" s="41">
        <f>Data!G1351</f>
        <v>0</v>
      </c>
      <c r="E1353" s="41">
        <f>Data!H1351</f>
        <v>0</v>
      </c>
      <c r="F1353" s="41">
        <f>Data!K1351</f>
        <v>0</v>
      </c>
      <c r="G1353" s="33" t="str">
        <f>Data!M1351</f>
        <v>Exceso Velocidad 40 Km/h</v>
      </c>
      <c r="H1353" s="41" t="str">
        <f>Data!P1351</f>
        <v>ECOPETROL RUBIALES- Quifa - CAÑO SUR: Alto Neblinas, Puerto Gaitán, Meta, Colombia</v>
      </c>
      <c r="I1353" s="42" t="str">
        <f>Data!Q1351</f>
        <v>Cliente, Vel Max 40 Km/h</v>
      </c>
      <c r="J1353" s="43">
        <f>Data!S1351</f>
        <v>46174.450436874999</v>
      </c>
      <c r="K1353" s="44">
        <f>Data!S1351</f>
        <v>46174.450436874999</v>
      </c>
      <c r="L1353" s="45">
        <f>Data!T1351</f>
        <v>1.2430555555555556E-4</v>
      </c>
      <c r="M1353" s="46">
        <f>Data!U1351</f>
        <v>0.12414920330047607</v>
      </c>
      <c r="N1353" s="46" t="str">
        <f>CONCATENATE(Data!W1351," (",Data!V1351,")")</f>
        <v>Exceso Velocidad 40 Km/h (Velocidad máxima: 43 kmh)</v>
      </c>
      <c r="O1353" s="42" t="str">
        <f>IF(Data!V1351&lt;&gt;"",N1353,Data!W1351)</f>
        <v>Exceso Velocidad 40 Km/h (Velocidad máxima: 43 kmh)</v>
      </c>
      <c r="P1353" s="47" t="str">
        <f>Data!X1351</f>
        <v>Válido</v>
      </c>
    </row>
    <row r="1354" spans="1:16">
      <c r="A1354" s="41" t="str">
        <f>Data!A1352</f>
        <v>QLT528</v>
      </c>
      <c r="B1354" s="41" t="str">
        <f>Data!D1352</f>
        <v>Vehicle, Diesel, Frontera Energy Col 2679</v>
      </c>
      <c r="C1354" s="41">
        <f>Data!F1352</f>
        <v>0</v>
      </c>
      <c r="D1354" s="41">
        <f>Data!G1352</f>
        <v>0</v>
      </c>
      <c r="E1354" s="41">
        <f>Data!H1352</f>
        <v>0</v>
      </c>
      <c r="F1354" s="41">
        <f>Data!K1352</f>
        <v>0</v>
      </c>
      <c r="G1354" s="33" t="str">
        <f>Data!M1352</f>
        <v>Exceso Velocidad 40 Km/h</v>
      </c>
      <c r="H1354" s="41" t="str">
        <f>Data!P1352</f>
        <v>ECOPETROL RUBIALES- Quifa - CAÑO SUR: Alto Neblinas, Puerto Gaitán, Meta, Colombia</v>
      </c>
      <c r="I1354" s="42" t="str">
        <f>Data!Q1352</f>
        <v>Cliente, Vel Max 40 Km/h</v>
      </c>
      <c r="J1354" s="43">
        <f>Data!S1352</f>
        <v>46174.450637604168</v>
      </c>
      <c r="K1354" s="44">
        <f>Data!S1352</f>
        <v>46174.450637604168</v>
      </c>
      <c r="L1354" s="45">
        <f>Data!T1352</f>
        <v>2.0590277777777778E-4</v>
      </c>
      <c r="M1354" s="46">
        <f>Data!U1352</f>
        <v>0.20711217820644379</v>
      </c>
      <c r="N1354" s="46" t="str">
        <f>CONCATENATE(Data!W1352," (",Data!V1352,")")</f>
        <v>Exceso Velocidad 40 Km/h (Velocidad máxima: 42 kmh)</v>
      </c>
      <c r="O1354" s="42" t="str">
        <f>IF(Data!V1352&lt;&gt;"",N1354,Data!W1352)</f>
        <v>Exceso Velocidad 40 Km/h (Velocidad máxima: 42 kmh)</v>
      </c>
      <c r="P1354" s="47" t="str">
        <f>Data!X1352</f>
        <v>Válido</v>
      </c>
    </row>
    <row r="1355" spans="1:16">
      <c r="A1355" s="41" t="str">
        <f>Data!A1353</f>
        <v>QLT528</v>
      </c>
      <c r="B1355" s="41" t="str">
        <f>Data!D1353</f>
        <v>Vehicle, Diesel, Frontera Energy Col 2679</v>
      </c>
      <c r="C1355" s="41">
        <f>Data!F1353</f>
        <v>0</v>
      </c>
      <c r="D1355" s="41">
        <f>Data!G1353</f>
        <v>0</v>
      </c>
      <c r="E1355" s="41">
        <f>Data!H1353</f>
        <v>0</v>
      </c>
      <c r="F1355" s="41">
        <f>Data!K1353</f>
        <v>0</v>
      </c>
      <c r="G1355" s="33" t="str">
        <f>Data!M1353</f>
        <v>Tiempo en ralentí</v>
      </c>
      <c r="H1355" s="41" t="str">
        <f>Data!P1353</f>
        <v>ECOPETROL RUBIALES- Quifa - CAÑO SUR, Zona Accidentalidad: Alto Neblinas, Puerto Gaitán, Meta, Colombia</v>
      </c>
      <c r="I1355" s="42" t="str">
        <f>Data!Q1353</f>
        <v>Cliente, Vel Max 40 Km/h</v>
      </c>
      <c r="J1355" s="43">
        <f>Data!S1353</f>
        <v>46174.451899178239</v>
      </c>
      <c r="K1355" s="44">
        <f>Data!S1353</f>
        <v>46174.451899178239</v>
      </c>
      <c r="L1355" s="45">
        <f>Data!T1353</f>
        <v>3.6572916666666668E-3</v>
      </c>
      <c r="M1355" s="46">
        <f>Data!U1353</f>
        <v>2.1297619678080082E-3</v>
      </c>
      <c r="N1355" s="46" t="str">
        <f>CONCATENATE(Data!W1353," (",Data!V1353,")")</f>
        <v>Tiempo en ralentí (Ignición: 1.00)</v>
      </c>
      <c r="O1355" s="42" t="str">
        <f>IF(Data!V1353&lt;&gt;"",N1355,Data!W1353)</f>
        <v>Tiempo en ralentí (Ignición: 1.00)</v>
      </c>
      <c r="P1355" s="47" t="str">
        <f>Data!X1353</f>
        <v>Válido</v>
      </c>
    </row>
    <row r="1356" spans="1:16">
      <c r="A1356" s="41" t="str">
        <f>Data!A1354</f>
        <v>QLT528</v>
      </c>
      <c r="B1356" s="41" t="str">
        <f>Data!D1354</f>
        <v>Vehicle, Diesel, Frontera Energy Col 2679</v>
      </c>
      <c r="C1356" s="41">
        <f>Data!F1354</f>
        <v>0</v>
      </c>
      <c r="D1356" s="41">
        <f>Data!G1354</f>
        <v>0</v>
      </c>
      <c r="E1356" s="41">
        <f>Data!H1354</f>
        <v>0</v>
      </c>
      <c r="F1356" s="41">
        <f>Data!K1354</f>
        <v>0</v>
      </c>
      <c r="G1356" s="33" t="str">
        <f>Data!M1354</f>
        <v>Exceso Velocidad 40 Km/h</v>
      </c>
      <c r="H1356" s="41" t="str">
        <f>Data!P1354</f>
        <v>ECOPETROL RUBIALES- Quifa - CAÑO SUR: Alto Neblinas, Puerto Gaitán, Meta, Colombia</v>
      </c>
      <c r="I1356" s="42" t="str">
        <f>Data!Q1354</f>
        <v>Cliente, Vel Max 40 Km/h</v>
      </c>
      <c r="J1356" s="43">
        <f>Data!S1354</f>
        <v>46174.458183784722</v>
      </c>
      <c r="K1356" s="44">
        <f>Data!S1354</f>
        <v>46174.458183784722</v>
      </c>
      <c r="L1356" s="45">
        <f>Data!T1354</f>
        <v>1.6589120370370371E-4</v>
      </c>
      <c r="M1356" s="46">
        <f>Data!U1354</f>
        <v>0.15856239199638367</v>
      </c>
      <c r="N1356" s="46" t="str">
        <f>CONCATENATE(Data!W1354," (",Data!V1354,")")</f>
        <v>Exceso Velocidad 40 Km/h (Velocidad máxima: 41 kmh)</v>
      </c>
      <c r="O1356" s="42" t="str">
        <f>IF(Data!V1354&lt;&gt;"",N1356,Data!W1354)</f>
        <v>Exceso Velocidad 40 Km/h (Velocidad máxima: 41 kmh)</v>
      </c>
      <c r="P1356" s="47" t="str">
        <f>Data!X1354</f>
        <v>Válido</v>
      </c>
    </row>
    <row r="1357" spans="1:16">
      <c r="A1357" s="41" t="str">
        <f>Data!A1355</f>
        <v>QLT528</v>
      </c>
      <c r="B1357" s="41" t="str">
        <f>Data!D1355</f>
        <v>Vehicle, Diesel, Frontera Energy Col 2679</v>
      </c>
      <c r="C1357" s="41">
        <f>Data!F1355</f>
        <v>0</v>
      </c>
      <c r="D1357" s="41">
        <f>Data!G1355</f>
        <v>0</v>
      </c>
      <c r="E1357" s="41">
        <f>Data!H1355</f>
        <v>0</v>
      </c>
      <c r="F1357" s="41">
        <f>Data!K1355</f>
        <v>0</v>
      </c>
      <c r="G1357" s="33" t="str">
        <f>Data!M1355</f>
        <v>Exceso Velocidad 40 Km/h</v>
      </c>
      <c r="H1357" s="41" t="str">
        <f>Data!P1355</f>
        <v>ECOPETROL RUBIALES- Quifa - CAÑO SUR: Alto Neblinas, Puerto Gaitán, Meta, Colombia</v>
      </c>
      <c r="I1357" s="42" t="str">
        <f>Data!Q1355</f>
        <v>Cliente, Vel Max 40 Km/h</v>
      </c>
      <c r="J1357" s="43">
        <f>Data!S1355</f>
        <v>46174.461737106481</v>
      </c>
      <c r="K1357" s="44">
        <f>Data!S1355</f>
        <v>46174.461737106481</v>
      </c>
      <c r="L1357" s="45">
        <f>Data!T1355</f>
        <v>1.0408564814814815E-4</v>
      </c>
      <c r="M1357" s="46">
        <f>Data!U1355</f>
        <v>9.9399566650390625E-2</v>
      </c>
      <c r="N1357" s="46" t="str">
        <f>CONCATENATE(Data!W1355," (",Data!V1355,")")</f>
        <v>Exceso Velocidad 40 Km/h (Velocidad máxima: 42 kmh)</v>
      </c>
      <c r="O1357" s="42" t="str">
        <f>IF(Data!V1355&lt;&gt;"",N1357,Data!W1355)</f>
        <v>Exceso Velocidad 40 Km/h (Velocidad máxima: 42 kmh)</v>
      </c>
      <c r="P1357" s="47" t="str">
        <f>Data!X1355</f>
        <v>Válido</v>
      </c>
    </row>
    <row r="1358" spans="1:16">
      <c r="A1358" s="41" t="str">
        <f>Data!A1356</f>
        <v>QLT528</v>
      </c>
      <c r="B1358" s="41" t="str">
        <f>Data!D1356</f>
        <v>Vehicle, Diesel, Frontera Energy Col 2679</v>
      </c>
      <c r="C1358" s="41">
        <f>Data!F1356</f>
        <v>0</v>
      </c>
      <c r="D1358" s="41">
        <f>Data!G1356</f>
        <v>0</v>
      </c>
      <c r="E1358" s="41">
        <f>Data!H1356</f>
        <v>0</v>
      </c>
      <c r="F1358" s="41">
        <f>Data!K1356</f>
        <v>0</v>
      </c>
      <c r="G1358" s="33" t="str">
        <f>Data!M1356</f>
        <v>Exceso Velocidad 40 Km/h</v>
      </c>
      <c r="H1358" s="41" t="str">
        <f>Data!P1356</f>
        <v>ECOPETROL RUBIALES- Quifa - CAÑO SUR: Alto Neblinas, Puerto Gaitán, Meta, Colombia</v>
      </c>
      <c r="I1358" s="42" t="str">
        <f>Data!Q1356</f>
        <v>Cliente, Vel Max 40 Km/h</v>
      </c>
      <c r="J1358" s="43">
        <f>Data!S1356</f>
        <v>46174.463747060188</v>
      </c>
      <c r="K1358" s="44">
        <f>Data!S1356</f>
        <v>46174.463747060188</v>
      </c>
      <c r="L1358" s="45">
        <f>Data!T1356</f>
        <v>5.8831018518518519E-5</v>
      </c>
      <c r="M1358" s="46">
        <f>Data!U1356</f>
        <v>5.4540079087018967E-2</v>
      </c>
      <c r="N1358" s="46" t="str">
        <f>CONCATENATE(Data!W1356," (",Data!V1356,")")</f>
        <v>Exceso Velocidad 40 Km/h (Velocidad máxima: 41 kmh)</v>
      </c>
      <c r="O1358" s="42" t="str">
        <f>IF(Data!V1356&lt;&gt;"",N1358,Data!W1356)</f>
        <v>Exceso Velocidad 40 Km/h (Velocidad máxima: 41 kmh)</v>
      </c>
      <c r="P1358" s="47" t="str">
        <f>Data!X1356</f>
        <v>Válido</v>
      </c>
    </row>
    <row r="1359" spans="1:16">
      <c r="A1359" s="41" t="str">
        <f>Data!A1357</f>
        <v>QLT528</v>
      </c>
      <c r="B1359" s="41" t="str">
        <f>Data!D1357</f>
        <v>Vehicle, Diesel, Frontera Energy Col 2679</v>
      </c>
      <c r="C1359" s="41">
        <f>Data!F1357</f>
        <v>0</v>
      </c>
      <c r="D1359" s="41">
        <f>Data!G1357</f>
        <v>0</v>
      </c>
      <c r="E1359" s="41">
        <f>Data!H1357</f>
        <v>0</v>
      </c>
      <c r="F1359" s="41">
        <f>Data!K1357</f>
        <v>0</v>
      </c>
      <c r="G1359" s="33" t="str">
        <f>Data!M1357</f>
        <v>Exceso Velocidad 40 Km/h</v>
      </c>
      <c r="H1359" s="41" t="str">
        <f>Data!P1357</f>
        <v>ECOPETROL RUBIALES- Quifa - CAÑO SUR: Alto Neblinas, Puerto Gaitán, Meta, Colombia</v>
      </c>
      <c r="I1359" s="42" t="str">
        <f>Data!Q1357</f>
        <v>Cliente, Vel Max 40 Km/h</v>
      </c>
      <c r="J1359" s="43">
        <f>Data!S1357</f>
        <v>46174.465284479164</v>
      </c>
      <c r="K1359" s="44">
        <f>Data!S1357</f>
        <v>46174.465284479164</v>
      </c>
      <c r="L1359" s="45">
        <f>Data!T1357</f>
        <v>1.5046296296296297E-4</v>
      </c>
      <c r="M1359" s="46">
        <f>Data!U1357</f>
        <v>0.14364032447338104</v>
      </c>
      <c r="N1359" s="46" t="str">
        <f>CONCATENATE(Data!W1357," (",Data!V1357,")")</f>
        <v>Exceso Velocidad 40 Km/h (Velocidad máxima: 41 kmh)</v>
      </c>
      <c r="O1359" s="42" t="str">
        <f>IF(Data!V1357&lt;&gt;"",N1359,Data!W1357)</f>
        <v>Exceso Velocidad 40 Km/h (Velocidad máxima: 41 kmh)</v>
      </c>
      <c r="P1359" s="47" t="str">
        <f>Data!X1357</f>
        <v>Válido</v>
      </c>
    </row>
    <row r="1360" spans="1:16">
      <c r="A1360" s="41" t="str">
        <f>Data!A1358</f>
        <v>QLT528</v>
      </c>
      <c r="B1360" s="41" t="str">
        <f>Data!D1358</f>
        <v>Vehicle, Diesel, Frontera Energy Col 2679</v>
      </c>
      <c r="C1360" s="41">
        <f>Data!F1358</f>
        <v>0</v>
      </c>
      <c r="D1360" s="41">
        <f>Data!G1358</f>
        <v>0</v>
      </c>
      <c r="E1360" s="41">
        <f>Data!H1358</f>
        <v>0</v>
      </c>
      <c r="F1360" s="41">
        <f>Data!K1358</f>
        <v>0</v>
      </c>
      <c r="G1360" s="33" t="str">
        <f>Data!M1358</f>
        <v>Exceso Velocidad 40 Km/h</v>
      </c>
      <c r="H1360" s="41" t="str">
        <f>Data!P1358</f>
        <v>ECOPETROL RUBIALES- Quifa - CAÑO SUR: Alto Neblinas, Puerto Gaitán, Meta, Colombia</v>
      </c>
      <c r="I1360" s="42" t="str">
        <f>Data!Q1358</f>
        <v>Cliente, Vel Max 40 Km/h</v>
      </c>
      <c r="J1360" s="43">
        <f>Data!S1358</f>
        <v>46174.465822673614</v>
      </c>
      <c r="K1360" s="44">
        <f>Data!S1358</f>
        <v>46174.465822673614</v>
      </c>
      <c r="L1360" s="45">
        <f>Data!T1358</f>
        <v>1.3888888888888889E-4</v>
      </c>
      <c r="M1360" s="46">
        <f>Data!U1358</f>
        <v>0.13219758868217468</v>
      </c>
      <c r="N1360" s="46" t="str">
        <f>CONCATENATE(Data!W1358," (",Data!V1358,")")</f>
        <v>Exceso Velocidad 40 Km/h (Velocidad máxima: 41 kmh)</v>
      </c>
      <c r="O1360" s="42" t="str">
        <f>IF(Data!V1358&lt;&gt;"",N1360,Data!W1358)</f>
        <v>Exceso Velocidad 40 Km/h (Velocidad máxima: 41 kmh)</v>
      </c>
      <c r="P1360" s="47" t="str">
        <f>Data!X1358</f>
        <v>Válido</v>
      </c>
    </row>
    <row r="1361" spans="1:16">
      <c r="A1361" s="41" t="str">
        <f>Data!A1359</f>
        <v>QLT528</v>
      </c>
      <c r="B1361" s="41" t="str">
        <f>Data!D1359</f>
        <v>Vehicle, Diesel, Frontera Energy Col 2679</v>
      </c>
      <c r="C1361" s="41">
        <f>Data!F1359</f>
        <v>0</v>
      </c>
      <c r="D1361" s="41">
        <f>Data!G1359</f>
        <v>0</v>
      </c>
      <c r="E1361" s="41">
        <f>Data!H1359</f>
        <v>0</v>
      </c>
      <c r="F1361" s="41">
        <f>Data!K1359</f>
        <v>0</v>
      </c>
      <c r="G1361" s="33" t="str">
        <f>Data!M1359</f>
        <v>Exceso Velocidad 40 Km/h</v>
      </c>
      <c r="H1361" s="41" t="str">
        <f>Data!P1359</f>
        <v>ECOPETROL RUBIALES- Quifa - CAÑO SUR: Alto Neblinas, Puerto Gaitán, Meta, Colombia</v>
      </c>
      <c r="I1361" s="42" t="str">
        <f>Data!Q1359</f>
        <v>Cliente, Vel Max 40 Km/h</v>
      </c>
      <c r="J1361" s="43">
        <f>Data!S1359</f>
        <v>46174.466100451391</v>
      </c>
      <c r="K1361" s="44">
        <f>Data!S1359</f>
        <v>46174.466100451391</v>
      </c>
      <c r="L1361" s="45">
        <f>Data!T1359</f>
        <v>1.0416666666666667E-4</v>
      </c>
      <c r="M1361" s="46">
        <f>Data!U1359</f>
        <v>0.10199800133705139</v>
      </c>
      <c r="N1361" s="46" t="str">
        <f>CONCATENATE(Data!W1359," (",Data!V1359,")")</f>
        <v>Exceso Velocidad 40 Km/h (Velocidad máxima: 42 kmh)</v>
      </c>
      <c r="O1361" s="42" t="str">
        <f>IF(Data!V1359&lt;&gt;"",N1361,Data!W1359)</f>
        <v>Exceso Velocidad 40 Km/h (Velocidad máxima: 42 kmh)</v>
      </c>
      <c r="P1361" s="47" t="str">
        <f>Data!X1359</f>
        <v>Válido</v>
      </c>
    </row>
    <row r="1362" spans="1:16">
      <c r="A1362" s="41" t="str">
        <f>Data!A1360</f>
        <v>QLT528</v>
      </c>
      <c r="B1362" s="41" t="str">
        <f>Data!D1360</f>
        <v>Vehicle, Diesel, Frontera Energy Col 2679</v>
      </c>
      <c r="C1362" s="41">
        <f>Data!F1360</f>
        <v>0</v>
      </c>
      <c r="D1362" s="41">
        <f>Data!G1360</f>
        <v>0</v>
      </c>
      <c r="E1362" s="41">
        <f>Data!H1360</f>
        <v>0</v>
      </c>
      <c r="F1362" s="41">
        <f>Data!K1360</f>
        <v>0</v>
      </c>
      <c r="G1362" s="33" t="str">
        <f>Data!M1360</f>
        <v>Exceso Velocidad 40 Km/h</v>
      </c>
      <c r="H1362" s="41" t="str">
        <f>Data!P1360</f>
        <v>ECOPETROL RUBIALES- Quifa - CAÑO SUR: Alto Neblinas, Puerto Gaitán, Meta, Colombia</v>
      </c>
      <c r="I1362" s="42" t="str">
        <f>Data!Q1360</f>
        <v>Cliente, Vel Max 40 Km/h</v>
      </c>
      <c r="J1362" s="43">
        <f>Data!S1360</f>
        <v>46174.466644513886</v>
      </c>
      <c r="K1362" s="44">
        <f>Data!S1360</f>
        <v>46174.466644513886</v>
      </c>
      <c r="L1362" s="45">
        <f>Data!T1360</f>
        <v>3.8880787037037036E-4</v>
      </c>
      <c r="M1362" s="46">
        <f>Data!U1360</f>
        <v>0.37897393107414246</v>
      </c>
      <c r="N1362" s="46" t="str">
        <f>CONCATENATE(Data!W1360," (",Data!V1360,")")</f>
        <v>Exceso Velocidad 40 Km/h (Velocidad máxima: 44 kmh)</v>
      </c>
      <c r="O1362" s="42" t="str">
        <f>IF(Data!V1360&lt;&gt;"",N1362,Data!W1360)</f>
        <v>Exceso Velocidad 40 Km/h (Velocidad máxima: 44 kmh)</v>
      </c>
      <c r="P1362" s="47" t="str">
        <f>Data!X1360</f>
        <v>Válido</v>
      </c>
    </row>
    <row r="1363" spans="1:16">
      <c r="A1363" s="41" t="str">
        <f>Data!A1361</f>
        <v>QLT528</v>
      </c>
      <c r="B1363" s="41" t="str">
        <f>Data!D1361</f>
        <v>Vehicle, Diesel, Frontera Energy Col 2679</v>
      </c>
      <c r="C1363" s="41">
        <f>Data!F1361</f>
        <v>0</v>
      </c>
      <c r="D1363" s="41">
        <f>Data!G1361</f>
        <v>0</v>
      </c>
      <c r="E1363" s="41">
        <f>Data!H1361</f>
        <v>0</v>
      </c>
      <c r="F1363" s="41">
        <f>Data!K1361</f>
        <v>0</v>
      </c>
      <c r="G1363" s="33" t="str">
        <f>Data!M1361</f>
        <v>Exceso Velocidad 40 Km/h</v>
      </c>
      <c r="H1363" s="41" t="str">
        <f>Data!P1361</f>
        <v>ECOPETROL RUBIALES- Quifa - CAÑO SUR: Vía Sin Nombre, Puerto Gaitán, Meta, Colombia</v>
      </c>
      <c r="I1363" s="42" t="str">
        <f>Data!Q1361</f>
        <v>Cliente, Vel Max 40 Km/h</v>
      </c>
      <c r="J1363" s="43">
        <f>Data!S1361</f>
        <v>46174.472714976851</v>
      </c>
      <c r="K1363" s="44">
        <f>Data!S1361</f>
        <v>46174.472714976851</v>
      </c>
      <c r="L1363" s="45">
        <f>Data!T1361</f>
        <v>9.8437500000000001E-5</v>
      </c>
      <c r="M1363" s="46">
        <f>Data!U1361</f>
        <v>9.7393468022346497E-2</v>
      </c>
      <c r="N1363" s="46" t="str">
        <f>CONCATENATE(Data!W1361," (",Data!V1361,")")</f>
        <v>Exceso Velocidad 40 Km/h (Velocidad máxima: 42 kmh)</v>
      </c>
      <c r="O1363" s="42" t="str">
        <f>IF(Data!V1361&lt;&gt;"",N1363,Data!W1361)</f>
        <v>Exceso Velocidad 40 Km/h (Velocidad máxima: 42 kmh)</v>
      </c>
      <c r="P1363" s="47" t="str">
        <f>Data!X1361</f>
        <v>Válido</v>
      </c>
    </row>
    <row r="1364" spans="1:16">
      <c r="A1364" s="41" t="str">
        <f>Data!A1362</f>
        <v>QLT528</v>
      </c>
      <c r="B1364" s="41" t="str">
        <f>Data!D1362</f>
        <v>Vehicle, Diesel, Frontera Energy Col 2679</v>
      </c>
      <c r="C1364" s="41">
        <f>Data!F1362</f>
        <v>0</v>
      </c>
      <c r="D1364" s="41">
        <f>Data!G1362</f>
        <v>0</v>
      </c>
      <c r="E1364" s="41">
        <f>Data!H1362</f>
        <v>0</v>
      </c>
      <c r="F1364" s="41">
        <f>Data!K1362</f>
        <v>0</v>
      </c>
      <c r="G1364" s="33" t="str">
        <f>Data!M1362</f>
        <v>Exceso Velocidad 40 Km/h</v>
      </c>
      <c r="H1364" s="41" t="str">
        <f>Data!P1362</f>
        <v>ECOPETROL RUBIALES- Quifa - CAÑO SUR: Vía Sin Nombre, Puerto Gaitán, Meta, Colombia</v>
      </c>
      <c r="I1364" s="42" t="str">
        <f>Data!Q1362</f>
        <v>Cliente, Vel Max 40 Km/h</v>
      </c>
      <c r="J1364" s="43">
        <f>Data!S1362</f>
        <v>46174.472871284721</v>
      </c>
      <c r="K1364" s="44">
        <f>Data!S1362</f>
        <v>46174.472871284721</v>
      </c>
      <c r="L1364" s="45">
        <f>Data!T1362</f>
        <v>2.3148148148148149E-4</v>
      </c>
      <c r="M1364" s="46">
        <f>Data!U1362</f>
        <v>0.22025346755981445</v>
      </c>
      <c r="N1364" s="46" t="str">
        <f>CONCATENATE(Data!W1362," (",Data!V1362,")")</f>
        <v>Exceso Velocidad 40 Km/h (Velocidad máxima: 41 kmh)</v>
      </c>
      <c r="O1364" s="42" t="str">
        <f>IF(Data!V1362&lt;&gt;"",N1364,Data!W1362)</f>
        <v>Exceso Velocidad 40 Km/h (Velocidad máxima: 41 kmh)</v>
      </c>
      <c r="P1364" s="47" t="str">
        <f>Data!X1362</f>
        <v>Válido</v>
      </c>
    </row>
    <row r="1365" spans="1:16">
      <c r="A1365" s="41" t="str">
        <f>Data!A1363</f>
        <v>QLT528</v>
      </c>
      <c r="B1365" s="41" t="str">
        <f>Data!D1363</f>
        <v>Vehicle, Diesel, Frontera Energy Col 2679</v>
      </c>
      <c r="C1365" s="41">
        <f>Data!F1363</f>
        <v>0</v>
      </c>
      <c r="D1365" s="41">
        <f>Data!G1363</f>
        <v>0</v>
      </c>
      <c r="E1365" s="41">
        <f>Data!H1363</f>
        <v>0</v>
      </c>
      <c r="F1365" s="41">
        <f>Data!K1363</f>
        <v>0</v>
      </c>
      <c r="G1365" s="33" t="str">
        <f>Data!M1363</f>
        <v>Exceso Velocidad 40 Km/h</v>
      </c>
      <c r="H1365" s="41" t="str">
        <f>Data!P1363</f>
        <v>ECOPETROL RUBIALES- Quifa - CAÑO SUR: Vía Sin Nombre, Puerto Gaitán, Meta, Colombia</v>
      </c>
      <c r="I1365" s="42" t="str">
        <f>Data!Q1363</f>
        <v>Cliente, Vel Max 40 Km/h</v>
      </c>
      <c r="J1365" s="43">
        <f>Data!S1363</f>
        <v>46174.473795474536</v>
      </c>
      <c r="K1365" s="44">
        <f>Data!S1363</f>
        <v>46174.473795474536</v>
      </c>
      <c r="L1365" s="45">
        <f>Data!T1363</f>
        <v>7.2465277777777781E-5</v>
      </c>
      <c r="M1365" s="46">
        <f>Data!U1363</f>
        <v>7.0835575461387634E-2</v>
      </c>
      <c r="N1365" s="46" t="str">
        <f>CONCATENATE(Data!W1363," (",Data!V1363,")")</f>
        <v>Exceso Velocidad 40 Km/h (Velocidad máxima: 42 kmh)</v>
      </c>
      <c r="O1365" s="42" t="str">
        <f>IF(Data!V1363&lt;&gt;"",N1365,Data!W1363)</f>
        <v>Exceso Velocidad 40 Km/h (Velocidad máxima: 42 kmh)</v>
      </c>
      <c r="P1365" s="47" t="str">
        <f>Data!X1363</f>
        <v>Válido</v>
      </c>
    </row>
    <row r="1366" spans="1:16">
      <c r="A1366" s="41" t="str">
        <f>Data!A1364</f>
        <v>QLT528</v>
      </c>
      <c r="B1366" s="41" t="str">
        <f>Data!D1364</f>
        <v>Vehicle, Diesel, Frontera Energy Col 2679</v>
      </c>
      <c r="C1366" s="41">
        <f>Data!F1364</f>
        <v>0</v>
      </c>
      <c r="D1366" s="41">
        <f>Data!G1364</f>
        <v>0</v>
      </c>
      <c r="E1366" s="41">
        <f>Data!H1364</f>
        <v>0</v>
      </c>
      <c r="F1366" s="41">
        <f>Data!K1364</f>
        <v>0</v>
      </c>
      <c r="G1366" s="33" t="str">
        <f>Data!M1364</f>
        <v>Exceso Velocidad 40 Km/h</v>
      </c>
      <c r="H1366" s="41" t="str">
        <f>Data!P1364</f>
        <v>ECOPETROL RUBIALES- Quifa - CAÑO SUR: Vía Sin Nombre, Puerto Gaitán, Meta, Colombia</v>
      </c>
      <c r="I1366" s="42" t="str">
        <f>Data!Q1364</f>
        <v>Cliente, Vel Max 40 Km/h</v>
      </c>
      <c r="J1366" s="43">
        <f>Data!S1364</f>
        <v>46174.474318043984</v>
      </c>
      <c r="K1366" s="44">
        <f>Data!S1364</f>
        <v>46174.474318043984</v>
      </c>
      <c r="L1366" s="45">
        <f>Data!T1364</f>
        <v>9.8287037037037041E-5</v>
      </c>
      <c r="M1366" s="46">
        <f>Data!U1364</f>
        <v>9.4217456877231598E-2</v>
      </c>
      <c r="N1366" s="46" t="str">
        <f>CONCATENATE(Data!W1364," (",Data!V1364,")")</f>
        <v>Exceso Velocidad 40 Km/h (Velocidad máxima: 41 kmh)</v>
      </c>
      <c r="O1366" s="42" t="str">
        <f>IF(Data!V1364&lt;&gt;"",N1366,Data!W1364)</f>
        <v>Exceso Velocidad 40 Km/h (Velocidad máxima: 41 kmh)</v>
      </c>
      <c r="P1366" s="47" t="str">
        <f>Data!X1364</f>
        <v>Válido</v>
      </c>
    </row>
    <row r="1367" spans="1:16">
      <c r="A1367" s="41" t="str">
        <f>Data!A1365</f>
        <v>QLT528</v>
      </c>
      <c r="B1367" s="41" t="str">
        <f>Data!D1365</f>
        <v>Vehicle, Diesel, Frontera Energy Col 2679</v>
      </c>
      <c r="C1367" s="41">
        <f>Data!F1365</f>
        <v>0</v>
      </c>
      <c r="D1367" s="41">
        <f>Data!G1365</f>
        <v>0</v>
      </c>
      <c r="E1367" s="41">
        <f>Data!H1365</f>
        <v>0</v>
      </c>
      <c r="F1367" s="41">
        <f>Data!K1365</f>
        <v>0</v>
      </c>
      <c r="G1367" s="33" t="str">
        <f>Data!M1365</f>
        <v>Exceso Velocidad 40 Km/h</v>
      </c>
      <c r="H1367" s="41" t="str">
        <f>Data!P1365</f>
        <v>ECOPETROL RUBIALES- Quifa - CAÑO SUR: Vía Sin Nombre, Puerto Gaitán, Meta, Colombia</v>
      </c>
      <c r="I1367" s="42" t="str">
        <f>Data!Q1365</f>
        <v>Cliente, Vel Max 40 Km/h</v>
      </c>
      <c r="J1367" s="43">
        <f>Data!S1365</f>
        <v>46174.474630543984</v>
      </c>
      <c r="K1367" s="44">
        <f>Data!S1365</f>
        <v>46174.474630543984</v>
      </c>
      <c r="L1367" s="45">
        <f>Data!T1365</f>
        <v>1.3888888888888889E-4</v>
      </c>
      <c r="M1367" s="46">
        <f>Data!U1365</f>
        <v>0.13494089245796204</v>
      </c>
      <c r="N1367" s="46" t="str">
        <f>CONCATENATE(Data!W1365," (",Data!V1365,")")</f>
        <v>Exceso Velocidad 40 Km/h (Velocidad máxima: 43 kmh)</v>
      </c>
      <c r="O1367" s="42" t="str">
        <f>IF(Data!V1365&lt;&gt;"",N1367,Data!W1365)</f>
        <v>Exceso Velocidad 40 Km/h (Velocidad máxima: 43 kmh)</v>
      </c>
      <c r="P1367" s="47" t="str">
        <f>Data!X1365</f>
        <v>Válido</v>
      </c>
    </row>
    <row r="1368" spans="1:16">
      <c r="A1368" s="41" t="str">
        <f>Data!A1366</f>
        <v>QLT528</v>
      </c>
      <c r="B1368" s="41" t="str">
        <f>Data!D1366</f>
        <v>Vehicle, Diesel, Frontera Energy Col 2679</v>
      </c>
      <c r="C1368" s="41">
        <f>Data!F1366</f>
        <v>0</v>
      </c>
      <c r="D1368" s="41">
        <f>Data!G1366</f>
        <v>0</v>
      </c>
      <c r="E1368" s="41">
        <f>Data!H1366</f>
        <v>0</v>
      </c>
      <c r="F1368" s="41">
        <f>Data!K1366</f>
        <v>0</v>
      </c>
      <c r="G1368" s="33" t="str">
        <f>Data!M1366</f>
        <v>Exceso Velocidad 40 Km/h</v>
      </c>
      <c r="H1368" s="41" t="str">
        <f>Data!P1366</f>
        <v>ECOPETROL RUBIALES- Quifa - CAÑO SUR: Vía Sin Nombre, Puerto Gaitán, Meta, Colombia</v>
      </c>
      <c r="I1368" s="42" t="str">
        <f>Data!Q1366</f>
        <v>Cliente, Vel Max 40 Km/h</v>
      </c>
      <c r="J1368" s="43">
        <f>Data!S1366</f>
        <v>46174.474844675926</v>
      </c>
      <c r="K1368" s="44">
        <f>Data!S1366</f>
        <v>46174.474844675926</v>
      </c>
      <c r="L1368" s="45">
        <f>Data!T1366</f>
        <v>3.9350694444444443E-4</v>
      </c>
      <c r="M1368" s="46">
        <f>Data!U1366</f>
        <v>0.38592952489852905</v>
      </c>
      <c r="N1368" s="46" t="str">
        <f>CONCATENATE(Data!W1366," (",Data!V1366,")")</f>
        <v>Exceso Velocidad 40 Km/h (Velocidad máxima: 43 kmh)</v>
      </c>
      <c r="O1368" s="42" t="str">
        <f>IF(Data!V1366&lt;&gt;"",N1368,Data!W1366)</f>
        <v>Exceso Velocidad 40 Km/h (Velocidad máxima: 43 kmh)</v>
      </c>
      <c r="P1368" s="47" t="str">
        <f>Data!X1366</f>
        <v>Válido</v>
      </c>
    </row>
    <row r="1369" spans="1:16">
      <c r="A1369" s="41" t="str">
        <f>Data!A1367</f>
        <v>QLT528</v>
      </c>
      <c r="B1369" s="41" t="str">
        <f>Data!D1367</f>
        <v>Vehicle, Diesel, Frontera Energy Col 2679</v>
      </c>
      <c r="C1369" s="41">
        <f>Data!F1367</f>
        <v>0</v>
      </c>
      <c r="D1369" s="41">
        <f>Data!G1367</f>
        <v>0</v>
      </c>
      <c r="E1369" s="41">
        <f>Data!H1367</f>
        <v>0</v>
      </c>
      <c r="F1369" s="41">
        <f>Data!K1367</f>
        <v>0</v>
      </c>
      <c r="G1369" s="33" t="str">
        <f>Data!M1367</f>
        <v>Exceso Velocidad 40 Km/h</v>
      </c>
      <c r="H1369" s="41" t="str">
        <f>Data!P1367</f>
        <v>ECOPETROL RUBIALES- Quifa - CAÑO SUR: Vía Sin Nombre, Puerto Gaitán, Meta, Colombia</v>
      </c>
      <c r="I1369" s="42" t="str">
        <f>Data!Q1367</f>
        <v>Cliente, Vel Max 40 Km/h</v>
      </c>
      <c r="J1369" s="43">
        <f>Data!S1367</f>
        <v>46174.475456886576</v>
      </c>
      <c r="K1369" s="44">
        <f>Data!S1367</f>
        <v>46174.475456886576</v>
      </c>
      <c r="L1369" s="45">
        <f>Data!T1367</f>
        <v>9.8449074074074069E-5</v>
      </c>
      <c r="M1369" s="46">
        <f>Data!U1367</f>
        <v>9.6562318503856659E-2</v>
      </c>
      <c r="N1369" s="46" t="str">
        <f>CONCATENATE(Data!W1367," (",Data!V1367,")")</f>
        <v>Exceso Velocidad 40 Km/h (Velocidad máxima: 43 kmh)</v>
      </c>
      <c r="O1369" s="42" t="str">
        <f>IF(Data!V1367&lt;&gt;"",N1369,Data!W1367)</f>
        <v>Exceso Velocidad 40 Km/h (Velocidad máxima: 43 kmh)</v>
      </c>
      <c r="P1369" s="47" t="str">
        <f>Data!X1367</f>
        <v>Válido</v>
      </c>
    </row>
    <row r="1370" spans="1:16">
      <c r="A1370" s="41" t="str">
        <f>Data!A1368</f>
        <v>QLT528</v>
      </c>
      <c r="B1370" s="41" t="str">
        <f>Data!D1368</f>
        <v>Vehicle, Diesel, Frontera Energy Col 2679</v>
      </c>
      <c r="C1370" s="41">
        <f>Data!F1368</f>
        <v>0</v>
      </c>
      <c r="D1370" s="41">
        <f>Data!G1368</f>
        <v>0</v>
      </c>
      <c r="E1370" s="41">
        <f>Data!H1368</f>
        <v>0</v>
      </c>
      <c r="F1370" s="41">
        <f>Data!K1368</f>
        <v>0</v>
      </c>
      <c r="G1370" s="33" t="str">
        <f>Data!M1368</f>
        <v>Exceso Velocidad 40 Km/h</v>
      </c>
      <c r="H1370" s="41" t="str">
        <f>Data!P1368</f>
        <v>ECOPETROL RUBIALES- Quifa - CAÑO SUR: Vía Sin Nombre, Puerto Gaitán, Meta, Colombia</v>
      </c>
      <c r="I1370" s="42" t="str">
        <f>Data!Q1368</f>
        <v>Cliente, Vel Max 40 Km/h</v>
      </c>
      <c r="J1370" s="43">
        <f>Data!S1368</f>
        <v>46174.475737800924</v>
      </c>
      <c r="K1370" s="44">
        <f>Data!S1368</f>
        <v>46174.475737800924</v>
      </c>
      <c r="L1370" s="45">
        <f>Data!T1368</f>
        <v>6.172453703703704E-5</v>
      </c>
      <c r="M1370" s="46">
        <f>Data!U1368</f>
        <v>5.8326691389083862E-2</v>
      </c>
      <c r="N1370" s="46" t="str">
        <f>CONCATENATE(Data!W1368," (",Data!V1368,")")</f>
        <v>Exceso Velocidad 40 Km/h (Velocidad máxima: 41 kmh)</v>
      </c>
      <c r="O1370" s="42" t="str">
        <f>IF(Data!V1368&lt;&gt;"",N1370,Data!W1368)</f>
        <v>Exceso Velocidad 40 Km/h (Velocidad máxima: 41 kmh)</v>
      </c>
      <c r="P1370" s="47" t="str">
        <f>Data!X1368</f>
        <v>Válido</v>
      </c>
    </row>
    <row r="1371" spans="1:16">
      <c r="A1371" s="41" t="str">
        <f>Data!A1369</f>
        <v>QLT528</v>
      </c>
      <c r="B1371" s="41" t="str">
        <f>Data!D1369</f>
        <v>Vehicle, Diesel, Frontera Energy Col 2679</v>
      </c>
      <c r="C1371" s="41">
        <f>Data!F1369</f>
        <v>0</v>
      </c>
      <c r="D1371" s="41">
        <f>Data!G1369</f>
        <v>0</v>
      </c>
      <c r="E1371" s="41">
        <f>Data!H1369</f>
        <v>0</v>
      </c>
      <c r="F1371" s="41">
        <f>Data!K1369</f>
        <v>0</v>
      </c>
      <c r="G1371" s="33" t="str">
        <f>Data!M1369</f>
        <v>Exceso Velocidad 40 Km/h</v>
      </c>
      <c r="H1371" s="41" t="str">
        <f>Data!P1369</f>
        <v>ECOPETROL RUBIALES- Quifa - CAÑO SUR: Vía Sin Nombre, Puerto Gaitán, Meta, Colombia</v>
      </c>
      <c r="I1371" s="42" t="str">
        <f>Data!Q1369</f>
        <v>Cliente, Vel Max 40 Km/h</v>
      </c>
      <c r="J1371" s="43">
        <f>Data!S1369</f>
        <v>46174.476976111109</v>
      </c>
      <c r="K1371" s="44">
        <f>Data!S1369</f>
        <v>46174.476976111109</v>
      </c>
      <c r="L1371" s="45">
        <f>Data!T1369</f>
        <v>9.6446759259259256E-5</v>
      </c>
      <c r="M1371" s="46">
        <f>Data!U1369</f>
        <v>9.2493481934070587E-2</v>
      </c>
      <c r="N1371" s="46" t="str">
        <f>CONCATENATE(Data!W1369," (",Data!V1369,")")</f>
        <v>Exceso Velocidad 40 Km/h (Velocidad máxima: 41 kmh)</v>
      </c>
      <c r="O1371" s="42" t="str">
        <f>IF(Data!V1369&lt;&gt;"",N1371,Data!W1369)</f>
        <v>Exceso Velocidad 40 Km/h (Velocidad máxima: 41 kmh)</v>
      </c>
      <c r="P1371" s="47" t="str">
        <f>Data!X1369</f>
        <v>Válido</v>
      </c>
    </row>
    <row r="1372" spans="1:16">
      <c r="A1372" s="41" t="str">
        <f>Data!A1370</f>
        <v>QLT528</v>
      </c>
      <c r="B1372" s="41" t="str">
        <f>Data!D1370</f>
        <v>Vehicle, Diesel, Frontera Energy Col 2679</v>
      </c>
      <c r="C1372" s="41">
        <f>Data!F1370</f>
        <v>0</v>
      </c>
      <c r="D1372" s="41">
        <f>Data!G1370</f>
        <v>0</v>
      </c>
      <c r="E1372" s="41">
        <f>Data!H1370</f>
        <v>0</v>
      </c>
      <c r="F1372" s="41">
        <f>Data!K1370</f>
        <v>0</v>
      </c>
      <c r="G1372" s="33" t="str">
        <f>Data!M1370</f>
        <v>Exceso Velocidad 20 Km/h</v>
      </c>
      <c r="H1372" s="41" t="str">
        <f>Data!P1370</f>
        <v>ECOPETROL RUBIALES- Quifa - CAÑO SUR, Mito 1 frente: Vía Sin Nombre, Puerto Gaitán, Meta, Colombia</v>
      </c>
      <c r="I1372" s="42" t="str">
        <f>Data!Q1370</f>
        <v>Cliente, Vel Max 40 Km/h, Vel Max 20 Km/h</v>
      </c>
      <c r="J1372" s="43">
        <f>Data!S1370</f>
        <v>46174.477602002313</v>
      </c>
      <c r="K1372" s="44">
        <f>Data!S1370</f>
        <v>46174.477602002313</v>
      </c>
      <c r="L1372" s="45">
        <f>Data!T1370</f>
        <v>6.4340277777777779E-4</v>
      </c>
      <c r="M1372" s="46">
        <f>Data!U1370</f>
        <v>0.36288627982139587</v>
      </c>
      <c r="N1372" s="46" t="str">
        <f>CONCATENATE(Data!W1370," (",Data!V1370,")")</f>
        <v>Exceso Velocidad 20 Km/h (Velocidad máxima: 26 kmh)</v>
      </c>
      <c r="O1372" s="42" t="str">
        <f>IF(Data!V1370&lt;&gt;"",N1372,Data!W1370)</f>
        <v>Exceso Velocidad 20 Km/h (Velocidad máxima: 26 kmh)</v>
      </c>
      <c r="P1372" s="47" t="str">
        <f>Data!X1370</f>
        <v>Válido</v>
      </c>
    </row>
    <row r="1373" spans="1:16">
      <c r="A1373" s="41" t="str">
        <f>Data!A1371</f>
        <v>QLT528</v>
      </c>
      <c r="B1373" s="41" t="str">
        <f>Data!D1371</f>
        <v>Vehicle, Diesel, Frontera Energy Col 2679</v>
      </c>
      <c r="C1373" s="41">
        <f>Data!F1371</f>
        <v>0</v>
      </c>
      <c r="D1373" s="41">
        <f>Data!G1371</f>
        <v>0</v>
      </c>
      <c r="E1373" s="41">
        <f>Data!H1371</f>
        <v>0</v>
      </c>
      <c r="F1373" s="41">
        <f>Data!K1371</f>
        <v>0</v>
      </c>
      <c r="G1373" s="33" t="str">
        <f>Data!M1371</f>
        <v>Exceso Velocidad 20 Km/h</v>
      </c>
      <c r="H1373" s="41" t="str">
        <f>Data!P1371</f>
        <v>ECOPETROL RUBIALES- Quifa - CAÑO SUR, Mito 1 frente: Vía Sin Nombre, Puerto Gaitán, Meta, Colombia</v>
      </c>
      <c r="I1373" s="42" t="str">
        <f>Data!Q1371</f>
        <v>Cliente, Vel Max 40 Km/h, Vel Max 20 Km/h</v>
      </c>
      <c r="J1373" s="43">
        <f>Data!S1371</f>
        <v>46174.478352708335</v>
      </c>
      <c r="K1373" s="44">
        <f>Data!S1371</f>
        <v>46174.478352708335</v>
      </c>
      <c r="L1373" s="45">
        <f>Data!T1371</f>
        <v>2.4584490740740741E-4</v>
      </c>
      <c r="M1373" s="46">
        <f>Data!U1371</f>
        <v>0.1274825781583786</v>
      </c>
      <c r="N1373" s="46" t="str">
        <f>CONCATENATE(Data!W1371," (",Data!V1371,")")</f>
        <v>Exceso Velocidad 20 Km/h (Velocidad máxima: 24 kmh)</v>
      </c>
      <c r="O1373" s="42" t="str">
        <f>IF(Data!V1371&lt;&gt;"",N1373,Data!W1371)</f>
        <v>Exceso Velocidad 20 Km/h (Velocidad máxima: 24 kmh)</v>
      </c>
      <c r="P1373" s="47" t="str">
        <f>Data!X1371</f>
        <v>Válido</v>
      </c>
    </row>
    <row r="1374" spans="1:16">
      <c r="A1374" s="41" t="str">
        <f>Data!A1372</f>
        <v>QLT528</v>
      </c>
      <c r="B1374" s="41" t="str">
        <f>Data!D1372</f>
        <v>Vehicle, Diesel, Frontera Energy Col 2679</v>
      </c>
      <c r="C1374" s="41">
        <f>Data!F1372</f>
        <v>0</v>
      </c>
      <c r="D1374" s="41">
        <f>Data!G1372</f>
        <v>0</v>
      </c>
      <c r="E1374" s="41">
        <f>Data!H1372</f>
        <v>0</v>
      </c>
      <c r="F1374" s="41">
        <f>Data!K1372</f>
        <v>0</v>
      </c>
      <c r="G1374" s="33" t="str">
        <f>Data!M1372</f>
        <v>Exceso Velocidad 20 Km/h</v>
      </c>
      <c r="H1374" s="41" t="str">
        <f>Data!P1372</f>
        <v>ECOPETROL RUBIALES- Quifa - CAÑO SUR, Mito 1 frente: Vía Sin Nombre, Puerto Gaitán, Meta, Colombia</v>
      </c>
      <c r="I1374" s="42" t="str">
        <f>Data!Q1372</f>
        <v>Cliente, Vel Max 40 Km/h, Vel Max 20 Km/h</v>
      </c>
      <c r="J1374" s="43">
        <f>Data!S1372</f>
        <v>46174.478773946757</v>
      </c>
      <c r="K1374" s="44">
        <f>Data!S1372</f>
        <v>46174.478773946757</v>
      </c>
      <c r="L1374" s="45">
        <f>Data!T1372</f>
        <v>8.873842592592592E-5</v>
      </c>
      <c r="M1374" s="46">
        <f>Data!U1372</f>
        <v>4.730629175901413E-2</v>
      </c>
      <c r="N1374" s="46" t="str">
        <f>CONCATENATE(Data!W1372," (",Data!V1372,")")</f>
        <v>Exceso Velocidad 20 Km/h (Velocidad máxima: 24 kmh)</v>
      </c>
      <c r="O1374" s="42" t="str">
        <f>IF(Data!V1372&lt;&gt;"",N1374,Data!W1372)</f>
        <v>Exceso Velocidad 20 Km/h (Velocidad máxima: 24 kmh)</v>
      </c>
      <c r="P1374" s="47" t="str">
        <f>Data!X1372</f>
        <v>Válido</v>
      </c>
    </row>
    <row r="1375" spans="1:16">
      <c r="A1375" s="41" t="str">
        <f>Data!A1373</f>
        <v>QLT528</v>
      </c>
      <c r="B1375" s="41" t="str">
        <f>Data!D1373</f>
        <v>Vehicle, Diesel, Frontera Energy Col 2679</v>
      </c>
      <c r="C1375" s="41">
        <f>Data!F1373</f>
        <v>0</v>
      </c>
      <c r="D1375" s="41">
        <f>Data!G1373</f>
        <v>0</v>
      </c>
      <c r="E1375" s="41">
        <f>Data!H1373</f>
        <v>0</v>
      </c>
      <c r="F1375" s="41">
        <f>Data!K1373</f>
        <v>0</v>
      </c>
      <c r="G1375" s="33" t="str">
        <f>Data!M1373</f>
        <v>Exceso Velocidad 20 Km/h</v>
      </c>
      <c r="H1375" s="41" t="str">
        <f>Data!P1373</f>
        <v>ECOPETROL RUBIALES- Quifa - CAÑO SUR, Mito 1 frente: Vía Sin Nombre, Puerto Gaitán, Meta, Colombia</v>
      </c>
      <c r="I1375" s="42" t="str">
        <f>Data!Q1373</f>
        <v>Cliente, Vel Max 40 Km/h, Vel Max 20 Km/h</v>
      </c>
      <c r="J1375" s="43">
        <f>Data!S1373</f>
        <v>46174.47890898148</v>
      </c>
      <c r="K1375" s="44">
        <f>Data!S1373</f>
        <v>46174.47890898148</v>
      </c>
      <c r="L1375" s="45">
        <f>Data!T1373</f>
        <v>1.3116898148148148E-4</v>
      </c>
      <c r="M1375" s="46">
        <f>Data!U1373</f>
        <v>6.5060585737228394E-2</v>
      </c>
      <c r="N1375" s="46" t="str">
        <f>CONCATENATE(Data!W1373," (",Data!V1373,")")</f>
        <v>Exceso Velocidad 20 Km/h (Velocidad máxima: 21 kmh)</v>
      </c>
      <c r="O1375" s="42" t="str">
        <f>IF(Data!V1373&lt;&gt;"",N1375,Data!W1373)</f>
        <v>Exceso Velocidad 20 Km/h (Velocidad máxima: 21 kmh)</v>
      </c>
      <c r="P1375" s="47" t="str">
        <f>Data!X1373</f>
        <v>Válido</v>
      </c>
    </row>
    <row r="1376" spans="1:16">
      <c r="A1376" s="41" t="str">
        <f>Data!A1374</f>
        <v>QLT528</v>
      </c>
      <c r="B1376" s="41" t="str">
        <f>Data!D1374</f>
        <v>Vehicle, Diesel, Frontera Energy Col 2679</v>
      </c>
      <c r="C1376" s="41">
        <f>Data!F1374</f>
        <v>0</v>
      </c>
      <c r="D1376" s="41">
        <f>Data!G1374</f>
        <v>0</v>
      </c>
      <c r="E1376" s="41">
        <f>Data!H1374</f>
        <v>0</v>
      </c>
      <c r="F1376" s="41">
        <f>Data!K1374</f>
        <v>0</v>
      </c>
      <c r="G1376" s="33" t="str">
        <f>Data!M1374</f>
        <v>Exceso Velocidad 20 Km/h</v>
      </c>
      <c r="H1376" s="41" t="str">
        <f>Data!P1374</f>
        <v>ECOPETROL RUBIALES- Quifa - CAÑO SUR, Mito 1 frente: Vía Sin Nombre, Puerto Gaitán, Meta, Colombia</v>
      </c>
      <c r="I1376" s="42" t="str">
        <f>Data!Q1374</f>
        <v>Cliente, Vel Max 40 Km/h, Vel Max 20 Km/h</v>
      </c>
      <c r="J1376" s="43">
        <f>Data!S1374</f>
        <v>46174.479040150465</v>
      </c>
      <c r="K1376" s="44">
        <f>Data!S1374</f>
        <v>46174.479040150465</v>
      </c>
      <c r="L1376" s="45">
        <f>Data!T1374</f>
        <v>4.4754629629629631E-4</v>
      </c>
      <c r="M1376" s="46">
        <f>Data!U1374</f>
        <v>0.23411601781845093</v>
      </c>
      <c r="N1376" s="46" t="str">
        <f>CONCATENATE(Data!W1374," (",Data!V1374,")")</f>
        <v>Exceso Velocidad 20 Km/h (Velocidad máxima: 21 kmh)</v>
      </c>
      <c r="O1376" s="42" t="str">
        <f>IF(Data!V1374&lt;&gt;"",N1376,Data!W1374)</f>
        <v>Exceso Velocidad 20 Km/h (Velocidad máxima: 21 kmh)</v>
      </c>
      <c r="P1376" s="47" t="str">
        <f>Data!X1374</f>
        <v>Válido</v>
      </c>
    </row>
    <row r="1377" spans="1:16">
      <c r="A1377" s="41" t="str">
        <f>Data!A1375</f>
        <v>QLT528</v>
      </c>
      <c r="B1377" s="41" t="str">
        <f>Data!D1375</f>
        <v>Vehicle, Diesel, Frontera Energy Col 2679</v>
      </c>
      <c r="C1377" s="41">
        <f>Data!F1375</f>
        <v>0</v>
      </c>
      <c r="D1377" s="41">
        <f>Data!G1375</f>
        <v>0</v>
      </c>
      <c r="E1377" s="41">
        <f>Data!H1375</f>
        <v>0</v>
      </c>
      <c r="F1377" s="41">
        <f>Data!K1375</f>
        <v>0</v>
      </c>
      <c r="G1377" s="33" t="str">
        <f>Data!M1375</f>
        <v>Giro brusco</v>
      </c>
      <c r="H1377" s="41" t="str">
        <f>Data!P1375</f>
        <v>ECOPETROL RUBIALES- Quifa - CAÑO SUR: Vía Sin Nombre, Puerto Gaitán, Meta, Colombia</v>
      </c>
      <c r="I1377" s="42" t="str">
        <f>Data!Q1375</f>
        <v>Cliente, Vel Max 40 Km/h</v>
      </c>
      <c r="J1377" s="43">
        <f>Data!S1375</f>
        <v>46174.480835995368</v>
      </c>
      <c r="K1377" s="44">
        <f>Data!S1375</f>
        <v>46174.480835995368</v>
      </c>
      <c r="L1377" s="45">
        <f>Data!T1375</f>
        <v>1.0416666666666667E-7</v>
      </c>
      <c r="M1377" s="46">
        <f>Data!U1375</f>
        <v>2.6703786716097966E-5</v>
      </c>
      <c r="N1377" s="46" t="str">
        <f>CONCATENATE(Data!W1375," (",Data!V1375,")")</f>
        <v>Giro brusco (Velocidad máxima: 13 kmh Aceleración de lado a lado: -0.48 g-force, Ignición: 1.00)</v>
      </c>
      <c r="O1377" s="42" t="str">
        <f>IF(Data!V1375&lt;&gt;"",N1377,Data!W1375)</f>
        <v>Giro brusco (Velocidad máxima: 13 kmh Aceleración de lado a lado: -0.48 g-force, Ignición: 1.00)</v>
      </c>
      <c r="P1377" s="47" t="str">
        <f>Data!X1375</f>
        <v>Válido</v>
      </c>
    </row>
    <row r="1378" spans="1:16">
      <c r="A1378" s="41" t="str">
        <f>Data!A1376</f>
        <v>QLT528</v>
      </c>
      <c r="B1378" s="41" t="str">
        <f>Data!D1376</f>
        <v>Vehicle, Diesel, Frontera Energy Col 2679</v>
      </c>
      <c r="C1378" s="41">
        <f>Data!F1376</f>
        <v>0</v>
      </c>
      <c r="D1378" s="41">
        <f>Data!G1376</f>
        <v>0</v>
      </c>
      <c r="E1378" s="41">
        <f>Data!H1376</f>
        <v>0</v>
      </c>
      <c r="F1378" s="41">
        <f>Data!K1376</f>
        <v>0</v>
      </c>
      <c r="G1378" s="33" t="str">
        <f>Data!M1376</f>
        <v>Exceso Velocidad 40 Km/h</v>
      </c>
      <c r="H1378" s="41" t="str">
        <f>Data!P1376</f>
        <v>ECOPETROL RUBIALES- Quifa - CAÑO SUR: Vía Sin Nombre, Puerto Gaitán, Meta, Colombia</v>
      </c>
      <c r="I1378" s="42" t="str">
        <f>Data!Q1376</f>
        <v>Cliente, Vel Max 40 Km/h</v>
      </c>
      <c r="J1378" s="43">
        <f>Data!S1376</f>
        <v>46174.487489317129</v>
      </c>
      <c r="K1378" s="44">
        <f>Data!S1376</f>
        <v>46174.487489317129</v>
      </c>
      <c r="L1378" s="45">
        <f>Data!T1376</f>
        <v>2.1226851851851851E-5</v>
      </c>
      <c r="M1378" s="46">
        <f>Data!U1376</f>
        <v>1.9950946792960167E-2</v>
      </c>
      <c r="N1378" s="46" t="str">
        <f>CONCATENATE(Data!W1376," (",Data!V1376,")")</f>
        <v>Exceso Velocidad 40 Km/h (Velocidad máxima: 41 kmh)</v>
      </c>
      <c r="O1378" s="42" t="str">
        <f>IF(Data!V1376&lt;&gt;"",N1378,Data!W1376)</f>
        <v>Exceso Velocidad 40 Km/h (Velocidad máxima: 41 kmh)</v>
      </c>
      <c r="P1378" s="47" t="str">
        <f>Data!X1376</f>
        <v>Válido</v>
      </c>
    </row>
    <row r="1379" spans="1:16">
      <c r="A1379" s="41" t="str">
        <f>Data!A1377</f>
        <v>QLT528</v>
      </c>
      <c r="B1379" s="41" t="str">
        <f>Data!D1377</f>
        <v>Vehicle, Diesel, Frontera Energy Col 2679</v>
      </c>
      <c r="C1379" s="41">
        <f>Data!F1377</f>
        <v>0</v>
      </c>
      <c r="D1379" s="41">
        <f>Data!G1377</f>
        <v>0</v>
      </c>
      <c r="E1379" s="41">
        <f>Data!H1377</f>
        <v>0</v>
      </c>
      <c r="F1379" s="41">
        <f>Data!K1377</f>
        <v>0</v>
      </c>
      <c r="G1379" s="33" t="str">
        <f>Data!M1377</f>
        <v>Exceso Velocidad 40 Km/h</v>
      </c>
      <c r="H1379" s="41" t="str">
        <f>Data!P1377</f>
        <v>ECOPETROL RUBIALES- Quifa - CAÑO SUR: Vía Sin Nombre, Puerto Gaitán, Meta, Colombia</v>
      </c>
      <c r="I1379" s="42" t="str">
        <f>Data!Q1377</f>
        <v>Cliente, Vel Max 40 Km/h</v>
      </c>
      <c r="J1379" s="43">
        <f>Data!S1377</f>
        <v>46174.487716886571</v>
      </c>
      <c r="K1379" s="44">
        <f>Data!S1377</f>
        <v>46174.487716886571</v>
      </c>
      <c r="L1379" s="45">
        <f>Data!T1377</f>
        <v>1.4271990740740741E-4</v>
      </c>
      <c r="M1379" s="46">
        <f>Data!U1377</f>
        <v>0.13793417811393738</v>
      </c>
      <c r="N1379" s="46" t="str">
        <f>CONCATENATE(Data!W1377," (",Data!V1377,")")</f>
        <v>Exceso Velocidad 40 Km/h (Velocidad máxima: 42 kmh)</v>
      </c>
      <c r="O1379" s="42" t="str">
        <f>IF(Data!V1377&lt;&gt;"",N1379,Data!W1377)</f>
        <v>Exceso Velocidad 40 Km/h (Velocidad máxima: 42 kmh)</v>
      </c>
      <c r="P1379" s="47" t="str">
        <f>Data!X1377</f>
        <v>Válido</v>
      </c>
    </row>
    <row r="1380" spans="1:16">
      <c r="A1380" s="41" t="str">
        <f>Data!A1378</f>
        <v>QLT528</v>
      </c>
      <c r="B1380" s="41" t="str">
        <f>Data!D1378</f>
        <v>Vehicle, Diesel, Frontera Energy Col 2679</v>
      </c>
      <c r="C1380" s="41">
        <f>Data!F1378</f>
        <v>0</v>
      </c>
      <c r="D1380" s="41">
        <f>Data!G1378</f>
        <v>0</v>
      </c>
      <c r="E1380" s="41">
        <f>Data!H1378</f>
        <v>0</v>
      </c>
      <c r="F1380" s="41">
        <f>Data!K1378</f>
        <v>0</v>
      </c>
      <c r="G1380" s="33" t="str">
        <f>Data!M1378</f>
        <v>Exceso Velocidad 40 Km/h</v>
      </c>
      <c r="H1380" s="41" t="str">
        <f>Data!P1378</f>
        <v>ECOPETROL RUBIALES- Quifa - CAÑO SUR: Vía Sin Nombre, Puerto Gaitán, Meta, Colombia</v>
      </c>
      <c r="I1380" s="42" t="str">
        <f>Data!Q1378</f>
        <v>Cliente, Vel Max 40 Km/h</v>
      </c>
      <c r="J1380" s="43">
        <f>Data!S1378</f>
        <v>46174.533370937497</v>
      </c>
      <c r="K1380" s="44">
        <f>Data!S1378</f>
        <v>46174.533370937497</v>
      </c>
      <c r="L1380" s="45">
        <f>Data!T1378</f>
        <v>5.3530092592592594E-5</v>
      </c>
      <c r="M1380" s="46">
        <f>Data!U1378</f>
        <v>4.7976355999708176E-2</v>
      </c>
      <c r="N1380" s="46" t="str">
        <f>CONCATENATE(Data!W1378," (",Data!V1378,")")</f>
        <v>Exceso Velocidad 40 Km/h (Velocidad máxima: 41 kmh)</v>
      </c>
      <c r="O1380" s="42" t="str">
        <f>IF(Data!V1378&lt;&gt;"",N1380,Data!W1378)</f>
        <v>Exceso Velocidad 40 Km/h (Velocidad máxima: 41 kmh)</v>
      </c>
      <c r="P1380" s="47" t="str">
        <f>Data!X1378</f>
        <v>Válido</v>
      </c>
    </row>
    <row r="1381" spans="1:16">
      <c r="A1381" s="41" t="str">
        <f>Data!A1379</f>
        <v>QLT528</v>
      </c>
      <c r="B1381" s="41" t="str">
        <f>Data!D1379</f>
        <v>Vehicle, Diesel, Frontera Energy Col 2679</v>
      </c>
      <c r="C1381" s="41">
        <f>Data!F1379</f>
        <v>0</v>
      </c>
      <c r="D1381" s="41">
        <f>Data!G1379</f>
        <v>0</v>
      </c>
      <c r="E1381" s="41">
        <f>Data!H1379</f>
        <v>0</v>
      </c>
      <c r="F1381" s="41">
        <f>Data!K1379</f>
        <v>0</v>
      </c>
      <c r="G1381" s="33" t="str">
        <f>Data!M1379</f>
        <v>Frenado brusco (nuevo)</v>
      </c>
      <c r="H1381" s="41" t="str">
        <f>Data!P1379</f>
        <v>ECOPETROL RUBIALES- Quifa - CAÑO SUR: Vía Sin Nombre, Puerto Gaitán, Meta, Colombia</v>
      </c>
      <c r="I1381" s="42" t="str">
        <f>Data!Q1379</f>
        <v>Cliente, Vel Max 40 Km/h</v>
      </c>
      <c r="J1381" s="43">
        <f>Data!S1379</f>
        <v>46174.539505312503</v>
      </c>
      <c r="K1381" s="44">
        <f>Data!S1379</f>
        <v>46174.539505312503</v>
      </c>
      <c r="L1381" s="45">
        <f>Data!T1379</f>
        <v>0</v>
      </c>
      <c r="M1381" s="46">
        <f>Data!U1379</f>
        <v>0</v>
      </c>
      <c r="N1381" s="46" t="str">
        <f>CONCATENATE(Data!W1379," (",Data!V1379,")")</f>
        <v>Frenado brusco (nuevo) (Clase de vehículo para métricas de seguridad: Otra clase (no estandarizada), Velocidad máxima: 24 kmh,  Ignición: 1)</v>
      </c>
      <c r="O1381" s="42" t="str">
        <f>IF(Data!V1379&lt;&gt;"",N1381,Data!W1379)</f>
        <v>Frenado brusco (nuevo) (Clase de vehículo para métricas de seguridad: Otra clase (no estandarizada), Velocidad máxima: 24 kmh,  Ignición: 1)</v>
      </c>
      <c r="P1381" s="47" t="str">
        <f>Data!X1379</f>
        <v>Válido</v>
      </c>
    </row>
    <row r="1382" spans="1:16">
      <c r="A1382" s="41" t="str">
        <f>Data!A1380</f>
        <v>QLT528</v>
      </c>
      <c r="B1382" s="41" t="str">
        <f>Data!D1380</f>
        <v>Vehicle, Diesel, Frontera Energy Col 2679</v>
      </c>
      <c r="C1382" s="41">
        <f>Data!F1380</f>
        <v>0</v>
      </c>
      <c r="D1382" s="41">
        <f>Data!G1380</f>
        <v>0</v>
      </c>
      <c r="E1382" s="41">
        <f>Data!H1380</f>
        <v>0</v>
      </c>
      <c r="F1382" s="41">
        <f>Data!K1380</f>
        <v>0</v>
      </c>
      <c r="G1382" s="33" t="str">
        <f>Data!M1380</f>
        <v>Exceso Velocidad 20 Km/h</v>
      </c>
      <c r="H1382" s="41" t="str">
        <f>Data!P1380</f>
        <v>ECOPETROL RUBIALES- Quifa - CAÑO SUR, Mito 1 frente: Vía Sin Nombre, Puerto Gaitán, Meta, Colombia</v>
      </c>
      <c r="I1382" s="42" t="str">
        <f>Data!Q1380</f>
        <v>Cliente, Vel Max 40 Km/h, Vel Max 20 Km/h</v>
      </c>
      <c r="J1382" s="43">
        <f>Data!S1380</f>
        <v>46174.539592534726</v>
      </c>
      <c r="K1382" s="44">
        <f>Data!S1380</f>
        <v>46174.539592534726</v>
      </c>
      <c r="L1382" s="45">
        <f>Data!T1380</f>
        <v>8.7855324074074073E-4</v>
      </c>
      <c r="M1382" s="46">
        <f>Data!U1380</f>
        <v>0.50196796655654907</v>
      </c>
      <c r="N1382" s="46" t="str">
        <f>CONCATENATE(Data!W1380," (",Data!V1380,")")</f>
        <v>Exceso Velocidad 20 Km/h (Velocidad máxima: 27 kmh)</v>
      </c>
      <c r="O1382" s="42" t="str">
        <f>IF(Data!V1380&lt;&gt;"",N1382,Data!W1380)</f>
        <v>Exceso Velocidad 20 Km/h (Velocidad máxima: 27 kmh)</v>
      </c>
      <c r="P1382" s="47" t="str">
        <f>Data!X1380</f>
        <v>Válido</v>
      </c>
    </row>
    <row r="1383" spans="1:16">
      <c r="A1383" s="41" t="str">
        <f>Data!A1381</f>
        <v>QLT528</v>
      </c>
      <c r="B1383" s="41" t="str">
        <f>Data!D1381</f>
        <v>Vehicle, Diesel, Frontera Energy Col 2679</v>
      </c>
      <c r="C1383" s="41">
        <f>Data!F1381</f>
        <v>0</v>
      </c>
      <c r="D1383" s="41">
        <f>Data!G1381</f>
        <v>0</v>
      </c>
      <c r="E1383" s="41">
        <f>Data!H1381</f>
        <v>0</v>
      </c>
      <c r="F1383" s="41">
        <f>Data!K1381</f>
        <v>0</v>
      </c>
      <c r="G1383" s="33" t="str">
        <f>Data!M1381</f>
        <v>Exceso Velocidad 20 Km/h</v>
      </c>
      <c r="H1383" s="41" t="str">
        <f>Data!P1381</f>
        <v>ECOPETROL RUBIALES- Quifa - CAÑO SUR, Mito 1 frente: Vía Sin Nombre, Puerto Gaitán, Meta, Colombia</v>
      </c>
      <c r="I1383" s="42" t="str">
        <f>Data!Q1381</f>
        <v>Cliente, Vel Max 40 Km/h, Vel Max 20 Km/h</v>
      </c>
      <c r="J1383" s="43">
        <f>Data!S1381</f>
        <v>46174.540684097221</v>
      </c>
      <c r="K1383" s="44">
        <f>Data!S1381</f>
        <v>46174.540684097221</v>
      </c>
      <c r="L1383" s="45">
        <f>Data!T1381</f>
        <v>6.2815972222222223E-4</v>
      </c>
      <c r="M1383" s="46">
        <f>Data!U1381</f>
        <v>0.37269529700279236</v>
      </c>
      <c r="N1383" s="46" t="str">
        <f>CONCATENATE(Data!W1381," (",Data!V1381,")")</f>
        <v>Exceso Velocidad 20 Km/h (Velocidad máxima: 26 kmh)</v>
      </c>
      <c r="O1383" s="42" t="str">
        <f>IF(Data!V1381&lt;&gt;"",N1383,Data!W1381)</f>
        <v>Exceso Velocidad 20 Km/h (Velocidad máxima: 26 kmh)</v>
      </c>
      <c r="P1383" s="47" t="str">
        <f>Data!X1381</f>
        <v>Válido</v>
      </c>
    </row>
    <row r="1384" spans="1:16">
      <c r="A1384" s="41" t="str">
        <f>Data!A1382</f>
        <v>QLT528</v>
      </c>
      <c r="B1384" s="41" t="str">
        <f>Data!D1382</f>
        <v>Vehicle, Diesel, Frontera Energy Col 2679</v>
      </c>
      <c r="C1384" s="41">
        <f>Data!F1382</f>
        <v>0</v>
      </c>
      <c r="D1384" s="41">
        <f>Data!G1382</f>
        <v>0</v>
      </c>
      <c r="E1384" s="41">
        <f>Data!H1382</f>
        <v>0</v>
      </c>
      <c r="F1384" s="41">
        <f>Data!K1382</f>
        <v>0</v>
      </c>
      <c r="G1384" s="33" t="str">
        <f>Data!M1382</f>
        <v>Giro brusco</v>
      </c>
      <c r="H1384" s="41" t="str">
        <f>Data!P1382</f>
        <v>ECOPETROL RUBIALES- Quifa - CAÑO SUR: Vía Sin Nombre, Puerto Gaitán, Meta, Colombia</v>
      </c>
      <c r="I1384" s="42" t="str">
        <f>Data!Q1382</f>
        <v>Cliente, Vel Max 40 Km/h</v>
      </c>
      <c r="J1384" s="43">
        <f>Data!S1382</f>
        <v>46174.545696076391</v>
      </c>
      <c r="K1384" s="44">
        <f>Data!S1382</f>
        <v>46174.545696076391</v>
      </c>
      <c r="L1384" s="45">
        <f>Data!T1382</f>
        <v>1.2731481481481482E-7</v>
      </c>
      <c r="M1384" s="46">
        <f>Data!U1382</f>
        <v>9.4550116045866162E-5</v>
      </c>
      <c r="N1384" s="46" t="str">
        <f>CONCATENATE(Data!W1382," (",Data!V1382,")")</f>
        <v>Giro brusco (Velocidad máxima: 32 kmh Aceleración de lado a lado: -0.48 g-force, Ignición: 1.00)</v>
      </c>
      <c r="O1384" s="42" t="str">
        <f>IF(Data!V1382&lt;&gt;"",N1384,Data!W1382)</f>
        <v>Giro brusco (Velocidad máxima: 32 kmh Aceleración de lado a lado: -0.48 g-force, Ignición: 1.00)</v>
      </c>
      <c r="P1384" s="47" t="str">
        <f>Data!X1382</f>
        <v>Válido</v>
      </c>
    </row>
    <row r="1385" spans="1:16">
      <c r="A1385" s="41" t="str">
        <f>Data!A1383</f>
        <v>QLT528</v>
      </c>
      <c r="B1385" s="41" t="str">
        <f>Data!D1383</f>
        <v>Vehicle, Diesel, Frontera Energy Col 2679</v>
      </c>
      <c r="C1385" s="41">
        <f>Data!F1383</f>
        <v>0</v>
      </c>
      <c r="D1385" s="41">
        <f>Data!G1383</f>
        <v>0</v>
      </c>
      <c r="E1385" s="41">
        <f>Data!H1383</f>
        <v>0</v>
      </c>
      <c r="F1385" s="41">
        <f>Data!K1383</f>
        <v>0</v>
      </c>
      <c r="G1385" s="33" t="str">
        <f>Data!M1383</f>
        <v>Exceso Velocidad 40 Km/h</v>
      </c>
      <c r="H1385" s="41" t="str">
        <f>Data!P1383</f>
        <v>ECOPETROL RUBIALES- Quifa - CAÑO SUR: Alto Neblinas, Puerto Gaitán, Meta, Colombia</v>
      </c>
      <c r="I1385" s="42" t="str">
        <f>Data!Q1383</f>
        <v>Cliente, Vel Max 40 Km/h</v>
      </c>
      <c r="J1385" s="43">
        <f>Data!S1383</f>
        <v>46174.554655659726</v>
      </c>
      <c r="K1385" s="44">
        <f>Data!S1383</f>
        <v>46174.554655659726</v>
      </c>
      <c r="L1385" s="45">
        <f>Data!T1383</f>
        <v>4.5140046296296296E-4</v>
      </c>
      <c r="M1385" s="46">
        <f>Data!U1383</f>
        <v>0.42918843030929565</v>
      </c>
      <c r="N1385" s="46" t="str">
        <f>CONCATENATE(Data!W1383," (",Data!V1383,")")</f>
        <v>Exceso Velocidad 40 Km/h (Velocidad máxima: 41 kmh)</v>
      </c>
      <c r="O1385" s="42" t="str">
        <f>IF(Data!V1383&lt;&gt;"",N1385,Data!W1383)</f>
        <v>Exceso Velocidad 40 Km/h (Velocidad máxima: 41 kmh)</v>
      </c>
      <c r="P1385" s="47" t="str">
        <f>Data!X1383</f>
        <v>Válido</v>
      </c>
    </row>
    <row r="1386" spans="1:16">
      <c r="A1386" s="41" t="str">
        <f>Data!A1384</f>
        <v>QLT528</v>
      </c>
      <c r="B1386" s="41" t="str">
        <f>Data!D1384</f>
        <v>Vehicle, Diesel, Frontera Energy Col 2679</v>
      </c>
      <c r="C1386" s="41">
        <f>Data!F1384</f>
        <v>0</v>
      </c>
      <c r="D1386" s="41">
        <f>Data!G1384</f>
        <v>0</v>
      </c>
      <c r="E1386" s="41">
        <f>Data!H1384</f>
        <v>0</v>
      </c>
      <c r="F1386" s="41">
        <f>Data!K1384</f>
        <v>0</v>
      </c>
      <c r="G1386" s="33" t="str">
        <f>Data!M1384</f>
        <v>Exceso Velocidad 40 Km/h</v>
      </c>
      <c r="H1386" s="41" t="str">
        <f>Data!P1384</f>
        <v>ECOPETROL RUBIALES- Quifa - CAÑO SUR: Alto Neblinas, Puerto Gaitán, Meta, Colombia</v>
      </c>
      <c r="I1386" s="42" t="str">
        <f>Data!Q1384</f>
        <v>Cliente, Vel Max 40 Km/h</v>
      </c>
      <c r="J1386" s="43">
        <f>Data!S1384</f>
        <v>46174.555905671295</v>
      </c>
      <c r="K1386" s="44">
        <f>Data!S1384</f>
        <v>46174.555905671295</v>
      </c>
      <c r="L1386" s="45">
        <f>Data!T1384</f>
        <v>3.7807870370370371E-4</v>
      </c>
      <c r="M1386" s="46">
        <f>Data!U1384</f>
        <v>0.36634072661399841</v>
      </c>
      <c r="N1386" s="46" t="str">
        <f>CONCATENATE(Data!W1384," (",Data!V1384,")")</f>
        <v>Exceso Velocidad 40 Km/h (Velocidad máxima: 42 kmh)</v>
      </c>
      <c r="O1386" s="42" t="str">
        <f>IF(Data!V1384&lt;&gt;"",N1386,Data!W1384)</f>
        <v>Exceso Velocidad 40 Km/h (Velocidad máxima: 42 kmh)</v>
      </c>
      <c r="P1386" s="47" t="str">
        <f>Data!X1384</f>
        <v>Válido</v>
      </c>
    </row>
    <row r="1387" spans="1:16">
      <c r="A1387" s="41" t="str">
        <f>Data!A1385</f>
        <v>QLT528</v>
      </c>
      <c r="B1387" s="41" t="str">
        <f>Data!D1385</f>
        <v>Vehicle, Diesel, Frontera Energy Col 2679</v>
      </c>
      <c r="C1387" s="41">
        <f>Data!F1385</f>
        <v>0</v>
      </c>
      <c r="D1387" s="41">
        <f>Data!G1385</f>
        <v>0</v>
      </c>
      <c r="E1387" s="41">
        <f>Data!H1385</f>
        <v>0</v>
      </c>
      <c r="F1387" s="41">
        <f>Data!K1385</f>
        <v>0</v>
      </c>
      <c r="G1387" s="33" t="str">
        <f>Data!M1385</f>
        <v>Exceso Velocidad 40 Km/h</v>
      </c>
      <c r="H1387" s="41" t="str">
        <f>Data!P1385</f>
        <v>ECOPETROL RUBIALES- Quifa - CAÑO SUR: Alto Neblinas, Puerto Gaitán, Meta, Colombia</v>
      </c>
      <c r="I1387" s="42" t="str">
        <f>Data!Q1385</f>
        <v>Cliente, Vel Max 40 Km/h</v>
      </c>
      <c r="J1387" s="43">
        <f>Data!S1385</f>
        <v>46174.556584675927</v>
      </c>
      <c r="K1387" s="44">
        <f>Data!S1385</f>
        <v>46174.556584675927</v>
      </c>
      <c r="L1387" s="45">
        <f>Data!T1385</f>
        <v>6.6354166666666669E-5</v>
      </c>
      <c r="M1387" s="46">
        <f>Data!U1385</f>
        <v>6.0651510953903198E-2</v>
      </c>
      <c r="N1387" s="46" t="str">
        <f>CONCATENATE(Data!W1385," (",Data!V1385,")")</f>
        <v>Exceso Velocidad 40 Km/h (Velocidad máxima: 41 kmh)</v>
      </c>
      <c r="O1387" s="42" t="str">
        <f>IF(Data!V1385&lt;&gt;"",N1387,Data!W1385)</f>
        <v>Exceso Velocidad 40 Km/h (Velocidad máxima: 41 kmh)</v>
      </c>
      <c r="P1387" s="47" t="str">
        <f>Data!X1385</f>
        <v>Válido</v>
      </c>
    </row>
    <row r="1388" spans="1:16">
      <c r="A1388" s="41" t="str">
        <f>Data!A1386</f>
        <v>QLT528</v>
      </c>
      <c r="B1388" s="41" t="str">
        <f>Data!D1386</f>
        <v>Vehicle, Diesel, Frontera Energy Col 2679</v>
      </c>
      <c r="C1388" s="41">
        <f>Data!F1386</f>
        <v>0</v>
      </c>
      <c r="D1388" s="41">
        <f>Data!G1386</f>
        <v>0</v>
      </c>
      <c r="E1388" s="41">
        <f>Data!H1386</f>
        <v>0</v>
      </c>
      <c r="F1388" s="41">
        <f>Data!K1386</f>
        <v>0</v>
      </c>
      <c r="G1388" s="33" t="str">
        <f>Data!M1386</f>
        <v>Exceso Velocidad 40 Km/h</v>
      </c>
      <c r="H1388" s="41" t="str">
        <f>Data!P1386</f>
        <v>ECOPETROL RUBIALES- Quifa - CAÑO SUR: Alto Neblinas, Puerto Gaitán, Meta, Colombia</v>
      </c>
      <c r="I1388" s="42" t="str">
        <f>Data!Q1386</f>
        <v>Cliente, Vel Max 40 Km/h</v>
      </c>
      <c r="J1388" s="43">
        <f>Data!S1386</f>
        <v>46174.557190381944</v>
      </c>
      <c r="K1388" s="44">
        <f>Data!S1386</f>
        <v>46174.557190381944</v>
      </c>
      <c r="L1388" s="45">
        <f>Data!T1386</f>
        <v>5.6215277777777779E-5</v>
      </c>
      <c r="M1388" s="46">
        <f>Data!U1386</f>
        <v>5.0542138516902924E-2</v>
      </c>
      <c r="N1388" s="46" t="str">
        <f>CONCATENATE(Data!W1386," (",Data!V1386,")")</f>
        <v>Exceso Velocidad 40 Km/h (Velocidad máxima: 41 kmh)</v>
      </c>
      <c r="O1388" s="42" t="str">
        <f>IF(Data!V1386&lt;&gt;"",N1388,Data!W1386)</f>
        <v>Exceso Velocidad 40 Km/h (Velocidad máxima: 41 kmh)</v>
      </c>
      <c r="P1388" s="47" t="str">
        <f>Data!X1386</f>
        <v>Válido</v>
      </c>
    </row>
    <row r="1389" spans="1:16">
      <c r="A1389" s="41" t="str">
        <f>Data!A1387</f>
        <v>QLT528</v>
      </c>
      <c r="B1389" s="41" t="str">
        <f>Data!D1387</f>
        <v>Vehicle, Diesel, Frontera Energy Col 2679</v>
      </c>
      <c r="C1389" s="41">
        <f>Data!F1387</f>
        <v>0</v>
      </c>
      <c r="D1389" s="41">
        <f>Data!G1387</f>
        <v>0</v>
      </c>
      <c r="E1389" s="41">
        <f>Data!H1387</f>
        <v>0</v>
      </c>
      <c r="F1389" s="41">
        <f>Data!K1387</f>
        <v>0</v>
      </c>
      <c r="G1389" s="33" t="str">
        <f>Data!M1387</f>
        <v>Exceso Velocidad 40 Km/h</v>
      </c>
      <c r="H1389" s="41" t="str">
        <f>Data!P1387</f>
        <v>ECOPETROL RUBIALES- Quifa - CAÑO SUR: Alto Neblinas, Puerto Gaitán, Meta, Colombia</v>
      </c>
      <c r="I1389" s="42" t="str">
        <f>Data!Q1387</f>
        <v>Cliente, Vel Max 40 Km/h</v>
      </c>
      <c r="J1389" s="43">
        <f>Data!S1387</f>
        <v>46174.558347789352</v>
      </c>
      <c r="K1389" s="44">
        <f>Data!S1387</f>
        <v>46174.558347789352</v>
      </c>
      <c r="L1389" s="45">
        <f>Data!T1387</f>
        <v>6.7576388888888894E-4</v>
      </c>
      <c r="M1389" s="46">
        <f>Data!U1387</f>
        <v>0.66874855756759644</v>
      </c>
      <c r="N1389" s="46" t="str">
        <f>CONCATENATE(Data!W1387," (",Data!V1387,")")</f>
        <v>Exceso Velocidad 40 Km/h (Velocidad máxima: 41 kmh)</v>
      </c>
      <c r="O1389" s="42" t="str">
        <f>IF(Data!V1387&lt;&gt;"",N1389,Data!W1387)</f>
        <v>Exceso Velocidad 40 Km/h (Velocidad máxima: 41 kmh)</v>
      </c>
      <c r="P1389" s="47" t="str">
        <f>Data!X1387</f>
        <v>Válido</v>
      </c>
    </row>
    <row r="1390" spans="1:16">
      <c r="A1390" s="41" t="str">
        <f>Data!A1388</f>
        <v>QLT528</v>
      </c>
      <c r="B1390" s="41" t="str">
        <f>Data!D1388</f>
        <v>Vehicle, Diesel, Frontera Energy Col 2679</v>
      </c>
      <c r="C1390" s="41">
        <f>Data!F1388</f>
        <v>0</v>
      </c>
      <c r="D1390" s="41">
        <f>Data!G1388</f>
        <v>0</v>
      </c>
      <c r="E1390" s="41">
        <f>Data!H1388</f>
        <v>0</v>
      </c>
      <c r="F1390" s="41">
        <f>Data!K1388</f>
        <v>0</v>
      </c>
      <c r="G1390" s="33" t="str">
        <f>Data!M1388</f>
        <v>Frenado brusco (nuevo)</v>
      </c>
      <c r="H1390" s="41" t="str">
        <f>Data!P1388</f>
        <v>ECOPETROL RUBIALES- Quifa - CAÑO SUR: Alto Neblinas, Puerto Gaitán, Meta, Colombia</v>
      </c>
      <c r="I1390" s="42" t="str">
        <f>Data!Q1388</f>
        <v>Cliente, Vel Max 40 Km/h</v>
      </c>
      <c r="J1390" s="43">
        <f>Data!S1388</f>
        <v>46174.559910289354</v>
      </c>
      <c r="K1390" s="44">
        <f>Data!S1388</f>
        <v>46174.559910289354</v>
      </c>
      <c r="L1390" s="45">
        <f>Data!T1388</f>
        <v>0</v>
      </c>
      <c r="M1390" s="46">
        <f>Data!U1388</f>
        <v>0</v>
      </c>
      <c r="N1390" s="46" t="str">
        <f>CONCATENATE(Data!W1388," (",Data!V1388,")")</f>
        <v>Frenado brusco (nuevo) (Clase de vehículo para métricas de seguridad: Otra clase (no estandarizada), Velocidad máxima: 20 kmh,  Ignición: 1)</v>
      </c>
      <c r="O1390" s="42" t="str">
        <f>IF(Data!V1388&lt;&gt;"",N1390,Data!W1388)</f>
        <v>Frenado brusco (nuevo) (Clase de vehículo para métricas de seguridad: Otra clase (no estandarizada), Velocidad máxima: 20 kmh,  Ignición: 1)</v>
      </c>
      <c r="P1390" s="47" t="str">
        <f>Data!X1388</f>
        <v>Válido</v>
      </c>
    </row>
    <row r="1391" spans="1:16">
      <c r="A1391" s="41" t="str">
        <f>Data!A1389</f>
        <v>QLT528</v>
      </c>
      <c r="B1391" s="41" t="str">
        <f>Data!D1389</f>
        <v>Vehicle, Diesel, Frontera Energy Col 2679</v>
      </c>
      <c r="C1391" s="41">
        <f>Data!F1389</f>
        <v>0</v>
      </c>
      <c r="D1391" s="41">
        <f>Data!G1389</f>
        <v>0</v>
      </c>
      <c r="E1391" s="41">
        <f>Data!H1389</f>
        <v>0</v>
      </c>
      <c r="F1391" s="41">
        <f>Data!K1389</f>
        <v>0</v>
      </c>
      <c r="G1391" s="33" t="str">
        <f>Data!M1389</f>
        <v>Exceso Velocidad 40 Km/h</v>
      </c>
      <c r="H1391" s="41" t="str">
        <f>Data!P1389</f>
        <v>ECOPETROL RUBIALES- Quifa - CAÑO SUR: Alto Neblinas, Puerto Gaitán, Meta, Colombia</v>
      </c>
      <c r="I1391" s="42" t="str">
        <f>Data!Q1389</f>
        <v>Cliente, Vel Max 40 Km/h</v>
      </c>
      <c r="J1391" s="43">
        <f>Data!S1389</f>
        <v>46174.565824641206</v>
      </c>
      <c r="K1391" s="44">
        <f>Data!S1389</f>
        <v>46174.565824641206</v>
      </c>
      <c r="L1391" s="45">
        <f>Data!T1389</f>
        <v>3.8587962962962965E-5</v>
      </c>
      <c r="M1391" s="46">
        <f>Data!U1389</f>
        <v>3.6771010607481003E-2</v>
      </c>
      <c r="N1391" s="46" t="str">
        <f>CONCATENATE(Data!W1389," (",Data!V1389,")")</f>
        <v>Exceso Velocidad 40 Km/h (Velocidad máxima: 41 kmh)</v>
      </c>
      <c r="O1391" s="42" t="str">
        <f>IF(Data!V1389&lt;&gt;"",N1391,Data!W1389)</f>
        <v>Exceso Velocidad 40 Km/h (Velocidad máxima: 41 kmh)</v>
      </c>
      <c r="P1391" s="47" t="str">
        <f>Data!X1389</f>
        <v>Válido</v>
      </c>
    </row>
    <row r="1392" spans="1:16">
      <c r="A1392" s="41" t="str">
        <f>Data!A1390</f>
        <v>QLT528</v>
      </c>
      <c r="B1392" s="41" t="str">
        <f>Data!D1390</f>
        <v>Vehicle, Diesel, Frontera Energy Col 2679</v>
      </c>
      <c r="C1392" s="41">
        <f>Data!F1390</f>
        <v>0</v>
      </c>
      <c r="D1392" s="41">
        <f>Data!G1390</f>
        <v>0</v>
      </c>
      <c r="E1392" s="41">
        <f>Data!H1390</f>
        <v>0</v>
      </c>
      <c r="F1392" s="41">
        <f>Data!K1390</f>
        <v>0</v>
      </c>
      <c r="G1392" s="33" t="str">
        <f>Data!M1390</f>
        <v>Exceso Velocidad 40 Km/h</v>
      </c>
      <c r="H1392" s="41" t="str">
        <f>Data!P1390</f>
        <v>ECOPETROL RUBIALES- Quifa - CAÑO SUR: Hato San Fernando, Puerto Gaitán, Meta, Colombia</v>
      </c>
      <c r="I1392" s="42" t="str">
        <f>Data!Q1390</f>
        <v>Cliente, Vel Max 40 Km/h</v>
      </c>
      <c r="J1392" s="43">
        <f>Data!S1390</f>
        <v>46174.566692696761</v>
      </c>
      <c r="K1392" s="44">
        <f>Data!S1390</f>
        <v>46174.566692696761</v>
      </c>
      <c r="L1392" s="45">
        <f>Data!T1390</f>
        <v>1.3888888888888889E-4</v>
      </c>
      <c r="M1392" s="46">
        <f>Data!U1390</f>
        <v>0.13248685002326965</v>
      </c>
      <c r="N1392" s="46" t="str">
        <f>CONCATENATE(Data!W1390," (",Data!V1390,")")</f>
        <v>Exceso Velocidad 40 Km/h (Velocidad máxima: 41 kmh)</v>
      </c>
      <c r="O1392" s="42" t="str">
        <f>IF(Data!V1390&lt;&gt;"",N1392,Data!W1390)</f>
        <v>Exceso Velocidad 40 Km/h (Velocidad máxima: 41 kmh)</v>
      </c>
      <c r="P1392" s="47" t="str">
        <f>Data!X1390</f>
        <v>Válido</v>
      </c>
    </row>
    <row r="1393" spans="1:16">
      <c r="A1393" s="41" t="str">
        <f>Data!A1391</f>
        <v>QLT528</v>
      </c>
      <c r="B1393" s="41" t="str">
        <f>Data!D1391</f>
        <v>Vehicle, Diesel, Frontera Energy Col 2679</v>
      </c>
      <c r="C1393" s="41">
        <f>Data!F1391</f>
        <v>0</v>
      </c>
      <c r="D1393" s="41">
        <f>Data!G1391</f>
        <v>0</v>
      </c>
      <c r="E1393" s="41">
        <f>Data!H1391</f>
        <v>0</v>
      </c>
      <c r="F1393" s="41">
        <f>Data!K1391</f>
        <v>0</v>
      </c>
      <c r="G1393" s="33" t="str">
        <f>Data!M1391</f>
        <v>Exceso Velocidad 40 Km/h</v>
      </c>
      <c r="H1393" s="41" t="str">
        <f>Data!P1391</f>
        <v>ECOPETROL RUBIALES- Quifa - CAÑO SUR: Hato San Fernando, Puerto Gaitán, Meta, Colombia</v>
      </c>
      <c r="I1393" s="42" t="str">
        <f>Data!Q1391</f>
        <v>Cliente, Vel Max 40 Km/h</v>
      </c>
      <c r="J1393" s="43">
        <f>Data!S1391</f>
        <v>46174.567294548608</v>
      </c>
      <c r="K1393" s="44">
        <f>Data!S1391</f>
        <v>46174.567294548608</v>
      </c>
      <c r="L1393" s="45">
        <f>Data!T1391</f>
        <v>1.3109953703703705E-4</v>
      </c>
      <c r="M1393" s="46">
        <f>Data!U1391</f>
        <v>0.12933981418609619</v>
      </c>
      <c r="N1393" s="46" t="str">
        <f>CONCATENATE(Data!W1391," (",Data!V1391,")")</f>
        <v>Exceso Velocidad 40 Km/h (Velocidad máxima: 42 kmh)</v>
      </c>
      <c r="O1393" s="42" t="str">
        <f>IF(Data!V1391&lt;&gt;"",N1393,Data!W1391)</f>
        <v>Exceso Velocidad 40 Km/h (Velocidad máxima: 42 kmh)</v>
      </c>
      <c r="P1393" s="47" t="str">
        <f>Data!X1391</f>
        <v>Válido</v>
      </c>
    </row>
    <row r="1394" spans="1:16">
      <c r="A1394" s="41" t="str">
        <f>Data!A1392</f>
        <v>QLT528</v>
      </c>
      <c r="B1394" s="41" t="str">
        <f>Data!D1392</f>
        <v>Vehicle, Diesel, Frontera Energy Col 2679</v>
      </c>
      <c r="C1394" s="41">
        <f>Data!F1392</f>
        <v>0</v>
      </c>
      <c r="D1394" s="41">
        <f>Data!G1392</f>
        <v>0</v>
      </c>
      <c r="E1394" s="41">
        <f>Data!H1392</f>
        <v>0</v>
      </c>
      <c r="F1394" s="41">
        <f>Data!K1392</f>
        <v>0</v>
      </c>
      <c r="G1394" s="33" t="str">
        <f>Data!M1392</f>
        <v>Exceso Velocidad 30 Km/h</v>
      </c>
      <c r="H1394" s="41" t="str">
        <f>Data!P1392</f>
        <v>ECOPETROL RUBIALES- Quifa - CAÑO SUR, Puerto Triunfo - Estacion Policia: Vía La Primera Vara, Puerto Gaitán, Meta, Colombia</v>
      </c>
      <c r="I1394" s="42" t="str">
        <f>Data!Q1392</f>
        <v>Cliente, Vel Max 40 Km/h, Vel Max 30 Km/h</v>
      </c>
      <c r="J1394" s="43">
        <f>Data!S1392</f>
        <v>46174.567799606484</v>
      </c>
      <c r="K1394" s="44">
        <f>Data!S1392</f>
        <v>46174.567799606484</v>
      </c>
      <c r="L1394" s="45">
        <f>Data!T1392</f>
        <v>2.8784722222222224E-5</v>
      </c>
      <c r="M1394" s="46">
        <f>Data!U1392</f>
        <v>2.39094328135252E-2</v>
      </c>
      <c r="N1394" s="46" t="str">
        <f>CONCATENATE(Data!W1392," (",Data!V1392,")")</f>
        <v>Exceso Velocidad 30 Km/h (Velocidad máxima: 33 kmh)</v>
      </c>
      <c r="O1394" s="42" t="str">
        <f>IF(Data!V1392&lt;&gt;"",N1394,Data!W1392)</f>
        <v>Exceso Velocidad 30 Km/h (Velocidad máxima: 33 kmh)</v>
      </c>
      <c r="P1394" s="47" t="str">
        <f>Data!X1392</f>
        <v>Válido</v>
      </c>
    </row>
    <row r="1395" spans="1:16">
      <c r="A1395" s="41" t="str">
        <f>Data!A1393</f>
        <v>QLT528</v>
      </c>
      <c r="B1395" s="41" t="str">
        <f>Data!D1393</f>
        <v>Vehicle, Diesel, Frontera Energy Col 2679</v>
      </c>
      <c r="C1395" s="41">
        <f>Data!F1393</f>
        <v>0</v>
      </c>
      <c r="D1395" s="41">
        <f>Data!G1393</f>
        <v>0</v>
      </c>
      <c r="E1395" s="41">
        <f>Data!H1393</f>
        <v>0</v>
      </c>
      <c r="F1395" s="41">
        <f>Data!K1393</f>
        <v>0</v>
      </c>
      <c r="G1395" s="33" t="str">
        <f>Data!M1393</f>
        <v>Exceso Velocidad 30 Km/h</v>
      </c>
      <c r="H1395" s="41" t="str">
        <f>Data!P1393</f>
        <v>ECOPETROL RUBIALES- Quifa - CAÑO SUR, Puerto Triunfo - Estacion Policia: Puerto Gaitan - Rubiales, Puerto Gaitán, Meta, Colombia</v>
      </c>
      <c r="I1395" s="42" t="str">
        <f>Data!Q1393</f>
        <v>Cliente, Vel Max 40 Km/h, Vel Max 30 Km/h</v>
      </c>
      <c r="J1395" s="43">
        <f>Data!S1393</f>
        <v>46174.600889548608</v>
      </c>
      <c r="K1395" s="44">
        <f>Data!S1393</f>
        <v>46174.600889548608</v>
      </c>
      <c r="L1395" s="45">
        <f>Data!T1393</f>
        <v>6.6990740740740739E-5</v>
      </c>
      <c r="M1395" s="46">
        <f>Data!U1393</f>
        <v>4.7390781342983246E-2</v>
      </c>
      <c r="N1395" s="46" t="str">
        <f>CONCATENATE(Data!W1393," (",Data!V1393,")")</f>
        <v>Exceso Velocidad 30 Km/h (Velocidad máxima: 31 kmh)</v>
      </c>
      <c r="O1395" s="42" t="str">
        <f>IF(Data!V1393&lt;&gt;"",N1395,Data!W1393)</f>
        <v>Exceso Velocidad 30 Km/h (Velocidad máxima: 31 kmh)</v>
      </c>
      <c r="P1395" s="47" t="str">
        <f>Data!X1393</f>
        <v>Válido</v>
      </c>
    </row>
    <row r="1396" spans="1:16">
      <c r="A1396" s="41" t="str">
        <f>Data!A1394</f>
        <v>QLT528</v>
      </c>
      <c r="B1396" s="41" t="str">
        <f>Data!D1394</f>
        <v>Vehicle, Diesel, Frontera Energy Col 2679</v>
      </c>
      <c r="C1396" s="41">
        <f>Data!F1394</f>
        <v>0</v>
      </c>
      <c r="D1396" s="41">
        <f>Data!G1394</f>
        <v>0</v>
      </c>
      <c r="E1396" s="41">
        <f>Data!H1394</f>
        <v>0</v>
      </c>
      <c r="F1396" s="41">
        <f>Data!K1394</f>
        <v>0</v>
      </c>
      <c r="G1396" s="33" t="str">
        <f>Data!M1394</f>
        <v>Exceso Velocidad 10 Km/h</v>
      </c>
      <c r="H1396" s="41" t="str">
        <f>Data!P1394</f>
        <v>ECOPETROL RUBIALES- Quifa - CAÑO SUR, Puerto Triunfo - Estacion Policia, PUESTRO CONTROL QUIFA: Puerto Gaitan - Rubiales, Puerto Gaitán, Meta, Colombia</v>
      </c>
      <c r="I1396" s="42" t="str">
        <f>Data!Q1394</f>
        <v>Cliente, Vel Max 40 Km/h, Vel Max 30 Km/h, Vel Max 10 Km/h</v>
      </c>
      <c r="J1396" s="43">
        <f>Data!S1394</f>
        <v>46174.601336886575</v>
      </c>
      <c r="K1396" s="44">
        <f>Data!S1394</f>
        <v>46174.601336886575</v>
      </c>
      <c r="L1396" s="45">
        <f>Data!T1394</f>
        <v>3.6197916666666664E-4</v>
      </c>
      <c r="M1396" s="46">
        <f>Data!U1394</f>
        <v>0.18285225331783295</v>
      </c>
      <c r="N1396" s="46" t="str">
        <f>CONCATENATE(Data!W1394," (",Data!V1394,")")</f>
        <v>Exceso Velocidad 10 Km/h (Velocidad máxima: 21 kmh)</v>
      </c>
      <c r="O1396" s="42" t="str">
        <f>IF(Data!V1394&lt;&gt;"",N1396,Data!W1394)</f>
        <v>Exceso Velocidad 10 Km/h (Velocidad máxima: 21 kmh)</v>
      </c>
      <c r="P1396" s="47" t="str">
        <f>Data!X1394</f>
        <v>Válido</v>
      </c>
    </row>
    <row r="1397" spans="1:16">
      <c r="A1397" s="41" t="str">
        <f>Data!A1395</f>
        <v>QLT528</v>
      </c>
      <c r="B1397" s="41" t="str">
        <f>Data!D1395</f>
        <v>Vehicle, Diesel, Frontera Energy Col 2679</v>
      </c>
      <c r="C1397" s="41">
        <f>Data!F1395</f>
        <v>0</v>
      </c>
      <c r="D1397" s="41">
        <f>Data!G1395</f>
        <v>0</v>
      </c>
      <c r="E1397" s="41">
        <f>Data!H1395</f>
        <v>0</v>
      </c>
      <c r="F1397" s="41">
        <f>Data!K1395</f>
        <v>0</v>
      </c>
      <c r="G1397" s="33" t="str">
        <f>Data!M1395</f>
        <v>Exceso Velocidad 30 Km/h</v>
      </c>
      <c r="H1397" s="41" t="str">
        <f>Data!P1395</f>
        <v>ECOPETROL RUBIALES- Quifa - CAÑO SUR, Puerto Triunfo - Estacion Policia: Puerto Gaitan - Rubiales, Puerto Gaitán, Meta, Colombia</v>
      </c>
      <c r="I1397" s="42" t="str">
        <f>Data!Q1395</f>
        <v>Cliente, Vel Max 40 Km/h, Vel Max 30 Km/h</v>
      </c>
      <c r="J1397" s="43">
        <f>Data!S1395</f>
        <v>46174.602903356485</v>
      </c>
      <c r="K1397" s="44">
        <f>Data!S1395</f>
        <v>46174.602903356485</v>
      </c>
      <c r="L1397" s="45">
        <f>Data!T1395</f>
        <v>1.9680555555555556E-4</v>
      </c>
      <c r="M1397" s="46">
        <f>Data!U1395</f>
        <v>0.14882791042327881</v>
      </c>
      <c r="N1397" s="46" t="str">
        <f>CONCATENATE(Data!W1395," (",Data!V1395,")")</f>
        <v>Exceso Velocidad 30 Km/h (Velocidad máxima: 34 kmh)</v>
      </c>
      <c r="O1397" s="42" t="str">
        <f>IF(Data!V1395&lt;&gt;"",N1397,Data!W1395)</f>
        <v>Exceso Velocidad 30 Km/h (Velocidad máxima: 34 kmh)</v>
      </c>
      <c r="P1397" s="47" t="str">
        <f>Data!X1395</f>
        <v>Válido</v>
      </c>
    </row>
    <row r="1398" spans="1:16">
      <c r="A1398" s="41" t="str">
        <f>Data!A1396</f>
        <v>QLT528</v>
      </c>
      <c r="B1398" s="41" t="str">
        <f>Data!D1396</f>
        <v>Vehicle, Diesel, Frontera Energy Col 2679</v>
      </c>
      <c r="C1398" s="41">
        <f>Data!F1396</f>
        <v>0</v>
      </c>
      <c r="D1398" s="41">
        <f>Data!G1396</f>
        <v>0</v>
      </c>
      <c r="E1398" s="41">
        <f>Data!H1396</f>
        <v>0</v>
      </c>
      <c r="F1398" s="41">
        <f>Data!K1396</f>
        <v>0</v>
      </c>
      <c r="G1398" s="33" t="str">
        <f>Data!M1396</f>
        <v>Exceso Velocidad 10 Km/h</v>
      </c>
      <c r="H1398" s="41" t="str">
        <f>Data!P1396</f>
        <v>CAMPAMENTO QUIFA, ECOPETROL RUBIALES- Quifa - CAÑO SUR, Puerto Gaitan - Rubiales, Puerto Gaitán, Meta, Colombia, Campamento Quifa - CMA: Ent. CAMPAMENTO, Puerto Gaitán, Meta, Colombia</v>
      </c>
      <c r="I1398" s="42" t="str">
        <f>Data!Q1396</f>
        <v>Vel Max 10 Km/h, Cliente, Vel Max 40 Km/h, Centro de servicios del proveedor</v>
      </c>
      <c r="J1398" s="43">
        <f>Data!S1396</f>
        <v>46174.603908437501</v>
      </c>
      <c r="K1398" s="44">
        <f>Data!S1396</f>
        <v>46174.603908437501</v>
      </c>
      <c r="L1398" s="45">
        <f>Data!T1396</f>
        <v>1.1184027777777778E-4</v>
      </c>
      <c r="M1398" s="46">
        <f>Data!U1396</f>
        <v>2.5474734604358673E-2</v>
      </c>
      <c r="N1398" s="46" t="str">
        <f>CONCATENATE(Data!W1396," (",Data!V1396,")")</f>
        <v>Exceso Velocidad 10 Km/h (Velocidad máxima: 12 kmh)</v>
      </c>
      <c r="O1398" s="42" t="str">
        <f>IF(Data!V1396&lt;&gt;"",N1398,Data!W1396)</f>
        <v>Exceso Velocidad 10 Km/h (Velocidad máxima: 12 kmh)</v>
      </c>
      <c r="P1398" s="47" t="str">
        <f>Data!X1396</f>
        <v>Válido</v>
      </c>
    </row>
    <row r="1399" spans="1:16">
      <c r="A1399" s="41" t="str">
        <f>Data!A1397</f>
        <v>QLT528</v>
      </c>
      <c r="B1399" s="41" t="str">
        <f>Data!D1397</f>
        <v>Vehicle, Diesel, Frontera Energy Col 2679</v>
      </c>
      <c r="C1399" s="41">
        <f>Data!F1397</f>
        <v>0</v>
      </c>
      <c r="D1399" s="41">
        <f>Data!G1397</f>
        <v>0</v>
      </c>
      <c r="E1399" s="41">
        <f>Data!H1397</f>
        <v>0</v>
      </c>
      <c r="F1399" s="41">
        <f>Data!K1397</f>
        <v>0</v>
      </c>
      <c r="G1399" s="33" t="str">
        <f>Data!M1397</f>
        <v>Tiempo en ralentí</v>
      </c>
      <c r="H1399" s="41" t="str">
        <f>Data!P1397</f>
        <v>CAMPAMENTO QUIFA, ECOPETROL RUBIALES- Quifa - CAÑO SUR, Campamento Quifa - CMA: Ent. CAMPAMENTO, Puerto Gaitán, Meta, Colombia</v>
      </c>
      <c r="I1399" s="42" t="str">
        <f>Data!Q1397</f>
        <v>Vel Max 10 Km/h, Cliente, Vel Max 40 Km/h</v>
      </c>
      <c r="J1399" s="43">
        <f>Data!S1397</f>
        <v>46174.604772685183</v>
      </c>
      <c r="K1399" s="44">
        <f>Data!S1397</f>
        <v>46174.604772685183</v>
      </c>
      <c r="L1399" s="45">
        <f>Data!T1397</f>
        <v>4.6527777777777774E-3</v>
      </c>
      <c r="M1399" s="46">
        <f>Data!U1397</f>
        <v>4.4040312059223652E-3</v>
      </c>
      <c r="N1399" s="46" t="str">
        <f>CONCATENATE(Data!W1397," (",Data!V1397,")")</f>
        <v>Tiempo en ralentí (Ignición: 1.00)</v>
      </c>
      <c r="O1399" s="42" t="str">
        <f>IF(Data!V1397&lt;&gt;"",N1399,Data!W1397)</f>
        <v>Tiempo en ralentí (Ignición: 1.00)</v>
      </c>
      <c r="P1399" s="47" t="str">
        <f>Data!X1397</f>
        <v>Válido</v>
      </c>
    </row>
    <row r="1400" spans="1:16">
      <c r="A1400" s="41" t="str">
        <f>Data!A1398</f>
        <v>QLT528</v>
      </c>
      <c r="B1400" s="41" t="str">
        <f>Data!D1398</f>
        <v>Vehicle, Diesel, Frontera Energy Col 2679</v>
      </c>
      <c r="C1400" s="41">
        <f>Data!F1398</f>
        <v>0</v>
      </c>
      <c r="D1400" s="41">
        <f>Data!G1398</f>
        <v>0</v>
      </c>
      <c r="E1400" s="41">
        <f>Data!H1398</f>
        <v>0</v>
      </c>
      <c r="F1400" s="41">
        <f>Data!K1398</f>
        <v>0</v>
      </c>
      <c r="G1400" s="33" t="str">
        <f>Data!M1398</f>
        <v>Exceso Velocidad 30 Km/h</v>
      </c>
      <c r="H1400" s="41" t="str">
        <f>Data!P1398</f>
        <v>ECOPETROL RUBIALES- Quifa - CAÑO SUR, Puerto Gaitan - Rubiales, Puerto Gaitán, Meta, Colombia, Puerto Triunfo - Estacion Policia: Puerto Gaitan - Rubiales, Puerto Gaitán, Meta, Colombia</v>
      </c>
      <c r="I1400" s="42" t="str">
        <f>Data!Q1398</f>
        <v>Cliente, Vel Max 40 Km/h, Centro de servicios del proveedor, Vel Max 30 Km/h</v>
      </c>
      <c r="J1400" s="43">
        <f>Data!S1398</f>
        <v>46174.610511979168</v>
      </c>
      <c r="K1400" s="44">
        <f>Data!S1398</f>
        <v>46174.610511979168</v>
      </c>
      <c r="L1400" s="45">
        <f>Data!T1398</f>
        <v>3.6157407407407404E-5</v>
      </c>
      <c r="M1400" s="46">
        <f>Data!U1398</f>
        <v>2.6757802814245224E-2</v>
      </c>
      <c r="N1400" s="46" t="str">
        <f>CONCATENATE(Data!W1398," (",Data!V1398,")")</f>
        <v>Exceso Velocidad 30 Km/h (Velocidad máxima: 33 kmh)</v>
      </c>
      <c r="O1400" s="42" t="str">
        <f>IF(Data!V1398&lt;&gt;"",N1400,Data!W1398)</f>
        <v>Exceso Velocidad 30 Km/h (Velocidad máxima: 33 kmh)</v>
      </c>
      <c r="P1400" s="47" t="str">
        <f>Data!X1398</f>
        <v>Válido</v>
      </c>
    </row>
    <row r="1401" spans="1:16">
      <c r="A1401" s="41" t="str">
        <f>Data!A1399</f>
        <v>QLT528</v>
      </c>
      <c r="B1401" s="41" t="str">
        <f>Data!D1399</f>
        <v>Vehicle, Diesel, Frontera Energy Col 2679</v>
      </c>
      <c r="C1401" s="41">
        <f>Data!F1399</f>
        <v>0</v>
      </c>
      <c r="D1401" s="41">
        <f>Data!G1399</f>
        <v>0</v>
      </c>
      <c r="E1401" s="41">
        <f>Data!H1399</f>
        <v>0</v>
      </c>
      <c r="F1401" s="41">
        <f>Data!K1399</f>
        <v>0</v>
      </c>
      <c r="G1401" s="33" t="str">
        <f>Data!M1399</f>
        <v>Exceso Velocidad 30 Km/h</v>
      </c>
      <c r="H1401" s="41" t="str">
        <f>Data!P1399</f>
        <v>ECOPETROL RUBIALES- Quifa - CAÑO SUR, Puerto Triunfo - Estacion Policia: Puerto Gaitan - Rubiales, Puerto Gaitán, Meta, Colombia</v>
      </c>
      <c r="I1401" s="42" t="str">
        <f>Data!Q1399</f>
        <v>Cliente, Vel Max 40 Km/h, Vel Max 30 Km/h</v>
      </c>
      <c r="J1401" s="43">
        <f>Data!S1399</f>
        <v>46174.611013275462</v>
      </c>
      <c r="K1401" s="44">
        <f>Data!S1399</f>
        <v>46174.611013275462</v>
      </c>
      <c r="L1401" s="45">
        <f>Data!T1399</f>
        <v>3.3153935185185185E-4</v>
      </c>
      <c r="M1401" s="46">
        <f>Data!U1399</f>
        <v>0.29928857088088989</v>
      </c>
      <c r="N1401" s="46" t="str">
        <f>CONCATENATE(Data!W1399," (",Data!V1399,")")</f>
        <v>Exceso Velocidad 30 Km/h (Velocidad máxima: 42 kmh)</v>
      </c>
      <c r="O1401" s="42" t="str">
        <f>IF(Data!V1399&lt;&gt;"",N1401,Data!W1399)</f>
        <v>Exceso Velocidad 30 Km/h (Velocidad máxima: 42 kmh)</v>
      </c>
      <c r="P1401" s="47" t="str">
        <f>Data!X1399</f>
        <v>Válido</v>
      </c>
    </row>
    <row r="1402" spans="1:16">
      <c r="A1402" s="41" t="str">
        <f>Data!A1400</f>
        <v>QLT528</v>
      </c>
      <c r="B1402" s="41" t="str">
        <f>Data!D1400</f>
        <v>Vehicle, Diesel, Frontera Energy Col 2679</v>
      </c>
      <c r="C1402" s="41">
        <f>Data!F1400</f>
        <v>0</v>
      </c>
      <c r="D1402" s="41">
        <f>Data!G1400</f>
        <v>0</v>
      </c>
      <c r="E1402" s="41">
        <f>Data!H1400</f>
        <v>0</v>
      </c>
      <c r="F1402" s="41">
        <f>Data!K1400</f>
        <v>0</v>
      </c>
      <c r="G1402" s="33" t="str">
        <f>Data!M1400</f>
        <v>Exceso Velocidad 40 Km/h</v>
      </c>
      <c r="H1402" s="41" t="str">
        <f>Data!P1400</f>
        <v>ECOPETROL RUBIALES- Quifa - CAÑO SUR, Puerto Triunfo - Estacion Policia: Puerto Gaitan - Rubiales, Puerto Gaitán, Meta, Colombia</v>
      </c>
      <c r="I1402" s="42" t="str">
        <f>Data!Q1400</f>
        <v>Cliente, Vel Max 40 Km/h, Vel Max 30 Km/h</v>
      </c>
      <c r="J1402" s="43">
        <f>Data!S1400</f>
        <v>46174.611215578705</v>
      </c>
      <c r="K1402" s="44">
        <f>Data!S1400</f>
        <v>46174.611215578705</v>
      </c>
      <c r="L1402" s="45">
        <f>Data!T1400</f>
        <v>6.172453703703704E-5</v>
      </c>
      <c r="M1402" s="46">
        <f>Data!U1400</f>
        <v>6.0546964406967163E-2</v>
      </c>
      <c r="N1402" s="46" t="str">
        <f>CONCATENATE(Data!W1400," (",Data!V1400,")")</f>
        <v>Exceso Velocidad 40 Km/h (Velocidad máxima: 42 kmh)</v>
      </c>
      <c r="O1402" s="42" t="str">
        <f>IF(Data!V1400&lt;&gt;"",N1402,Data!W1400)</f>
        <v>Exceso Velocidad 40 Km/h (Velocidad máxima: 42 kmh)</v>
      </c>
      <c r="P1402" s="47" t="str">
        <f>Data!X1400</f>
        <v>Válido</v>
      </c>
    </row>
    <row r="1403" spans="1:16">
      <c r="A1403" s="41" t="str">
        <f>Data!A1401</f>
        <v>QLT528</v>
      </c>
      <c r="B1403" s="41" t="str">
        <f>Data!D1401</f>
        <v>Vehicle, Diesel, Frontera Energy Col 2679</v>
      </c>
      <c r="C1403" s="41">
        <f>Data!F1401</f>
        <v>0</v>
      </c>
      <c r="D1403" s="41">
        <f>Data!G1401</f>
        <v>0</v>
      </c>
      <c r="E1403" s="41">
        <f>Data!H1401</f>
        <v>0</v>
      </c>
      <c r="F1403" s="41">
        <f>Data!K1401</f>
        <v>0</v>
      </c>
      <c r="G1403" s="33" t="str">
        <f>Data!M1401</f>
        <v>Exceso Velocidad 30 Km/h</v>
      </c>
      <c r="H1403" s="41" t="str">
        <f>Data!P1401</f>
        <v>ECOPETROL RUBIALES- Quifa - CAÑO SUR, Puerto Triunfo - Estacion Policia: Puerto Gaitan - Rubiales, Puerto Gaitán, Meta, Colombia</v>
      </c>
      <c r="I1403" s="42" t="str">
        <f>Data!Q1401</f>
        <v>Cliente, Vel Max 40 Km/h, Vel Max 30 Km/h</v>
      </c>
      <c r="J1403" s="43">
        <f>Data!S1401</f>
        <v>46174.611455879633</v>
      </c>
      <c r="K1403" s="44">
        <f>Data!S1401</f>
        <v>46174.611455879633</v>
      </c>
      <c r="L1403" s="45">
        <f>Data!T1401</f>
        <v>9.8148148148148151E-5</v>
      </c>
      <c r="M1403" s="46">
        <f>Data!U1401</f>
        <v>8.2536116242408752E-2</v>
      </c>
      <c r="N1403" s="46" t="str">
        <f>CONCATENATE(Data!W1401," (",Data!V1401,")")</f>
        <v>Exceso Velocidad 30 Km/h (Velocidad máxima: 39 kmh)</v>
      </c>
      <c r="O1403" s="42" t="str">
        <f>IF(Data!V1401&lt;&gt;"",N1403,Data!W1401)</f>
        <v>Exceso Velocidad 30 Km/h (Velocidad máxima: 39 kmh)</v>
      </c>
      <c r="P1403" s="47" t="str">
        <f>Data!X1401</f>
        <v>Válido</v>
      </c>
    </row>
    <row r="1404" spans="1:16">
      <c r="A1404" s="41" t="str">
        <f>Data!A1402</f>
        <v>QLT528</v>
      </c>
      <c r="B1404" s="41" t="str">
        <f>Data!D1402</f>
        <v>Vehicle, Diesel, Frontera Energy Col 2679</v>
      </c>
      <c r="C1404" s="41">
        <f>Data!F1402</f>
        <v>0</v>
      </c>
      <c r="D1404" s="41">
        <f>Data!G1402</f>
        <v>0</v>
      </c>
      <c r="E1404" s="41">
        <f>Data!H1402</f>
        <v>0</v>
      </c>
      <c r="F1404" s="41">
        <f>Data!K1402</f>
        <v>0</v>
      </c>
      <c r="G1404" s="33" t="str">
        <f>Data!M1402</f>
        <v>Exceso Velocidad 30 Km/h</v>
      </c>
      <c r="H1404" s="41" t="str">
        <f>Data!P1402</f>
        <v>ECOPETROL RUBIALES- Quifa - CAÑO SUR, Puerto Triunfo - Estacion Policia: Puerto Gaitan - Rubiales, Puerto Gaitán, Meta, Colombia</v>
      </c>
      <c r="I1404" s="42" t="str">
        <f>Data!Q1402</f>
        <v>Cliente, Vel Max 40 Km/h, Vel Max 30 Km/h</v>
      </c>
      <c r="J1404" s="43">
        <f>Data!S1402</f>
        <v>46174.611729849537</v>
      </c>
      <c r="K1404" s="44">
        <f>Data!S1402</f>
        <v>46174.611729849537</v>
      </c>
      <c r="L1404" s="45">
        <f>Data!T1402</f>
        <v>4.5138888888888887E-5</v>
      </c>
      <c r="M1404" s="46">
        <f>Data!U1402</f>
        <v>3.475816547870636E-2</v>
      </c>
      <c r="N1404" s="46" t="str">
        <f>CONCATENATE(Data!W1402," (",Data!V1402,")")</f>
        <v>Exceso Velocidad 30 Km/h (Velocidad máxima: 33 kmh)</v>
      </c>
      <c r="O1404" s="42" t="str">
        <f>IF(Data!V1402&lt;&gt;"",N1404,Data!W1402)</f>
        <v>Exceso Velocidad 30 Km/h (Velocidad máxima: 33 kmh)</v>
      </c>
      <c r="P1404" s="47" t="str">
        <f>Data!X1402</f>
        <v>Válido</v>
      </c>
    </row>
    <row r="1405" spans="1:16">
      <c r="A1405" s="41" t="str">
        <f>Data!A1403</f>
        <v>QLT528</v>
      </c>
      <c r="B1405" s="41" t="str">
        <f>Data!D1403</f>
        <v>Vehicle, Diesel, Frontera Energy Col 2679</v>
      </c>
      <c r="C1405" s="41">
        <f>Data!F1403</f>
        <v>0</v>
      </c>
      <c r="D1405" s="41">
        <f>Data!G1403</f>
        <v>0</v>
      </c>
      <c r="E1405" s="41">
        <f>Data!H1403</f>
        <v>0</v>
      </c>
      <c r="F1405" s="41">
        <f>Data!K1403</f>
        <v>0</v>
      </c>
      <c r="G1405" s="33" t="str">
        <f>Data!M1403</f>
        <v>Exceso Velocidad 30 Km/h</v>
      </c>
      <c r="H1405" s="41" t="str">
        <f>Data!P1403</f>
        <v>ECOPETROL RUBIALES- Quifa - CAÑO SUR, Puerto Triunfo - Estacion Policia: Puerto Gaitan - Rubiales, Puerto Gaitán, Meta, Colombia</v>
      </c>
      <c r="I1405" s="42" t="str">
        <f>Data!Q1403</f>
        <v>Cliente, Vel Max 40 Km/h, Vel Max 30 Km/h</v>
      </c>
      <c r="J1405" s="43">
        <f>Data!S1403</f>
        <v>46174.611798136575</v>
      </c>
      <c r="K1405" s="44">
        <f>Data!S1403</f>
        <v>46174.611798136575</v>
      </c>
      <c r="L1405" s="45">
        <f>Data!T1403</f>
        <v>5.4656249999999996E-4</v>
      </c>
      <c r="M1405" s="46">
        <f>Data!U1403</f>
        <v>0.47537612915039063</v>
      </c>
      <c r="N1405" s="46" t="str">
        <f>CONCATENATE(Data!W1403," (",Data!V1403,")")</f>
        <v>Exceso Velocidad 30 Km/h (Velocidad máxima: 41 kmh)</v>
      </c>
      <c r="O1405" s="42" t="str">
        <f>IF(Data!V1403&lt;&gt;"",N1405,Data!W1403)</f>
        <v>Exceso Velocidad 30 Km/h (Velocidad máxima: 41 kmh)</v>
      </c>
      <c r="P1405" s="47" t="str">
        <f>Data!X1403</f>
        <v>Válido</v>
      </c>
    </row>
    <row r="1406" spans="1:16">
      <c r="A1406" s="41" t="str">
        <f>Data!A1404</f>
        <v>QLT528</v>
      </c>
      <c r="B1406" s="41" t="str">
        <f>Data!D1404</f>
        <v>Vehicle, Diesel, Frontera Energy Col 2679</v>
      </c>
      <c r="C1406" s="41">
        <f>Data!F1404</f>
        <v>0</v>
      </c>
      <c r="D1406" s="41">
        <f>Data!G1404</f>
        <v>0</v>
      </c>
      <c r="E1406" s="41">
        <f>Data!H1404</f>
        <v>0</v>
      </c>
      <c r="F1406" s="41">
        <f>Data!K1404</f>
        <v>0</v>
      </c>
      <c r="G1406" s="33" t="str">
        <f>Data!M1404</f>
        <v>Exceso Velocidad 40 Km/h</v>
      </c>
      <c r="H1406" s="41" t="str">
        <f>Data!P1404</f>
        <v>ECOPETROL RUBIALES- Quifa - CAÑO SUR, Puerto Triunfo - Estacion Policia: Puerto Gaitan - Rubiales, Puerto Gaitán, Meta, Colombia</v>
      </c>
      <c r="I1406" s="42" t="str">
        <f>Data!Q1404</f>
        <v>Cliente, Vel Max 40 Km/h, Vel Max 30 Km/h</v>
      </c>
      <c r="J1406" s="43">
        <f>Data!S1404</f>
        <v>46174.611963483796</v>
      </c>
      <c r="K1406" s="44">
        <f>Data!S1404</f>
        <v>46174.611963483796</v>
      </c>
      <c r="L1406" s="45">
        <f>Data!T1404</f>
        <v>4.2986111111111114E-5</v>
      </c>
      <c r="M1406" s="46">
        <f>Data!U1404</f>
        <v>3.9179515093564987E-2</v>
      </c>
      <c r="N1406" s="46" t="str">
        <f>CONCATENATE(Data!W1404," (",Data!V1404,")")</f>
        <v>Exceso Velocidad 40 Km/h (Velocidad máxima: 41 kmh)</v>
      </c>
      <c r="O1406" s="42" t="str">
        <f>IF(Data!V1404&lt;&gt;"",N1406,Data!W1404)</f>
        <v>Exceso Velocidad 40 Km/h (Velocidad máxima: 41 kmh)</v>
      </c>
      <c r="P1406" s="47" t="str">
        <f>Data!X1404</f>
        <v>Válido</v>
      </c>
    </row>
    <row r="1407" spans="1:16">
      <c r="A1407" s="41" t="str">
        <f>Data!A1405</f>
        <v>QLT528</v>
      </c>
      <c r="B1407" s="41" t="str">
        <f>Data!D1405</f>
        <v>Vehicle, Diesel, Frontera Energy Col 2679</v>
      </c>
      <c r="C1407" s="41">
        <f>Data!F1405</f>
        <v>0</v>
      </c>
      <c r="D1407" s="41">
        <f>Data!G1405</f>
        <v>0</v>
      </c>
      <c r="E1407" s="41">
        <f>Data!H1405</f>
        <v>0</v>
      </c>
      <c r="F1407" s="41">
        <f>Data!K1405</f>
        <v>0</v>
      </c>
      <c r="G1407" s="33" t="str">
        <f>Data!M1405</f>
        <v>Exceso Velocidad 10 Km/h</v>
      </c>
      <c r="H1407" s="41" t="str">
        <f>Data!P1405</f>
        <v>ECOPETROL RUBIALES- Quifa - CAÑO SUR, Puerto Triunfo - Estacion Policia, PUESTRO CONTROL QUIFA: Puerto Gaitan - Rubiales, Puerto Gaitán, Meta, Colombia</v>
      </c>
      <c r="I1407" s="42" t="str">
        <f>Data!Q1405</f>
        <v>Cliente, Vel Max 40 Km/h, Vel Max 30 Km/h, Vel Max 10 Km/h</v>
      </c>
      <c r="J1407" s="43">
        <f>Data!S1405</f>
        <v>46174.612090937502</v>
      </c>
      <c r="K1407" s="44">
        <f>Data!S1405</f>
        <v>46174.612090937502</v>
      </c>
      <c r="L1407" s="45">
        <f>Data!T1405</f>
        <v>2.0962962962962962E-4</v>
      </c>
      <c r="M1407" s="46">
        <f>Data!U1405</f>
        <v>0.18261578679084778</v>
      </c>
      <c r="N1407" s="46" t="str">
        <f>CONCATENATE(Data!W1405," (",Data!V1405,")")</f>
        <v>Exceso Velocidad 10 Km/h (Velocidad máxima: 37 kmh)</v>
      </c>
      <c r="O1407" s="42" t="str">
        <f>IF(Data!V1405&lt;&gt;"",N1407,Data!W1405)</f>
        <v>Exceso Velocidad 10 Km/h (Velocidad máxima: 37 kmh)</v>
      </c>
      <c r="P1407" s="47" t="str">
        <f>Data!X1405</f>
        <v>Válido</v>
      </c>
    </row>
    <row r="1408" spans="1:16">
      <c r="A1408" s="41" t="str">
        <f>Data!A1406</f>
        <v>QLT528</v>
      </c>
      <c r="B1408" s="41" t="str">
        <f>Data!D1406</f>
        <v>Vehicle, Diesel, Frontera Energy Col 2679</v>
      </c>
      <c r="C1408" s="41">
        <f>Data!F1406</f>
        <v>0</v>
      </c>
      <c r="D1408" s="41">
        <f>Data!G1406</f>
        <v>0</v>
      </c>
      <c r="E1408" s="41">
        <f>Data!H1406</f>
        <v>0</v>
      </c>
      <c r="F1408" s="41">
        <f>Data!K1406</f>
        <v>0</v>
      </c>
      <c r="G1408" s="33" t="str">
        <f>Data!M1406</f>
        <v>Exceso Velocidad 30 Km/h</v>
      </c>
      <c r="H1408" s="41" t="str">
        <f>Data!P1406</f>
        <v>ECOPETROL RUBIALES- Quifa - CAÑO SUR, Puerto Triunfo - Estacion Policia: Puerto Gaitan - Rubiales, Puerto Gaitán, Meta, Colombia</v>
      </c>
      <c r="I1408" s="42" t="str">
        <f>Data!Q1406</f>
        <v>Cliente, Vel Max 40 Km/h, Vel Max 30 Km/h</v>
      </c>
      <c r="J1408" s="43">
        <f>Data!S1406</f>
        <v>46174.612399999998</v>
      </c>
      <c r="K1408" s="44">
        <f>Data!S1406</f>
        <v>46174.612399999998</v>
      </c>
      <c r="L1408" s="45">
        <f>Data!T1406</f>
        <v>1.7359953703703705E-4</v>
      </c>
      <c r="M1408" s="46">
        <f>Data!U1406</f>
        <v>0.12637390196323395</v>
      </c>
      <c r="N1408" s="46" t="str">
        <f>CONCATENATE(Data!W1406," (",Data!V1406,")")</f>
        <v>Exceso Velocidad 30 Km/h (Velocidad máxima: 32 kmh)</v>
      </c>
      <c r="O1408" s="42" t="str">
        <f>IF(Data!V1406&lt;&gt;"",N1408,Data!W1406)</f>
        <v>Exceso Velocidad 30 Km/h (Velocidad máxima: 32 kmh)</v>
      </c>
      <c r="P1408" s="47" t="str">
        <f>Data!X1406</f>
        <v>Válido</v>
      </c>
    </row>
    <row r="1409" spans="1:16">
      <c r="A1409" s="41" t="str">
        <f>Data!A1407</f>
        <v>QLT528</v>
      </c>
      <c r="B1409" s="41" t="str">
        <f>Data!D1407</f>
        <v>Vehicle, Diesel, Frontera Energy Col 2679</v>
      </c>
      <c r="C1409" s="41">
        <f>Data!F1407</f>
        <v>0</v>
      </c>
      <c r="D1409" s="41">
        <f>Data!G1407</f>
        <v>0</v>
      </c>
      <c r="E1409" s="41">
        <f>Data!H1407</f>
        <v>0</v>
      </c>
      <c r="F1409" s="41">
        <f>Data!K1407</f>
        <v>0</v>
      </c>
      <c r="G1409" s="33" t="str">
        <f>Data!M1407</f>
        <v>Exceso Velocidad 30 Km/h</v>
      </c>
      <c r="H1409" s="41" t="str">
        <f>Data!P1407</f>
        <v>ECOPETROL RUBIALES- Quifa - CAÑO SUR, Puerto Triunfo - Estacion Policia: Puerto Gaitan - Rubiales, Puerto Gaitán, Meta, Colombia</v>
      </c>
      <c r="I1409" s="42" t="str">
        <f>Data!Q1407</f>
        <v>Cliente, Vel Max 40 Km/h, Vel Max 30 Km/h</v>
      </c>
      <c r="J1409" s="43">
        <f>Data!S1407</f>
        <v>46174.612573599537</v>
      </c>
      <c r="K1409" s="44">
        <f>Data!S1407</f>
        <v>46174.612573599537</v>
      </c>
      <c r="L1409" s="45">
        <f>Data!T1407</f>
        <v>2.562847222222222E-4</v>
      </c>
      <c r="M1409" s="46">
        <f>Data!U1407</f>
        <v>0.19119997322559357</v>
      </c>
      <c r="N1409" s="46" t="str">
        <f>CONCATENATE(Data!W1407," (",Data!V1407,")")</f>
        <v>Exceso Velocidad 30 Km/h (Velocidad máxima: 32 kmh)</v>
      </c>
      <c r="O1409" s="42" t="str">
        <f>IF(Data!V1407&lt;&gt;"",N1409,Data!W1407)</f>
        <v>Exceso Velocidad 30 Km/h (Velocidad máxima: 32 kmh)</v>
      </c>
      <c r="P1409" s="47" t="str">
        <f>Data!X1407</f>
        <v>Válido</v>
      </c>
    </row>
    <row r="1410" spans="1:16">
      <c r="A1410" s="41" t="str">
        <f>Data!A1408</f>
        <v>QLT528</v>
      </c>
      <c r="B1410" s="41" t="str">
        <f>Data!D1408</f>
        <v>Vehicle, Diesel, Frontera Energy Col 2679</v>
      </c>
      <c r="C1410" s="41">
        <f>Data!F1408</f>
        <v>0</v>
      </c>
      <c r="D1410" s="41">
        <f>Data!G1408</f>
        <v>0</v>
      </c>
      <c r="E1410" s="41">
        <f>Data!H1408</f>
        <v>0</v>
      </c>
      <c r="F1410" s="41">
        <f>Data!K1408</f>
        <v>0</v>
      </c>
      <c r="G1410" s="33" t="str">
        <f>Data!M1408</f>
        <v>Exceso Velocidad 30 Km/h</v>
      </c>
      <c r="H1410" s="41" t="str">
        <f>Data!P1408</f>
        <v>ECOPETROL RUBIALES- Quifa - CAÑO SUR, Puerto Triunfo - Estacion Policia: Puerto Gaitan - Rubiales, Puerto Gaitán, Meta, Colombia</v>
      </c>
      <c r="I1410" s="42" t="str">
        <f>Data!Q1408</f>
        <v>Cliente, Vel Max 40 Km/h, Vel Max 30 Km/h</v>
      </c>
      <c r="J1410" s="43">
        <f>Data!S1408</f>
        <v>46174.613910416665</v>
      </c>
      <c r="K1410" s="44">
        <f>Data!S1408</f>
        <v>46174.613910416665</v>
      </c>
      <c r="L1410" s="45">
        <f>Data!T1408</f>
        <v>5.2106481481481481E-5</v>
      </c>
      <c r="M1410" s="46">
        <f>Data!U1408</f>
        <v>3.6778297275304794E-2</v>
      </c>
      <c r="N1410" s="46" t="str">
        <f>CONCATENATE(Data!W1408," (",Data!V1408,")")</f>
        <v>Exceso Velocidad 30 Km/h (Velocidad máxima: 31 kmh)</v>
      </c>
      <c r="O1410" s="42" t="str">
        <f>IF(Data!V1408&lt;&gt;"",N1410,Data!W1408)</f>
        <v>Exceso Velocidad 30 Km/h (Velocidad máxima: 31 kmh)</v>
      </c>
      <c r="P1410" s="47" t="str">
        <f>Data!X1408</f>
        <v>Válido</v>
      </c>
    </row>
    <row r="1411" spans="1:16">
      <c r="A1411" s="41" t="str">
        <f>Data!A1409</f>
        <v>QLT528</v>
      </c>
      <c r="B1411" s="41" t="str">
        <f>Data!D1409</f>
        <v>Vehicle, Diesel, Frontera Energy Col 2679</v>
      </c>
      <c r="C1411" s="41">
        <f>Data!F1409</f>
        <v>0</v>
      </c>
      <c r="D1411" s="41">
        <f>Data!G1409</f>
        <v>0</v>
      </c>
      <c r="E1411" s="41">
        <f>Data!H1409</f>
        <v>0</v>
      </c>
      <c r="F1411" s="41">
        <f>Data!K1409</f>
        <v>0</v>
      </c>
      <c r="G1411" s="33" t="str">
        <f>Data!M1409</f>
        <v>Exceso Velocidad 40 Km/h</v>
      </c>
      <c r="H1411" s="41" t="str">
        <f>Data!P1409</f>
        <v>ECOPETROL RUBIALES- Quifa - CAÑO SUR: Vía Sin Nombre, Puerto Gaitán, Meta, Colombia</v>
      </c>
      <c r="I1411" s="42" t="str">
        <f>Data!Q1409</f>
        <v>Cliente, Vel Max 40 Km/h</v>
      </c>
      <c r="J1411" s="43">
        <f>Data!S1409</f>
        <v>46174.6213121412</v>
      </c>
      <c r="K1411" s="44">
        <f>Data!S1409</f>
        <v>46174.6213121412</v>
      </c>
      <c r="L1411" s="45">
        <f>Data!T1409</f>
        <v>1.1851851851851852E-4</v>
      </c>
      <c r="M1411" s="46">
        <f>Data!U1409</f>
        <v>0.11331198364496231</v>
      </c>
      <c r="N1411" s="46" t="str">
        <f>CONCATENATE(Data!W1409," (",Data!V1409,")")</f>
        <v>Exceso Velocidad 40 Km/h (Velocidad máxima: 42 kmh)</v>
      </c>
      <c r="O1411" s="42" t="str">
        <f>IF(Data!V1409&lt;&gt;"",N1411,Data!W1409)</f>
        <v>Exceso Velocidad 40 Km/h (Velocidad máxima: 42 kmh)</v>
      </c>
      <c r="P1411" s="47" t="str">
        <f>Data!X1409</f>
        <v>Válido</v>
      </c>
    </row>
    <row r="1412" spans="1:16">
      <c r="A1412" s="41" t="str">
        <f>Data!A1410</f>
        <v>QLT528</v>
      </c>
      <c r="B1412" s="41" t="str">
        <f>Data!D1410</f>
        <v>Vehicle, Diesel, Frontera Energy Col 2679</v>
      </c>
      <c r="C1412" s="41">
        <f>Data!F1410</f>
        <v>0</v>
      </c>
      <c r="D1412" s="41">
        <f>Data!G1410</f>
        <v>0</v>
      </c>
      <c r="E1412" s="41">
        <f>Data!H1410</f>
        <v>0</v>
      </c>
      <c r="F1412" s="41">
        <f>Data!K1410</f>
        <v>0</v>
      </c>
      <c r="G1412" s="33" t="str">
        <f>Data!M1410</f>
        <v>Exceso Velocidad 40 Km/h</v>
      </c>
      <c r="H1412" s="41" t="str">
        <f>Data!P1410</f>
        <v>ECOPETROL RUBIALES- Quifa - CAÑO SUR: Vía Sin Nombre, Puerto Gaitán, Meta, Colombia</v>
      </c>
      <c r="I1412" s="42" t="str">
        <f>Data!Q1410</f>
        <v>Cliente, Vel Max 40 Km/h</v>
      </c>
      <c r="J1412" s="43">
        <f>Data!S1410</f>
        <v>46174.621774988424</v>
      </c>
      <c r="K1412" s="44">
        <f>Data!S1410</f>
        <v>46174.621774988424</v>
      </c>
      <c r="L1412" s="45">
        <f>Data!T1410</f>
        <v>1.3518634259259258E-3</v>
      </c>
      <c r="M1412" s="46">
        <f>Data!U1410</f>
        <v>1.3837499618530273</v>
      </c>
      <c r="N1412" s="46" t="str">
        <f>CONCATENATE(Data!W1410," (",Data!V1410,")")</f>
        <v>Exceso Velocidad 40 Km/h (Velocidad máxima: 46 kmh)</v>
      </c>
      <c r="O1412" s="42" t="str">
        <f>IF(Data!V1410&lt;&gt;"",N1412,Data!W1410)</f>
        <v>Exceso Velocidad 40 Km/h (Velocidad máxima: 46 kmh)</v>
      </c>
      <c r="P1412" s="47" t="str">
        <f>Data!X1410</f>
        <v>Válido</v>
      </c>
    </row>
    <row r="1413" spans="1:16">
      <c r="A1413" s="41" t="str">
        <f>Data!A1411</f>
        <v>QLT528</v>
      </c>
      <c r="B1413" s="41" t="str">
        <f>Data!D1411</f>
        <v>Vehicle, Diesel, Frontera Energy Col 2679</v>
      </c>
      <c r="C1413" s="41">
        <f>Data!F1411</f>
        <v>0</v>
      </c>
      <c r="D1413" s="41">
        <f>Data!G1411</f>
        <v>0</v>
      </c>
      <c r="E1413" s="41">
        <f>Data!H1411</f>
        <v>0</v>
      </c>
      <c r="F1413" s="41">
        <f>Data!K1411</f>
        <v>0</v>
      </c>
      <c r="G1413" s="33" t="str">
        <f>Data!M1411</f>
        <v>Exceso Velocidad 40 Km/h</v>
      </c>
      <c r="H1413" s="41" t="str">
        <f>Data!P1411</f>
        <v>ECOPETROL RUBIALES- Quifa - CAÑO SUR: Vía Sin Nombre, Puerto Gaitán, Meta, Colombia</v>
      </c>
      <c r="I1413" s="42" t="str">
        <f>Data!Q1411</f>
        <v>Cliente, Vel Max 40 Km/h</v>
      </c>
      <c r="J1413" s="43">
        <f>Data!S1411</f>
        <v>46174.623425625003</v>
      </c>
      <c r="K1413" s="44">
        <f>Data!S1411</f>
        <v>46174.623425625003</v>
      </c>
      <c r="L1413" s="45">
        <f>Data!T1411</f>
        <v>3.9178240740740741E-5</v>
      </c>
      <c r="M1413" s="46">
        <f>Data!U1411</f>
        <v>3.7331942468881607E-2</v>
      </c>
      <c r="N1413" s="46" t="str">
        <f>CONCATENATE(Data!W1411," (",Data!V1411,")")</f>
        <v>Exceso Velocidad 40 Km/h (Velocidad máxima: 41 kmh)</v>
      </c>
      <c r="O1413" s="42" t="str">
        <f>IF(Data!V1411&lt;&gt;"",N1413,Data!W1411)</f>
        <v>Exceso Velocidad 40 Km/h (Velocidad máxima: 41 kmh)</v>
      </c>
      <c r="P1413" s="47" t="str">
        <f>Data!X1411</f>
        <v>Válido</v>
      </c>
    </row>
    <row r="1414" spans="1:16">
      <c r="A1414" s="41" t="str">
        <f>Data!A1412</f>
        <v>QLT528</v>
      </c>
      <c r="B1414" s="41" t="str">
        <f>Data!D1412</f>
        <v>Vehicle, Diesel, Frontera Energy Col 2679</v>
      </c>
      <c r="C1414" s="41">
        <f>Data!F1412</f>
        <v>0</v>
      </c>
      <c r="D1414" s="41">
        <f>Data!G1412</f>
        <v>0</v>
      </c>
      <c r="E1414" s="41">
        <f>Data!H1412</f>
        <v>0</v>
      </c>
      <c r="F1414" s="41">
        <f>Data!K1412</f>
        <v>0</v>
      </c>
      <c r="G1414" s="33" t="str">
        <f>Data!M1412</f>
        <v>Exceso Velocidad 40 Km/h</v>
      </c>
      <c r="H1414" s="41" t="str">
        <f>Data!P1412</f>
        <v>ECOPETROL RUBIALES- Quifa - CAÑO SUR: Vía Sin Nombre, Puerto Gaitán, Meta, Colombia</v>
      </c>
      <c r="I1414" s="42" t="str">
        <f>Data!Q1412</f>
        <v>Cliente, Vel Max 40 Km/h</v>
      </c>
      <c r="J1414" s="43">
        <f>Data!S1412</f>
        <v>46174.623710752312</v>
      </c>
      <c r="K1414" s="44">
        <f>Data!S1412</f>
        <v>46174.623710752312</v>
      </c>
      <c r="L1414" s="45">
        <f>Data!T1412</f>
        <v>4.4386574074074077E-4</v>
      </c>
      <c r="M1414" s="46">
        <f>Data!U1412</f>
        <v>0.44560474157333374</v>
      </c>
      <c r="N1414" s="46" t="str">
        <f>CONCATENATE(Data!W1412," (",Data!V1412,")")</f>
        <v>Exceso Velocidad 40 Km/h (Velocidad máxima: 45 kmh)</v>
      </c>
      <c r="O1414" s="42" t="str">
        <f>IF(Data!V1412&lt;&gt;"",N1414,Data!W1412)</f>
        <v>Exceso Velocidad 40 Km/h (Velocidad máxima: 45 kmh)</v>
      </c>
      <c r="P1414" s="47" t="str">
        <f>Data!X1412</f>
        <v>Válido</v>
      </c>
    </row>
    <row r="1415" spans="1:16">
      <c r="A1415" s="41" t="str">
        <f>Data!A1413</f>
        <v>QLT528</v>
      </c>
      <c r="B1415" s="41" t="str">
        <f>Data!D1413</f>
        <v>Vehicle, Diesel, Frontera Energy Col 2679</v>
      </c>
      <c r="C1415" s="41">
        <f>Data!F1413</f>
        <v>0</v>
      </c>
      <c r="D1415" s="41">
        <f>Data!G1413</f>
        <v>0</v>
      </c>
      <c r="E1415" s="41">
        <f>Data!H1413</f>
        <v>0</v>
      </c>
      <c r="F1415" s="41">
        <f>Data!K1413</f>
        <v>0</v>
      </c>
      <c r="G1415" s="33" t="str">
        <f>Data!M1413</f>
        <v>Exceso Velocidad 40 Km/h</v>
      </c>
      <c r="H1415" s="41" t="str">
        <f>Data!P1413</f>
        <v>ECOPETROL RUBIALES- Quifa - CAÑO SUR: Vía Sin Nombre, Puerto Gaitán, Meta, Colombia</v>
      </c>
      <c r="I1415" s="42" t="str">
        <f>Data!Q1413</f>
        <v>Cliente, Vel Max 40 Km/h</v>
      </c>
      <c r="J1415" s="43">
        <f>Data!S1413</f>
        <v>46174.624217245371</v>
      </c>
      <c r="K1415" s="44">
        <f>Data!S1413</f>
        <v>46174.624217245371</v>
      </c>
      <c r="L1415" s="45">
        <f>Data!T1413</f>
        <v>5.3613425925925931E-4</v>
      </c>
      <c r="M1415" s="46">
        <f>Data!U1413</f>
        <v>0.54894256591796875</v>
      </c>
      <c r="N1415" s="46" t="str">
        <f>CONCATENATE(Data!W1413," (",Data!V1413,")")</f>
        <v>Exceso Velocidad 40 Km/h (Velocidad máxima: 44 kmh)</v>
      </c>
      <c r="O1415" s="42" t="str">
        <f>IF(Data!V1413&lt;&gt;"",N1415,Data!W1413)</f>
        <v>Exceso Velocidad 40 Km/h (Velocidad máxima: 44 kmh)</v>
      </c>
      <c r="P1415" s="47" t="str">
        <f>Data!X1413</f>
        <v>Válido</v>
      </c>
    </row>
    <row r="1416" spans="1:16">
      <c r="A1416" s="41" t="str">
        <f>Data!A1414</f>
        <v>QLT528</v>
      </c>
      <c r="B1416" s="41" t="str">
        <f>Data!D1414</f>
        <v>Vehicle, Diesel, Frontera Energy Col 2679</v>
      </c>
      <c r="C1416" s="41">
        <f>Data!F1414</f>
        <v>0</v>
      </c>
      <c r="D1416" s="41">
        <f>Data!G1414</f>
        <v>0</v>
      </c>
      <c r="E1416" s="41">
        <f>Data!H1414</f>
        <v>0</v>
      </c>
      <c r="F1416" s="41">
        <f>Data!K1414</f>
        <v>0</v>
      </c>
      <c r="G1416" s="33" t="str">
        <f>Data!M1414</f>
        <v>Giro brusco</v>
      </c>
      <c r="H1416" s="41" t="str">
        <f>Data!P1414</f>
        <v>ECOPETROL RUBIALES- Quifa - CAÑO SUR: Via QF-149, Puerto Gaitán, Meta, Colombia</v>
      </c>
      <c r="I1416" s="42" t="str">
        <f>Data!Q1414</f>
        <v>Cliente, Vel Max 40 Km/h</v>
      </c>
      <c r="J1416" s="43">
        <f>Data!S1414</f>
        <v>46174.6248046412</v>
      </c>
      <c r="K1416" s="44">
        <f>Data!S1414</f>
        <v>46174.6248046412</v>
      </c>
      <c r="L1416" s="45">
        <f>Data!T1414</f>
        <v>2.1759259259259257E-6</v>
      </c>
      <c r="M1416" s="46">
        <f>Data!U1414</f>
        <v>2.0070152822881937E-3</v>
      </c>
      <c r="N1416" s="46" t="str">
        <f>CONCATENATE(Data!W1414," (",Data!V1414,")")</f>
        <v>Giro brusco (Velocidad máxima: 40 kmh Ignición: 1.00 , Aceleración de lado a lado: -0.59 g-force)</v>
      </c>
      <c r="O1416" s="42" t="str">
        <f>IF(Data!V1414&lt;&gt;"",N1416,Data!W1414)</f>
        <v>Giro brusco (Velocidad máxima: 40 kmh Ignición: 1.00 , Aceleración de lado a lado: -0.59 g-force)</v>
      </c>
      <c r="P1416" s="47" t="str">
        <f>Data!X1414</f>
        <v>Válido</v>
      </c>
    </row>
    <row r="1417" spans="1:16">
      <c r="A1417" s="41" t="str">
        <f>Data!A1415</f>
        <v>QLT528</v>
      </c>
      <c r="B1417" s="41" t="str">
        <f>Data!D1415</f>
        <v>Vehicle, Diesel, Frontera Energy Col 2679</v>
      </c>
      <c r="C1417" s="41">
        <f>Data!F1415</f>
        <v>0</v>
      </c>
      <c r="D1417" s="41">
        <f>Data!G1415</f>
        <v>0</v>
      </c>
      <c r="E1417" s="41">
        <f>Data!H1415</f>
        <v>0</v>
      </c>
      <c r="F1417" s="41">
        <f>Data!K1415</f>
        <v>0</v>
      </c>
      <c r="G1417" s="33" t="str">
        <f>Data!M1415</f>
        <v>Exceso Velocidad 40 Km/h</v>
      </c>
      <c r="H1417" s="41" t="str">
        <f>Data!P1415</f>
        <v>ECOPETROL RUBIALES- Quifa - CAÑO SUR: Via QF-149, Puerto Gaitán, Meta, Colombia</v>
      </c>
      <c r="I1417" s="42" t="str">
        <f>Data!Q1415</f>
        <v>Cliente, Vel Max 40 Km/h</v>
      </c>
      <c r="J1417" s="43">
        <f>Data!S1415</f>
        <v>46174.62480740741</v>
      </c>
      <c r="K1417" s="44">
        <f>Data!S1415</f>
        <v>46174.62480740741</v>
      </c>
      <c r="L1417" s="45">
        <f>Data!T1415</f>
        <v>1.8286921296296295E-3</v>
      </c>
      <c r="M1417" s="46">
        <f>Data!U1415</f>
        <v>1.9740984439849854</v>
      </c>
      <c r="N1417" s="46" t="str">
        <f>CONCATENATE(Data!W1415," (",Data!V1415,")")</f>
        <v>Exceso Velocidad 40 Km/h (Velocidad máxima: 47 kmh)</v>
      </c>
      <c r="O1417" s="42" t="str">
        <f>IF(Data!V1415&lt;&gt;"",N1417,Data!W1415)</f>
        <v>Exceso Velocidad 40 Km/h (Velocidad máxima: 47 kmh)</v>
      </c>
      <c r="P1417" s="47" t="str">
        <f>Data!X1415</f>
        <v>Válido</v>
      </c>
    </row>
    <row r="1418" spans="1:16">
      <c r="A1418" s="41" t="str">
        <f>Data!A1416</f>
        <v>QLT528</v>
      </c>
      <c r="B1418" s="41" t="str">
        <f>Data!D1416</f>
        <v>Vehicle, Diesel, Frontera Energy Col 2679</v>
      </c>
      <c r="C1418" s="41">
        <f>Data!F1416</f>
        <v>0</v>
      </c>
      <c r="D1418" s="41">
        <f>Data!G1416</f>
        <v>0</v>
      </c>
      <c r="E1418" s="41">
        <f>Data!H1416</f>
        <v>0</v>
      </c>
      <c r="F1418" s="41">
        <f>Data!K1416</f>
        <v>0</v>
      </c>
      <c r="G1418" s="33" t="str">
        <f>Data!M1416</f>
        <v>Giro brusco</v>
      </c>
      <c r="H1418" s="41" t="str">
        <f>Data!P1416</f>
        <v>ECOPETROL RUBIALES- Quifa - CAÑO SUR: Via QF-149, Puerto Gaitán, Meta, Colombia</v>
      </c>
      <c r="I1418" s="42" t="str">
        <f>Data!Q1416</f>
        <v>Cliente, Vel Max 40 Km/h</v>
      </c>
      <c r="J1418" s="43">
        <f>Data!S1416</f>
        <v>46174.624808726854</v>
      </c>
      <c r="K1418" s="44">
        <f>Data!S1416</f>
        <v>46174.624808726854</v>
      </c>
      <c r="L1418" s="45">
        <f>Data!T1416</f>
        <v>1.5046296296296296E-6</v>
      </c>
      <c r="M1418" s="46">
        <f>Data!U1416</f>
        <v>1.4560871059074998E-3</v>
      </c>
      <c r="N1418" s="46" t="str">
        <f>CONCATENATE(Data!W1416," (",Data!V1416,")")</f>
        <v>Giro brusco (Velocidad máxima: 40 kmh Ignición: 1.00 , Aceleración de lado a lado: -0.50 g-force)</v>
      </c>
      <c r="O1418" s="42" t="str">
        <f>IF(Data!V1416&lt;&gt;"",N1418,Data!W1416)</f>
        <v>Giro brusco (Velocidad máxima: 40 kmh Ignición: 1.00 , Aceleración de lado a lado: -0.50 g-force)</v>
      </c>
      <c r="P1418" s="47" t="str">
        <f>Data!X1416</f>
        <v>Válido</v>
      </c>
    </row>
    <row r="1419" spans="1:16">
      <c r="A1419" s="41" t="str">
        <f>Data!A1417</f>
        <v>QLT528</v>
      </c>
      <c r="B1419" s="41" t="str">
        <f>Data!D1417</f>
        <v>Vehicle, Diesel, Frontera Energy Col 2679</v>
      </c>
      <c r="C1419" s="41">
        <f>Data!F1417</f>
        <v>0</v>
      </c>
      <c r="D1419" s="41">
        <f>Data!G1417</f>
        <v>0</v>
      </c>
      <c r="E1419" s="41">
        <f>Data!H1417</f>
        <v>0</v>
      </c>
      <c r="F1419" s="41">
        <f>Data!K1417</f>
        <v>0</v>
      </c>
      <c r="G1419" s="33" t="str">
        <f>Data!M1417</f>
        <v>Exceso Velocidad 40 Km/h</v>
      </c>
      <c r="H1419" s="41" t="str">
        <f>Data!P1417</f>
        <v>ECOPETROL RUBIALES- Quifa - CAÑO SUR: Vía Sin Nombre, Puerto Gaitán, Meta, Colombia</v>
      </c>
      <c r="I1419" s="42" t="str">
        <f>Data!Q1417</f>
        <v>Cliente, Vel Max 40 Km/h</v>
      </c>
      <c r="J1419" s="43">
        <f>Data!S1417</f>
        <v>46174.626700856483</v>
      </c>
      <c r="K1419" s="44">
        <f>Data!S1417</f>
        <v>46174.626700856483</v>
      </c>
      <c r="L1419" s="45">
        <f>Data!T1417</f>
        <v>7.5700231481481484E-4</v>
      </c>
      <c r="M1419" s="46">
        <f>Data!U1417</f>
        <v>0.77113133668899536</v>
      </c>
      <c r="N1419" s="46" t="str">
        <f>CONCATENATE(Data!W1417," (",Data!V1417,")")</f>
        <v>Exceso Velocidad 40 Km/h (Velocidad máxima: 45 kmh)</v>
      </c>
      <c r="O1419" s="42" t="str">
        <f>IF(Data!V1417&lt;&gt;"",N1419,Data!W1417)</f>
        <v>Exceso Velocidad 40 Km/h (Velocidad máxima: 45 kmh)</v>
      </c>
      <c r="P1419" s="47" t="str">
        <f>Data!X1417</f>
        <v>Válido</v>
      </c>
    </row>
    <row r="1420" spans="1:16">
      <c r="A1420" s="41" t="str">
        <f>Data!A1418</f>
        <v>QLT528</v>
      </c>
      <c r="B1420" s="41" t="str">
        <f>Data!D1418</f>
        <v>Vehicle, Diesel, Frontera Energy Col 2679</v>
      </c>
      <c r="C1420" s="41">
        <f>Data!F1418</f>
        <v>0</v>
      </c>
      <c r="D1420" s="41">
        <f>Data!G1418</f>
        <v>0</v>
      </c>
      <c r="E1420" s="41">
        <f>Data!H1418</f>
        <v>0</v>
      </c>
      <c r="F1420" s="41">
        <f>Data!K1418</f>
        <v>0</v>
      </c>
      <c r="G1420" s="33" t="str">
        <f>Data!M1418</f>
        <v>Exceso Velocidad 40 Km/h</v>
      </c>
      <c r="H1420" s="41" t="str">
        <f>Data!P1418</f>
        <v>ECOPETROL RUBIALES- Quifa - CAÑO SUR: Vía Sin Nombre, Puerto Gaitán, Meta, Colombia</v>
      </c>
      <c r="I1420" s="42" t="str">
        <f>Data!Q1418</f>
        <v>Cliente, Vel Max 40 Km/h</v>
      </c>
      <c r="J1420" s="43">
        <f>Data!S1418</f>
        <v>46174.627457858798</v>
      </c>
      <c r="K1420" s="44">
        <f>Data!S1418</f>
        <v>46174.627457858798</v>
      </c>
      <c r="L1420" s="45">
        <f>Data!T1418</f>
        <v>1.9677083333333333E-4</v>
      </c>
      <c r="M1420" s="46">
        <f>Data!U1418</f>
        <v>0.19117076694965363</v>
      </c>
      <c r="N1420" s="46" t="str">
        <f>CONCATENATE(Data!W1418," (",Data!V1418,")")</f>
        <v>Exceso Velocidad 40 Km/h (Velocidad máxima: 41 kmh)</v>
      </c>
      <c r="O1420" s="42" t="str">
        <f>IF(Data!V1418&lt;&gt;"",N1420,Data!W1418)</f>
        <v>Exceso Velocidad 40 Km/h (Velocidad máxima: 41 kmh)</v>
      </c>
      <c r="P1420" s="47" t="str">
        <f>Data!X1418</f>
        <v>Válido</v>
      </c>
    </row>
    <row r="1421" spans="1:16">
      <c r="A1421" s="41" t="str">
        <f>Data!A1419</f>
        <v>QLT528</v>
      </c>
      <c r="B1421" s="41" t="str">
        <f>Data!D1419</f>
        <v>Vehicle, Diesel, Frontera Energy Col 2679</v>
      </c>
      <c r="C1421" s="41">
        <f>Data!F1419</f>
        <v>0</v>
      </c>
      <c r="D1421" s="41">
        <f>Data!G1419</f>
        <v>0</v>
      </c>
      <c r="E1421" s="41">
        <f>Data!H1419</f>
        <v>0</v>
      </c>
      <c r="F1421" s="41">
        <f>Data!K1419</f>
        <v>0</v>
      </c>
      <c r="G1421" s="33" t="str">
        <f>Data!M1419</f>
        <v>Exceso Velocidad 40 Km/h</v>
      </c>
      <c r="H1421" s="41" t="str">
        <f>Data!P1419</f>
        <v>ECOPETROL RUBIALES- Quifa - CAÑO SUR: Vía Sin Nombre, Puerto Gaitán, Meta, Colombia</v>
      </c>
      <c r="I1421" s="42" t="str">
        <f>Data!Q1419</f>
        <v>Cliente, Vel Max 40 Km/h</v>
      </c>
      <c r="J1421" s="43">
        <f>Data!S1419</f>
        <v>46174.627805081022</v>
      </c>
      <c r="K1421" s="44">
        <f>Data!S1419</f>
        <v>46174.627805081022</v>
      </c>
      <c r="L1421" s="45">
        <f>Data!T1419</f>
        <v>8.1297453703703707E-4</v>
      </c>
      <c r="M1421" s="46">
        <f>Data!U1419</f>
        <v>0.82071107625961304</v>
      </c>
      <c r="N1421" s="46" t="str">
        <f>CONCATENATE(Data!W1419," (",Data!V1419,")")</f>
        <v>Exceso Velocidad 40 Km/h (Velocidad máxima: 45 kmh)</v>
      </c>
      <c r="O1421" s="42" t="str">
        <f>IF(Data!V1419&lt;&gt;"",N1421,Data!W1419)</f>
        <v>Exceso Velocidad 40 Km/h (Velocidad máxima: 45 kmh)</v>
      </c>
      <c r="P1421" s="47" t="str">
        <f>Data!X1419</f>
        <v>Válido</v>
      </c>
    </row>
    <row r="1422" spans="1:16">
      <c r="A1422" s="41" t="str">
        <f>Data!A1420</f>
        <v>QLT528</v>
      </c>
      <c r="B1422" s="41" t="str">
        <f>Data!D1420</f>
        <v>Vehicle, Diesel, Frontera Energy Col 2679</v>
      </c>
      <c r="C1422" s="41">
        <f>Data!F1420</f>
        <v>0</v>
      </c>
      <c r="D1422" s="41">
        <f>Data!G1420</f>
        <v>0</v>
      </c>
      <c r="E1422" s="41">
        <f>Data!H1420</f>
        <v>0</v>
      </c>
      <c r="F1422" s="41">
        <f>Data!K1420</f>
        <v>0</v>
      </c>
      <c r="G1422" s="33" t="str">
        <f>Data!M1420</f>
        <v>Exceso Velocidad 40 Km/h</v>
      </c>
      <c r="H1422" s="41" t="str">
        <f>Data!P1420</f>
        <v>ECOPETROL RUBIALES- Quifa - CAÑO SUR: Vía Sin Nombre, Puerto Gaitán, Meta, Colombia</v>
      </c>
      <c r="I1422" s="42" t="str">
        <f>Data!Q1420</f>
        <v>Cliente, Vel Max 40 Km/h</v>
      </c>
      <c r="J1422" s="43">
        <f>Data!S1420</f>
        <v>46174.628918506947</v>
      </c>
      <c r="K1422" s="44">
        <f>Data!S1420</f>
        <v>46174.628918506947</v>
      </c>
      <c r="L1422" s="45">
        <f>Data!T1420</f>
        <v>7.8703703703703702E-5</v>
      </c>
      <c r="M1422" s="46">
        <f>Data!U1420</f>
        <v>7.6083630323410034E-2</v>
      </c>
      <c r="N1422" s="46" t="str">
        <f>CONCATENATE(Data!W1420," (",Data!V1420,")")</f>
        <v>Exceso Velocidad 40 Km/h (Velocidad máxima: 41 kmh)</v>
      </c>
      <c r="O1422" s="42" t="str">
        <f>IF(Data!V1420&lt;&gt;"",N1422,Data!W1420)</f>
        <v>Exceso Velocidad 40 Km/h (Velocidad máxima: 41 kmh)</v>
      </c>
      <c r="P1422" s="47" t="str">
        <f>Data!X1420</f>
        <v>Válido</v>
      </c>
    </row>
    <row r="1423" spans="1:16">
      <c r="A1423" s="41" t="str">
        <f>Data!A1421</f>
        <v>QLT528</v>
      </c>
      <c r="B1423" s="41" t="str">
        <f>Data!D1421</f>
        <v>Vehicle, Diesel, Frontera Energy Col 2679</v>
      </c>
      <c r="C1423" s="41">
        <f>Data!F1421</f>
        <v>0</v>
      </c>
      <c r="D1423" s="41">
        <f>Data!G1421</f>
        <v>0</v>
      </c>
      <c r="E1423" s="41">
        <f>Data!H1421</f>
        <v>0</v>
      </c>
      <c r="F1423" s="41">
        <f>Data!K1421</f>
        <v>0</v>
      </c>
      <c r="G1423" s="33" t="str">
        <f>Data!M1421</f>
        <v>Exceso Velocidad 40 Km/h</v>
      </c>
      <c r="H1423" s="41" t="str">
        <f>Data!P1421</f>
        <v>ECOPETROL RUBIALES- Quifa - CAÑO SUR: Vía Sin Nombre, Puerto Gaitán, Meta, Colombia</v>
      </c>
      <c r="I1423" s="42" t="str">
        <f>Data!Q1421</f>
        <v>Cliente, Vel Max 40 Km/h</v>
      </c>
      <c r="J1423" s="43">
        <f>Data!S1421</f>
        <v>46174.629136099538</v>
      </c>
      <c r="K1423" s="44">
        <f>Data!S1421</f>
        <v>46174.629136099538</v>
      </c>
      <c r="L1423" s="45">
        <f>Data!T1421</f>
        <v>2.3149305555555556E-4</v>
      </c>
      <c r="M1423" s="46">
        <f>Data!U1421</f>
        <v>0.22451440989971161</v>
      </c>
      <c r="N1423" s="46" t="str">
        <f>CONCATENATE(Data!W1421," (",Data!V1421,")")</f>
        <v>Exceso Velocidad 40 Km/h (Velocidad máxima: 41 kmh)</v>
      </c>
      <c r="O1423" s="42" t="str">
        <f>IF(Data!V1421&lt;&gt;"",N1423,Data!W1421)</f>
        <v>Exceso Velocidad 40 Km/h (Velocidad máxima: 41 kmh)</v>
      </c>
      <c r="P1423" s="47" t="str">
        <f>Data!X1421</f>
        <v>Válido</v>
      </c>
    </row>
    <row r="1424" spans="1:16">
      <c r="A1424" s="41" t="str">
        <f>Data!A1422</f>
        <v>QLT528</v>
      </c>
      <c r="B1424" s="41" t="str">
        <f>Data!D1422</f>
        <v>Vehicle, Diesel, Frontera Energy Col 2679</v>
      </c>
      <c r="C1424" s="41">
        <f>Data!F1422</f>
        <v>0</v>
      </c>
      <c r="D1424" s="41">
        <f>Data!G1422</f>
        <v>0</v>
      </c>
      <c r="E1424" s="41">
        <f>Data!H1422</f>
        <v>0</v>
      </c>
      <c r="F1424" s="41">
        <f>Data!K1422</f>
        <v>0</v>
      </c>
      <c r="G1424" s="33" t="str">
        <f>Data!M1422</f>
        <v>Tiempo en ralentí</v>
      </c>
      <c r="H1424" s="41" t="str">
        <f>Data!P1422</f>
        <v>ECOPETROL RUBIALES- Quifa - CAÑO SUR: VIA QF-148, Puerto Gaitán, Meta, Colombia</v>
      </c>
      <c r="I1424" s="42" t="str">
        <f>Data!Q1422</f>
        <v>Cliente, Vel Max 40 Km/h</v>
      </c>
      <c r="J1424" s="43">
        <f>Data!S1422</f>
        <v>46174.632133784726</v>
      </c>
      <c r="K1424" s="44">
        <f>Data!S1422</f>
        <v>46174.632133784726</v>
      </c>
      <c r="L1424" s="45">
        <f>Data!T1422</f>
        <v>4.1655092592592591E-2</v>
      </c>
      <c r="M1424" s="46">
        <f>Data!U1422</f>
        <v>4.2168997228145599E-2</v>
      </c>
      <c r="N1424" s="46" t="str">
        <f>CONCATENATE(Data!W1422," (",Data!V1422,")")</f>
        <v>Tiempo en ralentí (Ignición: 1.00)</v>
      </c>
      <c r="O1424" s="42" t="str">
        <f>IF(Data!V1422&lt;&gt;"",N1424,Data!W1422)</f>
        <v>Tiempo en ralentí (Ignición: 1.00)</v>
      </c>
      <c r="P1424" s="47" t="str">
        <f>Data!X1422</f>
        <v>Válido</v>
      </c>
    </row>
    <row r="1425" spans="1:16">
      <c r="A1425" s="41" t="str">
        <f>Data!A1423</f>
        <v>QLT528</v>
      </c>
      <c r="B1425" s="41" t="str">
        <f>Data!D1423</f>
        <v>Vehicle, Diesel, Frontera Energy Col 2679</v>
      </c>
      <c r="C1425" s="41">
        <f>Data!F1423</f>
        <v>0</v>
      </c>
      <c r="D1425" s="41">
        <f>Data!G1423</f>
        <v>0</v>
      </c>
      <c r="E1425" s="41">
        <f>Data!H1423</f>
        <v>0</v>
      </c>
      <c r="F1425" s="41">
        <f>Data!K1423</f>
        <v>0</v>
      </c>
      <c r="G1425" s="33" t="str">
        <f>Data!M1423</f>
        <v>Exceso Velocidad 40 Km/h</v>
      </c>
      <c r="H1425" s="41" t="str">
        <f>Data!P1423</f>
        <v>ECOPETROL RUBIALES- Quifa - CAÑO SUR: VIA QF-148, Puerto Gaitán, Meta, Colombia</v>
      </c>
      <c r="I1425" s="42" t="str">
        <f>Data!Q1423</f>
        <v>Cliente, Vel Max 40 Km/h</v>
      </c>
      <c r="J1425" s="43">
        <f>Data!S1423</f>
        <v>46174.676273171295</v>
      </c>
      <c r="K1425" s="44">
        <f>Data!S1423</f>
        <v>46174.676273171295</v>
      </c>
      <c r="L1425" s="45">
        <f>Data!T1423</f>
        <v>3.9765046296296299E-4</v>
      </c>
      <c r="M1425" s="46">
        <f>Data!U1423</f>
        <v>0.41583928465843201</v>
      </c>
      <c r="N1425" s="46" t="str">
        <f>CONCATENATE(Data!W1423," (",Data!V1423,")")</f>
        <v>Exceso Velocidad 40 Km/h (Velocidad máxima: 51 kmh)</v>
      </c>
      <c r="O1425" s="42" t="str">
        <f>IF(Data!V1423&lt;&gt;"",N1425,Data!W1423)</f>
        <v>Exceso Velocidad 40 Km/h (Velocidad máxima: 51 kmh)</v>
      </c>
      <c r="P1425" s="47" t="str">
        <f>Data!X1423</f>
        <v>Válido</v>
      </c>
    </row>
    <row r="1426" spans="1:16">
      <c r="A1426" s="41" t="str">
        <f>Data!A1424</f>
        <v>QLT528</v>
      </c>
      <c r="B1426" s="41" t="str">
        <f>Data!D1424</f>
        <v>Vehicle, Diesel, Frontera Energy Col 2679</v>
      </c>
      <c r="C1426" s="41">
        <f>Data!F1424</f>
        <v>0</v>
      </c>
      <c r="D1426" s="41">
        <f>Data!G1424</f>
        <v>0</v>
      </c>
      <c r="E1426" s="41">
        <f>Data!H1424</f>
        <v>0</v>
      </c>
      <c r="F1426" s="41">
        <f>Data!K1424</f>
        <v>0</v>
      </c>
      <c r="G1426" s="33" t="str">
        <f>Data!M1424</f>
        <v>Exceso Velocidad 40 Km/h</v>
      </c>
      <c r="H1426" s="41" t="str">
        <f>Data!P1424</f>
        <v>ECOPETROL RUBIALES- Quifa - CAÑO SUR: Vía Sin Nombre, Puerto Gaitán, Meta, Colombia</v>
      </c>
      <c r="I1426" s="42" t="str">
        <f>Data!Q1424</f>
        <v>Cliente, Vel Max 40 Km/h</v>
      </c>
      <c r="J1426" s="43">
        <f>Data!S1424</f>
        <v>46174.676999108793</v>
      </c>
      <c r="K1426" s="44">
        <f>Data!S1424</f>
        <v>46174.676999108793</v>
      </c>
      <c r="L1426" s="45">
        <f>Data!T1424</f>
        <v>3.0509259259259259E-5</v>
      </c>
      <c r="M1426" s="46">
        <f>Data!U1424</f>
        <v>2.8457304462790489E-2</v>
      </c>
      <c r="N1426" s="46" t="str">
        <f>CONCATENATE(Data!W1424," (",Data!V1424,")")</f>
        <v>Exceso Velocidad 40 Km/h (Velocidad máxima: 41 kmh)</v>
      </c>
      <c r="O1426" s="42" t="str">
        <f>IF(Data!V1424&lt;&gt;"",N1426,Data!W1424)</f>
        <v>Exceso Velocidad 40 Km/h (Velocidad máxima: 41 kmh)</v>
      </c>
      <c r="P1426" s="47" t="str">
        <f>Data!X1424</f>
        <v>Válido</v>
      </c>
    </row>
    <row r="1427" spans="1:16">
      <c r="A1427" s="41" t="str">
        <f>Data!A1425</f>
        <v>QLT528</v>
      </c>
      <c r="B1427" s="41" t="str">
        <f>Data!D1425</f>
        <v>Vehicle, Diesel, Frontera Energy Col 2679</v>
      </c>
      <c r="C1427" s="41">
        <f>Data!F1425</f>
        <v>0</v>
      </c>
      <c r="D1427" s="41">
        <f>Data!G1425</f>
        <v>0</v>
      </c>
      <c r="E1427" s="41">
        <f>Data!H1425</f>
        <v>0</v>
      </c>
      <c r="F1427" s="41">
        <f>Data!K1425</f>
        <v>0</v>
      </c>
      <c r="G1427" s="33" t="str">
        <f>Data!M1425</f>
        <v>Exceso Velocidad 40 Km/h</v>
      </c>
      <c r="H1427" s="41" t="str">
        <f>Data!P1425</f>
        <v>ECOPETROL RUBIALES- Quifa - CAÑO SUR: Vía Sin Nombre, Puerto Gaitán, Meta, Colombia</v>
      </c>
      <c r="I1427" s="42" t="str">
        <f>Data!Q1425</f>
        <v>Cliente, Vel Max 40 Km/h</v>
      </c>
      <c r="J1427" s="43">
        <f>Data!S1425</f>
        <v>46174.677646898148</v>
      </c>
      <c r="K1427" s="44">
        <f>Data!S1425</f>
        <v>46174.677646898148</v>
      </c>
      <c r="L1427" s="45">
        <f>Data!T1425</f>
        <v>1.7555555555555556E-4</v>
      </c>
      <c r="M1427" s="46">
        <f>Data!U1425</f>
        <v>0.17371521890163422</v>
      </c>
      <c r="N1427" s="46" t="str">
        <f>CONCATENATE(Data!W1425," (",Data!V1425,")")</f>
        <v>Exceso Velocidad 40 Km/h (Velocidad máxima: 41 kmh)</v>
      </c>
      <c r="O1427" s="42" t="str">
        <f>IF(Data!V1425&lt;&gt;"",N1427,Data!W1425)</f>
        <v>Exceso Velocidad 40 Km/h (Velocidad máxima: 41 kmh)</v>
      </c>
      <c r="P1427" s="47" t="str">
        <f>Data!X1425</f>
        <v>Válido</v>
      </c>
    </row>
    <row r="1428" spans="1:16">
      <c r="A1428" s="41" t="str">
        <f>Data!A1426</f>
        <v>QLT528</v>
      </c>
      <c r="B1428" s="41" t="str">
        <f>Data!D1426</f>
        <v>Vehicle, Diesel, Frontera Energy Col 2679</v>
      </c>
      <c r="C1428" s="41">
        <f>Data!F1426</f>
        <v>0</v>
      </c>
      <c r="D1428" s="41">
        <f>Data!G1426</f>
        <v>0</v>
      </c>
      <c r="E1428" s="41">
        <f>Data!H1426</f>
        <v>0</v>
      </c>
      <c r="F1428" s="41">
        <f>Data!K1426</f>
        <v>0</v>
      </c>
      <c r="G1428" s="33" t="str">
        <f>Data!M1426</f>
        <v>Exceso Velocidad 40 Km/h</v>
      </c>
      <c r="H1428" s="41" t="str">
        <f>Data!P1426</f>
        <v>ECOPETROL RUBIALES- Quifa - CAÑO SUR: Vía Sin Nombre, Puerto Gaitán, Meta, Colombia</v>
      </c>
      <c r="I1428" s="42" t="str">
        <f>Data!Q1426</f>
        <v>Cliente, Vel Max 40 Km/h</v>
      </c>
      <c r="J1428" s="43">
        <f>Data!S1426</f>
        <v>46174.678031597221</v>
      </c>
      <c r="K1428" s="44">
        <f>Data!S1426</f>
        <v>46174.678031597221</v>
      </c>
      <c r="L1428" s="45">
        <f>Data!T1426</f>
        <v>2.711689814814815E-4</v>
      </c>
      <c r="M1428" s="46">
        <f>Data!U1426</f>
        <v>0.26147797703742981</v>
      </c>
      <c r="N1428" s="46" t="str">
        <f>CONCATENATE(Data!W1426," (",Data!V1426,")")</f>
        <v>Exceso Velocidad 40 Km/h (Velocidad máxima: 44 kmh)</v>
      </c>
      <c r="O1428" s="42" t="str">
        <f>IF(Data!V1426&lt;&gt;"",N1428,Data!W1426)</f>
        <v>Exceso Velocidad 40 Km/h (Velocidad máxima: 44 kmh)</v>
      </c>
      <c r="P1428" s="47" t="str">
        <f>Data!X1426</f>
        <v>Válido</v>
      </c>
    </row>
    <row r="1429" spans="1:16">
      <c r="A1429" s="41" t="str">
        <f>Data!A1427</f>
        <v>QLT528</v>
      </c>
      <c r="B1429" s="41" t="str">
        <f>Data!D1427</f>
        <v>Vehicle, Diesel, Frontera Energy Col 2679</v>
      </c>
      <c r="C1429" s="41">
        <f>Data!F1427</f>
        <v>0</v>
      </c>
      <c r="D1429" s="41">
        <f>Data!G1427</f>
        <v>0</v>
      </c>
      <c r="E1429" s="41">
        <f>Data!H1427</f>
        <v>0</v>
      </c>
      <c r="F1429" s="41">
        <f>Data!K1427</f>
        <v>0</v>
      </c>
      <c r="G1429" s="33" t="str">
        <f>Data!M1427</f>
        <v>Exceso Velocidad 40 Km/h</v>
      </c>
      <c r="H1429" s="41" t="str">
        <f>Data!P1427</f>
        <v>ECOPETROL RUBIALES- Quifa - CAÑO SUR: Vía Sin Nombre, Puerto Gaitán, Meta, Colombia</v>
      </c>
      <c r="I1429" s="42" t="str">
        <f>Data!Q1427</f>
        <v>Cliente, Vel Max 40 Km/h</v>
      </c>
      <c r="J1429" s="43">
        <f>Data!S1427</f>
        <v>46174.678487951387</v>
      </c>
      <c r="K1429" s="44">
        <f>Data!S1427</f>
        <v>46174.678487951387</v>
      </c>
      <c r="L1429" s="45">
        <f>Data!T1427</f>
        <v>1.3888888888888889E-4</v>
      </c>
      <c r="M1429" s="46">
        <f>Data!U1427</f>
        <v>0.1330544650554657</v>
      </c>
      <c r="N1429" s="46" t="str">
        <f>CONCATENATE(Data!W1427," (",Data!V1427,")")</f>
        <v>Exceso Velocidad 40 Km/h (Velocidad máxima: 41 kmh)</v>
      </c>
      <c r="O1429" s="42" t="str">
        <f>IF(Data!V1427&lt;&gt;"",N1429,Data!W1427)</f>
        <v>Exceso Velocidad 40 Km/h (Velocidad máxima: 41 kmh)</v>
      </c>
      <c r="P1429" s="47" t="str">
        <f>Data!X1427</f>
        <v>Válido</v>
      </c>
    </row>
    <row r="1430" spans="1:16">
      <c r="A1430" s="41" t="str">
        <f>Data!A1428</f>
        <v>QLT528</v>
      </c>
      <c r="B1430" s="41" t="str">
        <f>Data!D1428</f>
        <v>Vehicle, Diesel, Frontera Energy Col 2679</v>
      </c>
      <c r="C1430" s="41">
        <f>Data!F1428</f>
        <v>0</v>
      </c>
      <c r="D1430" s="41">
        <f>Data!G1428</f>
        <v>0</v>
      </c>
      <c r="E1430" s="41">
        <f>Data!H1428</f>
        <v>0</v>
      </c>
      <c r="F1430" s="41">
        <f>Data!K1428</f>
        <v>0</v>
      </c>
      <c r="G1430" s="33" t="str">
        <f>Data!M1428</f>
        <v>Exceso Velocidad 40 Km/h</v>
      </c>
      <c r="H1430" s="41" t="str">
        <f>Data!P1428</f>
        <v>ECOPETROL RUBIALES- Quifa - CAÑO SUR: Vía Sin Nombre, Puerto Gaitán, Meta, Colombia</v>
      </c>
      <c r="I1430" s="42" t="str">
        <f>Data!Q1428</f>
        <v>Cliente, Vel Max 40 Km/h</v>
      </c>
      <c r="J1430" s="43">
        <f>Data!S1428</f>
        <v>46174.678626840279</v>
      </c>
      <c r="K1430" s="44">
        <f>Data!S1428</f>
        <v>46174.678626840279</v>
      </c>
      <c r="L1430" s="45">
        <f>Data!T1428</f>
        <v>3.7615750740740739E-4</v>
      </c>
      <c r="M1430" s="46">
        <f>Data!U1428</f>
        <v>0.36940476298332214</v>
      </c>
      <c r="N1430" s="46" t="str">
        <f>CONCATENATE(Data!W1428," (",Data!V1428,")")</f>
        <v>Exceso Velocidad 40 Km/h (Velocidad máxima: 41 kmh)</v>
      </c>
      <c r="O1430" s="42" t="str">
        <f>IF(Data!V1428&lt;&gt;"",N1430,Data!W1428)</f>
        <v>Exceso Velocidad 40 Km/h (Velocidad máxima: 41 kmh)</v>
      </c>
      <c r="P1430" s="47" t="str">
        <f>Data!X1428</f>
        <v>Válido</v>
      </c>
    </row>
    <row r="1431" spans="1:16">
      <c r="A1431" s="41" t="str">
        <f>Data!A1429</f>
        <v>QLT528</v>
      </c>
      <c r="B1431" s="41" t="str">
        <f>Data!D1429</f>
        <v>Vehicle, Diesel, Frontera Energy Col 2679</v>
      </c>
      <c r="C1431" s="41">
        <f>Data!F1429</f>
        <v>0</v>
      </c>
      <c r="D1431" s="41">
        <f>Data!G1429</f>
        <v>0</v>
      </c>
      <c r="E1431" s="41">
        <f>Data!H1429</f>
        <v>0</v>
      </c>
      <c r="F1431" s="41">
        <f>Data!K1429</f>
        <v>0</v>
      </c>
      <c r="G1431" s="33" t="str">
        <f>Data!M1429</f>
        <v>Exceso Velocidad 40 Km/h</v>
      </c>
      <c r="H1431" s="41" t="str">
        <f>Data!P1429</f>
        <v>ECOPETROL RUBIALES- Quifa - CAÑO SUR: Vía Sin Nombre, Puerto Gaitán, Meta, Colombia</v>
      </c>
      <c r="I1431" s="42" t="str">
        <f>Data!Q1429</f>
        <v>Cliente, Vel Max 40 Km/h</v>
      </c>
      <c r="J1431" s="43">
        <f>Data!S1429</f>
        <v>46174.679266307867</v>
      </c>
      <c r="K1431" s="44">
        <f>Data!S1429</f>
        <v>46174.679266307867</v>
      </c>
      <c r="L1431" s="45">
        <f>Data!T1429</f>
        <v>1.7071759259259259E-4</v>
      </c>
      <c r="M1431" s="46">
        <f>Data!U1429</f>
        <v>0.17093905806541443</v>
      </c>
      <c r="N1431" s="46" t="str">
        <f>CONCATENATE(Data!W1429," (",Data!V1429,")")</f>
        <v>Exceso Velocidad 40 Km/h (Velocidad máxima: 43 kmh)</v>
      </c>
      <c r="O1431" s="42" t="str">
        <f>IF(Data!V1429&lt;&gt;"",N1431,Data!W1429)</f>
        <v>Exceso Velocidad 40 Km/h (Velocidad máxima: 43 kmh)</v>
      </c>
      <c r="P1431" s="47" t="str">
        <f>Data!X1429</f>
        <v>Válido</v>
      </c>
    </row>
    <row r="1432" spans="1:16">
      <c r="A1432" s="41" t="str">
        <f>Data!A1430</f>
        <v>QLT528</v>
      </c>
      <c r="B1432" s="41" t="str">
        <f>Data!D1430</f>
        <v>Vehicle, Diesel, Frontera Energy Col 2679</v>
      </c>
      <c r="C1432" s="41">
        <f>Data!F1430</f>
        <v>0</v>
      </c>
      <c r="D1432" s="41">
        <f>Data!G1430</f>
        <v>0</v>
      </c>
      <c r="E1432" s="41">
        <f>Data!H1430</f>
        <v>0</v>
      </c>
      <c r="F1432" s="41">
        <f>Data!K1430</f>
        <v>0</v>
      </c>
      <c r="G1432" s="33" t="str">
        <f>Data!M1430</f>
        <v>Exceso Velocidad 40 Km/h</v>
      </c>
      <c r="H1432" s="41" t="str">
        <f>Data!P1430</f>
        <v>ECOPETROL RUBIALES- Quifa - CAÑO SUR: Vía Sin Nombre, Puerto Gaitán, Meta, Colombia</v>
      </c>
      <c r="I1432" s="42" t="str">
        <f>Data!Q1430</f>
        <v>Cliente, Vel Max 40 Km/h</v>
      </c>
      <c r="J1432" s="43">
        <f>Data!S1430</f>
        <v>46174.679772673611</v>
      </c>
      <c r="K1432" s="44">
        <f>Data!S1430</f>
        <v>46174.679772673611</v>
      </c>
      <c r="L1432" s="45">
        <f>Data!T1430</f>
        <v>1.7361111111111112E-4</v>
      </c>
      <c r="M1432" s="46">
        <f>Data!U1430</f>
        <v>0.16384994983673096</v>
      </c>
      <c r="N1432" s="46" t="str">
        <f>CONCATENATE(Data!W1430," (",Data!V1430,")")</f>
        <v>Exceso Velocidad 40 Km/h (Velocidad máxima: 41 kmh)</v>
      </c>
      <c r="O1432" s="42" t="str">
        <f>IF(Data!V1430&lt;&gt;"",N1432,Data!W1430)</f>
        <v>Exceso Velocidad 40 Km/h (Velocidad máxima: 41 kmh)</v>
      </c>
      <c r="P1432" s="47" t="str">
        <f>Data!X1430</f>
        <v>Válido</v>
      </c>
    </row>
    <row r="1433" spans="1:16">
      <c r="A1433" s="41" t="str">
        <f>Data!A1431</f>
        <v>QLT528</v>
      </c>
      <c r="B1433" s="41" t="str">
        <f>Data!D1431</f>
        <v>Vehicle, Diesel, Frontera Energy Col 2679</v>
      </c>
      <c r="C1433" s="41">
        <f>Data!F1431</f>
        <v>0</v>
      </c>
      <c r="D1433" s="41">
        <f>Data!G1431</f>
        <v>0</v>
      </c>
      <c r="E1433" s="41">
        <f>Data!H1431</f>
        <v>0</v>
      </c>
      <c r="F1433" s="41">
        <f>Data!K1431</f>
        <v>0</v>
      </c>
      <c r="G1433" s="33" t="str">
        <f>Data!M1431</f>
        <v>Exceso Velocidad 40 Km/h</v>
      </c>
      <c r="H1433" s="41" t="str">
        <f>Data!P1431</f>
        <v>ECOPETROL RUBIALES- Quifa - CAÑO SUR: Vía Sin Nombre, Puerto Gaitán, Meta, Colombia</v>
      </c>
      <c r="I1433" s="42" t="str">
        <f>Data!Q1431</f>
        <v>Cliente, Vel Max 40 Km/h</v>
      </c>
      <c r="J1433" s="43">
        <f>Data!S1431</f>
        <v>46174.679946284719</v>
      </c>
      <c r="K1433" s="44">
        <f>Data!S1431</f>
        <v>46174.679946284719</v>
      </c>
      <c r="L1433" s="45">
        <f>Data!T1431</f>
        <v>1.6203703703703703E-4</v>
      </c>
      <c r="M1433" s="46">
        <f>Data!U1431</f>
        <v>0.15087372064590454</v>
      </c>
      <c r="N1433" s="46" t="str">
        <f>CONCATENATE(Data!W1431," (",Data!V1431,")")</f>
        <v>Exceso Velocidad 40 Km/h (Velocidad máxima: 41 kmh)</v>
      </c>
      <c r="O1433" s="42" t="str">
        <f>IF(Data!V1431&lt;&gt;"",N1433,Data!W1431)</f>
        <v>Exceso Velocidad 40 Km/h (Velocidad máxima: 41 kmh)</v>
      </c>
      <c r="P1433" s="47" t="str">
        <f>Data!X1431</f>
        <v>Válido</v>
      </c>
    </row>
    <row r="1434" spans="1:16">
      <c r="A1434" s="41" t="str">
        <f>Data!A1432</f>
        <v>QLT528</v>
      </c>
      <c r="B1434" s="41" t="str">
        <f>Data!D1432</f>
        <v>Vehicle, Diesel, Frontera Energy Col 2679</v>
      </c>
      <c r="C1434" s="41">
        <f>Data!F1432</f>
        <v>0</v>
      </c>
      <c r="D1434" s="41">
        <f>Data!G1432</f>
        <v>0</v>
      </c>
      <c r="E1434" s="41">
        <f>Data!H1432</f>
        <v>0</v>
      </c>
      <c r="F1434" s="41">
        <f>Data!K1432</f>
        <v>0</v>
      </c>
      <c r="G1434" s="33" t="str">
        <f>Data!M1432</f>
        <v>Exceso Velocidad 40 Km/h</v>
      </c>
      <c r="H1434" s="41" t="str">
        <f>Data!P1432</f>
        <v>ECOPETROL RUBIALES- Quifa - CAÑO SUR: Via QF-149, Puerto Gaitán, Meta, Colombia</v>
      </c>
      <c r="I1434" s="42" t="str">
        <f>Data!Q1432</f>
        <v>Cliente, Vel Max 40 Km/h</v>
      </c>
      <c r="J1434" s="43">
        <f>Data!S1432</f>
        <v>46174.680640729166</v>
      </c>
      <c r="K1434" s="44">
        <f>Data!S1432</f>
        <v>46174.680640729166</v>
      </c>
      <c r="L1434" s="45">
        <f>Data!T1432</f>
        <v>4.3981481481481481E-4</v>
      </c>
      <c r="M1434" s="46">
        <f>Data!U1432</f>
        <v>0.44187936186790466</v>
      </c>
      <c r="N1434" s="46" t="str">
        <f>CONCATENATE(Data!W1432," (",Data!V1432,")")</f>
        <v>Exceso Velocidad 40 Km/h (Velocidad máxima: 44 kmh)</v>
      </c>
      <c r="O1434" s="42" t="str">
        <f>IF(Data!V1432&lt;&gt;"",N1434,Data!W1432)</f>
        <v>Exceso Velocidad 40 Km/h (Velocidad máxima: 44 kmh)</v>
      </c>
      <c r="P1434" s="47" t="str">
        <f>Data!X1432</f>
        <v>Válido</v>
      </c>
    </row>
    <row r="1435" spans="1:16">
      <c r="A1435" s="41" t="str">
        <f>Data!A1433</f>
        <v>QLT528</v>
      </c>
      <c r="B1435" s="41" t="str">
        <f>Data!D1433</f>
        <v>Vehicle, Diesel, Frontera Energy Col 2679</v>
      </c>
      <c r="C1435" s="41">
        <f>Data!F1433</f>
        <v>0</v>
      </c>
      <c r="D1435" s="41">
        <f>Data!G1433</f>
        <v>0</v>
      </c>
      <c r="E1435" s="41">
        <f>Data!H1433</f>
        <v>0</v>
      </c>
      <c r="F1435" s="41">
        <f>Data!K1433</f>
        <v>0</v>
      </c>
      <c r="G1435" s="33" t="str">
        <f>Data!M1433</f>
        <v>Exceso Velocidad 40 Km/h</v>
      </c>
      <c r="H1435" s="41" t="str">
        <f>Data!P1433</f>
        <v>ECOPETROL RUBIALES- Quifa - CAÑO SUR: Via QF-149, Puerto Gaitán, Meta, Colombia</v>
      </c>
      <c r="I1435" s="42" t="str">
        <f>Data!Q1433</f>
        <v>Cliente, Vel Max 40 Km/h</v>
      </c>
      <c r="J1435" s="43">
        <f>Data!S1433</f>
        <v>46174.681219432867</v>
      </c>
      <c r="K1435" s="44">
        <f>Data!S1433</f>
        <v>46174.681219432867</v>
      </c>
      <c r="L1435" s="45">
        <f>Data!T1433</f>
        <v>2.5462962962962961E-4</v>
      </c>
      <c r="M1435" s="46">
        <f>Data!U1433</f>
        <v>0.25263658165931702</v>
      </c>
      <c r="N1435" s="46" t="str">
        <f>CONCATENATE(Data!W1433," (",Data!V1433,")")</f>
        <v>Exceso Velocidad 40 Km/h (Velocidad máxima: 42 kmh)</v>
      </c>
      <c r="O1435" s="42" t="str">
        <f>IF(Data!V1433&lt;&gt;"",N1435,Data!W1433)</f>
        <v>Exceso Velocidad 40 Km/h (Velocidad máxima: 42 kmh)</v>
      </c>
      <c r="P1435" s="47" t="str">
        <f>Data!X1433</f>
        <v>Válido</v>
      </c>
    </row>
    <row r="1436" spans="1:16">
      <c r="A1436" s="41" t="str">
        <f>Data!A1434</f>
        <v>QLT528</v>
      </c>
      <c r="B1436" s="41" t="str">
        <f>Data!D1434</f>
        <v>Vehicle, Diesel, Frontera Energy Col 2679</v>
      </c>
      <c r="C1436" s="41">
        <f>Data!F1434</f>
        <v>0</v>
      </c>
      <c r="D1436" s="41">
        <f>Data!G1434</f>
        <v>0</v>
      </c>
      <c r="E1436" s="41">
        <f>Data!H1434</f>
        <v>0</v>
      </c>
      <c r="F1436" s="41">
        <f>Data!K1434</f>
        <v>0</v>
      </c>
      <c r="G1436" s="33" t="str">
        <f>Data!M1434</f>
        <v>Exceso Velocidad 40 Km/h</v>
      </c>
      <c r="H1436" s="41" t="str">
        <f>Data!P1434</f>
        <v>ECOPETROL RUBIALES- Quifa - CAÑO SUR: Vía Sin Nombre, Puerto Gaitán, Meta, Colombia</v>
      </c>
      <c r="I1436" s="42" t="str">
        <f>Data!Q1434</f>
        <v>Cliente, Vel Max 40 Km/h</v>
      </c>
      <c r="J1436" s="43">
        <f>Data!S1434</f>
        <v>46174.681474062498</v>
      </c>
      <c r="K1436" s="44">
        <f>Data!S1434</f>
        <v>46174.681474062498</v>
      </c>
      <c r="L1436" s="45">
        <f>Data!T1434</f>
        <v>1.7362268518518519E-4</v>
      </c>
      <c r="M1436" s="46">
        <f>Data!U1434</f>
        <v>0.16957634687423706</v>
      </c>
      <c r="N1436" s="46" t="str">
        <f>CONCATENATE(Data!W1434," (",Data!V1434,")")</f>
        <v>Exceso Velocidad 40 Km/h (Velocidad máxima: 42 kmh)</v>
      </c>
      <c r="O1436" s="42" t="str">
        <f>IF(Data!V1434&lt;&gt;"",N1436,Data!W1434)</f>
        <v>Exceso Velocidad 40 Km/h (Velocidad máxima: 42 kmh)</v>
      </c>
      <c r="P1436" s="47" t="str">
        <f>Data!X1434</f>
        <v>Válido</v>
      </c>
    </row>
    <row r="1437" spans="1:16">
      <c r="A1437" s="41" t="str">
        <f>Data!A1435</f>
        <v>QLT528</v>
      </c>
      <c r="B1437" s="41" t="str">
        <f>Data!D1435</f>
        <v>Vehicle, Diesel, Frontera Energy Col 2679</v>
      </c>
      <c r="C1437" s="41">
        <f>Data!F1435</f>
        <v>0</v>
      </c>
      <c r="D1437" s="41">
        <f>Data!G1435</f>
        <v>0</v>
      </c>
      <c r="E1437" s="41">
        <f>Data!H1435</f>
        <v>0</v>
      </c>
      <c r="F1437" s="41">
        <f>Data!K1435</f>
        <v>0</v>
      </c>
      <c r="G1437" s="33" t="str">
        <f>Data!M1435</f>
        <v>Exceso Velocidad 40 Km/h</v>
      </c>
      <c r="H1437" s="41" t="str">
        <f>Data!P1435</f>
        <v>ECOPETROL RUBIALES- Quifa - CAÑO SUR: Vía Sin Nombre, Puerto Gaitán, Meta, Colombia</v>
      </c>
      <c r="I1437" s="42" t="str">
        <f>Data!Q1435</f>
        <v>Cliente, Vel Max 40 Km/h</v>
      </c>
      <c r="J1437" s="43">
        <f>Data!S1435</f>
        <v>46174.681711342593</v>
      </c>
      <c r="K1437" s="44">
        <f>Data!S1435</f>
        <v>46174.681711342593</v>
      </c>
      <c r="L1437" s="45">
        <f>Data!T1435</f>
        <v>7.5219907407407405E-5</v>
      </c>
      <c r="M1437" s="46">
        <f>Data!U1435</f>
        <v>6.9899752736091614E-2</v>
      </c>
      <c r="N1437" s="46" t="str">
        <f>CONCATENATE(Data!W1435," (",Data!V1435,")")</f>
        <v>Exceso Velocidad 40 Km/h (Velocidad máxima: 41 kmh)</v>
      </c>
      <c r="O1437" s="42" t="str">
        <f>IF(Data!V1435&lt;&gt;"",N1437,Data!W1435)</f>
        <v>Exceso Velocidad 40 Km/h (Velocidad máxima: 41 kmh)</v>
      </c>
      <c r="P1437" s="47" t="str">
        <f>Data!X1435</f>
        <v>Válido</v>
      </c>
    </row>
    <row r="1438" spans="1:16">
      <c r="A1438" s="41" t="str">
        <f>Data!A1436</f>
        <v>QLT528</v>
      </c>
      <c r="B1438" s="41" t="str">
        <f>Data!D1436</f>
        <v>Vehicle, Diesel, Frontera Energy Col 2679</v>
      </c>
      <c r="C1438" s="41">
        <f>Data!F1436</f>
        <v>0</v>
      </c>
      <c r="D1438" s="41">
        <f>Data!G1436</f>
        <v>0</v>
      </c>
      <c r="E1438" s="41">
        <f>Data!H1436</f>
        <v>0</v>
      </c>
      <c r="F1438" s="41">
        <f>Data!K1436</f>
        <v>0</v>
      </c>
      <c r="G1438" s="33" t="str">
        <f>Data!M1436</f>
        <v>Exceso Velocidad 40 Km/h</v>
      </c>
      <c r="H1438" s="41" t="str">
        <f>Data!P1436</f>
        <v>ECOPETROL RUBIALES- Quifa - CAÑO SUR: Vía Sin Nombre, Puerto Gaitán, Meta, Colombia</v>
      </c>
      <c r="I1438" s="42" t="str">
        <f>Data!Q1436</f>
        <v>Cliente, Vel Max 40 Km/h</v>
      </c>
      <c r="J1438" s="43">
        <f>Data!S1436</f>
        <v>46174.681786562498</v>
      </c>
      <c r="K1438" s="44">
        <f>Data!S1436</f>
        <v>46174.681786562498</v>
      </c>
      <c r="L1438" s="45">
        <f>Data!T1436</f>
        <v>1.7824074074074075E-4</v>
      </c>
      <c r="M1438" s="46">
        <f>Data!U1436</f>
        <v>0.17888689041137695</v>
      </c>
      <c r="N1438" s="46" t="str">
        <f>CONCATENATE(Data!W1436," (",Data!V1436,")")</f>
        <v>Exceso Velocidad 40 Km/h (Velocidad máxima: 43 kmh)</v>
      </c>
      <c r="O1438" s="42" t="str">
        <f>IF(Data!V1436&lt;&gt;"",N1438,Data!W1436)</f>
        <v>Exceso Velocidad 40 Km/h (Velocidad máxima: 43 kmh)</v>
      </c>
      <c r="P1438" s="47" t="str">
        <f>Data!X1436</f>
        <v>Válido</v>
      </c>
    </row>
    <row r="1439" spans="1:16">
      <c r="A1439" s="41" t="str">
        <f>Data!A1437</f>
        <v>QLT528</v>
      </c>
      <c r="B1439" s="41" t="str">
        <f>Data!D1437</f>
        <v>Vehicle, Diesel, Frontera Energy Col 2679</v>
      </c>
      <c r="C1439" s="41">
        <f>Data!F1437</f>
        <v>0</v>
      </c>
      <c r="D1439" s="41">
        <f>Data!G1437</f>
        <v>0</v>
      </c>
      <c r="E1439" s="41">
        <f>Data!H1437</f>
        <v>0</v>
      </c>
      <c r="F1439" s="41">
        <f>Data!K1437</f>
        <v>0</v>
      </c>
      <c r="G1439" s="33" t="str">
        <f>Data!M1437</f>
        <v>Exceso Velocidad 40 Km/h</v>
      </c>
      <c r="H1439" s="41" t="str">
        <f>Data!P1437</f>
        <v>ECOPETROL RUBIALES- Quifa - CAÑO SUR: Vía Sin Nombre, Puerto Gaitán, Meta, Colombia</v>
      </c>
      <c r="I1439" s="42" t="str">
        <f>Data!Q1437</f>
        <v>Cliente, Vel Max 40 Km/h</v>
      </c>
      <c r="J1439" s="43">
        <f>Data!S1437</f>
        <v>46174.682353703705</v>
      </c>
      <c r="K1439" s="44">
        <f>Data!S1437</f>
        <v>46174.682353703705</v>
      </c>
      <c r="L1439" s="45">
        <f>Data!T1437</f>
        <v>2.8935185185185184E-4</v>
      </c>
      <c r="M1439" s="46">
        <f>Data!U1437</f>
        <v>0.2764066755771637</v>
      </c>
      <c r="N1439" s="46" t="str">
        <f>CONCATENATE(Data!W1437," (",Data!V1437,")")</f>
        <v>Exceso Velocidad 40 Km/h (Velocidad máxima: 41 kmh)</v>
      </c>
      <c r="O1439" s="42" t="str">
        <f>IF(Data!V1437&lt;&gt;"",N1439,Data!W1437)</f>
        <v>Exceso Velocidad 40 Km/h (Velocidad máxima: 41 kmh)</v>
      </c>
      <c r="P1439" s="47" t="str">
        <f>Data!X1437</f>
        <v>Válido</v>
      </c>
    </row>
    <row r="1440" spans="1:16">
      <c r="A1440" s="41" t="str">
        <f>Data!A1438</f>
        <v>QLT528</v>
      </c>
      <c r="B1440" s="41" t="str">
        <f>Data!D1438</f>
        <v>Vehicle, Diesel, Frontera Energy Col 2679</v>
      </c>
      <c r="C1440" s="41">
        <f>Data!F1438</f>
        <v>0</v>
      </c>
      <c r="D1440" s="41">
        <f>Data!G1438</f>
        <v>0</v>
      </c>
      <c r="E1440" s="41">
        <f>Data!H1438</f>
        <v>0</v>
      </c>
      <c r="F1440" s="41">
        <f>Data!K1438</f>
        <v>0</v>
      </c>
      <c r="G1440" s="33" t="str">
        <f>Data!M1438</f>
        <v>Exceso Velocidad 40 Km/h</v>
      </c>
      <c r="H1440" s="41" t="str">
        <f>Data!P1438</f>
        <v>ECOPETROL RUBIALES- Quifa - CAÑO SUR: Vía Sin Nombre, Puerto Gaitán, Meta, Colombia</v>
      </c>
      <c r="I1440" s="42" t="str">
        <f>Data!Q1438</f>
        <v>Cliente, Vel Max 40 Km/h</v>
      </c>
      <c r="J1440" s="43">
        <f>Data!S1438</f>
        <v>46174.683071296298</v>
      </c>
      <c r="K1440" s="44">
        <f>Data!S1438</f>
        <v>46174.683071296298</v>
      </c>
      <c r="L1440" s="45">
        <f>Data!T1438</f>
        <v>1.7359953703703705E-4</v>
      </c>
      <c r="M1440" s="46">
        <f>Data!U1438</f>
        <v>0.17042477428913116</v>
      </c>
      <c r="N1440" s="46" t="str">
        <f>CONCATENATE(Data!W1438," (",Data!V1438,")")</f>
        <v>Exceso Velocidad 40 Km/h (Velocidad máxima: 41 kmh)</v>
      </c>
      <c r="O1440" s="42" t="str">
        <f>IF(Data!V1438&lt;&gt;"",N1440,Data!W1438)</f>
        <v>Exceso Velocidad 40 Km/h (Velocidad máxima: 41 kmh)</v>
      </c>
      <c r="P1440" s="47" t="str">
        <f>Data!X1438</f>
        <v>Válido</v>
      </c>
    </row>
    <row r="1441" spans="1:16">
      <c r="A1441" s="41" t="str">
        <f>Data!A1439</f>
        <v>QLT528</v>
      </c>
      <c r="B1441" s="41" t="str">
        <f>Data!D1439</f>
        <v>Vehicle, Diesel, Frontera Energy Col 2679</v>
      </c>
      <c r="C1441" s="41">
        <f>Data!F1439</f>
        <v>0</v>
      </c>
      <c r="D1441" s="41">
        <f>Data!G1439</f>
        <v>0</v>
      </c>
      <c r="E1441" s="41">
        <f>Data!H1439</f>
        <v>0</v>
      </c>
      <c r="F1441" s="41">
        <f>Data!K1439</f>
        <v>0</v>
      </c>
      <c r="G1441" s="33" t="str">
        <f>Data!M1439</f>
        <v>Exceso Velocidad 40 Km/h</v>
      </c>
      <c r="H1441" s="41" t="str">
        <f>Data!P1439</f>
        <v>ECOPETROL RUBIALES- Quifa - CAÑO SUR: Vía Sin Nombre, Puerto Gaitán, Meta, Colombia</v>
      </c>
      <c r="I1441" s="42" t="str">
        <f>Data!Q1439</f>
        <v>Cliente, Vel Max 40 Km/h</v>
      </c>
      <c r="J1441" s="43">
        <f>Data!S1439</f>
        <v>46174.68324489583</v>
      </c>
      <c r="K1441" s="44">
        <f>Data!S1439</f>
        <v>46174.68324489583</v>
      </c>
      <c r="L1441" s="45">
        <f>Data!T1439</f>
        <v>2.0833333333333335E-4</v>
      </c>
      <c r="M1441" s="46">
        <f>Data!U1439</f>
        <v>0.20800374448299408</v>
      </c>
      <c r="N1441" s="46" t="str">
        <f>CONCATENATE(Data!W1439," (",Data!V1439,")")</f>
        <v>Exceso Velocidad 40 Km/h (Velocidad máxima: 42 kmh)</v>
      </c>
      <c r="O1441" s="42" t="str">
        <f>IF(Data!V1439&lt;&gt;"",N1441,Data!W1439)</f>
        <v>Exceso Velocidad 40 Km/h (Velocidad máxima: 42 kmh)</v>
      </c>
      <c r="P1441" s="47" t="str">
        <f>Data!X1439</f>
        <v>Válido</v>
      </c>
    </row>
    <row r="1442" spans="1:16">
      <c r="A1442" s="41" t="str">
        <f>Data!A1440</f>
        <v>QLT528</v>
      </c>
      <c r="B1442" s="41" t="str">
        <f>Data!D1440</f>
        <v>Vehicle, Diesel, Frontera Energy Col 2679</v>
      </c>
      <c r="C1442" s="41">
        <f>Data!F1440</f>
        <v>0</v>
      </c>
      <c r="D1442" s="41">
        <f>Data!G1440</f>
        <v>0</v>
      </c>
      <c r="E1442" s="41">
        <f>Data!H1440</f>
        <v>0</v>
      </c>
      <c r="F1442" s="41">
        <f>Data!K1440</f>
        <v>0</v>
      </c>
      <c r="G1442" s="33" t="str">
        <f>Data!M1440</f>
        <v>Exceso Velocidad 40 Km/h</v>
      </c>
      <c r="H1442" s="41" t="str">
        <f>Data!P1440</f>
        <v>ECOPETROL RUBIALES- Quifa - CAÑO SUR: Vía Sin Nombre, Puerto Gaitán, Meta, Colombia</v>
      </c>
      <c r="I1442" s="42" t="str">
        <f>Data!Q1440</f>
        <v>Cliente, Vel Max 40 Km/h</v>
      </c>
      <c r="J1442" s="43">
        <f>Data!S1440</f>
        <v>46174.683453229169</v>
      </c>
      <c r="K1442" s="44">
        <f>Data!S1440</f>
        <v>46174.683453229169</v>
      </c>
      <c r="L1442" s="45">
        <f>Data!T1440</f>
        <v>3.0092592592592595E-4</v>
      </c>
      <c r="M1442" s="46">
        <f>Data!U1440</f>
        <v>0.30238938331604004</v>
      </c>
      <c r="N1442" s="46" t="str">
        <f>CONCATENATE(Data!W1440," (",Data!V1440,")")</f>
        <v>Exceso Velocidad 40 Km/h (Velocidad máxima: 43 kmh)</v>
      </c>
      <c r="O1442" s="42" t="str">
        <f>IF(Data!V1440&lt;&gt;"",N1442,Data!W1440)</f>
        <v>Exceso Velocidad 40 Km/h (Velocidad máxima: 43 kmh)</v>
      </c>
      <c r="P1442" s="47" t="str">
        <f>Data!X1440</f>
        <v>Válido</v>
      </c>
    </row>
    <row r="1443" spans="1:16">
      <c r="A1443" s="41" t="str">
        <f>Data!A1441</f>
        <v>QLT528</v>
      </c>
      <c r="B1443" s="41" t="str">
        <f>Data!D1441</f>
        <v>Vehicle, Diesel, Frontera Energy Col 2679</v>
      </c>
      <c r="C1443" s="41">
        <f>Data!F1441</f>
        <v>0</v>
      </c>
      <c r="D1443" s="41">
        <f>Data!G1441</f>
        <v>0</v>
      </c>
      <c r="E1443" s="41">
        <f>Data!H1441</f>
        <v>0</v>
      </c>
      <c r="F1443" s="41">
        <f>Data!K1441</f>
        <v>0</v>
      </c>
      <c r="G1443" s="33" t="str">
        <f>Data!M1441</f>
        <v>Exceso Velocidad 40 Km/h</v>
      </c>
      <c r="H1443" s="41" t="str">
        <f>Data!P1441</f>
        <v>ECOPETROL RUBIALES- Quifa - CAÑO SUR: Vía Sin Nombre, Puerto Gaitán, Meta, Colombia</v>
      </c>
      <c r="I1443" s="42" t="str">
        <f>Data!Q1441</f>
        <v>Cliente, Vel Max 40 Km/h</v>
      </c>
      <c r="J1443" s="43">
        <f>Data!S1441</f>
        <v>46174.684542847222</v>
      </c>
      <c r="K1443" s="44">
        <f>Data!S1441</f>
        <v>46174.684542847222</v>
      </c>
      <c r="L1443" s="45">
        <f>Data!T1441</f>
        <v>1.7195601851851852E-4</v>
      </c>
      <c r="M1443" s="46">
        <f>Data!U1441</f>
        <v>0.16685807704925537</v>
      </c>
      <c r="N1443" s="46" t="str">
        <f>CONCATENATE(Data!W1441," (",Data!V1441,")")</f>
        <v>Exceso Velocidad 40 Km/h (Velocidad máxima: 41 kmh)</v>
      </c>
      <c r="O1443" s="42" t="str">
        <f>IF(Data!V1441&lt;&gt;"",N1443,Data!W1441)</f>
        <v>Exceso Velocidad 40 Km/h (Velocidad máxima: 41 kmh)</v>
      </c>
      <c r="P1443" s="47" t="str">
        <f>Data!X1441</f>
        <v>Válido</v>
      </c>
    </row>
    <row r="1444" spans="1:16">
      <c r="A1444" s="41" t="str">
        <f>Data!A1442</f>
        <v>QLT528</v>
      </c>
      <c r="B1444" s="41" t="str">
        <f>Data!D1442</f>
        <v>Vehicle, Diesel, Frontera Energy Col 2679</v>
      </c>
      <c r="C1444" s="41">
        <f>Data!F1442</f>
        <v>0</v>
      </c>
      <c r="D1444" s="41">
        <f>Data!G1442</f>
        <v>0</v>
      </c>
      <c r="E1444" s="41">
        <f>Data!H1442</f>
        <v>0</v>
      </c>
      <c r="F1444" s="41">
        <f>Data!K1442</f>
        <v>0</v>
      </c>
      <c r="G1444" s="33" t="str">
        <f>Data!M1442</f>
        <v>Tiempo en ralentí</v>
      </c>
      <c r="H1444" s="41" t="str">
        <f>Data!P1442</f>
        <v>ECOPETROL RUBIALES- Quifa - CAÑO SUR, Puerto Triunfo - Estacion Policia: Km 129, Puerto Gaitan - Rubiales, Puerto Gaitán, Meta, Colombia</v>
      </c>
      <c r="I1444" s="42" t="str">
        <f>Data!Q1442</f>
        <v>Cliente, Vel Max 40 Km/h, Vel Max 30 Km/h</v>
      </c>
      <c r="J1444" s="43">
        <f>Data!S1442</f>
        <v>46174.686879039349</v>
      </c>
      <c r="K1444" s="44">
        <f>Data!S1442</f>
        <v>46174.686879039349</v>
      </c>
      <c r="L1444" s="45">
        <f>Data!T1442</f>
        <v>1.3738437500000001E-2</v>
      </c>
      <c r="M1444" s="46">
        <f>Data!U1442</f>
        <v>1.9326603040099144E-2</v>
      </c>
      <c r="N1444" s="46" t="str">
        <f>CONCATENATE(Data!W1442," (",Data!V1442,")")</f>
        <v>Tiempo en ralentí (Ignición: 1.00)</v>
      </c>
      <c r="O1444" s="42" t="str">
        <f>IF(Data!V1442&lt;&gt;"",N1444,Data!W1442)</f>
        <v>Tiempo en ralentí (Ignición: 1.00)</v>
      </c>
      <c r="P1444" s="47" t="str">
        <f>Data!X1442</f>
        <v>Válido</v>
      </c>
    </row>
    <row r="1445" spans="1:16">
      <c r="A1445" s="41" t="str">
        <f>Data!A1443</f>
        <v>QLT528</v>
      </c>
      <c r="B1445" s="41" t="str">
        <f>Data!D1443</f>
        <v>Vehicle, Diesel, Frontera Energy Col 2679</v>
      </c>
      <c r="C1445" s="41">
        <f>Data!F1443</f>
        <v>0</v>
      </c>
      <c r="D1445" s="41">
        <f>Data!G1443</f>
        <v>0</v>
      </c>
      <c r="E1445" s="41">
        <f>Data!H1443</f>
        <v>0</v>
      </c>
      <c r="F1445" s="41">
        <f>Data!K1443</f>
        <v>0</v>
      </c>
      <c r="G1445" s="33" t="str">
        <f>Data!M1443</f>
        <v>Exceso Velocidad 30 Km/h</v>
      </c>
      <c r="H1445" s="41" t="str">
        <f>Data!P1443</f>
        <v>ECOPETROL RUBIALES- Quifa - CAÑO SUR, Puerto Triunfo - Estacion Policia: vereda puerto triunfo Km 129+300 vía rubiales, Puerto Gaitán, Meta, Colombia</v>
      </c>
      <c r="I1445" s="42" t="str">
        <f>Data!Q1443</f>
        <v>Cliente, Vel Max 40 Km/h, Vel Max 30 Km/h</v>
      </c>
      <c r="J1445" s="43">
        <f>Data!S1443</f>
        <v>46174.701499409719</v>
      </c>
      <c r="K1445" s="44">
        <f>Data!S1443</f>
        <v>46174.701499409719</v>
      </c>
      <c r="L1445" s="45">
        <f>Data!T1443</f>
        <v>1.7295138888888888E-4</v>
      </c>
      <c r="M1445" s="46">
        <f>Data!U1443</f>
        <v>0.13395680487155914</v>
      </c>
      <c r="N1445" s="46" t="str">
        <f>CONCATENATE(Data!W1443," (",Data!V1443,")")</f>
        <v>Exceso Velocidad 30 Km/h (Velocidad máxima: 33 kmh)</v>
      </c>
      <c r="O1445" s="42" t="str">
        <f>IF(Data!V1443&lt;&gt;"",N1445,Data!W1443)</f>
        <v>Exceso Velocidad 30 Km/h (Velocidad máxima: 33 kmh)</v>
      </c>
      <c r="P1445" s="47" t="str">
        <f>Data!X1443</f>
        <v>Válido</v>
      </c>
    </row>
    <row r="1446" spans="1:16">
      <c r="A1446" s="41" t="str">
        <f>Data!A1444</f>
        <v>QLT528</v>
      </c>
      <c r="B1446" s="41" t="str">
        <f>Data!D1444</f>
        <v>Vehicle, Diesel, Frontera Energy Col 2679</v>
      </c>
      <c r="C1446" s="41">
        <f>Data!F1444</f>
        <v>0</v>
      </c>
      <c r="D1446" s="41">
        <f>Data!G1444</f>
        <v>0</v>
      </c>
      <c r="E1446" s="41">
        <f>Data!H1444</f>
        <v>0</v>
      </c>
      <c r="F1446" s="41">
        <f>Data!K1444</f>
        <v>0</v>
      </c>
      <c r="G1446" s="33" t="str">
        <f>Data!M1444</f>
        <v>Exceso Velocidad 30 Km/h</v>
      </c>
      <c r="H1446" s="41" t="str">
        <f>Data!P1444</f>
        <v>ECOPETROL RUBIALES- Quifa - CAÑO SUR, Puerto Triunfo - Estacion Policia: Puerto Gaitan - Rubiales, Puerto Gaitán, Meta, Colombia</v>
      </c>
      <c r="I1446" s="42" t="str">
        <f>Data!Q1444</f>
        <v>Cliente, Vel Max 40 Km/h, Vel Max 30 Km/h</v>
      </c>
      <c r="J1446" s="43">
        <f>Data!S1444</f>
        <v>46174.70212209491</v>
      </c>
      <c r="K1446" s="44">
        <f>Data!S1444</f>
        <v>46174.70212209491</v>
      </c>
      <c r="L1446" s="45">
        <f>Data!T1444</f>
        <v>6.9560185185185184E-5</v>
      </c>
      <c r="M1446" s="46">
        <f>Data!U1444</f>
        <v>5.4745081812143326E-2</v>
      </c>
      <c r="N1446" s="46" t="str">
        <f>CONCATENATE(Data!W1444," (",Data!V1444,")")</f>
        <v>Exceso Velocidad 30 Km/h (Velocidad máxima: 36 kmh)</v>
      </c>
      <c r="O1446" s="42" t="str">
        <f>IF(Data!V1444&lt;&gt;"",N1446,Data!W1444)</f>
        <v>Exceso Velocidad 30 Km/h (Velocidad máxima: 36 kmh)</v>
      </c>
      <c r="P1446" s="47" t="str">
        <f>Data!X1444</f>
        <v>Válido</v>
      </c>
    </row>
    <row r="1447" spans="1:16">
      <c r="A1447" s="41" t="str">
        <f>Data!A1445</f>
        <v>QLT528</v>
      </c>
      <c r="B1447" s="41" t="str">
        <f>Data!D1445</f>
        <v>Vehicle, Diesel, Frontera Energy Col 2679</v>
      </c>
      <c r="C1447" s="41">
        <f>Data!F1445</f>
        <v>0</v>
      </c>
      <c r="D1447" s="41">
        <f>Data!G1445</f>
        <v>0</v>
      </c>
      <c r="E1447" s="41">
        <f>Data!H1445</f>
        <v>0</v>
      </c>
      <c r="F1447" s="41">
        <f>Data!K1445</f>
        <v>0</v>
      </c>
      <c r="G1447" s="33" t="str">
        <f>Data!M1445</f>
        <v>Exceso Velocidad 30 Km/h</v>
      </c>
      <c r="H1447" s="41" t="str">
        <f>Data!P1445</f>
        <v>ECOPETROL RUBIALES- Quifa - CAÑO SUR, Puerto Triunfo - Estacion Policia: Puerto Gaitan - Rubiales, Puerto Gaitán, Meta, Colombia</v>
      </c>
      <c r="I1447" s="42" t="str">
        <f>Data!Q1445</f>
        <v>Cliente, Vel Max 40 Km/h, Vel Max 30 Km/h</v>
      </c>
      <c r="J1447" s="43">
        <f>Data!S1445</f>
        <v>46174.702211886572</v>
      </c>
      <c r="K1447" s="44">
        <f>Data!S1445</f>
        <v>46174.702211886572</v>
      </c>
      <c r="L1447" s="45">
        <f>Data!T1445</f>
        <v>1.9377314814814816E-4</v>
      </c>
      <c r="M1447" s="46">
        <f>Data!U1445</f>
        <v>0.17781415581703186</v>
      </c>
      <c r="N1447" s="46" t="str">
        <f>CONCATENATE(Data!W1445," (",Data!V1445,")")</f>
        <v>Exceso Velocidad 30 Km/h (Velocidad máxima: 41 kmh)</v>
      </c>
      <c r="O1447" s="42" t="str">
        <f>IF(Data!V1445&lt;&gt;"",N1447,Data!W1445)</f>
        <v>Exceso Velocidad 30 Km/h (Velocidad máxima: 41 kmh)</v>
      </c>
      <c r="P1447" s="47" t="str">
        <f>Data!X1445</f>
        <v>Válido</v>
      </c>
    </row>
    <row r="1448" spans="1:16">
      <c r="A1448" s="41" t="str">
        <f>Data!A1446</f>
        <v>QLT528</v>
      </c>
      <c r="B1448" s="41" t="str">
        <f>Data!D1446</f>
        <v>Vehicle, Diesel, Frontera Energy Col 2679</v>
      </c>
      <c r="C1448" s="41">
        <f>Data!F1446</f>
        <v>0</v>
      </c>
      <c r="D1448" s="41">
        <f>Data!G1446</f>
        <v>0</v>
      </c>
      <c r="E1448" s="41">
        <f>Data!H1446</f>
        <v>0</v>
      </c>
      <c r="F1448" s="41">
        <f>Data!K1446</f>
        <v>0</v>
      </c>
      <c r="G1448" s="33" t="str">
        <f>Data!M1446</f>
        <v>Exceso Velocidad 40 Km/h</v>
      </c>
      <c r="H1448" s="41" t="str">
        <f>Data!P1446</f>
        <v>ECOPETROL RUBIALES- Quifa - CAÑO SUR, Puerto Triunfo - Estacion Policia: Puerto Gaitan - Rubiales, Puerto Gaitán, Meta, Colombia</v>
      </c>
      <c r="I1448" s="42" t="str">
        <f>Data!Q1446</f>
        <v>Cliente, Vel Max 40 Km/h, Vel Max 30 Km/h</v>
      </c>
      <c r="J1448" s="43">
        <f>Data!S1446</f>
        <v>46174.702261041668</v>
      </c>
      <c r="K1448" s="44">
        <f>Data!S1446</f>
        <v>46174.702261041668</v>
      </c>
      <c r="L1448" s="45">
        <f>Data!T1446</f>
        <v>4.3437499999999999E-5</v>
      </c>
      <c r="M1448" s="46">
        <f>Data!U1446</f>
        <v>4.2509675025939941E-2</v>
      </c>
      <c r="N1448" s="46" t="str">
        <f>CONCATENATE(Data!W1446," (",Data!V1446,")")</f>
        <v>Exceso Velocidad 40 Km/h (Velocidad máxima: 41 kmh)</v>
      </c>
      <c r="O1448" s="42" t="str">
        <f>IF(Data!V1446&lt;&gt;"",N1448,Data!W1446)</f>
        <v>Exceso Velocidad 40 Km/h (Velocidad máxima: 41 kmh)</v>
      </c>
      <c r="P1448" s="47" t="str">
        <f>Data!X1446</f>
        <v>Válido</v>
      </c>
    </row>
    <row r="1449" spans="1:16">
      <c r="A1449" s="41" t="str">
        <f>Data!A1447</f>
        <v>QLT528</v>
      </c>
      <c r="B1449" s="41" t="str">
        <f>Data!D1447</f>
        <v>Vehicle, Diesel, Frontera Energy Col 2679</v>
      </c>
      <c r="C1449" s="41">
        <f>Data!F1447</f>
        <v>0</v>
      </c>
      <c r="D1449" s="41">
        <f>Data!G1447</f>
        <v>0</v>
      </c>
      <c r="E1449" s="41">
        <f>Data!H1447</f>
        <v>0</v>
      </c>
      <c r="F1449" s="41">
        <f>Data!K1447</f>
        <v>0</v>
      </c>
      <c r="G1449" s="33" t="str">
        <f>Data!M1447</f>
        <v>Exceso Velocidad 30 Km/h</v>
      </c>
      <c r="H1449" s="41" t="str">
        <f>Data!P1447</f>
        <v>ECOPETROL RUBIALES- Quifa - CAÑO SUR, Puerto Triunfo - Estacion Policia: Puerto Gaitan - Rubiales, Puerto Gaitán, Meta, Colombia</v>
      </c>
      <c r="I1449" s="42" t="str">
        <f>Data!Q1447</f>
        <v>Cliente, Vel Max 40 Km/h, Vel Max 30 Km/h</v>
      </c>
      <c r="J1449" s="43">
        <f>Data!S1447</f>
        <v>46174.702419560184</v>
      </c>
      <c r="K1449" s="44">
        <f>Data!S1447</f>
        <v>46174.702419560184</v>
      </c>
      <c r="L1449" s="45">
        <f>Data!T1447</f>
        <v>1.4418981481481482E-4</v>
      </c>
      <c r="M1449" s="46">
        <f>Data!U1447</f>
        <v>0.12507236003875732</v>
      </c>
      <c r="N1449" s="46" t="str">
        <f>CONCATENATE(Data!W1447," (",Data!V1447,")")</f>
        <v>Exceso Velocidad 30 Km/h (Velocidad máxima: 39 kmh)</v>
      </c>
      <c r="O1449" s="42" t="str">
        <f>IF(Data!V1447&lt;&gt;"",N1449,Data!W1447)</f>
        <v>Exceso Velocidad 30 Km/h (Velocidad máxima: 39 kmh)</v>
      </c>
      <c r="P1449" s="47" t="str">
        <f>Data!X1447</f>
        <v>Válido</v>
      </c>
    </row>
    <row r="1450" spans="1:16">
      <c r="A1450" s="41" t="str">
        <f>Data!A1448</f>
        <v>QLT528</v>
      </c>
      <c r="B1450" s="41" t="str">
        <f>Data!D1448</f>
        <v>Vehicle, Diesel, Frontera Energy Col 2679</v>
      </c>
      <c r="C1450" s="41">
        <f>Data!F1448</f>
        <v>0</v>
      </c>
      <c r="D1450" s="41">
        <f>Data!G1448</f>
        <v>0</v>
      </c>
      <c r="E1450" s="41">
        <f>Data!H1448</f>
        <v>0</v>
      </c>
      <c r="F1450" s="41">
        <f>Data!K1448</f>
        <v>0</v>
      </c>
      <c r="G1450" s="33" t="str">
        <f>Data!M1448</f>
        <v>Exceso Velocidad 30 Km/h</v>
      </c>
      <c r="H1450" s="41" t="str">
        <f>Data!P1448</f>
        <v>ECOPETROL RUBIALES- Quifa - CAÑO SUR, Puerto Triunfo - Estacion Policia: Puerto Gaitan - Rubiales, Puerto Gaitán, Meta, Colombia</v>
      </c>
      <c r="I1450" s="42" t="str">
        <f>Data!Q1448</f>
        <v>Cliente, Vel Max 40 Km/h, Vel Max 30 Km/h</v>
      </c>
      <c r="J1450" s="43">
        <f>Data!S1448</f>
        <v>46174.702751666664</v>
      </c>
      <c r="K1450" s="44">
        <f>Data!S1448</f>
        <v>46174.702751666664</v>
      </c>
      <c r="L1450" s="45">
        <f>Data!T1448</f>
        <v>2.2702546296296297E-4</v>
      </c>
      <c r="M1450" s="46">
        <f>Data!U1448</f>
        <v>0.20296569168567657</v>
      </c>
      <c r="N1450" s="46" t="str">
        <f>CONCATENATE(Data!W1448," (",Data!V1448,")")</f>
        <v>Exceso Velocidad 30 Km/h (Velocidad máxima: 38 kmh)</v>
      </c>
      <c r="O1450" s="42" t="str">
        <f>IF(Data!V1448&lt;&gt;"",N1450,Data!W1448)</f>
        <v>Exceso Velocidad 30 Km/h (Velocidad máxima: 38 kmh)</v>
      </c>
      <c r="P1450" s="47" t="str">
        <f>Data!X1448</f>
        <v>Válido</v>
      </c>
    </row>
    <row r="1451" spans="1:16">
      <c r="A1451" s="41" t="str">
        <f>Data!A1449</f>
        <v>QLT528</v>
      </c>
      <c r="B1451" s="41" t="str">
        <f>Data!D1449</f>
        <v>Vehicle, Diesel, Frontera Energy Col 2679</v>
      </c>
      <c r="C1451" s="41">
        <f>Data!F1449</f>
        <v>0</v>
      </c>
      <c r="D1451" s="41">
        <f>Data!G1449</f>
        <v>0</v>
      </c>
      <c r="E1451" s="41">
        <f>Data!H1449</f>
        <v>0</v>
      </c>
      <c r="F1451" s="41">
        <f>Data!K1449</f>
        <v>0</v>
      </c>
      <c r="G1451" s="33" t="str">
        <f>Data!M1449</f>
        <v>Frenado brusco (nuevo)</v>
      </c>
      <c r="H1451" s="41" t="str">
        <f>Data!P1449</f>
        <v>ECOPETROL RUBIALES- Quifa - CAÑO SUR, Puerto Triunfo - Estacion Policia: Puerto Gaitan - Rubiales, Puerto Gaitán, Meta, Colombia</v>
      </c>
      <c r="I1451" s="42" t="str">
        <f>Data!Q1449</f>
        <v>Cliente, Vel Max 40 Km/h, Vel Max 30 Km/h</v>
      </c>
      <c r="J1451" s="43">
        <f>Data!S1449</f>
        <v>46174.702990150465</v>
      </c>
      <c r="K1451" s="44">
        <f>Data!S1449</f>
        <v>46174.702990150465</v>
      </c>
      <c r="L1451" s="45">
        <f>Data!T1449</f>
        <v>0</v>
      </c>
      <c r="M1451" s="46">
        <f>Data!U1449</f>
        <v>0</v>
      </c>
      <c r="N1451" s="46" t="str">
        <f>CONCATENATE(Data!W1449," (",Data!V1449,")")</f>
        <v>Frenado brusco (nuevo) (Clase de vehículo para métricas de seguridad: Otra clase (no estandarizada), Velocidad máxima: 15 kmh,  Ignición: 1)</v>
      </c>
      <c r="O1451" s="42" t="str">
        <f>IF(Data!V1449&lt;&gt;"",N1451,Data!W1449)</f>
        <v>Frenado brusco (nuevo) (Clase de vehículo para métricas de seguridad: Otra clase (no estandarizada), Velocidad máxima: 15 kmh,  Ignición: 1)</v>
      </c>
      <c r="P1451" s="47" t="str">
        <f>Data!X1449</f>
        <v>Válido</v>
      </c>
    </row>
    <row r="1452" spans="1:16">
      <c r="A1452" s="41" t="str">
        <f>Data!A1450</f>
        <v>QLT528</v>
      </c>
      <c r="B1452" s="41" t="str">
        <f>Data!D1450</f>
        <v>Vehicle, Diesel, Frontera Energy Col 2679</v>
      </c>
      <c r="C1452" s="41">
        <f>Data!F1450</f>
        <v>0</v>
      </c>
      <c r="D1452" s="41">
        <f>Data!G1450</f>
        <v>0</v>
      </c>
      <c r="E1452" s="41">
        <f>Data!H1450</f>
        <v>0</v>
      </c>
      <c r="F1452" s="41">
        <f>Data!K1450</f>
        <v>0</v>
      </c>
      <c r="G1452" s="33" t="str">
        <f>Data!M1450</f>
        <v>Exceso Velocidad 30 Km/h</v>
      </c>
      <c r="H1452" s="41" t="str">
        <f>Data!P1450</f>
        <v>ECOPETROL RUBIALES- Quifa - CAÑO SUR, Puerto Triunfo - Estacion Policia: Puerto Gaitan - Rubiales, Puerto Gaitán, Meta, Colombia</v>
      </c>
      <c r="I1452" s="42" t="str">
        <f>Data!Q1450</f>
        <v>Cliente, Vel Max 40 Km/h, Vel Max 30 Km/h</v>
      </c>
      <c r="J1452" s="43">
        <f>Data!S1450</f>
        <v>46174.703256354165</v>
      </c>
      <c r="K1452" s="44">
        <f>Data!S1450</f>
        <v>46174.703256354165</v>
      </c>
      <c r="L1452" s="45">
        <f>Data!T1450</f>
        <v>3.5879629629629629E-4</v>
      </c>
      <c r="M1452" s="46">
        <f>Data!U1450</f>
        <v>0.28522136807441711</v>
      </c>
      <c r="N1452" s="46" t="str">
        <f>CONCATENATE(Data!W1450," (",Data!V1450,")")</f>
        <v>Exceso Velocidad 30 Km/h (Velocidad máxima: 35 kmh)</v>
      </c>
      <c r="O1452" s="42" t="str">
        <f>IF(Data!V1450&lt;&gt;"",N1452,Data!W1450)</f>
        <v>Exceso Velocidad 30 Km/h (Velocidad máxima: 35 kmh)</v>
      </c>
      <c r="P1452" s="47" t="str">
        <f>Data!X1450</f>
        <v>Válido</v>
      </c>
    </row>
    <row r="1453" spans="1:16">
      <c r="A1453" s="41" t="str">
        <f>Data!A1451</f>
        <v>QLT528</v>
      </c>
      <c r="B1453" s="41" t="str">
        <f>Data!D1451</f>
        <v>Vehicle, Diesel, Frontera Energy Col 2679</v>
      </c>
      <c r="C1453" s="41">
        <f>Data!F1451</f>
        <v>0</v>
      </c>
      <c r="D1453" s="41">
        <f>Data!G1451</f>
        <v>0</v>
      </c>
      <c r="E1453" s="41">
        <f>Data!H1451</f>
        <v>0</v>
      </c>
      <c r="F1453" s="41">
        <f>Data!K1451</f>
        <v>0</v>
      </c>
      <c r="G1453" s="33" t="str">
        <f>Data!M1451</f>
        <v>Exceso Velocidad 30 Km/h</v>
      </c>
      <c r="H1453" s="41" t="str">
        <f>Data!P1451</f>
        <v>ECOPETROL RUBIALES- Quifa - CAÑO SUR, Puerto Triunfo - Estacion Policia: Puerto Gaitan - Rubiales, Puerto Gaitán, Meta, Colombia</v>
      </c>
      <c r="I1453" s="42" t="str">
        <f>Data!Q1451</f>
        <v>Cliente, Vel Max 40 Km/h, Vel Max 30 Km/h</v>
      </c>
      <c r="J1453" s="43">
        <f>Data!S1451</f>
        <v>46174.703615150465</v>
      </c>
      <c r="K1453" s="44">
        <f>Data!S1451</f>
        <v>46174.703615150465</v>
      </c>
      <c r="L1453" s="45">
        <f>Data!T1451</f>
        <v>1.3311342592592593E-4</v>
      </c>
      <c r="M1453" s="46">
        <f>Data!U1451</f>
        <v>0.10277341306209564</v>
      </c>
      <c r="N1453" s="46" t="str">
        <f>CONCATENATE(Data!W1451," (",Data!V1451,")")</f>
        <v>Exceso Velocidad 30 Km/h (Velocidad máxima: 33 kmh)</v>
      </c>
      <c r="O1453" s="42" t="str">
        <f>IF(Data!V1451&lt;&gt;"",N1453,Data!W1451)</f>
        <v>Exceso Velocidad 30 Km/h (Velocidad máxima: 33 kmh)</v>
      </c>
      <c r="P1453" s="47" t="str">
        <f>Data!X1451</f>
        <v>Válido</v>
      </c>
    </row>
    <row r="1454" spans="1:16">
      <c r="A1454" s="41" t="str">
        <f>Data!A1452</f>
        <v>QLT528</v>
      </c>
      <c r="B1454" s="41" t="str">
        <f>Data!D1452</f>
        <v>Vehicle, Diesel, Frontera Energy Col 2679</v>
      </c>
      <c r="C1454" s="41">
        <f>Data!F1452</f>
        <v>0</v>
      </c>
      <c r="D1454" s="41">
        <f>Data!G1452</f>
        <v>0</v>
      </c>
      <c r="E1454" s="41">
        <f>Data!H1452</f>
        <v>0</v>
      </c>
      <c r="F1454" s="41">
        <f>Data!K1452</f>
        <v>0</v>
      </c>
      <c r="G1454" s="33" t="str">
        <f>Data!M1452</f>
        <v>Exceso Velocidad 30 Km/h</v>
      </c>
      <c r="H1454" s="41" t="str">
        <f>Data!P1452</f>
        <v>ECOPETROL RUBIALES- Quifa - CAÑO SUR, Puerto Triunfo - Estacion Policia: Puerto Gaitan - Rubiales, Puerto Gaitán, Meta, Colombia</v>
      </c>
      <c r="I1454" s="42" t="str">
        <f>Data!Q1452</f>
        <v>Cliente, Vel Max 40 Km/h, Vel Max 30 Km/h</v>
      </c>
      <c r="J1454" s="43">
        <f>Data!S1452</f>
        <v>46174.703803229168</v>
      </c>
      <c r="K1454" s="44">
        <f>Data!S1452</f>
        <v>46174.703803229168</v>
      </c>
      <c r="L1454" s="45">
        <f>Data!T1452</f>
        <v>4.9479166666666671E-4</v>
      </c>
      <c r="M1454" s="46">
        <f>Data!U1452</f>
        <v>0.4071681797504425</v>
      </c>
      <c r="N1454" s="46" t="str">
        <f>CONCATENATE(Data!W1452," (",Data!V1452,")")</f>
        <v>Exceso Velocidad 30 Km/h (Velocidad máxima: 37 kmh)</v>
      </c>
      <c r="O1454" s="42" t="str">
        <f>IF(Data!V1452&lt;&gt;"",N1454,Data!W1452)</f>
        <v>Exceso Velocidad 30 Km/h (Velocidad máxima: 37 kmh)</v>
      </c>
      <c r="P1454" s="47" t="str">
        <f>Data!X1452</f>
        <v>Válido</v>
      </c>
    </row>
    <row r="1455" spans="1:16">
      <c r="A1455" s="41" t="str">
        <f>Data!A1453</f>
        <v>QLT528</v>
      </c>
      <c r="B1455" s="41" t="str">
        <f>Data!D1453</f>
        <v>Vehicle, Diesel, Frontera Energy Col 2679</v>
      </c>
      <c r="C1455" s="41">
        <f>Data!F1453</f>
        <v>0</v>
      </c>
      <c r="D1455" s="41">
        <f>Data!G1453</f>
        <v>0</v>
      </c>
      <c r="E1455" s="41">
        <f>Data!H1453</f>
        <v>0</v>
      </c>
      <c r="F1455" s="41">
        <f>Data!K1453</f>
        <v>0</v>
      </c>
      <c r="G1455" s="33" t="str">
        <f>Data!M1453</f>
        <v>Exceso Velocidad 10 Km/h</v>
      </c>
      <c r="H1455" s="41" t="str">
        <f>Data!P1453</f>
        <v>ECOPETROL RUBIALES- Quifa - CAÑO SUR, Puerto Triunfo - Estacion Policia, PUESTRO CONTROL QUIFA: Puerto Gaitan - Rubiales, Puerto Gaitán, Meta, Colombia</v>
      </c>
      <c r="I1455" s="42" t="str">
        <f>Data!Q1453</f>
        <v>Cliente, Vel Max 40 Km/h, Vel Max 30 Km/h, Vel Max 10 Km/h</v>
      </c>
      <c r="J1455" s="43">
        <f>Data!S1453</f>
        <v>46174.704262384257</v>
      </c>
      <c r="K1455" s="44">
        <f>Data!S1453</f>
        <v>46174.704262384257</v>
      </c>
      <c r="L1455" s="45">
        <f>Data!T1453</f>
        <v>2.4056712962962964E-4</v>
      </c>
      <c r="M1455" s="46">
        <f>Data!U1453</f>
        <v>0.18382279574871063</v>
      </c>
      <c r="N1455" s="46" t="str">
        <f>CONCATENATE(Data!W1453," (",Data!V1453,")")</f>
        <v>Exceso Velocidad 10 Km/h (Velocidad máxima: 34 kmh)</v>
      </c>
      <c r="O1455" s="42" t="str">
        <f>IF(Data!V1453&lt;&gt;"",N1455,Data!W1453)</f>
        <v>Exceso Velocidad 10 Km/h (Velocidad máxima: 34 kmh)</v>
      </c>
      <c r="P1455" s="47" t="str">
        <f>Data!X1453</f>
        <v>Válido</v>
      </c>
    </row>
    <row r="1456" spans="1:16">
      <c r="A1456" s="41" t="str">
        <f>Data!A1454</f>
        <v>QLT528</v>
      </c>
      <c r="B1456" s="41" t="str">
        <f>Data!D1454</f>
        <v>Vehicle, Diesel, Frontera Energy Col 2679</v>
      </c>
      <c r="C1456" s="41">
        <f>Data!F1454</f>
        <v>0</v>
      </c>
      <c r="D1456" s="41">
        <f>Data!G1454</f>
        <v>0</v>
      </c>
      <c r="E1456" s="41">
        <f>Data!H1454</f>
        <v>0</v>
      </c>
      <c r="F1456" s="41">
        <f>Data!K1454</f>
        <v>0</v>
      </c>
      <c r="G1456" s="33" t="str">
        <f>Data!M1454</f>
        <v>Exceso Velocidad 30 Km/h</v>
      </c>
      <c r="H1456" s="41" t="str">
        <f>Data!P1454</f>
        <v>ECOPETROL RUBIALES- Quifa - CAÑO SUR, Puerto Triunfo - Estacion Policia, PUESTRO CONTROL QUIFA: Puerto Gaitan - Rubiales, Puerto Gaitán, Meta, Colombia</v>
      </c>
      <c r="I1456" s="42" t="str">
        <f>Data!Q1454</f>
        <v>Cliente, Vel Max 40 Km/h, Vel Max 30 Km/h, Vel Max 10 Km/h</v>
      </c>
      <c r="J1456" s="43">
        <f>Data!S1454</f>
        <v>46174.704420706017</v>
      </c>
      <c r="K1456" s="44">
        <f>Data!S1454</f>
        <v>46174.704420706017</v>
      </c>
      <c r="L1456" s="45">
        <f>Data!T1454</f>
        <v>2.6851851851851852E-4</v>
      </c>
      <c r="M1456" s="46">
        <f>Data!U1454</f>
        <v>0.21581314504146576</v>
      </c>
      <c r="N1456" s="46" t="str">
        <f>CONCATENATE(Data!W1454," (",Data!V1454,")")</f>
        <v>Exceso Velocidad 30 Km/h (Velocidad máxima: 34 kmh)</v>
      </c>
      <c r="O1456" s="42" t="str">
        <f>IF(Data!V1454&lt;&gt;"",N1456,Data!W1454)</f>
        <v>Exceso Velocidad 30 Km/h (Velocidad máxima: 34 kmh)</v>
      </c>
      <c r="P1456" s="47" t="str">
        <f>Data!X1454</f>
        <v>Válido</v>
      </c>
    </row>
    <row r="1457" spans="1:16">
      <c r="A1457" s="41" t="str">
        <f>Data!A1455</f>
        <v>QLT528</v>
      </c>
      <c r="B1457" s="41" t="str">
        <f>Data!D1455</f>
        <v>Vehicle, Diesel, Frontera Energy Col 2679</v>
      </c>
      <c r="C1457" s="41">
        <f>Data!F1455</f>
        <v>0</v>
      </c>
      <c r="D1457" s="41">
        <f>Data!G1455</f>
        <v>0</v>
      </c>
      <c r="E1457" s="41">
        <f>Data!H1455</f>
        <v>0</v>
      </c>
      <c r="F1457" s="41">
        <f>Data!K1455</f>
        <v>0</v>
      </c>
      <c r="G1457" s="33" t="str">
        <f>Data!M1455</f>
        <v>Exceso Velocidad 30 Km/h</v>
      </c>
      <c r="H1457" s="41" t="str">
        <f>Data!P1455</f>
        <v>ECOPETROL RUBIALES- Quifa - CAÑO SUR, Puerto Triunfo - Estacion Policia: Puerto Gaitan - Rubiales, Puerto Gaitán, Meta, Colombia</v>
      </c>
      <c r="I1457" s="42" t="str">
        <f>Data!Q1455</f>
        <v>Cliente, Vel Max 40 Km/h, Vel Max 30 Km/h</v>
      </c>
      <c r="J1457" s="43">
        <f>Data!S1455</f>
        <v>46174.704735520834</v>
      </c>
      <c r="K1457" s="44">
        <f>Data!S1455</f>
        <v>46174.704735520834</v>
      </c>
      <c r="L1457" s="45">
        <f>Data!T1455</f>
        <v>6.1967592592592589E-5</v>
      </c>
      <c r="M1457" s="46">
        <f>Data!U1455</f>
        <v>5.0303950905799866E-2</v>
      </c>
      <c r="N1457" s="46" t="str">
        <f>CONCATENATE(Data!W1455," (",Data!V1455,")")</f>
        <v>Exceso Velocidad 30 Km/h (Velocidad máxima: 38 kmh)</v>
      </c>
      <c r="O1457" s="42" t="str">
        <f>IF(Data!V1455&lt;&gt;"",N1457,Data!W1455)</f>
        <v>Exceso Velocidad 30 Km/h (Velocidad máxima: 38 kmh)</v>
      </c>
      <c r="P1457" s="47" t="str">
        <f>Data!X1455</f>
        <v>Válido</v>
      </c>
    </row>
    <row r="1458" spans="1:16">
      <c r="A1458" s="41" t="str">
        <f>Data!A1456</f>
        <v>QLT528</v>
      </c>
      <c r="B1458" s="41" t="str">
        <f>Data!D1456</f>
        <v>Vehicle, Diesel, Frontera Energy Col 2679</v>
      </c>
      <c r="C1458" s="41">
        <f>Data!F1456</f>
        <v>0</v>
      </c>
      <c r="D1458" s="41">
        <f>Data!G1456</f>
        <v>0</v>
      </c>
      <c r="E1458" s="41">
        <f>Data!H1456</f>
        <v>0</v>
      </c>
      <c r="F1458" s="41">
        <f>Data!K1456</f>
        <v>0</v>
      </c>
      <c r="G1458" s="33" t="str">
        <f>Data!M1456</f>
        <v>Frenado brusco (nuevo)</v>
      </c>
      <c r="H1458" s="41" t="str">
        <f>Data!P1456</f>
        <v>ECOPETROL RUBIALES- Quifa - CAÑO SUR, Puerto Triunfo - Estacion Policia: Puerto Gaitan - Rubiales, Puerto Gaitán, Meta, Colombia</v>
      </c>
      <c r="I1458" s="42" t="str">
        <f>Data!Q1456</f>
        <v>Cliente, Vel Max 40 Km/h, Vel Max 30 Km/h</v>
      </c>
      <c r="J1458" s="43">
        <f>Data!S1456</f>
        <v>46174.70479570602</v>
      </c>
      <c r="K1458" s="44">
        <f>Data!S1456</f>
        <v>46174.70479570602</v>
      </c>
      <c r="L1458" s="45">
        <f>Data!T1456</f>
        <v>0</v>
      </c>
      <c r="M1458" s="46">
        <f>Data!U1456</f>
        <v>0</v>
      </c>
      <c r="N1458" s="46" t="str">
        <f>CONCATENATE(Data!W1456," (",Data!V1456,")")</f>
        <v>Frenado brusco (nuevo) (Clase de vehículo para métricas de seguridad: Otra clase (no estandarizada), Velocidad máxima: 25 kmh,  Ignición: 1)</v>
      </c>
      <c r="O1458" s="42" t="str">
        <f>IF(Data!V1456&lt;&gt;"",N1458,Data!W1456)</f>
        <v>Frenado brusco (nuevo) (Clase de vehículo para métricas de seguridad: Otra clase (no estandarizada), Velocidad máxima: 25 kmh,  Ignición: 1)</v>
      </c>
      <c r="P1458" s="47" t="str">
        <f>Data!X1456</f>
        <v>Válido</v>
      </c>
    </row>
    <row r="1459" spans="1:16">
      <c r="A1459" s="41" t="str">
        <f>Data!A1457</f>
        <v>QLT528</v>
      </c>
      <c r="B1459" s="41" t="str">
        <f>Data!D1457</f>
        <v>Vehicle, Diesel, Frontera Energy Col 2679</v>
      </c>
      <c r="C1459" s="41">
        <f>Data!F1457</f>
        <v>0</v>
      </c>
      <c r="D1459" s="41">
        <f>Data!G1457</f>
        <v>0</v>
      </c>
      <c r="E1459" s="41">
        <f>Data!H1457</f>
        <v>0</v>
      </c>
      <c r="F1459" s="41">
        <f>Data!K1457</f>
        <v>0</v>
      </c>
      <c r="G1459" s="33" t="str">
        <f>Data!M1457</f>
        <v>Exceso Velocidad 30 Km/h</v>
      </c>
      <c r="H1459" s="41" t="str">
        <f>Data!P1457</f>
        <v>ECOPETROL RUBIALES- Quifa - CAÑO SUR, Puerto Triunfo - Estacion Policia: Puerto Gaitan - Rubiales, Puerto Gaitán, Meta, Colombia</v>
      </c>
      <c r="I1459" s="42" t="str">
        <f>Data!Q1457</f>
        <v>Cliente, Vel Max 40 Km/h, Vel Max 30 Km/h</v>
      </c>
      <c r="J1459" s="43">
        <f>Data!S1457</f>
        <v>46174.704873518516</v>
      </c>
      <c r="K1459" s="44">
        <f>Data!S1457</f>
        <v>46174.704873518516</v>
      </c>
      <c r="L1459" s="45">
        <f>Data!T1457</f>
        <v>6.6527777777777779E-5</v>
      </c>
      <c r="M1459" s="46">
        <f>Data!U1457</f>
        <v>5.6139439344406128E-2</v>
      </c>
      <c r="N1459" s="46" t="str">
        <f>CONCATENATE(Data!W1457," (",Data!V1457,")")</f>
        <v>Exceso Velocidad 30 Km/h (Velocidad máxima: 37 kmh)</v>
      </c>
      <c r="O1459" s="42" t="str">
        <f>IF(Data!V1457&lt;&gt;"",N1459,Data!W1457)</f>
        <v>Exceso Velocidad 30 Km/h (Velocidad máxima: 37 kmh)</v>
      </c>
      <c r="P1459" s="47" t="str">
        <f>Data!X1457</f>
        <v>Válido</v>
      </c>
    </row>
    <row r="1460" spans="1:16">
      <c r="A1460" s="41" t="str">
        <f>Data!A1458</f>
        <v>QLT528</v>
      </c>
      <c r="B1460" s="41" t="str">
        <f>Data!D1458</f>
        <v>Vehicle, Diesel, Frontera Energy Col 2679</v>
      </c>
      <c r="C1460" s="41">
        <f>Data!F1458</f>
        <v>0</v>
      </c>
      <c r="D1460" s="41">
        <f>Data!G1458</f>
        <v>0</v>
      </c>
      <c r="E1460" s="41">
        <f>Data!H1458</f>
        <v>0</v>
      </c>
      <c r="F1460" s="41">
        <f>Data!K1458</f>
        <v>0</v>
      </c>
      <c r="G1460" s="33" t="str">
        <f>Data!M1458</f>
        <v>Exceso Velocidad 30 Km/h</v>
      </c>
      <c r="H1460" s="41" t="str">
        <f>Data!P1458</f>
        <v>ECOPETROL RUBIALES- Quifa - CAÑO SUR, Puerto Triunfo - Estacion Policia: Puerto Gaitan - Rubiales, Puerto Gaitán, Meta, Colombia</v>
      </c>
      <c r="I1460" s="42" t="str">
        <f>Data!Q1458</f>
        <v>Cliente, Vel Max 40 Km/h, Vel Max 30 Km/h</v>
      </c>
      <c r="J1460" s="43">
        <f>Data!S1458</f>
        <v>46174.705041099536</v>
      </c>
      <c r="K1460" s="44">
        <f>Data!S1458</f>
        <v>46174.705041099536</v>
      </c>
      <c r="L1460" s="45">
        <f>Data!T1458</f>
        <v>1.6613425925925926E-4</v>
      </c>
      <c r="M1460" s="46">
        <f>Data!U1458</f>
        <v>0.14258399605751038</v>
      </c>
      <c r="N1460" s="46" t="str">
        <f>CONCATENATE(Data!W1458," (",Data!V1458,")")</f>
        <v>Exceso Velocidad 30 Km/h (Velocidad máxima: 39 kmh)</v>
      </c>
      <c r="O1460" s="42" t="str">
        <f>IF(Data!V1458&lt;&gt;"",N1460,Data!W1458)</f>
        <v>Exceso Velocidad 30 Km/h (Velocidad máxima: 39 kmh)</v>
      </c>
      <c r="P1460" s="47" t="str">
        <f>Data!X1458</f>
        <v>Válido</v>
      </c>
    </row>
    <row r="1461" spans="1:16">
      <c r="A1461" s="41" t="str">
        <f>Data!A1459</f>
        <v>QLT528</v>
      </c>
      <c r="B1461" s="41" t="str">
        <f>Data!D1459</f>
        <v>Vehicle, Diesel, Frontera Energy Col 2679</v>
      </c>
      <c r="C1461" s="41">
        <f>Data!F1459</f>
        <v>0</v>
      </c>
      <c r="D1461" s="41">
        <f>Data!G1459</f>
        <v>0</v>
      </c>
      <c r="E1461" s="41">
        <f>Data!H1459</f>
        <v>0</v>
      </c>
      <c r="F1461" s="41">
        <f>Data!K1459</f>
        <v>0</v>
      </c>
      <c r="G1461" s="33" t="str">
        <f>Data!M1459</f>
        <v>Exceso Velocidad 30 Km/h</v>
      </c>
      <c r="H1461" s="41" t="str">
        <f>Data!P1459</f>
        <v>ECOPETROL RUBIALES- Quifa - CAÑO SUR, Puerto Triunfo - Estacion Policia: Puerto Gaitan - Rubiales, Puerto Gaitán, Meta, Colombia</v>
      </c>
      <c r="I1461" s="42" t="str">
        <f>Data!Q1459</f>
        <v>Cliente, Vel Max 40 Km/h, Vel Max 30 Km/h</v>
      </c>
      <c r="J1461" s="43">
        <f>Data!S1459</f>
        <v>46174.705290231483</v>
      </c>
      <c r="K1461" s="44">
        <f>Data!S1459</f>
        <v>46174.705290231483</v>
      </c>
      <c r="L1461" s="45">
        <f>Data!T1459</f>
        <v>3.3502314814814815E-4</v>
      </c>
      <c r="M1461" s="46">
        <f>Data!U1459</f>
        <v>0.31123006343841553</v>
      </c>
      <c r="N1461" s="46" t="str">
        <f>CONCATENATE(Data!W1459," (",Data!V1459,")")</f>
        <v>Exceso Velocidad 30 Km/h (Velocidad máxima: 41 kmh)</v>
      </c>
      <c r="O1461" s="42" t="str">
        <f>IF(Data!V1459&lt;&gt;"",N1461,Data!W1459)</f>
        <v>Exceso Velocidad 30 Km/h (Velocidad máxima: 41 kmh)</v>
      </c>
      <c r="P1461" s="47" t="str">
        <f>Data!X1459</f>
        <v>Válido</v>
      </c>
    </row>
    <row r="1462" spans="1:16">
      <c r="A1462" s="41" t="str">
        <f>Data!A1460</f>
        <v>QLT528</v>
      </c>
      <c r="B1462" s="41" t="str">
        <f>Data!D1460</f>
        <v>Vehicle, Diesel, Frontera Energy Col 2679</v>
      </c>
      <c r="C1462" s="41">
        <f>Data!F1460</f>
        <v>0</v>
      </c>
      <c r="D1462" s="41">
        <f>Data!G1460</f>
        <v>0</v>
      </c>
      <c r="E1462" s="41">
        <f>Data!H1460</f>
        <v>0</v>
      </c>
      <c r="F1462" s="41">
        <f>Data!K1460</f>
        <v>0</v>
      </c>
      <c r="G1462" s="33" t="str">
        <f>Data!M1460</f>
        <v>Exceso Velocidad 40 Km/h</v>
      </c>
      <c r="H1462" s="41" t="str">
        <f>Data!P1460</f>
        <v>ECOPETROL RUBIALES- Quifa - CAÑO SUR, Puerto Triunfo - Estacion Policia: Puerto Gaitan - Rubiales, Puerto Gaitán, Meta, Colombia</v>
      </c>
      <c r="I1462" s="42" t="str">
        <f>Data!Q1460</f>
        <v>Cliente, Vel Max 40 Km/h, Vel Max 30 Km/h</v>
      </c>
      <c r="J1462" s="43">
        <f>Data!S1460</f>
        <v>46174.705351261575</v>
      </c>
      <c r="K1462" s="44">
        <f>Data!S1460</f>
        <v>46174.705351261575</v>
      </c>
      <c r="L1462" s="45">
        <f>Data!T1460</f>
        <v>1.0802083333333333E-4</v>
      </c>
      <c r="M1462" s="46">
        <f>Data!U1460</f>
        <v>0.10523494333028793</v>
      </c>
      <c r="N1462" s="46" t="str">
        <f>CONCATENATE(Data!W1460," (",Data!V1460,")")</f>
        <v>Exceso Velocidad 40 Km/h (Velocidad máxima: 41 kmh)</v>
      </c>
      <c r="O1462" s="42" t="str">
        <f>IF(Data!V1460&lt;&gt;"",N1462,Data!W1460)</f>
        <v>Exceso Velocidad 40 Km/h (Velocidad máxima: 41 kmh)</v>
      </c>
      <c r="P1462" s="47" t="str">
        <f>Data!X1460</f>
        <v>Válido</v>
      </c>
    </row>
    <row r="1463" spans="1:16">
      <c r="A1463" s="41" t="str">
        <f>Data!A1461</f>
        <v>QLT528</v>
      </c>
      <c r="B1463" s="41" t="str">
        <f>Data!D1461</f>
        <v>Vehicle, Diesel, Frontera Energy Col 2679</v>
      </c>
      <c r="C1463" s="41">
        <f>Data!F1461</f>
        <v>0</v>
      </c>
      <c r="D1463" s="41">
        <f>Data!G1461</f>
        <v>0</v>
      </c>
      <c r="E1463" s="41">
        <f>Data!H1461</f>
        <v>0</v>
      </c>
      <c r="F1463" s="41">
        <f>Data!K1461</f>
        <v>0</v>
      </c>
      <c r="G1463" s="33" t="str">
        <f>Data!M1461</f>
        <v>Exceso Velocidad 30 Km/h</v>
      </c>
      <c r="H1463" s="41" t="str">
        <f>Data!P1461</f>
        <v>ECOPETROL RUBIALES- Quifa - CAÑO SUR, Puerto Gaitan - Rubiales, Puerto Gaitán, Meta, Colombia, Puerto Triunfo - Estacion Policia: Puerto Gaitan - Rubiales, Puerto Gaitán, Meta, Colombia</v>
      </c>
      <c r="I1463" s="42" t="str">
        <f>Data!Q1461</f>
        <v>Cliente, Vel Max 40 Km/h, Centro de servicios del proveedor, Vel Max 30 Km/h</v>
      </c>
      <c r="J1463" s="43">
        <f>Data!S1461</f>
        <v>46174.705746979169</v>
      </c>
      <c r="K1463" s="44">
        <f>Data!S1461</f>
        <v>46174.705746979169</v>
      </c>
      <c r="L1463" s="45">
        <f>Data!T1461</f>
        <v>1.0858796296296296E-4</v>
      </c>
      <c r="M1463" s="46">
        <f>Data!U1461</f>
        <v>8.615468442440033E-2</v>
      </c>
      <c r="N1463" s="46" t="str">
        <f>CONCATENATE(Data!W1461," (",Data!V1461,")")</f>
        <v>Exceso Velocidad 30 Km/h (Velocidad máxima: 38 kmh)</v>
      </c>
      <c r="O1463" s="42" t="str">
        <f>IF(Data!V1461&lt;&gt;"",N1463,Data!W1461)</f>
        <v>Exceso Velocidad 30 Km/h (Velocidad máxima: 38 kmh)</v>
      </c>
      <c r="P1463" s="47" t="str">
        <f>Data!X1461</f>
        <v>Válido</v>
      </c>
    </row>
    <row r="1464" spans="1:16">
      <c r="A1464" s="41" t="str">
        <f>Data!A1462</f>
        <v>QLT528</v>
      </c>
      <c r="B1464" s="41" t="str">
        <f>Data!D1462</f>
        <v>Vehicle, Diesel, Frontera Energy Col 2679</v>
      </c>
      <c r="C1464" s="41">
        <f>Data!F1462</f>
        <v>0</v>
      </c>
      <c r="D1464" s="41">
        <f>Data!G1462</f>
        <v>0</v>
      </c>
      <c r="E1464" s="41">
        <f>Data!H1462</f>
        <v>0</v>
      </c>
      <c r="F1464" s="41">
        <f>Data!K1462</f>
        <v>0</v>
      </c>
      <c r="G1464" s="33" t="str">
        <f>Data!M1462</f>
        <v>Exceso Velocidad 10 Km/h</v>
      </c>
      <c r="H1464" s="41" t="str">
        <f>Data!P1462</f>
        <v>CAMPAMENTO QUIFA, ECOPETROL RUBIALES- Quifa - CAÑO SUR, Puerto Gaitan - Rubiales, Puerto Gaitán, Meta, Colombia, Puerto Triunfo - Estacion Policia: Ent. CAMPAMENTO, Puerto Gaitán, Meta, Colombia</v>
      </c>
      <c r="I1464" s="42" t="str">
        <f>Data!Q1462</f>
        <v>Vel Max 10 Km/h, Cliente, Vel Max 40 Km/h, Centro de servicios del proveedor, Vel Max 30 Km/h</v>
      </c>
      <c r="J1464" s="43">
        <f>Data!S1462</f>
        <v>46174.705954409721</v>
      </c>
      <c r="K1464" s="44">
        <f>Data!S1462</f>
        <v>46174.705954409721</v>
      </c>
      <c r="L1464" s="45">
        <f>Data!T1462</f>
        <v>3.3361111111111113E-4</v>
      </c>
      <c r="M1464" s="46">
        <f>Data!U1462</f>
        <v>0.13932821154594421</v>
      </c>
      <c r="N1464" s="46" t="str">
        <f>CONCATENATE(Data!W1462," (",Data!V1462,")")</f>
        <v>Exceso Velocidad 10 Km/h (Velocidad máxima: 21 kmh)</v>
      </c>
      <c r="O1464" s="42" t="str">
        <f>IF(Data!V1462&lt;&gt;"",N1464,Data!W1462)</f>
        <v>Exceso Velocidad 10 Km/h (Velocidad máxima: 21 kmh)</v>
      </c>
      <c r="P1464" s="47" t="str">
        <f>Data!X1462</f>
        <v>Válido</v>
      </c>
    </row>
    <row r="1465" spans="1:16">
      <c r="A1465" s="41" t="str">
        <f>Data!A1463</f>
        <v>QLT528</v>
      </c>
      <c r="B1465" s="41" t="str">
        <f>Data!D1463</f>
        <v>Vehicle, Diesel, Frontera Energy Col 2679</v>
      </c>
      <c r="C1465" s="41">
        <f>Data!F1463</f>
        <v>0</v>
      </c>
      <c r="D1465" s="41">
        <f>Data!G1463</f>
        <v>0</v>
      </c>
      <c r="E1465" s="41">
        <f>Data!H1463</f>
        <v>0</v>
      </c>
      <c r="F1465" s="41">
        <f>Data!K1463</f>
        <v>0</v>
      </c>
      <c r="G1465" s="33" t="str">
        <f>Data!M1463</f>
        <v>Exceso Velocidad 40 Km/h</v>
      </c>
      <c r="H1465" s="41" t="str">
        <f>Data!P1463</f>
        <v>ECOPETROL RUBIALES- Quifa - CAÑO SUR: Qf 12 48 36 79 Dw1, Puerto Gaitán, Meta, Colombia</v>
      </c>
      <c r="I1465" s="42" t="str">
        <f>Data!Q1463</f>
        <v>Cliente, Vel Max 40 Km/h</v>
      </c>
      <c r="J1465" s="43">
        <f>Data!S1463</f>
        <v>46174.708507777781</v>
      </c>
      <c r="K1465" s="44">
        <f>Data!S1463</f>
        <v>46174.708507777781</v>
      </c>
      <c r="L1465" s="45">
        <f>Data!T1463</f>
        <v>2.811111111111111E-4</v>
      </c>
      <c r="M1465" s="46">
        <f>Data!U1463</f>
        <v>0.27968403697013855</v>
      </c>
      <c r="N1465" s="46" t="str">
        <f>CONCATENATE(Data!W1463," (",Data!V1463,")")</f>
        <v>Exceso Velocidad 40 Km/h (Velocidad máxima: 44 kmh)</v>
      </c>
      <c r="O1465" s="42" t="str">
        <f>IF(Data!V1463&lt;&gt;"",N1465,Data!W1463)</f>
        <v>Exceso Velocidad 40 Km/h (Velocidad máxima: 44 kmh)</v>
      </c>
      <c r="P1465" s="47" t="str">
        <f>Data!X1463</f>
        <v>Válido</v>
      </c>
    </row>
    <row r="1466" spans="1:16">
      <c r="A1466" s="41" t="str">
        <f>Data!A1464</f>
        <v>QLT528</v>
      </c>
      <c r="B1466" s="41" t="str">
        <f>Data!D1464</f>
        <v>Vehicle, Diesel, Frontera Energy Col 2679</v>
      </c>
      <c r="C1466" s="41">
        <f>Data!F1464</f>
        <v>0</v>
      </c>
      <c r="D1466" s="41">
        <f>Data!G1464</f>
        <v>0</v>
      </c>
      <c r="E1466" s="41">
        <f>Data!H1464</f>
        <v>0</v>
      </c>
      <c r="F1466" s="41">
        <f>Data!K1464</f>
        <v>0</v>
      </c>
      <c r="G1466" s="33" t="str">
        <f>Data!M1464</f>
        <v>Exceso Velocidad 40 Km/h</v>
      </c>
      <c r="H1466" s="41" t="str">
        <f>Data!P1464</f>
        <v>ECOPETROL RUBIALES- Quifa - CAÑO SUR: Qf 12 48 36 79 Dw1, Puerto Gaitán, Meta, Colombia</v>
      </c>
      <c r="I1466" s="42" t="str">
        <f>Data!Q1464</f>
        <v>Cliente, Vel Max 40 Km/h</v>
      </c>
      <c r="J1466" s="43">
        <f>Data!S1464</f>
        <v>46174.708788888885</v>
      </c>
      <c r="K1466" s="44">
        <f>Data!S1464</f>
        <v>46174.708788888885</v>
      </c>
      <c r="L1466" s="45">
        <f>Data!T1464</f>
        <v>1.7348379629629631E-4</v>
      </c>
      <c r="M1466" s="46">
        <f>Data!U1464</f>
        <v>0.17225900292396545</v>
      </c>
      <c r="N1466" s="46" t="str">
        <f>CONCATENATE(Data!W1464," (",Data!V1464,")")</f>
        <v>Exceso Velocidad 40 Km/h (Velocidad máxima: 42 kmh)</v>
      </c>
      <c r="O1466" s="42" t="str">
        <f>IF(Data!V1464&lt;&gt;"",N1466,Data!W1464)</f>
        <v>Exceso Velocidad 40 Km/h (Velocidad máxima: 42 kmh)</v>
      </c>
      <c r="P1466" s="47" t="str">
        <f>Data!X1464</f>
        <v>Válido</v>
      </c>
    </row>
    <row r="1467" spans="1:16">
      <c r="A1467" s="41" t="str">
        <f>Data!A1465</f>
        <v>QLT528</v>
      </c>
      <c r="B1467" s="41" t="str">
        <f>Data!D1465</f>
        <v>Vehicle, Diesel, Frontera Energy Col 2679</v>
      </c>
      <c r="C1467" s="41">
        <f>Data!F1465</f>
        <v>0</v>
      </c>
      <c r="D1467" s="41">
        <f>Data!G1465</f>
        <v>0</v>
      </c>
      <c r="E1467" s="41">
        <f>Data!H1465</f>
        <v>0</v>
      </c>
      <c r="F1467" s="41">
        <f>Data!K1465</f>
        <v>0</v>
      </c>
      <c r="G1467" s="33" t="str">
        <f>Data!M1465</f>
        <v>Exceso Velocidad 40 Km/h</v>
      </c>
      <c r="H1467" s="41" t="str">
        <f>Data!P1465</f>
        <v>ECOPETROL RUBIALES- Quifa - CAÑO SUR: Qf 12 48 36 79 Dw1, Puerto Gaitán, Meta, Colombia</v>
      </c>
      <c r="I1467" s="42" t="str">
        <f>Data!Q1465</f>
        <v>Cliente, Vel Max 40 Km/h</v>
      </c>
      <c r="J1467" s="43">
        <f>Data!S1465</f>
        <v>46174.709662604168</v>
      </c>
      <c r="K1467" s="44">
        <f>Data!S1465</f>
        <v>46174.709662604168</v>
      </c>
      <c r="L1467" s="45">
        <f>Data!T1465</f>
        <v>1.4467602592592592E-4</v>
      </c>
      <c r="M1467" s="46">
        <f>Data!U1465</f>
        <v>0.14392058551311493</v>
      </c>
      <c r="N1467" s="46" t="str">
        <f>CONCATENATE(Data!W1465," (",Data!V1465,")")</f>
        <v>Exceso Velocidad 40 Km/h (Velocidad máxima: 43 kmh)</v>
      </c>
      <c r="O1467" s="42" t="str">
        <f>IF(Data!V1465&lt;&gt;"",N1467,Data!W1465)</f>
        <v>Exceso Velocidad 40 Km/h (Velocidad máxima: 43 kmh)</v>
      </c>
      <c r="P1467" s="47" t="str">
        <f>Data!X1465</f>
        <v>Válido</v>
      </c>
    </row>
    <row r="1468" spans="1:16">
      <c r="A1468" s="41" t="str">
        <f>Data!A1466</f>
        <v>QLT528</v>
      </c>
      <c r="B1468" s="41" t="str">
        <f>Data!D1466</f>
        <v>Vehicle, Diesel, Frontera Energy Col 2679</v>
      </c>
      <c r="C1468" s="41">
        <f>Data!F1466</f>
        <v>0</v>
      </c>
      <c r="D1468" s="41">
        <f>Data!G1466</f>
        <v>0</v>
      </c>
      <c r="E1468" s="41">
        <f>Data!H1466</f>
        <v>0</v>
      </c>
      <c r="F1468" s="41">
        <f>Data!K1466</f>
        <v>0</v>
      </c>
      <c r="G1468" s="33" t="str">
        <f>Data!M1466</f>
        <v>Exceso Velocidad 40 Km/h</v>
      </c>
      <c r="H1468" s="41" t="str">
        <f>Data!P1466</f>
        <v>ECOPETROL RUBIALES- Quifa - CAÑO SUR: Qf 48 36 79 Dw1, Puerto Gaitán, Meta, Colombia</v>
      </c>
      <c r="I1468" s="42" t="str">
        <f>Data!Q1466</f>
        <v>Cliente, Vel Max 40 Km/h</v>
      </c>
      <c r="J1468" s="43">
        <f>Data!S1466</f>
        <v>46174.710137141206</v>
      </c>
      <c r="K1468" s="44">
        <f>Data!S1466</f>
        <v>46174.710137141206</v>
      </c>
      <c r="L1468" s="45">
        <f>Data!T1466</f>
        <v>2.719908407407407E-4</v>
      </c>
      <c r="M1468" s="46">
        <f>Data!U1466</f>
        <v>0.26867902278900146</v>
      </c>
      <c r="N1468" s="46" t="str">
        <f>CONCATENATE(Data!W1466," (",Data!V1466,")")</f>
        <v>Exceso Velocidad 40 Km/h (Velocidad máxima: 42 kmh)</v>
      </c>
      <c r="O1468" s="42" t="str">
        <f>IF(Data!V1466&lt;&gt;"",N1468,Data!W1466)</f>
        <v>Exceso Velocidad 40 Km/h (Velocidad máxima: 42 kmh)</v>
      </c>
      <c r="P1468" s="47" t="str">
        <f>Data!X1466</f>
        <v>Válido</v>
      </c>
    </row>
    <row r="1469" spans="1:16">
      <c r="A1469" s="41" t="str">
        <f>Data!A1467</f>
        <v>QLT528</v>
      </c>
      <c r="B1469" s="41" t="str">
        <f>Data!D1467</f>
        <v>Vehicle, Diesel, Frontera Energy Col 2679</v>
      </c>
      <c r="C1469" s="41">
        <f>Data!F1467</f>
        <v>0</v>
      </c>
      <c r="D1469" s="41">
        <f>Data!G1467</f>
        <v>0</v>
      </c>
      <c r="E1469" s="41">
        <f>Data!H1467</f>
        <v>0</v>
      </c>
      <c r="F1469" s="41">
        <f>Data!K1467</f>
        <v>0</v>
      </c>
      <c r="G1469" s="33" t="str">
        <f>Data!M1467</f>
        <v>Exceso Velocidad 40 Km/h</v>
      </c>
      <c r="H1469" s="41" t="str">
        <f>Data!P1467</f>
        <v>ECOPETROL RUBIALES- Quifa - CAÑO SUR: Vía Sin Nombre, Puerto Gaitán, Meta, Colombia</v>
      </c>
      <c r="I1469" s="42" t="str">
        <f>Data!Q1467</f>
        <v>Cliente, Vel Max 40 Km/h</v>
      </c>
      <c r="J1469" s="43">
        <f>Data!S1467</f>
        <v>46174.710447708334</v>
      </c>
      <c r="K1469" s="44">
        <f>Data!S1467</f>
        <v>46174.710447708334</v>
      </c>
      <c r="L1469" s="45">
        <f>Data!T1467</f>
        <v>2.1605324074074075E-4</v>
      </c>
      <c r="M1469" s="46">
        <f>Data!U1467</f>
        <v>0.21432431042194366</v>
      </c>
      <c r="N1469" s="46" t="str">
        <f>CONCATENATE(Data!W1467," (",Data!V1467,")")</f>
        <v>Exceso Velocidad 40 Km/h (Velocidad máxima: 43 kmh)</v>
      </c>
      <c r="O1469" s="42" t="str">
        <f>IF(Data!V1467&lt;&gt;"",N1469,Data!W1467)</f>
        <v>Exceso Velocidad 40 Km/h (Velocidad máxima: 43 kmh)</v>
      </c>
      <c r="P1469" s="47" t="str">
        <f>Data!X1467</f>
        <v>Válido</v>
      </c>
    </row>
    <row r="1470" spans="1:16">
      <c r="A1470" s="41" t="str">
        <f>Data!A1468</f>
        <v>QLT528</v>
      </c>
      <c r="B1470" s="41" t="str">
        <f>Data!D1468</f>
        <v>Vehicle, Diesel, Frontera Energy Col 2679</v>
      </c>
      <c r="C1470" s="41">
        <f>Data!F1468</f>
        <v>0</v>
      </c>
      <c r="D1470" s="41">
        <f>Data!G1468</f>
        <v>0</v>
      </c>
      <c r="E1470" s="41">
        <f>Data!H1468</f>
        <v>0</v>
      </c>
      <c r="F1470" s="41">
        <f>Data!K1468</f>
        <v>0</v>
      </c>
      <c r="G1470" s="33" t="str">
        <f>Data!M1468</f>
        <v>Exceso Velocidad 40 Km/h</v>
      </c>
      <c r="H1470" s="41" t="str">
        <f>Data!P1468</f>
        <v>ECOPETROL RUBIALES- Quifa - CAÑO SUR: Vía Sin Nombre, Puerto Gaitán, Meta, Colombia</v>
      </c>
      <c r="I1470" s="42" t="str">
        <f>Data!Q1468</f>
        <v>Cliente, Vel Max 40 Km/h</v>
      </c>
      <c r="J1470" s="43">
        <f>Data!S1468</f>
        <v>46174.710728240738</v>
      </c>
      <c r="K1470" s="44">
        <f>Data!S1468</f>
        <v>46174.710728240738</v>
      </c>
      <c r="L1470" s="45">
        <f>Data!T1468</f>
        <v>7.630671296296296E-4</v>
      </c>
      <c r="M1470" s="46">
        <f>Data!U1468</f>
        <v>0.81365519762039185</v>
      </c>
      <c r="N1470" s="46" t="str">
        <f>CONCATENATE(Data!W1468," (",Data!V1468,")")</f>
        <v>Exceso Velocidad 40 Km/h (Velocidad máxima: 46 kmh)</v>
      </c>
      <c r="O1470" s="42" t="str">
        <f>IF(Data!V1468&lt;&gt;"",N1470,Data!W1468)</f>
        <v>Exceso Velocidad 40 Km/h (Velocidad máxima: 46 kmh)</v>
      </c>
      <c r="P1470" s="47" t="str">
        <f>Data!X1468</f>
        <v>Válido</v>
      </c>
    </row>
    <row r="1471" spans="1:16">
      <c r="A1471" s="41" t="str">
        <f>Data!A1469</f>
        <v>QLT528</v>
      </c>
      <c r="B1471" s="41" t="str">
        <f>Data!D1469</f>
        <v>Vehicle, Diesel, Frontera Energy Col 2679</v>
      </c>
      <c r="C1471" s="41">
        <f>Data!F1469</f>
        <v>0</v>
      </c>
      <c r="D1471" s="41">
        <f>Data!G1469</f>
        <v>0</v>
      </c>
      <c r="E1471" s="41">
        <f>Data!H1469</f>
        <v>0</v>
      </c>
      <c r="F1471" s="41">
        <f>Data!K1469</f>
        <v>0</v>
      </c>
      <c r="G1471" s="33" t="str">
        <f>Data!M1469</f>
        <v>Exceso Velocidad 40 Km/h</v>
      </c>
      <c r="H1471" s="41" t="str">
        <f>Data!P1469</f>
        <v>ECOPETROL RUBIALES- Quifa - CAÑO SUR: Vía Sin Nombre, Puerto Gaitán, Meta, Colombia</v>
      </c>
      <c r="I1471" s="42" t="str">
        <f>Data!Q1469</f>
        <v>Cliente, Vel Max 40 Km/h</v>
      </c>
      <c r="J1471" s="43">
        <f>Data!S1469</f>
        <v>46174.711608981481</v>
      </c>
      <c r="K1471" s="44">
        <f>Data!S1469</f>
        <v>46174.711608981481</v>
      </c>
      <c r="L1471" s="45">
        <f>Data!T1469</f>
        <v>3.0312500000000002E-5</v>
      </c>
      <c r="M1471" s="46">
        <f>Data!U1469</f>
        <v>3.0058782547712326E-2</v>
      </c>
      <c r="N1471" s="46" t="str">
        <f>CONCATENATE(Data!W1469," (",Data!V1469,")")</f>
        <v>Exceso Velocidad 40 Km/h (Velocidad máxima: 41 kmh)</v>
      </c>
      <c r="O1471" s="42" t="str">
        <f>IF(Data!V1469&lt;&gt;"",N1471,Data!W1469)</f>
        <v>Exceso Velocidad 40 Km/h (Velocidad máxima: 41 kmh)</v>
      </c>
      <c r="P1471" s="47" t="str">
        <f>Data!X1469</f>
        <v>Válido</v>
      </c>
    </row>
    <row r="1472" spans="1:16">
      <c r="A1472" s="41" t="str">
        <f>Data!A1470</f>
        <v>QLT528</v>
      </c>
      <c r="B1472" s="41" t="str">
        <f>Data!D1470</f>
        <v>Vehicle, Diesel, Frontera Energy Col 2679</v>
      </c>
      <c r="C1472" s="41">
        <f>Data!F1470</f>
        <v>0</v>
      </c>
      <c r="D1472" s="41">
        <f>Data!G1470</f>
        <v>0</v>
      </c>
      <c r="E1472" s="41">
        <f>Data!H1470</f>
        <v>0</v>
      </c>
      <c r="F1472" s="41">
        <f>Data!K1470</f>
        <v>0</v>
      </c>
      <c r="G1472" s="33" t="str">
        <f>Data!M1470</f>
        <v>Tiempo en ralentí</v>
      </c>
      <c r="H1472" s="41" t="str">
        <f>Data!P1470</f>
        <v>ECOPETROL RUBIALES- Quifa - CAÑO SUR: Vía Sin Nombre, Puerto Gaitán, Meta, Colombia</v>
      </c>
      <c r="I1472" s="42" t="str">
        <f>Data!Q1470</f>
        <v>Cliente, Vel Max 40 Km/h</v>
      </c>
      <c r="J1472" s="43">
        <f>Data!S1470</f>
        <v>46174.712052650466</v>
      </c>
      <c r="K1472" s="44">
        <f>Data!S1470</f>
        <v>46174.712052650466</v>
      </c>
      <c r="L1472" s="45">
        <f>Data!T1470</f>
        <v>9.8265162037037036E-3</v>
      </c>
      <c r="M1472" s="46">
        <f>Data!U1470</f>
        <v>9.928165003657341E-3</v>
      </c>
      <c r="N1472" s="46" t="str">
        <f>CONCATENATE(Data!W1470," (",Data!V1470,")")</f>
        <v>Tiempo en ralentí (Ignición: 1.00)</v>
      </c>
      <c r="O1472" s="42" t="str">
        <f>IF(Data!V1470&lt;&gt;"",N1472,Data!W1470)</f>
        <v>Tiempo en ralentí (Ignición: 1.00)</v>
      </c>
      <c r="P1472" s="47" t="str">
        <f>Data!X1470</f>
        <v>Válido</v>
      </c>
    </row>
    <row r="1473" spans="1:16">
      <c r="A1473" s="41" t="str">
        <f>Data!A1471</f>
        <v>QLT528</v>
      </c>
      <c r="B1473" s="41" t="str">
        <f>Data!D1471</f>
        <v>Vehicle, Diesel, Frontera Energy Col 2679</v>
      </c>
      <c r="C1473" s="41">
        <f>Data!F1471</f>
        <v>0</v>
      </c>
      <c r="D1473" s="41">
        <f>Data!G1471</f>
        <v>0</v>
      </c>
      <c r="E1473" s="41">
        <f>Data!H1471</f>
        <v>0</v>
      </c>
      <c r="F1473" s="41">
        <f>Data!K1471</f>
        <v>0</v>
      </c>
      <c r="G1473" s="33" t="str">
        <f>Data!M1471</f>
        <v>Exceso Velocidad 40 Km/h</v>
      </c>
      <c r="H1473" s="41" t="str">
        <f>Data!P1471</f>
        <v>ECOPETROL RUBIALES- Quifa - CAÑO SUR: Vía Sin Nombre, Puerto Gaitán, Meta, Colombia</v>
      </c>
      <c r="I1473" s="42" t="str">
        <f>Data!Q1471</f>
        <v>Cliente, Vel Max 40 Km/h</v>
      </c>
      <c r="J1473" s="43">
        <f>Data!S1471</f>
        <v>46174.723481990739</v>
      </c>
      <c r="K1473" s="44">
        <f>Data!S1471</f>
        <v>46174.723481990739</v>
      </c>
      <c r="L1473" s="45">
        <f>Data!T1471</f>
        <v>3.413888888888889E-4</v>
      </c>
      <c r="M1473" s="46">
        <f>Data!U1471</f>
        <v>0.34324789047241211</v>
      </c>
      <c r="N1473" s="46" t="str">
        <f>CONCATENATE(Data!W1471," (",Data!V1471,")")</f>
        <v>Exceso Velocidad 40 Km/h (Velocidad máxima: 42 kmh)</v>
      </c>
      <c r="O1473" s="42" t="str">
        <f>IF(Data!V1471&lt;&gt;"",N1473,Data!W1471)</f>
        <v>Exceso Velocidad 40 Km/h (Velocidad máxima: 42 kmh)</v>
      </c>
      <c r="P1473" s="47" t="str">
        <f>Data!X1471</f>
        <v>Válido</v>
      </c>
    </row>
    <row r="1474" spans="1:16">
      <c r="A1474" s="41" t="str">
        <f>Data!A1472</f>
        <v>QLT528</v>
      </c>
      <c r="B1474" s="41" t="str">
        <f>Data!D1472</f>
        <v>Vehicle, Diesel, Frontera Energy Col 2679</v>
      </c>
      <c r="C1474" s="41">
        <f>Data!F1472</f>
        <v>0</v>
      </c>
      <c r="D1474" s="41">
        <f>Data!G1472</f>
        <v>0</v>
      </c>
      <c r="E1474" s="41">
        <f>Data!H1472</f>
        <v>0</v>
      </c>
      <c r="F1474" s="41">
        <f>Data!K1472</f>
        <v>0</v>
      </c>
      <c r="G1474" s="33" t="str">
        <f>Data!M1472</f>
        <v>Exceso Velocidad 40 Km/h</v>
      </c>
      <c r="H1474" s="41" t="str">
        <f>Data!P1472</f>
        <v>ECOPETROL RUBIALES- Quifa - CAÑO SUR: Vía Sin Nombre, Puerto Gaitán, Meta, Colombia</v>
      </c>
      <c r="I1474" s="42" t="str">
        <f>Data!Q1472</f>
        <v>Cliente, Vel Max 40 Km/h</v>
      </c>
      <c r="J1474" s="43">
        <f>Data!S1472</f>
        <v>46174.723953576387</v>
      </c>
      <c r="K1474" s="44">
        <f>Data!S1472</f>
        <v>46174.723953576387</v>
      </c>
      <c r="L1474" s="45">
        <f>Data!T1472</f>
        <v>4.4849537037037037E-4</v>
      </c>
      <c r="M1474" s="46">
        <f>Data!U1472</f>
        <v>0.44095170497894287</v>
      </c>
      <c r="N1474" s="46" t="str">
        <f>CONCATENATE(Data!W1472," (",Data!V1472,")")</f>
        <v>Exceso Velocidad 40 Km/h (Velocidad máxima: 43 kmh)</v>
      </c>
      <c r="O1474" s="42" t="str">
        <f>IF(Data!V1472&lt;&gt;"",N1474,Data!W1472)</f>
        <v>Exceso Velocidad 40 Km/h (Velocidad máxima: 43 kmh)</v>
      </c>
      <c r="P1474" s="47" t="str">
        <f>Data!X1472</f>
        <v>Válido</v>
      </c>
    </row>
    <row r="1475" spans="1:16">
      <c r="A1475" s="41" t="str">
        <f>Data!A1473</f>
        <v>QLT528</v>
      </c>
      <c r="B1475" s="41" t="str">
        <f>Data!D1473</f>
        <v>Vehicle, Diesel, Frontera Energy Col 2679</v>
      </c>
      <c r="C1475" s="41">
        <f>Data!F1473</f>
        <v>0</v>
      </c>
      <c r="D1475" s="41">
        <f>Data!G1473</f>
        <v>0</v>
      </c>
      <c r="E1475" s="41">
        <f>Data!H1473</f>
        <v>0</v>
      </c>
      <c r="F1475" s="41">
        <f>Data!K1473</f>
        <v>0</v>
      </c>
      <c r="G1475" s="33" t="str">
        <f>Data!M1473</f>
        <v>Exceso Velocidad 40 Km/h</v>
      </c>
      <c r="H1475" s="41" t="str">
        <f>Data!P1473</f>
        <v>ECOPETROL RUBIALES- Quifa - CAÑO SUR: Vía Sin Nombre, Puerto Gaitán, Meta, Colombia</v>
      </c>
      <c r="I1475" s="42" t="str">
        <f>Data!Q1473</f>
        <v>Cliente, Vel Max 40 Km/h</v>
      </c>
      <c r="J1475" s="43">
        <f>Data!S1473</f>
        <v>46174.724552650463</v>
      </c>
      <c r="K1475" s="44">
        <f>Data!S1473</f>
        <v>46174.724552650463</v>
      </c>
      <c r="L1475" s="45">
        <f>Data!T1473</f>
        <v>4.5127314814814813E-4</v>
      </c>
      <c r="M1475" s="46">
        <f>Data!U1473</f>
        <v>0.44976136088371277</v>
      </c>
      <c r="N1475" s="46" t="str">
        <f>CONCATENATE(Data!W1473," (",Data!V1473,")")</f>
        <v>Exceso Velocidad 40 Km/h (Velocidad máxima: 42 kmh)</v>
      </c>
      <c r="O1475" s="42" t="str">
        <f>IF(Data!V1473&lt;&gt;"",N1475,Data!W1473)</f>
        <v>Exceso Velocidad 40 Km/h (Velocidad máxima: 42 kmh)</v>
      </c>
      <c r="P1475" s="47" t="str">
        <f>Data!X1473</f>
        <v>Válido</v>
      </c>
    </row>
    <row r="1476" spans="1:16">
      <c r="A1476" s="41" t="str">
        <f>Data!A1474</f>
        <v>QLT528</v>
      </c>
      <c r="B1476" s="41" t="str">
        <f>Data!D1474</f>
        <v>Vehicle, Diesel, Frontera Energy Col 2679</v>
      </c>
      <c r="C1476" s="41">
        <f>Data!F1474</f>
        <v>0</v>
      </c>
      <c r="D1476" s="41">
        <f>Data!G1474</f>
        <v>0</v>
      </c>
      <c r="E1476" s="41">
        <f>Data!H1474</f>
        <v>0</v>
      </c>
      <c r="F1476" s="41">
        <f>Data!K1474</f>
        <v>0</v>
      </c>
      <c r="G1476" s="33" t="str">
        <f>Data!M1474</f>
        <v>Exceso Velocidad 40 Km/h</v>
      </c>
      <c r="H1476" s="41" t="str">
        <f>Data!P1474</f>
        <v>ECOPETROL RUBIALES- Quifa - CAÑO SUR: Qf 48 36 79 Dw1, Puerto Gaitán, Meta, Colombia</v>
      </c>
      <c r="I1476" s="42" t="str">
        <f>Data!Q1474</f>
        <v>Cliente, Vel Max 40 Km/h</v>
      </c>
      <c r="J1476" s="43">
        <f>Data!S1474</f>
        <v>46174.725161331022</v>
      </c>
      <c r="K1476" s="44">
        <f>Data!S1474</f>
        <v>46174.725161331022</v>
      </c>
      <c r="L1476" s="45">
        <f>Data!T1474</f>
        <v>7.9513888888888892E-6</v>
      </c>
      <c r="M1476" s="46">
        <f>Data!U1474</f>
        <v>7.1536703035235405E-3</v>
      </c>
      <c r="N1476" s="46" t="str">
        <f>CONCATENATE(Data!W1474," (",Data!V1474,")")</f>
        <v>Exceso Velocidad 40 Km/h (Velocidad máxima: 41 kmh)</v>
      </c>
      <c r="O1476" s="42" t="str">
        <f>IF(Data!V1474&lt;&gt;"",N1476,Data!W1474)</f>
        <v>Exceso Velocidad 40 Km/h (Velocidad máxima: 41 kmh)</v>
      </c>
      <c r="P1476" s="47" t="str">
        <f>Data!X1474</f>
        <v>Válido</v>
      </c>
    </row>
    <row r="1477" spans="1:16">
      <c r="A1477" s="41" t="str">
        <f>Data!A1475</f>
        <v>QLT528</v>
      </c>
      <c r="B1477" s="41" t="str">
        <f>Data!D1475</f>
        <v>Vehicle, Diesel, Frontera Energy Col 2679</v>
      </c>
      <c r="C1477" s="41">
        <f>Data!F1475</f>
        <v>0</v>
      </c>
      <c r="D1477" s="41">
        <f>Data!G1475</f>
        <v>0</v>
      </c>
      <c r="E1477" s="41">
        <f>Data!H1475</f>
        <v>0</v>
      </c>
      <c r="F1477" s="41">
        <f>Data!K1475</f>
        <v>0</v>
      </c>
      <c r="G1477" s="33" t="str">
        <f>Data!M1475</f>
        <v>Exceso Velocidad 40 Km/h</v>
      </c>
      <c r="H1477" s="41" t="str">
        <f>Data!P1475</f>
        <v>ECOPETROL RUBIALES- Quifa - CAÑO SUR: Qf 12, Puerto Gaitán, Meta, Colombia</v>
      </c>
      <c r="I1477" s="42" t="str">
        <f>Data!Q1475</f>
        <v>Cliente, Vel Max 40 Km/h</v>
      </c>
      <c r="J1477" s="43">
        <f>Data!S1475</f>
        <v>46174.725287488429</v>
      </c>
      <c r="K1477" s="44">
        <f>Data!S1475</f>
        <v>46174.725287488429</v>
      </c>
      <c r="L1477" s="45">
        <f>Data!T1475</f>
        <v>5.2083433333333337E-5</v>
      </c>
      <c r="M1477" s="46">
        <f>Data!U1475</f>
        <v>5.0294879823923111E-2</v>
      </c>
      <c r="N1477" s="46" t="str">
        <f>CONCATENATE(Data!W1475," (",Data!V1475,")")</f>
        <v>Exceso Velocidad 40 Km/h (Velocidad máxima: 41 kmh)</v>
      </c>
      <c r="O1477" s="42" t="str">
        <f>IF(Data!V1475&lt;&gt;"",N1477,Data!W1475)</f>
        <v>Exceso Velocidad 40 Km/h (Velocidad máxima: 41 kmh)</v>
      </c>
      <c r="P1477" s="47" t="str">
        <f>Data!X1475</f>
        <v>Válido</v>
      </c>
    </row>
    <row r="1478" spans="1:16">
      <c r="A1478" s="41" t="str">
        <f>Data!A1476</f>
        <v>QLT528</v>
      </c>
      <c r="B1478" s="41" t="str">
        <f>Data!D1476</f>
        <v>Vehicle, Diesel, Frontera Energy Col 2679</v>
      </c>
      <c r="C1478" s="41">
        <f>Data!F1476</f>
        <v>0</v>
      </c>
      <c r="D1478" s="41">
        <f>Data!G1476</f>
        <v>0</v>
      </c>
      <c r="E1478" s="41">
        <f>Data!H1476</f>
        <v>0</v>
      </c>
      <c r="F1478" s="41">
        <f>Data!K1476</f>
        <v>0</v>
      </c>
      <c r="G1478" s="33" t="str">
        <f>Data!M1476</f>
        <v>Exceso Velocidad 40 Km/h</v>
      </c>
      <c r="H1478" s="41" t="str">
        <f>Data!P1476</f>
        <v>ECOPETROL RUBIALES- Quifa - CAÑO SUR: Puerto Gaitan - Rubiales, Puerto Gaitán, Meta, Colombia</v>
      </c>
      <c r="I1478" s="42" t="str">
        <f>Data!Q1476</f>
        <v>Cliente, Vel Max 40 Km/h</v>
      </c>
      <c r="J1478" s="43">
        <f>Data!S1476</f>
        <v>46174.731650335649</v>
      </c>
      <c r="K1478" s="44">
        <f>Data!S1476</f>
        <v>46174.731650335649</v>
      </c>
      <c r="L1478" s="45">
        <f>Data!T1476</f>
        <v>3.8136574074074074E-5</v>
      </c>
      <c r="M1478" s="46">
        <f>Data!U1476</f>
        <v>3.7296444177627563E-2</v>
      </c>
      <c r="N1478" s="46" t="str">
        <f>CONCATENATE(Data!W1476," (",Data!V1476,")")</f>
        <v>Exceso Velocidad 40 Km/h (Velocidad máxima: 43 kmh)</v>
      </c>
      <c r="O1478" s="42" t="str">
        <f>IF(Data!V1476&lt;&gt;"",N1478,Data!W1476)</f>
        <v>Exceso Velocidad 40 Km/h (Velocidad máxima: 43 kmh)</v>
      </c>
      <c r="P1478" s="47" t="str">
        <f>Data!X1476</f>
        <v>Válido</v>
      </c>
    </row>
    <row r="1479" spans="1:16">
      <c r="A1479" s="41" t="str">
        <f>Data!A1477</f>
        <v>QLT528</v>
      </c>
      <c r="B1479" s="41" t="str">
        <f>Data!D1477</f>
        <v>Vehicle, Diesel, Frontera Energy Col 2679</v>
      </c>
      <c r="C1479" s="41">
        <f>Data!F1477</f>
        <v>0</v>
      </c>
      <c r="D1479" s="41">
        <f>Data!G1477</f>
        <v>0</v>
      </c>
      <c r="E1479" s="41">
        <f>Data!H1477</f>
        <v>0</v>
      </c>
      <c r="F1479" s="41">
        <f>Data!K1477</f>
        <v>0</v>
      </c>
      <c r="G1479" s="33" t="str">
        <f>Data!M1477</f>
        <v>Exceso Velocidad 10 Km/h</v>
      </c>
      <c r="H1479" s="41" t="str">
        <f>Data!P1477</f>
        <v>CAMPAMENTO QUIFA, ECOPETROL RUBIALES- Quifa - CAÑO SUR, Puerto Triunfo - Estacion Policia: Puerto Gaitan - Rubiales, Puerto Gaitán, Meta, Colombia</v>
      </c>
      <c r="I1479" s="42" t="str">
        <f>Data!Q1477</f>
        <v>Vel Max 10 Km/h, Cliente, Vel Max 40 Km/h, Vel Max 30 Km/h</v>
      </c>
      <c r="J1479" s="43">
        <f>Data!S1477</f>
        <v>46174.732729085648</v>
      </c>
      <c r="K1479" s="44">
        <f>Data!S1477</f>
        <v>46174.732729085648</v>
      </c>
      <c r="L1479" s="45">
        <f>Data!T1477</f>
        <v>2.628587962962963E-4</v>
      </c>
      <c r="M1479" s="46">
        <f>Data!U1477</f>
        <v>0.12586846947669983</v>
      </c>
      <c r="N1479" s="46" t="str">
        <f>CONCATENATE(Data!W1477," (",Data!V1477,")")</f>
        <v>Exceso Velocidad 10 Km/h (Velocidad máxima: 27 kmh)</v>
      </c>
      <c r="O1479" s="42" t="str">
        <f>IF(Data!V1477&lt;&gt;"",N1479,Data!W1477)</f>
        <v>Exceso Velocidad 10 Km/h (Velocidad máxima: 27 kmh)</v>
      </c>
      <c r="P1479" s="47" t="str">
        <f>Data!X1477</f>
        <v>Válido</v>
      </c>
    </row>
    <row r="1480" spans="1:16">
      <c r="A1480" s="41" t="str">
        <f>Data!A1478</f>
        <v>QLT528</v>
      </c>
      <c r="B1480" s="41" t="str">
        <f>Data!D1478</f>
        <v>Vehicle, Diesel, Frontera Energy Col 2679</v>
      </c>
      <c r="C1480" s="41">
        <f>Data!F1478</f>
        <v>0</v>
      </c>
      <c r="D1480" s="41">
        <f>Data!G1478</f>
        <v>0</v>
      </c>
      <c r="E1480" s="41">
        <f>Data!H1478</f>
        <v>0</v>
      </c>
      <c r="F1480" s="41">
        <f>Data!K1478</f>
        <v>0</v>
      </c>
      <c r="G1480" s="33" t="str">
        <f>Data!M1478</f>
        <v>Exceso Velocidad 30 Km/h</v>
      </c>
      <c r="H1480" s="41" t="str">
        <f>Data!P1478</f>
        <v>ECOPETROL RUBIALES- Quifa - CAÑO SUR, Puerto Gaitan - Rubiales, Puerto Gaitán, Meta, Colombia, Puerto Triunfo - Estacion Policia: Puerto Gaitan - Rubiales, Puerto Gaitán, Meta, Colombia</v>
      </c>
      <c r="I1480" s="42" t="str">
        <f>Data!Q1478</f>
        <v>Cliente, Vel Max 40 Km/h, Centro de servicios del proveedor, Vel Max 30 Km/h</v>
      </c>
      <c r="J1480" s="43">
        <f>Data!S1478</f>
        <v>46174.7331146875</v>
      </c>
      <c r="K1480" s="44">
        <f>Data!S1478</f>
        <v>46174.7331146875</v>
      </c>
      <c r="L1480" s="45">
        <f>Data!T1478</f>
        <v>8.6990740740740738E-5</v>
      </c>
      <c r="M1480" s="46">
        <f>Data!U1478</f>
        <v>7.0119105279445648E-2</v>
      </c>
      <c r="N1480" s="46" t="str">
        <f>CONCATENATE(Data!W1478," (",Data!V1478,")")</f>
        <v>Exceso Velocidad 30 Km/h (Velocidad máxima: 37 kmh)</v>
      </c>
      <c r="O1480" s="42" t="str">
        <f>IF(Data!V1478&lt;&gt;"",N1480,Data!W1478)</f>
        <v>Exceso Velocidad 30 Km/h (Velocidad máxima: 37 kmh)</v>
      </c>
      <c r="P1480" s="47" t="str">
        <f>Data!X1478</f>
        <v>Válido</v>
      </c>
    </row>
    <row r="1481" spans="1:16">
      <c r="A1481" s="41" t="str">
        <f>Data!A1479</f>
        <v>QLT528</v>
      </c>
      <c r="B1481" s="41" t="str">
        <f>Data!D1479</f>
        <v>Vehicle, Diesel, Frontera Energy Col 2679</v>
      </c>
      <c r="C1481" s="41">
        <f>Data!F1479</f>
        <v>0</v>
      </c>
      <c r="D1481" s="41">
        <f>Data!G1479</f>
        <v>0</v>
      </c>
      <c r="E1481" s="41">
        <f>Data!H1479</f>
        <v>0</v>
      </c>
      <c r="F1481" s="41">
        <f>Data!K1479</f>
        <v>0</v>
      </c>
      <c r="G1481" s="33" t="str">
        <f>Data!M1479</f>
        <v>Exceso Velocidad 10 Km/h</v>
      </c>
      <c r="H1481" s="41" t="str">
        <f>Data!P1479</f>
        <v>ECOPETROL RUBIALES- Quifa - CAÑO SUR, Campamento Quifa - CMA: Puerto Gaitan - Rubiales, Puerto Gaitán, Meta, Colombia</v>
      </c>
      <c r="I1481" s="42" t="str">
        <f>Data!Q1479</f>
        <v>Cliente, Vel Max 40 Km/h, Vel Max 10 Km/h</v>
      </c>
      <c r="J1481" s="43">
        <f>Data!S1479</f>
        <v>46174.733313576391</v>
      </c>
      <c r="K1481" s="44">
        <f>Data!S1479</f>
        <v>46174.733313576391</v>
      </c>
      <c r="L1481" s="45">
        <f>Data!T1479</f>
        <v>8.1089120370370375E-4</v>
      </c>
      <c r="M1481" s="46">
        <f>Data!U1479</f>
        <v>0.53490114212036133</v>
      </c>
      <c r="N1481" s="46" t="str">
        <f>CONCATENATE(Data!W1479," (",Data!V1479,")")</f>
        <v>Exceso Velocidad 10 Km/h (Velocidad máxima: 29 kmh)</v>
      </c>
      <c r="O1481" s="42" t="str">
        <f>IF(Data!V1479&lt;&gt;"",N1481,Data!W1479)</f>
        <v>Exceso Velocidad 10 Km/h (Velocidad máxima: 29 kmh)</v>
      </c>
      <c r="P1481" s="47" t="str">
        <f>Data!X1479</f>
        <v>Válido</v>
      </c>
    </row>
    <row r="1482" spans="1:16">
      <c r="A1482" s="41" t="str">
        <f>Data!A1480</f>
        <v>QLT528</v>
      </c>
      <c r="B1482" s="41" t="str">
        <f>Data!D1480</f>
        <v>Vehicle, Diesel, Frontera Energy Col 2679</v>
      </c>
      <c r="C1482" s="41">
        <f>Data!F1480</f>
        <v>0</v>
      </c>
      <c r="D1482" s="41">
        <f>Data!G1480</f>
        <v>0</v>
      </c>
      <c r="E1482" s="41">
        <f>Data!H1480</f>
        <v>0</v>
      </c>
      <c r="F1482" s="41">
        <f>Data!K1480</f>
        <v>0</v>
      </c>
      <c r="G1482" s="33" t="str">
        <f>Data!M1480</f>
        <v>Exceso Velocidad 10 Km/h</v>
      </c>
      <c r="H1482" s="41" t="str">
        <f>Data!P1480</f>
        <v>ECOPETROL RUBIALES- Quifa - CAÑO SUR, Campamento Quifa - CMA: Vía Sin Nombre, Puerto Gaitán, Meta, Colombia</v>
      </c>
      <c r="I1482" s="42" t="str">
        <f>Data!Q1480</f>
        <v>Cliente, Vel Max 40 Km/h, Vel Max 10 Km/h</v>
      </c>
      <c r="J1482" s="43">
        <f>Data!S1480</f>
        <v>46174.749130543983</v>
      </c>
      <c r="K1482" s="44">
        <f>Data!S1480</f>
        <v>46174.749130543983</v>
      </c>
      <c r="L1482" s="45">
        <f>Data!T1480</f>
        <v>8.2616898148148144E-4</v>
      </c>
      <c r="M1482" s="46">
        <f>Data!U1480</f>
        <v>0.5354350209236145</v>
      </c>
      <c r="N1482" s="46" t="str">
        <f>CONCATENATE(Data!W1480," (",Data!V1480,")")</f>
        <v>Exceso Velocidad 10 Km/h (Velocidad máxima: 30 kmh)</v>
      </c>
      <c r="O1482" s="42" t="str">
        <f>IF(Data!V1480&lt;&gt;"",N1482,Data!W1480)</f>
        <v>Exceso Velocidad 10 Km/h (Velocidad máxima: 30 kmh)</v>
      </c>
      <c r="P1482" s="47" t="str">
        <f>Data!X1480</f>
        <v>Válido</v>
      </c>
    </row>
    <row r="1483" spans="1:16">
      <c r="A1483" s="41" t="str">
        <f>Data!A1481</f>
        <v>QLT528</v>
      </c>
      <c r="B1483" s="41" t="str">
        <f>Data!D1481</f>
        <v>Vehicle, Diesel, Frontera Energy Col 2679</v>
      </c>
      <c r="C1483" s="41">
        <f>Data!F1481</f>
        <v>0</v>
      </c>
      <c r="D1483" s="41">
        <f>Data!G1481</f>
        <v>0</v>
      </c>
      <c r="E1483" s="41">
        <f>Data!H1481</f>
        <v>0</v>
      </c>
      <c r="F1483" s="41">
        <f>Data!K1481</f>
        <v>0</v>
      </c>
      <c r="G1483" s="33" t="str">
        <f>Data!M1481</f>
        <v>Exceso Velocidad 30 Km/h</v>
      </c>
      <c r="H1483" s="41" t="str">
        <f>Data!P1481</f>
        <v>ECOPETROL RUBIALES- Quifa - CAÑO SUR, Puerto Triunfo - Estacion Policia: Puerto Gaitan - Rubiales, Puerto Gaitán, Meta, Colombia</v>
      </c>
      <c r="I1483" s="42" t="str">
        <f>Data!Q1481</f>
        <v>Cliente, Vel Max 40 Km/h, Vel Max 30 Km/h</v>
      </c>
      <c r="J1483" s="43">
        <f>Data!S1481</f>
        <v>46174.750145381942</v>
      </c>
      <c r="K1483" s="44">
        <f>Data!S1481</f>
        <v>46174.750145381942</v>
      </c>
      <c r="L1483" s="45">
        <f>Data!T1481</f>
        <v>3.4975694444444442E-4</v>
      </c>
      <c r="M1483" s="46">
        <f>Data!U1481</f>
        <v>0.28822341561317444</v>
      </c>
      <c r="N1483" s="46" t="str">
        <f>CONCATENATE(Data!W1481," (",Data!V1481,")")</f>
        <v>Exceso Velocidad 30 Km/h (Velocidad máxima: 37 kmh)</v>
      </c>
      <c r="O1483" s="42" t="str">
        <f>IF(Data!V1481&lt;&gt;"",N1483,Data!W1481)</f>
        <v>Exceso Velocidad 30 Km/h (Velocidad máxima: 37 kmh)</v>
      </c>
      <c r="P1483" s="47" t="str">
        <f>Data!X1481</f>
        <v>Válido</v>
      </c>
    </row>
    <row r="1484" spans="1:16">
      <c r="A1484" s="41" t="str">
        <f>Data!A1482</f>
        <v>QLT528</v>
      </c>
      <c r="B1484" s="41" t="str">
        <f>Data!D1482</f>
        <v>Vehicle, Diesel, Frontera Energy Col 2679</v>
      </c>
      <c r="C1484" s="41">
        <f>Data!F1482</f>
        <v>0</v>
      </c>
      <c r="D1484" s="41">
        <f>Data!G1482</f>
        <v>0</v>
      </c>
      <c r="E1484" s="41">
        <f>Data!H1482</f>
        <v>0</v>
      </c>
      <c r="F1484" s="41">
        <f>Data!K1482</f>
        <v>0</v>
      </c>
      <c r="G1484" s="33" t="str">
        <f>Data!M1482</f>
        <v>Exceso Velocidad 30 Km/h</v>
      </c>
      <c r="H1484" s="41" t="str">
        <f>Data!P1482</f>
        <v>ECOPETROL RUBIALES- Quifa - CAÑO SUR, Puerto Triunfo - Estacion Policia: Puerto Gaitan - Rubiales, Puerto Gaitán, Meta, Colombia</v>
      </c>
      <c r="I1484" s="42" t="str">
        <f>Data!Q1482</f>
        <v>Cliente, Vel Max 40 Km/h, Vel Max 30 Km/h</v>
      </c>
      <c r="J1484" s="43">
        <f>Data!S1482</f>
        <v>46174.750617812497</v>
      </c>
      <c r="K1484" s="44">
        <f>Data!S1482</f>
        <v>46174.750617812497</v>
      </c>
      <c r="L1484" s="45">
        <f>Data!T1482</f>
        <v>1.1429398148148148E-4</v>
      </c>
      <c r="M1484" s="46">
        <f>Data!U1482</f>
        <v>9.3411467969417572E-2</v>
      </c>
      <c r="N1484" s="46" t="str">
        <f>CONCATENATE(Data!W1482," (",Data!V1482,")")</f>
        <v>Exceso Velocidad 30 Km/h (Velocidad máxima: 37 kmh)</v>
      </c>
      <c r="O1484" s="42" t="str">
        <f>IF(Data!V1482&lt;&gt;"",N1484,Data!W1482)</f>
        <v>Exceso Velocidad 30 Km/h (Velocidad máxima: 37 kmh)</v>
      </c>
      <c r="P1484" s="47" t="str">
        <f>Data!X1482</f>
        <v>Válido</v>
      </c>
    </row>
    <row r="1485" spans="1:16">
      <c r="A1485" s="41" t="str">
        <f>Data!A1483</f>
        <v>QLT528</v>
      </c>
      <c r="B1485" s="41" t="str">
        <f>Data!D1483</f>
        <v>Vehicle, Diesel, Frontera Energy Col 2679</v>
      </c>
      <c r="C1485" s="41">
        <f>Data!F1483</f>
        <v>0</v>
      </c>
      <c r="D1485" s="41">
        <f>Data!G1483</f>
        <v>0</v>
      </c>
      <c r="E1485" s="41">
        <f>Data!H1483</f>
        <v>0</v>
      </c>
      <c r="F1485" s="41">
        <f>Data!K1483</f>
        <v>0</v>
      </c>
      <c r="G1485" s="33" t="str">
        <f>Data!M1483</f>
        <v>Exceso Velocidad 30 Km/h</v>
      </c>
      <c r="H1485" s="41" t="str">
        <f>Data!P1483</f>
        <v>ECOPETROL RUBIALES- Quifa - CAÑO SUR, Puerto Triunfo - Estacion Policia: Puerto Gaitan - Rubiales, Puerto Gaitán, Meta, Colombia</v>
      </c>
      <c r="I1485" s="42" t="str">
        <f>Data!Q1483</f>
        <v>Cliente, Vel Max 40 Km/h, Vel Max 30 Km/h</v>
      </c>
      <c r="J1485" s="43">
        <f>Data!S1483</f>
        <v>46174.750779849535</v>
      </c>
      <c r="K1485" s="44">
        <f>Data!S1483</f>
        <v>46174.750779849535</v>
      </c>
      <c r="L1485" s="45">
        <f>Data!T1483</f>
        <v>1.375E-5</v>
      </c>
      <c r="M1485" s="46">
        <f>Data!U1483</f>
        <v>9.5417164266109467E-3</v>
      </c>
      <c r="N1485" s="46" t="str">
        <f>CONCATENATE(Data!W1483," (",Data!V1483,")")</f>
        <v>Exceso Velocidad 30 Km/h (Velocidad máxima: 31 kmh)</v>
      </c>
      <c r="O1485" s="42" t="str">
        <f>IF(Data!V1483&lt;&gt;"",N1485,Data!W1483)</f>
        <v>Exceso Velocidad 30 Km/h (Velocidad máxima: 31 kmh)</v>
      </c>
      <c r="P1485" s="47" t="str">
        <f>Data!X1483</f>
        <v>Válido</v>
      </c>
    </row>
    <row r="1486" spans="1:16">
      <c r="A1486" s="41" t="str">
        <f>Data!A1484</f>
        <v>QLT528</v>
      </c>
      <c r="B1486" s="41" t="str">
        <f>Data!D1484</f>
        <v>Vehicle, Diesel, Frontera Energy Col 2679</v>
      </c>
      <c r="C1486" s="41">
        <f>Data!F1484</f>
        <v>0</v>
      </c>
      <c r="D1486" s="41">
        <f>Data!G1484</f>
        <v>0</v>
      </c>
      <c r="E1486" s="41">
        <f>Data!H1484</f>
        <v>0</v>
      </c>
      <c r="F1486" s="41">
        <f>Data!K1484</f>
        <v>0</v>
      </c>
      <c r="G1486" s="33" t="str">
        <f>Data!M1484</f>
        <v>Exceso Velocidad 30 Km/h</v>
      </c>
      <c r="H1486" s="41" t="str">
        <f>Data!P1484</f>
        <v>ECOPETROL RUBIALES- Quifa - CAÑO SUR, Puerto Triunfo - Estacion Policia: Puerto Gaitan - Rubiales, Puerto Gaitán, Meta, Colombia</v>
      </c>
      <c r="I1486" s="42" t="str">
        <f>Data!Q1484</f>
        <v>Cliente, Vel Max 40 Km/h, Vel Max 30 Km/h</v>
      </c>
      <c r="J1486" s="43">
        <f>Data!S1484</f>
        <v>46174.750938032405</v>
      </c>
      <c r="K1486" s="44">
        <f>Data!S1484</f>
        <v>46174.750938032405</v>
      </c>
      <c r="L1486" s="45">
        <f>Data!T1484</f>
        <v>2.4108796296296297E-5</v>
      </c>
      <c r="M1486" s="46">
        <f>Data!U1484</f>
        <v>1.6719674691557884E-2</v>
      </c>
      <c r="N1486" s="46" t="str">
        <f>CONCATENATE(Data!W1484," (",Data!V1484,")")</f>
        <v>Exceso Velocidad 30 Km/h (Velocidad máxima: 32 kmh)</v>
      </c>
      <c r="O1486" s="42" t="str">
        <f>IF(Data!V1484&lt;&gt;"",N1486,Data!W1484)</f>
        <v>Exceso Velocidad 30 Km/h (Velocidad máxima: 32 kmh)</v>
      </c>
      <c r="P1486" s="47" t="str">
        <f>Data!X1484</f>
        <v>Válido</v>
      </c>
    </row>
    <row r="1487" spans="1:16">
      <c r="A1487" s="41" t="str">
        <f>Data!A1485</f>
        <v>QLT528</v>
      </c>
      <c r="B1487" s="41" t="str">
        <f>Data!D1485</f>
        <v>Vehicle, Diesel, Frontera Energy Col 2679</v>
      </c>
      <c r="C1487" s="41">
        <f>Data!F1485</f>
        <v>0</v>
      </c>
      <c r="D1487" s="41">
        <f>Data!G1485</f>
        <v>0</v>
      </c>
      <c r="E1487" s="41">
        <f>Data!H1485</f>
        <v>0</v>
      </c>
      <c r="F1487" s="41">
        <f>Data!K1485</f>
        <v>0</v>
      </c>
      <c r="G1487" s="33" t="str">
        <f>Data!M1485</f>
        <v>Exceso Velocidad 10 Km/h</v>
      </c>
      <c r="H1487" s="41" t="str">
        <f>Data!P1485</f>
        <v>ECOPETROL RUBIALES- Quifa - CAÑO SUR, Puerto Triunfo - Estacion Policia, PUESTRO CONTROL QUIFA: Puerto Gaitan - Rubiales, Puerto Gaitán, Meta, Colombia</v>
      </c>
      <c r="I1487" s="42" t="str">
        <f>Data!Q1485</f>
        <v>Cliente, Vel Max 40 Km/h, Vel Max 30 Km/h, Vel Max 10 Km/h</v>
      </c>
      <c r="J1487" s="43">
        <f>Data!S1485</f>
        <v>46174.751400462963</v>
      </c>
      <c r="K1487" s="44">
        <f>Data!S1485</f>
        <v>46174.751400462963</v>
      </c>
      <c r="L1487" s="45">
        <f>Data!T1485</f>
        <v>3.0196759259259261E-4</v>
      </c>
      <c r="M1487" s="46">
        <f>Data!U1485</f>
        <v>0.18379375338554382</v>
      </c>
      <c r="N1487" s="46" t="str">
        <f>CONCATENATE(Data!W1485," (",Data!V1485,")")</f>
        <v>Exceso Velocidad 10 Km/h (Velocidad máxima: 25 kmh)</v>
      </c>
      <c r="O1487" s="42" t="str">
        <f>IF(Data!V1485&lt;&gt;"",N1487,Data!W1485)</f>
        <v>Exceso Velocidad 10 Km/h (Velocidad máxima: 25 kmh)</v>
      </c>
      <c r="P1487" s="47" t="str">
        <f>Data!X1485</f>
        <v>Válido</v>
      </c>
    </row>
    <row r="1488" spans="1:16">
      <c r="A1488" s="41" t="str">
        <f>Data!A1486</f>
        <v>QLT528</v>
      </c>
      <c r="B1488" s="41" t="str">
        <f>Data!D1486</f>
        <v>Vehicle, Diesel, Frontera Energy Col 2679</v>
      </c>
      <c r="C1488" s="41">
        <f>Data!F1486</f>
        <v>0</v>
      </c>
      <c r="D1488" s="41">
        <f>Data!G1486</f>
        <v>0</v>
      </c>
      <c r="E1488" s="41">
        <f>Data!H1486</f>
        <v>0</v>
      </c>
      <c r="F1488" s="41">
        <f>Data!K1486</f>
        <v>0</v>
      </c>
      <c r="G1488" s="33" t="str">
        <f>Data!M1486</f>
        <v>Exceso Velocidad 30 Km/h</v>
      </c>
      <c r="H1488" s="41" t="str">
        <f>Data!P1486</f>
        <v>ECOPETROL RUBIALES- Quifa - CAÑO SUR, Puerto Triunfo - Estacion Policia: Puerto Gaitan - Rubiales, Puerto Gaitán, Meta, Colombia</v>
      </c>
      <c r="I1488" s="42" t="str">
        <f>Data!Q1486</f>
        <v>Cliente, Vel Max 40 Km/h, Vel Max 30 Km/h</v>
      </c>
      <c r="J1488" s="43">
        <f>Data!S1486</f>
        <v>46174.751972094906</v>
      </c>
      <c r="K1488" s="44">
        <f>Data!S1486</f>
        <v>46174.751972094906</v>
      </c>
      <c r="L1488" s="45">
        <f>Data!T1486</f>
        <v>2.5451388888888887E-4</v>
      </c>
      <c r="M1488" s="46">
        <f>Data!U1486</f>
        <v>0.19939406216144562</v>
      </c>
      <c r="N1488" s="46" t="str">
        <f>CONCATENATE(Data!W1486," (",Data!V1486,")")</f>
        <v>Exceso Velocidad 30 Km/h (Velocidad máxima: 34 kmh)</v>
      </c>
      <c r="O1488" s="42" t="str">
        <f>IF(Data!V1486&lt;&gt;"",N1488,Data!W1486)</f>
        <v>Exceso Velocidad 30 Km/h (Velocidad máxima: 34 kmh)</v>
      </c>
      <c r="P1488" s="47" t="str">
        <f>Data!X1486</f>
        <v>Válido</v>
      </c>
    </row>
    <row r="1489" spans="1:16">
      <c r="A1489" s="41" t="str">
        <f>Data!A1487</f>
        <v>QLT538</v>
      </c>
      <c r="B1489" s="41" t="str">
        <f>Data!D1487</f>
        <v>Vehicle, Diesel, Frontera Energy Col 2679</v>
      </c>
      <c r="C1489" s="41">
        <f>Data!F1487</f>
        <v>0</v>
      </c>
      <c r="D1489" s="41">
        <f>Data!G1487</f>
        <v>0</v>
      </c>
      <c r="E1489" s="41">
        <f>Data!H1487</f>
        <v>0</v>
      </c>
      <c r="F1489" s="41">
        <f>Data!K1487</f>
        <v>0</v>
      </c>
      <c r="G1489" s="33" t="str">
        <f>Data!M1487</f>
        <v>Tiempo en ralentí</v>
      </c>
      <c r="H1489" s="41" t="str">
        <f>Data!P1487</f>
        <v>ECOPETROL RUBIALES- Quifa - CAÑO SUR: Vía La Culebra, Puerto Gaitán, Meta, Colombia</v>
      </c>
      <c r="I1489" s="42" t="str">
        <f>Data!Q1487</f>
        <v>Cliente, Vel Max 40 Km/h</v>
      </c>
      <c r="J1489" s="43">
        <f>Data!S1487</f>
        <v>46174.00592880787</v>
      </c>
      <c r="K1489" s="44">
        <f>Data!S1487</f>
        <v>46174.00592880787</v>
      </c>
      <c r="L1489" s="45">
        <f>Data!T1487</f>
        <v>4.4907407407407405E-3</v>
      </c>
      <c r="M1489" s="46">
        <f>Data!U1487</f>
        <v>4.5392373576760292E-3</v>
      </c>
      <c r="N1489" s="46" t="str">
        <f>CONCATENATE(Data!W1487," (",Data!V1487,")")</f>
        <v>Tiempo en ralentí (Ignición: 1.00)</v>
      </c>
      <c r="O1489" s="42" t="str">
        <f>IF(Data!V1487&lt;&gt;"",N1489,Data!W1487)</f>
        <v>Tiempo en ralentí (Ignición: 1.00)</v>
      </c>
      <c r="P1489" s="47" t="str">
        <f>Data!X1487</f>
        <v>Válido</v>
      </c>
    </row>
    <row r="1490" spans="1:16">
      <c r="A1490" s="41" t="str">
        <f>Data!A1488</f>
        <v>QLT538</v>
      </c>
      <c r="B1490" s="41" t="str">
        <f>Data!D1488</f>
        <v>Vehicle, Diesel, Frontera Energy Col 2679</v>
      </c>
      <c r="C1490" s="41">
        <f>Data!F1488</f>
        <v>0</v>
      </c>
      <c r="D1490" s="41">
        <f>Data!G1488</f>
        <v>0</v>
      </c>
      <c r="E1490" s="41">
        <f>Data!H1488</f>
        <v>0</v>
      </c>
      <c r="F1490" s="41">
        <f>Data!K1488</f>
        <v>0</v>
      </c>
      <c r="G1490" s="33" t="str">
        <f>Data!M1488</f>
        <v>Uso del cinturón de seguridad</v>
      </c>
      <c r="H1490" s="41" t="str">
        <f>Data!P1488</f>
        <v>ECOPETROL RUBIALES- Quifa - CAÑO SUR: Vía La Culebra, Puerto Gaitán, Meta, Colombia</v>
      </c>
      <c r="I1490" s="42" t="str">
        <f>Data!Q1488</f>
        <v>Cliente, Vel Max 40 Km/h</v>
      </c>
      <c r="J1490" s="43">
        <f>Data!S1488</f>
        <v>46174.011438067129</v>
      </c>
      <c r="K1490" s="44">
        <f>Data!S1488</f>
        <v>46174.011438067129</v>
      </c>
      <c r="L1490" s="45">
        <f>Data!T1488</f>
        <v>1.9947916666666668E-4</v>
      </c>
      <c r="M1490" s="46">
        <f>Data!U1488</f>
        <v>8.2688279449939728E-2</v>
      </c>
      <c r="N1490" s="46" t="str">
        <f>CONCATENATE(Data!W1488," (",Data!V1488,")")</f>
        <v>Uso del cinturón de seguridad (Velocidad máxima: 15 kmh Cinturón de seguridad del conductor (1. Desabrochado): 1.00)</v>
      </c>
      <c r="O1490" s="42" t="str">
        <f>IF(Data!V1488&lt;&gt;"",N1490,Data!W1488)</f>
        <v>Uso del cinturón de seguridad (Velocidad máxima: 15 kmh Cinturón de seguridad del conductor (1. Desabrochado): 1.00)</v>
      </c>
      <c r="P1490" s="47" t="str">
        <f>Data!X1488</f>
        <v>Válido</v>
      </c>
    </row>
    <row r="1491" spans="1:16">
      <c r="A1491" s="41" t="str">
        <f>Data!A1489</f>
        <v>QLT538</v>
      </c>
      <c r="B1491" s="41" t="str">
        <f>Data!D1489</f>
        <v>Vehicle, Diesel, Frontera Energy Col 2679</v>
      </c>
      <c r="C1491" s="41">
        <f>Data!F1489</f>
        <v>0</v>
      </c>
      <c r="D1491" s="41">
        <f>Data!G1489</f>
        <v>0</v>
      </c>
      <c r="E1491" s="41">
        <f>Data!H1489</f>
        <v>0</v>
      </c>
      <c r="F1491" s="41">
        <f>Data!K1489</f>
        <v>0</v>
      </c>
      <c r="G1491" s="33" t="str">
        <f>Data!M1489</f>
        <v>Exceso Velocidad 10 Km/h</v>
      </c>
      <c r="H1491" s="41" t="str">
        <f>Data!P1489</f>
        <v>ECOPETROL RUBIALES- Quifa - CAÑO SUR, BATERIA 4: Rb 4 324 126 129 195 14 325 316 143 217 1 26 523 256 28, Puerto Gaitán, Meta, Colombia</v>
      </c>
      <c r="I1491" s="42" t="str">
        <f>Data!Q1489</f>
        <v>Cliente, Vel Max 40 Km/h, Vel Max 10 Km/h</v>
      </c>
      <c r="J1491" s="43">
        <f>Data!S1489</f>
        <v>46174.047295243057</v>
      </c>
      <c r="K1491" s="44">
        <f>Data!S1489</f>
        <v>46174.047295243057</v>
      </c>
      <c r="L1491" s="45">
        <f>Data!T1489</f>
        <v>2.3726861851851853E-4</v>
      </c>
      <c r="M1491" s="46">
        <f>Data!U1489</f>
        <v>5.2955590188503265E-2</v>
      </c>
      <c r="N1491" s="46" t="str">
        <f>CONCATENATE(Data!W1489," (",Data!V1489,")")</f>
        <v>Exceso Velocidad 10 Km/h (Velocidad máxima: 11 kmh)</v>
      </c>
      <c r="O1491" s="42" t="str">
        <f>IF(Data!V1489&lt;&gt;"",N1491,Data!W1489)</f>
        <v>Exceso Velocidad 10 Km/h (Velocidad máxima: 11 kmh)</v>
      </c>
      <c r="P1491" s="47" t="str">
        <f>Data!X1489</f>
        <v>Válido</v>
      </c>
    </row>
    <row r="1492" spans="1:16">
      <c r="A1492" s="41" t="str">
        <f>Data!A1490</f>
        <v>QLT538</v>
      </c>
      <c r="B1492" s="41" t="str">
        <f>Data!D1490</f>
        <v>Vehicle, Diesel, Frontera Energy Col 2679</v>
      </c>
      <c r="C1492" s="41">
        <f>Data!F1490</f>
        <v>0</v>
      </c>
      <c r="D1492" s="41">
        <f>Data!G1490</f>
        <v>0</v>
      </c>
      <c r="E1492" s="41">
        <f>Data!H1490</f>
        <v>0</v>
      </c>
      <c r="F1492" s="41">
        <f>Data!K1490</f>
        <v>0</v>
      </c>
      <c r="G1492" s="33" t="str">
        <f>Data!M1490</f>
        <v>Exceso Velocidad 10 Km/h</v>
      </c>
      <c r="H1492" s="41" t="str">
        <f>Data!P1490</f>
        <v>ECOPETROL RUBIALES- Quifa - CAÑO SUR, BATERIA 4: Rb 4, Puerto Gaitán, Meta, Colombia</v>
      </c>
      <c r="I1492" s="42" t="str">
        <f>Data!Q1490</f>
        <v>Cliente, Vel Max 40 Km/h, Vel Max 10 Km/h</v>
      </c>
      <c r="J1492" s="43">
        <f>Data!S1490</f>
        <v>46174.100638842596</v>
      </c>
      <c r="K1492" s="44">
        <f>Data!S1490</f>
        <v>46174.100638842596</v>
      </c>
      <c r="L1492" s="45">
        <f>Data!T1490</f>
        <v>2.0813657407407407E-4</v>
      </c>
      <c r="M1492" s="46">
        <f>Data!U1490</f>
        <v>5.0523638725280762E-2</v>
      </c>
      <c r="N1492" s="46" t="str">
        <f>CONCATENATE(Data!W1490," (",Data!V1490,")")</f>
        <v>Exceso Velocidad 10 Km/h (Velocidad máxima: 11 kmh)</v>
      </c>
      <c r="O1492" s="42" t="str">
        <f>IF(Data!V1490&lt;&gt;"",N1492,Data!W1490)</f>
        <v>Exceso Velocidad 10 Km/h (Velocidad máxima: 11 kmh)</v>
      </c>
      <c r="P1492" s="47" t="str">
        <f>Data!X1490</f>
        <v>Válido</v>
      </c>
    </row>
    <row r="1493" spans="1:16">
      <c r="A1493" s="41" t="str">
        <f>Data!A1491</f>
        <v>QLT538</v>
      </c>
      <c r="B1493" s="41" t="str">
        <f>Data!D1491</f>
        <v>Vehicle, Diesel, Frontera Energy Col 2679</v>
      </c>
      <c r="C1493" s="41">
        <f>Data!F1491</f>
        <v>0</v>
      </c>
      <c r="D1493" s="41">
        <f>Data!G1491</f>
        <v>0</v>
      </c>
      <c r="E1493" s="41">
        <f>Data!H1491</f>
        <v>0</v>
      </c>
      <c r="F1493" s="41">
        <f>Data!K1491</f>
        <v>0</v>
      </c>
      <c r="G1493" s="33" t="str">
        <f>Data!M1491</f>
        <v>Exceso Velocidad 10 Km/h</v>
      </c>
      <c r="H1493" s="41" t="str">
        <f>Data!P1491</f>
        <v>ECOPETROL RUBIALES- Quifa - CAÑO SUR, BATERIA 4: Rb 4, Puerto Gaitán, Meta, Colombia</v>
      </c>
      <c r="I1493" s="42" t="str">
        <f>Data!Q1491</f>
        <v>Cliente, Vel Max 40 Km/h, Vel Max 10 Km/h</v>
      </c>
      <c r="J1493" s="43">
        <f>Data!S1491</f>
        <v>46174.102691192129</v>
      </c>
      <c r="K1493" s="44">
        <f>Data!S1491</f>
        <v>46174.102691192129</v>
      </c>
      <c r="L1493" s="45">
        <f>Data!T1491</f>
        <v>9.0277777777777774E-4</v>
      </c>
      <c r="M1493" s="46">
        <f>Data!U1491</f>
        <v>0.22012625634670258</v>
      </c>
      <c r="N1493" s="46" t="str">
        <f>CONCATENATE(Data!W1491," (",Data!V1491,")")</f>
        <v>Exceso Velocidad 10 Km/h (Velocidad máxima: 11 kmh)</v>
      </c>
      <c r="O1493" s="42" t="str">
        <f>IF(Data!V1491&lt;&gt;"",N1493,Data!W1491)</f>
        <v>Exceso Velocidad 10 Km/h (Velocidad máxima: 11 kmh)</v>
      </c>
      <c r="P1493" s="47" t="str">
        <f>Data!X1491</f>
        <v>Válido</v>
      </c>
    </row>
    <row r="1494" spans="1:16">
      <c r="A1494" s="41" t="str">
        <f>Data!A1492</f>
        <v>QLT538</v>
      </c>
      <c r="B1494" s="41" t="str">
        <f>Data!D1492</f>
        <v>Vehicle, Diesel, Frontera Energy Col 2679</v>
      </c>
      <c r="C1494" s="41">
        <f>Data!F1492</f>
        <v>0</v>
      </c>
      <c r="D1494" s="41">
        <f>Data!G1492</f>
        <v>0</v>
      </c>
      <c r="E1494" s="41">
        <f>Data!H1492</f>
        <v>0</v>
      </c>
      <c r="F1494" s="41">
        <f>Data!K1492</f>
        <v>0</v>
      </c>
      <c r="G1494" s="33" t="str">
        <f>Data!M1492</f>
        <v>Exceso Velocidad 10 Km/h</v>
      </c>
      <c r="H1494" s="41" t="str">
        <f>Data!P1492</f>
        <v>ECOPETROL RUBIALES- Quifa - CAÑO SUR, BATERIA 4: Rb 4 324 126 129 195 14 325 316 143 217 1 26 523 256 28, Puerto Gaitán, Meta, Colombia</v>
      </c>
      <c r="I1494" s="42" t="str">
        <f>Data!Q1492</f>
        <v>Cliente, Vel Max 40 Km/h, Vel Max 10 Km/h</v>
      </c>
      <c r="J1494" s="43">
        <f>Data!S1492</f>
        <v>46174.104369444445</v>
      </c>
      <c r="K1494" s="44">
        <f>Data!S1492</f>
        <v>46174.104369444445</v>
      </c>
      <c r="L1494" s="45">
        <f>Data!T1492</f>
        <v>2.0487152777777778E-3</v>
      </c>
      <c r="M1494" s="46">
        <f>Data!U1492</f>
        <v>0.53964823484420776</v>
      </c>
      <c r="N1494" s="46" t="str">
        <f>CONCATENATE(Data!W1492," (",Data!V1492,")")</f>
        <v>Exceso Velocidad 10 Km/h (Velocidad máxima: 14 kmh)</v>
      </c>
      <c r="O1494" s="42" t="str">
        <f>IF(Data!V1492&lt;&gt;"",N1494,Data!W1492)</f>
        <v>Exceso Velocidad 10 Km/h (Velocidad máxima: 14 kmh)</v>
      </c>
      <c r="P1494" s="47" t="str">
        <f>Data!X1492</f>
        <v>Válido</v>
      </c>
    </row>
    <row r="1495" spans="1:16">
      <c r="A1495" s="41" t="str">
        <f>Data!A1493</f>
        <v>QLT538</v>
      </c>
      <c r="B1495" s="41" t="str">
        <f>Data!D1493</f>
        <v>Vehicle, Diesel, Frontera Energy Col 2679</v>
      </c>
      <c r="C1495" s="41">
        <f>Data!F1493</f>
        <v>0</v>
      </c>
      <c r="D1495" s="41">
        <f>Data!G1493</f>
        <v>0</v>
      </c>
      <c r="E1495" s="41">
        <f>Data!H1493</f>
        <v>0</v>
      </c>
      <c r="F1495" s="41">
        <f>Data!K1493</f>
        <v>0</v>
      </c>
      <c r="G1495" s="33" t="str">
        <f>Data!M1493</f>
        <v>Exceso Velocidad 10 Km/h</v>
      </c>
      <c r="H1495" s="41" t="str">
        <f>Data!P1493</f>
        <v>ECOPETROL RUBIALES- Quifa - CAÑO SUR, BATERIA 4: Rb 4 324 126 129 195 14 325 316 143 217 1 26 523 256 28, Meta, 502057, Colombia</v>
      </c>
      <c r="I1495" s="42" t="str">
        <f>Data!Q1493</f>
        <v>Cliente, Vel Max 40 Km/h, Vel Max 10 Km/h</v>
      </c>
      <c r="J1495" s="43">
        <f>Data!S1493</f>
        <v>46174.106418159725</v>
      </c>
      <c r="K1495" s="44">
        <f>Data!S1493</f>
        <v>46174.106418159725</v>
      </c>
      <c r="L1495" s="45">
        <f>Data!T1493</f>
        <v>2.1063657407407408E-4</v>
      </c>
      <c r="M1495" s="46">
        <f>Data!U1493</f>
        <v>6.4384713768959045E-2</v>
      </c>
      <c r="N1495" s="46" t="str">
        <f>CONCATENATE(Data!W1493," (",Data!V1493,")")</f>
        <v>Exceso Velocidad 10 Km/h (Velocidad máxima: 13 kmh)</v>
      </c>
      <c r="O1495" s="42" t="str">
        <f>IF(Data!V1493&lt;&gt;"",N1495,Data!W1493)</f>
        <v>Exceso Velocidad 10 Km/h (Velocidad máxima: 13 kmh)</v>
      </c>
      <c r="P1495" s="47" t="str">
        <f>Data!X1493</f>
        <v>Válido</v>
      </c>
    </row>
    <row r="1496" spans="1:16">
      <c r="A1496" s="41" t="str">
        <f>Data!A1494</f>
        <v>QLT538</v>
      </c>
      <c r="B1496" s="41" t="str">
        <f>Data!D1494</f>
        <v>Vehicle, Diesel, Frontera Energy Col 2679</v>
      </c>
      <c r="C1496" s="41">
        <f>Data!F1494</f>
        <v>0</v>
      </c>
      <c r="D1496" s="41">
        <f>Data!G1494</f>
        <v>0</v>
      </c>
      <c r="E1496" s="41">
        <f>Data!H1494</f>
        <v>0</v>
      </c>
      <c r="F1496" s="41">
        <f>Data!K1494</f>
        <v>0</v>
      </c>
      <c r="G1496" s="33" t="str">
        <f>Data!M1494</f>
        <v>Exceso Velocidad 10 Km/h</v>
      </c>
      <c r="H1496" s="41" t="str">
        <f>Data!P1494</f>
        <v>CAMPAMENTO QUIFA, ECOPETROL RUBIALES- Quifa - CAÑO SUR, Puerto Triunfo - Estacion Policia: Puerto Gaitan - Rubiales, Puerto Gaitán, Meta, Colombia</v>
      </c>
      <c r="I1496" s="42" t="str">
        <f>Data!Q1494</f>
        <v>Vel Max 10 Km/h, Cliente, Vel Max 40 Km/h, Vel Max 30 Km/h</v>
      </c>
      <c r="J1496" s="43">
        <f>Data!S1494</f>
        <v>46174.127321990738</v>
      </c>
      <c r="K1496" s="44">
        <f>Data!S1494</f>
        <v>46174.127321990738</v>
      </c>
      <c r="L1496" s="45">
        <f>Data!T1494</f>
        <v>1.0837962962962963E-4</v>
      </c>
      <c r="M1496" s="46">
        <f>Data!U1494</f>
        <v>4.7139637172222137E-2</v>
      </c>
      <c r="N1496" s="46" t="str">
        <f>CONCATENATE(Data!W1494," (",Data!V1494,")")</f>
        <v>Exceso Velocidad 10 Km/h (Velocidad máxima: 19 kmh)</v>
      </c>
      <c r="O1496" s="42" t="str">
        <f>IF(Data!V1494&lt;&gt;"",N1496,Data!W1494)</f>
        <v>Exceso Velocidad 10 Km/h (Velocidad máxima: 19 kmh)</v>
      </c>
      <c r="P1496" s="47" t="str">
        <f>Data!X1494</f>
        <v>Válido</v>
      </c>
    </row>
    <row r="1497" spans="1:16">
      <c r="A1497" s="41" t="str">
        <f>Data!A1495</f>
        <v>QLT538</v>
      </c>
      <c r="B1497" s="41" t="str">
        <f>Data!D1495</f>
        <v>Vehicle, Diesel, Frontera Energy Col 2679</v>
      </c>
      <c r="C1497" s="41">
        <f>Data!F1495</f>
        <v>0</v>
      </c>
      <c r="D1497" s="41">
        <f>Data!G1495</f>
        <v>0</v>
      </c>
      <c r="E1497" s="41">
        <f>Data!H1495</f>
        <v>0</v>
      </c>
      <c r="F1497" s="41">
        <f>Data!K1495</f>
        <v>0</v>
      </c>
      <c r="G1497" s="33" t="str">
        <f>Data!M1495</f>
        <v>Exceso Velocidad 10 Km/h</v>
      </c>
      <c r="H1497" s="41" t="str">
        <f>Data!P1495</f>
        <v>CAMPAMENTO QUIFA, ECOPETROL RUBIALES- Quifa - CAÑO SUR, Puerto Triunfo - Estacion Policia: Puerto Gaitan - Rubiales, Puerto Gaitán, Meta, Colombia</v>
      </c>
      <c r="I1497" s="42" t="str">
        <f>Data!Q1495</f>
        <v>Vel Max 10 Km/h, Cliente, Vel Max 40 Km/h, Vel Max 30 Km/h</v>
      </c>
      <c r="J1497" s="43">
        <f>Data!S1495</f>
        <v>46174.127482974538</v>
      </c>
      <c r="K1497" s="44">
        <f>Data!S1495</f>
        <v>46174.127482974538</v>
      </c>
      <c r="L1497" s="45">
        <f>Data!T1495</f>
        <v>1.6664351851851852E-4</v>
      </c>
      <c r="M1497" s="46">
        <f>Data!U1495</f>
        <v>4.9763817340135574E-2</v>
      </c>
      <c r="N1497" s="46" t="str">
        <f>CONCATENATE(Data!W1495," (",Data!V1495,")")</f>
        <v>Exceso Velocidad 10 Km/h (Velocidad máxima: 14 kmh)</v>
      </c>
      <c r="O1497" s="42" t="str">
        <f>IF(Data!V1495&lt;&gt;"",N1497,Data!W1495)</f>
        <v>Exceso Velocidad 10 Km/h (Velocidad máxima: 14 kmh)</v>
      </c>
      <c r="P1497" s="47" t="str">
        <f>Data!X1495</f>
        <v>Válido</v>
      </c>
    </row>
    <row r="1498" spans="1:16">
      <c r="A1498" s="41" t="str">
        <f>Data!A1496</f>
        <v>QLT538</v>
      </c>
      <c r="B1498" s="41" t="str">
        <f>Data!D1496</f>
        <v>Vehicle, Diesel, Frontera Energy Col 2679</v>
      </c>
      <c r="C1498" s="41">
        <f>Data!F1496</f>
        <v>0</v>
      </c>
      <c r="D1498" s="41">
        <f>Data!G1496</f>
        <v>0</v>
      </c>
      <c r="E1498" s="41">
        <f>Data!H1496</f>
        <v>0</v>
      </c>
      <c r="F1498" s="41">
        <f>Data!K1496</f>
        <v>0</v>
      </c>
      <c r="G1498" s="33" t="str">
        <f>Data!M1496</f>
        <v>Exceso Velocidad 10 Km/h</v>
      </c>
      <c r="H1498" s="41" t="str">
        <f>Data!P1496</f>
        <v>CAMPAMENTO QUIFA, ECOPETROL RUBIALES- Quifa - CAÑO SUR, Puerto Gaitan - Rubiales, Puerto Gaitán, Meta, Colombia, Puerto Triunfo - Estacion Policia: Puerto Gaitan - Rubiales, Puerto Gaitán, Meta, Colombia</v>
      </c>
      <c r="I1498" s="42" t="str">
        <f>Data!Q1496</f>
        <v>Vel Max 10 Km/h, Cliente, Vel Max 40 Km/h, Centro de servicios del proveedor, Vel Max 30 Km/h</v>
      </c>
      <c r="J1498" s="43">
        <f>Data!S1496</f>
        <v>46174.127676261574</v>
      </c>
      <c r="K1498" s="44">
        <f>Data!S1496</f>
        <v>46174.127676261574</v>
      </c>
      <c r="L1498" s="45">
        <f>Data!T1496</f>
        <v>3.903935185185185E-5</v>
      </c>
      <c r="M1498" s="46">
        <f>Data!U1496</f>
        <v>1.3480017893016338E-2</v>
      </c>
      <c r="N1498" s="46" t="str">
        <f>CONCATENATE(Data!W1496," (",Data!V1496,")")</f>
        <v>Exceso Velocidad 10 Km/h (Velocidad máxima: 15 kmh)</v>
      </c>
      <c r="O1498" s="42" t="str">
        <f>IF(Data!V1496&lt;&gt;"",N1498,Data!W1496)</f>
        <v>Exceso Velocidad 10 Km/h (Velocidad máxima: 15 kmh)</v>
      </c>
      <c r="P1498" s="47" t="str">
        <f>Data!X1496</f>
        <v>Válido</v>
      </c>
    </row>
    <row r="1499" spans="1:16">
      <c r="A1499" s="41" t="str">
        <f>Data!A1497</f>
        <v>QLT538</v>
      </c>
      <c r="B1499" s="41" t="str">
        <f>Data!D1497</f>
        <v>Vehicle, Diesel, Frontera Energy Col 2679</v>
      </c>
      <c r="C1499" s="41">
        <f>Data!F1497</f>
        <v>0</v>
      </c>
      <c r="D1499" s="41">
        <f>Data!G1497</f>
        <v>0</v>
      </c>
      <c r="E1499" s="41">
        <f>Data!H1497</f>
        <v>0</v>
      </c>
      <c r="F1499" s="41">
        <f>Data!K1497</f>
        <v>0</v>
      </c>
      <c r="G1499" s="33" t="str">
        <f>Data!M1497</f>
        <v>Exceso Velocidad 10 Km/h</v>
      </c>
      <c r="H1499" s="41" t="str">
        <f>Data!P1497</f>
        <v>ECOPETROL RUBIALES- Quifa - CAÑO SUR, Campamento Quifa - CMA: Puerto Gaitan - Rubiales, Puerto Gaitán, Meta, Colombia</v>
      </c>
      <c r="I1499" s="42" t="str">
        <f>Data!Q1497</f>
        <v>Cliente, Vel Max 40 Km/h, Vel Max 10 Km/h</v>
      </c>
      <c r="J1499" s="43">
        <f>Data!S1497</f>
        <v>46174.128067442129</v>
      </c>
      <c r="K1499" s="44">
        <f>Data!S1497</f>
        <v>46174.128067442129</v>
      </c>
      <c r="L1499" s="45">
        <f>Data!T1497</f>
        <v>1.5627314814814814E-4</v>
      </c>
      <c r="M1499" s="46">
        <f>Data!U1497</f>
        <v>6.7848503589630127E-2</v>
      </c>
      <c r="N1499" s="46" t="str">
        <f>CONCATENATE(Data!W1497," (",Data!V1497,")")</f>
        <v>Exceso Velocidad 10 Km/h (Velocidad máxima: 21 kmh)</v>
      </c>
      <c r="O1499" s="42" t="str">
        <f>IF(Data!V1497&lt;&gt;"",N1499,Data!W1497)</f>
        <v>Exceso Velocidad 10 Km/h (Velocidad máxima: 21 kmh)</v>
      </c>
      <c r="P1499" s="47" t="str">
        <f>Data!X1497</f>
        <v>Válido</v>
      </c>
    </row>
    <row r="1500" spans="1:16">
      <c r="A1500" s="41" t="str">
        <f>Data!A1498</f>
        <v>QLT538</v>
      </c>
      <c r="B1500" s="41" t="str">
        <f>Data!D1498</f>
        <v>Vehicle, Diesel, Frontera Energy Col 2679</v>
      </c>
      <c r="C1500" s="41">
        <f>Data!F1498</f>
        <v>0</v>
      </c>
      <c r="D1500" s="41">
        <f>Data!G1498</f>
        <v>0</v>
      </c>
      <c r="E1500" s="41">
        <f>Data!H1498</f>
        <v>0</v>
      </c>
      <c r="F1500" s="41">
        <f>Data!K1498</f>
        <v>0</v>
      </c>
      <c r="G1500" s="33" t="str">
        <f>Data!M1498</f>
        <v>Exceso Velocidad 10 Km/h</v>
      </c>
      <c r="H1500" s="41" t="str">
        <f>Data!P1498</f>
        <v>ECOPETROL RUBIALES- Quifa - CAÑO SUR, Campamento Quifa - CMA: Puerto Gaitan - Rubiales, Puerto Gaitán, Meta, Colombia</v>
      </c>
      <c r="I1500" s="42" t="str">
        <f>Data!Q1498</f>
        <v>Cliente, Vel Max 40 Km/h, Vel Max 10 Km/h</v>
      </c>
      <c r="J1500" s="43">
        <f>Data!S1498</f>
        <v>46174.134438993053</v>
      </c>
      <c r="K1500" s="44">
        <f>Data!S1498</f>
        <v>46174.134438993053</v>
      </c>
      <c r="L1500" s="45">
        <f>Data!T1498</f>
        <v>2.233912037037037E-4</v>
      </c>
      <c r="M1500" s="46">
        <f>Data!U1498</f>
        <v>5.8877520263195038E-2</v>
      </c>
      <c r="N1500" s="46" t="str">
        <f>CONCATENATE(Data!W1498," (",Data!V1498,")")</f>
        <v>Exceso Velocidad 10 Km/h (Velocidad máxima: 11 kmh)</v>
      </c>
      <c r="O1500" s="42" t="str">
        <f>IF(Data!V1498&lt;&gt;"",N1500,Data!W1498)</f>
        <v>Exceso Velocidad 10 Km/h (Velocidad máxima: 11 kmh)</v>
      </c>
      <c r="P1500" s="47" t="str">
        <f>Data!X1498</f>
        <v>Válido</v>
      </c>
    </row>
    <row r="1501" spans="1:16">
      <c r="A1501" s="41" t="str">
        <f>Data!A1499</f>
        <v>QLT538</v>
      </c>
      <c r="B1501" s="41" t="str">
        <f>Data!D1499</f>
        <v>Vehicle, Diesel, Frontera Energy Col 2679</v>
      </c>
      <c r="C1501" s="41">
        <f>Data!F1499</f>
        <v>0</v>
      </c>
      <c r="D1501" s="41">
        <f>Data!G1499</f>
        <v>0</v>
      </c>
      <c r="E1501" s="41">
        <f>Data!H1499</f>
        <v>0</v>
      </c>
      <c r="F1501" s="41">
        <f>Data!K1499</f>
        <v>0</v>
      </c>
      <c r="G1501" s="33" t="str">
        <f>Data!M1499</f>
        <v>Exceso Velocidad 10 Km/h</v>
      </c>
      <c r="H1501" s="41" t="str">
        <f>Data!P1499</f>
        <v>CAMPAMENTO QUIFA, ECOPETROL RUBIALES- Quifa - CAÑO SUR, Puerto Gaitan - Rubiales, Puerto Gaitán, Meta, Colombia, Puerto Triunfo - Estacion Policia: Ent. CAMPAMENTO, Puerto Gaitán, Meta, Colombia</v>
      </c>
      <c r="I1501" s="42" t="str">
        <f>Data!Q1499</f>
        <v>Vel Max 10 Km/h, Cliente, Vel Max 40 Km/h, Centro de servicios del proveedor, Vel Max 30 Km/h</v>
      </c>
      <c r="J1501" s="43">
        <f>Data!S1499</f>
        <v>46174.135145312503</v>
      </c>
      <c r="K1501" s="44">
        <f>Data!S1499</f>
        <v>46174.135145312503</v>
      </c>
      <c r="L1501" s="45">
        <f>Data!T1499</f>
        <v>2.0473379629629631E-4</v>
      </c>
      <c r="M1501" s="46">
        <f>Data!U1499</f>
        <v>7.4546016752719879E-2</v>
      </c>
      <c r="N1501" s="46" t="str">
        <f>CONCATENATE(Data!W1499," (",Data!V1499,")")</f>
        <v>Exceso Velocidad 10 Km/h (Velocidad máxima: 16 kmh)</v>
      </c>
      <c r="O1501" s="42" t="str">
        <f>IF(Data!V1499&lt;&gt;"",N1501,Data!W1499)</f>
        <v>Exceso Velocidad 10 Km/h (Velocidad máxima: 16 kmh)</v>
      </c>
      <c r="P1501" s="47" t="str">
        <f>Data!X1499</f>
        <v>Válido</v>
      </c>
    </row>
    <row r="1502" spans="1:16">
      <c r="A1502" s="41" t="str">
        <f>Data!A1500</f>
        <v>QLT538</v>
      </c>
      <c r="B1502" s="41" t="str">
        <f>Data!D1500</f>
        <v>Vehicle, Diesel, Frontera Energy Col 2679</v>
      </c>
      <c r="C1502" s="41">
        <f>Data!F1500</f>
        <v>0</v>
      </c>
      <c r="D1502" s="41">
        <f>Data!G1500</f>
        <v>0</v>
      </c>
      <c r="E1502" s="41">
        <f>Data!H1500</f>
        <v>0</v>
      </c>
      <c r="F1502" s="41">
        <f>Data!K1500</f>
        <v>0</v>
      </c>
      <c r="G1502" s="33" t="str">
        <f>Data!M1500</f>
        <v>Exceso Velocidad 10 Km/h</v>
      </c>
      <c r="H1502" s="41" t="str">
        <f>Data!P1500</f>
        <v>CAMPAMENTO QUIFA, ECOPETROL RUBIALES- Quifa - CAÑO SUR, Puerto Triunfo - Estacion Policia: Puerto Gaitan - Rubiales, Puerto Gaitán, Meta, Colombia</v>
      </c>
      <c r="I1502" s="42" t="str">
        <f>Data!Q1500</f>
        <v>Vel Max 10 Km/h, Cliente, Vel Max 40 Km/h, Vel Max 30 Km/h</v>
      </c>
      <c r="J1502" s="43">
        <f>Data!S1500</f>
        <v>46174.135384224537</v>
      </c>
      <c r="K1502" s="44">
        <f>Data!S1500</f>
        <v>46174.135384224537</v>
      </c>
      <c r="L1502" s="45">
        <f>Data!T1500</f>
        <v>1.750462962962963E-4</v>
      </c>
      <c r="M1502" s="46">
        <f>Data!U1500</f>
        <v>6.8960472941398621E-2</v>
      </c>
      <c r="N1502" s="46" t="str">
        <f>CONCATENATE(Data!W1500," (",Data!V1500,")")</f>
        <v>Exceso Velocidad 10 Km/h (Velocidad máxima: 16 kmh)</v>
      </c>
      <c r="O1502" s="42" t="str">
        <f>IF(Data!V1500&lt;&gt;"",N1502,Data!W1500)</f>
        <v>Exceso Velocidad 10 Km/h (Velocidad máxima: 16 kmh)</v>
      </c>
      <c r="P1502" s="47" t="str">
        <f>Data!X1500</f>
        <v>Válido</v>
      </c>
    </row>
    <row r="1503" spans="1:16">
      <c r="A1503" s="41" t="str">
        <f>Data!A1501</f>
        <v>QLT538</v>
      </c>
      <c r="B1503" s="41" t="str">
        <f>Data!D1501</f>
        <v>Vehicle, Diesel, Frontera Energy Col 2679</v>
      </c>
      <c r="C1503" s="41">
        <f>Data!F1501</f>
        <v>0</v>
      </c>
      <c r="D1503" s="41">
        <f>Data!G1501</f>
        <v>0</v>
      </c>
      <c r="E1503" s="41">
        <f>Data!H1501</f>
        <v>0</v>
      </c>
      <c r="F1503" s="41">
        <f>Data!K1501</f>
        <v>0</v>
      </c>
      <c r="G1503" s="33" t="str">
        <f>Data!M1501</f>
        <v>Exceso Velocidad 10 Km/h</v>
      </c>
      <c r="H1503" s="41" t="str">
        <f>Data!P1501</f>
        <v>CAMPAMENTO QUIFA, ECOPETROL RUBIALES- Quifa - CAÑO SUR, Puerto Triunfo - Estacion Policia: Puerto Gaitan - Rubiales, Puerto Gaitán, Meta, Colombia</v>
      </c>
      <c r="I1503" s="42" t="str">
        <f>Data!Q1501</f>
        <v>Vel Max 10 Km/h, Cliente, Vel Max 40 Km/h, Vel Max 30 Km/h</v>
      </c>
      <c r="J1503" s="43">
        <f>Data!S1501</f>
        <v>46174.193443796299</v>
      </c>
      <c r="K1503" s="44">
        <f>Data!S1501</f>
        <v>46174.193443796299</v>
      </c>
      <c r="L1503" s="45">
        <f>Data!T1501</f>
        <v>9.9791666666666662E-5</v>
      </c>
      <c r="M1503" s="46">
        <f>Data!U1501</f>
        <v>4.0219400078058243E-2</v>
      </c>
      <c r="N1503" s="46" t="str">
        <f>CONCATENATE(Data!W1501," (",Data!V1501,")")</f>
        <v>Exceso Velocidad 10 Km/h (Velocidad máxima: 20 kmh)</v>
      </c>
      <c r="O1503" s="42" t="str">
        <f>IF(Data!V1501&lt;&gt;"",N1503,Data!W1501)</f>
        <v>Exceso Velocidad 10 Km/h (Velocidad máxima: 20 kmh)</v>
      </c>
      <c r="P1503" s="47" t="str">
        <f>Data!X1501</f>
        <v>Válido</v>
      </c>
    </row>
    <row r="1504" spans="1:16">
      <c r="A1504" s="41" t="str">
        <f>Data!A1502</f>
        <v>QLT538</v>
      </c>
      <c r="B1504" s="41" t="str">
        <f>Data!D1502</f>
        <v>Vehicle, Diesel, Frontera Energy Col 2679</v>
      </c>
      <c r="C1504" s="41">
        <f>Data!F1502</f>
        <v>0</v>
      </c>
      <c r="D1504" s="41">
        <f>Data!G1502</f>
        <v>0</v>
      </c>
      <c r="E1504" s="41">
        <f>Data!H1502</f>
        <v>0</v>
      </c>
      <c r="F1504" s="41">
        <f>Data!K1502</f>
        <v>0</v>
      </c>
      <c r="G1504" s="33" t="str">
        <f>Data!M1502</f>
        <v>Exceso Velocidad 10 Km/h</v>
      </c>
      <c r="H1504" s="41" t="str">
        <f>Data!P1502</f>
        <v>CAMPAMENTO QUIFA, ECOPETROL RUBIALES- Quifa - CAÑO SUR, Puerto Triunfo - Estacion Policia: Puerto Gaitan - Rubiales, Puerto Gaitán, Meta, Colombia</v>
      </c>
      <c r="I1504" s="42" t="str">
        <f>Data!Q1502</f>
        <v>Vel Max 10 Km/h, Cliente, Vel Max 40 Km/h, Vel Max 30 Km/h</v>
      </c>
      <c r="J1504" s="43">
        <f>Data!S1502</f>
        <v>46174.19357059028</v>
      </c>
      <c r="K1504" s="44">
        <f>Data!S1502</f>
        <v>46174.19357059028</v>
      </c>
      <c r="L1504" s="45">
        <f>Data!T1502</f>
        <v>1.8396990740740741E-4</v>
      </c>
      <c r="M1504" s="46">
        <f>Data!U1502</f>
        <v>7.3787860572338104E-2</v>
      </c>
      <c r="N1504" s="46" t="str">
        <f>CONCATENATE(Data!W1502," (",Data!V1502,")")</f>
        <v>Exceso Velocidad 10 Km/h (Velocidad máxima: 20 kmh)</v>
      </c>
      <c r="O1504" s="42" t="str">
        <f>IF(Data!V1502&lt;&gt;"",N1504,Data!W1502)</f>
        <v>Exceso Velocidad 10 Km/h (Velocidad máxima: 20 kmh)</v>
      </c>
      <c r="P1504" s="47" t="str">
        <f>Data!X1502</f>
        <v>Válido</v>
      </c>
    </row>
    <row r="1505" spans="1:16">
      <c r="A1505" s="41" t="str">
        <f>Data!A1503</f>
        <v>QLT538</v>
      </c>
      <c r="B1505" s="41" t="str">
        <f>Data!D1503</f>
        <v>Vehicle, Diesel, Frontera Energy Col 2679</v>
      </c>
      <c r="C1505" s="41">
        <f>Data!F1503</f>
        <v>0</v>
      </c>
      <c r="D1505" s="41">
        <f>Data!G1503</f>
        <v>0</v>
      </c>
      <c r="E1505" s="41">
        <f>Data!H1503</f>
        <v>0</v>
      </c>
      <c r="F1505" s="41">
        <f>Data!K1503</f>
        <v>0</v>
      </c>
      <c r="G1505" s="33" t="str">
        <f>Data!M1503</f>
        <v>Exceso Velocidad 30 Km/h</v>
      </c>
      <c r="H1505" s="41" t="str">
        <f>Data!P1503</f>
        <v>ECOPETROL RUBIALES- Quifa - CAÑO SUR, Puerto Triunfo - Estacion Policia: Puerto Gaitan - Rubiales, Puerto Gaitán, Meta, Colombia</v>
      </c>
      <c r="I1505" s="42" t="str">
        <f>Data!Q1503</f>
        <v>Cliente, Vel Max 40 Km/h, Vel Max 30 Km/h</v>
      </c>
      <c r="J1505" s="43">
        <f>Data!S1503</f>
        <v>46174.194188981484</v>
      </c>
      <c r="K1505" s="44">
        <f>Data!S1503</f>
        <v>46174.194188981484</v>
      </c>
      <c r="L1505" s="45">
        <f>Data!T1503</f>
        <v>5.2905092592592592E-5</v>
      </c>
      <c r="M1505" s="46">
        <f>Data!U1503</f>
        <v>3.8293641060590744E-2</v>
      </c>
      <c r="N1505" s="46" t="str">
        <f>CONCATENATE(Data!W1503," (",Data!V1503,")")</f>
        <v>Exceso Velocidad 30 Km/h (Velocidad máxima: 31 kmh)</v>
      </c>
      <c r="O1505" s="42" t="str">
        <f>IF(Data!V1503&lt;&gt;"",N1505,Data!W1503)</f>
        <v>Exceso Velocidad 30 Km/h (Velocidad máxima: 31 kmh)</v>
      </c>
      <c r="P1505" s="47" t="str">
        <f>Data!X1503</f>
        <v>Válido</v>
      </c>
    </row>
    <row r="1506" spans="1:16">
      <c r="A1506" s="41" t="str">
        <f>Data!A1504</f>
        <v>QLT538</v>
      </c>
      <c r="B1506" s="41" t="str">
        <f>Data!D1504</f>
        <v>Vehicle, Diesel, Frontera Energy Col 2679</v>
      </c>
      <c r="C1506" s="41">
        <f>Data!F1504</f>
        <v>0</v>
      </c>
      <c r="D1506" s="41">
        <f>Data!G1504</f>
        <v>0</v>
      </c>
      <c r="E1506" s="41">
        <f>Data!H1504</f>
        <v>0</v>
      </c>
      <c r="F1506" s="41">
        <f>Data!K1504</f>
        <v>0</v>
      </c>
      <c r="G1506" s="33" t="str">
        <f>Data!M1504</f>
        <v>Exceso Velocidad 30 Km/h</v>
      </c>
      <c r="H1506" s="41" t="str">
        <f>Data!P1504</f>
        <v>ECOPETROL RUBIALES- Quifa - CAÑO SUR, Puerto Triunfo - Estacion Policia: Puerto Gaitan - Rubiales, Puerto Gaitán, Meta, Colombia</v>
      </c>
      <c r="I1506" s="42" t="str">
        <f>Data!Q1504</f>
        <v>Cliente, Vel Max 40 Km/h, Vel Max 30 Km/h</v>
      </c>
      <c r="J1506" s="43">
        <f>Data!S1504</f>
        <v>46174.194241886573</v>
      </c>
      <c r="K1506" s="44">
        <f>Data!S1504</f>
        <v>46174.194241886573</v>
      </c>
      <c r="L1506" s="45">
        <f>Data!T1504</f>
        <v>2.9320601851851854E-4</v>
      </c>
      <c r="M1506" s="46">
        <f>Data!U1504</f>
        <v>0.21577966213226318</v>
      </c>
      <c r="N1506" s="46" t="str">
        <f>CONCATENATE(Data!W1504," (",Data!V1504,")")</f>
        <v>Exceso Velocidad 30 Km/h (Velocidad máxima: 31 kmh)</v>
      </c>
      <c r="O1506" s="42" t="str">
        <f>IF(Data!V1504&lt;&gt;"",N1506,Data!W1504)</f>
        <v>Exceso Velocidad 30 Km/h (Velocidad máxima: 31 kmh)</v>
      </c>
      <c r="P1506" s="47" t="str">
        <f>Data!X1504</f>
        <v>Válido</v>
      </c>
    </row>
    <row r="1507" spans="1:16">
      <c r="A1507" s="41" t="str">
        <f>Data!A1505</f>
        <v>QLT538</v>
      </c>
      <c r="B1507" s="41" t="str">
        <f>Data!D1505</f>
        <v>Vehicle, Diesel, Frontera Energy Col 2679</v>
      </c>
      <c r="C1507" s="41">
        <f>Data!F1505</f>
        <v>0</v>
      </c>
      <c r="D1507" s="41">
        <f>Data!G1505</f>
        <v>0</v>
      </c>
      <c r="E1507" s="41">
        <f>Data!H1505</f>
        <v>0</v>
      </c>
      <c r="F1507" s="41">
        <f>Data!K1505</f>
        <v>0</v>
      </c>
      <c r="G1507" s="33" t="str">
        <f>Data!M1505</f>
        <v>Exceso de velocidad (nuevo)</v>
      </c>
      <c r="H1507" s="41" t="str">
        <f>Data!P1505</f>
        <v>ECOPETROL RUBIALES- Quifa - CAÑO SUR, Puerto Triunfo - Estacion Policia: Puerto Gaitan - Rubiales, Puerto Gaitán, Meta, Colombia</v>
      </c>
      <c r="I1507" s="42" t="str">
        <f>Data!Q1505</f>
        <v>Cliente, Vel Max 40 Km/h, Vel Max 30 Km/h</v>
      </c>
      <c r="J1507" s="43">
        <f>Data!S1505</f>
        <v>46174.195283553243</v>
      </c>
      <c r="K1507" s="44">
        <f>Data!S1505</f>
        <v>46174.195283553243</v>
      </c>
      <c r="L1507" s="45">
        <f>Data!T1505</f>
        <v>5.5555555555555556E-4</v>
      </c>
      <c r="M1507" s="46">
        <f>Data!U1505</f>
        <v>0.30516701936721802</v>
      </c>
      <c r="N1507" s="46" t="str">
        <f>CONCATENATE(Data!W1505," (",Data!V1505,")")</f>
        <v>Exceso de velocidad (nuevo) (Velocidad máxima: 27 kmh (Velocidad máxima en carretera: 7 kmh))</v>
      </c>
      <c r="O1507" s="42" t="str">
        <f>IF(Data!V1505&lt;&gt;"",N1507,Data!W1505)</f>
        <v>Exceso de velocidad (nuevo) (Velocidad máxima: 27 kmh (Velocidad máxima en carretera: 7 kmh))</v>
      </c>
      <c r="P1507" s="47" t="str">
        <f>Data!X1505</f>
        <v>Válido</v>
      </c>
    </row>
    <row r="1508" spans="1:16">
      <c r="A1508" s="41" t="str">
        <f>Data!A1506</f>
        <v>QLT538</v>
      </c>
      <c r="B1508" s="41" t="str">
        <f>Data!D1506</f>
        <v>Vehicle, Diesel, Frontera Energy Col 2679</v>
      </c>
      <c r="C1508" s="41">
        <f>Data!F1506</f>
        <v>0</v>
      </c>
      <c r="D1508" s="41">
        <f>Data!G1506</f>
        <v>0</v>
      </c>
      <c r="E1508" s="41">
        <f>Data!H1506</f>
        <v>0</v>
      </c>
      <c r="F1508" s="41">
        <f>Data!K1506</f>
        <v>0</v>
      </c>
      <c r="G1508" s="33" t="str">
        <f>Data!M1506</f>
        <v>Exceso Velocidad 10 Km/h</v>
      </c>
      <c r="H1508" s="41" t="str">
        <f>Data!P1506</f>
        <v>ECOPETROL RUBIALES- Quifa - CAÑO SUR, Centralizado de combustible Quifa: Vía Sin Nombre, Puerto Gaitán, Meta, Colombia</v>
      </c>
      <c r="I1508" s="42" t="str">
        <f>Data!Q1506</f>
        <v>Cliente, Vel Max 40 Km/h, Vel Max 10 Km/h</v>
      </c>
      <c r="J1508" s="43">
        <f>Data!S1506</f>
        <v>46174.195919687503</v>
      </c>
      <c r="K1508" s="44">
        <f>Data!S1506</f>
        <v>46174.195919687503</v>
      </c>
      <c r="L1508" s="45">
        <f>Data!T1506</f>
        <v>4.5188657407407406E-4</v>
      </c>
      <c r="M1508" s="46">
        <f>Data!U1506</f>
        <v>0.13130097091197968</v>
      </c>
      <c r="N1508" s="46" t="str">
        <f>CONCATENATE(Data!W1506," (",Data!V1506,")")</f>
        <v>Exceso Velocidad 10 Km/h (Velocidad máxima: 13 kmh)</v>
      </c>
      <c r="O1508" s="42" t="str">
        <f>IF(Data!V1506&lt;&gt;"",N1508,Data!W1506)</f>
        <v>Exceso Velocidad 10 Km/h (Velocidad máxima: 13 kmh)</v>
      </c>
      <c r="P1508" s="47" t="str">
        <f>Data!X1506</f>
        <v>Válido</v>
      </c>
    </row>
    <row r="1509" spans="1:16">
      <c r="A1509" s="41" t="str">
        <f>Data!A1507</f>
        <v>QLT538</v>
      </c>
      <c r="B1509" s="41" t="str">
        <f>Data!D1507</f>
        <v>Vehicle, Diesel, Frontera Energy Col 2679</v>
      </c>
      <c r="C1509" s="41">
        <f>Data!F1507</f>
        <v>0</v>
      </c>
      <c r="D1509" s="41">
        <f>Data!G1507</f>
        <v>0</v>
      </c>
      <c r="E1509" s="41">
        <f>Data!H1507</f>
        <v>0</v>
      </c>
      <c r="F1509" s="41">
        <f>Data!K1507</f>
        <v>0</v>
      </c>
      <c r="G1509" s="33" t="str">
        <f>Data!M1507</f>
        <v>Exceso Velocidad 10 Km/h</v>
      </c>
      <c r="H1509" s="41" t="str">
        <f>Data!P1507</f>
        <v>ECOPETROL RUBIALES- Quifa - CAÑO SUR, Centralizado de combustible Quifa: Vía Sin Nombre, Puerto Gaitán, Meta, Colombia</v>
      </c>
      <c r="I1509" s="42" t="str">
        <f>Data!Q1507</f>
        <v>Cliente, Vel Max 40 Km/h, Vel Max 10 Km/h</v>
      </c>
      <c r="J1509" s="43">
        <f>Data!S1507</f>
        <v>46174.214725914353</v>
      </c>
      <c r="K1509" s="44">
        <f>Data!S1507</f>
        <v>46174.214725914353</v>
      </c>
      <c r="L1509" s="45">
        <f>Data!T1507</f>
        <v>4.4350694444444445E-4</v>
      </c>
      <c r="M1509" s="46">
        <f>Data!U1507</f>
        <v>0.16488735377788544</v>
      </c>
      <c r="N1509" s="46" t="str">
        <f>CONCATENATE(Data!W1507," (",Data!V1507,")")</f>
        <v>Exceso Velocidad 10 Km/h (Velocidad máxima: 17 kmh)</v>
      </c>
      <c r="O1509" s="42" t="str">
        <f>IF(Data!V1507&lt;&gt;"",N1509,Data!W1507)</f>
        <v>Exceso Velocidad 10 Km/h (Velocidad máxima: 17 kmh)</v>
      </c>
      <c r="P1509" s="47" t="str">
        <f>Data!X1507</f>
        <v>Válido</v>
      </c>
    </row>
    <row r="1510" spans="1:16">
      <c r="A1510" s="41" t="str">
        <f>Data!A1508</f>
        <v>QLT538</v>
      </c>
      <c r="B1510" s="41" t="str">
        <f>Data!D1508</f>
        <v>Vehicle, Diesel, Frontera Energy Col 2679</v>
      </c>
      <c r="C1510" s="41">
        <f>Data!F1508</f>
        <v>0</v>
      </c>
      <c r="D1510" s="41">
        <f>Data!G1508</f>
        <v>0</v>
      </c>
      <c r="E1510" s="41">
        <f>Data!H1508</f>
        <v>0</v>
      </c>
      <c r="F1510" s="41">
        <f>Data!K1508</f>
        <v>0</v>
      </c>
      <c r="G1510" s="33" t="str">
        <f>Data!M1508</f>
        <v>Exceso de velocidad (nuevo)</v>
      </c>
      <c r="H1510" s="41" t="str">
        <f>Data!P1508</f>
        <v>ECOPETROL RUBIALES- Quifa - CAÑO SUR: Puerto Gaitan - Rubiales, Puerto Gaitán, Meta, Colombia</v>
      </c>
      <c r="I1510" s="42" t="str">
        <f>Data!Q1508</f>
        <v>Cliente, Vel Max 40 Km/h</v>
      </c>
      <c r="J1510" s="43">
        <f>Data!S1508</f>
        <v>46174.215238078701</v>
      </c>
      <c r="K1510" s="44">
        <f>Data!S1508</f>
        <v>46174.215238078701</v>
      </c>
      <c r="L1510" s="45">
        <f>Data!T1508</f>
        <v>5.439699074074074E-4</v>
      </c>
      <c r="M1510" s="46">
        <f>Data!U1508</f>
        <v>0.30317482352256775</v>
      </c>
      <c r="N1510" s="46" t="str">
        <f>CONCATENATE(Data!W1508," (",Data!V1508,")")</f>
        <v>Exceso de velocidad (nuevo) (Velocidad máxima: 30 kmh (Velocidad máxima en carretera: 7 kmh))</v>
      </c>
      <c r="O1510" s="42" t="str">
        <f>IF(Data!V1508&lt;&gt;"",N1510,Data!W1508)</f>
        <v>Exceso de velocidad (nuevo) (Velocidad máxima: 30 kmh (Velocidad máxima en carretera: 7 kmh))</v>
      </c>
      <c r="P1510" s="47" t="str">
        <f>Data!X1508</f>
        <v>Válido</v>
      </c>
    </row>
    <row r="1511" spans="1:16">
      <c r="A1511" s="41" t="str">
        <f>Data!A1509</f>
        <v>QLT538</v>
      </c>
      <c r="B1511" s="41" t="str">
        <f>Data!D1509</f>
        <v>Vehicle, Diesel, Frontera Energy Col 2679</v>
      </c>
      <c r="C1511" s="41">
        <f>Data!F1509</f>
        <v>0</v>
      </c>
      <c r="D1511" s="41">
        <f>Data!G1509</f>
        <v>0</v>
      </c>
      <c r="E1511" s="41">
        <f>Data!H1509</f>
        <v>0</v>
      </c>
      <c r="F1511" s="41">
        <f>Data!K1509</f>
        <v>0</v>
      </c>
      <c r="G1511" s="33" t="str">
        <f>Data!M1509</f>
        <v>Exceso Velocidad 10 Km/h</v>
      </c>
      <c r="H1511" s="41" t="str">
        <f>Data!P1509</f>
        <v>ECOPETROL RUBIALES- Quifa - CAÑO SUR, Puerto Triunfo - Estacion Policia, PUESTRO CONTROL QUIFA: Puerto Gaitan - Rubiales, Puerto Gaitán, Meta, Colombia</v>
      </c>
      <c r="I1511" s="42" t="str">
        <f>Data!Q1509</f>
        <v>Cliente, Vel Max 40 Km/h, Vel Max 30 Km/h, Vel Max 10 Km/h</v>
      </c>
      <c r="J1511" s="43">
        <f>Data!S1509</f>
        <v>46174.215970694444</v>
      </c>
      <c r="K1511" s="44">
        <f>Data!S1509</f>
        <v>46174.215970694444</v>
      </c>
      <c r="L1511" s="45">
        <f>Data!T1509</f>
        <v>2.9443287037037036E-4</v>
      </c>
      <c r="M1511" s="46">
        <f>Data!U1509</f>
        <v>0.18367443978786469</v>
      </c>
      <c r="N1511" s="46" t="str">
        <f>CONCATENATE(Data!W1509," (",Data!V1509,")")</f>
        <v>Exceso Velocidad 10 Km/h (Velocidad máxima: 27 kmh)</v>
      </c>
      <c r="O1511" s="42" t="str">
        <f>IF(Data!V1509&lt;&gt;"",N1511,Data!W1509)</f>
        <v>Exceso Velocidad 10 Km/h (Velocidad máxima: 27 kmh)</v>
      </c>
      <c r="P1511" s="47" t="str">
        <f>Data!X1509</f>
        <v>Válido</v>
      </c>
    </row>
    <row r="1512" spans="1:16">
      <c r="A1512" s="41" t="str">
        <f>Data!A1510</f>
        <v>QLT538</v>
      </c>
      <c r="B1512" s="41" t="str">
        <f>Data!D1510</f>
        <v>Vehicle, Diesel, Frontera Energy Col 2679</v>
      </c>
      <c r="C1512" s="41">
        <f>Data!F1510</f>
        <v>0</v>
      </c>
      <c r="D1512" s="41">
        <f>Data!G1510</f>
        <v>0</v>
      </c>
      <c r="E1512" s="41">
        <f>Data!H1510</f>
        <v>0</v>
      </c>
      <c r="F1512" s="41">
        <f>Data!K1510</f>
        <v>0</v>
      </c>
      <c r="G1512" s="33" t="str">
        <f>Data!M1510</f>
        <v>Exceso Velocidad 10 Km/h</v>
      </c>
      <c r="H1512" s="41" t="str">
        <f>Data!P1510</f>
        <v>ECOPETROL RUBIALES- Quifa - CAÑO SUR, Puerto Triunfo - Estacion Policia, PUESTRO CONTROL QUIFA: Puerto Gaitan - Rubiales, Puerto Gaitán, Meta, Colombia</v>
      </c>
      <c r="I1512" s="42" t="str">
        <f>Data!Q1510</f>
        <v>Cliente, Vel Max 40 Km/h, Vel Max 30 Km/h, Vel Max 10 Km/h</v>
      </c>
      <c r="J1512" s="43">
        <f>Data!S1510</f>
        <v>46174.224595844906</v>
      </c>
      <c r="K1512" s="44">
        <f>Data!S1510</f>
        <v>46174.224595844906</v>
      </c>
      <c r="L1512" s="45">
        <f>Data!T1510</f>
        <v>3.7783564814814814E-4</v>
      </c>
      <c r="M1512" s="46">
        <f>Data!U1510</f>
        <v>0.18294687569141388</v>
      </c>
      <c r="N1512" s="46" t="str">
        <f>CONCATENATE(Data!W1510," (",Data!V1510,")")</f>
        <v>Exceso Velocidad 10 Km/h (Velocidad máxima: 21 kmh)</v>
      </c>
      <c r="O1512" s="42" t="str">
        <f>IF(Data!V1510&lt;&gt;"",N1512,Data!W1510)</f>
        <v>Exceso Velocidad 10 Km/h (Velocidad máxima: 21 kmh)</v>
      </c>
      <c r="P1512" s="47" t="str">
        <f>Data!X1510</f>
        <v>Válido</v>
      </c>
    </row>
    <row r="1513" spans="1:16">
      <c r="A1513" s="41" t="str">
        <f>Data!A1511</f>
        <v>QLT538</v>
      </c>
      <c r="B1513" s="41" t="str">
        <f>Data!D1511</f>
        <v>Vehicle, Diesel, Frontera Energy Col 2679</v>
      </c>
      <c r="C1513" s="41">
        <f>Data!F1511</f>
        <v>0</v>
      </c>
      <c r="D1513" s="41">
        <f>Data!G1511</f>
        <v>0</v>
      </c>
      <c r="E1513" s="41">
        <f>Data!H1511</f>
        <v>0</v>
      </c>
      <c r="F1513" s="41">
        <f>Data!K1511</f>
        <v>0</v>
      </c>
      <c r="G1513" s="33" t="str">
        <f>Data!M1511</f>
        <v>Exceso Velocidad 10 Km/h</v>
      </c>
      <c r="H1513" s="41" t="str">
        <f>Data!P1511</f>
        <v>CAMPAMENTO QUIFA, ECOPETROL RUBIALES- Quifa - CAÑO SUR, Puerto Gaitan - Rubiales, Puerto Gaitán, Meta, Colombia, Puerto Triunfo - Estacion Policia: Ent. CAMPAMENTO, Puerto Gaitán, Meta, Colombia</v>
      </c>
      <c r="I1513" s="42" t="str">
        <f>Data!Q1511</f>
        <v>Vel Max 10 Km/h, Cliente, Vel Max 40 Km/h, Centro de servicios del proveedor, Vel Max 30 Km/h</v>
      </c>
      <c r="J1513" s="43">
        <f>Data!S1511</f>
        <v>46174.227650358793</v>
      </c>
      <c r="K1513" s="44">
        <f>Data!S1511</f>
        <v>46174.227650358793</v>
      </c>
      <c r="L1513" s="45">
        <f>Data!T1511</f>
        <v>1.8495370370370371E-5</v>
      </c>
      <c r="M1513" s="46">
        <f>Data!U1511</f>
        <v>3.8947127759456635E-3</v>
      </c>
      <c r="N1513" s="46" t="str">
        <f>CONCATENATE(Data!W1511," (",Data!V1511,")")</f>
        <v>Exceso Velocidad 10 Km/h (Velocidad máxima: 11 kmh)</v>
      </c>
      <c r="O1513" s="42" t="str">
        <f>IF(Data!V1511&lt;&gt;"",N1513,Data!W1511)</f>
        <v>Exceso Velocidad 10 Km/h (Velocidad máxima: 11 kmh)</v>
      </c>
      <c r="P1513" s="47" t="str">
        <f>Data!X1511</f>
        <v>Válido</v>
      </c>
    </row>
    <row r="1514" spans="1:16">
      <c r="A1514" s="41" t="str">
        <f>Data!A1512</f>
        <v>QLT538</v>
      </c>
      <c r="B1514" s="41" t="str">
        <f>Data!D1512</f>
        <v>Vehicle, Diesel, Frontera Energy Col 2679</v>
      </c>
      <c r="C1514" s="41">
        <f>Data!F1512</f>
        <v>0</v>
      </c>
      <c r="D1514" s="41">
        <f>Data!G1512</f>
        <v>0</v>
      </c>
      <c r="E1514" s="41">
        <f>Data!H1512</f>
        <v>0</v>
      </c>
      <c r="F1514" s="41">
        <f>Data!K1512</f>
        <v>0</v>
      </c>
      <c r="G1514" s="33" t="str">
        <f>Data!M1512</f>
        <v>Exceso Velocidad 10 Km/h</v>
      </c>
      <c r="H1514" s="41" t="str">
        <f>Data!P1512</f>
        <v>ECOPETROL RUBIALES- Quifa - CAÑO SUR, Puerto Triunfo - Estacion Policia, PUESTRO CONTROL QUIFA: Puerto Gaitan - Rubiales, Puerto Gaitán, Meta, Colombia</v>
      </c>
      <c r="I1514" s="42" t="str">
        <f>Data!Q1512</f>
        <v>Cliente, Vel Max 40 Km/h, Vel Max 30 Km/h, Vel Max 10 Km/h</v>
      </c>
      <c r="J1514" s="43">
        <f>Data!S1512</f>
        <v>46174.261432418978</v>
      </c>
      <c r="K1514" s="44">
        <f>Data!S1512</f>
        <v>46174.261432418978</v>
      </c>
      <c r="L1514" s="45">
        <f>Data!T1512</f>
        <v>3.4381944444444445E-4</v>
      </c>
      <c r="M1514" s="46">
        <f>Data!U1512</f>
        <v>0.15045176446437836</v>
      </c>
      <c r="N1514" s="46" t="str">
        <f>CONCATENATE(Data!W1512," (",Data!V1512,")")</f>
        <v>Exceso Velocidad 10 Km/h (Velocidad máxima: 17 kmh)</v>
      </c>
      <c r="O1514" s="42" t="str">
        <f>IF(Data!V1512&lt;&gt;"",N1514,Data!W1512)</f>
        <v>Exceso Velocidad 10 Km/h (Velocidad máxima: 17 kmh)</v>
      </c>
      <c r="P1514" s="47" t="str">
        <f>Data!X1512</f>
        <v>Válido</v>
      </c>
    </row>
    <row r="1515" spans="1:16">
      <c r="A1515" s="41" t="str">
        <f>Data!A1513</f>
        <v>QLT538</v>
      </c>
      <c r="B1515" s="41" t="str">
        <f>Data!D1513</f>
        <v>Vehicle, Diesel, Frontera Energy Col 2679</v>
      </c>
      <c r="C1515" s="41">
        <f>Data!F1513</f>
        <v>0</v>
      </c>
      <c r="D1515" s="41">
        <f>Data!G1513</f>
        <v>0</v>
      </c>
      <c r="E1515" s="41">
        <f>Data!H1513</f>
        <v>0</v>
      </c>
      <c r="F1515" s="41">
        <f>Data!K1513</f>
        <v>0</v>
      </c>
      <c r="G1515" s="33" t="str">
        <f>Data!M1513</f>
        <v>Exceso Velocidad 10 Km/h</v>
      </c>
      <c r="H1515" s="41" t="str">
        <f>Data!P1513</f>
        <v>ECOPETROL RUBIALES- Quifa - CAÑO SUR, Puerto Triunfo - Estacion Policia, PUESTRO CONTROL QUIFA: Puerto Gaitan - Rubiales, Puerto Gaitán, Meta, Colombia</v>
      </c>
      <c r="I1515" s="42" t="str">
        <f>Data!Q1513</f>
        <v>Cliente, Vel Max 40 Km/h, Vel Max 30 Km/h, Vel Max 10 Km/h</v>
      </c>
      <c r="J1515" s="43">
        <f>Data!S1513</f>
        <v>46174.264137905091</v>
      </c>
      <c r="K1515" s="44">
        <f>Data!S1513</f>
        <v>46174.264137905091</v>
      </c>
      <c r="L1515" s="45">
        <f>Data!T1513</f>
        <v>1.296875E-4</v>
      </c>
      <c r="M1515" s="46">
        <f>Data!U1513</f>
        <v>2.5627128779888153E-2</v>
      </c>
      <c r="N1515" s="46" t="str">
        <f>CONCATENATE(Data!W1513," (",Data!V1513,")")</f>
        <v>Exceso Velocidad 10 Km/h (Velocidad máxima: 12 kmh)</v>
      </c>
      <c r="O1515" s="42" t="str">
        <f>IF(Data!V1513&lt;&gt;"",N1515,Data!W1513)</f>
        <v>Exceso Velocidad 10 Km/h (Velocidad máxima: 12 kmh)</v>
      </c>
      <c r="P1515" s="47" t="str">
        <f>Data!X1513</f>
        <v>Válido</v>
      </c>
    </row>
    <row r="1516" spans="1:16">
      <c r="A1516" s="41" t="str">
        <f>Data!A1514</f>
        <v>QLT538</v>
      </c>
      <c r="B1516" s="41" t="str">
        <f>Data!D1514</f>
        <v>Vehicle, Diesel, Frontera Energy Col 2679</v>
      </c>
      <c r="C1516" s="41">
        <f>Data!F1514</f>
        <v>0</v>
      </c>
      <c r="D1516" s="41">
        <f>Data!G1514</f>
        <v>0</v>
      </c>
      <c r="E1516" s="41">
        <f>Data!H1514</f>
        <v>0</v>
      </c>
      <c r="F1516" s="41">
        <f>Data!K1514</f>
        <v>0</v>
      </c>
      <c r="G1516" s="33" t="str">
        <f>Data!M1514</f>
        <v>Exceso Velocidad 10 Km/h</v>
      </c>
      <c r="H1516" s="41" t="str">
        <f>Data!P1514</f>
        <v>ECOPETROL RUBIALES- Quifa - CAÑO SUR, Puerto Triunfo - Estacion Policia, PUESTRO CONTROL QUIFA: Puerto Gaitan - Rubiales, Puerto Gaitán, Meta, Colombia</v>
      </c>
      <c r="I1516" s="42" t="str">
        <f>Data!Q1514</f>
        <v>Cliente, Vel Max 40 Km/h, Vel Max 30 Km/h, Vel Max 10 Km/h</v>
      </c>
      <c r="J1516" s="43">
        <f>Data!S1514</f>
        <v>46174.264267592589</v>
      </c>
      <c r="K1516" s="44">
        <f>Data!S1514</f>
        <v>46174.264267592589</v>
      </c>
      <c r="L1516" s="45">
        <f>Data!T1514</f>
        <v>4.5934027777777775E-4</v>
      </c>
      <c r="M1516" s="46">
        <f>Data!U1514</f>
        <v>0.17111454904079437</v>
      </c>
      <c r="N1516" s="46" t="str">
        <f>CONCATENATE(Data!W1514," (",Data!V1514,")")</f>
        <v>Exceso Velocidad 10 Km/h (Velocidad máxima: 17 kmh)</v>
      </c>
      <c r="O1516" s="42" t="str">
        <f>IF(Data!V1514&lt;&gt;"",N1516,Data!W1514)</f>
        <v>Exceso Velocidad 10 Km/h (Velocidad máxima: 17 kmh)</v>
      </c>
      <c r="P1516" s="47" t="str">
        <f>Data!X1514</f>
        <v>Válido</v>
      </c>
    </row>
    <row r="1517" spans="1:16">
      <c r="A1517" s="41" t="str">
        <f>Data!A1515</f>
        <v>QLT538</v>
      </c>
      <c r="B1517" s="41" t="str">
        <f>Data!D1515</f>
        <v>Vehicle, Diesel, Frontera Energy Col 2679</v>
      </c>
      <c r="C1517" s="41">
        <f>Data!F1515</f>
        <v>0</v>
      </c>
      <c r="D1517" s="41">
        <f>Data!G1515</f>
        <v>0</v>
      </c>
      <c r="E1517" s="41">
        <f>Data!H1515</f>
        <v>0</v>
      </c>
      <c r="F1517" s="41">
        <f>Data!K1515</f>
        <v>0</v>
      </c>
      <c r="G1517" s="33" t="str">
        <f>Data!M1515</f>
        <v>Exceso de velocidad (nuevo)</v>
      </c>
      <c r="H1517" s="41" t="str">
        <f>Data!P1515</f>
        <v>ECOPETROL RUBIALES- Quifa - CAÑO SUR: Puerto Gaitan - Rubiales, Puerto Gaitán, Meta, Colombia</v>
      </c>
      <c r="I1517" s="42" t="str">
        <f>Data!Q1515</f>
        <v>Cliente, Vel Max 40 Km/h</v>
      </c>
      <c r="J1517" s="43">
        <f>Data!S1515</f>
        <v>46174.265031469906</v>
      </c>
      <c r="K1517" s="44">
        <f>Data!S1515</f>
        <v>46174.265031469906</v>
      </c>
      <c r="L1517" s="45">
        <f>Data!T1515</f>
        <v>1.7974652777777778E-3</v>
      </c>
      <c r="M1517" s="46">
        <f>Data!U1515</f>
        <v>0.77633994817733765</v>
      </c>
      <c r="N1517" s="46" t="str">
        <f>CONCATENATE(Data!W1515," (",Data!V1515,")")</f>
        <v>Exceso de velocidad (nuevo) (Velocidad máxima: 21 kmh (Velocidad máxima en carretera: 7 kmh))</v>
      </c>
      <c r="O1517" s="42" t="str">
        <f>IF(Data!V1515&lt;&gt;"",N1517,Data!W1515)</f>
        <v>Exceso de velocidad (nuevo) (Velocidad máxima: 21 kmh (Velocidad máxima en carretera: 7 kmh))</v>
      </c>
      <c r="P1517" s="47" t="str">
        <f>Data!X1515</f>
        <v>Válido</v>
      </c>
    </row>
    <row r="1518" spans="1:16">
      <c r="A1518" s="41" t="str">
        <f>Data!A1516</f>
        <v>QLT538</v>
      </c>
      <c r="B1518" s="41" t="str">
        <f>Data!D1516</f>
        <v>Vehicle, Diesel, Frontera Energy Col 2679</v>
      </c>
      <c r="C1518" s="41">
        <f>Data!F1516</f>
        <v>0</v>
      </c>
      <c r="D1518" s="41">
        <f>Data!G1516</f>
        <v>0</v>
      </c>
      <c r="E1518" s="41">
        <f>Data!H1516</f>
        <v>0</v>
      </c>
      <c r="F1518" s="41">
        <f>Data!K1516</f>
        <v>0</v>
      </c>
      <c r="G1518" s="33" t="str">
        <f>Data!M1516</f>
        <v>Exceso de velocidad (nuevo)</v>
      </c>
      <c r="H1518" s="41" t="str">
        <f>Data!P1516</f>
        <v>ECOPETROL RUBIALES- Quifa - CAÑO SUR: Vía Sin Nombre, Puerto Gaitán, Meta, Colombia</v>
      </c>
      <c r="I1518" s="42" t="str">
        <f>Data!Q1516</f>
        <v>Cliente, Vel Max 40 Km/h</v>
      </c>
      <c r="J1518" s="43">
        <f>Data!S1516</f>
        <v>46174.26697326389</v>
      </c>
      <c r="K1518" s="44">
        <f>Data!S1516</f>
        <v>46174.26697326389</v>
      </c>
      <c r="L1518" s="45">
        <f>Data!T1516</f>
        <v>7.2025462962962961E-4</v>
      </c>
      <c r="M1518" s="46">
        <f>Data!U1516</f>
        <v>0.46691873669624329</v>
      </c>
      <c r="N1518" s="46" t="str">
        <f>CONCATENATE(Data!W1516," (",Data!V1516,")")</f>
        <v>Exceso de velocidad (nuevo) (Velocidad máxima: 29 kmh (Velocidad máxima en carretera: 7 kmh))</v>
      </c>
      <c r="O1518" s="42" t="str">
        <f>IF(Data!V1516&lt;&gt;"",N1518,Data!W1516)</f>
        <v>Exceso de velocidad (nuevo) (Velocidad máxima: 29 kmh (Velocidad máxima en carretera: 7 kmh))</v>
      </c>
      <c r="P1518" s="47" t="str">
        <f>Data!X1516</f>
        <v>Válido</v>
      </c>
    </row>
    <row r="1519" spans="1:16">
      <c r="A1519" s="41" t="str">
        <f>Data!A1517</f>
        <v>QLT538</v>
      </c>
      <c r="B1519" s="41" t="str">
        <f>Data!D1517</f>
        <v>Vehicle, Diesel, Frontera Energy Col 2679</v>
      </c>
      <c r="C1519" s="41">
        <f>Data!F1517</f>
        <v>0</v>
      </c>
      <c r="D1519" s="41">
        <f>Data!G1517</f>
        <v>0</v>
      </c>
      <c r="E1519" s="41">
        <f>Data!H1517</f>
        <v>0</v>
      </c>
      <c r="F1519" s="41">
        <f>Data!K1517</f>
        <v>0</v>
      </c>
      <c r="G1519" s="33" t="str">
        <f>Data!M1517</f>
        <v>Exceso Velocidad 10 Km/h</v>
      </c>
      <c r="H1519" s="41" t="str">
        <f>Data!P1517</f>
        <v>ECOPETROL RUBIALES- Quifa - CAÑO SUR, Centralizado de combustible Quifa: Vía Sin Nombre, Puerto Gaitán, Meta, Colombia</v>
      </c>
      <c r="I1519" s="42" t="str">
        <f>Data!Q1517</f>
        <v>Cliente, Vel Max 40 Km/h, Vel Max 10 Km/h</v>
      </c>
      <c r="J1519" s="43">
        <f>Data!S1517</f>
        <v>46174.267971296293</v>
      </c>
      <c r="K1519" s="44">
        <f>Data!S1517</f>
        <v>46174.267971296293</v>
      </c>
      <c r="L1519" s="45">
        <f>Data!T1517</f>
        <v>3.2406250000000002E-4</v>
      </c>
      <c r="M1519" s="46">
        <f>Data!U1517</f>
        <v>8.2784950733184814E-2</v>
      </c>
      <c r="N1519" s="46" t="str">
        <f>CONCATENATE(Data!W1517," (",Data!V1517,")")</f>
        <v>Exceso Velocidad 10 Km/h (Velocidad máxima: 11 kmh)</v>
      </c>
      <c r="O1519" s="42" t="str">
        <f>IF(Data!V1517&lt;&gt;"",N1519,Data!W1517)</f>
        <v>Exceso Velocidad 10 Km/h (Velocidad máxima: 11 kmh)</v>
      </c>
      <c r="P1519" s="47" t="str">
        <f>Data!X1517</f>
        <v>Válido</v>
      </c>
    </row>
    <row r="1520" spans="1:16">
      <c r="A1520" s="41" t="str">
        <f>Data!A1518</f>
        <v>QLT538</v>
      </c>
      <c r="B1520" s="41" t="str">
        <f>Data!D1518</f>
        <v>Vehicle, Diesel, Frontera Energy Col 2679</v>
      </c>
      <c r="C1520" s="41">
        <f>Data!F1518</f>
        <v>0</v>
      </c>
      <c r="D1520" s="41">
        <f>Data!G1518</f>
        <v>0</v>
      </c>
      <c r="E1520" s="41">
        <f>Data!H1518</f>
        <v>0</v>
      </c>
      <c r="F1520" s="41">
        <f>Data!K1518</f>
        <v>0</v>
      </c>
      <c r="G1520" s="33" t="str">
        <f>Data!M1518</f>
        <v>Exceso de velocidad (nuevo)</v>
      </c>
      <c r="H1520" s="41" t="str">
        <f>Data!P1518</f>
        <v>ECOPETROL RUBIALES- Quifa - CAÑO SUR: Vía Sin Nombre, Puerto Gaitán, Meta, Colombia</v>
      </c>
      <c r="I1520" s="42" t="str">
        <f>Data!Q1518</f>
        <v>Cliente, Vel Max 40 Km/h</v>
      </c>
      <c r="J1520" s="43">
        <f>Data!S1518</f>
        <v>46174.330154039351</v>
      </c>
      <c r="K1520" s="44">
        <f>Data!S1518</f>
        <v>46174.330154039351</v>
      </c>
      <c r="L1520" s="45">
        <f>Data!T1518</f>
        <v>1.6394675925925925E-3</v>
      </c>
      <c r="M1520" s="46">
        <f>Data!U1518</f>
        <v>0.75372970104217529</v>
      </c>
      <c r="N1520" s="46" t="str">
        <f>CONCATENATE(Data!W1518," (",Data!V1518,")")</f>
        <v>Exceso de velocidad (nuevo) (Velocidad máxima: 20 kmh (Velocidad máxima en carretera: 7 kmh))</v>
      </c>
      <c r="O1520" s="42" t="str">
        <f>IF(Data!V1518&lt;&gt;"",N1520,Data!W1518)</f>
        <v>Exceso de velocidad (nuevo) (Velocidad máxima: 20 kmh (Velocidad máxima en carretera: 7 kmh))</v>
      </c>
      <c r="P1520" s="47" t="str">
        <f>Data!X1518</f>
        <v>Válido</v>
      </c>
    </row>
    <row r="1521" spans="1:16">
      <c r="A1521" s="41" t="str">
        <f>Data!A1519</f>
        <v>QLT538</v>
      </c>
      <c r="B1521" s="41" t="str">
        <f>Data!D1519</f>
        <v>Vehicle, Diesel, Frontera Energy Col 2679</v>
      </c>
      <c r="C1521" s="41">
        <f>Data!F1519</f>
        <v>0</v>
      </c>
      <c r="D1521" s="41">
        <f>Data!G1519</f>
        <v>0</v>
      </c>
      <c r="E1521" s="41">
        <f>Data!H1519</f>
        <v>0</v>
      </c>
      <c r="F1521" s="41">
        <f>Data!K1519</f>
        <v>0</v>
      </c>
      <c r="G1521" s="33" t="str">
        <f>Data!M1519</f>
        <v>Exceso de velocidad (nuevo)</v>
      </c>
      <c r="H1521" s="41" t="str">
        <f>Data!P1519</f>
        <v>ECOPETROL RUBIALES- Quifa - CAÑO SUR: Vía Sin Nombre, Puerto Gaitán, Meta, Colombia</v>
      </c>
      <c r="I1521" s="42" t="str">
        <f>Data!Q1519</f>
        <v>Cliente, Vel Max 40 Km/h</v>
      </c>
      <c r="J1521" s="43">
        <f>Data!S1519</f>
        <v>46174.351585752316</v>
      </c>
      <c r="K1521" s="44">
        <f>Data!S1519</f>
        <v>46174.351585752316</v>
      </c>
      <c r="L1521" s="45">
        <f>Data!T1519</f>
        <v>1.8751157407407408E-3</v>
      </c>
      <c r="M1521" s="46">
        <f>Data!U1519</f>
        <v>1.0111510753631592</v>
      </c>
      <c r="N1521" s="46" t="str">
        <f>CONCATENATE(Data!W1519," (",Data!V1519,")")</f>
        <v>Exceso de velocidad (nuevo) (Velocidad máxima: 27 kmh (Velocidad máxima en carretera: 7 kmh))</v>
      </c>
      <c r="O1521" s="42" t="str">
        <f>IF(Data!V1519&lt;&gt;"",N1521,Data!W1519)</f>
        <v>Exceso de velocidad (nuevo) (Velocidad máxima: 27 kmh (Velocidad máxima en carretera: 7 kmh))</v>
      </c>
      <c r="P1521" s="47" t="str">
        <f>Data!X1519</f>
        <v>Válido</v>
      </c>
    </row>
    <row r="1522" spans="1:16">
      <c r="A1522" s="41" t="str">
        <f>Data!A1520</f>
        <v>QLT538</v>
      </c>
      <c r="B1522" s="41" t="str">
        <f>Data!D1520</f>
        <v>Vehicle, Diesel, Frontera Energy Col 2679</v>
      </c>
      <c r="C1522" s="41">
        <f>Data!F1520</f>
        <v>0</v>
      </c>
      <c r="D1522" s="41">
        <f>Data!G1520</f>
        <v>0</v>
      </c>
      <c r="E1522" s="41">
        <f>Data!H1520</f>
        <v>0</v>
      </c>
      <c r="F1522" s="41">
        <f>Data!K1520</f>
        <v>0</v>
      </c>
      <c r="G1522" s="33" t="str">
        <f>Data!M1520</f>
        <v>Exceso Velocidad 10 Km/h</v>
      </c>
      <c r="H1522" s="41" t="str">
        <f>Data!P1520</f>
        <v>ECOPETROL RUBIALES- Quifa - CAÑO SUR, Puerto Triunfo - Estacion Policia, PUESTRO CONTROL QUIFA: Puerto Gaitan - Rubiales, Puerto Gaitán, Meta, Colombia</v>
      </c>
      <c r="I1522" s="42" t="str">
        <f>Data!Q1520</f>
        <v>Cliente, Vel Max 40 Km/h, Vel Max 30 Km/h, Vel Max 10 Km/h</v>
      </c>
      <c r="J1522" s="43">
        <f>Data!S1520</f>
        <v>46174.353639606481</v>
      </c>
      <c r="K1522" s="44">
        <f>Data!S1520</f>
        <v>46174.353639606481</v>
      </c>
      <c r="L1522" s="45">
        <f>Data!T1520</f>
        <v>3.4981481481481479E-4</v>
      </c>
      <c r="M1522" s="46">
        <f>Data!U1520</f>
        <v>0.1492164134979248</v>
      </c>
      <c r="N1522" s="46" t="str">
        <f>CONCATENATE(Data!W1520," (",Data!V1520,")")</f>
        <v>Exceso Velocidad 10 Km/h (Velocidad máxima: 21 kmh)</v>
      </c>
      <c r="O1522" s="42" t="str">
        <f>IF(Data!V1520&lt;&gt;"",N1522,Data!W1520)</f>
        <v>Exceso Velocidad 10 Km/h (Velocidad máxima: 21 kmh)</v>
      </c>
      <c r="P1522" s="47" t="str">
        <f>Data!X1520</f>
        <v>Válido</v>
      </c>
    </row>
    <row r="1523" spans="1:16">
      <c r="A1523" s="41" t="str">
        <f>Data!A1521</f>
        <v>QLT538</v>
      </c>
      <c r="B1523" s="41" t="str">
        <f>Data!D1521</f>
        <v>Vehicle, Diesel, Frontera Energy Col 2679</v>
      </c>
      <c r="C1523" s="41">
        <f>Data!F1521</f>
        <v>0</v>
      </c>
      <c r="D1523" s="41">
        <f>Data!G1521</f>
        <v>0</v>
      </c>
      <c r="E1523" s="41">
        <f>Data!H1521</f>
        <v>0</v>
      </c>
      <c r="F1523" s="41">
        <f>Data!K1521</f>
        <v>0</v>
      </c>
      <c r="G1523" s="33" t="str">
        <f>Data!M1521</f>
        <v>Tiempo en ralentí</v>
      </c>
      <c r="H1523" s="41" t="str">
        <f>Data!P1521</f>
        <v>ECOPETROL RUBIALES- Quifa - CAÑO SUR, PUESTRO CONTROL QUIFA: Puerto Gaitan - Rubiales, Puerto Gaitán, Meta, Colombia</v>
      </c>
      <c r="I1523" s="42" t="str">
        <f>Data!Q1521</f>
        <v>Cliente, Vel Max 40 Km/h, Vel Max 10 Km/h</v>
      </c>
      <c r="J1523" s="43">
        <f>Data!S1521</f>
        <v>46174.354502534719</v>
      </c>
      <c r="K1523" s="44">
        <f>Data!S1521</f>
        <v>46174.354502534719</v>
      </c>
      <c r="L1523" s="45">
        <f>Data!T1521</f>
        <v>4.8379629629629632E-3</v>
      </c>
      <c r="M1523" s="46">
        <f>Data!U1521</f>
        <v>5.1757898181676865E-3</v>
      </c>
      <c r="N1523" s="46" t="str">
        <f>CONCATENATE(Data!W1521," (",Data!V1521,")")</f>
        <v>Tiempo en ralentí (Ignición: 1.00)</v>
      </c>
      <c r="O1523" s="42" t="str">
        <f>IF(Data!V1521&lt;&gt;"",N1523,Data!W1521)</f>
        <v>Tiempo en ralentí (Ignición: 1.00)</v>
      </c>
      <c r="P1523" s="47" t="str">
        <f>Data!X1521</f>
        <v>Válido</v>
      </c>
    </row>
    <row r="1524" spans="1:16">
      <c r="A1524" s="41" t="str">
        <f>Data!A1522</f>
        <v>QLT538</v>
      </c>
      <c r="B1524" s="41" t="str">
        <f>Data!D1522</f>
        <v>Vehicle, Diesel, Frontera Energy Col 2679</v>
      </c>
      <c r="C1524" s="41">
        <f>Data!F1522</f>
        <v>0</v>
      </c>
      <c r="D1524" s="41">
        <f>Data!G1522</f>
        <v>0</v>
      </c>
      <c r="E1524" s="41">
        <f>Data!H1522</f>
        <v>0</v>
      </c>
      <c r="F1524" s="41">
        <f>Data!K1522</f>
        <v>0</v>
      </c>
      <c r="G1524" s="33" t="str">
        <f>Data!M1522</f>
        <v>Exceso Velocidad 10 Km/h</v>
      </c>
      <c r="H1524" s="41" t="str">
        <f>Data!P1522</f>
        <v>ECOPETROL RUBIALES- Quifa - CAÑO SUR, Puerto Triunfo - Estacion Policia, PUESTRO CONTROL QUIFA: Puerto Gaitan - Rubiales, Puerto Gaitán, Meta, Colombia</v>
      </c>
      <c r="I1524" s="42" t="str">
        <f>Data!Q1522</f>
        <v>Cliente, Vel Max 40 Km/h, Vel Max 30 Km/h, Vel Max 10 Km/h</v>
      </c>
      <c r="J1524" s="43">
        <f>Data!S1522</f>
        <v>46174.366489652777</v>
      </c>
      <c r="K1524" s="44">
        <f>Data!S1522</f>
        <v>46174.366489652777</v>
      </c>
      <c r="L1524" s="45">
        <f>Data!T1522</f>
        <v>5.4406249999999995E-4</v>
      </c>
      <c r="M1524" s="46">
        <f>Data!U1522</f>
        <v>0.18975785374641418</v>
      </c>
      <c r="N1524" s="46" t="str">
        <f>CONCATENATE(Data!W1522," (",Data!V1522,")")</f>
        <v>Exceso Velocidad 10 Km/h (Velocidad máxima: 18 kmh)</v>
      </c>
      <c r="O1524" s="42" t="str">
        <f>IF(Data!V1522&lt;&gt;"",N1524,Data!W1522)</f>
        <v>Exceso Velocidad 10 Km/h (Velocidad máxima: 18 kmh)</v>
      </c>
      <c r="P1524" s="47" t="str">
        <f>Data!X1522</f>
        <v>Válido</v>
      </c>
    </row>
    <row r="1525" spans="1:16">
      <c r="A1525" s="41" t="str">
        <f>Data!A1523</f>
        <v>QLT538</v>
      </c>
      <c r="B1525" s="41" t="str">
        <f>Data!D1523</f>
        <v>Vehicle, Diesel, Frontera Energy Col 2679</v>
      </c>
      <c r="C1525" s="41">
        <f>Data!F1523</f>
        <v>0</v>
      </c>
      <c r="D1525" s="41">
        <f>Data!G1523</f>
        <v>0</v>
      </c>
      <c r="E1525" s="41">
        <f>Data!H1523</f>
        <v>0</v>
      </c>
      <c r="F1525" s="41">
        <f>Data!K1523</f>
        <v>0</v>
      </c>
      <c r="G1525" s="33" t="str">
        <f>Data!M1523</f>
        <v>Exceso Velocidad 10 Km/h</v>
      </c>
      <c r="H1525" s="41" t="str">
        <f>Data!P1523</f>
        <v>CAMPAMENTO QUIFA, ECOPETROL RUBIALES- Quifa - CAÑO SUR, Puerto Gaitan - Rubiales, Puerto Gaitán, Meta, Colombia, Puerto Triunfo - Estacion Policia: Ent. CAMPAMENTO, Puerto Gaitán, Meta, Colombia</v>
      </c>
      <c r="I1525" s="42" t="str">
        <f>Data!Q1523</f>
        <v>Vel Max 10 Km/h, Cliente, Vel Max 40 Km/h, Centro de servicios del proveedor, Vel Max 30 Km/h</v>
      </c>
      <c r="J1525" s="43">
        <f>Data!S1523</f>
        <v>46174.369765833333</v>
      </c>
      <c r="K1525" s="44">
        <f>Data!S1523</f>
        <v>46174.369765833333</v>
      </c>
      <c r="L1525" s="45">
        <f>Data!T1523</f>
        <v>3.8055555555555553E-5</v>
      </c>
      <c r="M1525" s="46">
        <f>Data!U1523</f>
        <v>1.038664486259222E-2</v>
      </c>
      <c r="N1525" s="46" t="str">
        <f>CONCATENATE(Data!W1523," (",Data!V1523,")")</f>
        <v>Exceso Velocidad 10 Km/h (Velocidad máxima: 12 kmh)</v>
      </c>
      <c r="O1525" s="42" t="str">
        <f>IF(Data!V1523&lt;&gt;"",N1525,Data!W1523)</f>
        <v>Exceso Velocidad 10 Km/h (Velocidad máxima: 12 kmh)</v>
      </c>
      <c r="P1525" s="47" t="str">
        <f>Data!X1523</f>
        <v>Válido</v>
      </c>
    </row>
    <row r="1526" spans="1:16">
      <c r="A1526" s="41" t="str">
        <f>Data!A1524</f>
        <v>QLT538</v>
      </c>
      <c r="B1526" s="41" t="str">
        <f>Data!D1524</f>
        <v>Vehicle, Diesel, Frontera Energy Col 2679</v>
      </c>
      <c r="C1526" s="41">
        <f>Data!F1524</f>
        <v>0</v>
      </c>
      <c r="D1526" s="41">
        <f>Data!G1524</f>
        <v>0</v>
      </c>
      <c r="E1526" s="41">
        <f>Data!H1524</f>
        <v>0</v>
      </c>
      <c r="F1526" s="41">
        <f>Data!K1524</f>
        <v>0</v>
      </c>
      <c r="G1526" s="33" t="str">
        <f>Data!M1524</f>
        <v>Exceso Velocidad 10 Km/h</v>
      </c>
      <c r="H1526" s="41" t="str">
        <f>Data!P1524</f>
        <v>CAMPAMENTO QUIFA, ECOPETROL RUBIALES- Quifa - CAÑO SUR, Puerto Gaitan - Rubiales, Puerto Gaitán, Meta, Colombia, Puerto Triunfo - Estacion Policia: Puerto Gaitan - Rubiales, Puerto Gaitán, Meta, Colombia</v>
      </c>
      <c r="I1526" s="42" t="str">
        <f>Data!Q1524</f>
        <v>Vel Max 10 Km/h, Cliente, Vel Max 40 Km/h, Centro de servicios del proveedor, Vel Max 30 Km/h</v>
      </c>
      <c r="J1526" s="43">
        <f>Data!S1524</f>
        <v>46174.369840844905</v>
      </c>
      <c r="K1526" s="44">
        <f>Data!S1524</f>
        <v>46174.369840844905</v>
      </c>
      <c r="L1526" s="45">
        <f>Data!T1524</f>
        <v>1.4814814814814815E-4</v>
      </c>
      <c r="M1526" s="46">
        <f>Data!U1524</f>
        <v>4.7632794827222824E-2</v>
      </c>
      <c r="N1526" s="46" t="str">
        <f>CONCATENATE(Data!W1524," (",Data!V1524,")")</f>
        <v>Exceso Velocidad 10 Km/h (Velocidad máxima: 15 kmh)</v>
      </c>
      <c r="O1526" s="42" t="str">
        <f>IF(Data!V1524&lt;&gt;"",N1526,Data!W1524)</f>
        <v>Exceso Velocidad 10 Km/h (Velocidad máxima: 15 kmh)</v>
      </c>
      <c r="P1526" s="47" t="str">
        <f>Data!X1524</f>
        <v>Válido</v>
      </c>
    </row>
    <row r="1527" spans="1:16">
      <c r="A1527" s="41" t="str">
        <f>Data!A1525</f>
        <v>QLT538</v>
      </c>
      <c r="B1527" s="41" t="str">
        <f>Data!D1525</f>
        <v>Vehicle, Diesel, Frontera Energy Col 2679</v>
      </c>
      <c r="C1527" s="41">
        <f>Data!F1525</f>
        <v>0</v>
      </c>
      <c r="D1527" s="41">
        <f>Data!G1525</f>
        <v>0</v>
      </c>
      <c r="E1527" s="41">
        <f>Data!H1525</f>
        <v>0</v>
      </c>
      <c r="F1527" s="41">
        <f>Data!K1525</f>
        <v>0</v>
      </c>
      <c r="G1527" s="33" t="str">
        <f>Data!M1525</f>
        <v>Exceso Velocidad 10 Km/h</v>
      </c>
      <c r="H1527" s="41" t="str">
        <f>Data!P1525</f>
        <v>CAMPAMENTO QUIFA, ECOPETROL RUBIALES- Quifa - CAÑO SUR, Puerto Triunfo - Estacion Policia: Puerto Gaitan - Rubiales, Puerto Gaitán, Meta, Colombia</v>
      </c>
      <c r="I1527" s="42" t="str">
        <f>Data!Q1525</f>
        <v>Vel Max 10 Km/h, Cliente, Vel Max 40 Km/h, Vel Max 30 Km/h</v>
      </c>
      <c r="J1527" s="43">
        <f>Data!S1525</f>
        <v>46174.370052650462</v>
      </c>
      <c r="K1527" s="44">
        <f>Data!S1525</f>
        <v>46174.370052650462</v>
      </c>
      <c r="L1527" s="45">
        <f>Data!T1525</f>
        <v>1.2206018518518519E-4</v>
      </c>
      <c r="M1527" s="46">
        <f>Data!U1525</f>
        <v>4.0749568492174149E-2</v>
      </c>
      <c r="N1527" s="46" t="str">
        <f>CONCATENATE(Data!W1525," (",Data!V1525,")")</f>
        <v>Exceso Velocidad 10 Km/h (Velocidad máxima: 15 kmh)</v>
      </c>
      <c r="O1527" s="42" t="str">
        <f>IF(Data!V1525&lt;&gt;"",N1527,Data!W1525)</f>
        <v>Exceso Velocidad 10 Km/h (Velocidad máxima: 15 kmh)</v>
      </c>
      <c r="P1527" s="47" t="str">
        <f>Data!X1525</f>
        <v>Válido</v>
      </c>
    </row>
    <row r="1528" spans="1:16">
      <c r="A1528" s="41" t="str">
        <f>Data!A1526</f>
        <v>QLT538</v>
      </c>
      <c r="B1528" s="41" t="str">
        <f>Data!D1526</f>
        <v>Vehicle, Diesel, Frontera Energy Col 2679</v>
      </c>
      <c r="C1528" s="41">
        <f>Data!F1526</f>
        <v>0</v>
      </c>
      <c r="D1528" s="41">
        <f>Data!G1526</f>
        <v>0</v>
      </c>
      <c r="E1528" s="41">
        <f>Data!H1526</f>
        <v>0</v>
      </c>
      <c r="F1528" s="41">
        <f>Data!K1526</f>
        <v>0</v>
      </c>
      <c r="G1528" s="33" t="str">
        <f>Data!M1526</f>
        <v>Tiempo en ralentí</v>
      </c>
      <c r="H1528" s="41" t="str">
        <f>Data!P1526</f>
        <v>ECOPETROL RUBIALES- Quifa - CAÑO SUR: Vía a QF-306, Puerto Gaitán, Meta, Colombia</v>
      </c>
      <c r="I1528" s="42" t="str">
        <f>Data!Q1526</f>
        <v>Cliente, Vel Max 40 Km/h</v>
      </c>
      <c r="J1528" s="43">
        <f>Data!S1526</f>
        <v>46174.440799641205</v>
      </c>
      <c r="K1528" s="44">
        <f>Data!S1526</f>
        <v>46174.440799641205</v>
      </c>
      <c r="L1528" s="45">
        <f>Data!T1526</f>
        <v>5.6588078703703705E-3</v>
      </c>
      <c r="M1528" s="46">
        <f>Data!U1526</f>
        <v>6.3045849092304707E-3</v>
      </c>
      <c r="N1528" s="46" t="str">
        <f>CONCATENATE(Data!W1526," (",Data!V1526,")")</f>
        <v>Tiempo en ralentí (Ignición: 1.00)</v>
      </c>
      <c r="O1528" s="42" t="str">
        <f>IF(Data!V1526&lt;&gt;"",N1528,Data!W1526)</f>
        <v>Tiempo en ralentí (Ignición: 1.00)</v>
      </c>
      <c r="P1528" s="47" t="str">
        <f>Data!X1526</f>
        <v>Válido</v>
      </c>
    </row>
    <row r="1529" spans="1:16">
      <c r="A1529" s="41" t="str">
        <f>Data!A1527</f>
        <v>QLT538</v>
      </c>
      <c r="B1529" s="41" t="str">
        <f>Data!D1527</f>
        <v>Vehicle, Diesel, Frontera Energy Col 2679</v>
      </c>
      <c r="C1529" s="41">
        <f>Data!F1527</f>
        <v>0</v>
      </c>
      <c r="D1529" s="41">
        <f>Data!G1527</f>
        <v>0</v>
      </c>
      <c r="E1529" s="41">
        <f>Data!H1527</f>
        <v>0</v>
      </c>
      <c r="F1529" s="41">
        <f>Data!K1527</f>
        <v>0</v>
      </c>
      <c r="G1529" s="33" t="str">
        <f>Data!M1527</f>
        <v>Tiempo en ralentí</v>
      </c>
      <c r="H1529" s="41" t="str">
        <f>Data!P1527</f>
        <v>ECOPETROL RUBIALES- Quifa - CAÑO SUR: Puerto Gaitan - Rubiales, Puerto Gaitán, Meta, Colombia</v>
      </c>
      <c r="I1529" s="42" t="str">
        <f>Data!Q1527</f>
        <v>Cliente, Vel Max 40 Km/h</v>
      </c>
      <c r="J1529" s="43">
        <f>Data!S1527</f>
        <v>46174.461065729163</v>
      </c>
      <c r="K1529" s="44">
        <f>Data!S1527</f>
        <v>46174.461065729163</v>
      </c>
      <c r="L1529" s="45">
        <f>Data!T1527</f>
        <v>5.0464120370370368E-3</v>
      </c>
      <c r="M1529" s="46">
        <f>Data!U1527</f>
        <v>5.2785915322601795E-3</v>
      </c>
      <c r="N1529" s="46" t="str">
        <f>CONCATENATE(Data!W1527," (",Data!V1527,")")</f>
        <v>Tiempo en ralentí (Ignición: 1.00)</v>
      </c>
      <c r="O1529" s="42" t="str">
        <f>IF(Data!V1527&lt;&gt;"",N1529,Data!W1527)</f>
        <v>Tiempo en ralentí (Ignición: 1.00)</v>
      </c>
      <c r="P1529" s="47" t="str">
        <f>Data!X1527</f>
        <v>Válido</v>
      </c>
    </row>
    <row r="1530" spans="1:16">
      <c r="A1530" s="41" t="str">
        <f>Data!A1528</f>
        <v>QLT538</v>
      </c>
      <c r="B1530" s="41" t="str">
        <f>Data!D1528</f>
        <v>Vehicle, Diesel, Frontera Energy Col 2679</v>
      </c>
      <c r="C1530" s="41">
        <f>Data!F1528</f>
        <v>0</v>
      </c>
      <c r="D1530" s="41">
        <f>Data!G1528</f>
        <v>0</v>
      </c>
      <c r="E1530" s="41">
        <f>Data!H1528</f>
        <v>0</v>
      </c>
      <c r="F1530" s="41">
        <f>Data!K1528</f>
        <v>0</v>
      </c>
      <c r="G1530" s="33" t="str">
        <f>Data!M1528</f>
        <v>Exceso Velocidad 10 Km/h</v>
      </c>
      <c r="H1530" s="41" t="str">
        <f>Data!P1528</f>
        <v>CAMPAMENTO QUIFA, ECOPETROL RUBIALES- Quifa - CAÑO SUR, Puerto Triunfo - Estacion Policia: Puerto Gaitan - Rubiales, Puerto Gaitán, Meta, Colombia</v>
      </c>
      <c r="I1530" s="42" t="str">
        <f>Data!Q1528</f>
        <v>Vel Max 10 Km/h, Cliente, Vel Max 40 Km/h, Vel Max 30 Km/h</v>
      </c>
      <c r="J1530" s="43">
        <f>Data!S1528</f>
        <v>46174.476905648145</v>
      </c>
      <c r="K1530" s="44">
        <f>Data!S1528</f>
        <v>46174.476905648145</v>
      </c>
      <c r="L1530" s="45">
        <f>Data!T1528</f>
        <v>4.392361111111111E-5</v>
      </c>
      <c r="M1530" s="46">
        <f>Data!U1528</f>
        <v>1.6346588730812073E-2</v>
      </c>
      <c r="N1530" s="46" t="str">
        <f>CONCATENATE(Data!W1528," (",Data!V1528,")")</f>
        <v>Exceso Velocidad 10 Km/h (Velocidad máxima: 17 kmh)</v>
      </c>
      <c r="O1530" s="42" t="str">
        <f>IF(Data!V1528&lt;&gt;"",N1530,Data!W1528)</f>
        <v>Exceso Velocidad 10 Km/h (Velocidad máxima: 17 kmh)</v>
      </c>
      <c r="P1530" s="47" t="str">
        <f>Data!X1528</f>
        <v>Válido</v>
      </c>
    </row>
    <row r="1531" spans="1:16">
      <c r="A1531" s="41" t="str">
        <f>Data!A1529</f>
        <v>QLT538</v>
      </c>
      <c r="B1531" s="41" t="str">
        <f>Data!D1529</f>
        <v>Vehicle, Diesel, Frontera Energy Col 2679</v>
      </c>
      <c r="C1531" s="41">
        <f>Data!F1529</f>
        <v>0</v>
      </c>
      <c r="D1531" s="41">
        <f>Data!G1529</f>
        <v>0</v>
      </c>
      <c r="E1531" s="41">
        <f>Data!H1529</f>
        <v>0</v>
      </c>
      <c r="F1531" s="41">
        <f>Data!K1529</f>
        <v>0</v>
      </c>
      <c r="G1531" s="33" t="str">
        <f>Data!M1529</f>
        <v>Exceso Velocidad 10 Km/h</v>
      </c>
      <c r="H1531" s="41" t="str">
        <f>Data!P1529</f>
        <v>CAMPAMENTO QUIFA, ECOPETROL RUBIALES- Quifa - CAÑO SUR, Puerto Triunfo - Estacion Policia: Puerto Gaitan - Rubiales, Puerto Gaitán, Meta, Colombia</v>
      </c>
      <c r="I1531" s="42" t="str">
        <f>Data!Q1529</f>
        <v>Vel Max 10 Km/h, Cliente, Vel Max 40 Km/h, Vel Max 30 Km/h</v>
      </c>
      <c r="J1531" s="43">
        <f>Data!S1529</f>
        <v>46174.476991655094</v>
      </c>
      <c r="K1531" s="44">
        <f>Data!S1529</f>
        <v>46174.476991655094</v>
      </c>
      <c r="L1531" s="45">
        <f>Data!T1529</f>
        <v>2.4305555555555555E-4</v>
      </c>
      <c r="M1531" s="46">
        <f>Data!U1529</f>
        <v>8.2810893654823303E-2</v>
      </c>
      <c r="N1531" s="46" t="str">
        <f>CONCATENATE(Data!W1529," (",Data!V1529,")")</f>
        <v>Exceso Velocidad 10 Km/h (Velocidad máxima: 17 kmh)</v>
      </c>
      <c r="O1531" s="42" t="str">
        <f>IF(Data!V1529&lt;&gt;"",N1531,Data!W1529)</f>
        <v>Exceso Velocidad 10 Km/h (Velocidad máxima: 17 kmh)</v>
      </c>
      <c r="P1531" s="47" t="str">
        <f>Data!X1529</f>
        <v>Válido</v>
      </c>
    </row>
    <row r="1532" spans="1:16">
      <c r="A1532" s="41" t="str">
        <f>Data!A1530</f>
        <v>QLT538</v>
      </c>
      <c r="B1532" s="41" t="str">
        <f>Data!D1530</f>
        <v>Vehicle, Diesel, Frontera Energy Col 2679</v>
      </c>
      <c r="C1532" s="41">
        <f>Data!F1530</f>
        <v>0</v>
      </c>
      <c r="D1532" s="41">
        <f>Data!G1530</f>
        <v>0</v>
      </c>
      <c r="E1532" s="41">
        <f>Data!H1530</f>
        <v>0</v>
      </c>
      <c r="F1532" s="41">
        <f>Data!K1530</f>
        <v>0</v>
      </c>
      <c r="G1532" s="33" t="str">
        <f>Data!M1530</f>
        <v>Exceso de velocidad (nuevo)</v>
      </c>
      <c r="H1532" s="41" t="str">
        <f>Data!P1530</f>
        <v>ECOPETROL RUBIALES- Quifa - CAÑO SUR, Puerto Triunfo - Estacion Policia: Puerto Gaitan - Rubiales, Puerto Gaitán, Meta, Colombia</v>
      </c>
      <c r="I1532" s="42" t="str">
        <f>Data!Q1530</f>
        <v>Cliente, Vel Max 40 Km/h, Vel Max 30 Km/h</v>
      </c>
      <c r="J1532" s="43">
        <f>Data!S1530</f>
        <v>46174.501957743058</v>
      </c>
      <c r="K1532" s="44">
        <f>Data!S1530</f>
        <v>46174.501957743058</v>
      </c>
      <c r="L1532" s="45">
        <f>Data!T1530</f>
        <v>6.6898148148148145E-4</v>
      </c>
      <c r="M1532" s="46">
        <f>Data!U1530</f>
        <v>0.307466059923172</v>
      </c>
      <c r="N1532" s="46" t="str">
        <f>CONCATENATE(Data!W1530," (",Data!V1530,")")</f>
        <v>Exceso de velocidad (nuevo) (Velocidad máxima: 24 kmh (Velocidad máxima en carretera: 7 kmh))</v>
      </c>
      <c r="O1532" s="42" t="str">
        <f>IF(Data!V1530&lt;&gt;"",N1532,Data!W1530)</f>
        <v>Exceso de velocidad (nuevo) (Velocidad máxima: 24 kmh (Velocidad máxima en carretera: 7 kmh))</v>
      </c>
      <c r="P1532" s="47" t="str">
        <f>Data!X1530</f>
        <v>Válido</v>
      </c>
    </row>
    <row r="1533" spans="1:16">
      <c r="A1533" s="41" t="str">
        <f>Data!A1531</f>
        <v>QLT538</v>
      </c>
      <c r="B1533" s="41" t="str">
        <f>Data!D1531</f>
        <v>Vehicle, Diesel, Frontera Energy Col 2679</v>
      </c>
      <c r="C1533" s="41">
        <f>Data!F1531</f>
        <v>0</v>
      </c>
      <c r="D1533" s="41">
        <f>Data!G1531</f>
        <v>0</v>
      </c>
      <c r="E1533" s="41">
        <f>Data!H1531</f>
        <v>0</v>
      </c>
      <c r="F1533" s="41">
        <f>Data!K1531</f>
        <v>0</v>
      </c>
      <c r="G1533" s="33" t="str">
        <f>Data!M1531</f>
        <v>Exceso Velocidad 10 Km/h</v>
      </c>
      <c r="H1533" s="41" t="str">
        <f>Data!P1531</f>
        <v>ECOPETROL RUBIALES- Quifa - CAÑO SUR, Centralizado de combustible Quifa: Vía Sin Nombre, Puerto Gaitán, Meta, Colombia</v>
      </c>
      <c r="I1533" s="42" t="str">
        <f>Data!Q1531</f>
        <v>Cliente, Vel Max 40 Km/h, Vel Max 10 Km/h</v>
      </c>
      <c r="J1533" s="43">
        <f>Data!S1531</f>
        <v>46174.50304570602</v>
      </c>
      <c r="K1533" s="44">
        <f>Data!S1531</f>
        <v>46174.50304570602</v>
      </c>
      <c r="L1533" s="45">
        <f>Data!T1531</f>
        <v>2.5618055555555556E-4</v>
      </c>
      <c r="M1533" s="46">
        <f>Data!U1531</f>
        <v>6.4995422959327698E-2</v>
      </c>
      <c r="N1533" s="46" t="str">
        <f>CONCATENATE(Data!W1531," (",Data!V1531,")")</f>
        <v>Exceso Velocidad 10 Km/h (Velocidad máxima: 11 kmh)</v>
      </c>
      <c r="O1533" s="42" t="str">
        <f>IF(Data!V1531&lt;&gt;"",N1533,Data!W1531)</f>
        <v>Exceso Velocidad 10 Km/h (Velocidad máxima: 11 kmh)</v>
      </c>
      <c r="P1533" s="47" t="str">
        <f>Data!X1531</f>
        <v>Válido</v>
      </c>
    </row>
    <row r="1534" spans="1:16">
      <c r="A1534" s="41" t="str">
        <f>Data!A1532</f>
        <v>QLT538</v>
      </c>
      <c r="B1534" s="41" t="str">
        <f>Data!D1532</f>
        <v>Vehicle, Diesel, Frontera Energy Col 2679</v>
      </c>
      <c r="C1534" s="41">
        <f>Data!F1532</f>
        <v>0</v>
      </c>
      <c r="D1534" s="41">
        <f>Data!G1532</f>
        <v>0</v>
      </c>
      <c r="E1534" s="41">
        <f>Data!H1532</f>
        <v>0</v>
      </c>
      <c r="F1534" s="41">
        <f>Data!K1532</f>
        <v>0</v>
      </c>
      <c r="G1534" s="33" t="str">
        <f>Data!M1532</f>
        <v>Exceso Velocidad 10 Km/h</v>
      </c>
      <c r="H1534" s="41" t="str">
        <f>Data!P1532</f>
        <v>ECOPETROL RUBIALES- Quifa - CAÑO SUR, Centralizado de combustible Quifa: Vía Sin Nombre, Puerto Gaitán, Meta, Colombia</v>
      </c>
      <c r="I1534" s="42" t="str">
        <f>Data!Q1532</f>
        <v>Cliente, Vel Max 40 Km/h, Vel Max 10 Km/h</v>
      </c>
      <c r="J1534" s="43">
        <f>Data!S1532</f>
        <v>46174.532213761573</v>
      </c>
      <c r="K1534" s="44">
        <f>Data!S1532</f>
        <v>46174.532213761573</v>
      </c>
      <c r="L1534" s="45">
        <f>Data!T1532</f>
        <v>5.2268518518518517E-4</v>
      </c>
      <c r="M1534" s="46">
        <f>Data!U1532</f>
        <v>0.12605759501457214</v>
      </c>
      <c r="N1534" s="46" t="str">
        <f>CONCATENATE(Data!W1532," (",Data!V1532,")")</f>
        <v>Exceso Velocidad 10 Km/h (Velocidad máxima: 12 kmh)</v>
      </c>
      <c r="O1534" s="42" t="str">
        <f>IF(Data!V1532&lt;&gt;"",N1534,Data!W1532)</f>
        <v>Exceso Velocidad 10 Km/h (Velocidad máxima: 12 kmh)</v>
      </c>
      <c r="P1534" s="47" t="str">
        <f>Data!X1532</f>
        <v>Válido</v>
      </c>
    </row>
    <row r="1535" spans="1:16">
      <c r="A1535" s="41" t="str">
        <f>Data!A1533</f>
        <v>QLT538</v>
      </c>
      <c r="B1535" s="41" t="str">
        <f>Data!D1533</f>
        <v>Vehicle, Diesel, Frontera Energy Col 2679</v>
      </c>
      <c r="C1535" s="41">
        <f>Data!F1533</f>
        <v>0</v>
      </c>
      <c r="D1535" s="41">
        <f>Data!G1533</f>
        <v>0</v>
      </c>
      <c r="E1535" s="41">
        <f>Data!H1533</f>
        <v>0</v>
      </c>
      <c r="F1535" s="41">
        <f>Data!K1533</f>
        <v>0</v>
      </c>
      <c r="G1535" s="33" t="str">
        <f>Data!M1533</f>
        <v>Exceso de velocidad (nuevo)</v>
      </c>
      <c r="H1535" s="41" t="str">
        <f>Data!P1533</f>
        <v>ECOPETROL RUBIALES- Quifa - CAÑO SUR: Puerto Gaitan - Rubiales, Puerto Gaitán, Meta, Colombia</v>
      </c>
      <c r="I1535" s="42" t="str">
        <f>Data!Q1533</f>
        <v>Cliente, Vel Max 40 Km/h</v>
      </c>
      <c r="J1535" s="43">
        <f>Data!S1533</f>
        <v>46174.532815613427</v>
      </c>
      <c r="K1535" s="44">
        <f>Data!S1533</f>
        <v>46174.532815613427</v>
      </c>
      <c r="L1535" s="45">
        <f>Data!T1533</f>
        <v>4.9782407407407403E-4</v>
      </c>
      <c r="M1535" s="46">
        <f>Data!U1533</f>
        <v>0.29337120056152344</v>
      </c>
      <c r="N1535" s="46" t="str">
        <f>CONCATENATE(Data!W1533," (",Data!V1533,")")</f>
        <v>Exceso de velocidad (nuevo) (Velocidad máxima: 31 kmh (Velocidad máxima en carretera: 7 kmh))</v>
      </c>
      <c r="O1535" s="42" t="str">
        <f>IF(Data!V1533&lt;&gt;"",N1535,Data!W1533)</f>
        <v>Exceso de velocidad (nuevo) (Velocidad máxima: 31 kmh (Velocidad máxima en carretera: 7 kmh))</v>
      </c>
      <c r="P1535" s="47" t="str">
        <f>Data!X1533</f>
        <v>Válido</v>
      </c>
    </row>
    <row r="1536" spans="1:16">
      <c r="A1536" s="41" t="str">
        <f>Data!A1534</f>
        <v>QLT538</v>
      </c>
      <c r="B1536" s="41" t="str">
        <f>Data!D1534</f>
        <v>Vehicle, Diesel, Frontera Energy Col 2679</v>
      </c>
      <c r="C1536" s="41">
        <f>Data!F1534</f>
        <v>0</v>
      </c>
      <c r="D1536" s="41">
        <f>Data!G1534</f>
        <v>0</v>
      </c>
      <c r="E1536" s="41">
        <f>Data!H1534</f>
        <v>0</v>
      </c>
      <c r="F1536" s="41">
        <f>Data!K1534</f>
        <v>0</v>
      </c>
      <c r="G1536" s="33" t="str">
        <f>Data!M1534</f>
        <v>Exceso Velocidad 10 Km/h</v>
      </c>
      <c r="H1536" s="41" t="str">
        <f>Data!P1534</f>
        <v>CAMPAMENTO QUIFA, ECOPETROL RUBIALES- Quifa - CAÑO SUR, Puerto Gaitan - Rubiales, Puerto Gaitán, Meta, Colombia: Ent. CAMPAMENTO, Puerto Gaitán, Meta, Colombia</v>
      </c>
      <c r="I1536" s="42" t="str">
        <f>Data!Q1534</f>
        <v>Vel Max 10 Km/h, Cliente, Vel Max 40 Km/h, Centro de servicios del proveedor</v>
      </c>
      <c r="J1536" s="43">
        <f>Data!S1534</f>
        <v>46174.535591134256</v>
      </c>
      <c r="K1536" s="44">
        <f>Data!S1534</f>
        <v>46174.535591134256</v>
      </c>
      <c r="L1536" s="45">
        <f>Data!T1534</f>
        <v>3.0150462962962963E-5</v>
      </c>
      <c r="M1536" s="46">
        <f>Data!U1534</f>
        <v>7.8424941748380661E-3</v>
      </c>
      <c r="N1536" s="46" t="str">
        <f>CONCATENATE(Data!W1534," (",Data!V1534,")")</f>
        <v>Exceso Velocidad 10 Km/h (Velocidad máxima: 11 kmh)</v>
      </c>
      <c r="O1536" s="42" t="str">
        <f>IF(Data!V1534&lt;&gt;"",N1536,Data!W1534)</f>
        <v>Exceso Velocidad 10 Km/h (Velocidad máxima: 11 kmh)</v>
      </c>
      <c r="P1536" s="47" t="str">
        <f>Data!X1534</f>
        <v>Válido</v>
      </c>
    </row>
    <row r="1537" spans="1:16">
      <c r="A1537" s="41" t="str">
        <f>Data!A1535</f>
        <v>QLT538</v>
      </c>
      <c r="B1537" s="41" t="str">
        <f>Data!D1535</f>
        <v>Vehicle, Diesel, Frontera Energy Col 2679</v>
      </c>
      <c r="C1537" s="41">
        <f>Data!F1535</f>
        <v>0</v>
      </c>
      <c r="D1537" s="41">
        <f>Data!G1535</f>
        <v>0</v>
      </c>
      <c r="E1537" s="41">
        <f>Data!H1535</f>
        <v>0</v>
      </c>
      <c r="F1537" s="41">
        <f>Data!K1535</f>
        <v>0</v>
      </c>
      <c r="G1537" s="33" t="str">
        <f>Data!M1535</f>
        <v>Exceso Velocidad 10 Km/h</v>
      </c>
      <c r="H1537" s="41" t="str">
        <f>Data!P1535</f>
        <v>CAMPAMENTO QUIFA, ECOPETROL RUBIALES- Quifa - CAÑO SUR, Puerto Gaitan - Rubiales, Puerto Gaitán, Meta, Colombia, Campamento Quifa - CMA: Ent. CAMPAMENTO, Puerto Gaitán, Meta, Colombia</v>
      </c>
      <c r="I1537" s="42" t="str">
        <f>Data!Q1535</f>
        <v>Vel Max 10 Km/h, Cliente, Vel Max 40 Km/h, Centro de servicios del proveedor</v>
      </c>
      <c r="J1537" s="43">
        <f>Data!S1535</f>
        <v>46174.535938796296</v>
      </c>
      <c r="K1537" s="44">
        <f>Data!S1535</f>
        <v>46174.535938796296</v>
      </c>
      <c r="L1537" s="45">
        <f>Data!T1535</f>
        <v>5.1121527777777775E-4</v>
      </c>
      <c r="M1537" s="46">
        <f>Data!U1535</f>
        <v>0.13227364420890808</v>
      </c>
      <c r="N1537" s="46" t="str">
        <f>CONCATENATE(Data!W1535," (",Data!V1535,")")</f>
        <v>Exceso Velocidad 10 Km/h (Velocidad máxima: 11 kmh)</v>
      </c>
      <c r="O1537" s="42" t="str">
        <f>IF(Data!V1535&lt;&gt;"",N1537,Data!W1535)</f>
        <v>Exceso Velocidad 10 Km/h (Velocidad máxima: 11 kmh)</v>
      </c>
      <c r="P1537" s="47" t="str">
        <f>Data!X1535</f>
        <v>Válido</v>
      </c>
    </row>
    <row r="1538" spans="1:16">
      <c r="A1538" s="41" t="str">
        <f>Data!A1536</f>
        <v>QLT538</v>
      </c>
      <c r="B1538" s="41" t="str">
        <f>Data!D1536</f>
        <v>Vehicle, Diesel, Frontera Energy Col 2679</v>
      </c>
      <c r="C1538" s="41">
        <f>Data!F1536</f>
        <v>0</v>
      </c>
      <c r="D1538" s="41">
        <f>Data!G1536</f>
        <v>0</v>
      </c>
      <c r="E1538" s="41">
        <f>Data!H1536</f>
        <v>0</v>
      </c>
      <c r="F1538" s="41">
        <f>Data!K1536</f>
        <v>0</v>
      </c>
      <c r="G1538" s="33" t="str">
        <f>Data!M1536</f>
        <v>Exceso Velocidad 10 Km/h</v>
      </c>
      <c r="H1538" s="41" t="str">
        <f>Data!P1536</f>
        <v>CAMPAMENTO QUIFA, ECOPETROL RUBIALES- Quifa - CAÑO SUR, Campamento Quifa - CMA: Ent. CAMPAMENTO, Puerto Gaitán, Meta, Colombia</v>
      </c>
      <c r="I1538" s="42" t="str">
        <f>Data!Q1536</f>
        <v>Vel Max 10 Km/h, Cliente, Vel Max 40 Km/h</v>
      </c>
      <c r="J1538" s="43">
        <f>Data!S1536</f>
        <v>46174.53659275463</v>
      </c>
      <c r="K1538" s="44">
        <f>Data!S1536</f>
        <v>46174.53659275463</v>
      </c>
      <c r="L1538" s="45">
        <f>Data!T1536</f>
        <v>3.2019675925925927E-4</v>
      </c>
      <c r="M1538" s="46">
        <f>Data!U1536</f>
        <v>7.5600206851959229E-2</v>
      </c>
      <c r="N1538" s="46" t="str">
        <f>CONCATENATE(Data!W1536," (",Data!V1536,")")</f>
        <v>Exceso Velocidad 10 Km/h (Velocidad máxima: 12 kmh)</v>
      </c>
      <c r="O1538" s="42" t="str">
        <f>IF(Data!V1536&lt;&gt;"",N1538,Data!W1536)</f>
        <v>Exceso Velocidad 10 Km/h (Velocidad máxima: 12 kmh)</v>
      </c>
      <c r="P1538" s="47" t="str">
        <f>Data!X1536</f>
        <v>Válido</v>
      </c>
    </row>
    <row r="1539" spans="1:16">
      <c r="A1539" s="41" t="str">
        <f>Data!A1537</f>
        <v>QLT538</v>
      </c>
      <c r="B1539" s="41" t="str">
        <f>Data!D1537</f>
        <v>Vehicle, Diesel, Frontera Energy Col 2679</v>
      </c>
      <c r="C1539" s="41">
        <f>Data!F1537</f>
        <v>0</v>
      </c>
      <c r="D1539" s="41">
        <f>Data!G1537</f>
        <v>0</v>
      </c>
      <c r="E1539" s="41">
        <f>Data!H1537</f>
        <v>0</v>
      </c>
      <c r="F1539" s="41">
        <f>Data!K1537</f>
        <v>0</v>
      </c>
      <c r="G1539" s="33" t="str">
        <f>Data!M1537</f>
        <v>Exceso Velocidad 10 Km/h</v>
      </c>
      <c r="H1539" s="41" t="str">
        <f>Data!P1537</f>
        <v>CAMPAMENTO QUIFA, ECOPETROL RUBIALES- Quifa - CAÑO SUR, Campamento Quifa - CMA: Ent. CAMPAMENTO, Puerto Gaitán, Meta, Colombia</v>
      </c>
      <c r="I1539" s="42" t="str">
        <f>Data!Q1537</f>
        <v>Vel Max 10 Km/h, Cliente, Vel Max 40 Km/h</v>
      </c>
      <c r="J1539" s="43">
        <f>Data!S1537</f>
        <v>46174.53808204861</v>
      </c>
      <c r="K1539" s="44">
        <f>Data!S1537</f>
        <v>46174.53808204861</v>
      </c>
      <c r="L1539" s="45">
        <f>Data!T1537</f>
        <v>3.7037037037037035E-4</v>
      </c>
      <c r="M1539" s="46">
        <f>Data!U1537</f>
        <v>9.13081094622612E-2</v>
      </c>
      <c r="N1539" s="46" t="str">
        <f>CONCATENATE(Data!W1537," (",Data!V1537,")")</f>
        <v>Exceso Velocidad 10 Km/h (Velocidad máxima: 11 kmh)</v>
      </c>
      <c r="O1539" s="42" t="str">
        <f>IF(Data!V1537&lt;&gt;"",N1539,Data!W1537)</f>
        <v>Exceso Velocidad 10 Km/h (Velocidad máxima: 11 kmh)</v>
      </c>
      <c r="P1539" s="47" t="str">
        <f>Data!X1537</f>
        <v>Válido</v>
      </c>
    </row>
    <row r="1540" spans="1:16">
      <c r="A1540" s="41" t="str">
        <f>Data!A1538</f>
        <v>QLT538</v>
      </c>
      <c r="B1540" s="41" t="str">
        <f>Data!D1538</f>
        <v>Vehicle, Diesel, Frontera Energy Col 2679</v>
      </c>
      <c r="C1540" s="41">
        <f>Data!F1538</f>
        <v>0</v>
      </c>
      <c r="D1540" s="41">
        <f>Data!G1538</f>
        <v>0</v>
      </c>
      <c r="E1540" s="41">
        <f>Data!H1538</f>
        <v>0</v>
      </c>
      <c r="F1540" s="41">
        <f>Data!K1538</f>
        <v>0</v>
      </c>
      <c r="G1540" s="33" t="str">
        <f>Data!M1538</f>
        <v>Exceso de velocidad (nuevo)</v>
      </c>
      <c r="H1540" s="41" t="str">
        <f>Data!P1538</f>
        <v>ECOPETROL RUBIALES- Quifa - CAÑO SUR, Puerto Triunfo - Estacion Policia: Puerto Gaitan - Rubiales, Puerto Gaitán, Meta, Colombia</v>
      </c>
      <c r="I1540" s="42" t="str">
        <f>Data!Q1538</f>
        <v>Cliente, Vel Max 40 Km/h, Vel Max 30 Km/h</v>
      </c>
      <c r="J1540" s="43">
        <f>Data!S1538</f>
        <v>46174.561705428241</v>
      </c>
      <c r="K1540" s="44">
        <f>Data!S1538</f>
        <v>46174.561705428241</v>
      </c>
      <c r="L1540" s="45">
        <f>Data!T1538</f>
        <v>6.336226851851852E-4</v>
      </c>
      <c r="M1540" s="46">
        <f>Data!U1538</f>
        <v>0.29454463720321655</v>
      </c>
      <c r="N1540" s="46" t="str">
        <f>CONCATENATE(Data!W1538," (",Data!V1538,")")</f>
        <v>Exceso de velocidad (nuevo) (Velocidad máxima: 22 kmh (Velocidad máxima en carretera: 7 kmh))</v>
      </c>
      <c r="O1540" s="42" t="str">
        <f>IF(Data!V1538&lt;&gt;"",N1540,Data!W1538)</f>
        <v>Exceso de velocidad (nuevo) (Velocidad máxima: 22 kmh (Velocidad máxima en carretera: 7 kmh))</v>
      </c>
      <c r="P1540" s="47" t="str">
        <f>Data!X1538</f>
        <v>Válido</v>
      </c>
    </row>
    <row r="1541" spans="1:16">
      <c r="A1541" s="41" t="str">
        <f>Data!A1539</f>
        <v>QLT538</v>
      </c>
      <c r="B1541" s="41" t="str">
        <f>Data!D1539</f>
        <v>Vehicle, Diesel, Frontera Energy Col 2679</v>
      </c>
      <c r="C1541" s="41">
        <f>Data!F1539</f>
        <v>0</v>
      </c>
      <c r="D1541" s="41">
        <f>Data!G1539</f>
        <v>0</v>
      </c>
      <c r="E1541" s="41">
        <f>Data!H1539</f>
        <v>0</v>
      </c>
      <c r="F1541" s="41">
        <f>Data!K1539</f>
        <v>0</v>
      </c>
      <c r="G1541" s="33" t="str">
        <f>Data!M1539</f>
        <v>Exceso Velocidad 10 Km/h</v>
      </c>
      <c r="H1541" s="41" t="str">
        <f>Data!P1539</f>
        <v>ECOPETROL RUBIALES- Quifa - CAÑO SUR, Centralizado de combustible Quifa: Vía Sin Nombre, Puerto Gaitán, Meta, Colombia</v>
      </c>
      <c r="I1541" s="42" t="str">
        <f>Data!Q1539</f>
        <v>Cliente, Vel Max 40 Km/h, Vel Max 10 Km/h</v>
      </c>
      <c r="J1541" s="43">
        <f>Data!S1539</f>
        <v>46174.563846631943</v>
      </c>
      <c r="K1541" s="44">
        <f>Data!S1539</f>
        <v>46174.563846631943</v>
      </c>
      <c r="L1541" s="45">
        <f>Data!T1539</f>
        <v>3.241898148148148E-4</v>
      </c>
      <c r="M1541" s="46">
        <f>Data!U1539</f>
        <v>8.0340132117271423E-2</v>
      </c>
      <c r="N1541" s="46" t="str">
        <f>CONCATENATE(Data!W1539," (",Data!V1539,")")</f>
        <v>Exceso Velocidad 10 Km/h (Velocidad máxima: 11 kmh)</v>
      </c>
      <c r="O1541" s="42" t="str">
        <f>IF(Data!V1539&lt;&gt;"",N1541,Data!W1539)</f>
        <v>Exceso Velocidad 10 Km/h (Velocidad máxima: 11 kmh)</v>
      </c>
      <c r="P1541" s="47" t="str">
        <f>Data!X1539</f>
        <v>Válido</v>
      </c>
    </row>
    <row r="1542" spans="1:16">
      <c r="A1542" s="41" t="str">
        <f>Data!A1540</f>
        <v>QLT538</v>
      </c>
      <c r="B1542" s="41" t="str">
        <f>Data!D1540</f>
        <v>Vehicle, Diesel, Frontera Energy Col 2679</v>
      </c>
      <c r="C1542" s="41">
        <f>Data!F1540</f>
        <v>0</v>
      </c>
      <c r="D1542" s="41">
        <f>Data!G1540</f>
        <v>0</v>
      </c>
      <c r="E1542" s="41">
        <f>Data!H1540</f>
        <v>0</v>
      </c>
      <c r="F1542" s="41">
        <f>Data!K1540</f>
        <v>0</v>
      </c>
      <c r="G1542" s="33" t="str">
        <f>Data!M1540</f>
        <v>Exceso de velocidad (nuevo)</v>
      </c>
      <c r="H1542" s="41" t="str">
        <f>Data!P1540</f>
        <v>ECOPETROL RUBIALES- Quifa - CAÑO SUR: Puerto Gaitan - Rubiales, Puerto Gaitán, Meta, Colombia</v>
      </c>
      <c r="I1542" s="42" t="str">
        <f>Data!Q1540</f>
        <v>Cliente, Vel Max 40 Km/h</v>
      </c>
      <c r="J1542" s="43">
        <f>Data!S1540</f>
        <v>46174.569066655095</v>
      </c>
      <c r="K1542" s="44">
        <f>Data!S1540</f>
        <v>46174.569066655095</v>
      </c>
      <c r="L1542" s="45">
        <f>Data!T1540</f>
        <v>8.4490740740740739E-4</v>
      </c>
      <c r="M1542" s="46">
        <f>Data!U1540</f>
        <v>0.30160501599311829</v>
      </c>
      <c r="N1542" s="46" t="str">
        <f>CONCATENATE(Data!W1540," (",Data!V1540,")")</f>
        <v>Exceso de velocidad (nuevo) (Velocidad máxima: 18 kmh (Velocidad máxima en carretera: 7 kmh))</v>
      </c>
      <c r="O1542" s="42" t="str">
        <f>IF(Data!V1540&lt;&gt;"",N1542,Data!W1540)</f>
        <v>Exceso de velocidad (nuevo) (Velocidad máxima: 18 kmh (Velocidad máxima en carretera: 7 kmh))</v>
      </c>
      <c r="P1542" s="47" t="str">
        <f>Data!X1540</f>
        <v>Válido</v>
      </c>
    </row>
    <row r="1543" spans="1:16">
      <c r="A1543" s="41" t="str">
        <f>Data!A1541</f>
        <v>QLT538</v>
      </c>
      <c r="B1543" s="41" t="str">
        <f>Data!D1541</f>
        <v>Vehicle, Diesel, Frontera Energy Col 2679</v>
      </c>
      <c r="C1543" s="41">
        <f>Data!F1541</f>
        <v>0</v>
      </c>
      <c r="D1543" s="41">
        <f>Data!G1541</f>
        <v>0</v>
      </c>
      <c r="E1543" s="41">
        <f>Data!H1541</f>
        <v>0</v>
      </c>
      <c r="F1543" s="41">
        <f>Data!K1541</f>
        <v>0</v>
      </c>
      <c r="G1543" s="33" t="str">
        <f>Data!M1541</f>
        <v>Exceso Velocidad 10 Km/h</v>
      </c>
      <c r="H1543" s="41" t="str">
        <f>Data!P1541</f>
        <v>CAMPAMENTO QUIFA, ECOPETROL RUBIALES- Quifa - CAÑO SUR, Puerto Gaitan - Rubiales, Puerto Gaitán, Meta, Colombia, Puerto Triunfo - Estacion Policia: Puerto Gaitan - Rubiales, Puerto Gaitán, Meta, Colombia</v>
      </c>
      <c r="I1543" s="42" t="str">
        <f>Data!Q1541</f>
        <v>Vel Max 10 Km/h, Cliente, Vel Max 40 Km/h, Centro de servicios del proveedor, Vel Max 30 Km/h</v>
      </c>
      <c r="J1543" s="43">
        <f>Data!S1541</f>
        <v>46174.572462824071</v>
      </c>
      <c r="K1543" s="44">
        <f>Data!S1541</f>
        <v>46174.572462824071</v>
      </c>
      <c r="L1543" s="45">
        <f>Data!T1541</f>
        <v>1.3971064814814814E-4</v>
      </c>
      <c r="M1543" s="46">
        <f>Data!U1541</f>
        <v>4.5176509767770767E-2</v>
      </c>
      <c r="N1543" s="46" t="str">
        <f>CONCATENATE(Data!W1541," (",Data!V1541,")")</f>
        <v>Exceso Velocidad 10 Km/h (Velocidad máxima: 15 kmh)</v>
      </c>
      <c r="O1543" s="42" t="str">
        <f>IF(Data!V1541&lt;&gt;"",N1543,Data!W1541)</f>
        <v>Exceso Velocidad 10 Km/h (Velocidad máxima: 15 kmh)</v>
      </c>
      <c r="P1543" s="47" t="str">
        <f>Data!X1541</f>
        <v>Válido</v>
      </c>
    </row>
    <row r="1544" spans="1:16">
      <c r="A1544" s="41" t="str">
        <f>Data!A1542</f>
        <v>QLT538</v>
      </c>
      <c r="B1544" s="41" t="str">
        <f>Data!D1542</f>
        <v>Vehicle, Diesel, Frontera Energy Col 2679</v>
      </c>
      <c r="C1544" s="41">
        <f>Data!F1542</f>
        <v>0</v>
      </c>
      <c r="D1544" s="41">
        <f>Data!G1542</f>
        <v>0</v>
      </c>
      <c r="E1544" s="41">
        <f>Data!H1542</f>
        <v>0</v>
      </c>
      <c r="F1544" s="41">
        <f>Data!K1542</f>
        <v>0</v>
      </c>
      <c r="G1544" s="33" t="str">
        <f>Data!M1542</f>
        <v>Exceso Velocidad 10 Km/h</v>
      </c>
      <c r="H1544" s="41" t="str">
        <f>Data!P1542</f>
        <v>CAMPAMENTO QUIFA, ECOPETROL RUBIALES- Quifa - CAÑO SUR, Puerto Triunfo - Estacion Policia: Puerto Gaitan - Rubiales, Puerto Gaitán, Meta, Colombia</v>
      </c>
      <c r="I1544" s="42" t="str">
        <f>Data!Q1542</f>
        <v>Vel Max 10 Km/h, Cliente, Vel Max 40 Km/h, Vel Max 30 Km/h</v>
      </c>
      <c r="J1544" s="43">
        <f>Data!S1542</f>
        <v>46174.572768043981</v>
      </c>
      <c r="K1544" s="44">
        <f>Data!S1542</f>
        <v>46174.572768043981</v>
      </c>
      <c r="L1544" s="45">
        <f>Data!T1542</f>
        <v>5.2962962962962962E-5</v>
      </c>
      <c r="M1544" s="46">
        <f>Data!U1542</f>
        <v>1.518365740776062E-2</v>
      </c>
      <c r="N1544" s="46" t="str">
        <f>CONCATENATE(Data!W1542," (",Data!V1542,")")</f>
        <v>Exceso Velocidad 10 Km/h (Velocidad máxima: 11 kmh)</v>
      </c>
      <c r="O1544" s="42" t="str">
        <f>IF(Data!V1542&lt;&gt;"",N1544,Data!W1542)</f>
        <v>Exceso Velocidad 10 Km/h (Velocidad máxima: 11 kmh)</v>
      </c>
      <c r="P1544" s="47" t="str">
        <f>Data!X1542</f>
        <v>Válido</v>
      </c>
    </row>
    <row r="1545" spans="1:16">
      <c r="A1545" s="41" t="str">
        <f>Data!A1543</f>
        <v>QLT538</v>
      </c>
      <c r="B1545" s="41" t="str">
        <f>Data!D1543</f>
        <v>Vehicle, Diesel, Frontera Energy Col 2679</v>
      </c>
      <c r="C1545" s="41">
        <f>Data!F1543</f>
        <v>0</v>
      </c>
      <c r="D1545" s="41">
        <f>Data!G1543</f>
        <v>0</v>
      </c>
      <c r="E1545" s="41">
        <f>Data!H1543</f>
        <v>0</v>
      </c>
      <c r="F1545" s="41">
        <f>Data!K1543</f>
        <v>0</v>
      </c>
      <c r="G1545" s="33" t="str">
        <f>Data!M1543</f>
        <v>Tiempo en ralentí</v>
      </c>
      <c r="H1545" s="41" t="str">
        <f>Data!P1543</f>
        <v>ECOPETROL RUBIALES- Quifa - CAÑO SUR: Puerto Gaitan - Rubiales, Puerto Gaitán, Meta, Colombia</v>
      </c>
      <c r="I1545" s="42" t="str">
        <f>Data!Q1543</f>
        <v>Cliente, Vel Max 40 Km/h</v>
      </c>
      <c r="J1545" s="43">
        <f>Data!S1543</f>
        <v>46174.602498194443</v>
      </c>
      <c r="K1545" s="44">
        <f>Data!S1543</f>
        <v>46174.602498194443</v>
      </c>
      <c r="L1545" s="45">
        <f>Data!T1543</f>
        <v>5.4817708333333333E-3</v>
      </c>
      <c r="M1545" s="46">
        <f>Data!U1543</f>
        <v>1.3944544829428196E-2</v>
      </c>
      <c r="N1545" s="46" t="str">
        <f>CONCATENATE(Data!W1543," (",Data!V1543,")")</f>
        <v>Tiempo en ralentí (Ignición: 1.00)</v>
      </c>
      <c r="O1545" s="42" t="str">
        <f>IF(Data!V1543&lt;&gt;"",N1545,Data!W1543)</f>
        <v>Tiempo en ralentí (Ignición: 1.00)</v>
      </c>
      <c r="P1545" s="47" t="str">
        <f>Data!X1543</f>
        <v>Válido</v>
      </c>
    </row>
    <row r="1546" spans="1:16">
      <c r="A1546" s="41" t="str">
        <f>Data!A1544</f>
        <v>QLT538</v>
      </c>
      <c r="B1546" s="41" t="str">
        <f>Data!D1544</f>
        <v>Vehicle, Diesel, Frontera Energy Col 2679</v>
      </c>
      <c r="C1546" s="41">
        <f>Data!F1544</f>
        <v>0</v>
      </c>
      <c r="D1546" s="41">
        <f>Data!G1544</f>
        <v>0</v>
      </c>
      <c r="E1546" s="41">
        <f>Data!H1544</f>
        <v>0</v>
      </c>
      <c r="F1546" s="41">
        <f>Data!K1544</f>
        <v>0</v>
      </c>
      <c r="G1546" s="33" t="str">
        <f>Data!M1544</f>
        <v>Exceso Velocidad 10 Km/h</v>
      </c>
      <c r="H1546" s="41" t="str">
        <f>Data!P1544</f>
        <v>CAMPAMENTO QUIFA, ECOPETROL RUBIALES- Quifa - CAÑO SUR, Puerto Triunfo - Estacion Policia: Puerto Gaitan - Rubiales, Puerto Gaitán, Meta, Colombia</v>
      </c>
      <c r="I1546" s="42" t="str">
        <f>Data!Q1544</f>
        <v>Vel Max 10 Km/h, Cliente, Vel Max 40 Km/h, Vel Max 30 Km/h</v>
      </c>
      <c r="J1546" s="43">
        <f>Data!S1544</f>
        <v>46174.721726192132</v>
      </c>
      <c r="K1546" s="44">
        <f>Data!S1544</f>
        <v>46174.721726192132</v>
      </c>
      <c r="L1546" s="45">
        <f>Data!T1544</f>
        <v>8.9780092592592594E-5</v>
      </c>
      <c r="M1546" s="46">
        <f>Data!U1544</f>
        <v>3.6346051841974258E-2</v>
      </c>
      <c r="N1546" s="46" t="str">
        <f>CONCATENATE(Data!W1544," (",Data!V1544,")")</f>
        <v>Exceso Velocidad 10 Km/h (Velocidad máxima: 16 kmh)</v>
      </c>
      <c r="O1546" s="42" t="str">
        <f>IF(Data!V1544&lt;&gt;"",N1546,Data!W1544)</f>
        <v>Exceso Velocidad 10 Km/h (Velocidad máxima: 16 kmh)</v>
      </c>
      <c r="P1546" s="47" t="str">
        <f>Data!X1544</f>
        <v>Válido</v>
      </c>
    </row>
    <row r="1547" spans="1:16">
      <c r="A1547" s="41" t="str">
        <f>Data!A1545</f>
        <v>QLT538</v>
      </c>
      <c r="B1547" s="41" t="str">
        <f>Data!D1545</f>
        <v>Vehicle, Diesel, Frontera Energy Col 2679</v>
      </c>
      <c r="C1547" s="41">
        <f>Data!F1545</f>
        <v>0</v>
      </c>
      <c r="D1547" s="41">
        <f>Data!G1545</f>
        <v>0</v>
      </c>
      <c r="E1547" s="41">
        <f>Data!H1545</f>
        <v>0</v>
      </c>
      <c r="F1547" s="41">
        <f>Data!K1545</f>
        <v>0</v>
      </c>
      <c r="G1547" s="33" t="str">
        <f>Data!M1545</f>
        <v>Exceso Velocidad 10 Km/h</v>
      </c>
      <c r="H1547" s="41" t="str">
        <f>Data!P1545</f>
        <v>CAMPAMENTO QUIFA, ECOPETROL RUBIALES- Quifa - CAÑO SUR, Puerto Triunfo - Estacion Policia: Puerto Gaitan - Rubiales, Puerto Gaitán, Meta, Colombia</v>
      </c>
      <c r="I1547" s="42" t="str">
        <f>Data!Q1545</f>
        <v>Vel Max 10 Km/h, Cliente, Vel Max 40 Km/h, Vel Max 30 Km/h</v>
      </c>
      <c r="J1547" s="43">
        <f>Data!S1545</f>
        <v>46174.721866168984</v>
      </c>
      <c r="K1547" s="44">
        <f>Data!S1545</f>
        <v>46174.721866168984</v>
      </c>
      <c r="L1547" s="45">
        <f>Data!T1545</f>
        <v>2.1600694444444445E-4</v>
      </c>
      <c r="M1547" s="46">
        <f>Data!U1545</f>
        <v>6.8209104239940643E-2</v>
      </c>
      <c r="N1547" s="46" t="str">
        <f>CONCATENATE(Data!W1545," (",Data!V1545,")")</f>
        <v>Exceso Velocidad 10 Km/h (Velocidad máxima: 15 kmh)</v>
      </c>
      <c r="O1547" s="42" t="str">
        <f>IF(Data!V1545&lt;&gt;"",N1547,Data!W1545)</f>
        <v>Exceso Velocidad 10 Km/h (Velocidad máxima: 15 kmh)</v>
      </c>
      <c r="P1547" s="47" t="str">
        <f>Data!X1545</f>
        <v>Válido</v>
      </c>
    </row>
    <row r="1548" spans="1:16">
      <c r="A1548" s="41" t="str">
        <f>Data!A1546</f>
        <v>QLT538</v>
      </c>
      <c r="B1548" s="41" t="str">
        <f>Data!D1546</f>
        <v>Vehicle, Diesel, Frontera Energy Col 2679</v>
      </c>
      <c r="C1548" s="41">
        <f>Data!F1546</f>
        <v>0</v>
      </c>
      <c r="D1548" s="41">
        <f>Data!G1546</f>
        <v>0</v>
      </c>
      <c r="E1548" s="41">
        <f>Data!H1546</f>
        <v>0</v>
      </c>
      <c r="F1548" s="41">
        <f>Data!K1546</f>
        <v>0</v>
      </c>
      <c r="G1548" s="33" t="str">
        <f>Data!M1546</f>
        <v>Exceso Velocidad 10 Km/h</v>
      </c>
      <c r="H1548" s="41" t="str">
        <f>Data!P1546</f>
        <v>CAMPAMENTO QUIFA, ECOPETROL RUBIALES- Quifa - CAÑO SUR, Puerto Gaitan - Rubiales, Puerto Gaitán, Meta, Colombia, Campamento Quifa - CMA: Ent. CAMPAMENTO, Puerto Gaitán, Meta, Colombia</v>
      </c>
      <c r="I1548" s="42" t="str">
        <f>Data!Q1546</f>
        <v>Vel Max 10 Km/h, Cliente, Vel Max 40 Km/h, Centro de servicios del proveedor</v>
      </c>
      <c r="J1548" s="43">
        <f>Data!S1546</f>
        <v>46174.722475682873</v>
      </c>
      <c r="K1548" s="44">
        <f>Data!S1546</f>
        <v>46174.722475682873</v>
      </c>
      <c r="L1548" s="45">
        <f>Data!T1546</f>
        <v>1.6782417407407407E-4</v>
      </c>
      <c r="M1548" s="46">
        <f>Data!U1546</f>
        <v>3.6870084702968597E-2</v>
      </c>
      <c r="N1548" s="46" t="str">
        <f>CONCATENATE(Data!W1546," (",Data!V1546,")")</f>
        <v>Exceso Velocidad 10 Km/h (Velocidad máxima: 11 kmh)</v>
      </c>
      <c r="O1548" s="42" t="str">
        <f>IF(Data!V1546&lt;&gt;"",N1548,Data!W1546)</f>
        <v>Exceso Velocidad 10 Km/h (Velocidad máxima: 11 kmh)</v>
      </c>
      <c r="P1548" s="47" t="str">
        <f>Data!X1546</f>
        <v>Válido</v>
      </c>
    </row>
    <row r="1549" spans="1:16">
      <c r="A1549" s="41" t="str">
        <f>Data!A1547</f>
        <v>QLT538</v>
      </c>
      <c r="B1549" s="41" t="str">
        <f>Data!D1547</f>
        <v>Vehicle, Diesel, Frontera Energy Col 2679</v>
      </c>
      <c r="C1549" s="41">
        <f>Data!F1547</f>
        <v>0</v>
      </c>
      <c r="D1549" s="41">
        <f>Data!G1547</f>
        <v>0</v>
      </c>
      <c r="E1549" s="41">
        <f>Data!H1547</f>
        <v>0</v>
      </c>
      <c r="F1549" s="41">
        <f>Data!K1547</f>
        <v>0</v>
      </c>
      <c r="G1549" s="33" t="str">
        <f>Data!M1547</f>
        <v>Exceso Velocidad 10 Km/h</v>
      </c>
      <c r="H1549" s="41" t="str">
        <f>Data!P1547</f>
        <v>CAMPAMENTO QUIFA, ECOPETROL RUBIALES- Quifa - CAÑO SUR, Puerto Gaitan - Rubiales, Puerto Gaitán, Meta, Colombia, Puerto Triunfo - Estacion Policia: Ent. CAMPAMENTO, Puerto Gaitán, Meta, Colombia</v>
      </c>
      <c r="I1549" s="42" t="str">
        <f>Data!Q1547</f>
        <v>Vel Max 10 Km/h, Cliente, Vel Max 40 Km/h, Centro de servicios del proveedor, Vel Max 30 Km/h</v>
      </c>
      <c r="J1549" s="43">
        <f>Data!S1547</f>
        <v>46174.749440624997</v>
      </c>
      <c r="K1549" s="44">
        <f>Data!S1547</f>
        <v>46174.749440624997</v>
      </c>
      <c r="L1549" s="45">
        <f>Data!T1547</f>
        <v>1.5023148148148148E-5</v>
      </c>
      <c r="M1549" s="46">
        <f>Data!U1547</f>
        <v>3.7098182365298271E-3</v>
      </c>
      <c r="N1549" s="46" t="str">
        <f>CONCATENATE(Data!W1547," (",Data!V1547,")")</f>
        <v>Exceso Velocidad 10 Km/h (Velocidad máxima: 10 kmh)</v>
      </c>
      <c r="O1549" s="42" t="str">
        <f>IF(Data!V1547&lt;&gt;"",N1549,Data!W1547)</f>
        <v>Exceso Velocidad 10 Km/h (Velocidad máxima: 10 kmh)</v>
      </c>
      <c r="P1549" s="47" t="str">
        <f>Data!X1547</f>
        <v>Válido</v>
      </c>
    </row>
    <row r="1550" spans="1:16">
      <c r="A1550" s="41" t="str">
        <f>Data!A1548</f>
        <v>QLT538</v>
      </c>
      <c r="B1550" s="41" t="str">
        <f>Data!D1548</f>
        <v>Vehicle, Diesel, Frontera Energy Col 2679</v>
      </c>
      <c r="C1550" s="41">
        <f>Data!F1548</f>
        <v>0</v>
      </c>
      <c r="D1550" s="41">
        <f>Data!G1548</f>
        <v>0</v>
      </c>
      <c r="E1550" s="41">
        <f>Data!H1548</f>
        <v>0</v>
      </c>
      <c r="F1550" s="41">
        <f>Data!K1548</f>
        <v>0</v>
      </c>
      <c r="G1550" s="33" t="str">
        <f>Data!M1548</f>
        <v>Exceso de velocidad (nuevo)</v>
      </c>
      <c r="H1550" s="41" t="str">
        <f>Data!P1548</f>
        <v>ECOPETROL RUBIALES- Quifa - CAÑO SUR, Puerto Triunfo - Estacion Policia: Puerto Gaitan - Rubiales, Puerto Gaitán, Meta, Colombia</v>
      </c>
      <c r="I1550" s="42" t="str">
        <f>Data!Q1548</f>
        <v>Cliente, Vel Max 40 Km/h, Vel Max 30 Km/h</v>
      </c>
      <c r="J1550" s="43">
        <f>Data!S1548</f>
        <v>46174.751778703707</v>
      </c>
      <c r="K1550" s="44">
        <f>Data!S1548</f>
        <v>46174.751778703707</v>
      </c>
      <c r="L1550" s="45">
        <f>Data!T1548</f>
        <v>7.8535879629629626E-4</v>
      </c>
      <c r="M1550" s="46">
        <f>Data!U1548</f>
        <v>0.30862930417060852</v>
      </c>
      <c r="N1550" s="46" t="str">
        <f>CONCATENATE(Data!W1548," (",Data!V1548,")")</f>
        <v>Exceso de velocidad (nuevo) (Velocidad máxima: 20 kmh (Velocidad máxima en carretera: 7 kmh))</v>
      </c>
      <c r="O1550" s="42" t="str">
        <f>IF(Data!V1548&lt;&gt;"",N1550,Data!W1548)</f>
        <v>Exceso de velocidad (nuevo) (Velocidad máxima: 20 kmh (Velocidad máxima en carretera: 7 kmh))</v>
      </c>
      <c r="P1550" s="47" t="str">
        <f>Data!X1548</f>
        <v>Válido</v>
      </c>
    </row>
    <row r="1551" spans="1:16">
      <c r="A1551" s="41" t="str">
        <f>Data!A1549</f>
        <v>QLT538</v>
      </c>
      <c r="B1551" s="41" t="str">
        <f>Data!D1549</f>
        <v>Vehicle, Diesel, Frontera Energy Col 2679</v>
      </c>
      <c r="C1551" s="41">
        <f>Data!F1549</f>
        <v>0</v>
      </c>
      <c r="D1551" s="41">
        <f>Data!G1549</f>
        <v>0</v>
      </c>
      <c r="E1551" s="41">
        <f>Data!H1549</f>
        <v>0</v>
      </c>
      <c r="F1551" s="41">
        <f>Data!K1549</f>
        <v>0</v>
      </c>
      <c r="G1551" s="33" t="str">
        <f>Data!M1549</f>
        <v>Exceso Velocidad 10 Km/h</v>
      </c>
      <c r="H1551" s="41" t="str">
        <f>Data!P1549</f>
        <v>ECOPETROL RUBIALES- Quifa - CAÑO SUR, Centralizado de combustible Quifa: Vía Sin Nombre, Puerto Gaitán, Meta, Colombia</v>
      </c>
      <c r="I1551" s="42" t="str">
        <f>Data!Q1549</f>
        <v>Cliente, Vel Max 40 Km/h, Vel Max 10 Km/h</v>
      </c>
      <c r="J1551" s="43">
        <f>Data!S1549</f>
        <v>46174.752659537036</v>
      </c>
      <c r="K1551" s="44">
        <f>Data!S1549</f>
        <v>46174.752659537036</v>
      </c>
      <c r="L1551" s="45">
        <f>Data!T1549</f>
        <v>4.9069444444444442E-4</v>
      </c>
      <c r="M1551" s="46">
        <f>Data!U1549</f>
        <v>0.1299457848072052</v>
      </c>
      <c r="N1551" s="46" t="str">
        <f>CONCATENATE(Data!W1549," (",Data!V1549,")")</f>
        <v>Exceso Velocidad 10 Km/h (Velocidad máxima: 11 kmh)</v>
      </c>
      <c r="O1551" s="42" t="str">
        <f>IF(Data!V1549&lt;&gt;"",N1551,Data!W1549)</f>
        <v>Exceso Velocidad 10 Km/h (Velocidad máxima: 11 kmh)</v>
      </c>
      <c r="P1551" s="47" t="str">
        <f>Data!X1549</f>
        <v>Válido</v>
      </c>
    </row>
    <row r="1552" spans="1:16">
      <c r="A1552" s="41" t="str">
        <f>Data!A1550</f>
        <v>QLT538</v>
      </c>
      <c r="B1552" s="41" t="str">
        <f>Data!D1550</f>
        <v>Vehicle, Diesel, Frontera Energy Col 2679</v>
      </c>
      <c r="C1552" s="41">
        <f>Data!F1550</f>
        <v>0</v>
      </c>
      <c r="D1552" s="41">
        <f>Data!G1550</f>
        <v>0</v>
      </c>
      <c r="E1552" s="41">
        <f>Data!H1550</f>
        <v>0</v>
      </c>
      <c r="F1552" s="41">
        <f>Data!K1550</f>
        <v>0</v>
      </c>
      <c r="G1552" s="33" t="str">
        <f>Data!M1550</f>
        <v>Exceso de velocidad (nuevo)</v>
      </c>
      <c r="H1552" s="41" t="str">
        <f>Data!P1550</f>
        <v>ECOPETROL RUBIALES- Quifa - CAÑO SUR: Puerto Gaitan - Rubiales, Puerto Gaitán, Meta, Colombia</v>
      </c>
      <c r="I1552" s="42" t="str">
        <f>Data!Q1550</f>
        <v>Cliente, Vel Max 40 Km/h</v>
      </c>
      <c r="J1552" s="43">
        <f>Data!S1550</f>
        <v>46174.757288182867</v>
      </c>
      <c r="K1552" s="44">
        <f>Data!S1550</f>
        <v>46174.757288182867</v>
      </c>
      <c r="L1552" s="45">
        <f>Data!T1550</f>
        <v>7.2798611111111111E-4</v>
      </c>
      <c r="M1552" s="46">
        <f>Data!U1550</f>
        <v>0.22359070181846619</v>
      </c>
      <c r="N1552" s="46" t="str">
        <f>CONCATENATE(Data!W1550," (",Data!V1550,")")</f>
        <v>Exceso de velocidad (nuevo) (Velocidad máxima: 14 kmh (Velocidad máxima en carretera: 7 kmh))</v>
      </c>
      <c r="O1552" s="42" t="str">
        <f>IF(Data!V1550&lt;&gt;"",N1552,Data!W1550)</f>
        <v>Exceso de velocidad (nuevo) (Velocidad máxima: 14 kmh (Velocidad máxima en carretera: 7 kmh))</v>
      </c>
      <c r="P1552" s="47" t="str">
        <f>Data!X1550</f>
        <v>Válido</v>
      </c>
    </row>
    <row r="1553" spans="1:16">
      <c r="A1553" s="41" t="str">
        <f>Data!A1551</f>
        <v>QLT538</v>
      </c>
      <c r="B1553" s="41" t="str">
        <f>Data!D1551</f>
        <v>Vehicle, Diesel, Frontera Energy Col 2679</v>
      </c>
      <c r="C1553" s="41">
        <f>Data!F1551</f>
        <v>0</v>
      </c>
      <c r="D1553" s="41">
        <f>Data!G1551</f>
        <v>0</v>
      </c>
      <c r="E1553" s="41">
        <f>Data!H1551</f>
        <v>0</v>
      </c>
      <c r="F1553" s="41">
        <f>Data!K1551</f>
        <v>0</v>
      </c>
      <c r="G1553" s="33" t="str">
        <f>Data!M1551</f>
        <v>Exceso de velocidad (nuevo)</v>
      </c>
      <c r="H1553" s="41" t="str">
        <f>Data!P1551</f>
        <v>ECOPETROL RUBIALES- Quifa - CAÑO SUR: Puerto Gaitan - Rubiales, Puerto Gaitán, Meta, Colombia</v>
      </c>
      <c r="I1553" s="42" t="str">
        <f>Data!Q1551</f>
        <v>Cliente, Vel Max 40 Km/h</v>
      </c>
      <c r="J1553" s="43">
        <f>Data!S1551</f>
        <v>46174.758279965281</v>
      </c>
      <c r="K1553" s="44">
        <f>Data!S1551</f>
        <v>46174.758279965281</v>
      </c>
      <c r="L1553" s="45">
        <f>Data!T1551</f>
        <v>1.8866898148148147E-4</v>
      </c>
      <c r="M1553" s="46">
        <f>Data!U1551</f>
        <v>6.1692163348197937E-2</v>
      </c>
      <c r="N1553" s="46" t="str">
        <f>CONCATENATE(Data!W1551," (",Data!V1551,")")</f>
        <v>Exceso de velocidad (nuevo) (Velocidad máxima: 17 kmh (Velocidad máxima en carretera: 7 kmh))</v>
      </c>
      <c r="O1553" s="42" t="str">
        <f>IF(Data!V1551&lt;&gt;"",N1553,Data!W1551)</f>
        <v>Exceso de velocidad (nuevo) (Velocidad máxima: 17 kmh (Velocidad máxima en carretera: 7 kmh))</v>
      </c>
      <c r="P1553" s="47" t="str">
        <f>Data!X1551</f>
        <v>Válido</v>
      </c>
    </row>
    <row r="1554" spans="1:16">
      <c r="A1554" s="41" t="str">
        <f>Data!A1552</f>
        <v>QLT538</v>
      </c>
      <c r="B1554" s="41" t="str">
        <f>Data!D1552</f>
        <v>Vehicle, Diesel, Frontera Energy Col 2679</v>
      </c>
      <c r="C1554" s="41">
        <f>Data!F1552</f>
        <v>0</v>
      </c>
      <c r="D1554" s="41">
        <f>Data!G1552</f>
        <v>0</v>
      </c>
      <c r="E1554" s="41">
        <f>Data!H1552</f>
        <v>0</v>
      </c>
      <c r="F1554" s="41">
        <f>Data!K1552</f>
        <v>0</v>
      </c>
      <c r="G1554" s="33" t="str">
        <f>Data!M1552</f>
        <v>Exceso Velocidad 10 Km/h</v>
      </c>
      <c r="H1554" s="41" t="str">
        <f>Data!P1552</f>
        <v>CAMPAMENTO QUIFA, ECOPETROL RUBIALES- Quifa - CAÑO SUR, Puerto Gaitan - Rubiales, Puerto Gaitán, Meta, Colombia, Puerto Triunfo - Estacion Policia: Ent. CAMPAMENTO, Puerto Gaitán, Meta, Colombia</v>
      </c>
      <c r="I1554" s="42" t="str">
        <f>Data!Q1552</f>
        <v>Vel Max 10 Km/h, Cliente, Vel Max 40 Km/h, Centro de servicios del proveedor, Vel Max 30 Km/h</v>
      </c>
      <c r="J1554" s="43">
        <f>Data!S1552</f>
        <v>46174.760957013888</v>
      </c>
      <c r="K1554" s="44">
        <f>Data!S1552</f>
        <v>46174.760957013888</v>
      </c>
      <c r="L1554" s="45">
        <f>Data!T1552</f>
        <v>1.8245370370370372E-4</v>
      </c>
      <c r="M1554" s="46">
        <f>Data!U1552</f>
        <v>4.6416137367486954E-2</v>
      </c>
      <c r="N1554" s="46" t="str">
        <f>CONCATENATE(Data!W1552," (",Data!V1552,")")</f>
        <v>Exceso Velocidad 10 Km/h (Velocidad máxima: 12 kmh)</v>
      </c>
      <c r="O1554" s="42" t="str">
        <f>IF(Data!V1552&lt;&gt;"",N1554,Data!W1552)</f>
        <v>Exceso Velocidad 10 Km/h (Velocidad máxima: 12 kmh)</v>
      </c>
      <c r="P1554" s="47" t="str">
        <f>Data!X1552</f>
        <v>Válido</v>
      </c>
    </row>
    <row r="1555" spans="1:16">
      <c r="A1555" s="41" t="str">
        <f>Data!A1553</f>
        <v>QLT538</v>
      </c>
      <c r="B1555" s="41" t="str">
        <f>Data!D1553</f>
        <v>Vehicle, Diesel, Frontera Energy Col 2679</v>
      </c>
      <c r="C1555" s="41">
        <f>Data!F1553</f>
        <v>0</v>
      </c>
      <c r="D1555" s="41">
        <f>Data!G1553</f>
        <v>0</v>
      </c>
      <c r="E1555" s="41">
        <f>Data!H1553</f>
        <v>0</v>
      </c>
      <c r="F1555" s="41">
        <f>Data!K1553</f>
        <v>0</v>
      </c>
      <c r="G1555" s="33" t="str">
        <f>Data!M1553</f>
        <v>Exceso Velocidad 10 Km/h</v>
      </c>
      <c r="H1555" s="41" t="str">
        <f>Data!P1553</f>
        <v>CAMPAMENTO QUIFA, ECOPETROL RUBIALES- Quifa - CAÑO SUR, Puerto Triunfo - Estacion Policia: Puerto Gaitan - Rubiales, Puerto Gaitán, Meta, Colombia</v>
      </c>
      <c r="I1555" s="42" t="str">
        <f>Data!Q1553</f>
        <v>Vel Max 10 Km/h, Cliente, Vel Max 40 Km/h, Vel Max 30 Km/h</v>
      </c>
      <c r="J1555" s="43">
        <f>Data!S1553</f>
        <v>46174.761469328703</v>
      </c>
      <c r="K1555" s="44">
        <f>Data!S1553</f>
        <v>46174.761469328703</v>
      </c>
      <c r="L1555" s="45">
        <f>Data!T1553</f>
        <v>1.1341435185185185E-4</v>
      </c>
      <c r="M1555" s="46">
        <f>Data!U1553</f>
        <v>2.8465963900089264E-2</v>
      </c>
      <c r="N1555" s="46" t="str">
        <f>CONCATENATE(Data!W1553," (",Data!V1553,")")</f>
        <v>Exceso Velocidad 10 Km/h (Velocidad máxima: 11 kmh)</v>
      </c>
      <c r="O1555" s="42" t="str">
        <f>IF(Data!V1553&lt;&gt;"",N1555,Data!W1553)</f>
        <v>Exceso Velocidad 10 Km/h (Velocidad máxima: 11 kmh)</v>
      </c>
      <c r="P1555" s="47" t="str">
        <f>Data!X1553</f>
        <v>Válido</v>
      </c>
    </row>
    <row r="1556" spans="1:16">
      <c r="A1556" s="41" t="str">
        <f>Data!A1554</f>
        <v>QLT538</v>
      </c>
      <c r="B1556" s="41" t="str">
        <f>Data!D1554</f>
        <v>Vehicle, Diesel, Frontera Energy Col 2679</v>
      </c>
      <c r="C1556" s="41">
        <f>Data!F1554</f>
        <v>0</v>
      </c>
      <c r="D1556" s="41">
        <f>Data!G1554</f>
        <v>0</v>
      </c>
      <c r="E1556" s="41">
        <f>Data!H1554</f>
        <v>0</v>
      </c>
      <c r="F1556" s="41">
        <f>Data!K1554</f>
        <v>0</v>
      </c>
      <c r="G1556" s="33" t="str">
        <f>Data!M1554</f>
        <v>Exceso Velocidad 10 Km/h</v>
      </c>
      <c r="H1556" s="41" t="str">
        <f>Data!P1554</f>
        <v>CAMPAMENTO QUIFA, ECOPETROL RUBIALES- Quifa - CAÑO SUR, Puerto Triunfo - Estacion Policia: Puerto Gaitan - Rubiales, Puerto Gaitán, Meta, Colombia</v>
      </c>
      <c r="I1556" s="42" t="str">
        <f>Data!Q1554</f>
        <v>Vel Max 10 Km/h, Cliente, Vel Max 40 Km/h, Vel Max 30 Km/h</v>
      </c>
      <c r="J1556" s="43">
        <f>Data!S1554</f>
        <v>46174.869733657404</v>
      </c>
      <c r="K1556" s="44">
        <f>Data!S1554</f>
        <v>46174.869733657404</v>
      </c>
      <c r="L1556" s="45">
        <f>Data!T1554</f>
        <v>9.8344907407407411E-5</v>
      </c>
      <c r="M1556" s="46">
        <f>Data!U1554</f>
        <v>2.8818909078836441E-2</v>
      </c>
      <c r="N1556" s="46" t="str">
        <f>CONCATENATE(Data!W1554," (",Data!V1554,")")</f>
        <v>Exceso Velocidad 10 Km/h (Velocidad máxima: 13 kmh)</v>
      </c>
      <c r="O1556" s="42" t="str">
        <f>IF(Data!V1554&lt;&gt;"",N1556,Data!W1554)</f>
        <v>Exceso Velocidad 10 Km/h (Velocidad máxima: 13 kmh)</v>
      </c>
      <c r="P1556" s="47" t="str">
        <f>Data!X1554</f>
        <v>Válido</v>
      </c>
    </row>
    <row r="1557" spans="1:16">
      <c r="A1557" s="41" t="str">
        <f>Data!A1555</f>
        <v>QLT538</v>
      </c>
      <c r="B1557" s="41" t="str">
        <f>Data!D1555</f>
        <v>Vehicle, Diesel, Frontera Energy Col 2679</v>
      </c>
      <c r="C1557" s="41">
        <f>Data!F1555</f>
        <v>0</v>
      </c>
      <c r="D1557" s="41">
        <f>Data!G1555</f>
        <v>0</v>
      </c>
      <c r="E1557" s="41">
        <f>Data!H1555</f>
        <v>0</v>
      </c>
      <c r="F1557" s="41">
        <f>Data!K1555</f>
        <v>0</v>
      </c>
      <c r="G1557" s="33" t="str">
        <f>Data!M1555</f>
        <v>Exceso Velocidad 10 Km/h</v>
      </c>
      <c r="H1557" s="41" t="str">
        <f>Data!P1555</f>
        <v>CAMPAMENTO QUIFA, ECOPETROL RUBIALES- Quifa - CAÑO SUR, Puerto Gaitan - Rubiales, Puerto Gaitán, Meta, Colombia: Ent. CAMPAMENTO, Puerto Gaitán, Meta, Colombia</v>
      </c>
      <c r="I1557" s="42" t="str">
        <f>Data!Q1555</f>
        <v>Vel Max 10 Km/h, Cliente, Vel Max 40 Km/h, Centro de servicios del proveedor</v>
      </c>
      <c r="J1557" s="43">
        <f>Data!S1555</f>
        <v>46174.895637384259</v>
      </c>
      <c r="K1557" s="44">
        <f>Data!S1555</f>
        <v>46174.895637384259</v>
      </c>
      <c r="L1557" s="45">
        <f>Data!T1555</f>
        <v>3.7546296296296298E-5</v>
      </c>
      <c r="M1557" s="46">
        <f>Data!U1555</f>
        <v>8.626159280538559E-3</v>
      </c>
      <c r="N1557" s="46" t="str">
        <f>CONCATENATE(Data!W1555," (",Data!V1555,")")</f>
        <v>Exceso Velocidad 10 Km/h (Velocidad máxima: 12 kmh)</v>
      </c>
      <c r="O1557" s="42" t="str">
        <f>IF(Data!V1555&lt;&gt;"",N1557,Data!W1555)</f>
        <v>Exceso Velocidad 10 Km/h (Velocidad máxima: 12 kmh)</v>
      </c>
      <c r="P1557" s="47" t="str">
        <f>Data!X1555</f>
        <v>Válido</v>
      </c>
    </row>
    <row r="1558" spans="1:16">
      <c r="A1558" s="41" t="str">
        <f>Data!A1556</f>
        <v>QLT538</v>
      </c>
      <c r="B1558" s="41" t="str">
        <f>Data!D1556</f>
        <v>Vehicle, Diesel, Frontera Energy Col 2679</v>
      </c>
      <c r="C1558" s="41">
        <f>Data!F1556</f>
        <v>0</v>
      </c>
      <c r="D1558" s="41">
        <f>Data!G1556</f>
        <v>0</v>
      </c>
      <c r="E1558" s="41">
        <f>Data!H1556</f>
        <v>0</v>
      </c>
      <c r="F1558" s="41">
        <f>Data!K1556</f>
        <v>0</v>
      </c>
      <c r="G1558" s="33" t="str">
        <f>Data!M1556</f>
        <v>Exceso de velocidad (nuevo)</v>
      </c>
      <c r="H1558" s="41" t="str">
        <f>Data!P1556</f>
        <v>ECOPETROL RUBIALES- Quifa - CAÑO SUR, Puerto Triunfo - Estacion Policia: Puerto Gaitan - Rubiales, Puerto Gaitán, Meta, Colombia</v>
      </c>
      <c r="I1558" s="42" t="str">
        <f>Data!Q1556</f>
        <v>Cliente, Vel Max 40 Km/h, Vel Max 30 Km/h</v>
      </c>
      <c r="J1558" s="43">
        <f>Data!S1556</f>
        <v>46174.897524074077</v>
      </c>
      <c r="K1558" s="44">
        <f>Data!S1556</f>
        <v>46174.897524074077</v>
      </c>
      <c r="L1558" s="45">
        <f>Data!T1556</f>
        <v>6.2268518518518521E-4</v>
      </c>
      <c r="M1558" s="46">
        <f>Data!U1556</f>
        <v>0.30578452348709106</v>
      </c>
      <c r="N1558" s="46" t="str">
        <f>CONCATENATE(Data!W1556," (",Data!V1556,")")</f>
        <v>Exceso de velocidad (nuevo) (Velocidad máxima: 25 kmh (Velocidad máxima en carretera: 7 kmh))</v>
      </c>
      <c r="O1558" s="42" t="str">
        <f>IF(Data!V1556&lt;&gt;"",N1558,Data!W1556)</f>
        <v>Exceso de velocidad (nuevo) (Velocidad máxima: 25 kmh (Velocidad máxima en carretera: 7 kmh))</v>
      </c>
      <c r="P1558" s="47" t="str">
        <f>Data!X1556</f>
        <v>Válido</v>
      </c>
    </row>
    <row r="1559" spans="1:16">
      <c r="A1559" s="41" t="str">
        <f>Data!A1557</f>
        <v>QLT538</v>
      </c>
      <c r="B1559" s="41" t="str">
        <f>Data!D1557</f>
        <v>Vehicle, Diesel, Frontera Energy Col 2679</v>
      </c>
      <c r="C1559" s="41">
        <f>Data!F1557</f>
        <v>0</v>
      </c>
      <c r="D1559" s="41">
        <f>Data!G1557</f>
        <v>0</v>
      </c>
      <c r="E1559" s="41">
        <f>Data!H1557</f>
        <v>0</v>
      </c>
      <c r="F1559" s="41">
        <f>Data!K1557</f>
        <v>0</v>
      </c>
      <c r="G1559" s="33" t="str">
        <f>Data!M1557</f>
        <v>Exceso Velocidad 10 Km/h</v>
      </c>
      <c r="H1559" s="41" t="str">
        <f>Data!P1557</f>
        <v>ECOPETROL RUBIALES- Quifa - CAÑO SUR, Centralizado de combustible Quifa: Vía Sin Nombre, Puerto Gaitán, Meta, Colombia</v>
      </c>
      <c r="I1559" s="42" t="str">
        <f>Data!Q1557</f>
        <v>Cliente, Vel Max 40 Km/h, Vel Max 10 Km/h</v>
      </c>
      <c r="J1559" s="43">
        <f>Data!S1557</f>
        <v>46174.898221412041</v>
      </c>
      <c r="K1559" s="44">
        <f>Data!S1557</f>
        <v>46174.898221412041</v>
      </c>
      <c r="L1559" s="45">
        <f>Data!T1557</f>
        <v>4.6296296296296298E-4</v>
      </c>
      <c r="M1559" s="46">
        <f>Data!U1557</f>
        <v>0.13629704713821411</v>
      </c>
      <c r="N1559" s="46" t="str">
        <f>CONCATENATE(Data!W1557," (",Data!V1557,")")</f>
        <v>Exceso Velocidad 10 Km/h (Velocidad máxima: 13 kmh)</v>
      </c>
      <c r="O1559" s="42" t="str">
        <f>IF(Data!V1557&lt;&gt;"",N1559,Data!W1557)</f>
        <v>Exceso Velocidad 10 Km/h (Velocidad máxima: 13 kmh)</v>
      </c>
      <c r="P1559" s="47" t="str">
        <f>Data!X1557</f>
        <v>Válido</v>
      </c>
    </row>
    <row r="1560" spans="1:16">
      <c r="A1560" s="41" t="str">
        <f>Data!A1558</f>
        <v>QLT538</v>
      </c>
      <c r="B1560" s="41" t="str">
        <f>Data!D1558</f>
        <v>Vehicle, Diesel, Frontera Energy Col 2679</v>
      </c>
      <c r="C1560" s="41">
        <f>Data!F1558</f>
        <v>0</v>
      </c>
      <c r="D1560" s="41">
        <f>Data!G1558</f>
        <v>0</v>
      </c>
      <c r="E1560" s="41">
        <f>Data!H1558</f>
        <v>0</v>
      </c>
      <c r="F1560" s="41">
        <f>Data!K1558</f>
        <v>0</v>
      </c>
      <c r="G1560" s="33" t="str">
        <f>Data!M1558</f>
        <v>Exceso Velocidad 10 Km/h</v>
      </c>
      <c r="H1560" s="41" t="str">
        <f>Data!P1558</f>
        <v>ECOPETROL RUBIALES- Quifa - CAÑO SUR, Centralizado de combustible Quifa: Vía Sin Nombre, Puerto Gaitán, Meta, Colombia</v>
      </c>
      <c r="I1560" s="42" t="str">
        <f>Data!Q1558</f>
        <v>Cliente, Vel Max 40 Km/h, Vel Max 10 Km/h</v>
      </c>
      <c r="J1560" s="43">
        <f>Data!S1558</f>
        <v>46174.968690567126</v>
      </c>
      <c r="K1560" s="44">
        <f>Data!S1558</f>
        <v>46174.968690567126</v>
      </c>
      <c r="L1560" s="45">
        <f>Data!T1558</f>
        <v>2.333912037037037E-4</v>
      </c>
      <c r="M1560" s="46">
        <f>Data!U1558</f>
        <v>5.6226745247840881E-2</v>
      </c>
      <c r="N1560" s="46" t="str">
        <f>CONCATENATE(Data!W1558," (",Data!V1558,")")</f>
        <v>Exceso Velocidad 10 Km/h (Velocidad máxima: 11 kmh)</v>
      </c>
      <c r="O1560" s="42" t="str">
        <f>IF(Data!V1558&lt;&gt;"",N1560,Data!W1558)</f>
        <v>Exceso Velocidad 10 Km/h (Velocidad máxima: 11 kmh)</v>
      </c>
      <c r="P1560" s="47" t="str">
        <f>Data!X1558</f>
        <v>Válido</v>
      </c>
    </row>
    <row r="1561" spans="1:16">
      <c r="A1561" s="41" t="str">
        <f>Data!A1559</f>
        <v>QLT538</v>
      </c>
      <c r="B1561" s="41" t="str">
        <f>Data!D1559</f>
        <v>Vehicle, Diesel, Frontera Energy Col 2679</v>
      </c>
      <c r="C1561" s="41">
        <f>Data!F1559</f>
        <v>0</v>
      </c>
      <c r="D1561" s="41">
        <f>Data!G1559</f>
        <v>0</v>
      </c>
      <c r="E1561" s="41">
        <f>Data!H1559</f>
        <v>0</v>
      </c>
      <c r="F1561" s="41">
        <f>Data!K1559</f>
        <v>0</v>
      </c>
      <c r="G1561" s="33" t="str">
        <f>Data!M1559</f>
        <v>Exceso de velocidad (nuevo)</v>
      </c>
      <c r="H1561" s="41" t="str">
        <f>Data!P1559</f>
        <v>ECOPETROL RUBIALES- Quifa - CAÑO SUR: Puerto Gaitan - Rubiales, Puerto Gaitán, Meta, Colombia</v>
      </c>
      <c r="I1561" s="42" t="str">
        <f>Data!Q1559</f>
        <v>Cliente, Vel Max 40 Km/h</v>
      </c>
      <c r="J1561" s="43">
        <f>Data!S1559</f>
        <v>46174.969312928239</v>
      </c>
      <c r="K1561" s="44">
        <f>Data!S1559</f>
        <v>46174.969312928239</v>
      </c>
      <c r="L1561" s="45">
        <f>Data!T1559</f>
        <v>7.955208333333333E-4</v>
      </c>
      <c r="M1561" s="46">
        <f>Data!U1559</f>
        <v>0.30988553166389465</v>
      </c>
      <c r="N1561" s="46" t="str">
        <f>CONCATENATE(Data!W1559," (",Data!V1559,")")</f>
        <v>Exceso de velocidad (nuevo) (Velocidad máxima: 19 kmh (Velocidad máxima en carretera: 7 kmh))</v>
      </c>
      <c r="O1561" s="42" t="str">
        <f>IF(Data!V1559&lt;&gt;"",N1561,Data!W1559)</f>
        <v>Exceso de velocidad (nuevo) (Velocidad máxima: 19 kmh (Velocidad máxima en carretera: 7 kmh))</v>
      </c>
      <c r="P1561" s="47" t="str">
        <f>Data!X1559</f>
        <v>Válido</v>
      </c>
    </row>
    <row r="1562" spans="1:16">
      <c r="A1562" s="41" t="str">
        <f>Data!A1560</f>
        <v>QLT538</v>
      </c>
      <c r="B1562" s="41" t="str">
        <f>Data!D1560</f>
        <v>Vehicle, Diesel, Frontera Energy Col 2679</v>
      </c>
      <c r="C1562" s="41">
        <f>Data!F1560</f>
        <v>0</v>
      </c>
      <c r="D1562" s="41">
        <f>Data!G1560</f>
        <v>0</v>
      </c>
      <c r="E1562" s="41">
        <f>Data!H1560</f>
        <v>0</v>
      </c>
      <c r="F1562" s="41">
        <f>Data!K1560</f>
        <v>0</v>
      </c>
      <c r="G1562" s="33" t="str">
        <f>Data!M1560</f>
        <v>Exceso Velocidad 10 Km/h</v>
      </c>
      <c r="H1562" s="41" t="str">
        <f>Data!P1560</f>
        <v>CAMPAMENTO QUIFA, ECOPETROL RUBIALES- Quifa - CAÑO SUR, Puerto Gaitan - Rubiales, Puerto Gaitán, Meta, Colombia, Puerto Triunfo - Estacion Policia: Ent. CAMPAMENTO, Puerto Gaitán, Meta, Colombia</v>
      </c>
      <c r="I1562" s="42" t="str">
        <f>Data!Q1560</f>
        <v>Vel Max 10 Km/h, Cliente, Vel Max 40 Km/h, Centro de servicios del proveedor, Vel Max 30 Km/h</v>
      </c>
      <c r="J1562" s="43">
        <f>Data!S1560</f>
        <v>46174.972077962964</v>
      </c>
      <c r="K1562" s="44">
        <f>Data!S1560</f>
        <v>46174.972077962964</v>
      </c>
      <c r="L1562" s="45">
        <f>Data!T1560</f>
        <v>1.8627314814814814E-4</v>
      </c>
      <c r="M1562" s="46">
        <f>Data!U1560</f>
        <v>7.0226565003395081E-2</v>
      </c>
      <c r="N1562" s="46" t="str">
        <f>CONCATENATE(Data!W1560," (",Data!V1560,")")</f>
        <v>Exceso Velocidad 10 Km/h (Velocidad máxima: 19 kmh)</v>
      </c>
      <c r="O1562" s="42" t="str">
        <f>IF(Data!V1560&lt;&gt;"",N1562,Data!W1560)</f>
        <v>Exceso Velocidad 10 Km/h (Velocidad máxima: 19 kmh)</v>
      </c>
      <c r="P1562" s="47" t="str">
        <f>Data!X1560</f>
        <v>Válido</v>
      </c>
    </row>
    <row r="1563" spans="1:16">
      <c r="A1563" s="41" t="str">
        <f>Data!A1561</f>
        <v>QLT538</v>
      </c>
      <c r="B1563" s="41" t="str">
        <f>Data!D1561</f>
        <v>Vehicle, Diesel, Frontera Energy Col 2679</v>
      </c>
      <c r="C1563" s="41">
        <f>Data!F1561</f>
        <v>0</v>
      </c>
      <c r="D1563" s="41">
        <f>Data!G1561</f>
        <v>0</v>
      </c>
      <c r="E1563" s="41">
        <f>Data!H1561</f>
        <v>0</v>
      </c>
      <c r="F1563" s="41">
        <f>Data!K1561</f>
        <v>0</v>
      </c>
      <c r="G1563" s="33" t="str">
        <f>Data!M1561</f>
        <v>Exceso Velocidad 10 Km/h</v>
      </c>
      <c r="H1563" s="41" t="str">
        <f>Data!P1561</f>
        <v>CAMPAMENTO QUIFA, ECOPETROL RUBIALES- Quifa - CAÑO SUR, Puerto Triunfo - Estacion Policia: Puerto Gaitan - Rubiales, Puerto Gaitán, Meta, Colombia</v>
      </c>
      <c r="I1563" s="42" t="str">
        <f>Data!Q1561</f>
        <v>Vel Max 10 Km/h, Cliente, Vel Max 40 Km/h, Vel Max 30 Km/h</v>
      </c>
      <c r="J1563" s="43">
        <f>Data!S1561</f>
        <v>46174.972407175926</v>
      </c>
      <c r="K1563" s="44">
        <f>Data!S1561</f>
        <v>46174.972407175926</v>
      </c>
      <c r="L1563" s="45">
        <f>Data!T1561</f>
        <v>1.3655092592592592E-4</v>
      </c>
      <c r="M1563" s="46">
        <f>Data!U1561</f>
        <v>4.2247258126735687E-2</v>
      </c>
      <c r="N1563" s="46" t="str">
        <f>CONCATENATE(Data!W1561," (",Data!V1561,")")</f>
        <v>Exceso Velocidad 10 Km/h (Velocidad máxima: 12 kmh)</v>
      </c>
      <c r="O1563" s="42" t="str">
        <f>IF(Data!V1561&lt;&gt;"",N1563,Data!W1561)</f>
        <v>Exceso Velocidad 10 Km/h (Velocidad máxima: 12 kmh)</v>
      </c>
      <c r="P1563" s="47" t="str">
        <f>Data!X1561</f>
        <v>Válido</v>
      </c>
    </row>
    <row r="1564" spans="1:16">
      <c r="A1564" s="41" t="str">
        <f>Data!A1562</f>
        <v>QLT551</v>
      </c>
      <c r="B1564" s="41" t="str">
        <f>Data!D1562</f>
        <v>Vehicle, Diesel, Frontera Energy Col 2679</v>
      </c>
      <c r="C1564" s="41">
        <f>Data!F1562</f>
        <v>0</v>
      </c>
      <c r="D1564" s="41">
        <f>Data!G1562</f>
        <v>0</v>
      </c>
      <c r="E1564" s="41">
        <f>Data!H1562</f>
        <v>0</v>
      </c>
      <c r="F1564" s="41">
        <f>Data!K1562</f>
        <v>0</v>
      </c>
      <c r="G1564" s="33" t="str">
        <f>Data!M1562</f>
        <v>Tiempo en ralentí</v>
      </c>
      <c r="H1564" s="41" t="str">
        <f>Data!P1562</f>
        <v>ECOPETROL RUBIALES- Quifa - CAÑO SUR: Puerto Gaitan - Rubiales, Puerto Gaitán, Meta, Colombia</v>
      </c>
      <c r="I1564" s="42" t="str">
        <f>Data!Q1562</f>
        <v>Cliente, Vel Max 40 Km/h</v>
      </c>
      <c r="J1564" s="43">
        <f>Data!S1562</f>
        <v>46173.997141203705</v>
      </c>
      <c r="K1564" s="44">
        <f>Data!S1562</f>
        <v>46173.997141203705</v>
      </c>
      <c r="L1564" s="45">
        <f>Data!T1562</f>
        <v>2.5231481481481483E-2</v>
      </c>
      <c r="M1564" s="46">
        <f>Data!U1562</f>
        <v>0</v>
      </c>
      <c r="N1564" s="46" t="str">
        <f>CONCATENATE(Data!W1562," (",Data!V1562,")")</f>
        <v>Tiempo en ralentí (Ignición: 1.00)</v>
      </c>
      <c r="O1564" s="42" t="str">
        <f>IF(Data!V1562&lt;&gt;"",N1564,Data!W1562)</f>
        <v>Tiempo en ralentí (Ignición: 1.00)</v>
      </c>
      <c r="P1564" s="47" t="str">
        <f>Data!X1562</f>
        <v>Válido</v>
      </c>
    </row>
    <row r="1565" spans="1:16">
      <c r="A1565" s="41" t="str">
        <f>Data!A1563</f>
        <v>QLT551</v>
      </c>
      <c r="B1565" s="41" t="str">
        <f>Data!D1563</f>
        <v>Vehicle, Diesel, Frontera Energy Col 2679</v>
      </c>
      <c r="C1565" s="41">
        <f>Data!F1563</f>
        <v>0</v>
      </c>
      <c r="D1565" s="41">
        <f>Data!G1563</f>
        <v>0</v>
      </c>
      <c r="E1565" s="41">
        <f>Data!H1563</f>
        <v>0</v>
      </c>
      <c r="F1565" s="41">
        <f>Data!K1563</f>
        <v>0</v>
      </c>
      <c r="G1565" s="33" t="str">
        <f>Data!M1563</f>
        <v>Exceso Velocidad 30 Km/h</v>
      </c>
      <c r="H1565" s="41" t="str">
        <f>Data!P1563</f>
        <v>ECOPETROL RUBIALES- Quifa - CAÑO SUR, Puerto Triunfo - Estacion Policia: Puerto Gaitan - Rubiales, Puerto Gaitán, Meta, Colombia</v>
      </c>
      <c r="I1565" s="42" t="str">
        <f>Data!Q1563</f>
        <v>Cliente, Vel Max 40 Km/h, Vel Max 30 Km/h</v>
      </c>
      <c r="J1565" s="43">
        <f>Data!S1563</f>
        <v>46174.023514953704</v>
      </c>
      <c r="K1565" s="44">
        <f>Data!S1563</f>
        <v>46174.023514953704</v>
      </c>
      <c r="L1565" s="45">
        <f>Data!T1563</f>
        <v>3.0567129629629629E-5</v>
      </c>
      <c r="M1565" s="46">
        <f>Data!U1563</f>
        <v>2.1611742675304413E-2</v>
      </c>
      <c r="N1565" s="46" t="str">
        <f>CONCATENATE(Data!W1563," (",Data!V1563,")")</f>
        <v>Exceso Velocidad 30 Km/h (Velocidad máxima: 31 kmh)</v>
      </c>
      <c r="O1565" s="42" t="str">
        <f>IF(Data!V1563&lt;&gt;"",N1565,Data!W1563)</f>
        <v>Exceso Velocidad 30 Km/h (Velocidad máxima: 31 kmh)</v>
      </c>
      <c r="P1565" s="47" t="str">
        <f>Data!X1563</f>
        <v>Válido</v>
      </c>
    </row>
    <row r="1566" spans="1:16">
      <c r="A1566" s="41" t="str">
        <f>Data!A1564</f>
        <v>QLT551</v>
      </c>
      <c r="B1566" s="41" t="str">
        <f>Data!D1564</f>
        <v>Vehicle, Diesel, Frontera Energy Col 2679</v>
      </c>
      <c r="C1566" s="41">
        <f>Data!F1564</f>
        <v>0</v>
      </c>
      <c r="D1566" s="41">
        <f>Data!G1564</f>
        <v>0</v>
      </c>
      <c r="E1566" s="41">
        <f>Data!H1564</f>
        <v>0</v>
      </c>
      <c r="F1566" s="41">
        <f>Data!K1564</f>
        <v>0</v>
      </c>
      <c r="G1566" s="33" t="str">
        <f>Data!M1564</f>
        <v>Exceso Velocidad 30 Km/h</v>
      </c>
      <c r="H1566" s="41" t="str">
        <f>Data!P1564</f>
        <v>ECOPETROL RUBIALES- Quifa - CAÑO SUR, Puerto Triunfo - Estacion Policia: Puerto Gaitan - Rubiales, Puerto Gaitán, Meta, Colombia</v>
      </c>
      <c r="I1566" s="42" t="str">
        <f>Data!Q1564</f>
        <v>Cliente, Vel Max 40 Km/h, Vel Max 30 Km/h</v>
      </c>
      <c r="J1566" s="43">
        <f>Data!S1564</f>
        <v>46174.023853275467</v>
      </c>
      <c r="K1566" s="44">
        <f>Data!S1564</f>
        <v>46174.023853275467</v>
      </c>
      <c r="L1566" s="45">
        <f>Data!T1564</f>
        <v>2.4009259259259258E-4</v>
      </c>
      <c r="M1566" s="46">
        <f>Data!U1564</f>
        <v>0.17813679575920105</v>
      </c>
      <c r="N1566" s="46" t="str">
        <f>CONCATENATE(Data!W1564," (",Data!V1564,")")</f>
        <v>Exceso Velocidad 30 Km/h (Velocidad máxima: 33 kmh)</v>
      </c>
      <c r="O1566" s="42" t="str">
        <f>IF(Data!V1564&lt;&gt;"",N1566,Data!W1564)</f>
        <v>Exceso Velocidad 30 Km/h (Velocidad máxima: 33 kmh)</v>
      </c>
      <c r="P1566" s="47" t="str">
        <f>Data!X1564</f>
        <v>Válido</v>
      </c>
    </row>
    <row r="1567" spans="1:16">
      <c r="A1567" s="41" t="str">
        <f>Data!A1565</f>
        <v>QLT551</v>
      </c>
      <c r="B1567" s="41" t="str">
        <f>Data!D1565</f>
        <v>Vehicle, Diesel, Frontera Energy Col 2679</v>
      </c>
      <c r="C1567" s="41">
        <f>Data!F1565</f>
        <v>0</v>
      </c>
      <c r="D1567" s="41">
        <f>Data!G1565</f>
        <v>0</v>
      </c>
      <c r="E1567" s="41">
        <f>Data!H1565</f>
        <v>0</v>
      </c>
      <c r="F1567" s="41">
        <f>Data!K1565</f>
        <v>0</v>
      </c>
      <c r="G1567" s="33" t="str">
        <f>Data!M1565</f>
        <v>Exceso Velocidad 30 Km/h</v>
      </c>
      <c r="H1567" s="41" t="str">
        <f>Data!P1565</f>
        <v>ECOPETROL RUBIALES- Quifa - CAÑO SUR, Puerto Triunfo - Estacion Policia: Puerto Gaitan - Rubiales, Puerto Gaitán, Meta, Colombia</v>
      </c>
      <c r="I1567" s="42" t="str">
        <f>Data!Q1565</f>
        <v>Cliente, Vel Max 40 Km/h, Vel Max 30 Km/h</v>
      </c>
      <c r="J1567" s="43">
        <f>Data!S1565</f>
        <v>46174.024691354163</v>
      </c>
      <c r="K1567" s="44">
        <f>Data!S1565</f>
        <v>46174.024691354163</v>
      </c>
      <c r="L1567" s="45">
        <f>Data!T1565</f>
        <v>2.2531250000000001E-4</v>
      </c>
      <c r="M1567" s="46">
        <f>Data!U1565</f>
        <v>0.1661936491727829</v>
      </c>
      <c r="N1567" s="46" t="str">
        <f>CONCATENATE(Data!W1565," (",Data!V1565,")")</f>
        <v>Exceso Velocidad 30 Km/h (Velocidad máxima: 33 kmh)</v>
      </c>
      <c r="O1567" s="42" t="str">
        <f>IF(Data!V1565&lt;&gt;"",N1567,Data!W1565)</f>
        <v>Exceso Velocidad 30 Km/h (Velocidad máxima: 33 kmh)</v>
      </c>
      <c r="P1567" s="47" t="str">
        <f>Data!X1565</f>
        <v>Válido</v>
      </c>
    </row>
    <row r="1568" spans="1:16">
      <c r="A1568" s="41" t="str">
        <f>Data!A1566</f>
        <v>QLT551</v>
      </c>
      <c r="B1568" s="41" t="str">
        <f>Data!D1566</f>
        <v>Vehicle, Diesel, Frontera Energy Col 2679</v>
      </c>
      <c r="C1568" s="41">
        <f>Data!F1566</f>
        <v>0</v>
      </c>
      <c r="D1568" s="41">
        <f>Data!G1566</f>
        <v>0</v>
      </c>
      <c r="E1568" s="41">
        <f>Data!H1566</f>
        <v>0</v>
      </c>
      <c r="F1568" s="41">
        <f>Data!K1566</f>
        <v>0</v>
      </c>
      <c r="G1568" s="33" t="str">
        <f>Data!M1566</f>
        <v>Exceso Velocidad 30 Km/h</v>
      </c>
      <c r="H1568" s="41" t="str">
        <f>Data!P1566</f>
        <v>ECOPETROL RUBIALES- Quifa - CAÑO SUR, Puerto Triunfo - Estacion Policia: Puerto Gaitan - Rubiales, Puerto Gaitán, Meta, Colombia</v>
      </c>
      <c r="I1568" s="42" t="str">
        <f>Data!Q1566</f>
        <v>Cliente, Vel Max 40 Km/h, Vel Max 30 Km/h</v>
      </c>
      <c r="J1568" s="43">
        <f>Data!S1566</f>
        <v>46174.025007719909</v>
      </c>
      <c r="K1568" s="44">
        <f>Data!S1566</f>
        <v>46174.025007719909</v>
      </c>
      <c r="L1568" s="45">
        <f>Data!T1566</f>
        <v>3.361111111111111E-5</v>
      </c>
      <c r="M1568" s="46">
        <f>Data!U1566</f>
        <v>2.3596517741680145E-2</v>
      </c>
      <c r="N1568" s="46" t="str">
        <f>CONCATENATE(Data!W1566," (",Data!V1566,")")</f>
        <v>Exceso Velocidad 30 Km/h (Velocidad máxima: 31 kmh)</v>
      </c>
      <c r="O1568" s="42" t="str">
        <f>IF(Data!V1566&lt;&gt;"",N1568,Data!W1566)</f>
        <v>Exceso Velocidad 30 Km/h (Velocidad máxima: 31 kmh)</v>
      </c>
      <c r="P1568" s="47" t="str">
        <f>Data!X1566</f>
        <v>Válido</v>
      </c>
    </row>
    <row r="1569" spans="1:16">
      <c r="A1569" s="41" t="str">
        <f>Data!A1567</f>
        <v>QLT551</v>
      </c>
      <c r="B1569" s="41" t="str">
        <f>Data!D1567</f>
        <v>Vehicle, Diesel, Frontera Energy Col 2679</v>
      </c>
      <c r="C1569" s="41">
        <f>Data!F1567</f>
        <v>0</v>
      </c>
      <c r="D1569" s="41">
        <f>Data!G1567</f>
        <v>0</v>
      </c>
      <c r="E1569" s="41">
        <f>Data!H1567</f>
        <v>0</v>
      </c>
      <c r="F1569" s="41">
        <f>Data!K1567</f>
        <v>0</v>
      </c>
      <c r="G1569" s="33" t="str">
        <f>Data!M1567</f>
        <v>Exceso Velocidad 10 Km/h</v>
      </c>
      <c r="H1569" s="41" t="str">
        <f>Data!P1567</f>
        <v>ECOPETROL RUBIALES- Quifa - CAÑO SUR, Puerto Triunfo - Estacion Policia, PUESTRO CONTROL QUIFA: Puerto Gaitan - Rubiales, Puerto Gaitán, Meta, Colombia</v>
      </c>
      <c r="I1569" s="42" t="str">
        <f>Data!Q1567</f>
        <v>Cliente, Vel Max 40 Km/h, Vel Max 30 Km/h, Vel Max 10 Km/h</v>
      </c>
      <c r="J1569" s="43">
        <f>Data!S1567</f>
        <v>46174.025052280092</v>
      </c>
      <c r="K1569" s="44">
        <f>Data!S1567</f>
        <v>46174.025052280092</v>
      </c>
      <c r="L1569" s="45">
        <f>Data!T1567</f>
        <v>2.6320601851851852E-4</v>
      </c>
      <c r="M1569" s="46">
        <f>Data!U1567</f>
        <v>0.18249154090881348</v>
      </c>
      <c r="N1569" s="46" t="str">
        <f>CONCATENATE(Data!W1567," (",Data!V1567,")")</f>
        <v>Exceso Velocidad 10 Km/h (Velocidad máxima: 31 kmh)</v>
      </c>
      <c r="O1569" s="42" t="str">
        <f>IF(Data!V1567&lt;&gt;"",N1569,Data!W1567)</f>
        <v>Exceso Velocidad 10 Km/h (Velocidad máxima: 31 kmh)</v>
      </c>
      <c r="P1569" s="47" t="str">
        <f>Data!X1567</f>
        <v>Válido</v>
      </c>
    </row>
    <row r="1570" spans="1:16">
      <c r="A1570" s="41" t="str">
        <f>Data!A1568</f>
        <v>QLT551</v>
      </c>
      <c r="B1570" s="41" t="str">
        <f>Data!D1568</f>
        <v>Vehicle, Diesel, Frontera Energy Col 2679</v>
      </c>
      <c r="C1570" s="41">
        <f>Data!F1568</f>
        <v>0</v>
      </c>
      <c r="D1570" s="41">
        <f>Data!G1568</f>
        <v>0</v>
      </c>
      <c r="E1570" s="41">
        <f>Data!H1568</f>
        <v>0</v>
      </c>
      <c r="F1570" s="41">
        <f>Data!K1568</f>
        <v>0</v>
      </c>
      <c r="G1570" s="33" t="str">
        <f>Data!M1568</f>
        <v>Exceso Velocidad 30 Km/h</v>
      </c>
      <c r="H1570" s="41" t="str">
        <f>Data!P1568</f>
        <v>ECOPETROL RUBIALES- Quifa - CAÑO SUR, Puerto Triunfo - Estacion Policia, PUESTRO CONTROL QUIFA: Puerto Gaitan - Rubiales, Puerto Gaitán, Meta, Colombia</v>
      </c>
      <c r="I1570" s="42" t="str">
        <f>Data!Q1568</f>
        <v>Cliente, Vel Max 40 Km/h, Vel Max 30 Km/h, Vel Max 10 Km/h</v>
      </c>
      <c r="J1570" s="43">
        <f>Data!S1568</f>
        <v>46174.025227627317</v>
      </c>
      <c r="K1570" s="44">
        <f>Data!S1568</f>
        <v>46174.025227627317</v>
      </c>
      <c r="L1570" s="45">
        <f>Data!T1568</f>
        <v>2.1797453703703703E-4</v>
      </c>
      <c r="M1570" s="46">
        <f>Data!U1568</f>
        <v>0.16346666216850281</v>
      </c>
      <c r="N1570" s="46" t="str">
        <f>CONCATENATE(Data!W1568," (",Data!V1568,")")</f>
        <v>Exceso Velocidad 30 Km/h (Velocidad máxima: 31 kmh)</v>
      </c>
      <c r="O1570" s="42" t="str">
        <f>IF(Data!V1568&lt;&gt;"",N1570,Data!W1568)</f>
        <v>Exceso Velocidad 30 Km/h (Velocidad máxima: 31 kmh)</v>
      </c>
      <c r="P1570" s="47" t="str">
        <f>Data!X1568</f>
        <v>Válido</v>
      </c>
    </row>
    <row r="1571" spans="1:16">
      <c r="A1571" s="41" t="str">
        <f>Data!A1569</f>
        <v>QLT551</v>
      </c>
      <c r="B1571" s="41" t="str">
        <f>Data!D1569</f>
        <v>Vehicle, Diesel, Frontera Energy Col 2679</v>
      </c>
      <c r="C1571" s="41">
        <f>Data!F1569</f>
        <v>0</v>
      </c>
      <c r="D1571" s="41">
        <f>Data!G1569</f>
        <v>0</v>
      </c>
      <c r="E1571" s="41">
        <f>Data!H1569</f>
        <v>0</v>
      </c>
      <c r="F1571" s="41">
        <f>Data!K1569</f>
        <v>0</v>
      </c>
      <c r="G1571" s="33" t="str">
        <f>Data!M1569</f>
        <v>Exceso Velocidad 30 Km/h</v>
      </c>
      <c r="H1571" s="41" t="str">
        <f>Data!P1569</f>
        <v>ECOPETROL RUBIALES- Quifa - CAÑO SUR, Puerto Triunfo - Estacion Policia: Puerto Gaitan - Rubiales, Puerto Gaitán, Meta, Colombia</v>
      </c>
      <c r="I1571" s="42" t="str">
        <f>Data!Q1569</f>
        <v>Cliente, Vel Max 40 Km/h, Vel Max 30 Km/h</v>
      </c>
      <c r="J1571" s="43">
        <f>Data!S1569</f>
        <v>46174.025717592594</v>
      </c>
      <c r="K1571" s="44">
        <f>Data!S1569</f>
        <v>46174.025717592594</v>
      </c>
      <c r="L1571" s="45">
        <f>Data!T1569</f>
        <v>3.6898148148148146E-5</v>
      </c>
      <c r="M1571" s="46">
        <f>Data!U1569</f>
        <v>2.6686497032642365E-2</v>
      </c>
      <c r="N1571" s="46" t="str">
        <f>CONCATENATE(Data!W1569," (",Data!V1569,")")</f>
        <v>Exceso Velocidad 30 Km/h (Velocidad máxima: 31 kmh)</v>
      </c>
      <c r="O1571" s="42" t="str">
        <f>IF(Data!V1569&lt;&gt;"",N1571,Data!W1569)</f>
        <v>Exceso Velocidad 30 Km/h (Velocidad máxima: 31 kmh)</v>
      </c>
      <c r="P1571" s="47" t="str">
        <f>Data!X1569</f>
        <v>Válido</v>
      </c>
    </row>
    <row r="1572" spans="1:16">
      <c r="A1572" s="41" t="str">
        <f>Data!A1570</f>
        <v>QLT551</v>
      </c>
      <c r="B1572" s="41" t="str">
        <f>Data!D1570</f>
        <v>Vehicle, Diesel, Frontera Energy Col 2679</v>
      </c>
      <c r="C1572" s="41">
        <f>Data!F1570</f>
        <v>0</v>
      </c>
      <c r="D1572" s="41">
        <f>Data!G1570</f>
        <v>0</v>
      </c>
      <c r="E1572" s="41">
        <f>Data!H1570</f>
        <v>0</v>
      </c>
      <c r="F1572" s="41">
        <f>Data!K1570</f>
        <v>0</v>
      </c>
      <c r="G1572" s="33" t="str">
        <f>Data!M1570</f>
        <v>Giro brusco</v>
      </c>
      <c r="H1572" s="41" t="str">
        <f>Data!P1570</f>
        <v>ECOPETROL RUBIALES- Quifa - CAÑO SUR, Puerto Triunfo - Estacion Policia: Puerto Gaitan - Rubiales, Puerto Gaitán, Meta, Colombia</v>
      </c>
      <c r="I1572" s="42" t="str">
        <f>Data!Q1570</f>
        <v>Cliente, Vel Max 40 Km/h, Vel Max 30 Km/h</v>
      </c>
      <c r="J1572" s="43">
        <f>Data!S1570</f>
        <v>46174.025814386572</v>
      </c>
      <c r="K1572" s="44">
        <f>Data!S1570</f>
        <v>46174.025814386572</v>
      </c>
      <c r="L1572" s="45">
        <f>Data!T1570</f>
        <v>1.9675925925925927E-7</v>
      </c>
      <c r="M1572" s="46">
        <f>Data!U1570</f>
        <v>8.3005426859017462E-5</v>
      </c>
      <c r="N1572" s="46" t="str">
        <f>CONCATENATE(Data!W1570," (",Data!V1570,")")</f>
        <v>Giro brusco (Velocidad máxima: 14 kmh Aceleración de lado a lado: -0.48 g-force, Ignición: 1.00)</v>
      </c>
      <c r="O1572" s="42" t="str">
        <f>IF(Data!V1570&lt;&gt;"",N1572,Data!W1570)</f>
        <v>Giro brusco (Velocidad máxima: 14 kmh Aceleración de lado a lado: -0.48 g-force, Ignición: 1.00)</v>
      </c>
      <c r="P1572" s="47" t="str">
        <f>Data!X1570</f>
        <v>Válido</v>
      </c>
    </row>
    <row r="1573" spans="1:16">
      <c r="A1573" s="41" t="str">
        <f>Data!A1571</f>
        <v>QLT551</v>
      </c>
      <c r="B1573" s="41" t="str">
        <f>Data!D1571</f>
        <v>Vehicle, Diesel, Frontera Energy Col 2679</v>
      </c>
      <c r="C1573" s="41">
        <f>Data!F1571</f>
        <v>0</v>
      </c>
      <c r="D1573" s="41">
        <f>Data!G1571</f>
        <v>0</v>
      </c>
      <c r="E1573" s="41">
        <f>Data!H1571</f>
        <v>0</v>
      </c>
      <c r="F1573" s="41">
        <f>Data!K1571</f>
        <v>0</v>
      </c>
      <c r="G1573" s="33" t="str">
        <f>Data!M1571</f>
        <v>Exceso Velocidad 30 Km/h</v>
      </c>
      <c r="H1573" s="41" t="str">
        <f>Data!P1571</f>
        <v>ECOPETROL RUBIALES- Quifa - CAÑO SUR, Puerto Triunfo - Estacion Policia: Puerto Gaitan - Rubiales, Puerto Gaitán, Meta, Colombia</v>
      </c>
      <c r="I1573" s="42" t="str">
        <f>Data!Q1571</f>
        <v>Cliente, Vel Max 40 Km/h, Vel Max 30 Km/h</v>
      </c>
      <c r="J1573" s="43">
        <f>Data!S1571</f>
        <v>46174.025934189813</v>
      </c>
      <c r="K1573" s="44">
        <f>Data!S1571</f>
        <v>46174.025934189813</v>
      </c>
      <c r="L1573" s="45">
        <f>Data!T1571</f>
        <v>9.4074074074074071E-5</v>
      </c>
      <c r="M1573" s="46">
        <f>Data!U1571</f>
        <v>7.4884288012981415E-2</v>
      </c>
      <c r="N1573" s="46" t="str">
        <f>CONCATENATE(Data!W1571," (",Data!V1571,")")</f>
        <v>Exceso Velocidad 30 Km/h (Velocidad máxima: 39 kmh)</v>
      </c>
      <c r="O1573" s="42" t="str">
        <f>IF(Data!V1571&lt;&gt;"",N1573,Data!W1571)</f>
        <v>Exceso Velocidad 30 Km/h (Velocidad máxima: 39 kmh)</v>
      </c>
      <c r="P1573" s="47" t="str">
        <f>Data!X1571</f>
        <v>Válido</v>
      </c>
    </row>
    <row r="1574" spans="1:16">
      <c r="A1574" s="41" t="str">
        <f>Data!A1572</f>
        <v>QLT551</v>
      </c>
      <c r="B1574" s="41" t="str">
        <f>Data!D1572</f>
        <v>Vehicle, Diesel, Frontera Energy Col 2679</v>
      </c>
      <c r="C1574" s="41">
        <f>Data!F1572</f>
        <v>0</v>
      </c>
      <c r="D1574" s="41">
        <f>Data!G1572</f>
        <v>0</v>
      </c>
      <c r="E1574" s="41">
        <f>Data!H1572</f>
        <v>0</v>
      </c>
      <c r="F1574" s="41">
        <f>Data!K1572</f>
        <v>0</v>
      </c>
      <c r="G1574" s="33" t="str">
        <f>Data!M1572</f>
        <v>Exceso Velocidad 30 Km/h</v>
      </c>
      <c r="H1574" s="41" t="str">
        <f>Data!P1572</f>
        <v>ECOPETROL RUBIALES- Quifa - CAÑO SUR, Puerto Triunfo - Estacion Policia: Puerto Gaitan - Rubiales, Puerto Gaitán, Meta, Colombia</v>
      </c>
      <c r="I1574" s="42" t="str">
        <f>Data!Q1572</f>
        <v>Cliente, Vel Max 40 Km/h, Vel Max 30 Km/h</v>
      </c>
      <c r="J1574" s="43">
        <f>Data!S1572</f>
        <v>46174.026127951387</v>
      </c>
      <c r="K1574" s="44">
        <f>Data!S1572</f>
        <v>46174.026127951387</v>
      </c>
      <c r="L1574" s="45">
        <f>Data!T1572</f>
        <v>4.9710648148148146E-5</v>
      </c>
      <c r="M1574" s="46">
        <f>Data!U1572</f>
        <v>3.8961872458457947E-2</v>
      </c>
      <c r="N1574" s="46" t="str">
        <f>CONCATENATE(Data!W1572," (",Data!V1572,")")</f>
        <v>Exceso Velocidad 30 Km/h (Velocidad máxima: 33 kmh)</v>
      </c>
      <c r="O1574" s="42" t="str">
        <f>IF(Data!V1572&lt;&gt;"",N1574,Data!W1572)</f>
        <v>Exceso Velocidad 30 Km/h (Velocidad máxima: 33 kmh)</v>
      </c>
      <c r="P1574" s="47" t="str">
        <f>Data!X1572</f>
        <v>Válido</v>
      </c>
    </row>
    <row r="1575" spans="1:16">
      <c r="A1575" s="41" t="str">
        <f>Data!A1573</f>
        <v>QLT551</v>
      </c>
      <c r="B1575" s="41" t="str">
        <f>Data!D1573</f>
        <v>Vehicle, Diesel, Frontera Energy Col 2679</v>
      </c>
      <c r="C1575" s="41">
        <f>Data!F1573</f>
        <v>0</v>
      </c>
      <c r="D1575" s="41">
        <f>Data!G1573</f>
        <v>0</v>
      </c>
      <c r="E1575" s="41">
        <f>Data!H1573</f>
        <v>0</v>
      </c>
      <c r="F1575" s="41">
        <f>Data!K1573</f>
        <v>0</v>
      </c>
      <c r="G1575" s="33" t="str">
        <f>Data!M1573</f>
        <v>Exceso Velocidad 10 Km/h</v>
      </c>
      <c r="H1575" s="41" t="str">
        <f>Data!P1573</f>
        <v>CAMPAMENTO QUIFA, ECOPETROL RUBIALES- Quifa - CAÑO SUR, Puerto Gaitan - Rubiales, Puerto Gaitán, Meta, Colombia, Puerto Triunfo - Estacion Policia: Ent. CAMPAMENTO, Puerto Gaitán, Meta, Colombia</v>
      </c>
      <c r="I1575" s="42" t="str">
        <f>Data!Q1573</f>
        <v>Vel Max 10 Km/h, Cliente, Vel Max 40 Km/h, Centro de servicios del proveedor, Vel Max 30 Km/h</v>
      </c>
      <c r="J1575" s="43">
        <f>Data!S1573</f>
        <v>46174.027051886573</v>
      </c>
      <c r="K1575" s="44">
        <f>Data!S1573</f>
        <v>46174.027051886573</v>
      </c>
      <c r="L1575" s="45">
        <f>Data!T1573</f>
        <v>3.4320601851851851E-4</v>
      </c>
      <c r="M1575" s="46">
        <f>Data!U1573</f>
        <v>0.14615383744239807</v>
      </c>
      <c r="N1575" s="46" t="str">
        <f>CONCATENATE(Data!W1573," (",Data!V1573,")")</f>
        <v>Exceso Velocidad 10 Km/h (Velocidad máxima: 20 kmh)</v>
      </c>
      <c r="O1575" s="42" t="str">
        <f>IF(Data!V1573&lt;&gt;"",N1575,Data!W1573)</f>
        <v>Exceso Velocidad 10 Km/h (Velocidad máxima: 20 kmh)</v>
      </c>
      <c r="P1575" s="47" t="str">
        <f>Data!X1573</f>
        <v>Válido</v>
      </c>
    </row>
    <row r="1576" spans="1:16">
      <c r="A1576" s="41" t="str">
        <f>Data!A1574</f>
        <v>QLT551</v>
      </c>
      <c r="B1576" s="41" t="str">
        <f>Data!D1574</f>
        <v>Vehicle, Diesel, Frontera Energy Col 2679</v>
      </c>
      <c r="C1576" s="41">
        <f>Data!F1574</f>
        <v>0</v>
      </c>
      <c r="D1576" s="41">
        <f>Data!G1574</f>
        <v>0</v>
      </c>
      <c r="E1576" s="41">
        <f>Data!H1574</f>
        <v>0</v>
      </c>
      <c r="F1576" s="41">
        <f>Data!K1574</f>
        <v>0</v>
      </c>
      <c r="G1576" s="33" t="str">
        <f>Data!M1574</f>
        <v>Exceso Velocidad 10 Km/h</v>
      </c>
      <c r="H1576" s="41" t="str">
        <f>Data!P1574</f>
        <v>CAMPAMENTO QUIFA, ECOPETROL RUBIALES- Quifa - CAÑO SUR, Puerto Triunfo - Estacion Policia: Puerto Gaitan - Rubiales, Puerto Gaitán, Meta, Colombia</v>
      </c>
      <c r="I1576" s="42" t="str">
        <f>Data!Q1574</f>
        <v>Vel Max 10 Km/h, Cliente, Vel Max 40 Km/h, Vel Max 30 Km/h</v>
      </c>
      <c r="J1576" s="43">
        <f>Data!S1574</f>
        <v>46174.027426296299</v>
      </c>
      <c r="K1576" s="44">
        <f>Data!S1574</f>
        <v>46174.027426296299</v>
      </c>
      <c r="L1576" s="45">
        <f>Data!T1574</f>
        <v>9.1064814814814817E-5</v>
      </c>
      <c r="M1576" s="46">
        <f>Data!U1574</f>
        <v>2.9899155721068382E-2</v>
      </c>
      <c r="N1576" s="46" t="str">
        <f>CONCATENATE(Data!W1574," (",Data!V1574,")")</f>
        <v>Exceso Velocidad 10 Km/h (Velocidad máxima: 16 kmh)</v>
      </c>
      <c r="O1576" s="42" t="str">
        <f>IF(Data!V1574&lt;&gt;"",N1576,Data!W1574)</f>
        <v>Exceso Velocidad 10 Km/h (Velocidad máxima: 16 kmh)</v>
      </c>
      <c r="P1576" s="47" t="str">
        <f>Data!X1574</f>
        <v>Válido</v>
      </c>
    </row>
    <row r="1577" spans="1:16">
      <c r="A1577" s="41" t="str">
        <f>Data!A1575</f>
        <v>QLT551</v>
      </c>
      <c r="B1577" s="41" t="str">
        <f>Data!D1575</f>
        <v>Vehicle, Diesel, Frontera Energy Col 2679</v>
      </c>
      <c r="C1577" s="41">
        <f>Data!F1575</f>
        <v>0</v>
      </c>
      <c r="D1577" s="41">
        <f>Data!G1575</f>
        <v>0</v>
      </c>
      <c r="E1577" s="41">
        <f>Data!H1575</f>
        <v>0</v>
      </c>
      <c r="F1577" s="41">
        <f>Data!K1575</f>
        <v>0</v>
      </c>
      <c r="G1577" s="33" t="str">
        <f>Data!M1575</f>
        <v>Exceso Velocidad 10 Km/h</v>
      </c>
      <c r="H1577" s="41" t="str">
        <f>Data!P1575</f>
        <v>CAMPAMENTO QUIFA, ECOPETROL RUBIALES- Quifa - CAÑO SUR, Campamento Quifa - CMA: Puerto Gaitan - Rubiales, Puerto Gaitán, Meta, Colombia</v>
      </c>
      <c r="I1577" s="42" t="str">
        <f>Data!Q1575</f>
        <v>Vel Max 10 Km/h, Cliente, Vel Max 40 Km/h</v>
      </c>
      <c r="J1577" s="43">
        <f>Data!S1575</f>
        <v>46174.028106481484</v>
      </c>
      <c r="K1577" s="44">
        <f>Data!S1575</f>
        <v>46174.028106481484</v>
      </c>
      <c r="L1577" s="45">
        <f>Data!T1575</f>
        <v>3.0092592592592593E-5</v>
      </c>
      <c r="M1577" s="46">
        <f>Data!U1575</f>
        <v>6.9242985919117928E-3</v>
      </c>
      <c r="N1577" s="46" t="str">
        <f>CONCATENATE(Data!W1575," (",Data!V1575,")")</f>
        <v>Exceso Velocidad 10 Km/h (Velocidad máxima: 11 kmh)</v>
      </c>
      <c r="O1577" s="42" t="str">
        <f>IF(Data!V1575&lt;&gt;"",N1577,Data!W1575)</f>
        <v>Exceso Velocidad 10 Km/h (Velocidad máxima: 11 kmh)</v>
      </c>
      <c r="P1577" s="47" t="str">
        <f>Data!X1575</f>
        <v>Válido</v>
      </c>
    </row>
    <row r="1578" spans="1:16">
      <c r="A1578" s="41" t="str">
        <f>Data!A1576</f>
        <v>QLT551</v>
      </c>
      <c r="B1578" s="41" t="str">
        <f>Data!D1576</f>
        <v>Vehicle, Diesel, Frontera Energy Col 2679</v>
      </c>
      <c r="C1578" s="41">
        <f>Data!F1576</f>
        <v>0</v>
      </c>
      <c r="D1578" s="41">
        <f>Data!G1576</f>
        <v>0</v>
      </c>
      <c r="E1578" s="41">
        <f>Data!H1576</f>
        <v>0</v>
      </c>
      <c r="F1578" s="41">
        <f>Data!K1576</f>
        <v>0</v>
      </c>
      <c r="G1578" s="33" t="str">
        <f>Data!M1576</f>
        <v>Exceso Velocidad 10 Km/h</v>
      </c>
      <c r="H1578" s="41" t="str">
        <f>Data!P1576</f>
        <v>CAMPAMENTO QUIFA, ECOPETROL RUBIALES- Quifa - CAÑO SUR, Puerto Triunfo - Estacion Policia: Puerto Gaitan - Rubiales, Puerto Gaitán, Meta, Colombia</v>
      </c>
      <c r="I1578" s="42" t="str">
        <f>Data!Q1576</f>
        <v>Vel Max 10 Km/h, Cliente, Vel Max 40 Km/h, Vel Max 30 Km/h</v>
      </c>
      <c r="J1578" s="43">
        <f>Data!S1576</f>
        <v>46174.030933935188</v>
      </c>
      <c r="K1578" s="44">
        <f>Data!S1576</f>
        <v>46174.030933935188</v>
      </c>
      <c r="L1578" s="45">
        <f>Data!T1576</f>
        <v>2.3946759259259259E-5</v>
      </c>
      <c r="M1578" s="46">
        <f>Data!U1576</f>
        <v>7.3631801642477512E-3</v>
      </c>
      <c r="N1578" s="46" t="str">
        <f>CONCATENATE(Data!W1576," (",Data!V1576,")")</f>
        <v>Exceso Velocidad 10 Km/h (Velocidad máxima: 19 kmh)</v>
      </c>
      <c r="O1578" s="42" t="str">
        <f>IF(Data!V1576&lt;&gt;"",N1578,Data!W1576)</f>
        <v>Exceso Velocidad 10 Km/h (Velocidad máxima: 19 kmh)</v>
      </c>
      <c r="P1578" s="47" t="str">
        <f>Data!X1576</f>
        <v>Válido</v>
      </c>
    </row>
    <row r="1579" spans="1:16">
      <c r="A1579" s="41" t="str">
        <f>Data!A1577</f>
        <v>QLT551</v>
      </c>
      <c r="B1579" s="41" t="str">
        <f>Data!D1577</f>
        <v>Vehicle, Diesel, Frontera Energy Col 2679</v>
      </c>
      <c r="C1579" s="41">
        <f>Data!F1577</f>
        <v>0</v>
      </c>
      <c r="D1579" s="41">
        <f>Data!G1577</f>
        <v>0</v>
      </c>
      <c r="E1579" s="41">
        <f>Data!H1577</f>
        <v>0</v>
      </c>
      <c r="F1579" s="41">
        <f>Data!K1577</f>
        <v>0</v>
      </c>
      <c r="G1579" s="33" t="str">
        <f>Data!M1577</f>
        <v>Exceso Velocidad 10 Km/h</v>
      </c>
      <c r="H1579" s="41" t="str">
        <f>Data!P1577</f>
        <v>CAMPAMENTO QUIFA, ECOPETROL RUBIALES- Quifa - CAÑO SUR, Puerto Triunfo - Estacion Policia: Puerto Gaitan - Rubiales, Puerto Gaitán, Meta, Colombia</v>
      </c>
      <c r="I1579" s="42" t="str">
        <f>Data!Q1577</f>
        <v>Vel Max 10 Km/h, Cliente, Vel Max 40 Km/h, Vel Max 30 Km/h</v>
      </c>
      <c r="J1579" s="43">
        <f>Data!S1577</f>
        <v>46174.030995173613</v>
      </c>
      <c r="K1579" s="44">
        <f>Data!S1577</f>
        <v>46174.030995173613</v>
      </c>
      <c r="L1579" s="45">
        <f>Data!T1577</f>
        <v>1.2494212962962963E-4</v>
      </c>
      <c r="M1579" s="46">
        <f>Data!U1577</f>
        <v>6.7201092839241028E-2</v>
      </c>
      <c r="N1579" s="46" t="str">
        <f>CONCATENATE(Data!W1577," (",Data!V1577,")")</f>
        <v>Exceso Velocidad 10 Km/h (Velocidad máxima: 29 kmh)</v>
      </c>
      <c r="O1579" s="42" t="str">
        <f>IF(Data!V1577&lt;&gt;"",N1579,Data!W1577)</f>
        <v>Exceso Velocidad 10 Km/h (Velocidad máxima: 29 kmh)</v>
      </c>
      <c r="P1579" s="47" t="str">
        <f>Data!X1577</f>
        <v>Válido</v>
      </c>
    </row>
    <row r="1580" spans="1:16">
      <c r="A1580" s="41" t="str">
        <f>Data!A1578</f>
        <v>QLT551</v>
      </c>
      <c r="B1580" s="41" t="str">
        <f>Data!D1578</f>
        <v>Vehicle, Diesel, Frontera Energy Col 2679</v>
      </c>
      <c r="C1580" s="41">
        <f>Data!F1578</f>
        <v>0</v>
      </c>
      <c r="D1580" s="41">
        <f>Data!G1578</f>
        <v>0</v>
      </c>
      <c r="E1580" s="41">
        <f>Data!H1578</f>
        <v>0</v>
      </c>
      <c r="F1580" s="41">
        <f>Data!K1578</f>
        <v>0</v>
      </c>
      <c r="G1580" s="33" t="str">
        <f>Data!M1578</f>
        <v>Exceso Velocidad 10 Km/h</v>
      </c>
      <c r="H1580" s="41" t="str">
        <f>Data!P1578</f>
        <v>CAMPAMENTO QUIFA, ECOPETROL RUBIALES- Quifa - CAÑO SUR, Puerto Triunfo - Estacion Policia: Puerto Gaitan - Rubiales, Puerto Gaitán, Meta, Colombia</v>
      </c>
      <c r="I1580" s="42" t="str">
        <f>Data!Q1578</f>
        <v>Vel Max 10 Km/h, Cliente, Vel Max 40 Km/h, Vel Max 30 Km/h</v>
      </c>
      <c r="J1580" s="43">
        <f>Data!S1578</f>
        <v>46174.031134259261</v>
      </c>
      <c r="K1580" s="44">
        <f>Data!S1578</f>
        <v>46174.031134259261</v>
      </c>
      <c r="L1580" s="45">
        <f>Data!T1578</f>
        <v>1.5872685185185185E-4</v>
      </c>
      <c r="M1580" s="46">
        <f>Data!U1578</f>
        <v>5.7381603866815567E-2</v>
      </c>
      <c r="N1580" s="46" t="str">
        <f>CONCATENATE(Data!W1578," (",Data!V1578,")")</f>
        <v>Exceso Velocidad 10 Km/h (Velocidad máxima: 18 kmh)</v>
      </c>
      <c r="O1580" s="42" t="str">
        <f>IF(Data!V1578&lt;&gt;"",N1580,Data!W1578)</f>
        <v>Exceso Velocidad 10 Km/h (Velocidad máxima: 18 kmh)</v>
      </c>
      <c r="P1580" s="47" t="str">
        <f>Data!X1578</f>
        <v>Válido</v>
      </c>
    </row>
    <row r="1581" spans="1:16">
      <c r="A1581" s="41" t="str">
        <f>Data!A1579</f>
        <v>QLT551</v>
      </c>
      <c r="B1581" s="41" t="str">
        <f>Data!D1579</f>
        <v>Vehicle, Diesel, Frontera Energy Col 2679</v>
      </c>
      <c r="C1581" s="41">
        <f>Data!F1579</f>
        <v>0</v>
      </c>
      <c r="D1581" s="41">
        <f>Data!G1579</f>
        <v>0</v>
      </c>
      <c r="E1581" s="41">
        <f>Data!H1579</f>
        <v>0</v>
      </c>
      <c r="F1581" s="41">
        <f>Data!K1579</f>
        <v>0</v>
      </c>
      <c r="G1581" s="33" t="str">
        <f>Data!M1579</f>
        <v>Exceso Velocidad 10 Km/h</v>
      </c>
      <c r="H1581" s="41" t="str">
        <f>Data!P1579</f>
        <v>CAMPAMENTO QUIFA, ECOPETROL RUBIALES- Quifa - CAÑO SUR, Puerto Gaitan - Rubiales, Puerto Gaitán, Meta, Colombia, Puerto Triunfo - Estacion Policia: Puerto Gaitan - Rubiales, Puerto Gaitán, Meta, Colombia</v>
      </c>
      <c r="I1581" s="42" t="str">
        <f>Data!Q1579</f>
        <v>Vel Max 10 Km/h, Cliente, Vel Max 40 Km/h, Centro de servicios del proveedor, Vel Max 30 Km/h</v>
      </c>
      <c r="J1581" s="43">
        <f>Data!S1579</f>
        <v>46174.031325231583</v>
      </c>
      <c r="K1581" s="44">
        <f>Data!S1579</f>
        <v>46174.031325231583</v>
      </c>
      <c r="L1581" s="45">
        <f>Data!T1579</f>
        <v>4.7071759259259262E-5</v>
      </c>
      <c r="M1581" s="46">
        <f>Data!U1579</f>
        <v>1.3404831290245056E-2</v>
      </c>
      <c r="N1581" s="46" t="str">
        <f>CONCATENATE(Data!W1579," (",Data!V1579,")")</f>
        <v>Exceso Velocidad 10 Km/h (Velocidad máxima: 13 kmh)</v>
      </c>
      <c r="O1581" s="42" t="str">
        <f>IF(Data!V1579&lt;&gt;"",N1581,Data!W1579)</f>
        <v>Exceso Velocidad 10 Km/h (Velocidad máxima: 13 kmh)</v>
      </c>
      <c r="P1581" s="47" t="str">
        <f>Data!X1579</f>
        <v>Válido</v>
      </c>
    </row>
    <row r="1582" spans="1:16">
      <c r="A1582" s="41" t="str">
        <f>Data!A1580</f>
        <v>QLT551</v>
      </c>
      <c r="B1582" s="41" t="str">
        <f>Data!D1580</f>
        <v>Vehicle, Diesel, Frontera Energy Col 2679</v>
      </c>
      <c r="C1582" s="41">
        <f>Data!F1580</f>
        <v>0</v>
      </c>
      <c r="D1582" s="41">
        <f>Data!G1580</f>
        <v>0</v>
      </c>
      <c r="E1582" s="41">
        <f>Data!H1580</f>
        <v>0</v>
      </c>
      <c r="F1582" s="41">
        <f>Data!K1580</f>
        <v>0</v>
      </c>
      <c r="G1582" s="33" t="str">
        <f>Data!M1580</f>
        <v>Exceso Velocidad 30 Km/h</v>
      </c>
      <c r="H1582" s="41" t="str">
        <f>Data!P1580</f>
        <v>ECOPETROL RUBIALES- Quifa - CAÑO SUR, Puerto Triunfo - Estacion Policia: Puerto Gaitan - Rubiales, Puerto Gaitán, Meta, Colombia</v>
      </c>
      <c r="I1582" s="42" t="str">
        <f>Data!Q1580</f>
        <v>Cliente, Vel Max 40 Km/h, Vel Max 30 Km/h</v>
      </c>
      <c r="J1582" s="43">
        <f>Data!S1580</f>
        <v>46174.031867881946</v>
      </c>
      <c r="K1582" s="44">
        <f>Data!S1580</f>
        <v>46174.031867881946</v>
      </c>
      <c r="L1582" s="45">
        <f>Data!T1580</f>
        <v>2.6174768518518517E-4</v>
      </c>
      <c r="M1582" s="46">
        <f>Data!U1580</f>
        <v>0.19307759404182434</v>
      </c>
      <c r="N1582" s="46" t="str">
        <f>CONCATENATE(Data!W1580," (",Data!V1580,")")</f>
        <v>Exceso Velocidad 30 Km/h (Velocidad máxima: 33 kmh)</v>
      </c>
      <c r="O1582" s="42" t="str">
        <f>IF(Data!V1580&lt;&gt;"",N1582,Data!W1580)</f>
        <v>Exceso Velocidad 30 Km/h (Velocidad máxima: 33 kmh)</v>
      </c>
      <c r="P1582" s="47" t="str">
        <f>Data!X1580</f>
        <v>Válido</v>
      </c>
    </row>
    <row r="1583" spans="1:16">
      <c r="A1583" s="41" t="str">
        <f>Data!A1581</f>
        <v>QLT551</v>
      </c>
      <c r="B1583" s="41" t="str">
        <f>Data!D1581</f>
        <v>Vehicle, Diesel, Frontera Energy Col 2679</v>
      </c>
      <c r="C1583" s="41">
        <f>Data!F1581</f>
        <v>0</v>
      </c>
      <c r="D1583" s="41">
        <f>Data!G1581</f>
        <v>0</v>
      </c>
      <c r="E1583" s="41">
        <f>Data!H1581</f>
        <v>0</v>
      </c>
      <c r="F1583" s="41">
        <f>Data!K1581</f>
        <v>0</v>
      </c>
      <c r="G1583" s="33" t="str">
        <f>Data!M1581</f>
        <v>Exceso Velocidad 30 Km/h</v>
      </c>
      <c r="H1583" s="41" t="str">
        <f>Data!P1581</f>
        <v>ECOPETROL RUBIALES- Quifa - CAÑO SUR, Puerto Triunfo - Estacion Policia: Puerto Gaitan - Rubiales, Puerto Gaitán, Meta, Colombia</v>
      </c>
      <c r="I1583" s="42" t="str">
        <f>Data!Q1581</f>
        <v>Cliente, Vel Max 40 Km/h, Vel Max 30 Km/h</v>
      </c>
      <c r="J1583" s="43">
        <f>Data!S1581</f>
        <v>46174.032403553239</v>
      </c>
      <c r="K1583" s="44">
        <f>Data!S1581</f>
        <v>46174.032403553239</v>
      </c>
      <c r="L1583" s="45">
        <f>Data!T1581</f>
        <v>8.0243055555555555E-5</v>
      </c>
      <c r="M1583" s="46">
        <f>Data!U1581</f>
        <v>5.9882417321205139E-2</v>
      </c>
      <c r="N1583" s="46" t="str">
        <f>CONCATENATE(Data!W1581," (",Data!V1581,")")</f>
        <v>Exceso Velocidad 30 Km/h (Velocidad máxima: 33 kmh)</v>
      </c>
      <c r="O1583" s="42" t="str">
        <f>IF(Data!V1581&lt;&gt;"",N1583,Data!W1581)</f>
        <v>Exceso Velocidad 30 Km/h (Velocidad máxima: 33 kmh)</v>
      </c>
      <c r="P1583" s="47" t="str">
        <f>Data!X1581</f>
        <v>Válido</v>
      </c>
    </row>
    <row r="1584" spans="1:16">
      <c r="A1584" s="41" t="str">
        <f>Data!A1582</f>
        <v>QLT551</v>
      </c>
      <c r="B1584" s="41" t="str">
        <f>Data!D1582</f>
        <v>Vehicle, Diesel, Frontera Energy Col 2679</v>
      </c>
      <c r="C1584" s="41">
        <f>Data!F1582</f>
        <v>0</v>
      </c>
      <c r="D1584" s="41">
        <f>Data!G1582</f>
        <v>0</v>
      </c>
      <c r="E1584" s="41">
        <f>Data!H1582</f>
        <v>0</v>
      </c>
      <c r="F1584" s="41">
        <f>Data!K1582</f>
        <v>0</v>
      </c>
      <c r="G1584" s="33" t="str">
        <f>Data!M1582</f>
        <v>Exceso Velocidad 30 Km/h</v>
      </c>
      <c r="H1584" s="41" t="str">
        <f>Data!P1582</f>
        <v>ECOPETROL RUBIALES- Quifa - CAÑO SUR, Puerto Triunfo - Estacion Policia: Puerto Gaitan - Rubiales, Puerto Gaitán, Meta, Colombia</v>
      </c>
      <c r="I1584" s="42" t="str">
        <f>Data!Q1582</f>
        <v>Cliente, Vel Max 40 Km/h, Vel Max 30 Km/h</v>
      </c>
      <c r="J1584" s="43">
        <f>Data!S1582</f>
        <v>46174.032700324075</v>
      </c>
      <c r="K1584" s="44">
        <f>Data!S1582</f>
        <v>46174.032700324075</v>
      </c>
      <c r="L1584" s="45">
        <f>Data!T1582</f>
        <v>6.2314814814814809E-5</v>
      </c>
      <c r="M1584" s="46">
        <f>Data!U1582</f>
        <v>4.8141118139028549E-2</v>
      </c>
      <c r="N1584" s="46" t="str">
        <f>CONCATENATE(Data!W1582," (",Data!V1582,")")</f>
        <v>Exceso Velocidad 30 Km/h (Velocidad máxima: 33 kmh)</v>
      </c>
      <c r="O1584" s="42" t="str">
        <f>IF(Data!V1582&lt;&gt;"",N1584,Data!W1582)</f>
        <v>Exceso Velocidad 30 Km/h (Velocidad máxima: 33 kmh)</v>
      </c>
      <c r="P1584" s="47" t="str">
        <f>Data!X1582</f>
        <v>Válido</v>
      </c>
    </row>
    <row r="1585" spans="1:16">
      <c r="A1585" s="41" t="str">
        <f>Data!A1583</f>
        <v>QLT551</v>
      </c>
      <c r="B1585" s="41" t="str">
        <f>Data!D1583</f>
        <v>Vehicle, Diesel, Frontera Energy Col 2679</v>
      </c>
      <c r="C1585" s="41">
        <f>Data!F1583</f>
        <v>0</v>
      </c>
      <c r="D1585" s="41">
        <f>Data!G1583</f>
        <v>0</v>
      </c>
      <c r="E1585" s="41">
        <f>Data!H1583</f>
        <v>0</v>
      </c>
      <c r="F1585" s="41">
        <f>Data!K1583</f>
        <v>0</v>
      </c>
      <c r="G1585" s="33" t="str">
        <f>Data!M1583</f>
        <v>Exceso Velocidad 30 Km/h</v>
      </c>
      <c r="H1585" s="41" t="str">
        <f>Data!P1583</f>
        <v>ECOPETROL RUBIALES- Quifa - CAÑO SUR, Puerto Triunfo - Estacion Policia: Puerto Gaitan - Rubiales, Puerto Gaitán, Meta, Colombia</v>
      </c>
      <c r="I1585" s="42" t="str">
        <f>Data!Q1583</f>
        <v>Cliente, Vel Max 40 Km/h, Vel Max 30 Km/h</v>
      </c>
      <c r="J1585" s="43">
        <f>Data!S1583</f>
        <v>46174.033013888889</v>
      </c>
      <c r="K1585" s="44">
        <f>Data!S1583</f>
        <v>46174.033013888889</v>
      </c>
      <c r="L1585" s="45">
        <f>Data!T1583</f>
        <v>4.4290509259259261E-4</v>
      </c>
      <c r="M1585" s="46">
        <f>Data!U1583</f>
        <v>0.32483693957328796</v>
      </c>
      <c r="N1585" s="46" t="str">
        <f>CONCATENATE(Data!W1583," (",Data!V1583,")")</f>
        <v>Exceso Velocidad 30 Km/h (Velocidad máxima: 33 kmh)</v>
      </c>
      <c r="O1585" s="42" t="str">
        <f>IF(Data!V1583&lt;&gt;"",N1585,Data!W1583)</f>
        <v>Exceso Velocidad 30 Km/h (Velocidad máxima: 33 kmh)</v>
      </c>
      <c r="P1585" s="47" t="str">
        <f>Data!X1583</f>
        <v>Válido</v>
      </c>
    </row>
    <row r="1586" spans="1:16">
      <c r="A1586" s="41" t="str">
        <f>Data!A1584</f>
        <v>QLT551</v>
      </c>
      <c r="B1586" s="41" t="str">
        <f>Data!D1584</f>
        <v>Vehicle, Diesel, Frontera Energy Col 2679</v>
      </c>
      <c r="C1586" s="41">
        <f>Data!F1584</f>
        <v>0</v>
      </c>
      <c r="D1586" s="41">
        <f>Data!G1584</f>
        <v>0</v>
      </c>
      <c r="E1586" s="41">
        <f>Data!H1584</f>
        <v>0</v>
      </c>
      <c r="F1586" s="41">
        <f>Data!K1584</f>
        <v>0</v>
      </c>
      <c r="G1586" s="33" t="str">
        <f>Data!M1584</f>
        <v>Exceso Velocidad 10 Km/h</v>
      </c>
      <c r="H1586" s="41" t="str">
        <f>Data!P1584</f>
        <v>ECOPETROL RUBIALES- Quifa - CAÑO SUR, Puerto Triunfo - Estacion Policia, PUESTRO CONTROL QUIFA: Puerto Gaitan - Rubiales, Puerto Gaitán, Meta, Colombia</v>
      </c>
      <c r="I1586" s="42" t="str">
        <f>Data!Q1584</f>
        <v>Cliente, Vel Max 40 Km/h, Vel Max 30 Km/h, Vel Max 10 Km/h</v>
      </c>
      <c r="J1586" s="43">
        <f>Data!S1584</f>
        <v>46174.033145520836</v>
      </c>
      <c r="K1586" s="44">
        <f>Data!S1584</f>
        <v>46174.033145520836</v>
      </c>
      <c r="L1586" s="45">
        <f>Data!T1584</f>
        <v>2.5152777777777776E-4</v>
      </c>
      <c r="M1586" s="46">
        <f>Data!U1584</f>
        <v>0.18276239931583405</v>
      </c>
      <c r="N1586" s="46" t="str">
        <f>CONCATENATE(Data!W1584," (",Data!V1584,")")</f>
        <v>Exceso Velocidad 10 Km/h (Velocidad máxima: 33 kmh)</v>
      </c>
      <c r="O1586" s="42" t="str">
        <f>IF(Data!V1584&lt;&gt;"",N1586,Data!W1584)</f>
        <v>Exceso Velocidad 10 Km/h (Velocidad máxima: 33 kmh)</v>
      </c>
      <c r="P1586" s="47" t="str">
        <f>Data!X1584</f>
        <v>Válido</v>
      </c>
    </row>
    <row r="1587" spans="1:16">
      <c r="A1587" s="41" t="str">
        <f>Data!A1585</f>
        <v>QLT551</v>
      </c>
      <c r="B1587" s="41" t="str">
        <f>Data!D1585</f>
        <v>Vehicle, Diesel, Frontera Energy Col 2679</v>
      </c>
      <c r="C1587" s="41">
        <f>Data!F1585</f>
        <v>0</v>
      </c>
      <c r="D1587" s="41">
        <f>Data!G1585</f>
        <v>0</v>
      </c>
      <c r="E1587" s="41">
        <f>Data!H1585</f>
        <v>0</v>
      </c>
      <c r="F1587" s="41">
        <f>Data!K1585</f>
        <v>0</v>
      </c>
      <c r="G1587" s="33" t="str">
        <f>Data!M1585</f>
        <v>Exceso Velocidad 30 Km/h</v>
      </c>
      <c r="H1587" s="41" t="str">
        <f>Data!P1585</f>
        <v>ECOPETROL RUBIALES- Quifa - CAÑO SUR, Puerto Triunfo - Estacion Policia: Puerto Gaitan - Rubiales, Puerto Gaitán, Meta, Colombia</v>
      </c>
      <c r="I1587" s="42" t="str">
        <f>Data!Q1585</f>
        <v>Cliente, Vel Max 40 Km/h, Vel Max 30 Km/h</v>
      </c>
      <c r="J1587" s="43">
        <f>Data!S1585</f>
        <v>46174.033531747686</v>
      </c>
      <c r="K1587" s="44">
        <f>Data!S1585</f>
        <v>46174.033531747686</v>
      </c>
      <c r="L1587" s="45">
        <f>Data!T1585</f>
        <v>2.8413194444444444E-4</v>
      </c>
      <c r="M1587" s="46">
        <f>Data!U1585</f>
        <v>0.22378149628639221</v>
      </c>
      <c r="N1587" s="46" t="str">
        <f>CONCATENATE(Data!W1585," (",Data!V1585,")")</f>
        <v>Exceso Velocidad 30 Km/h (Velocidad máxima: 35 kmh)</v>
      </c>
      <c r="O1587" s="42" t="str">
        <f>IF(Data!V1585&lt;&gt;"",N1587,Data!W1585)</f>
        <v>Exceso Velocidad 30 Km/h (Velocidad máxima: 35 kmh)</v>
      </c>
      <c r="P1587" s="47" t="str">
        <f>Data!X1585</f>
        <v>Válido</v>
      </c>
    </row>
    <row r="1588" spans="1:16">
      <c r="A1588" s="41" t="str">
        <f>Data!A1586</f>
        <v>QLT551</v>
      </c>
      <c r="B1588" s="41" t="str">
        <f>Data!D1586</f>
        <v>Vehicle, Diesel, Frontera Energy Col 2679</v>
      </c>
      <c r="C1588" s="41">
        <f>Data!F1586</f>
        <v>0</v>
      </c>
      <c r="D1588" s="41">
        <f>Data!G1586</f>
        <v>0</v>
      </c>
      <c r="E1588" s="41">
        <f>Data!H1586</f>
        <v>0</v>
      </c>
      <c r="F1588" s="41">
        <f>Data!K1586</f>
        <v>0</v>
      </c>
      <c r="G1588" s="33" t="str">
        <f>Data!M1586</f>
        <v>Exceso Velocidad 30 Km/h</v>
      </c>
      <c r="H1588" s="41" t="str">
        <f>Data!P1586</f>
        <v>ECOPETROL RUBIALES- Quifa - CAÑO SUR, Puerto Triunfo - Estacion Policia: Puerto Gaitan - Rubiales, Puerto Gaitán, Meta, Colombia</v>
      </c>
      <c r="I1588" s="42" t="str">
        <f>Data!Q1586</f>
        <v>Cliente, Vel Max 40 Km/h, Vel Max 30 Km/h</v>
      </c>
      <c r="J1588" s="43">
        <f>Data!S1586</f>
        <v>46174.034391539353</v>
      </c>
      <c r="K1588" s="44">
        <f>Data!S1586</f>
        <v>46174.034391539353</v>
      </c>
      <c r="L1588" s="45">
        <f>Data!T1586</f>
        <v>6.4479166666666664E-5</v>
      </c>
      <c r="M1588" s="46">
        <f>Data!U1586</f>
        <v>4.7364659607410431E-2</v>
      </c>
      <c r="N1588" s="46" t="str">
        <f>CONCATENATE(Data!W1586," (",Data!V1586,")")</f>
        <v>Exceso Velocidad 30 Km/h (Velocidad máxima: 33 kmh)</v>
      </c>
      <c r="O1588" s="42" t="str">
        <f>IF(Data!V1586&lt;&gt;"",N1588,Data!W1586)</f>
        <v>Exceso Velocidad 30 Km/h (Velocidad máxima: 33 kmh)</v>
      </c>
      <c r="P1588" s="47" t="str">
        <f>Data!X1586</f>
        <v>Válido</v>
      </c>
    </row>
    <row r="1589" spans="1:16">
      <c r="A1589" s="41" t="str">
        <f>Data!A1587</f>
        <v>QLT551</v>
      </c>
      <c r="B1589" s="41" t="str">
        <f>Data!D1587</f>
        <v>Vehicle, Diesel, Frontera Energy Col 2679</v>
      </c>
      <c r="C1589" s="41">
        <f>Data!F1587</f>
        <v>0</v>
      </c>
      <c r="D1589" s="41">
        <f>Data!G1587</f>
        <v>0</v>
      </c>
      <c r="E1589" s="41">
        <f>Data!H1587</f>
        <v>0</v>
      </c>
      <c r="F1589" s="41">
        <f>Data!K1587</f>
        <v>0</v>
      </c>
      <c r="G1589" s="33" t="str">
        <f>Data!M1587</f>
        <v>Exceso Velocidad 30 Km/h</v>
      </c>
      <c r="H1589" s="41" t="str">
        <f>Data!P1587</f>
        <v>ECOPETROL RUBIALES- Quifa - CAÑO SUR, Puerto Triunfo - Estacion Policia: Puerto Gaitan - Rubiales, Puerto Gaitán, Meta, Colombia</v>
      </c>
      <c r="I1589" s="42" t="str">
        <f>Data!Q1587</f>
        <v>Cliente, Vel Max 40 Km/h, Vel Max 30 Km/h</v>
      </c>
      <c r="J1589" s="43">
        <f>Data!S1587</f>
        <v>46174.034810960649</v>
      </c>
      <c r="K1589" s="44">
        <f>Data!S1587</f>
        <v>46174.034810960649</v>
      </c>
      <c r="L1589" s="45">
        <f>Data!T1587</f>
        <v>1.797800925925926E-4</v>
      </c>
      <c r="M1589" s="46">
        <f>Data!U1587</f>
        <v>0.13639150559902191</v>
      </c>
      <c r="N1589" s="46" t="str">
        <f>CONCATENATE(Data!W1587," (",Data!V1587,")")</f>
        <v>Exceso Velocidad 30 Km/h (Velocidad máxima: 33 kmh)</v>
      </c>
      <c r="O1589" s="42" t="str">
        <f>IF(Data!V1587&lt;&gt;"",N1589,Data!W1587)</f>
        <v>Exceso Velocidad 30 Km/h (Velocidad máxima: 33 kmh)</v>
      </c>
      <c r="P1589" s="47" t="str">
        <f>Data!X1587</f>
        <v>Válido</v>
      </c>
    </row>
    <row r="1590" spans="1:16">
      <c r="A1590" s="41" t="str">
        <f>Data!A1588</f>
        <v>QLT551</v>
      </c>
      <c r="B1590" s="41" t="str">
        <f>Data!D1588</f>
        <v>Vehicle, Diesel, Frontera Energy Col 2679</v>
      </c>
      <c r="C1590" s="41">
        <f>Data!F1588</f>
        <v>0</v>
      </c>
      <c r="D1590" s="41">
        <f>Data!G1588</f>
        <v>0</v>
      </c>
      <c r="E1590" s="41">
        <f>Data!H1588</f>
        <v>0</v>
      </c>
      <c r="F1590" s="41">
        <f>Data!K1588</f>
        <v>0</v>
      </c>
      <c r="G1590" s="33" t="str">
        <f>Data!M1588</f>
        <v>Giro brusco</v>
      </c>
      <c r="H1590" s="41" t="str">
        <f>Data!P1588</f>
        <v>ECOPETROL RUBIALES- Quifa - CAÑO SUR, Puerto Triunfo - Estacion Policia: Puerto Gaitan - Rubiales #Km 129, Puerto Gaitán, Meta, Colombia</v>
      </c>
      <c r="I1590" s="42" t="str">
        <f>Data!Q1588</f>
        <v>Cliente, Vel Max 40 Km/h, Vel Max 30 Km/h</v>
      </c>
      <c r="J1590" s="43">
        <f>Data!S1588</f>
        <v>46174.037159155094</v>
      </c>
      <c r="K1590" s="44">
        <f>Data!S1588</f>
        <v>46174.037159155094</v>
      </c>
      <c r="L1590" s="45">
        <f>Data!T1588</f>
        <v>1.3888888888888888E-7</v>
      </c>
      <c r="M1590" s="46">
        <f>Data!U1588</f>
        <v>6.5015658037737012E-5</v>
      </c>
      <c r="N1590" s="46" t="str">
        <f>CONCATENATE(Data!W1588," (",Data!V1588,")")</f>
        <v>Giro brusco (Velocidad máxima: 18 kmh Aceleración de lado a lado: -0.48 g-force, Ignición: 1.00)</v>
      </c>
      <c r="O1590" s="42" t="str">
        <f>IF(Data!V1588&lt;&gt;"",N1590,Data!W1588)</f>
        <v>Giro brusco (Velocidad máxima: 18 kmh Aceleración de lado a lado: -0.48 g-force, Ignición: 1.00)</v>
      </c>
      <c r="P1590" s="47" t="str">
        <f>Data!X1588</f>
        <v>Válido</v>
      </c>
    </row>
    <row r="1591" spans="1:16">
      <c r="A1591" s="41" t="str">
        <f>Data!A1589</f>
        <v>QLT551</v>
      </c>
      <c r="B1591" s="41" t="str">
        <f>Data!D1589</f>
        <v>Vehicle, Diesel, Frontera Energy Col 2679</v>
      </c>
      <c r="C1591" s="41">
        <f>Data!F1589</f>
        <v>0</v>
      </c>
      <c r="D1591" s="41">
        <f>Data!G1589</f>
        <v>0</v>
      </c>
      <c r="E1591" s="41">
        <f>Data!H1589</f>
        <v>0</v>
      </c>
      <c r="F1591" s="41">
        <f>Data!K1589</f>
        <v>0</v>
      </c>
      <c r="G1591" s="33" t="str">
        <f>Data!M1589</f>
        <v>Exceso Velocidad 30 Km/h</v>
      </c>
      <c r="H1591" s="41" t="str">
        <f>Data!P1589</f>
        <v>ECOPETROL RUBIALES- Quifa - CAÑO SUR, Puerto Triunfo - Estacion Policia: Puerto Gaitan - Rubiales, Puerto Gaitán, Meta, Colombia</v>
      </c>
      <c r="I1591" s="42" t="str">
        <f>Data!Q1589</f>
        <v>Cliente, Vel Max 40 Km/h, Vel Max 30 Km/h</v>
      </c>
      <c r="J1591" s="43">
        <f>Data!S1589</f>
        <v>46174.262808935186</v>
      </c>
      <c r="K1591" s="44">
        <f>Data!S1589</f>
        <v>46174.262808935186</v>
      </c>
      <c r="L1591" s="45">
        <f>Data!T1589</f>
        <v>1.2722222222222223E-4</v>
      </c>
      <c r="M1591" s="46">
        <f>Data!U1589</f>
        <v>0.10290048271417618</v>
      </c>
      <c r="N1591" s="46" t="str">
        <f>CONCATENATE(Data!W1589," (",Data!V1589,")")</f>
        <v>Exceso Velocidad 30 Km/h (Velocidad máxima: 41 kmh)</v>
      </c>
      <c r="O1591" s="42" t="str">
        <f>IF(Data!V1589&lt;&gt;"",N1591,Data!W1589)</f>
        <v>Exceso Velocidad 30 Km/h (Velocidad máxima: 41 kmh)</v>
      </c>
      <c r="P1591" s="47" t="str">
        <f>Data!X1589</f>
        <v>Válido</v>
      </c>
    </row>
    <row r="1592" spans="1:16">
      <c r="A1592" s="41" t="str">
        <f>Data!A1590</f>
        <v>QLT551</v>
      </c>
      <c r="B1592" s="41" t="str">
        <f>Data!D1590</f>
        <v>Vehicle, Diesel, Frontera Energy Col 2679</v>
      </c>
      <c r="C1592" s="41">
        <f>Data!F1590</f>
        <v>0</v>
      </c>
      <c r="D1592" s="41">
        <f>Data!G1590</f>
        <v>0</v>
      </c>
      <c r="E1592" s="41">
        <f>Data!H1590</f>
        <v>0</v>
      </c>
      <c r="F1592" s="41">
        <f>Data!K1590</f>
        <v>0</v>
      </c>
      <c r="G1592" s="33" t="str">
        <f>Data!M1590</f>
        <v>Exceso Velocidad 40 Km/h</v>
      </c>
      <c r="H1592" s="41" t="str">
        <f>Data!P1590</f>
        <v>ECOPETROL RUBIALES- Quifa - CAÑO SUR, Puerto Triunfo - Estacion Policia: Puerto Gaitan - Rubiales, Puerto Gaitán, Meta, Colombia</v>
      </c>
      <c r="I1592" s="42" t="str">
        <f>Data!Q1590</f>
        <v>Cliente, Vel Max 40 Km/h, Vel Max 30 Km/h</v>
      </c>
      <c r="J1592" s="43">
        <f>Data!S1590</f>
        <v>46174.262843750003</v>
      </c>
      <c r="K1592" s="44">
        <f>Data!S1590</f>
        <v>46174.262843750003</v>
      </c>
      <c r="L1592" s="45">
        <f>Data!T1590</f>
        <v>1.5046296296296297E-5</v>
      </c>
      <c r="M1592" s="46">
        <f>Data!U1590</f>
        <v>1.3969643972814083E-2</v>
      </c>
      <c r="N1592" s="46" t="str">
        <f>CONCATENATE(Data!W1590," (",Data!V1590,")")</f>
        <v>Exceso Velocidad 40 Km/h (Velocidad máxima: 41 kmh)</v>
      </c>
      <c r="O1592" s="42" t="str">
        <f>IF(Data!V1590&lt;&gt;"",N1592,Data!W1590)</f>
        <v>Exceso Velocidad 40 Km/h (Velocidad máxima: 41 kmh)</v>
      </c>
      <c r="P1592" s="47" t="str">
        <f>Data!X1590</f>
        <v>Válido</v>
      </c>
    </row>
    <row r="1593" spans="1:16">
      <c r="A1593" s="41" t="str">
        <f>Data!A1591</f>
        <v>QLT551</v>
      </c>
      <c r="B1593" s="41" t="str">
        <f>Data!D1591</f>
        <v>Vehicle, Diesel, Frontera Energy Col 2679</v>
      </c>
      <c r="C1593" s="41">
        <f>Data!F1591</f>
        <v>0</v>
      </c>
      <c r="D1593" s="41">
        <f>Data!G1591</f>
        <v>0</v>
      </c>
      <c r="E1593" s="41">
        <f>Data!H1591</f>
        <v>0</v>
      </c>
      <c r="F1593" s="41">
        <f>Data!K1591</f>
        <v>0</v>
      </c>
      <c r="G1593" s="33" t="str">
        <f>Data!M1591</f>
        <v>Exceso Velocidad 30 Km/h</v>
      </c>
      <c r="H1593" s="41" t="str">
        <f>Data!P1591</f>
        <v>ECOPETROL RUBIALES- Quifa - CAÑO SUR, Puerto Triunfo - Estacion Policia: Puerto Gaitan - Rubiales, Puerto Gaitán, Meta, Colombia</v>
      </c>
      <c r="I1593" s="42" t="str">
        <f>Data!Q1591</f>
        <v>Cliente, Vel Max 40 Km/h, Vel Max 30 Km/h</v>
      </c>
      <c r="J1593" s="43">
        <f>Data!S1591</f>
        <v>46174.263099745367</v>
      </c>
      <c r="K1593" s="44">
        <f>Data!S1591</f>
        <v>46174.263099745367</v>
      </c>
      <c r="L1593" s="45">
        <f>Data!T1591</f>
        <v>4.8402777777777779E-5</v>
      </c>
      <c r="M1593" s="46">
        <f>Data!U1591</f>
        <v>3.3899538218975067E-2</v>
      </c>
      <c r="N1593" s="46" t="str">
        <f>CONCATENATE(Data!W1591," (",Data!V1591,")")</f>
        <v>Exceso Velocidad 30 Km/h (Velocidad máxima: 33 kmh)</v>
      </c>
      <c r="O1593" s="42" t="str">
        <f>IF(Data!V1591&lt;&gt;"",N1593,Data!W1591)</f>
        <v>Exceso Velocidad 30 Km/h (Velocidad máxima: 33 kmh)</v>
      </c>
      <c r="P1593" s="47" t="str">
        <f>Data!X1591</f>
        <v>Válido</v>
      </c>
    </row>
    <row r="1594" spans="1:16">
      <c r="A1594" s="41" t="str">
        <f>Data!A1592</f>
        <v>QLT551</v>
      </c>
      <c r="B1594" s="41" t="str">
        <f>Data!D1592</f>
        <v>Vehicle, Diesel, Frontera Energy Col 2679</v>
      </c>
      <c r="C1594" s="41">
        <f>Data!F1592</f>
        <v>0</v>
      </c>
      <c r="D1594" s="41">
        <f>Data!G1592</f>
        <v>0</v>
      </c>
      <c r="E1594" s="41">
        <f>Data!H1592</f>
        <v>0</v>
      </c>
      <c r="F1594" s="41">
        <f>Data!K1592</f>
        <v>0</v>
      </c>
      <c r="G1594" s="33" t="str">
        <f>Data!M1592</f>
        <v>Exceso Velocidad 30 Km/h</v>
      </c>
      <c r="H1594" s="41" t="str">
        <f>Data!P1592</f>
        <v>ECOPETROL RUBIALES- Quifa - CAÑO SUR, Puerto Triunfo - Estacion Policia: Puerto Gaitan - Rubiales, Puerto Gaitán, Meta, Colombia</v>
      </c>
      <c r="I1594" s="42" t="str">
        <f>Data!Q1592</f>
        <v>Cliente, Vel Max 40 Km/h, Vel Max 30 Km/h</v>
      </c>
      <c r="J1594" s="43">
        <f>Data!S1592</f>
        <v>46174.264884259261</v>
      </c>
      <c r="K1594" s="44">
        <f>Data!S1592</f>
        <v>46174.264884259261</v>
      </c>
      <c r="L1594" s="45">
        <f>Data!T1592</f>
        <v>3.0671306296296293E-4</v>
      </c>
      <c r="M1594" s="46">
        <f>Data!U1592</f>
        <v>0.24147224426269531</v>
      </c>
      <c r="N1594" s="46" t="str">
        <f>CONCATENATE(Data!W1592," (",Data!V1592,")")</f>
        <v>Exceso Velocidad 30 Km/h (Velocidad máxima: 35 kmh)</v>
      </c>
      <c r="O1594" s="42" t="str">
        <f>IF(Data!V1592&lt;&gt;"",N1594,Data!W1592)</f>
        <v>Exceso Velocidad 30 Km/h (Velocidad máxima: 35 kmh)</v>
      </c>
      <c r="P1594" s="47" t="str">
        <f>Data!X1592</f>
        <v>Válido</v>
      </c>
    </row>
    <row r="1595" spans="1:16">
      <c r="A1595" s="41" t="str">
        <f>Data!A1593</f>
        <v>QLT551</v>
      </c>
      <c r="B1595" s="41" t="str">
        <f>Data!D1593</f>
        <v>Vehicle, Diesel, Frontera Energy Col 2679</v>
      </c>
      <c r="C1595" s="41">
        <f>Data!F1593</f>
        <v>0</v>
      </c>
      <c r="D1595" s="41">
        <f>Data!G1593</f>
        <v>0</v>
      </c>
      <c r="E1595" s="41">
        <f>Data!H1593</f>
        <v>0</v>
      </c>
      <c r="F1595" s="41">
        <f>Data!K1593</f>
        <v>0</v>
      </c>
      <c r="G1595" s="33" t="str">
        <f>Data!M1593</f>
        <v>Exceso Velocidad 10 Km/h</v>
      </c>
      <c r="H1595" s="41" t="str">
        <f>Data!P1593</f>
        <v>ECOPETROL RUBIALES- Quifa - CAÑO SUR, Puerto Triunfo - Estacion Policia, PUESTRO CONTROL QUIFA: Puerto Gaitan - Rubiales, Puerto Gaitán, Meta, Colombia</v>
      </c>
      <c r="I1595" s="42" t="str">
        <f>Data!Q1593</f>
        <v>Cliente, Vel Max 40 Km/h, Vel Max 30 Km/h, Vel Max 10 Km/h</v>
      </c>
      <c r="J1595" s="43">
        <f>Data!S1593</f>
        <v>46174.265359097219</v>
      </c>
      <c r="K1595" s="44">
        <f>Data!S1593</f>
        <v>46174.265359097219</v>
      </c>
      <c r="L1595" s="45">
        <f>Data!T1593</f>
        <v>2.8276620370370369E-4</v>
      </c>
      <c r="M1595" s="46">
        <f>Data!U1593</f>
        <v>0.18418240547180176</v>
      </c>
      <c r="N1595" s="46" t="str">
        <f>CONCATENATE(Data!W1593," (",Data!V1593,")")</f>
        <v>Exceso Velocidad 10 Km/h (Velocidad máxima: 29 kmh)</v>
      </c>
      <c r="O1595" s="42" t="str">
        <f>IF(Data!V1593&lt;&gt;"",N1595,Data!W1593)</f>
        <v>Exceso Velocidad 10 Km/h (Velocidad máxima: 29 kmh)</v>
      </c>
      <c r="P1595" s="47" t="str">
        <f>Data!X1593</f>
        <v>Válido</v>
      </c>
    </row>
    <row r="1596" spans="1:16">
      <c r="A1596" s="41" t="str">
        <f>Data!A1594</f>
        <v>QLT551</v>
      </c>
      <c r="B1596" s="41" t="str">
        <f>Data!D1594</f>
        <v>Vehicle, Diesel, Frontera Energy Col 2679</v>
      </c>
      <c r="C1596" s="41">
        <f>Data!F1594</f>
        <v>0</v>
      </c>
      <c r="D1596" s="41">
        <f>Data!G1594</f>
        <v>0</v>
      </c>
      <c r="E1596" s="41">
        <f>Data!H1594</f>
        <v>0</v>
      </c>
      <c r="F1596" s="41">
        <f>Data!K1594</f>
        <v>0</v>
      </c>
      <c r="G1596" s="33" t="str">
        <f>Data!M1594</f>
        <v>Exceso Velocidad 30 Km/h</v>
      </c>
      <c r="H1596" s="41" t="str">
        <f>Data!P1594</f>
        <v>ECOPETROL RUBIALES- Quifa - CAÑO SUR, Puerto Triunfo - Estacion Policia: Puerto Gaitan - Rubiales, Puerto Gaitán, Meta, Colombia</v>
      </c>
      <c r="I1596" s="42" t="str">
        <f>Data!Q1594</f>
        <v>Cliente, Vel Max 40 Km/h, Vel Max 30 Km/h</v>
      </c>
      <c r="J1596" s="43">
        <f>Data!S1594</f>
        <v>46174.26592824074</v>
      </c>
      <c r="K1596" s="44">
        <f>Data!S1594</f>
        <v>46174.26592824074</v>
      </c>
      <c r="L1596" s="45">
        <f>Data!T1594</f>
        <v>3.5717592592592595E-5</v>
      </c>
      <c r="M1596" s="46">
        <f>Data!U1594</f>
        <v>2.6382490992546082E-2</v>
      </c>
      <c r="N1596" s="46" t="str">
        <f>CONCATENATE(Data!W1594," (",Data!V1594,")")</f>
        <v>Exceso Velocidad 30 Km/h (Velocidad máxima: 33 kmh)</v>
      </c>
      <c r="O1596" s="42" t="str">
        <f>IF(Data!V1594&lt;&gt;"",N1596,Data!W1594)</f>
        <v>Exceso Velocidad 30 Km/h (Velocidad máxima: 33 kmh)</v>
      </c>
      <c r="P1596" s="47" t="str">
        <f>Data!X1594</f>
        <v>Válido</v>
      </c>
    </row>
    <row r="1597" spans="1:16">
      <c r="A1597" s="41" t="str">
        <f>Data!A1595</f>
        <v>QLT551</v>
      </c>
      <c r="B1597" s="41" t="str">
        <f>Data!D1595</f>
        <v>Vehicle, Diesel, Frontera Energy Col 2679</v>
      </c>
      <c r="C1597" s="41">
        <f>Data!F1595</f>
        <v>0</v>
      </c>
      <c r="D1597" s="41">
        <f>Data!G1595</f>
        <v>0</v>
      </c>
      <c r="E1597" s="41">
        <f>Data!H1595</f>
        <v>0</v>
      </c>
      <c r="F1597" s="41">
        <f>Data!K1595</f>
        <v>0</v>
      </c>
      <c r="G1597" s="33" t="str">
        <f>Data!M1595</f>
        <v>Exceso Velocidad 30 Km/h</v>
      </c>
      <c r="H1597" s="41" t="str">
        <f>Data!P1595</f>
        <v>ECOPETROL RUBIALES- Quifa - CAÑO SUR, Puerto Triunfo - Estacion Policia: Puerto Gaitan - Rubiales, Puerto Gaitán, Meta, Colombia</v>
      </c>
      <c r="I1597" s="42" t="str">
        <f>Data!Q1595</f>
        <v>Cliente, Vel Max 40 Km/h, Vel Max 30 Km/h</v>
      </c>
      <c r="J1597" s="43">
        <f>Data!S1595</f>
        <v>46174.266076388885</v>
      </c>
      <c r="K1597" s="44">
        <f>Data!S1595</f>
        <v>46174.266076388885</v>
      </c>
      <c r="L1597" s="45">
        <f>Data!T1595</f>
        <v>2.5624999999999999E-5</v>
      </c>
      <c r="M1597" s="46">
        <f>Data!U1595</f>
        <v>1.8286589533090591E-2</v>
      </c>
      <c r="N1597" s="46" t="str">
        <f>CONCATENATE(Data!W1595," (",Data!V1595,")")</f>
        <v>Exceso Velocidad 30 Km/h (Velocidad máxima: 31 kmh)</v>
      </c>
      <c r="O1597" s="42" t="str">
        <f>IF(Data!V1595&lt;&gt;"",N1597,Data!W1595)</f>
        <v>Exceso Velocidad 30 Km/h (Velocidad máxima: 31 kmh)</v>
      </c>
      <c r="P1597" s="47" t="str">
        <f>Data!X1595</f>
        <v>Válido</v>
      </c>
    </row>
    <row r="1598" spans="1:16">
      <c r="A1598" s="41" t="str">
        <f>Data!A1596</f>
        <v>QLT551</v>
      </c>
      <c r="B1598" s="41" t="str">
        <f>Data!D1596</f>
        <v>Vehicle, Diesel, Frontera Energy Col 2679</v>
      </c>
      <c r="C1598" s="41">
        <f>Data!F1596</f>
        <v>0</v>
      </c>
      <c r="D1598" s="41">
        <f>Data!G1596</f>
        <v>0</v>
      </c>
      <c r="E1598" s="41">
        <f>Data!H1596</f>
        <v>0</v>
      </c>
      <c r="F1598" s="41">
        <f>Data!K1596</f>
        <v>0</v>
      </c>
      <c r="G1598" s="33" t="str">
        <f>Data!M1596</f>
        <v>Exceso Velocidad 30 Km/h</v>
      </c>
      <c r="H1598" s="41" t="str">
        <f>Data!P1596</f>
        <v>ECOPETROL RUBIALES- Quifa - CAÑO SUR, Puerto Triunfo - Estacion Policia: Puerto Gaitan - Rubiales, Puerto Gaitán, Meta, Colombia</v>
      </c>
      <c r="I1598" s="42" t="str">
        <f>Data!Q1596</f>
        <v>Cliente, Vel Max 40 Km/h, Vel Max 30 Km/h</v>
      </c>
      <c r="J1598" s="43">
        <f>Data!S1596</f>
        <v>46174.266926261575</v>
      </c>
      <c r="K1598" s="44">
        <f>Data!S1596</f>
        <v>46174.266926261575</v>
      </c>
      <c r="L1598" s="45">
        <f>Data!T1596</f>
        <v>1.3226851851851852E-4</v>
      </c>
      <c r="M1598" s="46">
        <f>Data!U1596</f>
        <v>9.8625831305980682E-2</v>
      </c>
      <c r="N1598" s="46" t="str">
        <f>CONCATENATE(Data!W1596," (",Data!V1596,")")</f>
        <v>Exceso Velocidad 30 Km/h (Velocidad máxima: 35 kmh)</v>
      </c>
      <c r="O1598" s="42" t="str">
        <f>IF(Data!V1596&lt;&gt;"",N1598,Data!W1596)</f>
        <v>Exceso Velocidad 30 Km/h (Velocidad máxima: 35 kmh)</v>
      </c>
      <c r="P1598" s="47" t="str">
        <f>Data!X1596</f>
        <v>Válido</v>
      </c>
    </row>
    <row r="1599" spans="1:16">
      <c r="A1599" s="41" t="str">
        <f>Data!A1597</f>
        <v>QLT551</v>
      </c>
      <c r="B1599" s="41" t="str">
        <f>Data!D1597</f>
        <v>Vehicle, Diesel, Frontera Energy Col 2679</v>
      </c>
      <c r="C1599" s="41">
        <f>Data!F1597</f>
        <v>0</v>
      </c>
      <c r="D1599" s="41">
        <f>Data!G1597</f>
        <v>0</v>
      </c>
      <c r="E1599" s="41">
        <f>Data!H1597</f>
        <v>0</v>
      </c>
      <c r="F1599" s="41">
        <f>Data!K1597</f>
        <v>0</v>
      </c>
      <c r="G1599" s="33" t="str">
        <f>Data!M1597</f>
        <v>Giro brusco</v>
      </c>
      <c r="H1599" s="41" t="str">
        <f>Data!P1597</f>
        <v>ECOPETROL RUBIALES- Quifa - CAÑO SUR, Puerto Triunfo - Estacion Policia: Puerto Gaitan - Rubiales, Puerto Gaitán, Meta, Colombia</v>
      </c>
      <c r="I1599" s="42" t="str">
        <f>Data!Q1597</f>
        <v>Cliente, Vel Max 40 Km/h, Vel Max 30 Km/h</v>
      </c>
      <c r="J1599" s="43">
        <f>Data!S1597</f>
        <v>46174.267154039349</v>
      </c>
      <c r="K1599" s="44">
        <f>Data!S1597</f>
        <v>46174.267154039349</v>
      </c>
      <c r="L1599" s="45">
        <f>Data!T1597</f>
        <v>3.0092592592592594E-7</v>
      </c>
      <c r="M1599" s="46">
        <f>Data!U1597</f>
        <v>4.7432346036657691E-5</v>
      </c>
      <c r="N1599" s="46" t="str">
        <f>CONCATENATE(Data!W1597," (",Data!V1597,")")</f>
        <v>Giro brusco (Velocidad máxima: 7 kmh Aceleración de lado a lado: -0.48 g-force, Ignición: 1.00)</v>
      </c>
      <c r="O1599" s="42" t="str">
        <f>IF(Data!V1597&lt;&gt;"",N1599,Data!W1597)</f>
        <v>Giro brusco (Velocidad máxima: 7 kmh Aceleración de lado a lado: -0.48 g-force, Ignición: 1.00)</v>
      </c>
      <c r="P1599" s="47" t="str">
        <f>Data!X1597</f>
        <v>Válido</v>
      </c>
    </row>
    <row r="1600" spans="1:16">
      <c r="A1600" s="41" t="str">
        <f>Data!A1598</f>
        <v>QLT551</v>
      </c>
      <c r="B1600" s="41" t="str">
        <f>Data!D1598</f>
        <v>Vehicle, Diesel, Frontera Energy Col 2679</v>
      </c>
      <c r="C1600" s="41">
        <f>Data!F1598</f>
        <v>0</v>
      </c>
      <c r="D1600" s="41">
        <f>Data!G1598</f>
        <v>0</v>
      </c>
      <c r="E1600" s="41">
        <f>Data!H1598</f>
        <v>0</v>
      </c>
      <c r="F1600" s="41">
        <f>Data!K1598</f>
        <v>0</v>
      </c>
      <c r="G1600" s="33" t="str">
        <f>Data!M1598</f>
        <v>Exceso Velocidad 10 Km/h</v>
      </c>
      <c r="H1600" s="41" t="str">
        <f>Data!P1598</f>
        <v>CAMPAMENTO QUIFA, ECOPETROL RUBIALES- Quifa - CAÑO SUR, Puerto Gaitan - Rubiales, Puerto Gaitán, Meta, Colombia: Ent. CAMPAMENTO, Puerto Gaitán, Meta, Colombia</v>
      </c>
      <c r="I1600" s="42" t="str">
        <f>Data!Q1598</f>
        <v>Vel Max 10 Km/h, Cliente, Vel Max 40 Km/h, Centro de servicios del proveedor</v>
      </c>
      <c r="J1600" s="43">
        <f>Data!S1598</f>
        <v>46174.267563136571</v>
      </c>
      <c r="K1600" s="44">
        <f>Data!S1598</f>
        <v>46174.267563136571</v>
      </c>
      <c r="L1600" s="45">
        <f>Data!T1598</f>
        <v>4.2685185185185188E-5</v>
      </c>
      <c r="M1600" s="46">
        <f>Data!U1598</f>
        <v>1.1657283641397953E-2</v>
      </c>
      <c r="N1600" s="46" t="str">
        <f>CONCATENATE(Data!W1598," (",Data!V1598,")")</f>
        <v>Exceso Velocidad 10 Km/h (Velocidad máxima: 13 kmh)</v>
      </c>
      <c r="O1600" s="42" t="str">
        <f>IF(Data!V1598&lt;&gt;"",N1600,Data!W1598)</f>
        <v>Exceso Velocidad 10 Km/h (Velocidad máxima: 13 kmh)</v>
      </c>
      <c r="P1600" s="47" t="str">
        <f>Data!X1598</f>
        <v>Válido</v>
      </c>
    </row>
    <row r="1601" spans="1:16">
      <c r="A1601" s="41" t="str">
        <f>Data!A1599</f>
        <v>QLT551</v>
      </c>
      <c r="B1601" s="41" t="str">
        <f>Data!D1599</f>
        <v>Vehicle, Diesel, Frontera Energy Col 2679</v>
      </c>
      <c r="C1601" s="41">
        <f>Data!F1599</f>
        <v>0</v>
      </c>
      <c r="D1601" s="41">
        <f>Data!G1599</f>
        <v>0</v>
      </c>
      <c r="E1601" s="41">
        <f>Data!H1599</f>
        <v>0</v>
      </c>
      <c r="F1601" s="41">
        <f>Data!K1599</f>
        <v>0</v>
      </c>
      <c r="G1601" s="33" t="str">
        <f>Data!M1599</f>
        <v>Exceso Velocidad 10 Km/h</v>
      </c>
      <c r="H1601" s="41" t="str">
        <f>Data!P1599</f>
        <v>CAMPAMENTO QUIFA, ECOPETROL RUBIALES- Quifa - CAÑO SUR, Puerto Gaitan - Rubiales, Puerto Gaitán, Meta, Colombia, Campamento Quifa - CMA: Ent. CAMPAMENTO, Puerto Gaitán, Meta, Colombia</v>
      </c>
      <c r="I1601" s="42" t="str">
        <f>Data!Q1599</f>
        <v>Vel Max 10 Km/h, Cliente, Vel Max 40 Km/h, Centro de servicios del proveedor</v>
      </c>
      <c r="J1601" s="43">
        <f>Data!S1599</f>
        <v>46174.26767361111</v>
      </c>
      <c r="K1601" s="44">
        <f>Data!S1599</f>
        <v>46174.26767361111</v>
      </c>
      <c r="L1601" s="45">
        <f>Data!T1599</f>
        <v>2.3148148148148149E-4</v>
      </c>
      <c r="M1601" s="46">
        <f>Data!U1599</f>
        <v>5.9641610831022263E-2</v>
      </c>
      <c r="N1601" s="46" t="str">
        <f>CONCATENATE(Data!W1599," (",Data!V1599,")")</f>
        <v>Exceso Velocidad 10 Km/h (Velocidad máxima: 12 kmh)</v>
      </c>
      <c r="O1601" s="42" t="str">
        <f>IF(Data!V1599&lt;&gt;"",N1601,Data!W1599)</f>
        <v>Exceso Velocidad 10 Km/h (Velocidad máxima: 12 kmh)</v>
      </c>
      <c r="P1601" s="47" t="str">
        <f>Data!X1599</f>
        <v>Válido</v>
      </c>
    </row>
    <row r="1602" spans="1:16">
      <c r="A1602" s="41" t="str">
        <f>Data!A1600</f>
        <v>QLT551</v>
      </c>
      <c r="B1602" s="41" t="str">
        <f>Data!D1600</f>
        <v>Vehicle, Diesel, Frontera Energy Col 2679</v>
      </c>
      <c r="C1602" s="41">
        <f>Data!F1600</f>
        <v>0</v>
      </c>
      <c r="D1602" s="41">
        <f>Data!G1600</f>
        <v>0</v>
      </c>
      <c r="E1602" s="41">
        <f>Data!H1600</f>
        <v>0</v>
      </c>
      <c r="F1602" s="41">
        <f>Data!K1600</f>
        <v>0</v>
      </c>
      <c r="G1602" s="33" t="str">
        <f>Data!M1600</f>
        <v>Exceso Velocidad 10 Km/h</v>
      </c>
      <c r="H1602" s="41" t="str">
        <f>Data!P1600</f>
        <v>CAMPAMENTO QUIFA, ECOPETROL RUBIALES- Quifa - CAÑO SUR, Campamento Quifa - CMA: Ent. CAMPAMENTO, Puerto Gaitán, Meta, Colombia</v>
      </c>
      <c r="I1602" s="42" t="str">
        <f>Data!Q1600</f>
        <v>Vel Max 10 Km/h, Cliente, Vel Max 40 Km/h</v>
      </c>
      <c r="J1602" s="43">
        <f>Data!S1600</f>
        <v>46174.267905092594</v>
      </c>
      <c r="K1602" s="44">
        <f>Data!S1600</f>
        <v>46174.267905092594</v>
      </c>
      <c r="L1602" s="45">
        <f>Data!T1600</f>
        <v>3.4143528518518516E-4</v>
      </c>
      <c r="M1602" s="46">
        <f>Data!U1600</f>
        <v>8.8123731315135956E-2</v>
      </c>
      <c r="N1602" s="46" t="str">
        <f>CONCATENATE(Data!W1600," (",Data!V1600,")")</f>
        <v>Exceso Velocidad 10 Km/h (Velocidad máxima: 11 kmh)</v>
      </c>
      <c r="O1602" s="42" t="str">
        <f>IF(Data!V1600&lt;&gt;"",N1602,Data!W1600)</f>
        <v>Exceso Velocidad 10 Km/h (Velocidad máxima: 11 kmh)</v>
      </c>
      <c r="P1602" s="47" t="str">
        <f>Data!X1600</f>
        <v>Válido</v>
      </c>
    </row>
    <row r="1603" spans="1:16">
      <c r="A1603" s="41" t="str">
        <f>Data!A1601</f>
        <v>QLT551</v>
      </c>
      <c r="B1603" s="41" t="str">
        <f>Data!D1601</f>
        <v>Vehicle, Diesel, Frontera Energy Col 2679</v>
      </c>
      <c r="C1603" s="41">
        <f>Data!F1601</f>
        <v>0</v>
      </c>
      <c r="D1603" s="41">
        <f>Data!G1601</f>
        <v>0</v>
      </c>
      <c r="E1603" s="41">
        <f>Data!H1601</f>
        <v>0</v>
      </c>
      <c r="F1603" s="41">
        <f>Data!K1601</f>
        <v>0</v>
      </c>
      <c r="G1603" s="33" t="str">
        <f>Data!M1601</f>
        <v>Exceso Velocidad 10 Km/h</v>
      </c>
      <c r="H1603" s="41" t="str">
        <f>Data!P1601</f>
        <v>CAMPAMENTO QUIFA, ECOPETROL RUBIALES- Quifa - CAÑO SUR, Campamento Quifa - CMA: Ent. CAMPAMENTO, Puerto Gaitán, Meta, Colombia</v>
      </c>
      <c r="I1603" s="42" t="str">
        <f>Data!Q1601</f>
        <v>Vel Max 10 Km/h, Cliente, Vel Max 40 Km/h</v>
      </c>
      <c r="J1603" s="43">
        <f>Data!S1601</f>
        <v>46174.268446180555</v>
      </c>
      <c r="K1603" s="44">
        <f>Data!S1601</f>
        <v>46174.268446180555</v>
      </c>
      <c r="L1603" s="45">
        <f>Data!T1601</f>
        <v>3.7615740740740744E-5</v>
      </c>
      <c r="M1603" s="46">
        <f>Data!U1601</f>
        <v>8.1352544948458672E-3</v>
      </c>
      <c r="N1603" s="46" t="str">
        <f>CONCATENATE(Data!W1601," (",Data!V1601,")")</f>
        <v>Exceso Velocidad 10 Km/h (Velocidad máxima: 11 kmh)</v>
      </c>
      <c r="O1603" s="42" t="str">
        <f>IF(Data!V1601&lt;&gt;"",N1603,Data!W1601)</f>
        <v>Exceso Velocidad 10 Km/h (Velocidad máxima: 11 kmh)</v>
      </c>
      <c r="P1603" s="47" t="str">
        <f>Data!X1601</f>
        <v>Válido</v>
      </c>
    </row>
    <row r="1604" spans="1:16">
      <c r="A1604" s="41" t="str">
        <f>Data!A1602</f>
        <v>QLT551</v>
      </c>
      <c r="B1604" s="41" t="str">
        <f>Data!D1602</f>
        <v>Vehicle, Diesel, Frontera Energy Col 2679</v>
      </c>
      <c r="C1604" s="41">
        <f>Data!F1602</f>
        <v>0</v>
      </c>
      <c r="D1604" s="41">
        <f>Data!G1602</f>
        <v>0</v>
      </c>
      <c r="E1604" s="41">
        <f>Data!H1602</f>
        <v>0</v>
      </c>
      <c r="F1604" s="41">
        <f>Data!K1602</f>
        <v>0</v>
      </c>
      <c r="G1604" s="33" t="str">
        <f>Data!M1602</f>
        <v>Exceso Velocidad 10 Km/h</v>
      </c>
      <c r="H1604" s="41" t="str">
        <f>Data!P1602</f>
        <v>CAMPAMENTO QUIFA, ECOPETROL RUBIALES- Quifa - CAÑO SUR, Campamento Quifa - CMA: Ent. CAMPAMENTO, Puerto Gaitán, Meta, Colombia</v>
      </c>
      <c r="I1604" s="42" t="str">
        <f>Data!Q1602</f>
        <v>Vel Max 10 Km/h, Cliente, Vel Max 40 Km/h</v>
      </c>
      <c r="J1604" s="43">
        <f>Data!S1602</f>
        <v>46174.281477627315</v>
      </c>
      <c r="K1604" s="44">
        <f>Data!S1602</f>
        <v>46174.281477627315</v>
      </c>
      <c r="L1604" s="45">
        <f>Data!T1602</f>
        <v>2.4112268518518517E-4</v>
      </c>
      <c r="M1604" s="46">
        <f>Data!U1602</f>
        <v>5.4327201098203659E-2</v>
      </c>
      <c r="N1604" s="46" t="str">
        <f>CONCATENATE(Data!W1602," (",Data!V1602,")")</f>
        <v>Exceso Velocidad 10 Km/h (Velocidad máxima: 11 kmh)</v>
      </c>
      <c r="O1604" s="42" t="str">
        <f>IF(Data!V1602&lt;&gt;"",N1604,Data!W1602)</f>
        <v>Exceso Velocidad 10 Km/h (Velocidad máxima: 11 kmh)</v>
      </c>
      <c r="P1604" s="47" t="str">
        <f>Data!X1602</f>
        <v>Válido</v>
      </c>
    </row>
    <row r="1605" spans="1:16">
      <c r="A1605" s="41" t="str">
        <f>Data!A1603</f>
        <v>QLT551</v>
      </c>
      <c r="B1605" s="41" t="str">
        <f>Data!D1603</f>
        <v>Vehicle, Diesel, Frontera Energy Col 2679</v>
      </c>
      <c r="C1605" s="41">
        <f>Data!F1603</f>
        <v>0</v>
      </c>
      <c r="D1605" s="41">
        <f>Data!G1603</f>
        <v>0</v>
      </c>
      <c r="E1605" s="41">
        <f>Data!H1603</f>
        <v>0</v>
      </c>
      <c r="F1605" s="41">
        <f>Data!K1603</f>
        <v>0</v>
      </c>
      <c r="G1605" s="33" t="str">
        <f>Data!M1603</f>
        <v>Tiempo en ralentí</v>
      </c>
      <c r="H1605" s="41" t="str">
        <f>Data!P1603</f>
        <v>CAMPAMENTO QUIFA, ECOPETROL RUBIALES- Quifa - CAÑO SUR, Campamento Quifa - CMA: Ent. CAMPAMENTO, Puerto Gaitán, Meta, Colombia</v>
      </c>
      <c r="I1605" s="42" t="str">
        <f>Data!Q1603</f>
        <v>Vel Max 10 Km/h, Cliente, Vel Max 40 Km/h</v>
      </c>
      <c r="J1605" s="43">
        <f>Data!S1603</f>
        <v>46174.282442129632</v>
      </c>
      <c r="K1605" s="44">
        <f>Data!S1603</f>
        <v>46174.282442129632</v>
      </c>
      <c r="L1605" s="45">
        <f>Data!T1603</f>
        <v>5.2184143518518517E-3</v>
      </c>
      <c r="M1605" s="46">
        <f>Data!U1603</f>
        <v>8.7455462198704481E-4</v>
      </c>
      <c r="N1605" s="46" t="str">
        <f>CONCATENATE(Data!W1603," (",Data!V1603,")")</f>
        <v>Tiempo en ralentí (Ignición: 1.00)</v>
      </c>
      <c r="O1605" s="42" t="str">
        <f>IF(Data!V1603&lt;&gt;"",N1605,Data!W1603)</f>
        <v>Tiempo en ralentí (Ignición: 1.00)</v>
      </c>
      <c r="P1605" s="47" t="str">
        <f>Data!X1603</f>
        <v>Válido</v>
      </c>
    </row>
    <row r="1606" spans="1:16">
      <c r="A1606" s="41" t="str">
        <f>Data!A1604</f>
        <v>QLT551</v>
      </c>
      <c r="B1606" s="41" t="str">
        <f>Data!D1604</f>
        <v>Vehicle, Diesel, Frontera Energy Col 2679</v>
      </c>
      <c r="C1606" s="41">
        <f>Data!F1604</f>
        <v>0</v>
      </c>
      <c r="D1606" s="41">
        <f>Data!G1604</f>
        <v>0</v>
      </c>
      <c r="E1606" s="41">
        <f>Data!H1604</f>
        <v>0</v>
      </c>
      <c r="F1606" s="41">
        <f>Data!K1604</f>
        <v>0</v>
      </c>
      <c r="G1606" s="33" t="str">
        <f>Data!M1604</f>
        <v>Exceso Velocidad 10 Km/h</v>
      </c>
      <c r="H1606" s="41" t="str">
        <f>Data!P1604</f>
        <v>ECOPETROL RUBIALES- Quifa - CAÑO SUR, Puerto Triunfo - Estacion Policia, PUESTRO CONTROL QUIFA: Puerto Gaitan - Rubiales, Puerto Gaitán, Meta, Colombia</v>
      </c>
      <c r="I1606" s="42" t="str">
        <f>Data!Q1604</f>
        <v>Cliente, Vel Max 40 Km/h, Vel Max 30 Km/h, Vel Max 10 Km/h</v>
      </c>
      <c r="J1606" s="43">
        <f>Data!S1604</f>
        <v>46174.349402314816</v>
      </c>
      <c r="K1606" s="44">
        <f>Data!S1604</f>
        <v>46174.349402314816</v>
      </c>
      <c r="L1606" s="45">
        <f>Data!T1604</f>
        <v>3.0795138888888891E-4</v>
      </c>
      <c r="M1606" s="46">
        <f>Data!U1604</f>
        <v>0.18322007358074188</v>
      </c>
      <c r="N1606" s="46" t="str">
        <f>CONCATENATE(Data!W1604," (",Data!V1604,")")</f>
        <v>Exceso Velocidad 10 Km/h (Velocidad máxima: 25 kmh)</v>
      </c>
      <c r="O1606" s="42" t="str">
        <f>IF(Data!V1604&lt;&gt;"",N1606,Data!W1604)</f>
        <v>Exceso Velocidad 10 Km/h (Velocidad máxima: 25 kmh)</v>
      </c>
      <c r="P1606" s="47" t="str">
        <f>Data!X1604</f>
        <v>Válido</v>
      </c>
    </row>
    <row r="1607" spans="1:16">
      <c r="A1607" s="41" t="str">
        <f>Data!A1605</f>
        <v>QLT551</v>
      </c>
      <c r="B1607" s="41" t="str">
        <f>Data!D1605</f>
        <v>Vehicle, Diesel, Frontera Energy Col 2679</v>
      </c>
      <c r="C1607" s="41">
        <f>Data!F1605</f>
        <v>0</v>
      </c>
      <c r="D1607" s="41">
        <f>Data!G1605</f>
        <v>0</v>
      </c>
      <c r="E1607" s="41">
        <f>Data!H1605</f>
        <v>0</v>
      </c>
      <c r="F1607" s="41">
        <f>Data!K1605</f>
        <v>0</v>
      </c>
      <c r="G1607" s="33" t="str">
        <f>Data!M1605</f>
        <v>Exceso Velocidad 30 Km/h</v>
      </c>
      <c r="H1607" s="41" t="str">
        <f>Data!P1605</f>
        <v>ECOPETROL RUBIALES- Quifa - CAÑO SUR, Puerto Triunfo - Estacion Policia: Puerto Gaitan - Rubiales, Puerto Gaitán, Meta, Colombia</v>
      </c>
      <c r="I1607" s="42" t="str">
        <f>Data!Q1605</f>
        <v>Cliente, Vel Max 40 Km/h, Vel Max 30 Km/h</v>
      </c>
      <c r="J1607" s="43">
        <f>Data!S1605</f>
        <v>46174.349899687499</v>
      </c>
      <c r="K1607" s="44">
        <f>Data!S1605</f>
        <v>46174.349899687499</v>
      </c>
      <c r="L1607" s="45">
        <f>Data!T1605</f>
        <v>1.0320601851851852E-4</v>
      </c>
      <c r="M1607" s="46">
        <f>Data!U1605</f>
        <v>7.6056398451328278E-2</v>
      </c>
      <c r="N1607" s="46" t="str">
        <f>CONCATENATE(Data!W1605," (",Data!V1605,")")</f>
        <v>Exceso Velocidad 30 Km/h (Velocidad máxima: 33 kmh)</v>
      </c>
      <c r="O1607" s="42" t="str">
        <f>IF(Data!V1605&lt;&gt;"",N1607,Data!W1605)</f>
        <v>Exceso Velocidad 30 Km/h (Velocidad máxima: 33 kmh)</v>
      </c>
      <c r="P1607" s="47" t="str">
        <f>Data!X1605</f>
        <v>Válido</v>
      </c>
    </row>
    <row r="1608" spans="1:16">
      <c r="A1608" s="41" t="str">
        <f>Data!A1606</f>
        <v>QLT551</v>
      </c>
      <c r="B1608" s="41" t="str">
        <f>Data!D1606</f>
        <v>Vehicle, Diesel, Frontera Energy Col 2679</v>
      </c>
      <c r="C1608" s="41">
        <f>Data!F1606</f>
        <v>0</v>
      </c>
      <c r="D1608" s="41">
        <f>Data!G1606</f>
        <v>0</v>
      </c>
      <c r="E1608" s="41">
        <f>Data!H1606</f>
        <v>0</v>
      </c>
      <c r="F1608" s="41">
        <f>Data!K1606</f>
        <v>0</v>
      </c>
      <c r="G1608" s="33" t="str">
        <f>Data!M1606</f>
        <v>Exceso Velocidad 30 Km/h</v>
      </c>
      <c r="H1608" s="41" t="str">
        <f>Data!P1606</f>
        <v>ECOPETROL RUBIALES- Quifa - CAÑO SUR, Puerto Triunfo - Estacion Policia: Puerto Gaitan - Rubiales, Puerto Gaitán, Meta, Colombia</v>
      </c>
      <c r="I1608" s="42" t="str">
        <f>Data!Q1606</f>
        <v>Cliente, Vel Max 40 Km/h, Vel Max 30 Km/h</v>
      </c>
      <c r="J1608" s="43">
        <f>Data!S1606</f>
        <v>46174.350034722222</v>
      </c>
      <c r="K1608" s="44">
        <f>Data!S1606</f>
        <v>46174.350034722222</v>
      </c>
      <c r="L1608" s="45">
        <f>Data!T1606</f>
        <v>7.6388888888888887E-5</v>
      </c>
      <c r="M1608" s="46">
        <f>Data!U1606</f>
        <v>5.3530953824520111E-2</v>
      </c>
      <c r="N1608" s="46" t="str">
        <f>CONCATENATE(Data!W1606," (",Data!V1606,")")</f>
        <v>Exceso Velocidad 30 Km/h (Velocidad máxima: 33 kmh)</v>
      </c>
      <c r="O1608" s="42" t="str">
        <f>IF(Data!V1606&lt;&gt;"",N1608,Data!W1606)</f>
        <v>Exceso Velocidad 30 Km/h (Velocidad máxima: 33 kmh)</v>
      </c>
      <c r="P1608" s="47" t="str">
        <f>Data!X1606</f>
        <v>Válido</v>
      </c>
    </row>
    <row r="1609" spans="1:16">
      <c r="A1609" s="41" t="str">
        <f>Data!A1607</f>
        <v>QLT551</v>
      </c>
      <c r="B1609" s="41" t="str">
        <f>Data!D1607</f>
        <v>Vehicle, Diesel, Frontera Energy Col 2679</v>
      </c>
      <c r="C1609" s="41">
        <f>Data!F1607</f>
        <v>0</v>
      </c>
      <c r="D1609" s="41">
        <f>Data!G1607</f>
        <v>0</v>
      </c>
      <c r="E1609" s="41">
        <f>Data!H1607</f>
        <v>0</v>
      </c>
      <c r="F1609" s="41">
        <f>Data!K1607</f>
        <v>0</v>
      </c>
      <c r="G1609" s="33" t="str">
        <f>Data!M1607</f>
        <v>Tiempo en ralentí</v>
      </c>
      <c r="H1609" s="41" t="str">
        <f>Data!P1607</f>
        <v>ECOPETROL RUBIALES- Quifa - CAÑO SUR: Vía Sin Nombre, Puerto Gaitán, Meta, Colombia</v>
      </c>
      <c r="I1609" s="42" t="str">
        <f>Data!Q1607</f>
        <v>Cliente, Vel Max 40 Km/h</v>
      </c>
      <c r="J1609" s="43">
        <f>Data!S1607</f>
        <v>46174.362893518519</v>
      </c>
      <c r="K1609" s="44">
        <f>Data!S1607</f>
        <v>46174.362893518519</v>
      </c>
      <c r="L1609" s="45">
        <f>Data!T1607</f>
        <v>4.7681828703703705E-3</v>
      </c>
      <c r="M1609" s="46">
        <f>Data!U1607</f>
        <v>0</v>
      </c>
      <c r="N1609" s="46" t="str">
        <f>CONCATENATE(Data!W1607," (",Data!V1607,")")</f>
        <v>Tiempo en ralentí (Ignición: 1.00)</v>
      </c>
      <c r="O1609" s="42" t="str">
        <f>IF(Data!V1607&lt;&gt;"",N1609,Data!W1607)</f>
        <v>Tiempo en ralentí (Ignición: 1.00)</v>
      </c>
      <c r="P1609" s="47" t="str">
        <f>Data!X1607</f>
        <v>Válido</v>
      </c>
    </row>
    <row r="1610" spans="1:16">
      <c r="A1610" s="41" t="str">
        <f>Data!A1608</f>
        <v>QLT551</v>
      </c>
      <c r="B1610" s="41" t="str">
        <f>Data!D1608</f>
        <v>Vehicle, Diesel, Frontera Energy Col 2679</v>
      </c>
      <c r="C1610" s="41">
        <f>Data!F1608</f>
        <v>0</v>
      </c>
      <c r="D1610" s="41">
        <f>Data!G1608</f>
        <v>0</v>
      </c>
      <c r="E1610" s="41">
        <f>Data!H1608</f>
        <v>0</v>
      </c>
      <c r="F1610" s="41">
        <f>Data!K1608</f>
        <v>0</v>
      </c>
      <c r="G1610" s="33" t="str">
        <f>Data!M1608</f>
        <v>Tiempo en ralentí</v>
      </c>
      <c r="H1610" s="41" t="str">
        <f>Data!P1608</f>
        <v>ECOPETROL RUBIALES- Quifa - CAÑO SUR: Vía Sin Nombre, Puerto Gaitán, Meta, Colombia</v>
      </c>
      <c r="I1610" s="42" t="str">
        <f>Data!Q1608</f>
        <v>Cliente, Vel Max 40 Km/h</v>
      </c>
      <c r="J1610" s="43">
        <f>Data!S1608</f>
        <v>46174.381753506947</v>
      </c>
      <c r="K1610" s="44">
        <f>Data!S1608</f>
        <v>46174.381753506947</v>
      </c>
      <c r="L1610" s="45">
        <f>Data!T1608</f>
        <v>8.4085300925925924E-3</v>
      </c>
      <c r="M1610" s="46">
        <f>Data!U1608</f>
        <v>5.765942856669426E-3</v>
      </c>
      <c r="N1610" s="46" t="str">
        <f>CONCATENATE(Data!W1608," (",Data!V1608,")")</f>
        <v>Tiempo en ralentí (Ignición: 1.00)</v>
      </c>
      <c r="O1610" s="42" t="str">
        <f>IF(Data!V1608&lt;&gt;"",N1610,Data!W1608)</f>
        <v>Tiempo en ralentí (Ignición: 1.00)</v>
      </c>
      <c r="P1610" s="47" t="str">
        <f>Data!X1608</f>
        <v>Válido</v>
      </c>
    </row>
    <row r="1611" spans="1:16">
      <c r="A1611" s="41" t="str">
        <f>Data!A1609</f>
        <v>QLT551</v>
      </c>
      <c r="B1611" s="41" t="str">
        <f>Data!D1609</f>
        <v>Vehicle, Diesel, Frontera Energy Col 2679</v>
      </c>
      <c r="C1611" s="41">
        <f>Data!F1609</f>
        <v>0</v>
      </c>
      <c r="D1611" s="41">
        <f>Data!G1609</f>
        <v>0</v>
      </c>
      <c r="E1611" s="41">
        <f>Data!H1609</f>
        <v>0</v>
      </c>
      <c r="F1611" s="41">
        <f>Data!K1609</f>
        <v>0</v>
      </c>
      <c r="G1611" s="33" t="str">
        <f>Data!M1609</f>
        <v>Uso del cinturón de seguridad</v>
      </c>
      <c r="H1611" s="41" t="str">
        <f>Data!P1609</f>
        <v>ECOPETROL RUBIALES- Quifa - CAÑO SUR: Vía Sin Nombre, Puerto Gaitán, Meta, Colombia</v>
      </c>
      <c r="I1611" s="42" t="str">
        <f>Data!Q1609</f>
        <v>Cliente, Vel Max 40 Km/h</v>
      </c>
      <c r="J1611" s="43">
        <f>Data!S1609</f>
        <v>46174.390403159719</v>
      </c>
      <c r="K1611" s="44">
        <f>Data!S1609</f>
        <v>46174.390403159719</v>
      </c>
      <c r="L1611" s="45">
        <f>Data!T1609</f>
        <v>1.6396990740740741E-4</v>
      </c>
      <c r="M1611" s="46">
        <f>Data!U1609</f>
        <v>5.2432127296924591E-2</v>
      </c>
      <c r="N1611" s="46" t="str">
        <f>CONCATENATE(Data!W1609," (",Data!V1609,")")</f>
        <v>Uso del cinturón de seguridad (Velocidad máxima: 17 kmh Cinturón de seguridad del conductor (1. Desabrochado): 1.00)</v>
      </c>
      <c r="O1611" s="42" t="str">
        <f>IF(Data!V1609&lt;&gt;"",N1611,Data!W1609)</f>
        <v>Uso del cinturón de seguridad (Velocidad máxima: 17 kmh Cinturón de seguridad del conductor (1. Desabrochado): 1.00)</v>
      </c>
      <c r="P1611" s="47" t="str">
        <f>Data!X1609</f>
        <v>Válido</v>
      </c>
    </row>
    <row r="1612" spans="1:16">
      <c r="A1612" s="41" t="str">
        <f>Data!A1610</f>
        <v>QLT551</v>
      </c>
      <c r="B1612" s="41" t="str">
        <f>Data!D1610</f>
        <v>Vehicle, Diesel, Frontera Energy Col 2679</v>
      </c>
      <c r="C1612" s="41">
        <f>Data!F1610</f>
        <v>0</v>
      </c>
      <c r="D1612" s="41">
        <f>Data!G1610</f>
        <v>0</v>
      </c>
      <c r="E1612" s="41">
        <f>Data!H1610</f>
        <v>0</v>
      </c>
      <c r="F1612" s="41">
        <f>Data!K1610</f>
        <v>0</v>
      </c>
      <c r="G1612" s="33" t="str">
        <f>Data!M1610</f>
        <v>Uso del cinturón de seguridad</v>
      </c>
      <c r="H1612" s="41" t="str">
        <f>Data!P1610</f>
        <v>ECOPETROL RUBIALES- Quifa - CAÑO SUR: Vía Sin Nombre, Puerto Gaitán, Meta, Colombia</v>
      </c>
      <c r="I1612" s="42" t="str">
        <f>Data!Q1610</f>
        <v>Cliente, Vel Max 40 Km/h</v>
      </c>
      <c r="J1612" s="43">
        <f>Data!S1610</f>
        <v>46174.390866400463</v>
      </c>
      <c r="K1612" s="44">
        <f>Data!S1610</f>
        <v>46174.390866400463</v>
      </c>
      <c r="L1612" s="45">
        <f>Data!T1610</f>
        <v>5.9525462962962966E-5</v>
      </c>
      <c r="M1612" s="46">
        <f>Data!U1610</f>
        <v>1.5835147351026535E-2</v>
      </c>
      <c r="N1612" s="46" t="str">
        <f>CONCATENATE(Data!W1610," (",Data!V1610,")")</f>
        <v>Uso del cinturón de seguridad (Velocidad máxima: 12 kmh Cinturón de seguridad del conductor (1. Desabrochado): 1.00)</v>
      </c>
      <c r="O1612" s="42" t="str">
        <f>IF(Data!V1610&lt;&gt;"",N1612,Data!W1610)</f>
        <v>Uso del cinturón de seguridad (Velocidad máxima: 12 kmh Cinturón de seguridad del conductor (1. Desabrochado): 1.00)</v>
      </c>
      <c r="P1612" s="47" t="str">
        <f>Data!X1610</f>
        <v>Válido</v>
      </c>
    </row>
    <row r="1613" spans="1:16">
      <c r="A1613" s="41" t="str">
        <f>Data!A1611</f>
        <v>QLT551</v>
      </c>
      <c r="B1613" s="41" t="str">
        <f>Data!D1611</f>
        <v>Vehicle, Diesel, Frontera Energy Col 2679</v>
      </c>
      <c r="C1613" s="41">
        <f>Data!F1611</f>
        <v>0</v>
      </c>
      <c r="D1613" s="41">
        <f>Data!G1611</f>
        <v>0</v>
      </c>
      <c r="E1613" s="41">
        <f>Data!H1611</f>
        <v>0</v>
      </c>
      <c r="F1613" s="41">
        <f>Data!K1611</f>
        <v>0</v>
      </c>
      <c r="G1613" s="33" t="str">
        <f>Data!M1611</f>
        <v>Uso del cinturón de seguridad</v>
      </c>
      <c r="H1613" s="41" t="str">
        <f>Data!P1611</f>
        <v>ECOPETROL RUBIALES- Quifa - CAÑO SUR: Vía Sin Nombre, Puerto Gaitán, Meta, Colombia</v>
      </c>
      <c r="I1613" s="42" t="str">
        <f>Data!Q1611</f>
        <v>Cliente, Vel Max 40 Km/h</v>
      </c>
      <c r="J1613" s="43">
        <f>Data!S1611</f>
        <v>46174.390986689818</v>
      </c>
      <c r="K1613" s="44">
        <f>Data!S1611</f>
        <v>46174.390986689818</v>
      </c>
      <c r="L1613" s="45">
        <f>Data!T1611</f>
        <v>1.2827546296296296E-4</v>
      </c>
      <c r="M1613" s="46">
        <f>Data!U1611</f>
        <v>4.630635678768158E-2</v>
      </c>
      <c r="N1613" s="46" t="str">
        <f>CONCATENATE(Data!W1611," (",Data!V1611,")")</f>
        <v>Uso del cinturón de seguridad (Velocidad máxima: 18 kmh Cinturón de seguridad del conductor (1. Desabrochado): 1.00)</v>
      </c>
      <c r="O1613" s="42" t="str">
        <f>IF(Data!V1611&lt;&gt;"",N1613,Data!W1611)</f>
        <v>Uso del cinturón de seguridad (Velocidad máxima: 18 kmh Cinturón de seguridad del conductor (1. Desabrochado): 1.00)</v>
      </c>
      <c r="P1613" s="47" t="str">
        <f>Data!X1611</f>
        <v>Válido</v>
      </c>
    </row>
    <row r="1614" spans="1:16">
      <c r="A1614" s="41" t="str">
        <f>Data!A1612</f>
        <v>QLT551</v>
      </c>
      <c r="B1614" s="41" t="str">
        <f>Data!D1612</f>
        <v>Vehicle, Diesel, Frontera Energy Col 2679</v>
      </c>
      <c r="C1614" s="41">
        <f>Data!F1612</f>
        <v>0</v>
      </c>
      <c r="D1614" s="41">
        <f>Data!G1612</f>
        <v>0</v>
      </c>
      <c r="E1614" s="41">
        <f>Data!H1612</f>
        <v>0</v>
      </c>
      <c r="F1614" s="41">
        <f>Data!K1612</f>
        <v>0</v>
      </c>
      <c r="G1614" s="33" t="str">
        <f>Data!M1612</f>
        <v>Uso del cinturón de seguridad</v>
      </c>
      <c r="H1614" s="41" t="str">
        <f>Data!P1612</f>
        <v>ECOPETROL RUBIALES- Quifa - CAÑO SUR: Vía Sin Nombre, Puerto Gaitán, Meta, Colombia</v>
      </c>
      <c r="I1614" s="42" t="str">
        <f>Data!Q1612</f>
        <v>Cliente, Vel Max 40 Km/h</v>
      </c>
      <c r="J1614" s="43">
        <f>Data!S1612</f>
        <v>46174.391134259262</v>
      </c>
      <c r="K1614" s="44">
        <f>Data!S1612</f>
        <v>46174.391134259262</v>
      </c>
      <c r="L1614" s="45">
        <f>Data!T1612</f>
        <v>1.7361211111111111E-5</v>
      </c>
      <c r="M1614" s="46">
        <f>Data!U1612</f>
        <v>3.734953235834837E-3</v>
      </c>
      <c r="N1614" s="46" t="str">
        <f>CONCATENATE(Data!W1612," (",Data!V1612,")")</f>
        <v>Uso del cinturón de seguridad (Velocidad máxima: 12 kmh Cinturón de seguridad del conductor (1. Desabrochado): 1.00)</v>
      </c>
      <c r="O1614" s="42" t="str">
        <f>IF(Data!V1612&lt;&gt;"",N1614,Data!W1612)</f>
        <v>Uso del cinturón de seguridad (Velocidad máxima: 12 kmh Cinturón de seguridad del conductor (1. Desabrochado): 1.00)</v>
      </c>
      <c r="P1614" s="47" t="str">
        <f>Data!X1612</f>
        <v>Válido</v>
      </c>
    </row>
    <row r="1615" spans="1:16">
      <c r="A1615" s="41" t="str">
        <f>Data!A1613</f>
        <v>QLT551</v>
      </c>
      <c r="B1615" s="41" t="str">
        <f>Data!D1613</f>
        <v>Vehicle, Diesel, Frontera Energy Col 2679</v>
      </c>
      <c r="C1615" s="41">
        <f>Data!F1613</f>
        <v>0</v>
      </c>
      <c r="D1615" s="41">
        <f>Data!G1613</f>
        <v>0</v>
      </c>
      <c r="E1615" s="41">
        <f>Data!H1613</f>
        <v>0</v>
      </c>
      <c r="F1615" s="41">
        <f>Data!K1613</f>
        <v>0</v>
      </c>
      <c r="G1615" s="33" t="str">
        <f>Data!M1613</f>
        <v>Exceso Velocidad 30 Km/h</v>
      </c>
      <c r="H1615" s="41" t="str">
        <f>Data!P1613</f>
        <v>ECOPETROL RUBIALES- Quifa - CAÑO SUR, Puerto Triunfo - Estacion Policia: vereda puerto triunfo Km 129+300 vía rubiales, Puerto Gaitán, Meta, Colombia</v>
      </c>
      <c r="I1615" s="42" t="str">
        <f>Data!Q1613</f>
        <v>Cliente, Vel Max 40 Km/h, Vel Max 30 Km/h</v>
      </c>
      <c r="J1615" s="43">
        <f>Data!S1613</f>
        <v>46174.433370162034</v>
      </c>
      <c r="K1615" s="44">
        <f>Data!S1613</f>
        <v>46174.433370162034</v>
      </c>
      <c r="L1615" s="45">
        <f>Data!T1613</f>
        <v>6.7337962962962959E-5</v>
      </c>
      <c r="M1615" s="46">
        <f>Data!U1613</f>
        <v>5.2441500127315521E-2</v>
      </c>
      <c r="N1615" s="46" t="str">
        <f>CONCATENATE(Data!W1613," (",Data!V1613,")")</f>
        <v>Exceso Velocidad 30 Km/h (Velocidad máxima: 35 kmh)</v>
      </c>
      <c r="O1615" s="42" t="str">
        <f>IF(Data!V1613&lt;&gt;"",N1615,Data!W1613)</f>
        <v>Exceso Velocidad 30 Km/h (Velocidad máxima: 35 kmh)</v>
      </c>
      <c r="P1615" s="47" t="str">
        <f>Data!X1613</f>
        <v>Válido</v>
      </c>
    </row>
    <row r="1616" spans="1:16">
      <c r="A1616" s="41" t="str">
        <f>Data!A1614</f>
        <v>QLT551</v>
      </c>
      <c r="B1616" s="41" t="str">
        <f>Data!D1614</f>
        <v>Vehicle, Diesel, Frontera Energy Col 2679</v>
      </c>
      <c r="C1616" s="41">
        <f>Data!F1614</f>
        <v>0</v>
      </c>
      <c r="D1616" s="41">
        <f>Data!G1614</f>
        <v>0</v>
      </c>
      <c r="E1616" s="41">
        <f>Data!H1614</f>
        <v>0</v>
      </c>
      <c r="F1616" s="41">
        <f>Data!K1614</f>
        <v>0</v>
      </c>
      <c r="G1616" s="33" t="str">
        <f>Data!M1614</f>
        <v>Exceso Velocidad 30 Km/h</v>
      </c>
      <c r="H1616" s="41" t="str">
        <f>Data!P1614</f>
        <v>ECOPETROL RUBIALES- Quifa - CAÑO SUR, Puerto Triunfo - Estacion Policia: Puerto Gaitan - Rubiales, Puerto Gaitán, Meta, Colombia</v>
      </c>
      <c r="I1616" s="42" t="str">
        <f>Data!Q1614</f>
        <v>Cliente, Vel Max 40 Km/h, Vel Max 30 Km/h</v>
      </c>
      <c r="J1616" s="43">
        <f>Data!S1614</f>
        <v>46174.434039351851</v>
      </c>
      <c r="K1616" s="44">
        <f>Data!S1614</f>
        <v>46174.434039351851</v>
      </c>
      <c r="L1616" s="45">
        <f>Data!T1614</f>
        <v>2.0061342592592592E-4</v>
      </c>
      <c r="M1616" s="46">
        <f>Data!U1614</f>
        <v>0.15072664618492126</v>
      </c>
      <c r="N1616" s="46" t="str">
        <f>CONCATENATE(Data!W1614," (",Data!V1614,")")</f>
        <v>Exceso Velocidad 30 Km/h (Velocidad máxima: 33 kmh)</v>
      </c>
      <c r="O1616" s="42" t="str">
        <f>IF(Data!V1614&lt;&gt;"",N1616,Data!W1614)</f>
        <v>Exceso Velocidad 30 Km/h (Velocidad máxima: 33 kmh)</v>
      </c>
      <c r="P1616" s="47" t="str">
        <f>Data!X1614</f>
        <v>Válido</v>
      </c>
    </row>
    <row r="1617" spans="1:16">
      <c r="A1617" s="41" t="str">
        <f>Data!A1615</f>
        <v>QLT551</v>
      </c>
      <c r="B1617" s="41" t="str">
        <f>Data!D1615</f>
        <v>Vehicle, Diesel, Frontera Energy Col 2679</v>
      </c>
      <c r="C1617" s="41">
        <f>Data!F1615</f>
        <v>0</v>
      </c>
      <c r="D1617" s="41">
        <f>Data!G1615</f>
        <v>0</v>
      </c>
      <c r="E1617" s="41">
        <f>Data!H1615</f>
        <v>0</v>
      </c>
      <c r="F1617" s="41">
        <f>Data!K1615</f>
        <v>0</v>
      </c>
      <c r="G1617" s="33" t="str">
        <f>Data!M1615</f>
        <v>Exceso Velocidad 30 Km/h</v>
      </c>
      <c r="H1617" s="41" t="str">
        <f>Data!P1615</f>
        <v>ECOPETROL RUBIALES- Quifa - CAÑO SUR, Puerto Triunfo - Estacion Policia: Puerto Gaitan - Rubiales, Puerto Gaitán, Meta, Colombia</v>
      </c>
      <c r="I1617" s="42" t="str">
        <f>Data!Q1615</f>
        <v>Cliente, Vel Max 40 Km/h, Vel Max 30 Km/h</v>
      </c>
      <c r="J1617" s="43">
        <f>Data!S1615</f>
        <v>46174.434347997689</v>
      </c>
      <c r="K1617" s="44">
        <f>Data!S1615</f>
        <v>46174.434347997689</v>
      </c>
      <c r="L1617" s="45">
        <f>Data!T1615</f>
        <v>5.7511574074074077E-5</v>
      </c>
      <c r="M1617" s="46">
        <f>Data!U1615</f>
        <v>4.0878567844629288E-2</v>
      </c>
      <c r="N1617" s="46" t="str">
        <f>CONCATENATE(Data!W1615," (",Data!V1615,")")</f>
        <v>Exceso Velocidad 30 Km/h (Velocidad máxima: 33 kmh)</v>
      </c>
      <c r="O1617" s="42" t="str">
        <f>IF(Data!V1615&lt;&gt;"",N1617,Data!W1615)</f>
        <v>Exceso Velocidad 30 Km/h (Velocidad máxima: 33 kmh)</v>
      </c>
      <c r="P1617" s="47" t="str">
        <f>Data!X1615</f>
        <v>Válido</v>
      </c>
    </row>
    <row r="1618" spans="1:16">
      <c r="A1618" s="41" t="str">
        <f>Data!A1616</f>
        <v>QLT551</v>
      </c>
      <c r="B1618" s="41" t="str">
        <f>Data!D1616</f>
        <v>Vehicle, Diesel, Frontera Energy Col 2679</v>
      </c>
      <c r="C1618" s="41">
        <f>Data!F1616</f>
        <v>0</v>
      </c>
      <c r="D1618" s="41">
        <f>Data!G1616</f>
        <v>0</v>
      </c>
      <c r="E1618" s="41">
        <f>Data!H1616</f>
        <v>0</v>
      </c>
      <c r="F1618" s="41">
        <f>Data!K1616</f>
        <v>0</v>
      </c>
      <c r="G1618" s="33" t="str">
        <f>Data!M1616</f>
        <v>Exceso Velocidad 30 Km/h</v>
      </c>
      <c r="H1618" s="41" t="str">
        <f>Data!P1616</f>
        <v>ECOPETROL RUBIALES- Quifa - CAÑO SUR, Puerto Triunfo - Estacion Policia: Puerto Gaitan - Rubiales, Puerto Gaitán, Meta, Colombia</v>
      </c>
      <c r="I1618" s="42" t="str">
        <f>Data!Q1616</f>
        <v>Cliente, Vel Max 40 Km/h, Vel Max 30 Km/h</v>
      </c>
      <c r="J1618" s="43">
        <f>Data!S1616</f>
        <v>46174.434737650467</v>
      </c>
      <c r="K1618" s="44">
        <f>Data!S1616</f>
        <v>46174.434737650467</v>
      </c>
      <c r="L1618" s="45">
        <f>Data!T1616</f>
        <v>7.1377314814814819E-5</v>
      </c>
      <c r="M1618" s="46">
        <f>Data!U1616</f>
        <v>5.0696507096290588E-2</v>
      </c>
      <c r="N1618" s="46" t="str">
        <f>CONCATENATE(Data!W1616," (",Data!V1616,")")</f>
        <v>Exceso Velocidad 30 Km/h (Velocidad máxima: 31 kmh)</v>
      </c>
      <c r="O1618" s="42" t="str">
        <f>IF(Data!V1616&lt;&gt;"",N1618,Data!W1616)</f>
        <v>Exceso Velocidad 30 Km/h (Velocidad máxima: 31 kmh)</v>
      </c>
      <c r="P1618" s="47" t="str">
        <f>Data!X1616</f>
        <v>Válido</v>
      </c>
    </row>
    <row r="1619" spans="1:16">
      <c r="A1619" s="41" t="str">
        <f>Data!A1617</f>
        <v>QLT551</v>
      </c>
      <c r="B1619" s="41" t="str">
        <f>Data!D1617</f>
        <v>Vehicle, Diesel, Frontera Energy Col 2679</v>
      </c>
      <c r="C1619" s="41">
        <f>Data!F1617</f>
        <v>0</v>
      </c>
      <c r="D1619" s="41">
        <f>Data!G1617</f>
        <v>0</v>
      </c>
      <c r="E1619" s="41">
        <f>Data!H1617</f>
        <v>0</v>
      </c>
      <c r="F1619" s="41">
        <f>Data!K1617</f>
        <v>0</v>
      </c>
      <c r="G1619" s="33" t="str">
        <f>Data!M1617</f>
        <v>Exceso Velocidad 30 Km/h</v>
      </c>
      <c r="H1619" s="41" t="str">
        <f>Data!P1617</f>
        <v>ECOPETROL RUBIALES- Quifa - CAÑO SUR, Puerto Triunfo - Estacion Policia: Puerto Gaitan - Rubiales, Puerto Gaitán, Meta, Colombia</v>
      </c>
      <c r="I1619" s="42" t="str">
        <f>Data!Q1617</f>
        <v>Cliente, Vel Max 40 Km/h, Vel Max 30 Km/h</v>
      </c>
      <c r="J1619" s="43">
        <f>Data!S1617</f>
        <v>46174.43530258102</v>
      </c>
      <c r="K1619" s="44">
        <f>Data!S1617</f>
        <v>46174.43530258102</v>
      </c>
      <c r="L1619" s="45">
        <f>Data!T1617</f>
        <v>6.7789351851851851E-5</v>
      </c>
      <c r="M1619" s="46">
        <f>Data!U1617</f>
        <v>4.7406021505594254E-2</v>
      </c>
      <c r="N1619" s="46" t="str">
        <f>CONCATENATE(Data!W1617," (",Data!V1617,")")</f>
        <v>Exceso Velocidad 30 Km/h (Velocidad máxima: 31 kmh)</v>
      </c>
      <c r="O1619" s="42" t="str">
        <f>IF(Data!V1617&lt;&gt;"",N1619,Data!W1617)</f>
        <v>Exceso Velocidad 30 Km/h (Velocidad máxima: 31 kmh)</v>
      </c>
      <c r="P1619" s="47" t="str">
        <f>Data!X1617</f>
        <v>Válido</v>
      </c>
    </row>
    <row r="1620" spans="1:16">
      <c r="A1620" s="41" t="str">
        <f>Data!A1618</f>
        <v>QLT551</v>
      </c>
      <c r="B1620" s="41" t="str">
        <f>Data!D1618</f>
        <v>Vehicle, Diesel, Frontera Energy Col 2679</v>
      </c>
      <c r="C1620" s="41">
        <f>Data!F1618</f>
        <v>0</v>
      </c>
      <c r="D1620" s="41">
        <f>Data!G1618</f>
        <v>0</v>
      </c>
      <c r="E1620" s="41">
        <f>Data!H1618</f>
        <v>0</v>
      </c>
      <c r="F1620" s="41">
        <f>Data!K1618</f>
        <v>0</v>
      </c>
      <c r="G1620" s="33" t="str">
        <f>Data!M1618</f>
        <v>Exceso Velocidad 30 Km/h</v>
      </c>
      <c r="H1620" s="41" t="str">
        <f>Data!P1618</f>
        <v>ECOPETROL RUBIALES- Quifa - CAÑO SUR, Puerto Triunfo - Estacion Policia: Puerto Gaitan - Rubiales, Puerto Gaitán, Meta, Colombia</v>
      </c>
      <c r="I1620" s="42" t="str">
        <f>Data!Q1618</f>
        <v>Cliente, Vel Max 40 Km/h, Vel Max 30 Km/h</v>
      </c>
      <c r="J1620" s="43">
        <f>Data!S1618</f>
        <v>46174.435752314814</v>
      </c>
      <c r="K1620" s="44">
        <f>Data!S1618</f>
        <v>46174.435752314814</v>
      </c>
      <c r="L1620" s="45">
        <f>Data!T1618</f>
        <v>3.9687500000000002E-5</v>
      </c>
      <c r="M1620" s="46">
        <f>Data!U1618</f>
        <v>2.7887504547834396E-2</v>
      </c>
      <c r="N1620" s="46" t="str">
        <f>CONCATENATE(Data!W1618," (",Data!V1618,")")</f>
        <v>Exceso Velocidad 30 Km/h (Velocidad máxima: 31 kmh)</v>
      </c>
      <c r="O1620" s="42" t="str">
        <f>IF(Data!V1618&lt;&gt;"",N1620,Data!W1618)</f>
        <v>Exceso Velocidad 30 Km/h (Velocidad máxima: 31 kmh)</v>
      </c>
      <c r="P1620" s="47" t="str">
        <f>Data!X1618</f>
        <v>Válido</v>
      </c>
    </row>
    <row r="1621" spans="1:16">
      <c r="A1621" s="41" t="str">
        <f>Data!A1619</f>
        <v>QLT551</v>
      </c>
      <c r="B1621" s="41" t="str">
        <f>Data!D1619</f>
        <v>Vehicle, Diesel, Frontera Energy Col 2679</v>
      </c>
      <c r="C1621" s="41">
        <f>Data!F1619</f>
        <v>0</v>
      </c>
      <c r="D1621" s="41">
        <f>Data!G1619</f>
        <v>0</v>
      </c>
      <c r="E1621" s="41">
        <f>Data!H1619</f>
        <v>0</v>
      </c>
      <c r="F1621" s="41">
        <f>Data!K1619</f>
        <v>0</v>
      </c>
      <c r="G1621" s="33" t="str">
        <f>Data!M1619</f>
        <v>Exceso Velocidad 30 Km/h</v>
      </c>
      <c r="H1621" s="41" t="str">
        <f>Data!P1619</f>
        <v>ECOPETROL RUBIALES- Quifa - CAÑO SUR, Puerto Triunfo - Estacion Policia: Puerto Gaitan - Rubiales, Puerto Gaitán, Meta, Colombia</v>
      </c>
      <c r="I1621" s="42" t="str">
        <f>Data!Q1619</f>
        <v>Cliente, Vel Max 40 Km/h, Vel Max 30 Km/h</v>
      </c>
      <c r="J1621" s="43">
        <f>Data!S1619</f>
        <v>46174.435899467593</v>
      </c>
      <c r="K1621" s="44">
        <f>Data!S1619</f>
        <v>46174.435899467593</v>
      </c>
      <c r="L1621" s="45">
        <f>Data!T1619</f>
        <v>2.8494212962962962E-4</v>
      </c>
      <c r="M1621" s="46">
        <f>Data!U1619</f>
        <v>0.22751016914844513</v>
      </c>
      <c r="N1621" s="46" t="str">
        <f>CONCATENATE(Data!W1619," (",Data!V1619,")")</f>
        <v>Exceso Velocidad 30 Km/h (Velocidad máxima: 35 kmh)</v>
      </c>
      <c r="O1621" s="42" t="str">
        <f>IF(Data!V1619&lt;&gt;"",N1621,Data!W1619)</f>
        <v>Exceso Velocidad 30 Km/h (Velocidad máxima: 35 kmh)</v>
      </c>
      <c r="P1621" s="47" t="str">
        <f>Data!X1619</f>
        <v>Válido</v>
      </c>
    </row>
    <row r="1622" spans="1:16">
      <c r="A1622" s="41" t="str">
        <f>Data!A1620</f>
        <v>QLT551</v>
      </c>
      <c r="B1622" s="41" t="str">
        <f>Data!D1620</f>
        <v>Vehicle, Diesel, Frontera Energy Col 2679</v>
      </c>
      <c r="C1622" s="41">
        <f>Data!F1620</f>
        <v>0</v>
      </c>
      <c r="D1622" s="41">
        <f>Data!G1620</f>
        <v>0</v>
      </c>
      <c r="E1622" s="41">
        <f>Data!H1620</f>
        <v>0</v>
      </c>
      <c r="F1622" s="41">
        <f>Data!K1620</f>
        <v>0</v>
      </c>
      <c r="G1622" s="33" t="str">
        <f>Data!M1620</f>
        <v>Exceso Velocidad 10 Km/h</v>
      </c>
      <c r="H1622" s="41" t="str">
        <f>Data!P1620</f>
        <v>ECOPETROL RUBIALES- Quifa - CAÑO SUR, Puerto Triunfo - Estacion Policia, PUESTRO CONTROL QUIFA: Puerto Gaitan - Rubiales, Puerto Gaitán, Meta, Colombia</v>
      </c>
      <c r="I1622" s="42" t="str">
        <f>Data!Q1620</f>
        <v>Cliente, Vel Max 40 Km/h, Vel Max 30 Km/h, Vel Max 10 Km/h</v>
      </c>
      <c r="J1622" s="43">
        <f>Data!S1620</f>
        <v>46174.436354293983</v>
      </c>
      <c r="K1622" s="44">
        <f>Data!S1620</f>
        <v>46174.436354293983</v>
      </c>
      <c r="L1622" s="45">
        <f>Data!T1620</f>
        <v>2.9814814814814813E-4</v>
      </c>
      <c r="M1622" s="46">
        <f>Data!U1620</f>
        <v>0.18426238000392914</v>
      </c>
      <c r="N1622" s="46" t="str">
        <f>CONCATENATE(Data!W1620," (",Data!V1620,")")</f>
        <v>Exceso Velocidad 10 Km/h (Velocidad máxima: 29 kmh)</v>
      </c>
      <c r="O1622" s="42" t="str">
        <f>IF(Data!V1620&lt;&gt;"",N1622,Data!W1620)</f>
        <v>Exceso Velocidad 10 Km/h (Velocidad máxima: 29 kmh)</v>
      </c>
      <c r="P1622" s="47" t="str">
        <f>Data!X1620</f>
        <v>Válido</v>
      </c>
    </row>
    <row r="1623" spans="1:16">
      <c r="A1623" s="41" t="str">
        <f>Data!A1621</f>
        <v>QLT551</v>
      </c>
      <c r="B1623" s="41" t="str">
        <f>Data!D1621</f>
        <v>Vehicle, Diesel, Frontera Energy Col 2679</v>
      </c>
      <c r="C1623" s="41">
        <f>Data!F1621</f>
        <v>0</v>
      </c>
      <c r="D1623" s="41">
        <f>Data!G1621</f>
        <v>0</v>
      </c>
      <c r="E1623" s="41">
        <f>Data!H1621</f>
        <v>0</v>
      </c>
      <c r="F1623" s="41">
        <f>Data!K1621</f>
        <v>0</v>
      </c>
      <c r="G1623" s="33" t="str">
        <f>Data!M1621</f>
        <v>Exceso Velocidad 30 Km/h</v>
      </c>
      <c r="H1623" s="41" t="str">
        <f>Data!P1621</f>
        <v>ECOPETROL RUBIALES- Quifa - CAÑO SUR, Puerto Triunfo - Estacion Policia: Puerto Gaitan - Rubiales, Puerto Gaitán, Meta, Colombia</v>
      </c>
      <c r="I1623" s="42" t="str">
        <f>Data!Q1621</f>
        <v>Cliente, Vel Max 40 Km/h, Vel Max 30 Km/h</v>
      </c>
      <c r="J1623" s="43">
        <f>Data!S1621</f>
        <v>46174.436879629633</v>
      </c>
      <c r="K1623" s="44">
        <f>Data!S1621</f>
        <v>46174.436879629633</v>
      </c>
      <c r="L1623" s="45">
        <f>Data!T1621</f>
        <v>1.1111111111111112E-4</v>
      </c>
      <c r="M1623" s="46">
        <f>Data!U1621</f>
        <v>7.8060127794742584E-2</v>
      </c>
      <c r="N1623" s="46" t="str">
        <f>CONCATENATE(Data!W1621," (",Data!V1621,")")</f>
        <v>Exceso Velocidad 30 Km/h (Velocidad máxima: 33 kmh)</v>
      </c>
      <c r="O1623" s="42" t="str">
        <f>IF(Data!V1621&lt;&gt;"",N1623,Data!W1621)</f>
        <v>Exceso Velocidad 30 Km/h (Velocidad máxima: 33 kmh)</v>
      </c>
      <c r="P1623" s="47" t="str">
        <f>Data!X1621</f>
        <v>Válido</v>
      </c>
    </row>
    <row r="1624" spans="1:16">
      <c r="A1624" s="41" t="str">
        <f>Data!A1622</f>
        <v>QLT551</v>
      </c>
      <c r="B1624" s="41" t="str">
        <f>Data!D1622</f>
        <v>Vehicle, Diesel, Frontera Energy Col 2679</v>
      </c>
      <c r="C1624" s="41">
        <f>Data!F1622</f>
        <v>0</v>
      </c>
      <c r="D1624" s="41">
        <f>Data!G1622</f>
        <v>0</v>
      </c>
      <c r="E1624" s="41">
        <f>Data!H1622</f>
        <v>0</v>
      </c>
      <c r="F1624" s="41">
        <f>Data!K1622</f>
        <v>0</v>
      </c>
      <c r="G1624" s="33" t="str">
        <f>Data!M1622</f>
        <v>Exceso Velocidad 30 Km/h</v>
      </c>
      <c r="H1624" s="41" t="str">
        <f>Data!P1622</f>
        <v>ECOPETROL RUBIALES- Quifa - CAÑO SUR, Puerto Triunfo - Estacion Policia: Puerto Gaitan - Rubiales, Puerto Gaitán, Meta, Colombia</v>
      </c>
      <c r="I1624" s="42" t="str">
        <f>Data!Q1622</f>
        <v>Cliente, Vel Max 40 Km/h, Vel Max 30 Km/h</v>
      </c>
      <c r="J1624" s="43">
        <f>Data!S1622</f>
        <v>46174.437063495374</v>
      </c>
      <c r="K1624" s="44">
        <f>Data!S1622</f>
        <v>46174.437063495374</v>
      </c>
      <c r="L1624" s="45">
        <f>Data!T1622</f>
        <v>3.9131944444444446E-5</v>
      </c>
      <c r="M1624" s="46">
        <f>Data!U1622</f>
        <v>2.7074873447418213E-2</v>
      </c>
      <c r="N1624" s="46" t="str">
        <f>CONCATENATE(Data!W1622," (",Data!V1622,")")</f>
        <v>Exceso Velocidad 30 Km/h (Velocidad máxima: 33 kmh)</v>
      </c>
      <c r="O1624" s="42" t="str">
        <f>IF(Data!V1622&lt;&gt;"",N1624,Data!W1622)</f>
        <v>Exceso Velocidad 30 Km/h (Velocidad máxima: 33 kmh)</v>
      </c>
      <c r="P1624" s="47" t="str">
        <f>Data!X1622</f>
        <v>Válido</v>
      </c>
    </row>
    <row r="1625" spans="1:16">
      <c r="A1625" s="41" t="str">
        <f>Data!A1623</f>
        <v>QLT551</v>
      </c>
      <c r="B1625" s="41" t="str">
        <f>Data!D1623</f>
        <v>Vehicle, Diesel, Frontera Energy Col 2679</v>
      </c>
      <c r="C1625" s="41">
        <f>Data!F1623</f>
        <v>0</v>
      </c>
      <c r="D1625" s="41">
        <f>Data!G1623</f>
        <v>0</v>
      </c>
      <c r="E1625" s="41">
        <f>Data!H1623</f>
        <v>0</v>
      </c>
      <c r="F1625" s="41">
        <f>Data!K1623</f>
        <v>0</v>
      </c>
      <c r="G1625" s="33" t="str">
        <f>Data!M1623</f>
        <v>Exceso Velocidad 30 Km/h</v>
      </c>
      <c r="H1625" s="41" t="str">
        <f>Data!P1623</f>
        <v>ECOPETROL RUBIALES- Quifa - CAÑO SUR, Puerto Triunfo - Estacion Policia: Puerto Gaitan - Rubiales, Puerto Gaitán, Meta, Colombia</v>
      </c>
      <c r="I1625" s="42" t="str">
        <f>Data!Q1623</f>
        <v>Cliente, Vel Max 40 Km/h, Vel Max 30 Km/h</v>
      </c>
      <c r="J1625" s="43">
        <f>Data!S1623</f>
        <v>46174.437407407408</v>
      </c>
      <c r="K1625" s="44">
        <f>Data!S1623</f>
        <v>46174.437407407408</v>
      </c>
      <c r="L1625" s="45">
        <f>Data!T1623</f>
        <v>5.3240740740740744E-5</v>
      </c>
      <c r="M1625" s="46">
        <f>Data!U1623</f>
        <v>3.7417244166135788E-2</v>
      </c>
      <c r="N1625" s="46" t="str">
        <f>CONCATENATE(Data!W1623," (",Data!V1623,")")</f>
        <v>Exceso Velocidad 30 Km/h (Velocidad máxima: 31 kmh)</v>
      </c>
      <c r="O1625" s="42" t="str">
        <f>IF(Data!V1623&lt;&gt;"",N1625,Data!W1623)</f>
        <v>Exceso Velocidad 30 Km/h (Velocidad máxima: 31 kmh)</v>
      </c>
      <c r="P1625" s="47" t="str">
        <f>Data!X1623</f>
        <v>Válido</v>
      </c>
    </row>
    <row r="1626" spans="1:16">
      <c r="A1626" s="41" t="str">
        <f>Data!A1624</f>
        <v>QLT551</v>
      </c>
      <c r="B1626" s="41" t="str">
        <f>Data!D1624</f>
        <v>Vehicle, Diesel, Frontera Energy Col 2679</v>
      </c>
      <c r="C1626" s="41">
        <f>Data!F1624</f>
        <v>0</v>
      </c>
      <c r="D1626" s="41">
        <f>Data!G1624</f>
        <v>0</v>
      </c>
      <c r="E1626" s="41">
        <f>Data!H1624</f>
        <v>0</v>
      </c>
      <c r="F1626" s="41">
        <f>Data!K1624</f>
        <v>0</v>
      </c>
      <c r="G1626" s="33" t="str">
        <f>Data!M1624</f>
        <v>Exceso Velocidad 30 Km/h</v>
      </c>
      <c r="H1626" s="41" t="str">
        <f>Data!P1624</f>
        <v>ECOPETROL RUBIALES- Quifa - CAÑO SUR, Puerto Triunfo - Estacion Policia: Puerto Gaitan - Rubiales, Puerto Gaitán, Meta, Colombia</v>
      </c>
      <c r="I1626" s="42" t="str">
        <f>Data!Q1624</f>
        <v>Cliente, Vel Max 40 Km/h, Vel Max 30 Km/h</v>
      </c>
      <c r="J1626" s="43">
        <f>Data!S1624</f>
        <v>46174.437631944442</v>
      </c>
      <c r="K1626" s="44">
        <f>Data!S1624</f>
        <v>46174.437631944442</v>
      </c>
      <c r="L1626" s="45">
        <f>Data!T1624</f>
        <v>3.4837962962962964E-4</v>
      </c>
      <c r="M1626" s="46">
        <f>Data!U1624</f>
        <v>0.26441407203674316</v>
      </c>
      <c r="N1626" s="46" t="str">
        <f>CONCATENATE(Data!W1624," (",Data!V1624,")")</f>
        <v>Exceso Velocidad 30 Km/h (Velocidad máxima: 33 kmh)</v>
      </c>
      <c r="O1626" s="42" t="str">
        <f>IF(Data!V1624&lt;&gt;"",N1626,Data!W1624)</f>
        <v>Exceso Velocidad 30 Km/h (Velocidad máxima: 33 kmh)</v>
      </c>
      <c r="P1626" s="47" t="str">
        <f>Data!X1624</f>
        <v>Válido</v>
      </c>
    </row>
    <row r="1627" spans="1:16">
      <c r="A1627" s="41" t="str">
        <f>Data!A1625</f>
        <v>QLT551</v>
      </c>
      <c r="B1627" s="41" t="str">
        <f>Data!D1625</f>
        <v>Vehicle, Diesel, Frontera Energy Col 2679</v>
      </c>
      <c r="C1627" s="41">
        <f>Data!F1625</f>
        <v>0</v>
      </c>
      <c r="D1627" s="41">
        <f>Data!G1625</f>
        <v>0</v>
      </c>
      <c r="E1627" s="41">
        <f>Data!H1625</f>
        <v>0</v>
      </c>
      <c r="F1627" s="41">
        <f>Data!K1625</f>
        <v>0</v>
      </c>
      <c r="G1627" s="33" t="str">
        <f>Data!M1625</f>
        <v>Exceso Velocidad 10 Km/h</v>
      </c>
      <c r="H1627" s="41" t="str">
        <f>Data!P1625</f>
        <v>CAMPAMENTO QUIFA, ECOPETROL RUBIALES- Quifa - CAÑO SUR, Puerto Gaitan - Rubiales, Puerto Gaitán, Meta, Colombia, Puerto Triunfo - Estacion Policia: Ent. CAMPAMENTO, Puerto Gaitán, Meta, Colombia</v>
      </c>
      <c r="I1627" s="42" t="str">
        <f>Data!Q1625</f>
        <v>Vel Max 10 Km/h, Cliente, Vel Max 40 Km/h, Centro de servicios del proveedor, Vel Max 30 Km/h</v>
      </c>
      <c r="J1627" s="43">
        <f>Data!S1625</f>
        <v>46174.438433842595</v>
      </c>
      <c r="K1627" s="44">
        <f>Data!S1625</f>
        <v>46174.438433842595</v>
      </c>
      <c r="L1627" s="45">
        <f>Data!T1625</f>
        <v>3.6724537037037036E-5</v>
      </c>
      <c r="M1627" s="46">
        <f>Data!U1625</f>
        <v>1.1661798693239689E-2</v>
      </c>
      <c r="N1627" s="46" t="str">
        <f>CONCATENATE(Data!W1625," (",Data!V1625,")")</f>
        <v>Exceso Velocidad 10 Km/h (Velocidad máxima: 15 kmh)</v>
      </c>
      <c r="O1627" s="42" t="str">
        <f>IF(Data!V1625&lt;&gt;"",N1627,Data!W1625)</f>
        <v>Exceso Velocidad 10 Km/h (Velocidad máxima: 15 kmh)</v>
      </c>
      <c r="P1627" s="47" t="str">
        <f>Data!X1625</f>
        <v>Válido</v>
      </c>
    </row>
    <row r="1628" spans="1:16">
      <c r="A1628" s="41" t="str">
        <f>Data!A1626</f>
        <v>QLT551</v>
      </c>
      <c r="B1628" s="41" t="str">
        <f>Data!D1626</f>
        <v>Vehicle, Diesel, Frontera Energy Col 2679</v>
      </c>
      <c r="C1628" s="41">
        <f>Data!F1626</f>
        <v>0</v>
      </c>
      <c r="D1628" s="41">
        <f>Data!G1626</f>
        <v>0</v>
      </c>
      <c r="E1628" s="41">
        <f>Data!H1626</f>
        <v>0</v>
      </c>
      <c r="F1628" s="41">
        <f>Data!K1626</f>
        <v>0</v>
      </c>
      <c r="G1628" s="33" t="str">
        <f>Data!M1626</f>
        <v>Exceso Velocidad 10 Km/h</v>
      </c>
      <c r="H1628" s="41" t="str">
        <f>Data!P1626</f>
        <v>CAMPAMENTO QUIFA, ECOPETROL RUBIALES- Quifa - CAÑO SUR, Puerto Gaitan - Rubiales, Puerto Gaitán, Meta, Colombia, Campamento Quifa - CMA: Ent. CAMPAMENTO, Puerto Gaitán, Meta, Colombia</v>
      </c>
      <c r="I1628" s="42" t="str">
        <f>Data!Q1626</f>
        <v>Vel Max 10 Km/h, Cliente, Vel Max 40 Km/h, Centro de servicios del proveedor</v>
      </c>
      <c r="J1628" s="43">
        <f>Data!S1626</f>
        <v>46174.438531747684</v>
      </c>
      <c r="K1628" s="44">
        <f>Data!S1626</f>
        <v>46174.438531747684</v>
      </c>
      <c r="L1628" s="45">
        <f>Data!T1626</f>
        <v>4.3430555555555556E-4</v>
      </c>
      <c r="M1628" s="46">
        <f>Data!U1626</f>
        <v>0.12113858759403229</v>
      </c>
      <c r="N1628" s="46" t="str">
        <f>CONCATENATE(Data!W1626," (",Data!V1626,")")</f>
        <v>Exceso Velocidad 10 Km/h (Velocidad máxima: 13 kmh)</v>
      </c>
      <c r="O1628" s="42" t="str">
        <f>IF(Data!V1626&lt;&gt;"",N1628,Data!W1626)</f>
        <v>Exceso Velocidad 10 Km/h (Velocidad máxima: 13 kmh)</v>
      </c>
      <c r="P1628" s="47" t="str">
        <f>Data!X1626</f>
        <v>Válido</v>
      </c>
    </row>
    <row r="1629" spans="1:16">
      <c r="A1629" s="41" t="str">
        <f>Data!A1627</f>
        <v>QLT551</v>
      </c>
      <c r="B1629" s="41" t="str">
        <f>Data!D1627</f>
        <v>Vehicle, Diesel, Frontera Energy Col 2679</v>
      </c>
      <c r="C1629" s="41">
        <f>Data!F1627</f>
        <v>0</v>
      </c>
      <c r="D1629" s="41">
        <f>Data!G1627</f>
        <v>0</v>
      </c>
      <c r="E1629" s="41">
        <f>Data!H1627</f>
        <v>0</v>
      </c>
      <c r="F1629" s="41">
        <f>Data!K1627</f>
        <v>0</v>
      </c>
      <c r="G1629" s="33" t="str">
        <f>Data!M1627</f>
        <v>Tiempo en ralentí</v>
      </c>
      <c r="H1629" s="41" t="str">
        <f>Data!P1627</f>
        <v>CAMPAMENTO QUIFA, ECOPETROL RUBIALES- Quifa - CAÑO SUR, Campamento Quifa - CMA: Ent. CAMPAMENTO, Puerto Gaitán, Meta, Colombia</v>
      </c>
      <c r="I1629" s="42" t="str">
        <f>Data!Q1627</f>
        <v>Vel Max 10 Km/h, Cliente, Vel Max 40 Km/h</v>
      </c>
      <c r="J1629" s="43">
        <f>Data!S1627</f>
        <v>46174.439444444448</v>
      </c>
      <c r="K1629" s="44">
        <f>Data!S1627</f>
        <v>46174.439444444448</v>
      </c>
      <c r="L1629" s="45">
        <f>Data!T1627</f>
        <v>4.9665856481481479E-3</v>
      </c>
      <c r="M1629" s="46">
        <f>Data!U1627</f>
        <v>1.292597851715982E-3</v>
      </c>
      <c r="N1629" s="46" t="str">
        <f>CONCATENATE(Data!W1627," (",Data!V1627,")")</f>
        <v>Tiempo en ralentí (Ignición: 1.00)</v>
      </c>
      <c r="O1629" s="42" t="str">
        <f>IF(Data!V1627&lt;&gt;"",N1629,Data!W1627)</f>
        <v>Tiempo en ralentí (Ignición: 1.00)</v>
      </c>
      <c r="P1629" s="47" t="str">
        <f>Data!X1627</f>
        <v>Válido</v>
      </c>
    </row>
    <row r="1630" spans="1:16">
      <c r="A1630" s="41" t="str">
        <f>Data!A1628</f>
        <v>QLT551</v>
      </c>
      <c r="B1630" s="41" t="str">
        <f>Data!D1628</f>
        <v>Vehicle, Diesel, Frontera Energy Col 2679</v>
      </c>
      <c r="C1630" s="41">
        <f>Data!F1628</f>
        <v>0</v>
      </c>
      <c r="D1630" s="41">
        <f>Data!G1628</f>
        <v>0</v>
      </c>
      <c r="E1630" s="41">
        <f>Data!H1628</f>
        <v>0</v>
      </c>
      <c r="F1630" s="41">
        <f>Data!K1628</f>
        <v>0</v>
      </c>
      <c r="G1630" s="33" t="str">
        <f>Data!M1628</f>
        <v>Exceso Velocidad 10 Km/h</v>
      </c>
      <c r="H1630" s="41" t="str">
        <f>Data!P1628</f>
        <v>CAMPAMENTO QUIFA, ECOPETROL RUBIALES- Quifa - CAÑO SUR, Campamento Quifa - CMA: Ent. CAMPAMENTO, Puerto Gaitán, Meta, Colombia</v>
      </c>
      <c r="I1630" s="42" t="str">
        <f>Data!Q1628</f>
        <v>Vel Max 10 Km/h, Cliente, Vel Max 40 Km/h</v>
      </c>
      <c r="J1630" s="43">
        <f>Data!S1628</f>
        <v>46174.488150462967</v>
      </c>
      <c r="K1630" s="44">
        <f>Data!S1628</f>
        <v>46174.488150462967</v>
      </c>
      <c r="L1630" s="45">
        <f>Data!T1628</f>
        <v>6.712962962962963E-5</v>
      </c>
      <c r="M1630" s="46">
        <f>Data!U1628</f>
        <v>1.6083290800452232E-2</v>
      </c>
      <c r="N1630" s="46" t="str">
        <f>CONCATENATE(Data!W1628," (",Data!V1628,")")</f>
        <v>Exceso Velocidad 10 Km/h (Velocidad máxima: 11 kmh)</v>
      </c>
      <c r="O1630" s="42" t="str">
        <f>IF(Data!V1628&lt;&gt;"",N1630,Data!W1628)</f>
        <v>Exceso Velocidad 10 Km/h (Velocidad máxima: 11 kmh)</v>
      </c>
      <c r="P1630" s="47" t="str">
        <f>Data!X1628</f>
        <v>Válido</v>
      </c>
    </row>
    <row r="1631" spans="1:16">
      <c r="A1631" s="41" t="str">
        <f>Data!A1629</f>
        <v>QLT551</v>
      </c>
      <c r="B1631" s="41" t="str">
        <f>Data!D1629</f>
        <v>Vehicle, Diesel, Frontera Energy Col 2679</v>
      </c>
      <c r="C1631" s="41">
        <f>Data!F1629</f>
        <v>0</v>
      </c>
      <c r="D1631" s="41">
        <f>Data!G1629</f>
        <v>0</v>
      </c>
      <c r="E1631" s="41">
        <f>Data!H1629</f>
        <v>0</v>
      </c>
      <c r="F1631" s="41">
        <f>Data!K1629</f>
        <v>0</v>
      </c>
      <c r="G1631" s="33" t="str">
        <f>Data!M1629</f>
        <v>Exceso Velocidad 10 Km/h</v>
      </c>
      <c r="H1631" s="41" t="str">
        <f>Data!P1629</f>
        <v>CAMPAMENTO QUIFA, ECOPETROL RUBIALES- Quifa - CAÑO SUR, Puerto Gaitan - Rubiales, Puerto Gaitán, Meta, Colombia, Puerto Triunfo - Estacion Policia: Ent. CAMPAMENTO, Puerto Gaitán, Meta, Colombia</v>
      </c>
      <c r="I1631" s="42" t="str">
        <f>Data!Q1629</f>
        <v>Vel Max 10 Km/h, Cliente, Vel Max 40 Km/h, Centro de servicios del proveedor, Vel Max 30 Km/h</v>
      </c>
      <c r="J1631" s="43">
        <f>Data!S1629</f>
        <v>46174.489039351851</v>
      </c>
      <c r="K1631" s="44">
        <f>Data!S1629</f>
        <v>46174.489039351851</v>
      </c>
      <c r="L1631" s="45">
        <f>Data!T1629</f>
        <v>1.5937500000000001E-5</v>
      </c>
      <c r="M1631" s="46">
        <f>Data!U1629</f>
        <v>3.6319349892437458E-3</v>
      </c>
      <c r="N1631" s="46" t="str">
        <f>CONCATENATE(Data!W1629," (",Data!V1629,")")</f>
        <v>Exceso Velocidad 10 Km/h (Velocidad máxima: 11 kmh)</v>
      </c>
      <c r="O1631" s="42" t="str">
        <f>IF(Data!V1629&lt;&gt;"",N1631,Data!W1629)</f>
        <v>Exceso Velocidad 10 Km/h (Velocidad máxima: 11 kmh)</v>
      </c>
      <c r="P1631" s="47" t="str">
        <f>Data!X1629</f>
        <v>Válido</v>
      </c>
    </row>
    <row r="1632" spans="1:16">
      <c r="A1632" s="41" t="str">
        <f>Data!A1630</f>
        <v>QLT551</v>
      </c>
      <c r="B1632" s="41" t="str">
        <f>Data!D1630</f>
        <v>Vehicle, Diesel, Frontera Energy Col 2679</v>
      </c>
      <c r="C1632" s="41">
        <f>Data!F1630</f>
        <v>0</v>
      </c>
      <c r="D1632" s="41">
        <f>Data!G1630</f>
        <v>0</v>
      </c>
      <c r="E1632" s="41">
        <f>Data!H1630</f>
        <v>0</v>
      </c>
      <c r="F1632" s="41">
        <f>Data!K1630</f>
        <v>0</v>
      </c>
      <c r="G1632" s="33" t="str">
        <f>Data!M1630</f>
        <v>Exceso Velocidad 10 Km/h</v>
      </c>
      <c r="H1632" s="41" t="str">
        <f>Data!P1630</f>
        <v>ECOPETROL RUBIALES- Quifa - CAÑO SUR, Puerto Triunfo - Estacion Policia, PUESTRO CONTROL QUIFA: Puerto Gaitan - Rubiales, Puerto Gaitán, Meta, Colombia</v>
      </c>
      <c r="I1632" s="42" t="str">
        <f>Data!Q1630</f>
        <v>Cliente, Vel Max 40 Km/h, Vel Max 30 Km/h, Vel Max 10 Km/h</v>
      </c>
      <c r="J1632" s="43">
        <f>Data!S1630</f>
        <v>46174.491197152776</v>
      </c>
      <c r="K1632" s="44">
        <f>Data!S1630</f>
        <v>46174.491197152776</v>
      </c>
      <c r="L1632" s="45">
        <f>Data!T1630</f>
        <v>3.5674768518518521E-4</v>
      </c>
      <c r="M1632" s="46">
        <f>Data!U1630</f>
        <v>0.18386624753475189</v>
      </c>
      <c r="N1632" s="46" t="str">
        <f>CONCATENATE(Data!W1630," (",Data!V1630,")")</f>
        <v>Exceso Velocidad 10 Km/h (Velocidad máxima: 28 kmh)</v>
      </c>
      <c r="O1632" s="42" t="str">
        <f>IF(Data!V1630&lt;&gt;"",N1632,Data!W1630)</f>
        <v>Exceso Velocidad 10 Km/h (Velocidad máxima: 28 kmh)</v>
      </c>
      <c r="P1632" s="47" t="str">
        <f>Data!X1630</f>
        <v>Válido</v>
      </c>
    </row>
    <row r="1633" spans="1:16">
      <c r="A1633" s="41" t="str">
        <f>Data!A1631</f>
        <v>QLT551</v>
      </c>
      <c r="B1633" s="41" t="str">
        <f>Data!D1631</f>
        <v>Vehicle, Diesel, Frontera Energy Col 2679</v>
      </c>
      <c r="C1633" s="41">
        <f>Data!F1631</f>
        <v>0</v>
      </c>
      <c r="D1633" s="41">
        <f>Data!G1631</f>
        <v>0</v>
      </c>
      <c r="E1633" s="41">
        <f>Data!H1631</f>
        <v>0</v>
      </c>
      <c r="F1633" s="41">
        <f>Data!K1631</f>
        <v>0</v>
      </c>
      <c r="G1633" s="33" t="str">
        <f>Data!M1631</f>
        <v>Exceso Velocidad 30 Km/h</v>
      </c>
      <c r="H1633" s="41" t="str">
        <f>Data!P1631</f>
        <v>ECOPETROL RUBIALES- Quifa - CAÑO SUR, Puerto Triunfo - Estacion Policia: Puerto Gaitan - Rubiales, Puerto Gaitán, Meta, Colombia</v>
      </c>
      <c r="I1633" s="42" t="str">
        <f>Data!Q1631</f>
        <v>Cliente, Vel Max 40 Km/h, Vel Max 30 Km/h</v>
      </c>
      <c r="J1633" s="43">
        <f>Data!S1631</f>
        <v>46174.491788194544</v>
      </c>
      <c r="K1633" s="44">
        <f>Data!S1631</f>
        <v>46174.491788194544</v>
      </c>
      <c r="L1633" s="45">
        <f>Data!T1631</f>
        <v>2.3410879629629631E-4</v>
      </c>
      <c r="M1633" s="46">
        <f>Data!U1631</f>
        <v>0.17949581146240234</v>
      </c>
      <c r="N1633" s="46" t="str">
        <f>CONCATENATE(Data!W1631," (",Data!V1631,")")</f>
        <v>Exceso Velocidad 30 Km/h (Velocidad máxima: 31 kmh)</v>
      </c>
      <c r="O1633" s="42" t="str">
        <f>IF(Data!V1631&lt;&gt;"",N1633,Data!W1631)</f>
        <v>Exceso Velocidad 30 Km/h (Velocidad máxima: 31 kmh)</v>
      </c>
      <c r="P1633" s="47" t="str">
        <f>Data!X1631</f>
        <v>Válido</v>
      </c>
    </row>
    <row r="1634" spans="1:16">
      <c r="A1634" s="41" t="str">
        <f>Data!A1632</f>
        <v>QLT551</v>
      </c>
      <c r="B1634" s="41" t="str">
        <f>Data!D1632</f>
        <v>Vehicle, Diesel, Frontera Energy Col 2679</v>
      </c>
      <c r="C1634" s="41">
        <f>Data!F1632</f>
        <v>0</v>
      </c>
      <c r="D1634" s="41">
        <f>Data!G1632</f>
        <v>0</v>
      </c>
      <c r="E1634" s="41">
        <f>Data!H1632</f>
        <v>0</v>
      </c>
      <c r="F1634" s="41">
        <f>Data!K1632</f>
        <v>0</v>
      </c>
      <c r="G1634" s="33" t="str">
        <f>Data!M1632</f>
        <v>Exceso Velocidad 30 Km/h</v>
      </c>
      <c r="H1634" s="41" t="str">
        <f>Data!P1632</f>
        <v>ECOPETROL RUBIALES- Quifa - CAÑO SUR, Puerto Triunfo - Estacion Policia: Puerto Gaitan - Rubiales, Puerto Gaitán, Meta, Colombia</v>
      </c>
      <c r="I1634" s="42" t="str">
        <f>Data!Q1632</f>
        <v>Cliente, Vel Max 40 Km/h, Vel Max 30 Km/h</v>
      </c>
      <c r="J1634" s="43">
        <f>Data!S1632</f>
        <v>46174.493681840278</v>
      </c>
      <c r="K1634" s="44">
        <f>Data!S1632</f>
        <v>46174.493681840278</v>
      </c>
      <c r="L1634" s="45">
        <f>Data!T1632</f>
        <v>3.9224537037037036E-5</v>
      </c>
      <c r="M1634" s="46">
        <f>Data!U1632</f>
        <v>2.8667479753494263E-2</v>
      </c>
      <c r="N1634" s="46" t="str">
        <f>CONCATENATE(Data!W1632," (",Data!V1632,")")</f>
        <v>Exceso Velocidad 30 Km/h (Velocidad máxima: 31 kmh)</v>
      </c>
      <c r="O1634" s="42" t="str">
        <f>IF(Data!V1632&lt;&gt;"",N1634,Data!W1632)</f>
        <v>Exceso Velocidad 30 Km/h (Velocidad máxima: 31 kmh)</v>
      </c>
      <c r="P1634" s="47" t="str">
        <f>Data!X1632</f>
        <v>Válido</v>
      </c>
    </row>
    <row r="1635" spans="1:16">
      <c r="A1635" s="41" t="str">
        <f>Data!A1633</f>
        <v>QLT551</v>
      </c>
      <c r="B1635" s="41" t="str">
        <f>Data!D1633</f>
        <v>Vehicle, Diesel, Frontera Energy Col 2679</v>
      </c>
      <c r="C1635" s="41">
        <f>Data!F1633</f>
        <v>0</v>
      </c>
      <c r="D1635" s="41">
        <f>Data!G1633</f>
        <v>0</v>
      </c>
      <c r="E1635" s="41">
        <f>Data!H1633</f>
        <v>0</v>
      </c>
      <c r="F1635" s="41">
        <f>Data!K1633</f>
        <v>0</v>
      </c>
      <c r="G1635" s="33" t="str">
        <f>Data!M1633</f>
        <v>Giro brusco</v>
      </c>
      <c r="H1635" s="41" t="str">
        <f>Data!P1633</f>
        <v>ECOPETROL RUBIALES- Quifa - CAÑO SUR, Puerto Triunfo - Estacion Policia: vereda puerto triunfo Km 129+300 vía rubiales, Puerto Gaitán, Meta, Colombia</v>
      </c>
      <c r="I1635" s="42" t="str">
        <f>Data!Q1633</f>
        <v>Cliente, Vel Max 40 Km/h, Vel Max 30 Km/h</v>
      </c>
      <c r="J1635" s="43">
        <f>Data!S1633</f>
        <v>46174.579910740744</v>
      </c>
      <c r="K1635" s="44">
        <f>Data!S1633</f>
        <v>46174.579910740744</v>
      </c>
      <c r="L1635" s="45">
        <f>Data!T1633</f>
        <v>2.199074074074074E-7</v>
      </c>
      <c r="M1635" s="46">
        <f>Data!U1633</f>
        <v>6.0759088228223845E-5</v>
      </c>
      <c r="N1635" s="46" t="str">
        <f>CONCATENATE(Data!W1633," (",Data!V1633,")")</f>
        <v>Giro brusco (Velocidad máxima: 14 kmh Aceleración de lado a lado: 0.48 g-force, Ignición: 1.00)</v>
      </c>
      <c r="O1635" s="42" t="str">
        <f>IF(Data!V1633&lt;&gt;"",N1635,Data!W1633)</f>
        <v>Giro brusco (Velocidad máxima: 14 kmh Aceleración de lado a lado: 0.48 g-force, Ignición: 1.00)</v>
      </c>
      <c r="P1635" s="47" t="str">
        <f>Data!X1633</f>
        <v>Válido</v>
      </c>
    </row>
    <row r="1636" spans="1:16">
      <c r="A1636" s="41" t="str">
        <f>Data!A1634</f>
        <v>QLT551</v>
      </c>
      <c r="B1636" s="41" t="str">
        <f>Data!D1634</f>
        <v>Vehicle, Diesel, Frontera Energy Col 2679</v>
      </c>
      <c r="C1636" s="41">
        <f>Data!F1634</f>
        <v>0</v>
      </c>
      <c r="D1636" s="41">
        <f>Data!G1634</f>
        <v>0</v>
      </c>
      <c r="E1636" s="41">
        <f>Data!H1634</f>
        <v>0</v>
      </c>
      <c r="F1636" s="41">
        <f>Data!K1634</f>
        <v>0</v>
      </c>
      <c r="G1636" s="33" t="str">
        <f>Data!M1634</f>
        <v>Exceso Velocidad 30 Km/h</v>
      </c>
      <c r="H1636" s="41" t="str">
        <f>Data!P1634</f>
        <v>ECOPETROL RUBIALES- Quifa - CAÑO SUR, Puerto Triunfo - Estacion Policia: vereda puerto triunfo Km 129+300 vía rubiales, Puerto Gaitán, Meta, Colombia</v>
      </c>
      <c r="I1636" s="42" t="str">
        <f>Data!Q1634</f>
        <v>Cliente, Vel Max 40 Km/h, Vel Max 30 Km/h</v>
      </c>
      <c r="J1636" s="43">
        <f>Data!S1634</f>
        <v>46174.580347222225</v>
      </c>
      <c r="K1636" s="44">
        <f>Data!S1634</f>
        <v>46174.580347222225</v>
      </c>
      <c r="L1636" s="45">
        <f>Data!T1634</f>
        <v>3.8935185185185185E-5</v>
      </c>
      <c r="M1636" s="46">
        <f>Data!U1634</f>
        <v>2.8333995491266251E-2</v>
      </c>
      <c r="N1636" s="46" t="str">
        <f>CONCATENATE(Data!W1634," (",Data!V1634,")")</f>
        <v>Exceso Velocidad 30 Km/h (Velocidad máxima: 31 kmh)</v>
      </c>
      <c r="O1636" s="42" t="str">
        <f>IF(Data!V1634&lt;&gt;"",N1636,Data!W1634)</f>
        <v>Exceso Velocidad 30 Km/h (Velocidad máxima: 31 kmh)</v>
      </c>
      <c r="P1636" s="47" t="str">
        <f>Data!X1634</f>
        <v>Válido</v>
      </c>
    </row>
    <row r="1637" spans="1:16">
      <c r="A1637" s="41" t="str">
        <f>Data!A1635</f>
        <v>QLT551</v>
      </c>
      <c r="B1637" s="41" t="str">
        <f>Data!D1635</f>
        <v>Vehicle, Diesel, Frontera Energy Col 2679</v>
      </c>
      <c r="C1637" s="41">
        <f>Data!F1635</f>
        <v>0</v>
      </c>
      <c r="D1637" s="41">
        <f>Data!G1635</f>
        <v>0</v>
      </c>
      <c r="E1637" s="41">
        <f>Data!H1635</f>
        <v>0</v>
      </c>
      <c r="F1637" s="41">
        <f>Data!K1635</f>
        <v>0</v>
      </c>
      <c r="G1637" s="33" t="str">
        <f>Data!M1635</f>
        <v>Exceso Velocidad 30 Km/h</v>
      </c>
      <c r="H1637" s="41" t="str">
        <f>Data!P1635</f>
        <v>ECOPETROL RUBIALES- Quifa - CAÑO SUR, Puerto Triunfo - Estacion Policia: Puerto Gaitan - Rubiales, Puerto Gaitán, Meta, Colombia</v>
      </c>
      <c r="I1637" s="42" t="str">
        <f>Data!Q1635</f>
        <v>Cliente, Vel Max 40 Km/h, Vel Max 30 Km/h</v>
      </c>
      <c r="J1637" s="43">
        <f>Data!S1635</f>
        <v>46174.581289861111</v>
      </c>
      <c r="K1637" s="44">
        <f>Data!S1635</f>
        <v>46174.581289861111</v>
      </c>
      <c r="L1637" s="45">
        <f>Data!T1635</f>
        <v>7.2719907407407412E-5</v>
      </c>
      <c r="M1637" s="46">
        <f>Data!U1635</f>
        <v>5.2887216210365295E-2</v>
      </c>
      <c r="N1637" s="46" t="str">
        <f>CONCATENATE(Data!W1635," (",Data!V1635,")")</f>
        <v>Exceso Velocidad 30 Km/h (Velocidad máxima: 31 kmh)</v>
      </c>
      <c r="O1637" s="42" t="str">
        <f>IF(Data!V1635&lt;&gt;"",N1637,Data!W1635)</f>
        <v>Exceso Velocidad 30 Km/h (Velocidad máxima: 31 kmh)</v>
      </c>
      <c r="P1637" s="47" t="str">
        <f>Data!X1635</f>
        <v>Válido</v>
      </c>
    </row>
    <row r="1638" spans="1:16">
      <c r="A1638" s="41" t="str">
        <f>Data!A1636</f>
        <v>QLT551</v>
      </c>
      <c r="B1638" s="41" t="str">
        <f>Data!D1636</f>
        <v>Vehicle, Diesel, Frontera Energy Col 2679</v>
      </c>
      <c r="C1638" s="41">
        <f>Data!F1636</f>
        <v>0</v>
      </c>
      <c r="D1638" s="41">
        <f>Data!G1636</f>
        <v>0</v>
      </c>
      <c r="E1638" s="41">
        <f>Data!H1636</f>
        <v>0</v>
      </c>
      <c r="F1638" s="41">
        <f>Data!K1636</f>
        <v>0</v>
      </c>
      <c r="G1638" s="33" t="str">
        <f>Data!M1636</f>
        <v>Exceso Velocidad 30 Km/h</v>
      </c>
      <c r="H1638" s="41" t="str">
        <f>Data!P1636</f>
        <v>ECOPETROL RUBIALES- Quifa - CAÑO SUR, Puerto Triunfo - Estacion Policia: Puerto Gaitan - Rubiales, Puerto Gaitán, Meta, Colombia</v>
      </c>
      <c r="I1638" s="42" t="str">
        <f>Data!Q1636</f>
        <v>Cliente, Vel Max 40 Km/h, Vel Max 30 Km/h</v>
      </c>
      <c r="J1638" s="43">
        <f>Data!S1636</f>
        <v>46174.581675925925</v>
      </c>
      <c r="K1638" s="44">
        <f>Data!S1636</f>
        <v>46174.581675925925</v>
      </c>
      <c r="L1638" s="45">
        <f>Data!T1636</f>
        <v>5.4398148148148151E-5</v>
      </c>
      <c r="M1638" s="46">
        <f>Data!U1636</f>
        <v>4.0234077721834183E-2</v>
      </c>
      <c r="N1638" s="46" t="str">
        <f>CONCATENATE(Data!W1636," (",Data!V1636,")")</f>
        <v>Exceso Velocidad 30 Km/h (Velocidad máxima: 31 kmh)</v>
      </c>
      <c r="O1638" s="42" t="str">
        <f>IF(Data!V1636&lt;&gt;"",N1638,Data!W1636)</f>
        <v>Exceso Velocidad 30 Km/h (Velocidad máxima: 31 kmh)</v>
      </c>
      <c r="P1638" s="47" t="str">
        <f>Data!X1636</f>
        <v>Válido</v>
      </c>
    </row>
    <row r="1639" spans="1:16">
      <c r="A1639" s="41" t="str">
        <f>Data!A1637</f>
        <v>QLT551</v>
      </c>
      <c r="B1639" s="41" t="str">
        <f>Data!D1637</f>
        <v>Vehicle, Diesel, Frontera Energy Col 2679</v>
      </c>
      <c r="C1639" s="41">
        <f>Data!F1637</f>
        <v>0</v>
      </c>
      <c r="D1639" s="41">
        <f>Data!G1637</f>
        <v>0</v>
      </c>
      <c r="E1639" s="41">
        <f>Data!H1637</f>
        <v>0</v>
      </c>
      <c r="F1639" s="41">
        <f>Data!K1637</f>
        <v>0</v>
      </c>
      <c r="G1639" s="33" t="str">
        <f>Data!M1637</f>
        <v>Exceso Velocidad 30 Km/h</v>
      </c>
      <c r="H1639" s="41" t="str">
        <f>Data!P1637</f>
        <v>ECOPETROL RUBIALES- Quifa - CAÑO SUR, Puerto Triunfo - Estacion Policia: Puerto Gaitan - Rubiales, Puerto Gaitán, Meta, Colombia</v>
      </c>
      <c r="I1639" s="42" t="str">
        <f>Data!Q1637</f>
        <v>Cliente, Vel Max 40 Km/h, Vel Max 30 Km/h</v>
      </c>
      <c r="J1639" s="43">
        <f>Data!S1637</f>
        <v>46174.58284722222</v>
      </c>
      <c r="K1639" s="44">
        <f>Data!S1637</f>
        <v>46174.58284722222</v>
      </c>
      <c r="L1639" s="45">
        <f>Data!T1637</f>
        <v>8.2071759259259259E-5</v>
      </c>
      <c r="M1639" s="46">
        <f>Data!U1637</f>
        <v>6.1792772263288498E-2</v>
      </c>
      <c r="N1639" s="46" t="str">
        <f>CONCATENATE(Data!W1637," (",Data!V1637,")")</f>
        <v>Exceso Velocidad 30 Km/h (Velocidad máxima: 33 kmh)</v>
      </c>
      <c r="O1639" s="42" t="str">
        <f>IF(Data!V1637&lt;&gt;"",N1639,Data!W1637)</f>
        <v>Exceso Velocidad 30 Km/h (Velocidad máxima: 33 kmh)</v>
      </c>
      <c r="P1639" s="47" t="str">
        <f>Data!X1637</f>
        <v>Válido</v>
      </c>
    </row>
    <row r="1640" spans="1:16">
      <c r="A1640" s="41" t="str">
        <f>Data!A1638</f>
        <v>QLT551</v>
      </c>
      <c r="B1640" s="41" t="str">
        <f>Data!D1638</f>
        <v>Vehicle, Diesel, Frontera Energy Col 2679</v>
      </c>
      <c r="C1640" s="41">
        <f>Data!F1638</f>
        <v>0</v>
      </c>
      <c r="D1640" s="41">
        <f>Data!G1638</f>
        <v>0</v>
      </c>
      <c r="E1640" s="41">
        <f>Data!H1638</f>
        <v>0</v>
      </c>
      <c r="F1640" s="41">
        <f>Data!K1638</f>
        <v>0</v>
      </c>
      <c r="G1640" s="33" t="str">
        <f>Data!M1638</f>
        <v>Exceso Velocidad 30 Km/h</v>
      </c>
      <c r="H1640" s="41" t="str">
        <f>Data!P1638</f>
        <v>ECOPETROL RUBIALES- Quifa - CAÑO SUR, Puerto Triunfo - Estacion Policia: Puerto Gaitan - Rubiales, Puerto Gaitán, Meta, Colombia</v>
      </c>
      <c r="I1640" s="42" t="str">
        <f>Data!Q1638</f>
        <v>Cliente, Vel Max 40 Km/h, Vel Max 30 Km/h</v>
      </c>
      <c r="J1640" s="43">
        <f>Data!S1638</f>
        <v>46174.583060185185</v>
      </c>
      <c r="K1640" s="44">
        <f>Data!S1638</f>
        <v>46174.583060185185</v>
      </c>
      <c r="L1640" s="45">
        <f>Data!T1638</f>
        <v>2.7645833333333331E-4</v>
      </c>
      <c r="M1640" s="46">
        <f>Data!U1638</f>
        <v>0.22319628298282623</v>
      </c>
      <c r="N1640" s="46" t="str">
        <f>CONCATENATE(Data!W1638," (",Data!V1638,")")</f>
        <v>Exceso Velocidad 30 Km/h (Velocidad máxima: 35 kmh)</v>
      </c>
      <c r="O1640" s="42" t="str">
        <f>IF(Data!V1638&lt;&gt;"",N1640,Data!W1638)</f>
        <v>Exceso Velocidad 30 Km/h (Velocidad máxima: 35 kmh)</v>
      </c>
      <c r="P1640" s="47" t="str">
        <f>Data!X1638</f>
        <v>Válido</v>
      </c>
    </row>
    <row r="1641" spans="1:16">
      <c r="A1641" s="41" t="str">
        <f>Data!A1639</f>
        <v>QLT551</v>
      </c>
      <c r="B1641" s="41" t="str">
        <f>Data!D1639</f>
        <v>Vehicle, Diesel, Frontera Energy Col 2679</v>
      </c>
      <c r="C1641" s="41">
        <f>Data!F1639</f>
        <v>0</v>
      </c>
      <c r="D1641" s="41">
        <f>Data!G1639</f>
        <v>0</v>
      </c>
      <c r="E1641" s="41">
        <f>Data!H1639</f>
        <v>0</v>
      </c>
      <c r="F1641" s="41">
        <f>Data!K1639</f>
        <v>0</v>
      </c>
      <c r="G1641" s="33" t="str">
        <f>Data!M1639</f>
        <v>Exceso Velocidad 30 Km/h</v>
      </c>
      <c r="H1641" s="41" t="str">
        <f>Data!P1639</f>
        <v>ECOPETROL RUBIALES- Quifa - CAÑO SUR, Puerto Triunfo - Estacion Policia: Puerto Gaitan - Rubiales, Puerto Gaitán, Meta, Colombia</v>
      </c>
      <c r="I1641" s="42" t="str">
        <f>Data!Q1639</f>
        <v>Cliente, Vel Max 40 Km/h, Vel Max 30 Km/h</v>
      </c>
      <c r="J1641" s="43">
        <f>Data!S1639</f>
        <v>46174.583402777775</v>
      </c>
      <c r="K1641" s="44">
        <f>Data!S1639</f>
        <v>46174.583402777775</v>
      </c>
      <c r="L1641" s="45">
        <f>Data!T1639</f>
        <v>3.2407407407407408E-5</v>
      </c>
      <c r="M1641" s="46">
        <f>Data!U1639</f>
        <v>2.3149775341153145E-2</v>
      </c>
      <c r="N1641" s="46" t="str">
        <f>CONCATENATE(Data!W1639," (",Data!V1639,")")</f>
        <v>Exceso Velocidad 30 Km/h (Velocidad máxima: 31 kmh)</v>
      </c>
      <c r="O1641" s="42" t="str">
        <f>IF(Data!V1639&lt;&gt;"",N1641,Data!W1639)</f>
        <v>Exceso Velocidad 30 Km/h (Velocidad máxima: 31 kmh)</v>
      </c>
      <c r="P1641" s="47" t="str">
        <f>Data!X1639</f>
        <v>Válido</v>
      </c>
    </row>
    <row r="1642" spans="1:16">
      <c r="A1642" s="41" t="str">
        <f>Data!A1640</f>
        <v>QLT551</v>
      </c>
      <c r="B1642" s="41" t="str">
        <f>Data!D1640</f>
        <v>Vehicle, Diesel, Frontera Energy Col 2679</v>
      </c>
      <c r="C1642" s="41">
        <f>Data!F1640</f>
        <v>0</v>
      </c>
      <c r="D1642" s="41">
        <f>Data!G1640</f>
        <v>0</v>
      </c>
      <c r="E1642" s="41">
        <f>Data!H1640</f>
        <v>0</v>
      </c>
      <c r="F1642" s="41">
        <f>Data!K1640</f>
        <v>0</v>
      </c>
      <c r="G1642" s="33" t="str">
        <f>Data!M1640</f>
        <v>Exceso Velocidad 10 Km/h</v>
      </c>
      <c r="H1642" s="41" t="str">
        <f>Data!P1640</f>
        <v>ECOPETROL RUBIALES- Quifa - CAÑO SUR, Puerto Triunfo - Estacion Policia, PUESTRO CONTROL QUIFA: Puerto Gaitan - Rubiales, Puerto Gaitán, Meta, Colombia</v>
      </c>
      <c r="I1642" s="42" t="str">
        <f>Data!Q1640</f>
        <v>Cliente, Vel Max 40 Km/h, Vel Max 30 Km/h, Vel Max 10 Km/h</v>
      </c>
      <c r="J1642" s="43">
        <f>Data!S1640</f>
        <v>46174.583474629631</v>
      </c>
      <c r="K1642" s="44">
        <f>Data!S1640</f>
        <v>46174.583474629631</v>
      </c>
      <c r="L1642" s="45">
        <f>Data!T1640</f>
        <v>2.9508101851851852E-4</v>
      </c>
      <c r="M1642" s="46">
        <f>Data!U1640</f>
        <v>0.18421156704425812</v>
      </c>
      <c r="N1642" s="46" t="str">
        <f>CONCATENATE(Data!W1640," (",Data!V1640,")")</f>
        <v>Exceso Velocidad 10 Km/h (Velocidad máxima: 28 kmh)</v>
      </c>
      <c r="O1642" s="42" t="str">
        <f>IF(Data!V1640&lt;&gt;"",N1642,Data!W1640)</f>
        <v>Exceso Velocidad 10 Km/h (Velocidad máxima: 28 kmh)</v>
      </c>
      <c r="P1642" s="47" t="str">
        <f>Data!X1640</f>
        <v>Válido</v>
      </c>
    </row>
    <row r="1643" spans="1:16">
      <c r="A1643" s="41" t="str">
        <f>Data!A1641</f>
        <v>QLT551</v>
      </c>
      <c r="B1643" s="41" t="str">
        <f>Data!D1641</f>
        <v>Vehicle, Diesel, Frontera Energy Col 2679</v>
      </c>
      <c r="C1643" s="41">
        <f>Data!F1641</f>
        <v>0</v>
      </c>
      <c r="D1643" s="41">
        <f>Data!G1641</f>
        <v>0</v>
      </c>
      <c r="E1643" s="41">
        <f>Data!H1641</f>
        <v>0</v>
      </c>
      <c r="F1643" s="41">
        <f>Data!K1641</f>
        <v>0</v>
      </c>
      <c r="G1643" s="33" t="str">
        <f>Data!M1641</f>
        <v>Exceso Velocidad 30 Km/h</v>
      </c>
      <c r="H1643" s="41" t="str">
        <f>Data!P1641</f>
        <v>ECOPETROL RUBIALES- Quifa - CAÑO SUR, Puerto Triunfo - Estacion Policia: Puerto Gaitan - Rubiales, Puerto Gaitán, Meta, Colombia</v>
      </c>
      <c r="I1643" s="42" t="str">
        <f>Data!Q1641</f>
        <v>Cliente, Vel Max 40 Km/h, Vel Max 30 Km/h</v>
      </c>
      <c r="J1643" s="43">
        <f>Data!S1641</f>
        <v>46174.584705381945</v>
      </c>
      <c r="K1643" s="44">
        <f>Data!S1641</f>
        <v>46174.584705381945</v>
      </c>
      <c r="L1643" s="45">
        <f>Data!T1641</f>
        <v>4.7106481481481481E-5</v>
      </c>
      <c r="M1643" s="46">
        <f>Data!U1641</f>
        <v>3.0460517853498459E-2</v>
      </c>
      <c r="N1643" s="46" t="str">
        <f>CONCATENATE(Data!W1641," (",Data!V1641,")")</f>
        <v>Exceso Velocidad 30 Km/h (Velocidad máxima: 33 kmh)</v>
      </c>
      <c r="O1643" s="42" t="str">
        <f>IF(Data!V1641&lt;&gt;"",N1643,Data!W1641)</f>
        <v>Exceso Velocidad 30 Km/h (Velocidad máxima: 33 kmh)</v>
      </c>
      <c r="P1643" s="47" t="str">
        <f>Data!X1641</f>
        <v>Válido</v>
      </c>
    </row>
    <row r="1644" spans="1:16">
      <c r="A1644" s="41" t="str">
        <f>Data!A1642</f>
        <v>QLT551</v>
      </c>
      <c r="B1644" s="41" t="str">
        <f>Data!D1642</f>
        <v>Vehicle, Diesel, Frontera Energy Col 2679</v>
      </c>
      <c r="C1644" s="41">
        <f>Data!F1642</f>
        <v>0</v>
      </c>
      <c r="D1644" s="41">
        <f>Data!G1642</f>
        <v>0</v>
      </c>
      <c r="E1644" s="41">
        <f>Data!H1642</f>
        <v>0</v>
      </c>
      <c r="F1644" s="41">
        <f>Data!K1642</f>
        <v>0</v>
      </c>
      <c r="G1644" s="33" t="str">
        <f>Data!M1642</f>
        <v>Exceso Velocidad 30 Km/h</v>
      </c>
      <c r="H1644" s="41" t="str">
        <f>Data!P1642</f>
        <v>ECOPETROL RUBIALES- Quifa - CAÑO SUR, Puerto Triunfo - Estacion Policia: Puerto Gaitan - Rubiales, Puerto Gaitán, Meta, Colombia</v>
      </c>
      <c r="I1644" s="42" t="str">
        <f>Data!Q1642</f>
        <v>Cliente, Vel Max 40 Km/h, Vel Max 30 Km/h</v>
      </c>
      <c r="J1644" s="43">
        <f>Data!S1642</f>
        <v>46174.585030868053</v>
      </c>
      <c r="K1644" s="44">
        <f>Data!S1642</f>
        <v>46174.585030868053</v>
      </c>
      <c r="L1644" s="45">
        <f>Data!T1642</f>
        <v>2.7005787037037037E-4</v>
      </c>
      <c r="M1644" s="46">
        <f>Data!U1642</f>
        <v>0.20740406215190887</v>
      </c>
      <c r="N1644" s="46" t="str">
        <f>CONCATENATE(Data!W1642," (",Data!V1642,")")</f>
        <v>Exceso Velocidad 30 Km/h (Velocidad máxima: 33 kmh)</v>
      </c>
      <c r="O1644" s="42" t="str">
        <f>IF(Data!V1642&lt;&gt;"",N1644,Data!W1642)</f>
        <v>Exceso Velocidad 30 Km/h (Velocidad máxima: 33 kmh)</v>
      </c>
      <c r="P1644" s="47" t="str">
        <f>Data!X1642</f>
        <v>Válido</v>
      </c>
    </row>
    <row r="1645" spans="1:16">
      <c r="A1645" s="41" t="str">
        <f>Data!A1643</f>
        <v>QLT551</v>
      </c>
      <c r="B1645" s="41" t="str">
        <f>Data!D1643</f>
        <v>Vehicle, Diesel, Frontera Energy Col 2679</v>
      </c>
      <c r="C1645" s="41">
        <f>Data!F1643</f>
        <v>0</v>
      </c>
      <c r="D1645" s="41">
        <f>Data!G1643</f>
        <v>0</v>
      </c>
      <c r="E1645" s="41">
        <f>Data!H1643</f>
        <v>0</v>
      </c>
      <c r="F1645" s="41">
        <f>Data!K1643</f>
        <v>0</v>
      </c>
      <c r="G1645" s="33" t="str">
        <f>Data!M1643</f>
        <v>Exceso Velocidad 10 Km/h</v>
      </c>
      <c r="H1645" s="41" t="str">
        <f>Data!P1643</f>
        <v>CAMPAMENTO QUIFA, ECOPETROL RUBIALES- Quifa - CAÑO SUR, Puerto Gaitan - Rubiales, Puerto Gaitán, Meta, Colombia, Puerto Triunfo - Estacion Policia: Ent. CAMPAMENTO, Puerto Gaitán, Meta, Colombia</v>
      </c>
      <c r="I1645" s="42" t="str">
        <f>Data!Q1643</f>
        <v>Vel Max 10 Km/h, Cliente, Vel Max 40 Km/h, Centro de servicios del proveedor, Vel Max 30 Km/h</v>
      </c>
      <c r="J1645" s="43">
        <f>Data!S1643</f>
        <v>46174.585709178238</v>
      </c>
      <c r="K1645" s="44">
        <f>Data!S1643</f>
        <v>46174.585709178238</v>
      </c>
      <c r="L1645" s="45">
        <f>Data!T1643</f>
        <v>2.9209490740740742E-4</v>
      </c>
      <c r="M1645" s="46">
        <f>Data!U1643</f>
        <v>0.13028468191623688</v>
      </c>
      <c r="N1645" s="46" t="str">
        <f>CONCATENATE(Data!W1643," (",Data!V1643,")")</f>
        <v>Exceso Velocidad 10 Km/h (Velocidad máxima: 23 kmh)</v>
      </c>
      <c r="O1645" s="42" t="str">
        <f>IF(Data!V1643&lt;&gt;"",N1645,Data!W1643)</f>
        <v>Exceso Velocidad 10 Km/h (Velocidad máxima: 23 kmh)</v>
      </c>
      <c r="P1645" s="47" t="str">
        <f>Data!X1643</f>
        <v>Válido</v>
      </c>
    </row>
    <row r="1646" spans="1:16">
      <c r="A1646" s="41" t="str">
        <f>Data!A1644</f>
        <v>QLT551</v>
      </c>
      <c r="B1646" s="41" t="str">
        <f>Data!D1644</f>
        <v>Vehicle, Diesel, Frontera Energy Col 2679</v>
      </c>
      <c r="C1646" s="41">
        <f>Data!F1644</f>
        <v>0</v>
      </c>
      <c r="D1646" s="41">
        <f>Data!G1644</f>
        <v>0</v>
      </c>
      <c r="E1646" s="41">
        <f>Data!H1644</f>
        <v>0</v>
      </c>
      <c r="F1646" s="41">
        <f>Data!K1644</f>
        <v>0</v>
      </c>
      <c r="G1646" s="33" t="str">
        <f>Data!M1644</f>
        <v>Exceso Velocidad 10 Km/h</v>
      </c>
      <c r="H1646" s="41" t="str">
        <f>Data!P1644</f>
        <v>CAMPAMENTO QUIFA, ECOPETROL RUBIALES- Quifa - CAÑO SUR, Puerto Triunfo - Estacion Policia: Puerto Gaitan - Rubiales, Puerto Gaitán, Meta, Colombia</v>
      </c>
      <c r="I1646" s="42" t="str">
        <f>Data!Q1644</f>
        <v>Vel Max 10 Km/h, Cliente, Vel Max 40 Km/h, Vel Max 30 Km/h</v>
      </c>
      <c r="J1646" s="43">
        <f>Data!S1644</f>
        <v>46174.58607445602</v>
      </c>
      <c r="K1646" s="44">
        <f>Data!S1644</f>
        <v>46174.58607445602</v>
      </c>
      <c r="L1646" s="45">
        <f>Data!T1644</f>
        <v>5.5949074074074073E-5</v>
      </c>
      <c r="M1646" s="46">
        <f>Data!U1644</f>
        <v>1.7676189541816711E-2</v>
      </c>
      <c r="N1646" s="46" t="str">
        <f>CONCATENATE(Data!W1644," (",Data!V1644,")")</f>
        <v>Exceso Velocidad 10 Km/h (Velocidad máxima: 17 kmh)</v>
      </c>
      <c r="O1646" s="42" t="str">
        <f>IF(Data!V1644&lt;&gt;"",N1646,Data!W1644)</f>
        <v>Exceso Velocidad 10 Km/h (Velocidad máxima: 17 kmh)</v>
      </c>
      <c r="P1646" s="47" t="str">
        <f>Data!X1644</f>
        <v>Válido</v>
      </c>
    </row>
    <row r="1647" spans="1:16">
      <c r="A1647" s="41" t="str">
        <f>Data!A1645</f>
        <v>QLT551</v>
      </c>
      <c r="B1647" s="41" t="str">
        <f>Data!D1645</f>
        <v>Vehicle, Diesel, Frontera Energy Col 2679</v>
      </c>
      <c r="C1647" s="41">
        <f>Data!F1645</f>
        <v>0</v>
      </c>
      <c r="D1647" s="41">
        <f>Data!G1645</f>
        <v>0</v>
      </c>
      <c r="E1647" s="41">
        <f>Data!H1645</f>
        <v>0</v>
      </c>
      <c r="F1647" s="41">
        <f>Data!K1645</f>
        <v>0</v>
      </c>
      <c r="G1647" s="33" t="str">
        <f>Data!M1645</f>
        <v>Exceso Velocidad 10 Km/h</v>
      </c>
      <c r="H1647" s="41" t="str">
        <f>Data!P1645</f>
        <v>CAMPAMENTO QUIFA, ECOPETROL RUBIALES- Quifa - CAÑO SUR, Campamento Quifa - CMA: Puerto Gaitan - Rubiales, Puerto Gaitán, Meta, Colombia</v>
      </c>
      <c r="I1647" s="42" t="str">
        <f>Data!Q1645</f>
        <v>Vel Max 10 Km/h, Cliente, Vel Max 40 Km/h</v>
      </c>
      <c r="J1647" s="43">
        <f>Data!S1645</f>
        <v>46174.586230706016</v>
      </c>
      <c r="K1647" s="44">
        <f>Data!S1645</f>
        <v>46174.586230706016</v>
      </c>
      <c r="L1647" s="45">
        <f>Data!T1645</f>
        <v>9.3368055555555549E-5</v>
      </c>
      <c r="M1647" s="46">
        <f>Data!U1645</f>
        <v>2.5224223732948303E-2</v>
      </c>
      <c r="N1647" s="46" t="str">
        <f>CONCATENATE(Data!W1645," (",Data!V1645,")")</f>
        <v>Exceso Velocidad 10 Km/h (Velocidad máxima: 13 kmh)</v>
      </c>
      <c r="O1647" s="42" t="str">
        <f>IF(Data!V1645&lt;&gt;"",N1647,Data!W1645)</f>
        <v>Exceso Velocidad 10 Km/h (Velocidad máxima: 13 kmh)</v>
      </c>
      <c r="P1647" s="47" t="str">
        <f>Data!X1645</f>
        <v>Válido</v>
      </c>
    </row>
    <row r="1648" spans="1:16">
      <c r="A1648" s="41" t="str">
        <f>Data!A1646</f>
        <v>QLT551</v>
      </c>
      <c r="B1648" s="41" t="str">
        <f>Data!D1646</f>
        <v>Vehicle, Diesel, Frontera Energy Col 2679</v>
      </c>
      <c r="C1648" s="41">
        <f>Data!F1646</f>
        <v>0</v>
      </c>
      <c r="D1648" s="41">
        <f>Data!G1646</f>
        <v>0</v>
      </c>
      <c r="E1648" s="41">
        <f>Data!H1646</f>
        <v>0</v>
      </c>
      <c r="F1648" s="41">
        <f>Data!K1646</f>
        <v>0</v>
      </c>
      <c r="G1648" s="33" t="str">
        <f>Data!M1646</f>
        <v>Tiempo en ralentí</v>
      </c>
      <c r="H1648" s="41" t="str">
        <f>Data!P1646</f>
        <v>ECOPETROL RUBIALES- Quifa - CAÑO SUR: Vía Sin Nombre, Puerto Gaitán, Meta, Colombia</v>
      </c>
      <c r="I1648" s="42" t="str">
        <f>Data!Q1646</f>
        <v>Cliente, Vel Max 40 Km/h</v>
      </c>
      <c r="J1648" s="43">
        <f>Data!S1646</f>
        <v>46174.598101851851</v>
      </c>
      <c r="K1648" s="44">
        <f>Data!S1646</f>
        <v>46174.598101851851</v>
      </c>
      <c r="L1648" s="45">
        <f>Data!T1646</f>
        <v>7.7849305555555554E-3</v>
      </c>
      <c r="M1648" s="46">
        <f>Data!U1646</f>
        <v>7.8898832725826651E-5</v>
      </c>
      <c r="N1648" s="46" t="str">
        <f>CONCATENATE(Data!W1646," (",Data!V1646,")")</f>
        <v>Tiempo en ralentí (Ignición: 1.00)</v>
      </c>
      <c r="O1648" s="42" t="str">
        <f>IF(Data!V1646&lt;&gt;"",N1648,Data!W1646)</f>
        <v>Tiempo en ralentí (Ignición: 1.00)</v>
      </c>
      <c r="P1648" s="47" t="str">
        <f>Data!X1646</f>
        <v>Válido</v>
      </c>
    </row>
    <row r="1649" spans="1:16">
      <c r="A1649" s="41" t="str">
        <f>Data!A1647</f>
        <v>QLT551</v>
      </c>
      <c r="B1649" s="41" t="str">
        <f>Data!D1647</f>
        <v>Vehicle, Diesel, Frontera Energy Col 2679</v>
      </c>
      <c r="C1649" s="41">
        <f>Data!F1647</f>
        <v>0</v>
      </c>
      <c r="D1649" s="41">
        <f>Data!G1647</f>
        <v>0</v>
      </c>
      <c r="E1649" s="41">
        <f>Data!H1647</f>
        <v>0</v>
      </c>
      <c r="F1649" s="41">
        <f>Data!K1647</f>
        <v>0</v>
      </c>
      <c r="G1649" s="33" t="str">
        <f>Data!M1647</f>
        <v>Exceso Velocidad 40 Km/h</v>
      </c>
      <c r="H1649" s="41" t="str">
        <f>Data!P1647</f>
        <v>ECOPETROL RUBIALES- Quifa - CAÑO SUR: Via Quifa 13, Puerto Gaitán, Meta, Colombia</v>
      </c>
      <c r="I1649" s="42" t="str">
        <f>Data!Q1647</f>
        <v>Cliente, Vel Max 40 Km/h</v>
      </c>
      <c r="J1649" s="43">
        <f>Data!S1647</f>
        <v>46174.613370949075</v>
      </c>
      <c r="K1649" s="44">
        <f>Data!S1647</f>
        <v>46174.613370949075</v>
      </c>
      <c r="L1649" s="45">
        <f>Data!T1647</f>
        <v>6.8483796296296291E-5</v>
      </c>
      <c r="M1649" s="46">
        <f>Data!U1647</f>
        <v>6.3333511352539063E-2</v>
      </c>
      <c r="N1649" s="46" t="str">
        <f>CONCATENATE(Data!W1647," (",Data!V1647,")")</f>
        <v>Exceso Velocidad 40 Km/h (Velocidad máxima: 41 kmh)</v>
      </c>
      <c r="O1649" s="42" t="str">
        <f>IF(Data!V1647&lt;&gt;"",N1649,Data!W1647)</f>
        <v>Exceso Velocidad 40 Km/h (Velocidad máxima: 41 kmh)</v>
      </c>
      <c r="P1649" s="47" t="str">
        <f>Data!X1647</f>
        <v>Válido</v>
      </c>
    </row>
    <row r="1650" spans="1:16">
      <c r="A1650" s="41" t="str">
        <f>Data!A1648</f>
        <v>QLT551</v>
      </c>
      <c r="B1650" s="41" t="str">
        <f>Data!D1648</f>
        <v>Vehicle, Diesel, Frontera Energy Col 2679</v>
      </c>
      <c r="C1650" s="41">
        <f>Data!F1648</f>
        <v>0</v>
      </c>
      <c r="D1650" s="41">
        <f>Data!G1648</f>
        <v>0</v>
      </c>
      <c r="E1650" s="41">
        <f>Data!H1648</f>
        <v>0</v>
      </c>
      <c r="F1650" s="41">
        <f>Data!K1648</f>
        <v>0</v>
      </c>
      <c r="G1650" s="33" t="str">
        <f>Data!M1648</f>
        <v>Exceso Velocidad 10 Km/h</v>
      </c>
      <c r="H1650" s="41" t="str">
        <f>Data!P1648</f>
        <v>CAMPAMENTO QUIFA, ECOPETROL RUBIALES- Quifa - CAÑO SUR, Puerto Triunfo - Estacion Policia: Puerto Gaitan - Rubiales, Puerto Gaitán, Meta, Colombia</v>
      </c>
      <c r="I1650" s="42" t="str">
        <f>Data!Q1648</f>
        <v>Vel Max 10 Km/h, Cliente, Vel Max 40 Km/h, Vel Max 30 Km/h</v>
      </c>
      <c r="J1650" s="43">
        <f>Data!S1648</f>
        <v>46174.617689305553</v>
      </c>
      <c r="K1650" s="44">
        <f>Data!S1648</f>
        <v>46174.617689305553</v>
      </c>
      <c r="L1650" s="45">
        <f>Data!T1648</f>
        <v>2.1849537037037036E-4</v>
      </c>
      <c r="M1650" s="46">
        <f>Data!U1648</f>
        <v>0.10447823256254196</v>
      </c>
      <c r="N1650" s="46" t="str">
        <f>CONCATENATE(Data!W1648," (",Data!V1648,")")</f>
        <v>Exceso Velocidad 10 Km/h (Velocidad máxima: 28 kmh)</v>
      </c>
      <c r="O1650" s="42" t="str">
        <f>IF(Data!V1648&lt;&gt;"",N1650,Data!W1648)</f>
        <v>Exceso Velocidad 10 Km/h (Velocidad máxima: 28 kmh)</v>
      </c>
      <c r="P1650" s="47" t="str">
        <f>Data!X1648</f>
        <v>Válido</v>
      </c>
    </row>
    <row r="1651" spans="1:16">
      <c r="A1651" s="41" t="str">
        <f>Data!A1649</f>
        <v>QLT551</v>
      </c>
      <c r="B1651" s="41" t="str">
        <f>Data!D1649</f>
        <v>Vehicle, Diesel, Frontera Energy Col 2679</v>
      </c>
      <c r="C1651" s="41">
        <f>Data!F1649</f>
        <v>0</v>
      </c>
      <c r="D1651" s="41">
        <f>Data!G1649</f>
        <v>0</v>
      </c>
      <c r="E1651" s="41">
        <f>Data!H1649</f>
        <v>0</v>
      </c>
      <c r="F1651" s="41">
        <f>Data!K1649</f>
        <v>0</v>
      </c>
      <c r="G1651" s="33" t="str">
        <f>Data!M1649</f>
        <v>Exceso Velocidad 30 Km/h</v>
      </c>
      <c r="H1651" s="41" t="str">
        <f>Data!P1649</f>
        <v>ECOPETROL RUBIALES- Quifa - CAÑO SUR, Puerto Triunfo - Estacion Policia: Puerto Gaitan - Rubiales, Puerto Gaitán, Meta, Colombia</v>
      </c>
      <c r="I1651" s="42" t="str">
        <f>Data!Q1649</f>
        <v>Cliente, Vel Max 40 Km/h, Vel Max 30 Km/h</v>
      </c>
      <c r="J1651" s="43">
        <f>Data!S1649</f>
        <v>46174.61828318287</v>
      </c>
      <c r="K1651" s="44">
        <f>Data!S1649</f>
        <v>46174.61828318287</v>
      </c>
      <c r="L1651" s="45">
        <f>Data!T1649</f>
        <v>3.4143528518518516E-4</v>
      </c>
      <c r="M1651" s="46">
        <f>Data!U1649</f>
        <v>0.2842068076133728</v>
      </c>
      <c r="N1651" s="46" t="str">
        <f>CONCATENATE(Data!W1649," (",Data!V1649,")")</f>
        <v>Exceso Velocidad 30 Km/h (Velocidad máxima: 35 kmh)</v>
      </c>
      <c r="O1651" s="42" t="str">
        <f>IF(Data!V1649&lt;&gt;"",N1651,Data!W1649)</f>
        <v>Exceso Velocidad 30 Km/h (Velocidad máxima: 35 kmh)</v>
      </c>
      <c r="P1651" s="47" t="str">
        <f>Data!X1649</f>
        <v>Válido</v>
      </c>
    </row>
    <row r="1652" spans="1:16">
      <c r="A1652" s="41" t="str">
        <f>Data!A1650</f>
        <v>QLT551</v>
      </c>
      <c r="B1652" s="41" t="str">
        <f>Data!D1650</f>
        <v>Vehicle, Diesel, Frontera Energy Col 2679</v>
      </c>
      <c r="C1652" s="41">
        <f>Data!F1650</f>
        <v>0</v>
      </c>
      <c r="D1652" s="41">
        <f>Data!G1650</f>
        <v>0</v>
      </c>
      <c r="E1652" s="41">
        <f>Data!H1650</f>
        <v>0</v>
      </c>
      <c r="F1652" s="41">
        <f>Data!K1650</f>
        <v>0</v>
      </c>
      <c r="G1652" s="33" t="str">
        <f>Data!M1650</f>
        <v>Exceso Velocidad 30 Km/h</v>
      </c>
      <c r="H1652" s="41" t="str">
        <f>Data!P1650</f>
        <v>ECOPETROL RUBIALES- Quifa - CAÑO SUR, Puerto Triunfo - Estacion Policia: Puerto Gaitan - Rubiales, Puerto Gaitán, Meta, Colombia</v>
      </c>
      <c r="I1652" s="42" t="str">
        <f>Data!Q1650</f>
        <v>Cliente, Vel Max 40 Km/h, Vel Max 30 Km/h</v>
      </c>
      <c r="J1652" s="43">
        <f>Data!S1650</f>
        <v>46174.61891203704</v>
      </c>
      <c r="K1652" s="44">
        <f>Data!S1650</f>
        <v>46174.61891203704</v>
      </c>
      <c r="L1652" s="45">
        <f>Data!T1650</f>
        <v>1.8518518518518518E-5</v>
      </c>
      <c r="M1652" s="46">
        <f>Data!U1650</f>
        <v>1.2724298052489758E-2</v>
      </c>
      <c r="N1652" s="46" t="str">
        <f>CONCATENATE(Data!W1650," (",Data!V1650,")")</f>
        <v>Exceso Velocidad 30 Km/h (Velocidad máxima: 31 kmh)</v>
      </c>
      <c r="O1652" s="42" t="str">
        <f>IF(Data!V1650&lt;&gt;"",N1652,Data!W1650)</f>
        <v>Exceso Velocidad 30 Km/h (Velocidad máxima: 31 kmh)</v>
      </c>
      <c r="P1652" s="47" t="str">
        <f>Data!X1650</f>
        <v>Válido</v>
      </c>
    </row>
    <row r="1653" spans="1:16">
      <c r="A1653" s="41" t="str">
        <f>Data!A1651</f>
        <v>QLT551</v>
      </c>
      <c r="B1653" s="41" t="str">
        <f>Data!D1651</f>
        <v>Vehicle, Diesel, Frontera Energy Col 2679</v>
      </c>
      <c r="C1653" s="41">
        <f>Data!F1651</f>
        <v>0</v>
      </c>
      <c r="D1653" s="41">
        <f>Data!G1651</f>
        <v>0</v>
      </c>
      <c r="E1653" s="41">
        <f>Data!H1651</f>
        <v>0</v>
      </c>
      <c r="F1653" s="41">
        <f>Data!K1651</f>
        <v>0</v>
      </c>
      <c r="G1653" s="33" t="str">
        <f>Data!M1651</f>
        <v>Exceso Velocidad 30 Km/h</v>
      </c>
      <c r="H1653" s="41" t="str">
        <f>Data!P1651</f>
        <v>ECOPETROL RUBIALES- Quifa - CAÑO SUR, Puerto Triunfo - Estacion Policia: Puerto Gaitan - Rubiales, Puerto Gaitán, Meta, Colombia</v>
      </c>
      <c r="I1653" s="42" t="str">
        <f>Data!Q1651</f>
        <v>Cliente, Vel Max 40 Km/h, Vel Max 30 Km/h</v>
      </c>
      <c r="J1653" s="43">
        <f>Data!S1651</f>
        <v>46174.618986111112</v>
      </c>
      <c r="K1653" s="44">
        <f>Data!S1651</f>
        <v>46174.618986111112</v>
      </c>
      <c r="L1653" s="45">
        <f>Data!T1651</f>
        <v>1.1574074074074073E-5</v>
      </c>
      <c r="M1653" s="46">
        <f>Data!U1651</f>
        <v>7.9112118110060692E-3</v>
      </c>
      <c r="N1653" s="46" t="str">
        <f>CONCATENATE(Data!W1651," (",Data!V1651,")")</f>
        <v>Exceso Velocidad 30 Km/h (Velocidad máxima: 31 kmh)</v>
      </c>
      <c r="O1653" s="42" t="str">
        <f>IF(Data!V1651&lt;&gt;"",N1653,Data!W1651)</f>
        <v>Exceso Velocidad 30 Km/h (Velocidad máxima: 31 kmh)</v>
      </c>
      <c r="P1653" s="47" t="str">
        <f>Data!X1651</f>
        <v>Válido</v>
      </c>
    </row>
    <row r="1654" spans="1:16">
      <c r="A1654" s="41" t="str">
        <f>Data!A1652</f>
        <v>QLT551</v>
      </c>
      <c r="B1654" s="41" t="str">
        <f>Data!D1652</f>
        <v>Vehicle, Diesel, Frontera Energy Col 2679</v>
      </c>
      <c r="C1654" s="41">
        <f>Data!F1652</f>
        <v>0</v>
      </c>
      <c r="D1654" s="41">
        <f>Data!G1652</f>
        <v>0</v>
      </c>
      <c r="E1654" s="41">
        <f>Data!H1652</f>
        <v>0</v>
      </c>
      <c r="F1654" s="41">
        <f>Data!K1652</f>
        <v>0</v>
      </c>
      <c r="G1654" s="33" t="str">
        <f>Data!M1652</f>
        <v>Exceso Velocidad 10 Km/h</v>
      </c>
      <c r="H1654" s="41" t="str">
        <f>Data!P1652</f>
        <v>ECOPETROL RUBIALES- Quifa - CAÑO SUR, Puerto Triunfo - Estacion Policia, PUESTRO CONTROL QUIFA: Puerto Gaitan - Rubiales, Puerto Gaitán, Meta, Colombia</v>
      </c>
      <c r="I1654" s="42" t="str">
        <f>Data!Q1652</f>
        <v>Cliente, Vel Max 40 Km/h, Vel Max 30 Km/h, Vel Max 10 Km/h</v>
      </c>
      <c r="J1654" s="43">
        <f>Data!S1652</f>
        <v>46174.619693333334</v>
      </c>
      <c r="K1654" s="44">
        <f>Data!S1652</f>
        <v>46174.619693333334</v>
      </c>
      <c r="L1654" s="45">
        <f>Data!T1652</f>
        <v>3.0502314814814812E-4</v>
      </c>
      <c r="M1654" s="46">
        <f>Data!U1652</f>
        <v>0.18376223742961884</v>
      </c>
      <c r="N1654" s="46" t="str">
        <f>CONCATENATE(Data!W1652," (",Data!V1652,")")</f>
        <v>Exceso Velocidad 10 Km/h (Velocidad máxima: 28 kmh)</v>
      </c>
      <c r="O1654" s="42" t="str">
        <f>IF(Data!V1652&lt;&gt;"",N1654,Data!W1652)</f>
        <v>Exceso Velocidad 10 Km/h (Velocidad máxima: 28 kmh)</v>
      </c>
      <c r="P1654" s="47" t="str">
        <f>Data!X1652</f>
        <v>Válido</v>
      </c>
    </row>
    <row r="1655" spans="1:16">
      <c r="A1655" s="41" t="str">
        <f>Data!A1653</f>
        <v>QLT551</v>
      </c>
      <c r="B1655" s="41" t="str">
        <f>Data!D1653</f>
        <v>Vehicle, Diesel, Frontera Energy Col 2679</v>
      </c>
      <c r="C1655" s="41">
        <f>Data!F1653</f>
        <v>0</v>
      </c>
      <c r="D1655" s="41">
        <f>Data!G1653</f>
        <v>0</v>
      </c>
      <c r="E1655" s="41">
        <f>Data!H1653</f>
        <v>0</v>
      </c>
      <c r="F1655" s="41">
        <f>Data!K1653</f>
        <v>0</v>
      </c>
      <c r="G1655" s="33" t="str">
        <f>Data!M1653</f>
        <v>Exceso Velocidad 30 Km/h</v>
      </c>
      <c r="H1655" s="41" t="str">
        <f>Data!P1653</f>
        <v>ECOPETROL RUBIALES- Quifa - CAÑO SUR, Puerto Triunfo - Estacion Policia: Puerto Gaitan - Rubiales, Puerto Gaitán, Meta, Colombia</v>
      </c>
      <c r="I1655" s="42" t="str">
        <f>Data!Q1653</f>
        <v>Cliente, Vel Max 40 Km/h, Vel Max 30 Km/h</v>
      </c>
      <c r="J1655" s="43">
        <f>Data!S1653</f>
        <v>46174.620111886572</v>
      </c>
      <c r="K1655" s="44">
        <f>Data!S1653</f>
        <v>46174.620111886572</v>
      </c>
      <c r="L1655" s="45">
        <f>Data!T1653</f>
        <v>3.5285879629629632E-4</v>
      </c>
      <c r="M1655" s="46">
        <f>Data!U1653</f>
        <v>0.29007294774055481</v>
      </c>
      <c r="N1655" s="46" t="str">
        <f>CONCATENATE(Data!W1653," (",Data!V1653,")")</f>
        <v>Exceso Velocidad 30 Km/h (Velocidad máxima: 35 kmh)</v>
      </c>
      <c r="O1655" s="42" t="str">
        <f>IF(Data!V1653&lt;&gt;"",N1655,Data!W1653)</f>
        <v>Exceso Velocidad 30 Km/h (Velocidad máxima: 35 kmh)</v>
      </c>
      <c r="P1655" s="47" t="str">
        <f>Data!X1653</f>
        <v>Válido</v>
      </c>
    </row>
    <row r="1656" spans="1:16">
      <c r="A1656" s="41" t="str">
        <f>Data!A1654</f>
        <v>QLT551</v>
      </c>
      <c r="B1656" s="41" t="str">
        <f>Data!D1654</f>
        <v>Vehicle, Diesel, Frontera Energy Col 2679</v>
      </c>
      <c r="C1656" s="41">
        <f>Data!F1654</f>
        <v>0</v>
      </c>
      <c r="D1656" s="41">
        <f>Data!G1654</f>
        <v>0</v>
      </c>
      <c r="E1656" s="41">
        <f>Data!H1654</f>
        <v>0</v>
      </c>
      <c r="F1656" s="41">
        <f>Data!K1654</f>
        <v>0</v>
      </c>
      <c r="G1656" s="33" t="str">
        <f>Data!M1654</f>
        <v>Exceso Velocidad 30 Km/h</v>
      </c>
      <c r="H1656" s="41" t="str">
        <f>Data!P1654</f>
        <v>ECOPETROL RUBIALES- Quifa - CAÑO SUR, Puerto Triunfo - Estacion Policia: Puerto Gaitan - Rubiales, Puerto Gaitán, Meta, Colombia</v>
      </c>
      <c r="I1656" s="42" t="str">
        <f>Data!Q1654</f>
        <v>Cliente, Vel Max 40 Km/h, Vel Max 30 Km/h</v>
      </c>
      <c r="J1656" s="43">
        <f>Data!S1654</f>
        <v>46174.62054783565</v>
      </c>
      <c r="K1656" s="44">
        <f>Data!S1654</f>
        <v>46174.62054783565</v>
      </c>
      <c r="L1656" s="45">
        <f>Data!T1654</f>
        <v>5.8981481481481478E-5</v>
      </c>
      <c r="M1656" s="46">
        <f>Data!U1654</f>
        <v>4.3635353446006775E-2</v>
      </c>
      <c r="N1656" s="46" t="str">
        <f>CONCATENATE(Data!W1654," (",Data!V1654,")")</f>
        <v>Exceso Velocidad 30 Km/h (Velocidad máxima: 33 kmh)</v>
      </c>
      <c r="O1656" s="42" t="str">
        <f>IF(Data!V1654&lt;&gt;"",N1656,Data!W1654)</f>
        <v>Exceso Velocidad 30 Km/h (Velocidad máxima: 33 kmh)</v>
      </c>
      <c r="P1656" s="47" t="str">
        <f>Data!X1654</f>
        <v>Válido</v>
      </c>
    </row>
    <row r="1657" spans="1:16">
      <c r="A1657" s="41" t="str">
        <f>Data!A1655</f>
        <v>QLT551</v>
      </c>
      <c r="B1657" s="41" t="str">
        <f>Data!D1655</f>
        <v>Vehicle, Diesel, Frontera Energy Col 2679</v>
      </c>
      <c r="C1657" s="41">
        <f>Data!F1655</f>
        <v>0</v>
      </c>
      <c r="D1657" s="41">
        <f>Data!G1655</f>
        <v>0</v>
      </c>
      <c r="E1657" s="41">
        <f>Data!H1655</f>
        <v>0</v>
      </c>
      <c r="F1657" s="41">
        <f>Data!K1655</f>
        <v>0</v>
      </c>
      <c r="G1657" s="33" t="str">
        <f>Data!M1655</f>
        <v>Exceso Velocidad 30 Km/h</v>
      </c>
      <c r="H1657" s="41" t="str">
        <f>Data!P1655</f>
        <v>ECOPETROL RUBIALES- Quifa - CAÑO SUR, Puerto Triunfo - Estacion Policia: Puerto Gaitan - Rubiales, Puerto Gaitán, Meta, Colombia</v>
      </c>
      <c r="I1657" s="42" t="str">
        <f>Data!Q1655</f>
        <v>Cliente, Vel Max 40 Km/h, Vel Max 30 Km/h</v>
      </c>
      <c r="J1657" s="43">
        <f>Data!S1655</f>
        <v>46174.62089699084</v>
      </c>
      <c r="K1657" s="44">
        <f>Data!S1655</f>
        <v>46174.62089699084</v>
      </c>
      <c r="L1657" s="45">
        <f>Data!T1655</f>
        <v>2.3437499999999999E-4</v>
      </c>
      <c r="M1657" s="46">
        <f>Data!U1655</f>
        <v>0.17888976633548737</v>
      </c>
      <c r="N1657" s="46" t="str">
        <f>CONCATENATE(Data!W1655," (",Data!V1655,")")</f>
        <v>Exceso Velocidad 30 Km/h (Velocidad máxima: 33 kmh)</v>
      </c>
      <c r="O1657" s="42" t="str">
        <f>IF(Data!V1655&lt;&gt;"",N1657,Data!W1655)</f>
        <v>Exceso Velocidad 30 Km/h (Velocidad máxima: 33 kmh)</v>
      </c>
      <c r="P1657" s="47" t="str">
        <f>Data!X1655</f>
        <v>Válido</v>
      </c>
    </row>
    <row r="1658" spans="1:16">
      <c r="A1658" s="41" t="str">
        <f>Data!A1656</f>
        <v>QLT551</v>
      </c>
      <c r="B1658" s="41" t="str">
        <f>Data!D1656</f>
        <v>Vehicle, Diesel, Frontera Energy Col 2679</v>
      </c>
      <c r="C1658" s="41">
        <f>Data!F1656</f>
        <v>0</v>
      </c>
      <c r="D1658" s="41">
        <f>Data!G1656</f>
        <v>0</v>
      </c>
      <c r="E1658" s="41">
        <f>Data!H1656</f>
        <v>0</v>
      </c>
      <c r="F1658" s="41">
        <f>Data!K1656</f>
        <v>0</v>
      </c>
      <c r="G1658" s="33" t="str">
        <f>Data!M1656</f>
        <v>Exceso Velocidad 30 Km/h</v>
      </c>
      <c r="H1658" s="41" t="str">
        <f>Data!P1656</f>
        <v>ECOPETROL RUBIALES- Quifa - CAÑO SUR, Puerto Triunfo - Estacion Policia: Puerto Gaitan - Rubiales, Puerto Gaitán, Meta, Colombia</v>
      </c>
      <c r="I1658" s="42" t="str">
        <f>Data!Q1656</f>
        <v>Cliente, Vel Max 40 Km/h, Vel Max 30 Km/h</v>
      </c>
      <c r="J1658" s="43">
        <f>Data!S1656</f>
        <v>46174.621518518521</v>
      </c>
      <c r="K1658" s="44">
        <f>Data!S1656</f>
        <v>46174.621518518521</v>
      </c>
      <c r="L1658" s="45">
        <f>Data!T1656</f>
        <v>1.25E-4</v>
      </c>
      <c r="M1658" s="46">
        <f>Data!U1656</f>
        <v>9.6474796533584595E-2</v>
      </c>
      <c r="N1658" s="46" t="str">
        <f>CONCATENATE(Data!W1656," (",Data!V1656,")")</f>
        <v>Exceso Velocidad 30 Km/h (Velocidad máxima: 33 kmh)</v>
      </c>
      <c r="O1658" s="42" t="str">
        <f>IF(Data!V1656&lt;&gt;"",N1658,Data!W1656)</f>
        <v>Exceso Velocidad 30 Km/h (Velocidad máxima: 33 kmh)</v>
      </c>
      <c r="P1658" s="47" t="str">
        <f>Data!X1656</f>
        <v>Válido</v>
      </c>
    </row>
    <row r="1659" spans="1:16">
      <c r="A1659" s="41" t="str">
        <f>Data!A1657</f>
        <v>QLT551</v>
      </c>
      <c r="B1659" s="41" t="str">
        <f>Data!D1657</f>
        <v>Vehicle, Diesel, Frontera Energy Col 2679</v>
      </c>
      <c r="C1659" s="41">
        <f>Data!F1657</f>
        <v>0</v>
      </c>
      <c r="D1659" s="41">
        <f>Data!G1657</f>
        <v>0</v>
      </c>
      <c r="E1659" s="41">
        <f>Data!H1657</f>
        <v>0</v>
      </c>
      <c r="F1659" s="41">
        <f>Data!K1657</f>
        <v>0</v>
      </c>
      <c r="G1659" s="33" t="str">
        <f>Data!M1657</f>
        <v>Exceso Velocidad 30 Km/h</v>
      </c>
      <c r="H1659" s="41" t="str">
        <f>Data!P1657</f>
        <v>ECOPETROL RUBIALES- Quifa - CAÑO SUR, Puerto Triunfo - Estacion Policia: Puerto Gaitan - Rubiales, Puerto Gaitán, Meta, Colombia</v>
      </c>
      <c r="I1659" s="42" t="str">
        <f>Data!Q1657</f>
        <v>Cliente, Vel Max 40 Km/h, Vel Max 30 Km/h</v>
      </c>
      <c r="J1659" s="43">
        <f>Data!S1657</f>
        <v>46174.621958912037</v>
      </c>
      <c r="K1659" s="44">
        <f>Data!S1657</f>
        <v>46174.621958912037</v>
      </c>
      <c r="L1659" s="45">
        <f>Data!T1657</f>
        <v>8.5069444444444445E-5</v>
      </c>
      <c r="M1659" s="46">
        <f>Data!U1657</f>
        <v>6.4067564904689789E-2</v>
      </c>
      <c r="N1659" s="46" t="str">
        <f>CONCATENATE(Data!W1657," (",Data!V1657,")")</f>
        <v>Exceso Velocidad 30 Km/h (Velocidad máxima: 33 kmh)</v>
      </c>
      <c r="O1659" s="42" t="str">
        <f>IF(Data!V1657&lt;&gt;"",N1659,Data!W1657)</f>
        <v>Exceso Velocidad 30 Km/h (Velocidad máxima: 33 kmh)</v>
      </c>
      <c r="P1659" s="47" t="str">
        <f>Data!X1657</f>
        <v>Válido</v>
      </c>
    </row>
    <row r="1660" spans="1:16">
      <c r="A1660" s="41" t="str">
        <f>Data!A1658</f>
        <v>QLT551</v>
      </c>
      <c r="B1660" s="41" t="str">
        <f>Data!D1658</f>
        <v>Vehicle, Diesel, Frontera Energy Col 2679</v>
      </c>
      <c r="C1660" s="41">
        <f>Data!F1658</f>
        <v>0</v>
      </c>
      <c r="D1660" s="41">
        <f>Data!G1658</f>
        <v>0</v>
      </c>
      <c r="E1660" s="41">
        <f>Data!H1658</f>
        <v>0</v>
      </c>
      <c r="F1660" s="41">
        <f>Data!K1658</f>
        <v>0</v>
      </c>
      <c r="G1660" s="33" t="str">
        <f>Data!M1658</f>
        <v>Exceso Velocidad 30 Km/h</v>
      </c>
      <c r="H1660" s="41" t="str">
        <f>Data!P1658</f>
        <v>ECOPETROL RUBIALES- Quifa - CAÑO SUR, Puerto Triunfo - Estacion Policia: Puerto Gaitan - Rubiales, Puerto Gaitán, Meta, Colombia</v>
      </c>
      <c r="I1660" s="42" t="str">
        <f>Data!Q1658</f>
        <v>Cliente, Vel Max 40 Km/h, Vel Max 30 Km/h</v>
      </c>
      <c r="J1660" s="43">
        <f>Data!S1658</f>
        <v>46174.622187499997</v>
      </c>
      <c r="K1660" s="44">
        <f>Data!S1658</f>
        <v>46174.622187499997</v>
      </c>
      <c r="L1660" s="45">
        <f>Data!T1658</f>
        <v>1.4219907407407408E-4</v>
      </c>
      <c r="M1660" s="46">
        <f>Data!U1658</f>
        <v>0.10895577818155289</v>
      </c>
      <c r="N1660" s="46" t="str">
        <f>CONCATENATE(Data!W1658," (",Data!V1658,")")</f>
        <v>Exceso Velocidad 30 Km/h (Velocidad máxima: 33 kmh)</v>
      </c>
      <c r="O1660" s="42" t="str">
        <f>IF(Data!V1658&lt;&gt;"",N1660,Data!W1658)</f>
        <v>Exceso Velocidad 30 Km/h (Velocidad máxima: 33 kmh)</v>
      </c>
      <c r="P1660" s="47" t="str">
        <f>Data!X1658</f>
        <v>Válido</v>
      </c>
    </row>
    <row r="1661" spans="1:16">
      <c r="A1661" s="41" t="str">
        <f>Data!A1659</f>
        <v>QLT551</v>
      </c>
      <c r="B1661" s="41" t="str">
        <f>Data!D1659</f>
        <v>Vehicle, Diesel, Frontera Energy Col 2679</v>
      </c>
      <c r="C1661" s="41">
        <f>Data!F1659</f>
        <v>0</v>
      </c>
      <c r="D1661" s="41">
        <f>Data!G1659</f>
        <v>0</v>
      </c>
      <c r="E1661" s="41">
        <f>Data!H1659</f>
        <v>0</v>
      </c>
      <c r="F1661" s="41">
        <f>Data!K1659</f>
        <v>0</v>
      </c>
      <c r="G1661" s="33" t="str">
        <f>Data!M1659</f>
        <v>Exceso Velocidad 30 Km/h</v>
      </c>
      <c r="H1661" s="41" t="str">
        <f>Data!P1659</f>
        <v>ECOPETROL RUBIALES- Quifa - CAÑO SUR, Puerto Triunfo - Estacion Policia: Puerto Gaitan - Rubiales, Puerto Gaitán, Meta, Colombia</v>
      </c>
      <c r="I1661" s="42" t="str">
        <f>Data!Q1659</f>
        <v>Cliente, Vel Max 40 Km/h, Vel Max 30 Km/h</v>
      </c>
      <c r="J1661" s="43">
        <f>Data!S1659</f>
        <v>46174.622404837966</v>
      </c>
      <c r="K1661" s="44">
        <f>Data!S1659</f>
        <v>46174.622404837966</v>
      </c>
      <c r="L1661" s="45">
        <f>Data!T1659</f>
        <v>5.658564814814815E-5</v>
      </c>
      <c r="M1661" s="46">
        <f>Data!U1659</f>
        <v>3.9634495973587036E-2</v>
      </c>
      <c r="N1661" s="46" t="str">
        <f>CONCATENATE(Data!W1659," (",Data!V1659,")")</f>
        <v>Exceso Velocidad 30 Km/h (Velocidad máxima: 31 kmh)</v>
      </c>
      <c r="O1661" s="42" t="str">
        <f>IF(Data!V1659&lt;&gt;"",N1661,Data!W1659)</f>
        <v>Exceso Velocidad 30 Km/h (Velocidad máxima: 31 kmh)</v>
      </c>
      <c r="P1661" s="47" t="str">
        <f>Data!X1659</f>
        <v>Válido</v>
      </c>
    </row>
    <row r="1662" spans="1:16">
      <c r="A1662" s="41" t="str">
        <f>Data!A1660</f>
        <v>QLT551</v>
      </c>
      <c r="B1662" s="41" t="str">
        <f>Data!D1660</f>
        <v>Vehicle, Diesel, Frontera Energy Col 2679</v>
      </c>
      <c r="C1662" s="41">
        <f>Data!F1660</f>
        <v>0</v>
      </c>
      <c r="D1662" s="41">
        <f>Data!G1660</f>
        <v>0</v>
      </c>
      <c r="E1662" s="41">
        <f>Data!H1660</f>
        <v>0</v>
      </c>
      <c r="F1662" s="41">
        <f>Data!K1660</f>
        <v>0</v>
      </c>
      <c r="G1662" s="33" t="str">
        <f>Data!M1660</f>
        <v>Giro brusco</v>
      </c>
      <c r="H1662" s="41" t="str">
        <f>Data!P1660</f>
        <v>ECOPETROL RUBIALES- Quifa - CAÑO SUR, Puerto Triunfo - Estacion Policia: Puerto Gaitan - Rubiales, Puerto Gaitán, Meta, Colombia</v>
      </c>
      <c r="I1662" s="42" t="str">
        <f>Data!Q1660</f>
        <v>Cliente, Vel Max 40 Km/h, Vel Max 30 Km/h</v>
      </c>
      <c r="J1662" s="43">
        <f>Data!S1660</f>
        <v>46174.622564907404</v>
      </c>
      <c r="K1662" s="44">
        <f>Data!S1660</f>
        <v>46174.622564907404</v>
      </c>
      <c r="L1662" s="45">
        <f>Data!T1660</f>
        <v>2.3148148148148148E-8</v>
      </c>
      <c r="M1662" s="46">
        <f>Data!U1660</f>
        <v>5.4197507779463194E-6</v>
      </c>
      <c r="N1662" s="46" t="str">
        <f>CONCATENATE(Data!W1660," (",Data!V1660,")")</f>
        <v>Giro brusco (Velocidad máxima: 15 kmh Aceleración de lado a lado: -0.47 g-force, Ignición: 1.00)</v>
      </c>
      <c r="O1662" s="42" t="str">
        <f>IF(Data!V1660&lt;&gt;"",N1662,Data!W1660)</f>
        <v>Giro brusco (Velocidad máxima: 15 kmh Aceleración de lado a lado: -0.47 g-force, Ignición: 1.00)</v>
      </c>
      <c r="P1662" s="47" t="str">
        <f>Data!X1660</f>
        <v>Válido</v>
      </c>
    </row>
    <row r="1663" spans="1:16">
      <c r="A1663" s="41" t="str">
        <f>Data!A1661</f>
        <v>QLT551</v>
      </c>
      <c r="B1663" s="41" t="str">
        <f>Data!D1661</f>
        <v>Vehicle, Diesel, Frontera Energy Col 2679</v>
      </c>
      <c r="C1663" s="41">
        <f>Data!F1661</f>
        <v>0</v>
      </c>
      <c r="D1663" s="41">
        <f>Data!G1661</f>
        <v>0</v>
      </c>
      <c r="E1663" s="41">
        <f>Data!H1661</f>
        <v>0</v>
      </c>
      <c r="F1663" s="41">
        <f>Data!K1661</f>
        <v>0</v>
      </c>
      <c r="G1663" s="33" t="str">
        <f>Data!M1661</f>
        <v>Exceso Velocidad 30 Km/h</v>
      </c>
      <c r="H1663" s="41" t="str">
        <f>Data!P1661</f>
        <v>ECOPETROL RUBIALES- Quifa - CAÑO SUR, Puerto Triunfo - Estacion Policia: Puerto Gaitan - Rubiales, Puerto Gaitán, Meta, Colombia</v>
      </c>
      <c r="I1663" s="42" t="str">
        <f>Data!Q1661</f>
        <v>Cliente, Vel Max 40 Km/h, Vel Max 30 Km/h</v>
      </c>
      <c r="J1663" s="43">
        <f>Data!S1661</f>
        <v>46174.622921805552</v>
      </c>
      <c r="K1663" s="44">
        <f>Data!S1661</f>
        <v>46174.622921805552</v>
      </c>
      <c r="L1663" s="45">
        <f>Data!T1661</f>
        <v>1.4888888888888889E-4</v>
      </c>
      <c r="M1663" s="46">
        <f>Data!U1661</f>
        <v>0.11236201226711273</v>
      </c>
      <c r="N1663" s="46" t="str">
        <f>CONCATENATE(Data!W1661," (",Data!V1661,")")</f>
        <v>Exceso Velocidad 30 Km/h (Velocidad máxima: 31 kmh)</v>
      </c>
      <c r="O1663" s="42" t="str">
        <f>IF(Data!V1661&lt;&gt;"",N1663,Data!W1661)</f>
        <v>Exceso Velocidad 30 Km/h (Velocidad máxima: 31 kmh)</v>
      </c>
      <c r="P1663" s="47" t="str">
        <f>Data!X1661</f>
        <v>Válido</v>
      </c>
    </row>
    <row r="1664" spans="1:16">
      <c r="A1664" s="41" t="str">
        <f>Data!A1662</f>
        <v>QLT551</v>
      </c>
      <c r="B1664" s="41" t="str">
        <f>Data!D1662</f>
        <v>Vehicle, Diesel, Frontera Energy Col 2679</v>
      </c>
      <c r="C1664" s="41">
        <f>Data!F1662</f>
        <v>0</v>
      </c>
      <c r="D1664" s="41">
        <f>Data!G1662</f>
        <v>0</v>
      </c>
      <c r="E1664" s="41">
        <f>Data!H1662</f>
        <v>0</v>
      </c>
      <c r="F1664" s="41">
        <f>Data!K1662</f>
        <v>0</v>
      </c>
      <c r="G1664" s="33" t="str">
        <f>Data!M1662</f>
        <v>Tiempo en ralentí</v>
      </c>
      <c r="H1664" s="41" t="str">
        <f>Data!P1662</f>
        <v>ECOPETROL RUBIALES- Quifa - CAÑO SUR: Vía Sin Nombre, Puerto Gaitán, Meta, Colombia</v>
      </c>
      <c r="I1664" s="42" t="str">
        <f>Data!Q1662</f>
        <v>Cliente, Vel Max 40 Km/h</v>
      </c>
      <c r="J1664" s="43">
        <f>Data!S1662</f>
        <v>46174.658391203702</v>
      </c>
      <c r="K1664" s="44">
        <f>Data!S1662</f>
        <v>46174.658391203702</v>
      </c>
      <c r="L1664" s="45">
        <f>Data!T1662</f>
        <v>9.7106481481481488E-3</v>
      </c>
      <c r="M1664" s="46">
        <f>Data!U1662</f>
        <v>0</v>
      </c>
      <c r="N1664" s="46" t="str">
        <f>CONCATENATE(Data!W1662," (",Data!V1662,")")</f>
        <v>Tiempo en ralentí (Ignición: 1.00)</v>
      </c>
      <c r="O1664" s="42" t="str">
        <f>IF(Data!V1662&lt;&gt;"",N1664,Data!W1662)</f>
        <v>Tiempo en ralentí (Ignición: 1.00)</v>
      </c>
      <c r="P1664" s="47" t="str">
        <f>Data!X1662</f>
        <v>Válido</v>
      </c>
    </row>
    <row r="1665" spans="1:16">
      <c r="A1665" s="41" t="str">
        <f>Data!A1663</f>
        <v>QLT551</v>
      </c>
      <c r="B1665" s="41" t="str">
        <f>Data!D1663</f>
        <v>Vehicle, Diesel, Frontera Energy Col 2679</v>
      </c>
      <c r="C1665" s="41">
        <f>Data!F1663</f>
        <v>0</v>
      </c>
      <c r="D1665" s="41">
        <f>Data!G1663</f>
        <v>0</v>
      </c>
      <c r="E1665" s="41">
        <f>Data!H1663</f>
        <v>0</v>
      </c>
      <c r="F1665" s="41">
        <f>Data!K1663</f>
        <v>0</v>
      </c>
      <c r="G1665" s="33" t="str">
        <f>Data!M1663</f>
        <v>Tiempo en ralentí</v>
      </c>
      <c r="H1665" s="41" t="str">
        <f>Data!P1663</f>
        <v>ECOPETROL RUBIALES- Quifa - CAÑO SUR: Vía Sin Nombre, Puerto Gaitán, Meta, Colombia</v>
      </c>
      <c r="I1665" s="42" t="str">
        <f>Data!Q1663</f>
        <v>Cliente, Vel Max 40 Km/h</v>
      </c>
      <c r="J1665" s="43">
        <f>Data!S1663</f>
        <v>46174.678253958336</v>
      </c>
      <c r="K1665" s="44">
        <f>Data!S1663</f>
        <v>46174.678253958336</v>
      </c>
      <c r="L1665" s="45">
        <f>Data!T1663</f>
        <v>1.4095578703703704E-2</v>
      </c>
      <c r="M1665" s="46">
        <f>Data!U1663</f>
        <v>4.7383629716932774E-3</v>
      </c>
      <c r="N1665" s="46" t="str">
        <f>CONCATENATE(Data!W1663," (",Data!V1663,")")</f>
        <v>Tiempo en ralentí (Ignición: 1.00)</v>
      </c>
      <c r="O1665" s="42" t="str">
        <f>IF(Data!V1663&lt;&gt;"",N1665,Data!W1663)</f>
        <v>Tiempo en ralentí (Ignición: 1.00)</v>
      </c>
      <c r="P1665" s="47" t="str">
        <f>Data!X1663</f>
        <v>Válido</v>
      </c>
    </row>
    <row r="1666" spans="1:16">
      <c r="A1666" s="41" t="str">
        <f>Data!A1664</f>
        <v>QLT551</v>
      </c>
      <c r="B1666" s="41" t="str">
        <f>Data!D1664</f>
        <v>Vehicle, Diesel, Frontera Energy Col 2679</v>
      </c>
      <c r="C1666" s="41">
        <f>Data!F1664</f>
        <v>0</v>
      </c>
      <c r="D1666" s="41">
        <f>Data!G1664</f>
        <v>0</v>
      </c>
      <c r="E1666" s="41">
        <f>Data!H1664</f>
        <v>0</v>
      </c>
      <c r="F1666" s="41">
        <f>Data!K1664</f>
        <v>0</v>
      </c>
      <c r="G1666" s="33" t="str">
        <f>Data!M1664</f>
        <v>Giro brusco</v>
      </c>
      <c r="H1666" s="41" t="str">
        <f>Data!P1664</f>
        <v>ECOPETROL RUBIALES- Quifa - CAÑO SUR, Puerto Triunfo - Estacion Policia: vereda puerto triunfo Km 129+300 vía rubiales, Puerto Gaitán, Meta, Colombia</v>
      </c>
      <c r="I1666" s="42" t="str">
        <f>Data!Q1664</f>
        <v>Cliente, Vel Max 40 Km/h, Vel Max 30 Km/h</v>
      </c>
      <c r="J1666" s="43">
        <f>Data!S1664</f>
        <v>46174.698292013891</v>
      </c>
      <c r="K1666" s="44">
        <f>Data!S1664</f>
        <v>46174.698292013891</v>
      </c>
      <c r="L1666" s="45">
        <f>Data!T1664</f>
        <v>2.0833333333333333E-7</v>
      </c>
      <c r="M1666" s="46">
        <f>Data!U1664</f>
        <v>7.3077368142548949E-5</v>
      </c>
      <c r="N1666" s="46" t="str">
        <f>CONCATENATE(Data!W1664," (",Data!V1664,")")</f>
        <v>Giro brusco (Velocidad máxima: 11 kmh Aceleración de lado a lado: -0.49 g-force, Ignición: 1.00)</v>
      </c>
      <c r="O1666" s="42" t="str">
        <f>IF(Data!V1664&lt;&gt;"",N1666,Data!W1664)</f>
        <v>Giro brusco (Velocidad máxima: 11 kmh Aceleración de lado a lado: -0.49 g-force, Ignición: 1.00)</v>
      </c>
      <c r="P1666" s="47" t="str">
        <f>Data!X1664</f>
        <v>Válido</v>
      </c>
    </row>
    <row r="1667" spans="1:16">
      <c r="A1667" s="41" t="str">
        <f>Data!A1665</f>
        <v>QLT551</v>
      </c>
      <c r="B1667" s="41" t="str">
        <f>Data!D1665</f>
        <v>Vehicle, Diesel, Frontera Energy Col 2679</v>
      </c>
      <c r="C1667" s="41">
        <f>Data!F1665</f>
        <v>0</v>
      </c>
      <c r="D1667" s="41">
        <f>Data!G1665</f>
        <v>0</v>
      </c>
      <c r="E1667" s="41">
        <f>Data!H1665</f>
        <v>0</v>
      </c>
      <c r="F1667" s="41">
        <f>Data!K1665</f>
        <v>0</v>
      </c>
      <c r="G1667" s="33" t="str">
        <f>Data!M1665</f>
        <v>Exceso Velocidad 30 Km/h</v>
      </c>
      <c r="H1667" s="41" t="str">
        <f>Data!P1665</f>
        <v>ECOPETROL RUBIALES- Quifa - CAÑO SUR, Puerto Triunfo - Estacion Policia: vereda puerto triunfo Km 129+300 vía rubiales, Puerto Gaitán, Meta, Colombia</v>
      </c>
      <c r="I1667" s="42" t="str">
        <f>Data!Q1665</f>
        <v>Cliente, Vel Max 40 Km/h, Vel Max 30 Km/h</v>
      </c>
      <c r="J1667" s="43">
        <f>Data!S1665</f>
        <v>46174.698599537034</v>
      </c>
      <c r="K1667" s="44">
        <f>Data!S1665</f>
        <v>46174.698599537034</v>
      </c>
      <c r="L1667" s="45">
        <f>Data!T1665</f>
        <v>3.4722222222222222E-5</v>
      </c>
      <c r="M1667" s="46">
        <f>Data!U1665</f>
        <v>2.4750038981437683E-2</v>
      </c>
      <c r="N1667" s="46" t="str">
        <f>CONCATENATE(Data!W1665," (",Data!V1665,")")</f>
        <v>Exceso Velocidad 30 Km/h (Velocidad máxima: 31 kmh)</v>
      </c>
      <c r="O1667" s="42" t="str">
        <f>IF(Data!V1665&lt;&gt;"",N1667,Data!W1665)</f>
        <v>Exceso Velocidad 30 Km/h (Velocidad máxima: 31 kmh)</v>
      </c>
      <c r="P1667" s="47" t="str">
        <f>Data!X1665</f>
        <v>Válido</v>
      </c>
    </row>
    <row r="1668" spans="1:16">
      <c r="A1668" s="41" t="str">
        <f>Data!A1666</f>
        <v>QLT551</v>
      </c>
      <c r="B1668" s="41" t="str">
        <f>Data!D1666</f>
        <v>Vehicle, Diesel, Frontera Energy Col 2679</v>
      </c>
      <c r="C1668" s="41">
        <f>Data!F1666</f>
        <v>0</v>
      </c>
      <c r="D1668" s="41">
        <f>Data!G1666</f>
        <v>0</v>
      </c>
      <c r="E1668" s="41">
        <f>Data!H1666</f>
        <v>0</v>
      </c>
      <c r="F1668" s="41">
        <f>Data!K1666</f>
        <v>0</v>
      </c>
      <c r="G1668" s="33" t="str">
        <f>Data!M1666</f>
        <v>Exceso Velocidad 30 Km/h</v>
      </c>
      <c r="H1668" s="41" t="str">
        <f>Data!P1666</f>
        <v>ECOPETROL RUBIALES- Quifa - CAÑO SUR, Puerto Triunfo - Estacion Policia: Puerto Gaitan - Rubiales, Puerto Gaitán, Meta, Colombia</v>
      </c>
      <c r="I1668" s="42" t="str">
        <f>Data!Q1666</f>
        <v>Cliente, Vel Max 40 Km/h, Vel Max 30 Km/h</v>
      </c>
      <c r="J1668" s="43">
        <f>Data!S1666</f>
        <v>46174.699512233798</v>
      </c>
      <c r="K1668" s="44">
        <f>Data!S1666</f>
        <v>46174.699512233798</v>
      </c>
      <c r="L1668" s="45">
        <f>Data!T1666</f>
        <v>4.1006944444444444E-5</v>
      </c>
      <c r="M1668" s="46">
        <f>Data!U1666</f>
        <v>2.8191655874252319E-2</v>
      </c>
      <c r="N1668" s="46" t="str">
        <f>CONCATENATE(Data!W1666," (",Data!V1666,")")</f>
        <v>Exceso Velocidad 30 Km/h (Velocidad máxima: 31 kmh)</v>
      </c>
      <c r="O1668" s="42" t="str">
        <f>IF(Data!V1666&lt;&gt;"",N1668,Data!W1666)</f>
        <v>Exceso Velocidad 30 Km/h (Velocidad máxima: 31 kmh)</v>
      </c>
      <c r="P1668" s="47" t="str">
        <f>Data!X1666</f>
        <v>Válido</v>
      </c>
    </row>
    <row r="1669" spans="1:16">
      <c r="A1669" s="41" t="str">
        <f>Data!A1667</f>
        <v>QLT551</v>
      </c>
      <c r="B1669" s="41" t="str">
        <f>Data!D1667</f>
        <v>Vehicle, Diesel, Frontera Energy Col 2679</v>
      </c>
      <c r="C1669" s="41">
        <f>Data!F1667</f>
        <v>0</v>
      </c>
      <c r="D1669" s="41">
        <f>Data!G1667</f>
        <v>0</v>
      </c>
      <c r="E1669" s="41">
        <f>Data!H1667</f>
        <v>0</v>
      </c>
      <c r="F1669" s="41">
        <f>Data!K1667</f>
        <v>0</v>
      </c>
      <c r="G1669" s="33" t="str">
        <f>Data!M1667</f>
        <v>Exceso Velocidad 30 Km/h</v>
      </c>
      <c r="H1669" s="41" t="str">
        <f>Data!P1667</f>
        <v>ECOPETROL RUBIALES- Quifa - CAÑO SUR, Puerto Triunfo - Estacion Policia: Puerto Gaitan - Rubiales, Puerto Gaitán, Meta, Colombia</v>
      </c>
      <c r="I1669" s="42" t="str">
        <f>Data!Q1667</f>
        <v>Cliente, Vel Max 40 Km/h, Vel Max 30 Km/h</v>
      </c>
      <c r="J1669" s="43">
        <f>Data!S1667</f>
        <v>46174.699707754633</v>
      </c>
      <c r="K1669" s="44">
        <f>Data!S1667</f>
        <v>46174.699707754633</v>
      </c>
      <c r="L1669" s="45">
        <f>Data!T1667</f>
        <v>8.6018518518518516E-5</v>
      </c>
      <c r="M1669" s="46">
        <f>Data!U1667</f>
        <v>6.4640037715435028E-2</v>
      </c>
      <c r="N1669" s="46" t="str">
        <f>CONCATENATE(Data!W1667," (",Data!V1667,")")</f>
        <v>Exceso Velocidad 30 Km/h (Velocidad máxima: 33 kmh)</v>
      </c>
      <c r="O1669" s="42" t="str">
        <f>IF(Data!V1667&lt;&gt;"",N1669,Data!W1667)</f>
        <v>Exceso Velocidad 30 Km/h (Velocidad máxima: 33 kmh)</v>
      </c>
      <c r="P1669" s="47" t="str">
        <f>Data!X1667</f>
        <v>Válido</v>
      </c>
    </row>
    <row r="1670" spans="1:16">
      <c r="A1670" s="41" t="str">
        <f>Data!A1668</f>
        <v>QLT551</v>
      </c>
      <c r="B1670" s="41" t="str">
        <f>Data!D1668</f>
        <v>Vehicle, Diesel, Frontera Energy Col 2679</v>
      </c>
      <c r="C1670" s="41">
        <f>Data!F1668</f>
        <v>0</v>
      </c>
      <c r="D1670" s="41">
        <f>Data!G1668</f>
        <v>0</v>
      </c>
      <c r="E1670" s="41">
        <f>Data!H1668</f>
        <v>0</v>
      </c>
      <c r="F1670" s="41">
        <f>Data!K1668</f>
        <v>0</v>
      </c>
      <c r="G1670" s="33" t="str">
        <f>Data!M1668</f>
        <v>Exceso Velocidad 30 Km/h</v>
      </c>
      <c r="H1670" s="41" t="str">
        <f>Data!P1668</f>
        <v>ECOPETROL RUBIALES- Quifa - CAÑO SUR, Puerto Triunfo - Estacion Policia: Puerto Gaitan - Rubiales, Puerto Gaitán, Meta, Colombia</v>
      </c>
      <c r="I1670" s="42" t="str">
        <f>Data!Q1668</f>
        <v>Cliente, Vel Max 40 Km/h, Vel Max 30 Km/h</v>
      </c>
      <c r="J1670" s="43">
        <f>Data!S1668</f>
        <v>46174.700810185182</v>
      </c>
      <c r="K1670" s="44">
        <f>Data!S1668</f>
        <v>46174.700810185182</v>
      </c>
      <c r="L1670" s="45">
        <f>Data!T1668</f>
        <v>4.6296296296296294E-5</v>
      </c>
      <c r="M1670" s="46">
        <f>Data!U1668</f>
        <v>3.209298849105835E-2</v>
      </c>
      <c r="N1670" s="46" t="str">
        <f>CONCATENATE(Data!W1668," (",Data!V1668,")")</f>
        <v>Exceso Velocidad 30 Km/h (Velocidad máxima: 31 kmh)</v>
      </c>
      <c r="O1670" s="42" t="str">
        <f>IF(Data!V1668&lt;&gt;"",N1670,Data!W1668)</f>
        <v>Exceso Velocidad 30 Km/h (Velocidad máxima: 31 kmh)</v>
      </c>
      <c r="P1670" s="47" t="str">
        <f>Data!X1668</f>
        <v>Válido</v>
      </c>
    </row>
    <row r="1671" spans="1:16">
      <c r="A1671" s="41" t="str">
        <f>Data!A1669</f>
        <v>QLT551</v>
      </c>
      <c r="B1671" s="41" t="str">
        <f>Data!D1669</f>
        <v>Vehicle, Diesel, Frontera Energy Col 2679</v>
      </c>
      <c r="C1671" s="41">
        <f>Data!F1669</f>
        <v>0</v>
      </c>
      <c r="D1671" s="41">
        <f>Data!G1669</f>
        <v>0</v>
      </c>
      <c r="E1671" s="41">
        <f>Data!H1669</f>
        <v>0</v>
      </c>
      <c r="F1671" s="41">
        <f>Data!K1669</f>
        <v>0</v>
      </c>
      <c r="G1671" s="33" t="str">
        <f>Data!M1669</f>
        <v>Exceso Velocidad 30 Km/h</v>
      </c>
      <c r="H1671" s="41" t="str">
        <f>Data!P1669</f>
        <v>ECOPETROL RUBIALES- Quifa - CAÑO SUR, Puerto Triunfo - Estacion Policia: Puerto Gaitan - Rubiales, Puerto Gaitán, Meta, Colombia</v>
      </c>
      <c r="I1671" s="42" t="str">
        <f>Data!Q1669</f>
        <v>Cliente, Vel Max 40 Km/h, Vel Max 30 Km/h</v>
      </c>
      <c r="J1671" s="43">
        <f>Data!S1669</f>
        <v>46174.701426180553</v>
      </c>
      <c r="K1671" s="44">
        <f>Data!S1669</f>
        <v>46174.701426180553</v>
      </c>
      <c r="L1671" s="45">
        <f>Data!T1669</f>
        <v>1.5368055555555556E-4</v>
      </c>
      <c r="M1671" s="46">
        <f>Data!U1669</f>
        <v>0.11268774420022964</v>
      </c>
      <c r="N1671" s="46" t="str">
        <f>CONCATENATE(Data!W1669," (",Data!V1669,")")</f>
        <v>Exceso Velocidad 30 Km/h (Velocidad máxima: 31 kmh)</v>
      </c>
      <c r="O1671" s="42" t="str">
        <f>IF(Data!V1669&lt;&gt;"",N1671,Data!W1669)</f>
        <v>Exceso Velocidad 30 Km/h (Velocidad máxima: 31 kmh)</v>
      </c>
      <c r="P1671" s="47" t="str">
        <f>Data!X1669</f>
        <v>Válido</v>
      </c>
    </row>
    <row r="1672" spans="1:16">
      <c r="A1672" s="41" t="str">
        <f>Data!A1670</f>
        <v>QLT551</v>
      </c>
      <c r="B1672" s="41" t="str">
        <f>Data!D1670</f>
        <v>Vehicle, Diesel, Frontera Energy Col 2679</v>
      </c>
      <c r="C1672" s="41">
        <f>Data!F1670</f>
        <v>0</v>
      </c>
      <c r="D1672" s="41">
        <f>Data!G1670</f>
        <v>0</v>
      </c>
      <c r="E1672" s="41">
        <f>Data!H1670</f>
        <v>0</v>
      </c>
      <c r="F1672" s="41">
        <f>Data!K1670</f>
        <v>0</v>
      </c>
      <c r="G1672" s="33" t="str">
        <f>Data!M1670</f>
        <v>Exceso Velocidad 30 Km/h</v>
      </c>
      <c r="H1672" s="41" t="str">
        <f>Data!P1670</f>
        <v>ECOPETROL RUBIALES- Quifa - CAÑO SUR, Puerto Triunfo - Estacion Policia: Puerto Gaitan - Rubiales, Puerto Gaitán, Meta, Colombia</v>
      </c>
      <c r="I1672" s="42" t="str">
        <f>Data!Q1670</f>
        <v>Cliente, Vel Max 40 Km/h, Vel Max 30 Km/h</v>
      </c>
      <c r="J1672" s="43">
        <f>Data!S1670</f>
        <v>46174.701666666668</v>
      </c>
      <c r="K1672" s="44">
        <f>Data!S1670</f>
        <v>46174.701666666668</v>
      </c>
      <c r="L1672" s="45">
        <f>Data!T1670</f>
        <v>6.0185185185185187E-5</v>
      </c>
      <c r="M1672" s="46">
        <f>Data!U1670</f>
        <v>4.3793674558401108E-2</v>
      </c>
      <c r="N1672" s="46" t="str">
        <f>CONCATENATE(Data!W1670," (",Data!V1670,")")</f>
        <v>Exceso Velocidad 30 Km/h (Velocidad máxima: 31 kmh)</v>
      </c>
      <c r="O1672" s="42" t="str">
        <f>IF(Data!V1670&lt;&gt;"",N1672,Data!W1670)</f>
        <v>Exceso Velocidad 30 Km/h (Velocidad máxima: 31 kmh)</v>
      </c>
      <c r="P1672" s="47" t="str">
        <f>Data!X1670</f>
        <v>Válido</v>
      </c>
    </row>
    <row r="1673" spans="1:16">
      <c r="A1673" s="41" t="str">
        <f>Data!A1671</f>
        <v>QLT551</v>
      </c>
      <c r="B1673" s="41" t="str">
        <f>Data!D1671</f>
        <v>Vehicle, Diesel, Frontera Energy Col 2679</v>
      </c>
      <c r="C1673" s="41">
        <f>Data!F1671</f>
        <v>0</v>
      </c>
      <c r="D1673" s="41">
        <f>Data!G1671</f>
        <v>0</v>
      </c>
      <c r="E1673" s="41">
        <f>Data!H1671</f>
        <v>0</v>
      </c>
      <c r="F1673" s="41">
        <f>Data!K1671</f>
        <v>0</v>
      </c>
      <c r="G1673" s="33" t="str">
        <f>Data!M1671</f>
        <v>Exceso Velocidad 10 Km/h</v>
      </c>
      <c r="H1673" s="41" t="str">
        <f>Data!P1671</f>
        <v>ECOPETROL RUBIALES- Quifa - CAÑO SUR, Puerto Triunfo - Estacion Policia, PUESTRO CONTROL QUIFA: Puerto Gaitan - Rubiales, Puerto Gaitán, Meta, Colombia</v>
      </c>
      <c r="I1673" s="42" t="str">
        <f>Data!Q1671</f>
        <v>Cliente, Vel Max 40 Km/h, Vel Max 30 Km/h, Vel Max 10 Km/h</v>
      </c>
      <c r="J1673" s="43">
        <f>Data!S1671</f>
        <v>46174.701931446762</v>
      </c>
      <c r="K1673" s="44">
        <f>Data!S1671</f>
        <v>46174.701931446762</v>
      </c>
      <c r="L1673" s="45">
        <f>Data!T1671</f>
        <v>3.2322916666666665E-4</v>
      </c>
      <c r="M1673" s="46">
        <f>Data!U1671</f>
        <v>0.18428535759449005</v>
      </c>
      <c r="N1673" s="46" t="str">
        <f>CONCATENATE(Data!W1671," (",Data!V1671,")")</f>
        <v>Exceso Velocidad 10 Km/h (Velocidad máxima: 26 kmh)</v>
      </c>
      <c r="O1673" s="42" t="str">
        <f>IF(Data!V1671&lt;&gt;"",N1673,Data!W1671)</f>
        <v>Exceso Velocidad 10 Km/h (Velocidad máxima: 26 kmh)</v>
      </c>
      <c r="P1673" s="47" t="str">
        <f>Data!X1671</f>
        <v>Válido</v>
      </c>
    </row>
    <row r="1674" spans="1:16">
      <c r="A1674" s="41" t="str">
        <f>Data!A1672</f>
        <v>QLT551</v>
      </c>
      <c r="B1674" s="41" t="str">
        <f>Data!D1672</f>
        <v>Vehicle, Diesel, Frontera Energy Col 2679</v>
      </c>
      <c r="C1674" s="41">
        <f>Data!F1672</f>
        <v>0</v>
      </c>
      <c r="D1674" s="41">
        <f>Data!G1672</f>
        <v>0</v>
      </c>
      <c r="E1674" s="41">
        <f>Data!H1672</f>
        <v>0</v>
      </c>
      <c r="F1674" s="41">
        <f>Data!K1672</f>
        <v>0</v>
      </c>
      <c r="G1674" s="33" t="str">
        <f>Data!M1672</f>
        <v>Exceso Velocidad 10 Km/h</v>
      </c>
      <c r="H1674" s="41" t="str">
        <f>Data!P1672</f>
        <v>CAMPAMENTO QUIFA, ECOPETROL RUBIALES- Quifa - CAÑO SUR, Puerto Gaitan - Rubiales, Puerto Gaitán, Meta, Colombia: Ent. CAMPAMENTO, Puerto Gaitán, Meta, Colombia</v>
      </c>
      <c r="I1674" s="42" t="str">
        <f>Data!Q1672</f>
        <v>Vel Max 10 Km/h, Cliente, Vel Max 40 Km/h, Centro de servicios del proveedor</v>
      </c>
      <c r="J1674" s="43">
        <f>Data!S1672</f>
        <v>46174.704273217591</v>
      </c>
      <c r="K1674" s="44">
        <f>Data!S1672</f>
        <v>46174.704273217591</v>
      </c>
      <c r="L1674" s="45">
        <f>Data!T1672</f>
        <v>3.2337962962962962E-5</v>
      </c>
      <c r="M1674" s="46">
        <f>Data!U1672</f>
        <v>9.5359589904546738E-3</v>
      </c>
      <c r="N1674" s="46" t="str">
        <f>CONCATENATE(Data!W1672," (",Data!V1672,")")</f>
        <v>Exceso Velocidad 10 Km/h (Velocidad máxima: 13 kmh)</v>
      </c>
      <c r="O1674" s="42" t="str">
        <f>IF(Data!V1672&lt;&gt;"",N1674,Data!W1672)</f>
        <v>Exceso Velocidad 10 Km/h (Velocidad máxima: 13 kmh)</v>
      </c>
      <c r="P1674" s="47" t="str">
        <f>Data!X1672</f>
        <v>Válido</v>
      </c>
    </row>
    <row r="1675" spans="1:16">
      <c r="A1675" s="41" t="str">
        <f>Data!A1673</f>
        <v>QLT551</v>
      </c>
      <c r="B1675" s="41" t="str">
        <f>Data!D1673</f>
        <v>Vehicle, Diesel, Frontera Energy Col 2679</v>
      </c>
      <c r="C1675" s="41">
        <f>Data!F1673</f>
        <v>0</v>
      </c>
      <c r="D1675" s="41">
        <f>Data!G1673</f>
        <v>0</v>
      </c>
      <c r="E1675" s="41">
        <f>Data!H1673</f>
        <v>0</v>
      </c>
      <c r="F1675" s="41">
        <f>Data!K1673</f>
        <v>0</v>
      </c>
      <c r="G1675" s="33" t="str">
        <f>Data!M1673</f>
        <v>Tiempo en ralentí</v>
      </c>
      <c r="H1675" s="41" t="str">
        <f>Data!P1673</f>
        <v>CAMPAMENTO QUIFA, ECOPETROL RUBIALES- Quifa - CAÑO SUR, Puerto Gaitan - Rubiales, Puerto Gaitán, Meta, Colombia, Campamento Quifa - CMA: Ent. CAMPAMENTO, Puerto Gaitán, Meta, Colombia</v>
      </c>
      <c r="I1675" s="42" t="str">
        <f>Data!Q1673</f>
        <v>Vel Max 10 Km/h, Cliente, Vel Max 40 Km/h, Centro de servicios del proveedor</v>
      </c>
      <c r="J1675" s="43">
        <f>Data!S1673</f>
        <v>46174.727731481478</v>
      </c>
      <c r="K1675" s="44">
        <f>Data!S1673</f>
        <v>46174.727731481478</v>
      </c>
      <c r="L1675" s="45">
        <f>Data!T1673</f>
        <v>5.7407407407407407E-3</v>
      </c>
      <c r="M1675" s="46">
        <f>Data!U1673</f>
        <v>0</v>
      </c>
      <c r="N1675" s="46" t="str">
        <f>CONCATENATE(Data!W1673," (",Data!V1673,")")</f>
        <v>Tiempo en ralentí (Ignición: 1.00)</v>
      </c>
      <c r="O1675" s="42" t="str">
        <f>IF(Data!V1673&lt;&gt;"",N1675,Data!W1673)</f>
        <v>Tiempo en ralentí (Ignición: 1.00)</v>
      </c>
      <c r="P1675" s="47" t="str">
        <f>Data!X1673</f>
        <v>Válido</v>
      </c>
    </row>
    <row r="1676" spans="1:16">
      <c r="A1676" s="41" t="str">
        <f>Data!A1674</f>
        <v>QLT551</v>
      </c>
      <c r="B1676" s="41" t="str">
        <f>Data!D1674</f>
        <v>Vehicle, Diesel, Frontera Energy Col 2679</v>
      </c>
      <c r="C1676" s="41">
        <f>Data!F1674</f>
        <v>0</v>
      </c>
      <c r="D1676" s="41">
        <f>Data!G1674</f>
        <v>0</v>
      </c>
      <c r="E1676" s="41">
        <f>Data!H1674</f>
        <v>0</v>
      </c>
      <c r="F1676" s="41">
        <f>Data!K1674</f>
        <v>0</v>
      </c>
      <c r="G1676" s="33" t="str">
        <f>Data!M1674</f>
        <v>Exceso Velocidad 10 Km/h</v>
      </c>
      <c r="H1676" s="41" t="str">
        <f>Data!P1674</f>
        <v>CAMPAMENTO QUIFA, ECOPETROL RUBIALES- Quifa - CAÑO SUR, Puerto Gaitan - Rubiales, Puerto Gaitán, Meta, Colombia, Campamento Quifa - CMA: Ent. CAMPAMENTO, Puerto Gaitán, Meta, Colombia</v>
      </c>
      <c r="I1676" s="42" t="str">
        <f>Data!Q1674</f>
        <v>Vel Max 10 Km/h, Cliente, Vel Max 40 Km/h, Centro de servicios del proveedor</v>
      </c>
      <c r="J1676" s="43">
        <f>Data!S1674</f>
        <v>46174.734255405092</v>
      </c>
      <c r="K1676" s="44">
        <f>Data!S1674</f>
        <v>46174.734255405092</v>
      </c>
      <c r="L1676" s="45">
        <f>Data!T1674</f>
        <v>4.2430555555555558E-5</v>
      </c>
      <c r="M1676" s="46">
        <f>Data!U1674</f>
        <v>1.0878822766244411E-2</v>
      </c>
      <c r="N1676" s="46" t="str">
        <f>CONCATENATE(Data!W1674," (",Data!V1674,")")</f>
        <v>Exceso Velocidad 10 Km/h (Velocidad máxima: 11 kmh)</v>
      </c>
      <c r="O1676" s="42" t="str">
        <f>IF(Data!V1674&lt;&gt;"",N1676,Data!W1674)</f>
        <v>Exceso Velocidad 10 Km/h (Velocidad máxima: 11 kmh)</v>
      </c>
      <c r="P1676" s="47" t="str">
        <f>Data!X1674</f>
        <v>Válido</v>
      </c>
    </row>
    <row r="1677" spans="1:16">
      <c r="A1677" s="41" t="str">
        <f>Data!A1675</f>
        <v>QLT551</v>
      </c>
      <c r="B1677" s="41" t="str">
        <f>Data!D1675</f>
        <v>Vehicle, Diesel, Frontera Energy Col 2679</v>
      </c>
      <c r="C1677" s="41">
        <f>Data!F1675</f>
        <v>0</v>
      </c>
      <c r="D1677" s="41">
        <f>Data!G1675</f>
        <v>0</v>
      </c>
      <c r="E1677" s="41">
        <f>Data!H1675</f>
        <v>0</v>
      </c>
      <c r="F1677" s="41">
        <f>Data!K1675</f>
        <v>0</v>
      </c>
      <c r="G1677" s="33" t="str">
        <f>Data!M1675</f>
        <v>Exceso Velocidad 30 Km/h</v>
      </c>
      <c r="H1677" s="41" t="str">
        <f>Data!P1675</f>
        <v>ECOPETROL RUBIALES- Quifa - CAÑO SUR, Puerto Triunfo - Estacion Policia: Puerto Gaitan - Rubiales, Puerto Gaitán, Meta, Colombia</v>
      </c>
      <c r="I1677" s="42" t="str">
        <f>Data!Q1675</f>
        <v>Cliente, Vel Max 40 Km/h, Vel Max 30 Km/h</v>
      </c>
      <c r="J1677" s="43">
        <f>Data!S1675</f>
        <v>46174.735063657507</v>
      </c>
      <c r="K1677" s="44">
        <f>Data!S1675</f>
        <v>46174.735063657507</v>
      </c>
      <c r="L1677" s="45">
        <f>Data!T1675</f>
        <v>2.3726861851851853E-4</v>
      </c>
      <c r="M1677" s="46">
        <f>Data!U1675</f>
        <v>0.17804498970508575</v>
      </c>
      <c r="N1677" s="46" t="str">
        <f>CONCATENATE(Data!W1675," (",Data!V1675,")")</f>
        <v>Exceso Velocidad 30 Km/h (Velocidad máxima: 31 kmh)</v>
      </c>
      <c r="O1677" s="42" t="str">
        <f>IF(Data!V1675&lt;&gt;"",N1677,Data!W1675)</f>
        <v>Exceso Velocidad 30 Km/h (Velocidad máxima: 31 kmh)</v>
      </c>
      <c r="P1677" s="47" t="str">
        <f>Data!X1675</f>
        <v>Válido</v>
      </c>
    </row>
    <row r="1678" spans="1:16">
      <c r="A1678" s="41" t="str">
        <f>Data!A1676</f>
        <v>QLT551</v>
      </c>
      <c r="B1678" s="41" t="str">
        <f>Data!D1676</f>
        <v>Vehicle, Diesel, Frontera Energy Col 2679</v>
      </c>
      <c r="C1678" s="41">
        <f>Data!F1676</f>
        <v>0</v>
      </c>
      <c r="D1678" s="41">
        <f>Data!G1676</f>
        <v>0</v>
      </c>
      <c r="E1678" s="41">
        <f>Data!H1676</f>
        <v>0</v>
      </c>
      <c r="F1678" s="41">
        <f>Data!K1676</f>
        <v>0</v>
      </c>
      <c r="G1678" s="33" t="str">
        <f>Data!M1676</f>
        <v>Exceso Velocidad 30 Km/h</v>
      </c>
      <c r="H1678" s="41" t="str">
        <f>Data!P1676</f>
        <v>ECOPETROL RUBIALES- Quifa - CAÑO SUR, Puerto Triunfo - Estacion Policia: Puerto Gaitan - Rubiales, Puerto Gaitán, Meta, Colombia</v>
      </c>
      <c r="I1678" s="42" t="str">
        <f>Data!Q1676</f>
        <v>Cliente, Vel Max 40 Km/h, Vel Max 30 Km/h</v>
      </c>
      <c r="J1678" s="43">
        <f>Data!S1676</f>
        <v>46174.735393518517</v>
      </c>
      <c r="K1678" s="44">
        <f>Data!S1676</f>
        <v>46174.735393518517</v>
      </c>
      <c r="L1678" s="45">
        <f>Data!T1676</f>
        <v>3.9861111111111113E-5</v>
      </c>
      <c r="M1678" s="46">
        <f>Data!U1676</f>
        <v>2.8556037694215775E-2</v>
      </c>
      <c r="N1678" s="46" t="str">
        <f>CONCATENATE(Data!W1676," (",Data!V1676,")")</f>
        <v>Exceso Velocidad 30 Km/h (Velocidad máxima: 31 kmh)</v>
      </c>
      <c r="O1678" s="42" t="str">
        <f>IF(Data!V1676&lt;&gt;"",N1678,Data!W1676)</f>
        <v>Exceso Velocidad 30 Km/h (Velocidad máxima: 31 kmh)</v>
      </c>
      <c r="P1678" s="47" t="str">
        <f>Data!X1676</f>
        <v>Válido</v>
      </c>
    </row>
    <row r="1679" spans="1:16">
      <c r="A1679" s="41" t="str">
        <f>Data!A1677</f>
        <v>QLT551</v>
      </c>
      <c r="B1679" s="41" t="str">
        <f>Data!D1677</f>
        <v>Vehicle, Diesel, Frontera Energy Col 2679</v>
      </c>
      <c r="C1679" s="41">
        <f>Data!F1677</f>
        <v>0</v>
      </c>
      <c r="D1679" s="41">
        <f>Data!G1677</f>
        <v>0</v>
      </c>
      <c r="E1679" s="41">
        <f>Data!H1677</f>
        <v>0</v>
      </c>
      <c r="F1679" s="41">
        <f>Data!K1677</f>
        <v>0</v>
      </c>
      <c r="G1679" s="33" t="str">
        <f>Data!M1677</f>
        <v>Exceso Velocidad 30 Km/h</v>
      </c>
      <c r="H1679" s="41" t="str">
        <f>Data!P1677</f>
        <v>ECOPETROL RUBIALES- Quifa - CAÑO SUR, Puerto Triunfo - Estacion Policia: Puerto Gaitan - Rubiales, Puerto Gaitán, Meta, Colombia</v>
      </c>
      <c r="I1679" s="42" t="str">
        <f>Data!Q1677</f>
        <v>Cliente, Vel Max 40 Km/h, Vel Max 30 Km/h</v>
      </c>
      <c r="J1679" s="43">
        <f>Data!S1677</f>
        <v>46174.735588495372</v>
      </c>
      <c r="K1679" s="44">
        <f>Data!S1677</f>
        <v>46174.735588495372</v>
      </c>
      <c r="L1679" s="45">
        <f>Data!T1677</f>
        <v>1.3488425925925926E-4</v>
      </c>
      <c r="M1679" s="46">
        <f>Data!U1677</f>
        <v>0.10074289888143539</v>
      </c>
      <c r="N1679" s="46" t="str">
        <f>CONCATENATE(Data!W1677," (",Data!V1677,")")</f>
        <v>Exceso Velocidad 30 Km/h (Velocidad máxima: 33 kmh)</v>
      </c>
      <c r="O1679" s="42" t="str">
        <f>IF(Data!V1677&lt;&gt;"",N1679,Data!W1677)</f>
        <v>Exceso Velocidad 30 Km/h (Velocidad máxima: 33 kmh)</v>
      </c>
      <c r="P1679" s="47" t="str">
        <f>Data!X1677</f>
        <v>Válido</v>
      </c>
    </row>
    <row r="1680" spans="1:16">
      <c r="A1680" s="41" t="str">
        <f>Data!A1678</f>
        <v>QLT551</v>
      </c>
      <c r="B1680" s="41" t="str">
        <f>Data!D1678</f>
        <v>Vehicle, Diesel, Frontera Energy Col 2679</v>
      </c>
      <c r="C1680" s="41">
        <f>Data!F1678</f>
        <v>0</v>
      </c>
      <c r="D1680" s="41">
        <f>Data!G1678</f>
        <v>0</v>
      </c>
      <c r="E1680" s="41">
        <f>Data!H1678</f>
        <v>0</v>
      </c>
      <c r="F1680" s="41">
        <f>Data!K1678</f>
        <v>0</v>
      </c>
      <c r="G1680" s="33" t="str">
        <f>Data!M1678</f>
        <v>Exceso Velocidad 30 Km/h</v>
      </c>
      <c r="H1680" s="41" t="str">
        <f>Data!P1678</f>
        <v>ECOPETROL RUBIALES- Quifa - CAÑO SUR, Puerto Triunfo - Estacion Policia: Puerto Gaitan - Rubiales, Puerto Gaitán, Meta, Colombia</v>
      </c>
      <c r="I1680" s="42" t="str">
        <f>Data!Q1678</f>
        <v>Cliente, Vel Max 40 Km/h, Vel Max 30 Km/h</v>
      </c>
      <c r="J1680" s="43">
        <f>Data!S1678</f>
        <v>46174.735912037038</v>
      </c>
      <c r="K1680" s="44">
        <f>Data!S1678</f>
        <v>46174.735912037038</v>
      </c>
      <c r="L1680" s="45">
        <f>Data!T1678</f>
        <v>1.7199074074074073E-5</v>
      </c>
      <c r="M1680" s="46">
        <f>Data!U1678</f>
        <v>1.2266203761100769E-2</v>
      </c>
      <c r="N1680" s="46" t="str">
        <f>CONCATENATE(Data!W1678," (",Data!V1678,")")</f>
        <v>Exceso Velocidad 30 Km/h (Velocidad máxima: 31 kmh)</v>
      </c>
      <c r="O1680" s="42" t="str">
        <f>IF(Data!V1678&lt;&gt;"",N1680,Data!W1678)</f>
        <v>Exceso Velocidad 30 Km/h (Velocidad máxima: 31 kmh)</v>
      </c>
      <c r="P1680" s="47" t="str">
        <f>Data!X1678</f>
        <v>Válido</v>
      </c>
    </row>
    <row r="1681" spans="1:16">
      <c r="A1681" s="41" t="str">
        <f>Data!A1679</f>
        <v>QLT551</v>
      </c>
      <c r="B1681" s="41" t="str">
        <f>Data!D1679</f>
        <v>Vehicle, Diesel, Frontera Energy Col 2679</v>
      </c>
      <c r="C1681" s="41">
        <f>Data!F1679</f>
        <v>0</v>
      </c>
      <c r="D1681" s="41">
        <f>Data!G1679</f>
        <v>0</v>
      </c>
      <c r="E1681" s="41">
        <f>Data!H1679</f>
        <v>0</v>
      </c>
      <c r="F1681" s="41">
        <f>Data!K1679</f>
        <v>0</v>
      </c>
      <c r="G1681" s="33" t="str">
        <f>Data!M1679</f>
        <v>Exceso Velocidad 30 Km/h</v>
      </c>
      <c r="H1681" s="41" t="str">
        <f>Data!P1679</f>
        <v>ECOPETROL RUBIALES- Quifa - CAÑO SUR, Puerto Triunfo - Estacion Policia: Puerto Gaitan - Rubiales, Puerto Gaitán, Meta, Colombia</v>
      </c>
      <c r="I1681" s="42" t="str">
        <f>Data!Q1679</f>
        <v>Cliente, Vel Max 40 Km/h, Vel Max 30 Km/h</v>
      </c>
      <c r="J1681" s="43">
        <f>Data!S1679</f>
        <v>46174.736024953701</v>
      </c>
      <c r="K1681" s="44">
        <f>Data!S1679</f>
        <v>46174.736024953701</v>
      </c>
      <c r="L1681" s="45">
        <f>Data!T1679</f>
        <v>2.2500000000000001E-5</v>
      </c>
      <c r="M1681" s="46">
        <f>Data!U1679</f>
        <v>1.6094984486699104E-2</v>
      </c>
      <c r="N1681" s="46" t="str">
        <f>CONCATENATE(Data!W1679," (",Data!V1679,")")</f>
        <v>Exceso Velocidad 30 Km/h (Velocidad máxima: 31 kmh)</v>
      </c>
      <c r="O1681" s="42" t="str">
        <f>IF(Data!V1679&lt;&gt;"",N1681,Data!W1679)</f>
        <v>Exceso Velocidad 30 Km/h (Velocidad máxima: 31 kmh)</v>
      </c>
      <c r="P1681" s="47" t="str">
        <f>Data!X1679</f>
        <v>Válido</v>
      </c>
    </row>
    <row r="1682" spans="1:16">
      <c r="A1682" s="41" t="str">
        <f>Data!A1680</f>
        <v>QLT551</v>
      </c>
      <c r="B1682" s="41" t="str">
        <f>Data!D1680</f>
        <v>Vehicle, Diesel, Frontera Energy Col 2679</v>
      </c>
      <c r="C1682" s="41">
        <f>Data!F1680</f>
        <v>0</v>
      </c>
      <c r="D1682" s="41">
        <f>Data!G1680</f>
        <v>0</v>
      </c>
      <c r="E1682" s="41">
        <f>Data!H1680</f>
        <v>0</v>
      </c>
      <c r="F1682" s="41">
        <f>Data!K1680</f>
        <v>0</v>
      </c>
      <c r="G1682" s="33" t="str">
        <f>Data!M1680</f>
        <v>Exceso Velocidad 10 Km/h</v>
      </c>
      <c r="H1682" s="41" t="str">
        <f>Data!P1680</f>
        <v>ECOPETROL RUBIALES- Quifa - CAÑO SUR, Puerto Triunfo - Estacion Policia, PUESTRO CONTROL QUIFA: Puerto Gaitan - Rubiales, Puerto Gaitán, Meta, Colombia</v>
      </c>
      <c r="I1682" s="42" t="str">
        <f>Data!Q1680</f>
        <v>Cliente, Vel Max 40 Km/h, Vel Max 30 Km/h, Vel Max 10 Km/h</v>
      </c>
      <c r="J1682" s="43">
        <f>Data!S1680</f>
        <v>46174.736357233793</v>
      </c>
      <c r="K1682" s="44">
        <f>Data!S1680</f>
        <v>46174.736357233793</v>
      </c>
      <c r="L1682" s="45">
        <f>Data!T1680</f>
        <v>2.9793981481481479E-4</v>
      </c>
      <c r="M1682" s="46">
        <f>Data!U1680</f>
        <v>0.18333369493484497</v>
      </c>
      <c r="N1682" s="46" t="str">
        <f>CONCATENATE(Data!W1680," (",Data!V1680,")")</f>
        <v>Exceso Velocidad 10 Km/h (Velocidad máxima: 29 kmh)</v>
      </c>
      <c r="O1682" s="42" t="str">
        <f>IF(Data!V1680&lt;&gt;"",N1682,Data!W1680)</f>
        <v>Exceso Velocidad 10 Km/h (Velocidad máxima: 29 kmh)</v>
      </c>
      <c r="P1682" s="47" t="str">
        <f>Data!X1680</f>
        <v>Válido</v>
      </c>
    </row>
    <row r="1683" spans="1:16">
      <c r="A1683" s="41" t="str">
        <f>Data!A1681</f>
        <v>QLT551</v>
      </c>
      <c r="B1683" s="41" t="str">
        <f>Data!D1681</f>
        <v>Vehicle, Diesel, Frontera Energy Col 2679</v>
      </c>
      <c r="C1683" s="41">
        <f>Data!F1681</f>
        <v>0</v>
      </c>
      <c r="D1683" s="41">
        <f>Data!G1681</f>
        <v>0</v>
      </c>
      <c r="E1683" s="41">
        <f>Data!H1681</f>
        <v>0</v>
      </c>
      <c r="F1683" s="41">
        <f>Data!K1681</f>
        <v>0</v>
      </c>
      <c r="G1683" s="33" t="str">
        <f>Data!M1681</f>
        <v>Exceso Velocidad 30 Km/h</v>
      </c>
      <c r="H1683" s="41" t="str">
        <f>Data!P1681</f>
        <v>ECOPETROL RUBIALES- Quifa - CAÑO SUR, Puerto Triunfo - Estacion Policia: Puerto Gaitan - Rubiales, Puerto Gaitán, Meta, Colombia</v>
      </c>
      <c r="I1683" s="42" t="str">
        <f>Data!Q1681</f>
        <v>Cliente, Vel Max 40 Km/h, Vel Max 30 Km/h</v>
      </c>
      <c r="J1683" s="43">
        <f>Data!S1681</f>
        <v>46174.736836064818</v>
      </c>
      <c r="K1683" s="44">
        <f>Data!S1681</f>
        <v>46174.736836064818</v>
      </c>
      <c r="L1683" s="45">
        <f>Data!T1681</f>
        <v>3.2167824074074076E-4</v>
      </c>
      <c r="M1683" s="46">
        <f>Data!U1681</f>
        <v>0.25000786781311035</v>
      </c>
      <c r="N1683" s="46" t="str">
        <f>CONCATENATE(Data!W1681," (",Data!V1681,")")</f>
        <v>Exceso Velocidad 30 Km/h (Velocidad máxima: 33 kmh)</v>
      </c>
      <c r="O1683" s="42" t="str">
        <f>IF(Data!V1681&lt;&gt;"",N1683,Data!W1681)</f>
        <v>Exceso Velocidad 30 Km/h (Velocidad máxima: 33 kmh)</v>
      </c>
      <c r="P1683" s="47" t="str">
        <f>Data!X1681</f>
        <v>Válido</v>
      </c>
    </row>
    <row r="1684" spans="1:16">
      <c r="A1684" s="41" t="str">
        <f>Data!A1682</f>
        <v>QLT551</v>
      </c>
      <c r="B1684" s="41" t="str">
        <f>Data!D1682</f>
        <v>Vehicle, Diesel, Frontera Energy Col 2679</v>
      </c>
      <c r="C1684" s="41">
        <f>Data!F1682</f>
        <v>0</v>
      </c>
      <c r="D1684" s="41">
        <f>Data!G1682</f>
        <v>0</v>
      </c>
      <c r="E1684" s="41">
        <f>Data!H1682</f>
        <v>0</v>
      </c>
      <c r="F1684" s="41">
        <f>Data!K1682</f>
        <v>0</v>
      </c>
      <c r="G1684" s="33" t="str">
        <f>Data!M1682</f>
        <v>Exceso Velocidad 30 Km/h</v>
      </c>
      <c r="H1684" s="41" t="str">
        <f>Data!P1682</f>
        <v>ECOPETROL RUBIALES- Quifa - CAÑO SUR, Puerto Triunfo - Estacion Policia: Puerto Gaitan - Rubiales, Puerto Gaitán, Meta, Colombia</v>
      </c>
      <c r="I1684" s="42" t="str">
        <f>Data!Q1682</f>
        <v>Cliente, Vel Max 40 Km/h, Vel Max 30 Km/h</v>
      </c>
      <c r="J1684" s="43">
        <f>Data!S1682</f>
        <v>46174.737275127314</v>
      </c>
      <c r="K1684" s="44">
        <f>Data!S1682</f>
        <v>46174.737275127314</v>
      </c>
      <c r="L1684" s="45">
        <f>Data!T1682</f>
        <v>1.0913194444444444E-4</v>
      </c>
      <c r="M1684" s="46">
        <f>Data!U1682</f>
        <v>8.0856412649154663E-2</v>
      </c>
      <c r="N1684" s="46" t="str">
        <f>CONCATENATE(Data!W1682," (",Data!V1682,")")</f>
        <v>Exceso Velocidad 30 Km/h (Velocidad máxima: 33 kmh)</v>
      </c>
      <c r="O1684" s="42" t="str">
        <f>IF(Data!V1682&lt;&gt;"",N1684,Data!W1682)</f>
        <v>Exceso Velocidad 30 Km/h (Velocidad máxima: 33 kmh)</v>
      </c>
      <c r="P1684" s="47" t="str">
        <f>Data!X1682</f>
        <v>Válido</v>
      </c>
    </row>
    <row r="1685" spans="1:16">
      <c r="A1685" s="41" t="str">
        <f>Data!A1683</f>
        <v>QLT551</v>
      </c>
      <c r="B1685" s="41" t="str">
        <f>Data!D1683</f>
        <v>Vehicle, Diesel, Frontera Energy Col 2679</v>
      </c>
      <c r="C1685" s="41">
        <f>Data!F1683</f>
        <v>0</v>
      </c>
      <c r="D1685" s="41">
        <f>Data!G1683</f>
        <v>0</v>
      </c>
      <c r="E1685" s="41">
        <f>Data!H1683</f>
        <v>0</v>
      </c>
      <c r="F1685" s="41">
        <f>Data!K1683</f>
        <v>0</v>
      </c>
      <c r="G1685" s="33" t="str">
        <f>Data!M1683</f>
        <v>Exceso Velocidad 30 Km/h</v>
      </c>
      <c r="H1685" s="41" t="str">
        <f>Data!P1683</f>
        <v>ECOPETROL RUBIALES- Quifa - CAÑO SUR, Puerto Triunfo - Estacion Policia: vereda puerto triunfo Km 129+300 vía rubiales, Puerto Gaitán, Meta, Colombia</v>
      </c>
      <c r="I1685" s="42" t="str">
        <f>Data!Q1683</f>
        <v>Cliente, Vel Max 40 Km/h, Vel Max 30 Km/h</v>
      </c>
      <c r="J1685" s="43">
        <f>Data!S1683</f>
        <v>46174.739942129629</v>
      </c>
      <c r="K1685" s="44">
        <f>Data!S1683</f>
        <v>46174.739942129629</v>
      </c>
      <c r="L1685" s="45">
        <f>Data!T1683</f>
        <v>2.8113425925925927E-5</v>
      </c>
      <c r="M1685" s="46">
        <f>Data!U1683</f>
        <v>1.9411081448197365E-2</v>
      </c>
      <c r="N1685" s="46" t="str">
        <f>CONCATENATE(Data!W1683," (",Data!V1683,")")</f>
        <v>Exceso Velocidad 30 Km/h (Velocidad máxima: 31 kmh)</v>
      </c>
      <c r="O1685" s="42" t="str">
        <f>IF(Data!V1683&lt;&gt;"",N1685,Data!W1683)</f>
        <v>Exceso Velocidad 30 Km/h (Velocidad máxima: 31 kmh)</v>
      </c>
      <c r="P1685" s="47" t="str">
        <f>Data!X1683</f>
        <v>Válido</v>
      </c>
    </row>
    <row r="1686" spans="1:16">
      <c r="A1686" s="41" t="str">
        <f>Data!A1684</f>
        <v>QLT551</v>
      </c>
      <c r="B1686" s="41" t="str">
        <f>Data!D1684</f>
        <v>Vehicle, Diesel, Frontera Energy Col 2679</v>
      </c>
      <c r="C1686" s="41">
        <f>Data!F1684</f>
        <v>0</v>
      </c>
      <c r="D1686" s="41">
        <f>Data!G1684</f>
        <v>0</v>
      </c>
      <c r="E1686" s="41">
        <f>Data!H1684</f>
        <v>0</v>
      </c>
      <c r="F1686" s="41">
        <f>Data!K1684</f>
        <v>0</v>
      </c>
      <c r="G1686" s="33" t="str">
        <f>Data!M1684</f>
        <v>Exceso Velocidad 30 Km/h</v>
      </c>
      <c r="H1686" s="41" t="str">
        <f>Data!P1684</f>
        <v>ECOPETROL RUBIALES- Quifa - CAÑO SUR, Puerto Triunfo - Estacion Policia: Puerto Gaitan - Rubiales, Puerto Gaitán, Meta, Colombia</v>
      </c>
      <c r="I1686" s="42" t="str">
        <f>Data!Q1684</f>
        <v>Cliente, Vel Max 40 Km/h, Vel Max 30 Km/h</v>
      </c>
      <c r="J1686" s="43">
        <f>Data!S1684</f>
        <v>46174.746763113428</v>
      </c>
      <c r="K1686" s="44">
        <f>Data!S1684</f>
        <v>46174.746763113428</v>
      </c>
      <c r="L1686" s="45">
        <f>Data!T1684</f>
        <v>1.6979166666666668E-5</v>
      </c>
      <c r="M1686" s="46">
        <f>Data!U1684</f>
        <v>1.1157657019793987E-2</v>
      </c>
      <c r="N1686" s="46" t="str">
        <f>CONCATENATE(Data!W1684," (",Data!V1684,")")</f>
        <v>Exceso Velocidad 30 Km/h (Velocidad máxima: 31 kmh)</v>
      </c>
      <c r="O1686" s="42" t="str">
        <f>IF(Data!V1684&lt;&gt;"",N1686,Data!W1684)</f>
        <v>Exceso Velocidad 30 Km/h (Velocidad máxima: 31 kmh)</v>
      </c>
      <c r="P1686" s="47" t="str">
        <f>Data!X1684</f>
        <v>Válido</v>
      </c>
    </row>
    <row r="1687" spans="1:16">
      <c r="A1687" s="41" t="str">
        <f>Data!A1685</f>
        <v>QLT551</v>
      </c>
      <c r="B1687" s="41" t="str">
        <f>Data!D1685</f>
        <v>Vehicle, Diesel, Frontera Energy Col 2679</v>
      </c>
      <c r="C1687" s="41">
        <f>Data!F1685</f>
        <v>0</v>
      </c>
      <c r="D1687" s="41">
        <f>Data!G1685</f>
        <v>0</v>
      </c>
      <c r="E1687" s="41">
        <f>Data!H1685</f>
        <v>0</v>
      </c>
      <c r="F1687" s="41">
        <f>Data!K1685</f>
        <v>0</v>
      </c>
      <c r="G1687" s="33" t="str">
        <f>Data!M1685</f>
        <v>Exceso Velocidad 30 Km/h</v>
      </c>
      <c r="H1687" s="41" t="str">
        <f>Data!P1685</f>
        <v>ECOPETROL RUBIALES- Quifa - CAÑO SUR, Puerto Triunfo - Estacion Policia: Puerto Gaitan - Rubiales, Puerto Gaitán, Meta, Colombia</v>
      </c>
      <c r="I1687" s="42" t="str">
        <f>Data!Q1685</f>
        <v>Cliente, Vel Max 40 Km/h, Vel Max 30 Km/h</v>
      </c>
      <c r="J1687" s="43">
        <f>Data!S1685</f>
        <v>46174.746932870374</v>
      </c>
      <c r="K1687" s="44">
        <f>Data!S1685</f>
        <v>46174.746932870374</v>
      </c>
      <c r="L1687" s="45">
        <f>Data!T1685</f>
        <v>1.2070601851851851E-4</v>
      </c>
      <c r="M1687" s="46">
        <f>Data!U1685</f>
        <v>9.1228753328323364E-2</v>
      </c>
      <c r="N1687" s="46" t="str">
        <f>CONCATENATE(Data!W1685," (",Data!V1685,")")</f>
        <v>Exceso Velocidad 30 Km/h (Velocidad máxima: 31 kmh)</v>
      </c>
      <c r="O1687" s="42" t="str">
        <f>IF(Data!V1685&lt;&gt;"",N1687,Data!W1685)</f>
        <v>Exceso Velocidad 30 Km/h (Velocidad máxima: 31 kmh)</v>
      </c>
      <c r="P1687" s="47" t="str">
        <f>Data!X1685</f>
        <v>Válido</v>
      </c>
    </row>
    <row r="1688" spans="1:16">
      <c r="A1688" s="41" t="str">
        <f>Data!A1686</f>
        <v>QLT551</v>
      </c>
      <c r="B1688" s="41" t="str">
        <f>Data!D1686</f>
        <v>Vehicle, Diesel, Frontera Energy Col 2679</v>
      </c>
      <c r="C1688" s="41">
        <f>Data!F1686</f>
        <v>0</v>
      </c>
      <c r="D1688" s="41">
        <f>Data!G1686</f>
        <v>0</v>
      </c>
      <c r="E1688" s="41">
        <f>Data!H1686</f>
        <v>0</v>
      </c>
      <c r="F1688" s="41">
        <f>Data!K1686</f>
        <v>0</v>
      </c>
      <c r="G1688" s="33" t="str">
        <f>Data!M1686</f>
        <v>Exceso Velocidad 30 Km/h</v>
      </c>
      <c r="H1688" s="41" t="str">
        <f>Data!P1686</f>
        <v>ECOPETROL RUBIALES- Quifa - CAÑO SUR, Puerto Triunfo - Estacion Policia: Puerto Gaitan - Rubiales, Puerto Gaitán, Meta, Colombia</v>
      </c>
      <c r="I1688" s="42" t="str">
        <f>Data!Q1686</f>
        <v>Cliente, Vel Max 40 Km/h, Vel Max 30 Km/h</v>
      </c>
      <c r="J1688" s="43">
        <f>Data!S1686</f>
        <v>46174.747157743055</v>
      </c>
      <c r="K1688" s="44">
        <f>Data!S1686</f>
        <v>46174.747157743055</v>
      </c>
      <c r="L1688" s="45">
        <f>Data!T1686</f>
        <v>5.675925925925926E-5</v>
      </c>
      <c r="M1688" s="46">
        <f>Data!U1686</f>
        <v>4.074394702911377E-2</v>
      </c>
      <c r="N1688" s="46" t="str">
        <f>CONCATENATE(Data!W1686," (",Data!V1686,")")</f>
        <v>Exceso Velocidad 30 Km/h (Velocidad máxima: 33 kmh)</v>
      </c>
      <c r="O1688" s="42" t="str">
        <f>IF(Data!V1686&lt;&gt;"",N1688,Data!W1686)</f>
        <v>Exceso Velocidad 30 Km/h (Velocidad máxima: 33 kmh)</v>
      </c>
      <c r="P1688" s="47" t="str">
        <f>Data!X1686</f>
        <v>Válido</v>
      </c>
    </row>
    <row r="1689" spans="1:16">
      <c r="A1689" s="41" t="str">
        <f>Data!A1687</f>
        <v>QLT551</v>
      </c>
      <c r="B1689" s="41" t="str">
        <f>Data!D1687</f>
        <v>Vehicle, Diesel, Frontera Energy Col 2679</v>
      </c>
      <c r="C1689" s="41">
        <f>Data!F1687</f>
        <v>0</v>
      </c>
      <c r="D1689" s="41">
        <f>Data!G1687</f>
        <v>0</v>
      </c>
      <c r="E1689" s="41">
        <f>Data!H1687</f>
        <v>0</v>
      </c>
      <c r="F1689" s="41">
        <f>Data!K1687</f>
        <v>0</v>
      </c>
      <c r="G1689" s="33" t="str">
        <f>Data!M1687</f>
        <v>Exceso Velocidad 30 Km/h</v>
      </c>
      <c r="H1689" s="41" t="str">
        <f>Data!P1687</f>
        <v>ECOPETROL RUBIALES- Quifa - CAÑO SUR, Puerto Triunfo - Estacion Policia: Puerto Gaitan - Rubiales, Puerto Gaitán, Meta, Colombia</v>
      </c>
      <c r="I1689" s="42" t="str">
        <f>Data!Q1687</f>
        <v>Cliente, Vel Max 40 Km/h, Vel Max 30 Km/h</v>
      </c>
      <c r="J1689" s="43">
        <f>Data!S1687</f>
        <v>46174.747662037036</v>
      </c>
      <c r="K1689" s="44">
        <f>Data!S1687</f>
        <v>46174.747662037036</v>
      </c>
      <c r="L1689" s="45">
        <f>Data!T1687</f>
        <v>8.6805655555555552E-5</v>
      </c>
      <c r="M1689" s="46">
        <f>Data!U1687</f>
        <v>6.3078954815864563E-2</v>
      </c>
      <c r="N1689" s="46" t="str">
        <f>CONCATENATE(Data!W1687," (",Data!V1687,")")</f>
        <v>Exceso Velocidad 30 Km/h (Velocidad máxima: 31 kmh)</v>
      </c>
      <c r="O1689" s="42" t="str">
        <f>IF(Data!V1687&lt;&gt;"",N1689,Data!W1687)</f>
        <v>Exceso Velocidad 30 Km/h (Velocidad máxima: 31 kmh)</v>
      </c>
      <c r="P1689" s="47" t="str">
        <f>Data!X1687</f>
        <v>Válido</v>
      </c>
    </row>
    <row r="1690" spans="1:16">
      <c r="A1690" s="41" t="str">
        <f>Data!A1688</f>
        <v>QLT551</v>
      </c>
      <c r="B1690" s="41" t="str">
        <f>Data!D1688</f>
        <v>Vehicle, Diesel, Frontera Energy Col 2679</v>
      </c>
      <c r="C1690" s="41">
        <f>Data!F1688</f>
        <v>0</v>
      </c>
      <c r="D1690" s="41">
        <f>Data!G1688</f>
        <v>0</v>
      </c>
      <c r="E1690" s="41">
        <f>Data!H1688</f>
        <v>0</v>
      </c>
      <c r="F1690" s="41">
        <f>Data!K1688</f>
        <v>0</v>
      </c>
      <c r="G1690" s="33" t="str">
        <f>Data!M1688</f>
        <v>Exceso Velocidad 30 Km/h</v>
      </c>
      <c r="H1690" s="41" t="str">
        <f>Data!P1688</f>
        <v>ECOPETROL RUBIALES- Quifa - CAÑO SUR, Puerto Triunfo - Estacion Policia: Puerto Gaitan - Rubiales, Puerto Gaitán, Meta, Colombia</v>
      </c>
      <c r="I1690" s="42" t="str">
        <f>Data!Q1688</f>
        <v>Cliente, Vel Max 40 Km/h, Vel Max 30 Km/h</v>
      </c>
      <c r="J1690" s="43">
        <f>Data!S1688</f>
        <v>46174.748888888891</v>
      </c>
      <c r="K1690" s="44">
        <f>Data!S1688</f>
        <v>46174.748888888891</v>
      </c>
      <c r="L1690" s="45">
        <f>Data!T1688</f>
        <v>5.2083433333333337E-5</v>
      </c>
      <c r="M1690" s="46">
        <f>Data!U1688</f>
        <v>3.8278643041849136E-2</v>
      </c>
      <c r="N1690" s="46" t="str">
        <f>CONCATENATE(Data!W1688," (",Data!V1688,")")</f>
        <v>Exceso Velocidad 30 Km/h (Velocidad máxima: 31 kmh)</v>
      </c>
      <c r="O1690" s="42" t="str">
        <f>IF(Data!V1688&lt;&gt;"",N1690,Data!W1688)</f>
        <v>Exceso Velocidad 30 Km/h (Velocidad máxima: 31 kmh)</v>
      </c>
      <c r="P1690" s="47" t="str">
        <f>Data!X1688</f>
        <v>Válido</v>
      </c>
    </row>
    <row r="1691" spans="1:16">
      <c r="A1691" s="41" t="str">
        <f>Data!A1689</f>
        <v>QLT551</v>
      </c>
      <c r="B1691" s="41" t="str">
        <f>Data!D1689</f>
        <v>Vehicle, Diesel, Frontera Energy Col 2679</v>
      </c>
      <c r="C1691" s="41">
        <f>Data!F1689</f>
        <v>0</v>
      </c>
      <c r="D1691" s="41">
        <f>Data!G1689</f>
        <v>0</v>
      </c>
      <c r="E1691" s="41">
        <f>Data!H1689</f>
        <v>0</v>
      </c>
      <c r="F1691" s="41">
        <f>Data!K1689</f>
        <v>0</v>
      </c>
      <c r="G1691" s="33" t="str">
        <f>Data!M1689</f>
        <v>Exceso Velocidad 30 Km/h</v>
      </c>
      <c r="H1691" s="41" t="str">
        <f>Data!P1689</f>
        <v>ECOPETROL RUBIALES- Quifa - CAÑO SUR, Puerto Triunfo - Estacion Policia: Puerto Gaitan - Rubiales, Puerto Gaitán, Meta, Colombia</v>
      </c>
      <c r="I1691" s="42" t="str">
        <f>Data!Q1689</f>
        <v>Cliente, Vel Max 40 Km/h, Vel Max 30 Km/h</v>
      </c>
      <c r="J1691" s="43">
        <f>Data!S1689</f>
        <v>46174.74908050926</v>
      </c>
      <c r="K1691" s="44">
        <f>Data!S1689</f>
        <v>46174.74908050926</v>
      </c>
      <c r="L1691" s="45">
        <f>Data!T1689</f>
        <v>1.8743055555555557E-4</v>
      </c>
      <c r="M1691" s="46">
        <f>Data!U1689</f>
        <v>0.14481370151042938</v>
      </c>
      <c r="N1691" s="46" t="str">
        <f>CONCATENATE(Data!W1689," (",Data!V1689,")")</f>
        <v>Exceso Velocidad 30 Km/h (Velocidad máxima: 33 kmh)</v>
      </c>
      <c r="O1691" s="42" t="str">
        <f>IF(Data!V1689&lt;&gt;"",N1691,Data!W1689)</f>
        <v>Exceso Velocidad 30 Km/h (Velocidad máxima: 33 kmh)</v>
      </c>
      <c r="P1691" s="47" t="str">
        <f>Data!X1689</f>
        <v>Válido</v>
      </c>
    </row>
    <row r="1692" spans="1:16">
      <c r="A1692" s="41" t="str">
        <f>Data!A1690</f>
        <v>QLT551</v>
      </c>
      <c r="B1692" s="41" t="str">
        <f>Data!D1690</f>
        <v>Vehicle, Diesel, Frontera Energy Col 2679</v>
      </c>
      <c r="C1692" s="41">
        <f>Data!F1690</f>
        <v>0</v>
      </c>
      <c r="D1692" s="41">
        <f>Data!G1690</f>
        <v>0</v>
      </c>
      <c r="E1692" s="41">
        <f>Data!H1690</f>
        <v>0</v>
      </c>
      <c r="F1692" s="41">
        <f>Data!K1690</f>
        <v>0</v>
      </c>
      <c r="G1692" s="33" t="str">
        <f>Data!M1690</f>
        <v>Exceso Velocidad 10 Km/h</v>
      </c>
      <c r="H1692" s="41" t="str">
        <f>Data!P1690</f>
        <v>ECOPETROL RUBIALES- Quifa - CAÑO SUR, Puerto Triunfo - Estacion Policia, PUESTRO CONTROL QUIFA: Puerto Gaitan - Rubiales, Puerto Gaitán, Meta, Colombia</v>
      </c>
      <c r="I1692" s="42" t="str">
        <f>Data!Q1690</f>
        <v>Cliente, Vel Max 40 Km/h, Vel Max 30 Km/h, Vel Max 10 Km/h</v>
      </c>
      <c r="J1692" s="43">
        <f>Data!S1690</f>
        <v>46174.74963943287</v>
      </c>
      <c r="K1692" s="44">
        <f>Data!S1690</f>
        <v>46174.74963943287</v>
      </c>
      <c r="L1692" s="45">
        <f>Data!T1690</f>
        <v>3.8481481481481483E-4</v>
      </c>
      <c r="M1692" s="46">
        <f>Data!U1690</f>
        <v>0.18491466343402863</v>
      </c>
      <c r="N1692" s="46" t="str">
        <f>CONCATENATE(Data!W1690," (",Data!V1690,")")</f>
        <v>Exceso Velocidad 10 Km/h (Velocidad máxima: 24 kmh)</v>
      </c>
      <c r="O1692" s="42" t="str">
        <f>IF(Data!V1690&lt;&gt;"",N1692,Data!W1690)</f>
        <v>Exceso Velocidad 10 Km/h (Velocidad máxima: 24 kmh)</v>
      </c>
      <c r="P1692" s="47" t="str">
        <f>Data!X1690</f>
        <v>Válido</v>
      </c>
    </row>
    <row r="1693" spans="1:16">
      <c r="A1693" s="41" t="str">
        <f>Data!A1691</f>
        <v>QLT551</v>
      </c>
      <c r="B1693" s="41" t="str">
        <f>Data!D1691</f>
        <v>Vehicle, Diesel, Frontera Energy Col 2679</v>
      </c>
      <c r="C1693" s="41">
        <f>Data!F1691</f>
        <v>0</v>
      </c>
      <c r="D1693" s="41">
        <f>Data!G1691</f>
        <v>0</v>
      </c>
      <c r="E1693" s="41">
        <f>Data!H1691</f>
        <v>0</v>
      </c>
      <c r="F1693" s="41">
        <f>Data!K1691</f>
        <v>0</v>
      </c>
      <c r="G1693" s="33" t="str">
        <f>Data!M1691</f>
        <v>Exceso Velocidad 30 Km/h</v>
      </c>
      <c r="H1693" s="41" t="str">
        <f>Data!P1691</f>
        <v>ECOPETROL RUBIALES- Quifa - CAÑO SUR, Puerto Triunfo - Estacion Policia: Puerto Gaitan - Rubiales, Puerto Gaitán, Meta, Colombia</v>
      </c>
      <c r="I1693" s="42" t="str">
        <f>Data!Q1691</f>
        <v>Cliente, Vel Max 40 Km/h, Vel Max 30 Km/h</v>
      </c>
      <c r="J1693" s="43">
        <f>Data!S1691</f>
        <v>46174.751431331017</v>
      </c>
      <c r="K1693" s="44">
        <f>Data!S1691</f>
        <v>46174.751431331017</v>
      </c>
      <c r="L1693" s="45">
        <f>Data!T1691</f>
        <v>2.121875E-4</v>
      </c>
      <c r="M1693" s="46">
        <f>Data!U1691</f>
        <v>0.1547386646270752</v>
      </c>
      <c r="N1693" s="46" t="str">
        <f>CONCATENATE(Data!W1691," (",Data!V1691,")")</f>
        <v>Exceso Velocidad 30 Km/h (Velocidad máxima: 31 kmh)</v>
      </c>
      <c r="O1693" s="42" t="str">
        <f>IF(Data!V1691&lt;&gt;"",N1693,Data!W1691)</f>
        <v>Exceso Velocidad 30 Km/h (Velocidad máxima: 31 kmh)</v>
      </c>
      <c r="P1693" s="47" t="str">
        <f>Data!X1691</f>
        <v>Válido</v>
      </c>
    </row>
    <row r="1694" spans="1:16">
      <c r="A1694" s="41" t="str">
        <f>Data!A1692</f>
        <v>QLT551</v>
      </c>
      <c r="B1694" s="41" t="str">
        <f>Data!D1692</f>
        <v>Vehicle, Diesel, Frontera Energy Col 2679</v>
      </c>
      <c r="C1694" s="41">
        <f>Data!F1692</f>
        <v>0</v>
      </c>
      <c r="D1694" s="41">
        <f>Data!G1692</f>
        <v>0</v>
      </c>
      <c r="E1694" s="41">
        <f>Data!H1692</f>
        <v>0</v>
      </c>
      <c r="F1694" s="41">
        <f>Data!K1692</f>
        <v>0</v>
      </c>
      <c r="G1694" s="33" t="str">
        <f>Data!M1692</f>
        <v>Exceso Velocidad 10 Km/h</v>
      </c>
      <c r="H1694" s="41" t="str">
        <f>Data!P1692</f>
        <v>CAMPAMENTO QUIFA, ECOPETROL RUBIALES- Quifa - CAÑO SUR, Puerto Gaitan - Rubiales, Puerto Gaitán, Meta, Colombia, Puerto Triunfo - Estacion Policia: Ent. CAMPAMENTO, Puerto Gaitán, Meta, Colombia</v>
      </c>
      <c r="I1694" s="42" t="str">
        <f>Data!Q1692</f>
        <v>Vel Max 10 Km/h, Cliente, Vel Max 40 Km/h, Centro de servicios del proveedor, Vel Max 30 Km/h</v>
      </c>
      <c r="J1694" s="43">
        <f>Data!S1692</f>
        <v>46174.752130659719</v>
      </c>
      <c r="K1694" s="44">
        <f>Data!S1692</f>
        <v>46174.752130659719</v>
      </c>
      <c r="L1694" s="45">
        <f>Data!T1692</f>
        <v>2.0011574074074074E-5</v>
      </c>
      <c r="M1694" s="46">
        <f>Data!U1692</f>
        <v>4.7395052388310432E-3</v>
      </c>
      <c r="N1694" s="46" t="str">
        <f>CONCATENATE(Data!W1692," (",Data!V1692,")")</f>
        <v>Exceso Velocidad 10 Km/h (Velocidad máxima: 14 kmh)</v>
      </c>
      <c r="O1694" s="42" t="str">
        <f>IF(Data!V1692&lt;&gt;"",N1694,Data!W1692)</f>
        <v>Exceso Velocidad 10 Km/h (Velocidad máxima: 14 kmh)</v>
      </c>
      <c r="P1694" s="47" t="str">
        <f>Data!X1692</f>
        <v>Válido</v>
      </c>
    </row>
    <row r="1695" spans="1:16">
      <c r="A1695" s="41" t="str">
        <f>Data!A1693</f>
        <v>QLT551</v>
      </c>
      <c r="B1695" s="41" t="str">
        <f>Data!D1693</f>
        <v>Vehicle, Diesel, Frontera Energy Col 2679</v>
      </c>
      <c r="C1695" s="41">
        <f>Data!F1693</f>
        <v>0</v>
      </c>
      <c r="D1695" s="41">
        <f>Data!G1693</f>
        <v>0</v>
      </c>
      <c r="E1695" s="41">
        <f>Data!H1693</f>
        <v>0</v>
      </c>
      <c r="F1695" s="41">
        <f>Data!K1693</f>
        <v>0</v>
      </c>
      <c r="G1695" s="33" t="str">
        <f>Data!M1693</f>
        <v>Exceso Velocidad 10 Km/h</v>
      </c>
      <c r="H1695" s="41" t="str">
        <f>Data!P1693</f>
        <v>CAMPAMENTO QUIFA, ECOPETROL RUBIALES- Quifa - CAÑO SUR, Puerto Gaitan - Rubiales, Puerto Gaitán, Meta, Colombia, Campamento Quifa - CMA: Ent. CAMPAMENTO, Puerto Gaitán, Meta, Colombia</v>
      </c>
      <c r="I1695" s="42" t="str">
        <f>Data!Q1693</f>
        <v>Vel Max 10 Km/h, Cliente, Vel Max 40 Km/h, Centro de servicios del proveedor</v>
      </c>
      <c r="J1695" s="43">
        <f>Data!S1693</f>
        <v>46174.753032407411</v>
      </c>
      <c r="K1695" s="44">
        <f>Data!S1693</f>
        <v>46174.753032407411</v>
      </c>
      <c r="L1695" s="45">
        <f>Data!T1693</f>
        <v>1.273148148148148E-4</v>
      </c>
      <c r="M1695" s="46">
        <f>Data!U1693</f>
        <v>3.4455589950084686E-2</v>
      </c>
      <c r="N1695" s="46" t="str">
        <f>CONCATENATE(Data!W1693," (",Data!V1693,")")</f>
        <v>Exceso Velocidad 10 Km/h (Velocidad máxima: 11 kmh)</v>
      </c>
      <c r="O1695" s="42" t="str">
        <f>IF(Data!V1693&lt;&gt;"",N1695,Data!W1693)</f>
        <v>Exceso Velocidad 10 Km/h (Velocidad máxima: 11 kmh)</v>
      </c>
      <c r="P1695" s="47" t="str">
        <f>Data!X1693</f>
        <v>Válido</v>
      </c>
    </row>
    <row r="1696" spans="1:16">
      <c r="A1696" s="41" t="str">
        <f>Data!A1694</f>
        <v>QLT551</v>
      </c>
      <c r="B1696" s="41" t="str">
        <f>Data!D1694</f>
        <v>Vehicle, Diesel, Frontera Energy Col 2679</v>
      </c>
      <c r="C1696" s="41">
        <f>Data!F1694</f>
        <v>0</v>
      </c>
      <c r="D1696" s="41">
        <f>Data!G1694</f>
        <v>0</v>
      </c>
      <c r="E1696" s="41">
        <f>Data!H1694</f>
        <v>0</v>
      </c>
      <c r="F1696" s="41">
        <f>Data!K1694</f>
        <v>0</v>
      </c>
      <c r="G1696" s="33" t="str">
        <f>Data!M1694</f>
        <v>Exceso Velocidad 10 Km/h</v>
      </c>
      <c r="H1696" s="41" t="str">
        <f>Data!P1694</f>
        <v>CAMPAMENTO QUIFA, ECOPETROL RUBIALES- Quifa - CAÑO SUR, Puerto Gaitan - Rubiales, Puerto Gaitán, Meta, Colombia, Puerto Triunfo - Estacion Policia: Ent. CAMPAMENTO, Puerto Gaitán, Meta, Colombia</v>
      </c>
      <c r="I1696" s="42" t="str">
        <f>Data!Q1694</f>
        <v>Vel Max 10 Km/h, Cliente, Vel Max 40 Km/h, Centro de servicios del proveedor, Vel Max 30 Km/h</v>
      </c>
      <c r="J1696" s="43">
        <f>Data!S1694</f>
        <v>46174.781984953806</v>
      </c>
      <c r="K1696" s="44">
        <f>Data!S1694</f>
        <v>46174.781984953806</v>
      </c>
      <c r="L1696" s="45">
        <f>Data!T1694</f>
        <v>2.3726851851851852E-6</v>
      </c>
      <c r="M1696" s="46">
        <f>Data!U1694</f>
        <v>5.5725680431351066E-4</v>
      </c>
      <c r="N1696" s="46" t="str">
        <f>CONCATENATE(Data!W1694," (",Data!V1694,")")</f>
        <v>Exceso Velocidad 10 Km/h (Velocidad máxima: 11 kmh)</v>
      </c>
      <c r="O1696" s="42" t="str">
        <f>IF(Data!V1694&lt;&gt;"",N1696,Data!W1694)</f>
        <v>Exceso Velocidad 10 Km/h (Velocidad máxima: 11 kmh)</v>
      </c>
      <c r="P1696" s="47" t="str">
        <f>Data!X1694</f>
        <v>Válido</v>
      </c>
    </row>
    <row r="1697" spans="1:16">
      <c r="A1697" s="41" t="str">
        <f>Data!A1695</f>
        <v>QLT551</v>
      </c>
      <c r="B1697" s="41" t="str">
        <f>Data!D1695</f>
        <v>Vehicle, Diesel, Frontera Energy Col 2679</v>
      </c>
      <c r="C1697" s="41">
        <f>Data!F1695</f>
        <v>0</v>
      </c>
      <c r="D1697" s="41">
        <f>Data!G1695</f>
        <v>0</v>
      </c>
      <c r="E1697" s="41">
        <f>Data!H1695</f>
        <v>0</v>
      </c>
      <c r="F1697" s="41">
        <f>Data!K1695</f>
        <v>0</v>
      </c>
      <c r="G1697" s="33" t="str">
        <f>Data!M1695</f>
        <v>Exceso Velocidad 10 Km/h</v>
      </c>
      <c r="H1697" s="41" t="str">
        <f>Data!P1695</f>
        <v>ECOPETROL RUBIALES- Quifa - CAÑO SUR, Campamento Quifa - CMA: Puerto Gaitan - Rubiales, Puerto Gaitán, Meta, Colombia</v>
      </c>
      <c r="I1697" s="42" t="str">
        <f>Data!Q1695</f>
        <v>Cliente, Vel Max 40 Km/h, Vel Max 10 Km/h</v>
      </c>
      <c r="J1697" s="43">
        <f>Data!S1695</f>
        <v>46174.782529560187</v>
      </c>
      <c r="K1697" s="44">
        <f>Data!S1695</f>
        <v>46174.782529560187</v>
      </c>
      <c r="L1697" s="45">
        <f>Data!T1695</f>
        <v>8.1207175925925924E-4</v>
      </c>
      <c r="M1697" s="46">
        <f>Data!U1695</f>
        <v>0.53460711240768433</v>
      </c>
      <c r="N1697" s="46" t="str">
        <f>CONCATENATE(Data!W1695," (",Data!V1695,")")</f>
        <v>Exceso Velocidad 10 Km/h (Velocidad máxima: 29 kmh)</v>
      </c>
      <c r="O1697" s="42" t="str">
        <f>IF(Data!V1695&lt;&gt;"",N1697,Data!W1695)</f>
        <v>Exceso Velocidad 10 Km/h (Velocidad máxima: 29 kmh)</v>
      </c>
      <c r="P1697" s="47" t="str">
        <f>Data!X1695</f>
        <v>Válido</v>
      </c>
    </row>
    <row r="1698" spans="1:16">
      <c r="A1698" s="41" t="str">
        <f>Data!A1696</f>
        <v>QLT551</v>
      </c>
      <c r="B1698" s="41" t="str">
        <f>Data!D1696</f>
        <v>Vehicle, Diesel, Frontera Energy Col 2679</v>
      </c>
      <c r="C1698" s="41">
        <f>Data!F1696</f>
        <v>0</v>
      </c>
      <c r="D1698" s="41">
        <f>Data!G1696</f>
        <v>0</v>
      </c>
      <c r="E1698" s="41">
        <f>Data!H1696</f>
        <v>0</v>
      </c>
      <c r="F1698" s="41">
        <f>Data!K1696</f>
        <v>0</v>
      </c>
      <c r="G1698" s="33" t="str">
        <f>Data!M1696</f>
        <v>Exceso Velocidad 10 Km/h</v>
      </c>
      <c r="H1698" s="41" t="str">
        <f>Data!P1696</f>
        <v>ECOPETROL RUBIALES- Quifa - CAÑO SUR, Campamento Quifa - CMA: Vía Sin Nombre, Puerto Gaitán, Meta, Colombia</v>
      </c>
      <c r="I1698" s="42" t="str">
        <f>Data!Q1696</f>
        <v>Cliente, Vel Max 40 Km/h, Vel Max 10 Km/h</v>
      </c>
      <c r="J1698" s="43">
        <f>Data!S1696</f>
        <v>46174.786912002317</v>
      </c>
      <c r="K1698" s="44">
        <f>Data!S1696</f>
        <v>46174.786912002317</v>
      </c>
      <c r="L1698" s="45">
        <f>Data!T1696</f>
        <v>8.0599537037037033E-4</v>
      </c>
      <c r="M1698" s="46">
        <f>Data!U1696</f>
        <v>0.535908043384552</v>
      </c>
      <c r="N1698" s="46" t="str">
        <f>CONCATENATE(Data!W1696," (",Data!V1696,")")</f>
        <v>Exceso Velocidad 10 Km/h (Velocidad máxima: 35 kmh)</v>
      </c>
      <c r="O1698" s="42" t="str">
        <f>IF(Data!V1696&lt;&gt;"",N1698,Data!W1696)</f>
        <v>Exceso Velocidad 10 Km/h (Velocidad máxima: 35 kmh)</v>
      </c>
      <c r="P1698" s="47" t="str">
        <f>Data!X1696</f>
        <v>Válido</v>
      </c>
    </row>
    <row r="1699" spans="1:16">
      <c r="A1699" s="41" t="str">
        <f>Data!A1697</f>
        <v>QLT551</v>
      </c>
      <c r="B1699" s="41" t="str">
        <f>Data!D1697</f>
        <v>Vehicle, Diesel, Frontera Energy Col 2679</v>
      </c>
      <c r="C1699" s="41">
        <f>Data!F1697</f>
        <v>0</v>
      </c>
      <c r="D1699" s="41">
        <f>Data!G1697</f>
        <v>0</v>
      </c>
      <c r="E1699" s="41">
        <f>Data!H1697</f>
        <v>0</v>
      </c>
      <c r="F1699" s="41">
        <f>Data!K1697</f>
        <v>0</v>
      </c>
      <c r="G1699" s="33" t="str">
        <f>Data!M1697</f>
        <v>Exceso Velocidad 10 Km/h</v>
      </c>
      <c r="H1699" s="41" t="str">
        <f>Data!P1697</f>
        <v>CAMPAMENTO QUIFA, ECOPETROL RUBIALES- Quifa - CAÑO SUR, Puerto Gaitan - Rubiales, Puerto Gaitán, Meta, Colombia, Puerto Triunfo - Estacion Policia: Ent. CAMPAMENTO, Puerto Gaitán, Meta, Colombia</v>
      </c>
      <c r="I1699" s="42" t="str">
        <f>Data!Q1697</f>
        <v>Vel Max 10 Km/h, Cliente, Vel Max 40 Km/h, Centro de servicios del proveedor, Vel Max 30 Km/h</v>
      </c>
      <c r="J1699" s="43">
        <f>Data!S1697</f>
        <v>46174.788088761576</v>
      </c>
      <c r="K1699" s="44">
        <f>Data!S1697</f>
        <v>46174.788088761576</v>
      </c>
      <c r="L1699" s="45">
        <f>Data!T1697</f>
        <v>1.9827546296296295E-4</v>
      </c>
      <c r="M1699" s="46">
        <f>Data!U1697</f>
        <v>8.0283567309379578E-2</v>
      </c>
      <c r="N1699" s="46" t="str">
        <f>CONCATENATE(Data!W1697," (",Data!V1697,")")</f>
        <v>Exceso Velocidad 10 Km/h (Velocidad máxima: 22 kmh)</v>
      </c>
      <c r="O1699" s="42" t="str">
        <f>IF(Data!V1697&lt;&gt;"",N1699,Data!W1697)</f>
        <v>Exceso Velocidad 10 Km/h (Velocidad máxima: 22 kmh)</v>
      </c>
      <c r="P1699" s="47" t="str">
        <f>Data!X1697</f>
        <v>Válido</v>
      </c>
    </row>
    <row r="1700" spans="1:16">
      <c r="A1700" s="41" t="str">
        <f>Data!A1698</f>
        <v>QLT551</v>
      </c>
      <c r="B1700" s="41" t="str">
        <f>Data!D1698</f>
        <v>Vehicle, Diesel, Frontera Energy Col 2679</v>
      </c>
      <c r="C1700" s="41">
        <f>Data!F1698</f>
        <v>0</v>
      </c>
      <c r="D1700" s="41">
        <f>Data!G1698</f>
        <v>0</v>
      </c>
      <c r="E1700" s="41">
        <f>Data!H1698</f>
        <v>0</v>
      </c>
      <c r="F1700" s="41">
        <f>Data!K1698</f>
        <v>0</v>
      </c>
      <c r="G1700" s="33" t="str">
        <f>Data!M1698</f>
        <v>Exceso Velocidad 10 Km/h</v>
      </c>
      <c r="H1700" s="41" t="str">
        <f>Data!P1698</f>
        <v>CAMPAMENTO QUIFA, ECOPETROL RUBIALES- Quifa - CAÑO SUR, Puerto Triunfo - Estacion Policia: Puerto Gaitan - Rubiales, Puerto Gaitán, Meta, Colombia</v>
      </c>
      <c r="I1700" s="42" t="str">
        <f>Data!Q1698</f>
        <v>Vel Max 10 Km/h, Cliente, Vel Max 40 Km/h, Vel Max 30 Km/h</v>
      </c>
      <c r="J1700" s="43">
        <f>Data!S1698</f>
        <v>46174.788287037038</v>
      </c>
      <c r="K1700" s="44">
        <f>Data!S1698</f>
        <v>46174.788287037038</v>
      </c>
      <c r="L1700" s="45">
        <f>Data!T1698</f>
        <v>1.9684027777777777E-4</v>
      </c>
      <c r="M1700" s="46">
        <f>Data!U1698</f>
        <v>8.5776068270206451E-2</v>
      </c>
      <c r="N1700" s="46" t="str">
        <f>CONCATENATE(Data!W1698," (",Data!V1698,")")</f>
        <v>Exceso Velocidad 10 Km/h (Velocidad máxima: 20 kmh)</v>
      </c>
      <c r="O1700" s="42" t="str">
        <f>IF(Data!V1698&lt;&gt;"",N1700,Data!W1698)</f>
        <v>Exceso Velocidad 10 Km/h (Velocidad máxima: 20 kmh)</v>
      </c>
      <c r="P1700" s="47" t="str">
        <f>Data!X1698</f>
        <v>Válido</v>
      </c>
    </row>
    <row r="1701" spans="1:16">
      <c r="A1701" s="41" t="str">
        <f>Data!A1699</f>
        <v>QLT551</v>
      </c>
      <c r="B1701" s="41" t="str">
        <f>Data!D1699</f>
        <v>Vehicle, Diesel, Frontera Energy Col 2679</v>
      </c>
      <c r="C1701" s="41">
        <f>Data!F1699</f>
        <v>0</v>
      </c>
      <c r="D1701" s="41">
        <f>Data!G1699</f>
        <v>0</v>
      </c>
      <c r="E1701" s="41">
        <f>Data!H1699</f>
        <v>0</v>
      </c>
      <c r="F1701" s="41">
        <f>Data!K1699</f>
        <v>0</v>
      </c>
      <c r="G1701" s="33" t="str">
        <f>Data!M1699</f>
        <v>Exceso Velocidad 40 Km/h</v>
      </c>
      <c r="H1701" s="41" t="str">
        <f>Data!P1699</f>
        <v>ECOPETROL RUBIALES- Quifa - CAÑO SUR: Puerto Gaitan - Rubiales, Puerto Gaitán, Meta, Colombia</v>
      </c>
      <c r="I1701" s="42" t="str">
        <f>Data!Q1699</f>
        <v>Cliente, Vel Max 40 Km/h</v>
      </c>
      <c r="J1701" s="43">
        <f>Data!S1699</f>
        <v>46174.790462962963</v>
      </c>
      <c r="K1701" s="44">
        <f>Data!S1699</f>
        <v>46174.790462962963</v>
      </c>
      <c r="L1701" s="45">
        <f>Data!T1699</f>
        <v>8.3333333333333331E-5</v>
      </c>
      <c r="M1701" s="46">
        <f>Data!U1699</f>
        <v>7.9501152038574219E-2</v>
      </c>
      <c r="N1701" s="46" t="str">
        <f>CONCATENATE(Data!W1699," (",Data!V1699,")")</f>
        <v>Exceso Velocidad 40 Km/h (Velocidad máxima: 42 kmh)</v>
      </c>
      <c r="O1701" s="42" t="str">
        <f>IF(Data!V1699&lt;&gt;"",N1701,Data!W1699)</f>
        <v>Exceso Velocidad 40 Km/h (Velocidad máxima: 42 kmh)</v>
      </c>
      <c r="P1701" s="47" t="str">
        <f>Data!X1699</f>
        <v>Válido</v>
      </c>
    </row>
    <row r="1702" spans="1:16">
      <c r="A1702" s="41" t="str">
        <f>Data!A1700</f>
        <v>QLT551</v>
      </c>
      <c r="B1702" s="41" t="str">
        <f>Data!D1700</f>
        <v>Vehicle, Diesel, Frontera Energy Col 2679</v>
      </c>
      <c r="C1702" s="41">
        <f>Data!F1700</f>
        <v>0</v>
      </c>
      <c r="D1702" s="41">
        <f>Data!G1700</f>
        <v>0</v>
      </c>
      <c r="E1702" s="41">
        <f>Data!H1700</f>
        <v>0</v>
      </c>
      <c r="F1702" s="41">
        <f>Data!K1700</f>
        <v>0</v>
      </c>
      <c r="G1702" s="33" t="str">
        <f>Data!M1700</f>
        <v>Exceso Velocidad 40 Km/h</v>
      </c>
      <c r="H1702" s="41" t="str">
        <f>Data!P1700</f>
        <v>ECOPETROL RUBIALES- Quifa - CAÑO SUR: Vía Sin Nombre, Puerto Gaitán, Meta, Colombia</v>
      </c>
      <c r="I1702" s="42" t="str">
        <f>Data!Q1700</f>
        <v>Cliente, Vel Max 40 Km/h</v>
      </c>
      <c r="J1702" s="43">
        <f>Data!S1700</f>
        <v>46174.791184895832</v>
      </c>
      <c r="K1702" s="44">
        <f>Data!S1700</f>
        <v>46174.791184895832</v>
      </c>
      <c r="L1702" s="45">
        <f>Data!T1700</f>
        <v>1.5190972222222222E-4</v>
      </c>
      <c r="M1702" s="46">
        <f>Data!U1700</f>
        <v>0.14971043169498444</v>
      </c>
      <c r="N1702" s="46" t="str">
        <f>CONCATENATE(Data!W1700," (",Data!V1700,")")</f>
        <v>Exceso Velocidad 40 Km/h (Velocidad máxima: 42 kmh)</v>
      </c>
      <c r="O1702" s="42" t="str">
        <f>IF(Data!V1700&lt;&gt;"",N1702,Data!W1700)</f>
        <v>Exceso Velocidad 40 Km/h (Velocidad máxima: 42 kmh)</v>
      </c>
      <c r="P1702" s="47" t="str">
        <f>Data!X1700</f>
        <v>Válido</v>
      </c>
    </row>
    <row r="1703" spans="1:16">
      <c r="A1703" s="41" t="str">
        <f>Data!A1701</f>
        <v>QLT551</v>
      </c>
      <c r="B1703" s="41" t="str">
        <f>Data!D1701</f>
        <v>Vehicle, Diesel, Frontera Energy Col 2679</v>
      </c>
      <c r="C1703" s="41">
        <f>Data!F1701</f>
        <v>0</v>
      </c>
      <c r="D1703" s="41">
        <f>Data!G1701</f>
        <v>0</v>
      </c>
      <c r="E1703" s="41">
        <f>Data!H1701</f>
        <v>0</v>
      </c>
      <c r="F1703" s="41">
        <f>Data!K1701</f>
        <v>0</v>
      </c>
      <c r="G1703" s="33" t="str">
        <f>Data!M1701</f>
        <v>Exceso Velocidad 40 Km/h</v>
      </c>
      <c r="H1703" s="41" t="str">
        <f>Data!P1701</f>
        <v>ECOPETROL RUBIALES- Quifa - CAÑO SUR: Vía Sin Nombre, Puerto Gaitán, Meta, Colombia</v>
      </c>
      <c r="I1703" s="42" t="str">
        <f>Data!Q1701</f>
        <v>Cliente, Vel Max 40 Km/h</v>
      </c>
      <c r="J1703" s="43">
        <f>Data!S1701</f>
        <v>46174.791446759256</v>
      </c>
      <c r="K1703" s="44">
        <f>Data!S1701</f>
        <v>46174.791446759256</v>
      </c>
      <c r="L1703" s="45">
        <f>Data!T1701</f>
        <v>9.2592592592592588E-5</v>
      </c>
      <c r="M1703" s="46">
        <f>Data!U1701</f>
        <v>8.5796244442462921E-2</v>
      </c>
      <c r="N1703" s="46" t="str">
        <f>CONCATENATE(Data!W1701," (",Data!V1701,")")</f>
        <v>Exceso Velocidad 40 Km/h (Velocidad máxima: 41 kmh)</v>
      </c>
      <c r="O1703" s="42" t="str">
        <f>IF(Data!V1701&lt;&gt;"",N1703,Data!W1701)</f>
        <v>Exceso Velocidad 40 Km/h (Velocidad máxima: 41 kmh)</v>
      </c>
      <c r="P1703" s="47" t="str">
        <f>Data!X1701</f>
        <v>Válido</v>
      </c>
    </row>
    <row r="1704" spans="1:16">
      <c r="A1704" s="41" t="str">
        <f>Data!A1702</f>
        <v>QLT551</v>
      </c>
      <c r="B1704" s="41" t="str">
        <f>Data!D1702</f>
        <v>Vehicle, Diesel, Frontera Energy Col 2679</v>
      </c>
      <c r="C1704" s="41">
        <f>Data!F1702</f>
        <v>0</v>
      </c>
      <c r="D1704" s="41">
        <f>Data!G1702</f>
        <v>0</v>
      </c>
      <c r="E1704" s="41">
        <f>Data!H1702</f>
        <v>0</v>
      </c>
      <c r="F1704" s="41">
        <f>Data!K1702</f>
        <v>0</v>
      </c>
      <c r="G1704" s="33" t="str">
        <f>Data!M1702</f>
        <v>Exceso Velocidad 40 Km/h</v>
      </c>
      <c r="H1704" s="41" t="str">
        <f>Data!P1702</f>
        <v>ECOPETROL RUBIALES- Quifa - CAÑO SUR: Via Quifa 13, Puerto Gaitán, Meta, Colombia</v>
      </c>
      <c r="I1704" s="42" t="str">
        <f>Data!Q1702</f>
        <v>Cliente, Vel Max 40 Km/h</v>
      </c>
      <c r="J1704" s="43">
        <f>Data!S1702</f>
        <v>46174.792384259257</v>
      </c>
      <c r="K1704" s="44">
        <f>Data!S1702</f>
        <v>46174.792384259257</v>
      </c>
      <c r="L1704" s="45">
        <f>Data!T1702</f>
        <v>1.7071759259259259E-4</v>
      </c>
      <c r="M1704" s="46">
        <f>Data!U1702</f>
        <v>0.16307908296585083</v>
      </c>
      <c r="N1704" s="46" t="str">
        <f>CONCATENATE(Data!W1702," (",Data!V1702,")")</f>
        <v>Exceso Velocidad 40 Km/h (Velocidad máxima: 41 kmh)</v>
      </c>
      <c r="O1704" s="42" t="str">
        <f>IF(Data!V1702&lt;&gt;"",N1704,Data!W1702)</f>
        <v>Exceso Velocidad 40 Km/h (Velocidad máxima: 41 kmh)</v>
      </c>
      <c r="P1704" s="47" t="str">
        <f>Data!X1702</f>
        <v>Válido</v>
      </c>
    </row>
    <row r="1705" spans="1:16">
      <c r="A1705" s="41" t="str">
        <f>Data!A1703</f>
        <v>QLT551</v>
      </c>
      <c r="B1705" s="41" t="str">
        <f>Data!D1703</f>
        <v>Vehicle, Diesel, Frontera Energy Col 2679</v>
      </c>
      <c r="C1705" s="41">
        <f>Data!F1703</f>
        <v>0</v>
      </c>
      <c r="D1705" s="41">
        <f>Data!G1703</f>
        <v>0</v>
      </c>
      <c r="E1705" s="41">
        <f>Data!H1703</f>
        <v>0</v>
      </c>
      <c r="F1705" s="41">
        <f>Data!K1703</f>
        <v>0</v>
      </c>
      <c r="G1705" s="33" t="str">
        <f>Data!M1703</f>
        <v>Exceso Velocidad 40 Km/h</v>
      </c>
      <c r="H1705" s="41" t="str">
        <f>Data!P1703</f>
        <v>ECOPETROL RUBIALES- Quifa - CAÑO SUR: Via Quifa 13, Puerto Gaitán, Meta, Colombia</v>
      </c>
      <c r="I1705" s="42" t="str">
        <f>Data!Q1703</f>
        <v>Cliente, Vel Max 40 Km/h</v>
      </c>
      <c r="J1705" s="43">
        <f>Data!S1703</f>
        <v>46174.792815393521</v>
      </c>
      <c r="K1705" s="44">
        <f>Data!S1703</f>
        <v>46174.792815393521</v>
      </c>
      <c r="L1705" s="45">
        <f>Data!T1703</f>
        <v>4.6296296296296294E-5</v>
      </c>
      <c r="M1705" s="46">
        <f>Data!U1703</f>
        <v>4.35287244617939E-2</v>
      </c>
      <c r="N1705" s="46" t="str">
        <f>CONCATENATE(Data!W1703," (",Data!V1703,")")</f>
        <v>Exceso Velocidad 40 Km/h (Velocidad máxima: 41 kmh)</v>
      </c>
      <c r="O1705" s="42" t="str">
        <f>IF(Data!V1703&lt;&gt;"",N1705,Data!W1703)</f>
        <v>Exceso Velocidad 40 Km/h (Velocidad máxima: 41 kmh)</v>
      </c>
      <c r="P1705" s="47" t="str">
        <f>Data!X1703</f>
        <v>Válido</v>
      </c>
    </row>
    <row r="1706" spans="1:16">
      <c r="A1706" s="41" t="str">
        <f>Data!A1704</f>
        <v>QLT551</v>
      </c>
      <c r="B1706" s="41" t="str">
        <f>Data!D1704</f>
        <v>Vehicle, Diesel, Frontera Energy Col 2679</v>
      </c>
      <c r="C1706" s="41">
        <f>Data!F1704</f>
        <v>0</v>
      </c>
      <c r="D1706" s="41">
        <f>Data!G1704</f>
        <v>0</v>
      </c>
      <c r="E1706" s="41">
        <f>Data!H1704</f>
        <v>0</v>
      </c>
      <c r="F1706" s="41">
        <f>Data!K1704</f>
        <v>0</v>
      </c>
      <c r="G1706" s="33" t="str">
        <f>Data!M1704</f>
        <v>Tiempo en ralentí</v>
      </c>
      <c r="H1706" s="41" t="str">
        <f>Data!P1704</f>
        <v>ECOPETROL RUBIALES- Quifa - CAÑO SUR: Vía Sin Nombre, Puerto Gaitán, Meta, Colombia</v>
      </c>
      <c r="I1706" s="42" t="str">
        <f>Data!Q1704</f>
        <v>Cliente, Vel Max 40 Km/h</v>
      </c>
      <c r="J1706" s="43">
        <f>Data!S1704</f>
        <v>46174.795347222222</v>
      </c>
      <c r="K1706" s="44">
        <f>Data!S1704</f>
        <v>46174.795347222222</v>
      </c>
      <c r="L1706" s="45">
        <f>Data!T1704</f>
        <v>4.1666666666666666E-3</v>
      </c>
      <c r="M1706" s="46">
        <f>Data!U1704</f>
        <v>0</v>
      </c>
      <c r="N1706" s="46" t="str">
        <f>CONCATENATE(Data!W1704," (",Data!V1704,")")</f>
        <v>Tiempo en ralentí (Ignición: 1.00)</v>
      </c>
      <c r="O1706" s="42" t="str">
        <f>IF(Data!V1704&lt;&gt;"",N1706,Data!W1704)</f>
        <v>Tiempo en ralentí (Ignición: 1.00)</v>
      </c>
      <c r="P1706" s="47" t="str">
        <f>Data!X1704</f>
        <v>Válido</v>
      </c>
    </row>
    <row r="1707" spans="1:16">
      <c r="A1707" s="41" t="str">
        <f>Data!A1705</f>
        <v>QLT551</v>
      </c>
      <c r="B1707" s="41" t="str">
        <f>Data!D1705</f>
        <v>Vehicle, Diesel, Frontera Energy Col 2679</v>
      </c>
      <c r="C1707" s="41">
        <f>Data!F1705</f>
        <v>0</v>
      </c>
      <c r="D1707" s="41">
        <f>Data!G1705</f>
        <v>0</v>
      </c>
      <c r="E1707" s="41">
        <f>Data!H1705</f>
        <v>0</v>
      </c>
      <c r="F1707" s="41">
        <f>Data!K1705</f>
        <v>0</v>
      </c>
      <c r="G1707" s="33" t="str">
        <f>Data!M1705</f>
        <v>Tiempo en ralentí</v>
      </c>
      <c r="H1707" s="41" t="str">
        <f>Data!P1705</f>
        <v>ECOPETROL RUBIALES- Quifa - CAÑO SUR: Vía Sin Nombre, Puerto Gaitán, Meta, Colombia</v>
      </c>
      <c r="I1707" s="42" t="str">
        <f>Data!Q1705</f>
        <v>Cliente, Vel Max 40 Km/h</v>
      </c>
      <c r="J1707" s="43">
        <f>Data!S1705</f>
        <v>46174.799988425926</v>
      </c>
      <c r="K1707" s="44">
        <f>Data!S1705</f>
        <v>46174.799988425926</v>
      </c>
      <c r="L1707" s="45">
        <f>Data!T1705</f>
        <v>1.7001724537037036E-2</v>
      </c>
      <c r="M1707" s="46">
        <f>Data!U1705</f>
        <v>0</v>
      </c>
      <c r="N1707" s="46" t="str">
        <f>CONCATENATE(Data!W1705," (",Data!V1705,")")</f>
        <v>Tiempo en ralentí (Ignición: 1.00)</v>
      </c>
      <c r="O1707" s="42" t="str">
        <f>IF(Data!V1705&lt;&gt;"",N1707,Data!W1705)</f>
        <v>Tiempo en ralentí (Ignición: 1.00)</v>
      </c>
      <c r="P1707" s="47" t="str">
        <f>Data!X1705</f>
        <v>Válido</v>
      </c>
    </row>
    <row r="1708" spans="1:16">
      <c r="A1708" s="41" t="str">
        <f>Data!A1706</f>
        <v>QLT551</v>
      </c>
      <c r="B1708" s="41" t="str">
        <f>Data!D1706</f>
        <v>Vehicle, Diesel, Frontera Energy Col 2679</v>
      </c>
      <c r="C1708" s="41">
        <f>Data!F1706</f>
        <v>0</v>
      </c>
      <c r="D1708" s="41">
        <f>Data!G1706</f>
        <v>0</v>
      </c>
      <c r="E1708" s="41">
        <f>Data!H1706</f>
        <v>0</v>
      </c>
      <c r="F1708" s="41">
        <f>Data!K1706</f>
        <v>0</v>
      </c>
      <c r="G1708" s="33" t="str">
        <f>Data!M1706</f>
        <v>Tiempo en ralentí</v>
      </c>
      <c r="H1708" s="41" t="str">
        <f>Data!P1706</f>
        <v>ECOPETROL RUBIALES- Quifa - CAÑO SUR: Vía Sin Nombre, Puerto Gaitán, Meta, Colombia</v>
      </c>
      <c r="I1708" s="42" t="str">
        <f>Data!Q1706</f>
        <v>Cliente, Vel Max 40 Km/h</v>
      </c>
      <c r="J1708" s="43">
        <f>Data!S1706</f>
        <v>46174.892895555553</v>
      </c>
      <c r="K1708" s="44">
        <f>Data!S1706</f>
        <v>46174.892895555553</v>
      </c>
      <c r="L1708" s="45">
        <f>Data!T1706</f>
        <v>8.4598495370370366E-3</v>
      </c>
      <c r="M1708" s="46">
        <f>Data!U1706</f>
        <v>3.5227721091359854E-3</v>
      </c>
      <c r="N1708" s="46" t="str">
        <f>CONCATENATE(Data!W1706," (",Data!V1706,")")</f>
        <v>Tiempo en ralentí (Ignición: 1.00)</v>
      </c>
      <c r="O1708" s="42" t="str">
        <f>IF(Data!V1706&lt;&gt;"",N1708,Data!W1706)</f>
        <v>Tiempo en ralentí (Ignición: 1.00)</v>
      </c>
      <c r="P1708" s="47" t="str">
        <f>Data!X1706</f>
        <v>Válido</v>
      </c>
    </row>
    <row r="1709" spans="1:16">
      <c r="A1709" s="41" t="str">
        <f>Data!A1707</f>
        <v>QLT551</v>
      </c>
      <c r="B1709" s="41" t="str">
        <f>Data!D1707</f>
        <v>Vehicle, Diesel, Frontera Energy Col 2679</v>
      </c>
      <c r="C1709" s="41">
        <f>Data!F1707</f>
        <v>0</v>
      </c>
      <c r="D1709" s="41">
        <f>Data!G1707</f>
        <v>0</v>
      </c>
      <c r="E1709" s="41">
        <f>Data!H1707</f>
        <v>0</v>
      </c>
      <c r="F1709" s="41">
        <f>Data!K1707</f>
        <v>0</v>
      </c>
      <c r="G1709" s="33" t="str">
        <f>Data!M1707</f>
        <v>Exceso Velocidad 40 Km/h</v>
      </c>
      <c r="H1709" s="41" t="str">
        <f>Data!P1707</f>
        <v>ECOPETROL RUBIALES- Quifa - CAÑO SUR: Vía Sin Nombre, Puerto Gaitán, Meta, Colombia</v>
      </c>
      <c r="I1709" s="42" t="str">
        <f>Data!Q1707</f>
        <v>Cliente, Vel Max 40 Km/h</v>
      </c>
      <c r="J1709" s="43">
        <f>Data!S1707</f>
        <v>46174.922397766204</v>
      </c>
      <c r="K1709" s="44">
        <f>Data!S1707</f>
        <v>46174.922397766204</v>
      </c>
      <c r="L1709" s="45">
        <f>Data!T1707</f>
        <v>3.857638888888889E-5</v>
      </c>
      <c r="M1709" s="46">
        <f>Data!U1707</f>
        <v>3.6571048200130463E-2</v>
      </c>
      <c r="N1709" s="46" t="str">
        <f>CONCATENATE(Data!W1707," (",Data!V1707,")")</f>
        <v>Exceso Velocidad 40 Km/h (Velocidad máxima: 41 kmh)</v>
      </c>
      <c r="O1709" s="42" t="str">
        <f>IF(Data!V1707&lt;&gt;"",N1709,Data!W1707)</f>
        <v>Exceso Velocidad 40 Km/h (Velocidad máxima: 41 kmh)</v>
      </c>
      <c r="P1709" s="47" t="str">
        <f>Data!X1707</f>
        <v>Válido</v>
      </c>
    </row>
    <row r="1710" spans="1:16">
      <c r="A1710" s="41" t="str">
        <f>Data!A1708</f>
        <v>QLT551</v>
      </c>
      <c r="B1710" s="41" t="str">
        <f>Data!D1708</f>
        <v>Vehicle, Diesel, Frontera Energy Col 2679</v>
      </c>
      <c r="C1710" s="41">
        <f>Data!F1708</f>
        <v>0</v>
      </c>
      <c r="D1710" s="41">
        <f>Data!G1708</f>
        <v>0</v>
      </c>
      <c r="E1710" s="41">
        <f>Data!H1708</f>
        <v>0</v>
      </c>
      <c r="F1710" s="41">
        <f>Data!K1708</f>
        <v>0</v>
      </c>
      <c r="G1710" s="33" t="str">
        <f>Data!M1708</f>
        <v>Exceso Velocidad 40 Km/h</v>
      </c>
      <c r="H1710" s="41" t="str">
        <f>Data!P1708</f>
        <v>ECOPETROL RUBIALES- Quifa - CAÑO SUR: Via Quifa 13, Puerto Gaitán, Meta, Colombia</v>
      </c>
      <c r="I1710" s="42" t="str">
        <f>Data!Q1708</f>
        <v>Cliente, Vel Max 40 Km/h</v>
      </c>
      <c r="J1710" s="43">
        <f>Data!S1708</f>
        <v>46174.924415509362</v>
      </c>
      <c r="K1710" s="44">
        <f>Data!S1708</f>
        <v>46174.924415509362</v>
      </c>
      <c r="L1710" s="45">
        <f>Data!T1708</f>
        <v>1.9097232222222224E-4</v>
      </c>
      <c r="M1710" s="46">
        <f>Data!U1708</f>
        <v>0.18039454519748688</v>
      </c>
      <c r="N1710" s="46" t="str">
        <f>CONCATENATE(Data!W1708," (",Data!V1708,")")</f>
        <v>Exceso Velocidad 40 Km/h (Velocidad máxima: 41 kmh)</v>
      </c>
      <c r="O1710" s="42" t="str">
        <f>IF(Data!V1708&lt;&gt;"",N1710,Data!W1708)</f>
        <v>Exceso Velocidad 40 Km/h (Velocidad máxima: 41 kmh)</v>
      </c>
      <c r="P1710" s="47" t="str">
        <f>Data!X1708</f>
        <v>Válido</v>
      </c>
    </row>
    <row r="1711" spans="1:16">
      <c r="A1711" s="41" t="str">
        <f>Data!A1709</f>
        <v>QLT551</v>
      </c>
      <c r="B1711" s="41" t="str">
        <f>Data!D1709</f>
        <v>Vehicle, Diesel, Frontera Energy Col 2679</v>
      </c>
      <c r="C1711" s="41">
        <f>Data!F1709</f>
        <v>0</v>
      </c>
      <c r="D1711" s="41">
        <f>Data!G1709</f>
        <v>0</v>
      </c>
      <c r="E1711" s="41">
        <f>Data!H1709</f>
        <v>0</v>
      </c>
      <c r="F1711" s="41">
        <f>Data!K1709</f>
        <v>0</v>
      </c>
      <c r="G1711" s="33" t="str">
        <f>Data!M1709</f>
        <v>Exceso Velocidad 40 Km/h</v>
      </c>
      <c r="H1711" s="41" t="str">
        <f>Data!P1709</f>
        <v>ECOPETROL RUBIALES- Quifa - CAÑO SUR: Vía Sin Nombre, Puerto Gaitán, Meta, Colombia</v>
      </c>
      <c r="I1711" s="42" t="str">
        <f>Data!Q1709</f>
        <v>Cliente, Vel Max 40 Km/h</v>
      </c>
      <c r="J1711" s="43">
        <f>Data!S1709</f>
        <v>46174.925677083433</v>
      </c>
      <c r="K1711" s="44">
        <f>Data!S1709</f>
        <v>46174.925677083433</v>
      </c>
      <c r="L1711" s="45">
        <f>Data!T1709</f>
        <v>1.7939824814814815E-4</v>
      </c>
      <c r="M1711" s="46">
        <f>Data!U1709</f>
        <v>0.17581146955490112</v>
      </c>
      <c r="N1711" s="46" t="str">
        <f>CONCATENATE(Data!W1709," (",Data!V1709,")")</f>
        <v>Exceso Velocidad 40 Km/h (Velocidad máxima: 41 kmh)</v>
      </c>
      <c r="O1711" s="42" t="str">
        <f>IF(Data!V1709&lt;&gt;"",N1711,Data!W1709)</f>
        <v>Exceso Velocidad 40 Km/h (Velocidad máxima: 41 kmh)</v>
      </c>
      <c r="P1711" s="47" t="str">
        <f>Data!X1709</f>
        <v>Válido</v>
      </c>
    </row>
    <row r="1712" spans="1:16">
      <c r="A1712" s="41" t="str">
        <f>Data!A1710</f>
        <v>QLT551</v>
      </c>
      <c r="B1712" s="41" t="str">
        <f>Data!D1710</f>
        <v>Vehicle, Diesel, Frontera Energy Col 2679</v>
      </c>
      <c r="C1712" s="41">
        <f>Data!F1710</f>
        <v>0</v>
      </c>
      <c r="D1712" s="41">
        <f>Data!G1710</f>
        <v>0</v>
      </c>
      <c r="E1712" s="41">
        <f>Data!H1710</f>
        <v>0</v>
      </c>
      <c r="F1712" s="41">
        <f>Data!K1710</f>
        <v>0</v>
      </c>
      <c r="G1712" s="33" t="str">
        <f>Data!M1710</f>
        <v>Exceso Velocidad 10 Km/h</v>
      </c>
      <c r="H1712" s="41" t="str">
        <f>Data!P1710</f>
        <v>CAMPAMENTO QUIFA, ECOPETROL RUBIALES- Quifa - CAÑO SUR, Puerto Triunfo - Estacion Policia: Puerto Gaitan - Rubiales, Puerto Gaitán, Meta, Colombia</v>
      </c>
      <c r="I1712" s="42" t="str">
        <f>Data!Q1710</f>
        <v>Vel Max 10 Km/h, Cliente, Vel Max 40 Km/h, Vel Max 30 Km/h</v>
      </c>
      <c r="J1712" s="43">
        <f>Data!S1710</f>
        <v>46174.929044004632</v>
      </c>
      <c r="K1712" s="44">
        <f>Data!S1710</f>
        <v>46174.929044004632</v>
      </c>
      <c r="L1712" s="45">
        <f>Data!T1710</f>
        <v>5.2775462962962965E-4</v>
      </c>
      <c r="M1712" s="46">
        <f>Data!U1710</f>
        <v>0.17655317485332489</v>
      </c>
      <c r="N1712" s="46" t="str">
        <f>CONCATENATE(Data!W1710," (",Data!V1710,")")</f>
        <v>Exceso Velocidad 10 Km/h (Velocidad máxima: 15 kmh)</v>
      </c>
      <c r="O1712" s="42" t="str">
        <f>IF(Data!V1710&lt;&gt;"",N1712,Data!W1710)</f>
        <v>Exceso Velocidad 10 Km/h (Velocidad máxima: 15 kmh)</v>
      </c>
      <c r="P1712" s="47" t="str">
        <f>Data!X1710</f>
        <v>Válido</v>
      </c>
    </row>
    <row r="1713" spans="1:16">
      <c r="A1713" s="41" t="str">
        <f>Data!A1711</f>
        <v>QLT551</v>
      </c>
      <c r="B1713" s="41" t="str">
        <f>Data!D1711</f>
        <v>Vehicle, Diesel, Frontera Energy Col 2679</v>
      </c>
      <c r="C1713" s="41">
        <f>Data!F1711</f>
        <v>0</v>
      </c>
      <c r="D1713" s="41">
        <f>Data!G1711</f>
        <v>0</v>
      </c>
      <c r="E1713" s="41">
        <f>Data!H1711</f>
        <v>0</v>
      </c>
      <c r="F1713" s="41">
        <f>Data!K1711</f>
        <v>0</v>
      </c>
      <c r="G1713" s="33" t="str">
        <f>Data!M1711</f>
        <v>Exceso Velocidad 10 Km/h</v>
      </c>
      <c r="H1713" s="41" t="str">
        <f>Data!P1711</f>
        <v>CAMPAMENTO QUIFA, ECOPETROL RUBIALES- Quifa - CAÑO SUR, Puerto Gaitan - Rubiales, Puerto Gaitán, Meta, Colombia, Puerto Triunfo - Estacion Policia: Puerto Gaitan - Rubiales, Puerto Gaitán, Meta, Colombia</v>
      </c>
      <c r="I1713" s="42" t="str">
        <f>Data!Q1711</f>
        <v>Vel Max 10 Km/h, Cliente, Vel Max 40 Km/h, Centro de servicios del proveedor, Vel Max 30 Km/h</v>
      </c>
      <c r="J1713" s="43">
        <f>Data!S1711</f>
        <v>46174.977168206016</v>
      </c>
      <c r="K1713" s="44">
        <f>Data!S1711</f>
        <v>46174.977168206016</v>
      </c>
      <c r="L1713" s="45">
        <f>Data!T1711</f>
        <v>2.0447916666666667E-4</v>
      </c>
      <c r="M1713" s="46">
        <f>Data!U1711</f>
        <v>6.25300332903862E-2</v>
      </c>
      <c r="N1713" s="46" t="str">
        <f>CONCATENATE(Data!W1711," (",Data!V1711,")")</f>
        <v>Exceso Velocidad 10 Km/h (Velocidad máxima: 17 kmh)</v>
      </c>
      <c r="O1713" s="42" t="str">
        <f>IF(Data!V1711&lt;&gt;"",N1713,Data!W1711)</f>
        <v>Exceso Velocidad 10 Km/h (Velocidad máxima: 17 kmh)</v>
      </c>
      <c r="P1713" s="47" t="str">
        <f>Data!X1711</f>
        <v>Válido</v>
      </c>
    </row>
    <row r="1714" spans="1:16">
      <c r="A1714" s="41" t="str">
        <f>Data!A1712</f>
        <v>QLT551</v>
      </c>
      <c r="B1714" s="41" t="str">
        <f>Data!D1712</f>
        <v>Vehicle, Diesel, Frontera Energy Col 2679</v>
      </c>
      <c r="C1714" s="41">
        <f>Data!F1712</f>
        <v>0</v>
      </c>
      <c r="D1714" s="41">
        <f>Data!G1712</f>
        <v>0</v>
      </c>
      <c r="E1714" s="41">
        <f>Data!H1712</f>
        <v>0</v>
      </c>
      <c r="F1714" s="41">
        <f>Data!K1712</f>
        <v>0</v>
      </c>
      <c r="G1714" s="33" t="str">
        <f>Data!M1712</f>
        <v>Exceso Velocidad 10 Km/h</v>
      </c>
      <c r="H1714" s="41" t="str">
        <f>Data!P1712</f>
        <v>CAMPAMENTO QUIFA, ECOPETROL RUBIALES- Quifa - CAÑO SUR, Puerto Triunfo - Estacion Policia: Puerto Gaitan - Rubiales, Puerto Gaitán, Meta, Colombia</v>
      </c>
      <c r="I1714" s="42" t="str">
        <f>Data!Q1712</f>
        <v>Vel Max 10 Km/h, Cliente, Vel Max 40 Km/h, Vel Max 30 Km/h</v>
      </c>
      <c r="J1714" s="43">
        <f>Data!S1712</f>
        <v>46174.977372685185</v>
      </c>
      <c r="K1714" s="44">
        <f>Data!S1712</f>
        <v>46174.977372685185</v>
      </c>
      <c r="L1714" s="45">
        <f>Data!T1712</f>
        <v>1.2388888888888888E-4</v>
      </c>
      <c r="M1714" s="46">
        <f>Data!U1712</f>
        <v>6.0771670192480087E-2</v>
      </c>
      <c r="N1714" s="46" t="str">
        <f>CONCATENATE(Data!W1712," (",Data!V1712,")")</f>
        <v>Exceso Velocidad 10 Km/h (Velocidad máxima: 26 kmh)</v>
      </c>
      <c r="O1714" s="42" t="str">
        <f>IF(Data!V1712&lt;&gt;"",N1714,Data!W1712)</f>
        <v>Exceso Velocidad 10 Km/h (Velocidad máxima: 26 kmh)</v>
      </c>
      <c r="P1714" s="47" t="str">
        <f>Data!X1712</f>
        <v>Válido</v>
      </c>
    </row>
    <row r="1715" spans="1:16">
      <c r="A1715" s="41" t="str">
        <f>Data!A1713</f>
        <v>QLT551</v>
      </c>
      <c r="B1715" s="41" t="str">
        <f>Data!D1713</f>
        <v>Vehicle, Diesel, Frontera Energy Col 2679</v>
      </c>
      <c r="C1715" s="41">
        <f>Data!F1713</f>
        <v>0</v>
      </c>
      <c r="D1715" s="41">
        <f>Data!G1713</f>
        <v>0</v>
      </c>
      <c r="E1715" s="41">
        <f>Data!H1713</f>
        <v>0</v>
      </c>
      <c r="F1715" s="41">
        <f>Data!K1713</f>
        <v>0</v>
      </c>
      <c r="G1715" s="33" t="str">
        <f>Data!M1713</f>
        <v>Exceso Velocidad 10 Km/h</v>
      </c>
      <c r="H1715" s="41" t="str">
        <f>Data!P1713</f>
        <v>CAMPAMENTO QUIFA, ECOPETROL RUBIALES- Quifa - CAÑO SUR, Puerto Triunfo - Estacion Policia: Puerto Gaitan - Rubiales, Puerto Gaitán, Meta, Colombia</v>
      </c>
      <c r="I1715" s="42" t="str">
        <f>Data!Q1713</f>
        <v>Vel Max 10 Km/h, Cliente, Vel Max 40 Km/h, Vel Max 30 Km/h</v>
      </c>
      <c r="J1715" s="43">
        <f>Data!S1713</f>
        <v>46174.977565231478</v>
      </c>
      <c r="K1715" s="44">
        <f>Data!S1713</f>
        <v>46174.977565231478</v>
      </c>
      <c r="L1715" s="45">
        <f>Data!T1713</f>
        <v>3.9965277777777777E-5</v>
      </c>
      <c r="M1715" s="46">
        <f>Data!U1713</f>
        <v>1.8540194258093834E-2</v>
      </c>
      <c r="N1715" s="46" t="str">
        <f>CONCATENATE(Data!W1713," (",Data!V1713,")")</f>
        <v>Exceso Velocidad 10 Km/h (Velocidad máxima: 22 kmh)</v>
      </c>
      <c r="O1715" s="42" t="str">
        <f>IF(Data!V1713&lt;&gt;"",N1715,Data!W1713)</f>
        <v>Exceso Velocidad 10 Km/h (Velocidad máxima: 22 kmh)</v>
      </c>
      <c r="P1715" s="47" t="str">
        <f>Data!X1713</f>
        <v>Válido</v>
      </c>
    </row>
    <row r="1716" spans="1:16">
      <c r="A1716" s="41" t="str">
        <f>Data!A1714</f>
        <v>QLT551</v>
      </c>
      <c r="B1716" s="41" t="str">
        <f>Data!D1714</f>
        <v>Vehicle, Diesel, Frontera Energy Col 2679</v>
      </c>
      <c r="C1716" s="41">
        <f>Data!F1714</f>
        <v>0</v>
      </c>
      <c r="D1716" s="41">
        <f>Data!G1714</f>
        <v>0</v>
      </c>
      <c r="E1716" s="41">
        <f>Data!H1714</f>
        <v>0</v>
      </c>
      <c r="F1716" s="41">
        <f>Data!K1714</f>
        <v>0</v>
      </c>
      <c r="G1716" s="33" t="str">
        <f>Data!M1714</f>
        <v>Giro brusco (nuevo)</v>
      </c>
      <c r="H1716" s="41" t="str">
        <f>Data!P1714</f>
        <v>ECOPETROL RUBIALES- Quifa - CAÑO SUR: Qf 48 36 79 Dw1, Puerto Gaitán, Meta, Colombia</v>
      </c>
      <c r="I1716" s="42" t="str">
        <f>Data!Q1714</f>
        <v>Cliente, Vel Max 40 Km/h</v>
      </c>
      <c r="J1716" s="43">
        <f>Data!S1714</f>
        <v>46174.984629629631</v>
      </c>
      <c r="K1716" s="44">
        <f>Data!S1714</f>
        <v>46174.984629629631</v>
      </c>
      <c r="L1716" s="45">
        <f>Data!T1714</f>
        <v>0</v>
      </c>
      <c r="M1716" s="46">
        <f>Data!U1714</f>
        <v>0</v>
      </c>
      <c r="N1716" s="46" t="str">
        <f>CONCATENATE(Data!W1714," (",Data!V1714,")")</f>
        <v>Giro brusco (nuevo) (Clase de vehículo para métricas de seguridad: Otra clase (no estandarizada), Velocidad máxima: 32 kmh,  Ignición: 1)</v>
      </c>
      <c r="O1716" s="42" t="str">
        <f>IF(Data!V1714&lt;&gt;"",N1716,Data!W1714)</f>
        <v>Giro brusco (nuevo) (Clase de vehículo para métricas de seguridad: Otra clase (no estandarizada), Velocidad máxima: 32 kmh,  Ignición: 1)</v>
      </c>
      <c r="P1716" s="47" t="str">
        <f>Data!X1714</f>
        <v>Válido</v>
      </c>
    </row>
    <row r="1717" spans="1:16">
      <c r="A1717" s="41" t="str">
        <f>Data!A1715</f>
        <v>QLT551</v>
      </c>
      <c r="B1717" s="41" t="str">
        <f>Data!D1715</f>
        <v>Vehicle, Diesel, Frontera Energy Col 2679</v>
      </c>
      <c r="C1717" s="41">
        <f>Data!F1715</f>
        <v>0</v>
      </c>
      <c r="D1717" s="41">
        <f>Data!G1715</f>
        <v>0</v>
      </c>
      <c r="E1717" s="41">
        <f>Data!H1715</f>
        <v>0</v>
      </c>
      <c r="F1717" s="41">
        <f>Data!K1715</f>
        <v>0</v>
      </c>
      <c r="G1717" s="33" t="str">
        <f>Data!M1715</f>
        <v>Exceso Velocidad 40 Km/h</v>
      </c>
      <c r="H1717" s="41" t="str">
        <f>Data!P1715</f>
        <v>ECOPETROL RUBIALES- Quifa - CAÑO SUR: Qf 48 36 79 Dw1, Puerto Gaitán, Meta, Colombia</v>
      </c>
      <c r="I1717" s="42" t="str">
        <f>Data!Q1715</f>
        <v>Cliente, Vel Max 40 Km/h</v>
      </c>
      <c r="J1717" s="43">
        <f>Data!S1715</f>
        <v>46174.985960648148</v>
      </c>
      <c r="K1717" s="44">
        <f>Data!S1715</f>
        <v>46174.985960648148</v>
      </c>
      <c r="L1717" s="45">
        <f>Data!T1715</f>
        <v>8.3912037037037031E-5</v>
      </c>
      <c r="M1717" s="46">
        <f>Data!U1715</f>
        <v>8.1098988652229309E-2</v>
      </c>
      <c r="N1717" s="46" t="str">
        <f>CONCATENATE(Data!W1715," (",Data!V1715,")")</f>
        <v>Exceso Velocidad 40 Km/h (Velocidad máxima: 41 kmh)</v>
      </c>
      <c r="O1717" s="42" t="str">
        <f>IF(Data!V1715&lt;&gt;"",N1717,Data!W1715)</f>
        <v>Exceso Velocidad 40 Km/h (Velocidad máxima: 41 kmh)</v>
      </c>
      <c r="P1717" s="47" t="str">
        <f>Data!X1715</f>
        <v>Válido</v>
      </c>
    </row>
    <row r="1718" spans="1:16">
      <c r="A1718" s="41" t="str">
        <f>Data!A1716</f>
        <v>QLT551</v>
      </c>
      <c r="B1718" s="41" t="str">
        <f>Data!D1716</f>
        <v>Vehicle, Diesel, Frontera Energy Col 2679</v>
      </c>
      <c r="C1718" s="41">
        <f>Data!F1716</f>
        <v>0</v>
      </c>
      <c r="D1718" s="41">
        <f>Data!G1716</f>
        <v>0</v>
      </c>
      <c r="E1718" s="41">
        <f>Data!H1716</f>
        <v>0</v>
      </c>
      <c r="F1718" s="41">
        <f>Data!K1716</f>
        <v>0</v>
      </c>
      <c r="G1718" s="33" t="str">
        <f>Data!M1716</f>
        <v>Exceso Velocidad 40 Km/h</v>
      </c>
      <c r="H1718" s="41" t="str">
        <f>Data!P1716</f>
        <v>ECOPETROL RUBIALES- Quifa - CAÑO SUR: Qf 12 48 36 79 Dw1, Puerto Gaitán, Meta, Colombia</v>
      </c>
      <c r="I1718" s="42" t="str">
        <f>Data!Q1716</f>
        <v>Cliente, Vel Max 40 Km/h</v>
      </c>
      <c r="J1718" s="43">
        <f>Data!S1716</f>
        <v>46174.989244791665</v>
      </c>
      <c r="K1718" s="44">
        <f>Data!S1716</f>
        <v>46174.989244791665</v>
      </c>
      <c r="L1718" s="45">
        <f>Data!T1716</f>
        <v>2.0254629629629629E-5</v>
      </c>
      <c r="M1718" s="46">
        <f>Data!U1716</f>
        <v>1.8774870783090591E-2</v>
      </c>
      <c r="N1718" s="46" t="str">
        <f>CONCATENATE(Data!W1716," (",Data!V1716,")")</f>
        <v>Exceso Velocidad 40 Km/h (Velocidad máxima: 41 kmh)</v>
      </c>
      <c r="O1718" s="42" t="str">
        <f>IF(Data!V1716&lt;&gt;"",N1718,Data!W1716)</f>
        <v>Exceso Velocidad 40 Km/h (Velocidad máxima: 41 kmh)</v>
      </c>
      <c r="P1718" s="47" t="str">
        <f>Data!X1716</f>
        <v>Válido</v>
      </c>
    </row>
    <row r="1719" spans="1:16">
      <c r="A1719" s="41" t="str">
        <f>Data!A1717</f>
        <v>QLT551</v>
      </c>
      <c r="B1719" s="41" t="str">
        <f>Data!D1717</f>
        <v>Vehicle, Diesel, Frontera Energy Col 2679</v>
      </c>
      <c r="C1719" s="41">
        <f>Data!F1717</f>
        <v>0</v>
      </c>
      <c r="D1719" s="41">
        <f>Data!G1717</f>
        <v>0</v>
      </c>
      <c r="E1719" s="41">
        <f>Data!H1717</f>
        <v>0</v>
      </c>
      <c r="F1719" s="41">
        <f>Data!K1717</f>
        <v>0</v>
      </c>
      <c r="G1719" s="33" t="str">
        <f>Data!M1717</f>
        <v>Exceso Velocidad 40 Km/h</v>
      </c>
      <c r="H1719" s="41" t="str">
        <f>Data!P1717</f>
        <v>ECOPETROL RUBIALES- Quifa - CAÑO SUR: Qf 12 48 36 79 Dw1, Puerto Gaitán, Meta, Colombia</v>
      </c>
      <c r="I1719" s="42" t="str">
        <f>Data!Q1717</f>
        <v>Cliente, Vel Max 40 Km/h</v>
      </c>
      <c r="J1719" s="43">
        <f>Data!S1717</f>
        <v>46174.989388229165</v>
      </c>
      <c r="K1719" s="44">
        <f>Data!S1717</f>
        <v>46174.989388229165</v>
      </c>
      <c r="L1719" s="45">
        <f>Data!T1717</f>
        <v>7.9363425925925923E-5</v>
      </c>
      <c r="M1719" s="46">
        <f>Data!U1717</f>
        <v>7.8276507556438446E-2</v>
      </c>
      <c r="N1719" s="46" t="str">
        <f>CONCATENATE(Data!W1717," (",Data!V1717,")")</f>
        <v>Exceso Velocidad 40 Km/h (Velocidad máxima: 42 kmh)</v>
      </c>
      <c r="O1719" s="42" t="str">
        <f>IF(Data!V1717&lt;&gt;"",N1719,Data!W1717)</f>
        <v>Exceso Velocidad 40 Km/h (Velocidad máxima: 42 kmh)</v>
      </c>
      <c r="P1719" s="47" t="str">
        <f>Data!X1717</f>
        <v>Válido</v>
      </c>
    </row>
    <row r="1720" spans="1:16">
      <c r="A1720" s="41" t="str">
        <f>Data!A1718</f>
        <v>QLT551</v>
      </c>
      <c r="B1720" s="41" t="str">
        <f>Data!D1718</f>
        <v>Vehicle, Diesel, Frontera Energy Col 2679</v>
      </c>
      <c r="C1720" s="41">
        <f>Data!F1718</f>
        <v>0</v>
      </c>
      <c r="D1720" s="41">
        <f>Data!G1718</f>
        <v>0</v>
      </c>
      <c r="E1720" s="41">
        <f>Data!H1718</f>
        <v>0</v>
      </c>
      <c r="F1720" s="41">
        <f>Data!K1718</f>
        <v>0</v>
      </c>
      <c r="G1720" s="33" t="str">
        <f>Data!M1718</f>
        <v>Exceso Velocidad 40 Km/h</v>
      </c>
      <c r="H1720" s="41" t="str">
        <f>Data!P1718</f>
        <v>ECOPETROL RUBIALES- Quifa - CAÑO SUR: Qf 12 48 36 79 Dw1, Puerto Gaitán, Meta, Colombia</v>
      </c>
      <c r="I1720" s="42" t="str">
        <f>Data!Q1718</f>
        <v>Cliente, Vel Max 40 Km/h</v>
      </c>
      <c r="J1720" s="43">
        <f>Data!S1718</f>
        <v>46174.989564039352</v>
      </c>
      <c r="K1720" s="44">
        <f>Data!S1718</f>
        <v>46174.989564039352</v>
      </c>
      <c r="L1720" s="45">
        <f>Data!T1718</f>
        <v>2.7974537037037037E-5</v>
      </c>
      <c r="M1720" s="46">
        <f>Data!U1718</f>
        <v>2.5681329891085625E-2</v>
      </c>
      <c r="N1720" s="46" t="str">
        <f>CONCATENATE(Data!W1718," (",Data!V1718,")")</f>
        <v>Exceso Velocidad 40 Km/h (Velocidad máxima: 41 kmh)</v>
      </c>
      <c r="O1720" s="42" t="str">
        <f>IF(Data!V1718&lt;&gt;"",N1720,Data!W1718)</f>
        <v>Exceso Velocidad 40 Km/h (Velocidad máxima: 41 kmh)</v>
      </c>
      <c r="P1720" s="47" t="str">
        <f>Data!X1718</f>
        <v>Válido</v>
      </c>
    </row>
    <row r="1721" spans="1:16">
      <c r="A1721" s="41" t="str">
        <f>Data!A1719</f>
        <v>QLT551</v>
      </c>
      <c r="B1721" s="41" t="str">
        <f>Data!D1719</f>
        <v>Vehicle, Diesel, Frontera Energy Col 2679</v>
      </c>
      <c r="C1721" s="41">
        <f>Data!F1719</f>
        <v>0</v>
      </c>
      <c r="D1721" s="41">
        <f>Data!G1719</f>
        <v>0</v>
      </c>
      <c r="E1721" s="41">
        <f>Data!H1719</f>
        <v>0</v>
      </c>
      <c r="F1721" s="41">
        <f>Data!K1719</f>
        <v>0</v>
      </c>
      <c r="G1721" s="33" t="str">
        <f>Data!M1719</f>
        <v>Exceso Velocidad 40 Km/h</v>
      </c>
      <c r="H1721" s="41" t="str">
        <f>Data!P1719</f>
        <v>ECOPETROL RUBIALES- Quifa - CAÑO SUR: Qf 12 48 36 79 Dw1, Puerto Gaitán, Meta, Colombia</v>
      </c>
      <c r="I1721" s="42" t="str">
        <f>Data!Q1719</f>
        <v>Cliente, Vel Max 40 Km/h</v>
      </c>
      <c r="J1721" s="43">
        <f>Data!S1719</f>
        <v>46174.990703124997</v>
      </c>
      <c r="K1721" s="44">
        <f>Data!S1719</f>
        <v>46174.990703124997</v>
      </c>
      <c r="L1721" s="45">
        <f>Data!T1719</f>
        <v>3.5682870370370369E-5</v>
      </c>
      <c r="M1721" s="46">
        <f>Data!U1719</f>
        <v>3.2676458358764648E-2</v>
      </c>
      <c r="N1721" s="46" t="str">
        <f>CONCATENATE(Data!W1719," (",Data!V1719,")")</f>
        <v>Exceso Velocidad 40 Km/h (Velocidad máxima: 41 kmh)</v>
      </c>
      <c r="O1721" s="42" t="str">
        <f>IF(Data!V1719&lt;&gt;"",N1721,Data!W1719)</f>
        <v>Exceso Velocidad 40 Km/h (Velocidad máxima: 41 kmh)</v>
      </c>
      <c r="P1721" s="47" t="str">
        <f>Data!X1719</f>
        <v>Válido</v>
      </c>
    </row>
    <row r="1722" spans="1:16">
      <c r="A1722" s="41" t="str">
        <f>Data!A1720</f>
        <v>QLT551</v>
      </c>
      <c r="B1722" s="41" t="str">
        <f>Data!D1720</f>
        <v>Vehicle, Diesel, Frontera Energy Col 2679</v>
      </c>
      <c r="C1722" s="41">
        <f>Data!F1720</f>
        <v>0</v>
      </c>
      <c r="D1722" s="41">
        <f>Data!G1720</f>
        <v>0</v>
      </c>
      <c r="E1722" s="41">
        <f>Data!H1720</f>
        <v>0</v>
      </c>
      <c r="F1722" s="41">
        <f>Data!K1720</f>
        <v>0</v>
      </c>
      <c r="G1722" s="33" t="str">
        <f>Data!M1720</f>
        <v>Exceso Velocidad 40 Km/h</v>
      </c>
      <c r="H1722" s="41" t="str">
        <f>Data!P1720</f>
        <v>ECOPETROL RUBIALES- Quifa - CAÑO SUR: Qf 12 48 36 79 Dw1, Puerto Gaitán, Meta, Colombia</v>
      </c>
      <c r="I1722" s="42" t="str">
        <f>Data!Q1720</f>
        <v>Cliente, Vel Max 40 Km/h</v>
      </c>
      <c r="J1722" s="43">
        <f>Data!S1720</f>
        <v>46174.991521990843</v>
      </c>
      <c r="K1722" s="44">
        <f>Data!S1720</f>
        <v>46174.991521990843</v>
      </c>
      <c r="L1722" s="45">
        <f>Data!T1720</f>
        <v>1.4467592592592593E-5</v>
      </c>
      <c r="M1722" s="46">
        <f>Data!U1720</f>
        <v>1.3007260859012604E-2</v>
      </c>
      <c r="N1722" s="46" t="str">
        <f>CONCATENATE(Data!W1720," (",Data!V1720,")")</f>
        <v>Exceso Velocidad 40 Km/h (Velocidad máxima: 41 kmh)</v>
      </c>
      <c r="O1722" s="42" t="str">
        <f>IF(Data!V1720&lt;&gt;"",N1722,Data!W1720)</f>
        <v>Exceso Velocidad 40 Km/h (Velocidad máxima: 41 kmh)</v>
      </c>
      <c r="P1722" s="47" t="str">
        <f>Data!X1720</f>
        <v>Válido</v>
      </c>
    </row>
    <row r="1723" spans="1:16">
      <c r="A1723" s="41" t="str">
        <f>Data!A1721</f>
        <v>QLT551</v>
      </c>
      <c r="B1723" s="41" t="str">
        <f>Data!D1721</f>
        <v>Vehicle, Diesel, Frontera Energy Col 2679</v>
      </c>
      <c r="C1723" s="41">
        <f>Data!F1721</f>
        <v>0</v>
      </c>
      <c r="D1723" s="41">
        <f>Data!G1721</f>
        <v>0</v>
      </c>
      <c r="E1723" s="41">
        <f>Data!H1721</f>
        <v>0</v>
      </c>
      <c r="F1723" s="41">
        <f>Data!K1721</f>
        <v>0</v>
      </c>
      <c r="G1723" s="33" t="str">
        <f>Data!M1721</f>
        <v>Exceso Velocidad 40 Km/h</v>
      </c>
      <c r="H1723" s="41" t="str">
        <f>Data!P1721</f>
        <v>ECOPETROL RUBIALES- Quifa - CAÑO SUR: Qf 12 48 36 79 Dw1, Puerto Gaitán, Meta, Colombia</v>
      </c>
      <c r="I1723" s="42" t="str">
        <f>Data!Q1721</f>
        <v>Cliente, Vel Max 40 Km/h</v>
      </c>
      <c r="J1723" s="43">
        <f>Data!S1721</f>
        <v>46174.991932870369</v>
      </c>
      <c r="K1723" s="44">
        <f>Data!S1721</f>
        <v>46174.991932870369</v>
      </c>
      <c r="L1723" s="45">
        <f>Data!T1721</f>
        <v>2.2222222222222223E-4</v>
      </c>
      <c r="M1723" s="46">
        <f>Data!U1721</f>
        <v>0.22503040730953217</v>
      </c>
      <c r="N1723" s="46" t="str">
        <f>CONCATENATE(Data!W1721," (",Data!V1721,")")</f>
        <v>Exceso Velocidad 40 Km/h (Velocidad máxima: 44 kmh)</v>
      </c>
      <c r="O1723" s="42" t="str">
        <f>IF(Data!V1721&lt;&gt;"",N1723,Data!W1721)</f>
        <v>Exceso Velocidad 40 Km/h (Velocidad máxima: 44 kmh)</v>
      </c>
      <c r="P1723" s="47" t="str">
        <f>Data!X1721</f>
        <v>Válido</v>
      </c>
    </row>
    <row r="1724" spans="1:16">
      <c r="A1724" s="41" t="str">
        <f>Data!A1722</f>
        <v>QLT551</v>
      </c>
      <c r="B1724" s="41" t="str">
        <f>Data!D1722</f>
        <v>Vehicle, Diesel, Frontera Energy Col 2679</v>
      </c>
      <c r="C1724" s="41">
        <f>Data!F1722</f>
        <v>0</v>
      </c>
      <c r="D1724" s="41">
        <f>Data!G1722</f>
        <v>0</v>
      </c>
      <c r="E1724" s="41">
        <f>Data!H1722</f>
        <v>0</v>
      </c>
      <c r="F1724" s="41">
        <f>Data!K1722</f>
        <v>0</v>
      </c>
      <c r="G1724" s="33" t="str">
        <f>Data!M1722</f>
        <v>Exceso Velocidad 40 Km/h</v>
      </c>
      <c r="H1724" s="41" t="str">
        <f>Data!P1722</f>
        <v>ECOPETROL RUBIALES- Quifa - CAÑO SUR: Qf 12 48 36 79 Dw1, Puerto Gaitán, Meta, Colombia</v>
      </c>
      <c r="I1724" s="42" t="str">
        <f>Data!Q1722</f>
        <v>Cliente, Vel Max 40 Km/h</v>
      </c>
      <c r="J1724" s="43">
        <f>Data!S1722</f>
        <v>46174.992427662037</v>
      </c>
      <c r="K1724" s="44">
        <f>Data!S1722</f>
        <v>46174.992427662037</v>
      </c>
      <c r="L1724" s="45">
        <f>Data!T1722</f>
        <v>8.9699074074074073E-5</v>
      </c>
      <c r="M1724" s="46">
        <f>Data!U1722</f>
        <v>8.5854485630989075E-2</v>
      </c>
      <c r="N1724" s="46" t="str">
        <f>CONCATENATE(Data!W1722," (",Data!V1722,")")</f>
        <v>Exceso Velocidad 40 Km/h (Velocidad máxima: 41 kmh)</v>
      </c>
      <c r="O1724" s="42" t="str">
        <f>IF(Data!V1722&lt;&gt;"",N1724,Data!W1722)</f>
        <v>Exceso Velocidad 40 Km/h (Velocidad máxima: 41 kmh)</v>
      </c>
      <c r="P1724" s="47" t="str">
        <f>Data!X1722</f>
        <v>Válido</v>
      </c>
    </row>
    <row r="1725" spans="1:16">
      <c r="A1725" s="41" t="str">
        <f>Data!A1723</f>
        <v>QLT551</v>
      </c>
      <c r="B1725" s="41" t="str">
        <f>Data!D1723</f>
        <v>Vehicle, Diesel, Frontera Energy Col 2679</v>
      </c>
      <c r="C1725" s="41">
        <f>Data!F1723</f>
        <v>0</v>
      </c>
      <c r="D1725" s="41">
        <f>Data!G1723</f>
        <v>0</v>
      </c>
      <c r="E1725" s="41">
        <f>Data!H1723</f>
        <v>0</v>
      </c>
      <c r="F1725" s="41">
        <f>Data!K1723</f>
        <v>0</v>
      </c>
      <c r="G1725" s="33" t="str">
        <f>Data!M1723</f>
        <v>Exceso Velocidad 40 Km/h</v>
      </c>
      <c r="H1725" s="41" t="str">
        <f>Data!P1723</f>
        <v>ECOPETROL RUBIALES- Quifa - CAÑO SUR: Qf 12 48 36 79 Dw1, Puerto Gaitán, Meta, Colombia</v>
      </c>
      <c r="I1725" s="42" t="str">
        <f>Data!Q1723</f>
        <v>Cliente, Vel Max 40 Km/h</v>
      </c>
      <c r="J1725" s="43">
        <f>Data!S1723</f>
        <v>46174.993659340274</v>
      </c>
      <c r="K1725" s="44">
        <f>Data!S1723</f>
        <v>46174.993659340274</v>
      </c>
      <c r="L1725" s="45">
        <f>Data!T1723</f>
        <v>5.5937499999999998E-5</v>
      </c>
      <c r="M1725" s="46">
        <f>Data!U1723</f>
        <v>5.2662473171949387E-2</v>
      </c>
      <c r="N1725" s="46" t="str">
        <f>CONCATENATE(Data!W1723," (",Data!V1723,")")</f>
        <v>Exceso Velocidad 40 Km/h (Velocidad máxima: 41 kmh)</v>
      </c>
      <c r="O1725" s="42" t="str">
        <f>IF(Data!V1723&lt;&gt;"",N1725,Data!W1723)</f>
        <v>Exceso Velocidad 40 Km/h (Velocidad máxima: 41 kmh)</v>
      </c>
      <c r="P1725" s="47" t="str">
        <f>Data!X1723</f>
        <v>Válido</v>
      </c>
    </row>
    <row r="1726" spans="1:16">
      <c r="A1726" s="41" t="str">
        <f>Data!A1724</f>
        <v>QLT551</v>
      </c>
      <c r="B1726" s="41" t="str">
        <f>Data!D1724</f>
        <v>Vehicle, Diesel, Frontera Energy Col 2679</v>
      </c>
      <c r="C1726" s="41">
        <f>Data!F1724</f>
        <v>0</v>
      </c>
      <c r="D1726" s="41">
        <f>Data!G1724</f>
        <v>0</v>
      </c>
      <c r="E1726" s="41">
        <f>Data!H1724</f>
        <v>0</v>
      </c>
      <c r="F1726" s="41">
        <f>Data!K1724</f>
        <v>0</v>
      </c>
      <c r="G1726" s="33" t="str">
        <f>Data!M1724</f>
        <v>Tiempo en ralentí</v>
      </c>
      <c r="H1726" s="41" t="str">
        <f>Data!P1724</f>
        <v>ECOPETROL RUBIALES- Quifa - CAÑO SUR: Qf 12 48 36 79 Dw1, Puerto Gaitán, Meta, Colombia</v>
      </c>
      <c r="I1726" s="42" t="str">
        <f>Data!Q1724</f>
        <v>Cliente, Vel Max 40 Km/h</v>
      </c>
      <c r="J1726" s="43">
        <f>Data!S1724</f>
        <v>46174.994849537034</v>
      </c>
      <c r="K1726" s="44">
        <f>Data!S1724</f>
        <v>46174.994849537034</v>
      </c>
      <c r="L1726" s="45">
        <f>Data!T1724</f>
        <v>6.5624999999999998E-3</v>
      </c>
      <c r="M1726" s="46">
        <f>Data!U1724</f>
        <v>0</v>
      </c>
      <c r="N1726" s="46" t="str">
        <f>CONCATENATE(Data!W1724," (",Data!V1724,")")</f>
        <v>Tiempo en ralentí (Ignición: 1.00)</v>
      </c>
      <c r="O1726" s="42" t="str">
        <f>IF(Data!V1724&lt;&gt;"",N1726,Data!W1724)</f>
        <v>Tiempo en ralentí (Ignición: 1.00)</v>
      </c>
      <c r="P1726" s="47" t="str">
        <f>Data!X1724</f>
        <v>Válido</v>
      </c>
    </row>
    <row r="1727" spans="1:16">
      <c r="A1727" s="41" t="str">
        <f>Data!A1725</f>
        <v>QLT553</v>
      </c>
      <c r="B1727" s="41" t="str">
        <f>Data!D1725</f>
        <v>Vehicle, Diesel, Frontera Energy Col 2679</v>
      </c>
      <c r="C1727" s="41">
        <f>Data!F1725</f>
        <v>0</v>
      </c>
      <c r="D1727" s="41">
        <f>Data!G1725</f>
        <v>0</v>
      </c>
      <c r="E1727" s="41">
        <f>Data!H1725</f>
        <v>0</v>
      </c>
      <c r="F1727" s="41">
        <f>Data!K1725</f>
        <v>0</v>
      </c>
      <c r="G1727" s="33" t="str">
        <f>Data!M1725</f>
        <v>Tiempo en ralentí</v>
      </c>
      <c r="H1727" s="41" t="str">
        <f>Data!P1725</f>
        <v>ECOPETROL RUBIALES- Quifa - CAÑO SUR: Vía Sin Nombre, Puerto Gaitán, Meta, Colombia</v>
      </c>
      <c r="I1727" s="42" t="str">
        <f>Data!Q1725</f>
        <v>Cliente, Vel Max 40 Km/h</v>
      </c>
      <c r="J1727" s="43">
        <f>Data!S1725</f>
        <v>46174.04179398148</v>
      </c>
      <c r="K1727" s="44">
        <f>Data!S1725</f>
        <v>46174.04179398148</v>
      </c>
      <c r="L1727" s="45">
        <f>Data!T1725</f>
        <v>9.0277777777777769E-3</v>
      </c>
      <c r="M1727" s="46">
        <f>Data!U1725</f>
        <v>0</v>
      </c>
      <c r="N1727" s="46" t="str">
        <f>CONCATENATE(Data!W1725," (",Data!V1725,")")</f>
        <v>Tiempo en ralentí (Ignición: 1.00)</v>
      </c>
      <c r="O1727" s="42" t="str">
        <f>IF(Data!V1725&lt;&gt;"",N1727,Data!W1725)</f>
        <v>Tiempo en ralentí (Ignición: 1.00)</v>
      </c>
      <c r="P1727" s="47" t="str">
        <f>Data!X1725</f>
        <v>Válido</v>
      </c>
    </row>
    <row r="1728" spans="1:16">
      <c r="A1728" s="41" t="str">
        <f>Data!A1726</f>
        <v>QLT553</v>
      </c>
      <c r="B1728" s="41" t="str">
        <f>Data!D1726</f>
        <v>Vehicle, Diesel, Frontera Energy Col 2679</v>
      </c>
      <c r="C1728" s="41">
        <f>Data!F1726</f>
        <v>0</v>
      </c>
      <c r="D1728" s="41">
        <f>Data!G1726</f>
        <v>0</v>
      </c>
      <c r="E1728" s="41">
        <f>Data!H1726</f>
        <v>0</v>
      </c>
      <c r="F1728" s="41">
        <f>Data!K1726</f>
        <v>0</v>
      </c>
      <c r="G1728" s="33" t="str">
        <f>Data!M1726</f>
        <v>Uso del cinturón de seguridad</v>
      </c>
      <c r="H1728" s="41" t="str">
        <f>Data!P1726</f>
        <v>ECOPETROL RUBIALES- Quifa - CAÑO SUR: Vía Sin Nombre, Puerto Gaitán, Meta, Colombia</v>
      </c>
      <c r="I1728" s="42" t="str">
        <f>Data!Q1726</f>
        <v>Cliente, Vel Max 40 Km/h</v>
      </c>
      <c r="J1728" s="43">
        <f>Data!S1726</f>
        <v>46174.050868055558</v>
      </c>
      <c r="K1728" s="44">
        <f>Data!S1726</f>
        <v>46174.050868055558</v>
      </c>
      <c r="L1728" s="45">
        <f>Data!T1726</f>
        <v>8.6493055555555558E-5</v>
      </c>
      <c r="M1728" s="46">
        <f>Data!U1726</f>
        <v>2.7539094910025597E-2</v>
      </c>
      <c r="N1728" s="46" t="str">
        <f>CONCATENATE(Data!W1726," (",Data!V1726,")")</f>
        <v>Uso del cinturón de seguridad (Velocidad máxima: 15 kmh Cinturón de seguridad del conductor (1. Desabrochado): 1.00)</v>
      </c>
      <c r="O1728" s="42" t="str">
        <f>IF(Data!V1726&lt;&gt;"",N1728,Data!W1726)</f>
        <v>Uso del cinturón de seguridad (Velocidad máxima: 15 kmh Cinturón de seguridad del conductor (1. Desabrochado): 1.00)</v>
      </c>
      <c r="P1728" s="47" t="str">
        <f>Data!X1726</f>
        <v>Válido</v>
      </c>
    </row>
    <row r="1729" spans="1:16">
      <c r="A1729" s="41" t="str">
        <f>Data!A1727</f>
        <v>QLT553</v>
      </c>
      <c r="B1729" s="41" t="str">
        <f>Data!D1727</f>
        <v>Vehicle, Diesel, Frontera Energy Col 2679</v>
      </c>
      <c r="C1729" s="41">
        <f>Data!F1727</f>
        <v>0</v>
      </c>
      <c r="D1729" s="41">
        <f>Data!G1727</f>
        <v>0</v>
      </c>
      <c r="E1729" s="41">
        <f>Data!H1727</f>
        <v>0</v>
      </c>
      <c r="F1729" s="41">
        <f>Data!K1727</f>
        <v>0</v>
      </c>
      <c r="G1729" s="33" t="str">
        <f>Data!M1727</f>
        <v>Tiempo en ralentí</v>
      </c>
      <c r="H1729" s="41" t="str">
        <f>Data!P1727</f>
        <v>ECOPETROL RUBIALES- Quifa - CAÑO SUR: Vía Sin Nombre, Puerto Gaitán, Meta, Colombia</v>
      </c>
      <c r="I1729" s="42" t="str">
        <f>Data!Q1727</f>
        <v>Cliente, Vel Max 40 Km/h</v>
      </c>
      <c r="J1729" s="43">
        <f>Data!S1727</f>
        <v>46174.052025462966</v>
      </c>
      <c r="K1729" s="44">
        <f>Data!S1727</f>
        <v>46174.052025462966</v>
      </c>
      <c r="L1729" s="45">
        <f>Data!T1727</f>
        <v>1.1122685185185185E-2</v>
      </c>
      <c r="M1729" s="46">
        <f>Data!U1727</f>
        <v>0</v>
      </c>
      <c r="N1729" s="46" t="str">
        <f>CONCATENATE(Data!W1727," (",Data!V1727,")")</f>
        <v>Tiempo en ralentí (Ignición: 1.00)</v>
      </c>
      <c r="O1729" s="42" t="str">
        <f>IF(Data!V1727&lt;&gt;"",N1729,Data!W1727)</f>
        <v>Tiempo en ralentí (Ignición: 1.00)</v>
      </c>
      <c r="P1729" s="47" t="str">
        <f>Data!X1727</f>
        <v>Válido</v>
      </c>
    </row>
    <row r="1730" spans="1:16">
      <c r="A1730" s="41" t="str">
        <f>Data!A1728</f>
        <v>QLT553</v>
      </c>
      <c r="B1730" s="41" t="str">
        <f>Data!D1728</f>
        <v>Vehicle, Diesel, Frontera Energy Col 2679</v>
      </c>
      <c r="C1730" s="41">
        <f>Data!F1728</f>
        <v>0</v>
      </c>
      <c r="D1730" s="41">
        <f>Data!G1728</f>
        <v>0</v>
      </c>
      <c r="E1730" s="41">
        <f>Data!H1728</f>
        <v>0</v>
      </c>
      <c r="F1730" s="41">
        <f>Data!K1728</f>
        <v>0</v>
      </c>
      <c r="G1730" s="33" t="str">
        <f>Data!M1728</f>
        <v>Exceso Velocidad 40 Km/h</v>
      </c>
      <c r="H1730" s="41" t="str">
        <f>Data!P1728</f>
        <v>ECOPETROL RUBIALES- Quifa - CAÑO SUR: Qf 78, Puerto Gaitán, Meta, Colombia</v>
      </c>
      <c r="I1730" s="42" t="str">
        <f>Data!Q1728</f>
        <v>Cliente, Vel Max 40 Km/h</v>
      </c>
      <c r="J1730" s="43">
        <f>Data!S1728</f>
        <v>46174.102485532407</v>
      </c>
      <c r="K1730" s="44">
        <f>Data!S1728</f>
        <v>46174.102485532407</v>
      </c>
      <c r="L1730" s="45">
        <f>Data!T1728</f>
        <v>2.1412037037037036E-5</v>
      </c>
      <c r="M1730" s="46">
        <f>Data!U1728</f>
        <v>1.9647575914859772E-2</v>
      </c>
      <c r="N1730" s="46" t="str">
        <f>CONCATENATE(Data!W1728," (",Data!V1728,")")</f>
        <v>Exceso Velocidad 40 Km/h (Velocidad máxima: 41 kmh)</v>
      </c>
      <c r="O1730" s="42" t="str">
        <f>IF(Data!V1728&lt;&gt;"",N1730,Data!W1728)</f>
        <v>Exceso Velocidad 40 Km/h (Velocidad máxima: 41 kmh)</v>
      </c>
      <c r="P1730" s="47" t="str">
        <f>Data!X1728</f>
        <v>Válido</v>
      </c>
    </row>
    <row r="1731" spans="1:16">
      <c r="A1731" s="41" t="str">
        <f>Data!A1729</f>
        <v>QLT553</v>
      </c>
      <c r="B1731" s="41" t="str">
        <f>Data!D1729</f>
        <v>Vehicle, Diesel, Frontera Energy Col 2679</v>
      </c>
      <c r="C1731" s="41">
        <f>Data!F1729</f>
        <v>0</v>
      </c>
      <c r="D1731" s="41">
        <f>Data!G1729</f>
        <v>0</v>
      </c>
      <c r="E1731" s="41">
        <f>Data!H1729</f>
        <v>0</v>
      </c>
      <c r="F1731" s="41">
        <f>Data!K1729</f>
        <v>0</v>
      </c>
      <c r="G1731" s="33" t="str">
        <f>Data!M1729</f>
        <v>Giro brusco</v>
      </c>
      <c r="H1731" s="41" t="str">
        <f>Data!P1729</f>
        <v>ECOPETROL RUBIALES- Quifa - CAÑO SUR: Qf 78, Puerto Gaitán, Meta, Colombia</v>
      </c>
      <c r="I1731" s="42" t="str">
        <f>Data!Q1729</f>
        <v>Cliente, Vel Max 40 Km/h</v>
      </c>
      <c r="J1731" s="43">
        <f>Data!S1729</f>
        <v>46174.102609108799</v>
      </c>
      <c r="K1731" s="44">
        <f>Data!S1729</f>
        <v>46174.102609108799</v>
      </c>
      <c r="L1731" s="45">
        <f>Data!T1729</f>
        <v>9.7222222222222218E-7</v>
      </c>
      <c r="M1731" s="46">
        <f>Data!U1729</f>
        <v>3.845023165922612E-4</v>
      </c>
      <c r="N1731" s="46" t="str">
        <f>CONCATENATE(Data!W1729," (",Data!V1729,")")</f>
        <v>Giro brusco (Velocidad máxima: 17 kmh Aceleración de lado a lado: 0.57 g-force, Ignición: 1.00)</v>
      </c>
      <c r="O1731" s="42" t="str">
        <f>IF(Data!V1729&lt;&gt;"",N1731,Data!W1729)</f>
        <v>Giro brusco (Velocidad máxima: 17 kmh Aceleración de lado a lado: 0.57 g-force, Ignición: 1.00)</v>
      </c>
      <c r="P1731" s="47" t="str">
        <f>Data!X1729</f>
        <v>Válido</v>
      </c>
    </row>
    <row r="1732" spans="1:16">
      <c r="A1732" s="41" t="str">
        <f>Data!A1730</f>
        <v>QLT553</v>
      </c>
      <c r="B1732" s="41" t="str">
        <f>Data!D1730</f>
        <v>Vehicle, Diesel, Frontera Energy Col 2679</v>
      </c>
      <c r="C1732" s="41">
        <f>Data!F1730</f>
        <v>0</v>
      </c>
      <c r="D1732" s="41">
        <f>Data!G1730</f>
        <v>0</v>
      </c>
      <c r="E1732" s="41">
        <f>Data!H1730</f>
        <v>0</v>
      </c>
      <c r="F1732" s="41">
        <f>Data!K1730</f>
        <v>0</v>
      </c>
      <c r="G1732" s="33" t="str">
        <f>Data!M1730</f>
        <v>Giro brusco</v>
      </c>
      <c r="H1732" s="41" t="str">
        <f>Data!P1730</f>
        <v>ECOPETROL RUBIALES- Quifa - CAÑO SUR: Qf 78, Puerto Gaitán, Meta, Colombia</v>
      </c>
      <c r="I1732" s="42" t="str">
        <f>Data!Q1730</f>
        <v>Cliente, Vel Max 40 Km/h</v>
      </c>
      <c r="J1732" s="43">
        <f>Data!S1730</f>
        <v>46174.102614594907</v>
      </c>
      <c r="K1732" s="44">
        <f>Data!S1730</f>
        <v>46174.102614594907</v>
      </c>
      <c r="L1732" s="45">
        <f>Data!T1730</f>
        <v>8.1018518518518515E-7</v>
      </c>
      <c r="M1732" s="46">
        <f>Data!U1730</f>
        <v>3.2041859230957925E-4</v>
      </c>
      <c r="N1732" s="46" t="str">
        <f>CONCATENATE(Data!W1730," (",Data!V1730,")")</f>
        <v>Giro brusco (Velocidad máxima: 16 kmh Aceleración de lado a lado: -0.52 g-force, Ignición: 1.00)</v>
      </c>
      <c r="O1732" s="42" t="str">
        <f>IF(Data!V1730&lt;&gt;"",N1732,Data!W1730)</f>
        <v>Giro brusco (Velocidad máxima: 16 kmh Aceleración de lado a lado: -0.52 g-force, Ignición: 1.00)</v>
      </c>
      <c r="P1732" s="47" t="str">
        <f>Data!X1730</f>
        <v>Válido</v>
      </c>
    </row>
    <row r="1733" spans="1:16">
      <c r="A1733" s="41" t="str">
        <f>Data!A1731</f>
        <v>QLT553</v>
      </c>
      <c r="B1733" s="41" t="str">
        <f>Data!D1731</f>
        <v>Vehicle, Diesel, Frontera Energy Col 2679</v>
      </c>
      <c r="C1733" s="41">
        <f>Data!F1731</f>
        <v>0</v>
      </c>
      <c r="D1733" s="41">
        <f>Data!G1731</f>
        <v>0</v>
      </c>
      <c r="E1733" s="41">
        <f>Data!H1731</f>
        <v>0</v>
      </c>
      <c r="F1733" s="41">
        <f>Data!K1731</f>
        <v>0</v>
      </c>
      <c r="G1733" s="33" t="str">
        <f>Data!M1731</f>
        <v>Giro brusco</v>
      </c>
      <c r="H1733" s="41" t="str">
        <f>Data!P1731</f>
        <v>ECOPETROL RUBIALES- Quifa - CAÑO SUR: Qf 78, Puerto Gaitán, Meta, Colombia</v>
      </c>
      <c r="I1733" s="42" t="str">
        <f>Data!Q1731</f>
        <v>Cliente, Vel Max 40 Km/h</v>
      </c>
      <c r="J1733" s="43">
        <f>Data!S1731</f>
        <v>46174.10262341435</v>
      </c>
      <c r="K1733" s="44">
        <f>Data!S1731</f>
        <v>46174.10262341435</v>
      </c>
      <c r="L1733" s="45">
        <f>Data!T1731</f>
        <v>2.3148148148148148E-8</v>
      </c>
      <c r="M1733" s="46">
        <f>Data!U1731</f>
        <v>1.0053234291262925E-5</v>
      </c>
      <c r="N1733" s="46" t="str">
        <f>CONCATENATE(Data!W1731," (",Data!V1731,")")</f>
        <v>Giro brusco (Velocidad máxima: 17 kmh Aceleración de lado a lado: -0.47 g-force, Ignición: 1.00)</v>
      </c>
      <c r="O1733" s="42" t="str">
        <f>IF(Data!V1731&lt;&gt;"",N1733,Data!W1731)</f>
        <v>Giro brusco (Velocidad máxima: 17 kmh Aceleración de lado a lado: -0.47 g-force, Ignición: 1.00)</v>
      </c>
      <c r="P1733" s="47" t="str">
        <f>Data!X1731</f>
        <v>Válido</v>
      </c>
    </row>
    <row r="1734" spans="1:16">
      <c r="A1734" s="41" t="str">
        <f>Data!A1732</f>
        <v>QLT553</v>
      </c>
      <c r="B1734" s="41" t="str">
        <f>Data!D1732</f>
        <v>Vehicle, Diesel, Frontera Energy Col 2679</v>
      </c>
      <c r="C1734" s="41">
        <f>Data!F1732</f>
        <v>0</v>
      </c>
      <c r="D1734" s="41">
        <f>Data!G1732</f>
        <v>0</v>
      </c>
      <c r="E1734" s="41">
        <f>Data!H1732</f>
        <v>0</v>
      </c>
      <c r="F1734" s="41">
        <f>Data!K1732</f>
        <v>0</v>
      </c>
      <c r="G1734" s="33" t="str">
        <f>Data!M1732</f>
        <v>Giro brusco</v>
      </c>
      <c r="H1734" s="41" t="str">
        <f>Data!P1732</f>
        <v>ECOPETROL RUBIALES- Quifa - CAÑO SUR: Qf 045, Puerto Gaitán, Meta, Colombia</v>
      </c>
      <c r="I1734" s="42" t="str">
        <f>Data!Q1732</f>
        <v>Cliente, Vel Max 40 Km/h</v>
      </c>
      <c r="J1734" s="43">
        <f>Data!S1732</f>
        <v>46174.118058819447</v>
      </c>
      <c r="K1734" s="44">
        <f>Data!S1732</f>
        <v>46174.118058819447</v>
      </c>
      <c r="L1734" s="45">
        <f>Data!T1732</f>
        <v>4.9768518518518518E-7</v>
      </c>
      <c r="M1734" s="46">
        <f>Data!U1732</f>
        <v>1.6520591452717781E-4</v>
      </c>
      <c r="N1734" s="46" t="str">
        <f>CONCATENATE(Data!W1732," (",Data!V1732,")")</f>
        <v>Giro brusco (Velocidad máxima: 14 kmh Aceleración de lado a lado: 0.54 g-force, Ignición: 1.00)</v>
      </c>
      <c r="O1734" s="42" t="str">
        <f>IF(Data!V1732&lt;&gt;"",N1734,Data!W1732)</f>
        <v>Giro brusco (Velocidad máxima: 14 kmh Aceleración de lado a lado: 0.54 g-force, Ignición: 1.00)</v>
      </c>
      <c r="P1734" s="47" t="str">
        <f>Data!X1732</f>
        <v>Válido</v>
      </c>
    </row>
    <row r="1735" spans="1:16">
      <c r="A1735" s="41" t="str">
        <f>Data!A1733</f>
        <v>QLT553</v>
      </c>
      <c r="B1735" s="41" t="str">
        <f>Data!D1733</f>
        <v>Vehicle, Diesel, Frontera Energy Col 2679</v>
      </c>
      <c r="C1735" s="41">
        <f>Data!F1733</f>
        <v>0</v>
      </c>
      <c r="D1735" s="41">
        <f>Data!G1733</f>
        <v>0</v>
      </c>
      <c r="E1735" s="41">
        <f>Data!H1733</f>
        <v>0</v>
      </c>
      <c r="F1735" s="41">
        <f>Data!K1733</f>
        <v>0</v>
      </c>
      <c r="G1735" s="33" t="str">
        <f>Data!M1733</f>
        <v>Giro brusco</v>
      </c>
      <c r="H1735" s="41" t="str">
        <f>Data!P1733</f>
        <v>ECOPETROL RUBIALES- Quifa - CAÑO SUR: Qf 045, Puerto Gaitán, Meta, Colombia</v>
      </c>
      <c r="I1735" s="42" t="str">
        <f>Data!Q1733</f>
        <v>Cliente, Vel Max 40 Km/h</v>
      </c>
      <c r="J1735" s="43">
        <f>Data!S1733</f>
        <v>46174.118068761571</v>
      </c>
      <c r="K1735" s="44">
        <f>Data!S1733</f>
        <v>46174.118068761571</v>
      </c>
      <c r="L1735" s="45">
        <f>Data!T1733</f>
        <v>3.7037037037037036E-7</v>
      </c>
      <c r="M1735" s="46">
        <f>Data!U1733</f>
        <v>1.22943936730735E-4</v>
      </c>
      <c r="N1735" s="46" t="str">
        <f>CONCATENATE(Data!W1733," (",Data!V1733,")")</f>
        <v>Giro brusco (Velocidad máxima: 14 kmh Aceleración de lado a lado: 0.50 g-force, Ignición: 1.00)</v>
      </c>
      <c r="O1735" s="42" t="str">
        <f>IF(Data!V1733&lt;&gt;"",N1735,Data!W1733)</f>
        <v>Giro brusco (Velocidad máxima: 14 kmh Aceleración de lado a lado: 0.50 g-force, Ignición: 1.00)</v>
      </c>
      <c r="P1735" s="47" t="str">
        <f>Data!X1733</f>
        <v>Válido</v>
      </c>
    </row>
    <row r="1736" spans="1:16">
      <c r="A1736" s="41" t="str">
        <f>Data!A1734</f>
        <v>QLT553</v>
      </c>
      <c r="B1736" s="41" t="str">
        <f>Data!D1734</f>
        <v>Vehicle, Diesel, Frontera Energy Col 2679</v>
      </c>
      <c r="C1736" s="41">
        <f>Data!F1734</f>
        <v>0</v>
      </c>
      <c r="D1736" s="41">
        <f>Data!G1734</f>
        <v>0</v>
      </c>
      <c r="E1736" s="41">
        <f>Data!H1734</f>
        <v>0</v>
      </c>
      <c r="F1736" s="41">
        <f>Data!K1734</f>
        <v>0</v>
      </c>
      <c r="G1736" s="33" t="str">
        <f>Data!M1734</f>
        <v>Giro brusco</v>
      </c>
      <c r="H1736" s="41" t="str">
        <f>Data!P1734</f>
        <v>ECOPETROL RUBIALES- Quifa - CAÑO SUR: Vía Sin Nombre, Puerto Gaitán, Meta, Colombia</v>
      </c>
      <c r="I1736" s="42" t="str">
        <f>Data!Q1734</f>
        <v>Cliente, Vel Max 40 Km/h</v>
      </c>
      <c r="J1736" s="43">
        <f>Data!S1734</f>
        <v>46174.119725254626</v>
      </c>
      <c r="K1736" s="44">
        <f>Data!S1734</f>
        <v>46174.119725254626</v>
      </c>
      <c r="L1736" s="45">
        <f>Data!T1734</f>
        <v>2.4305555555555555E-7</v>
      </c>
      <c r="M1736" s="46">
        <f>Data!U1734</f>
        <v>6.5707507019396871E-5</v>
      </c>
      <c r="N1736" s="46" t="str">
        <f>CONCATENATE(Data!W1734," (",Data!V1734,")")</f>
        <v>Giro brusco (Velocidad máxima: 12 kmh Aceleración de lado a lado: -0.49 g-force, Ignición: 1.00)</v>
      </c>
      <c r="O1736" s="42" t="str">
        <f>IF(Data!V1734&lt;&gt;"",N1736,Data!W1734)</f>
        <v>Giro brusco (Velocidad máxima: 12 kmh Aceleración de lado a lado: -0.49 g-force, Ignición: 1.00)</v>
      </c>
      <c r="P1736" s="47" t="str">
        <f>Data!X1734</f>
        <v>Válido</v>
      </c>
    </row>
    <row r="1737" spans="1:16">
      <c r="A1737" s="41" t="str">
        <f>Data!A1735</f>
        <v>QLT553</v>
      </c>
      <c r="B1737" s="41" t="str">
        <f>Data!D1735</f>
        <v>Vehicle, Diesel, Frontera Energy Col 2679</v>
      </c>
      <c r="C1737" s="41">
        <f>Data!F1735</f>
        <v>0</v>
      </c>
      <c r="D1737" s="41">
        <f>Data!G1735</f>
        <v>0</v>
      </c>
      <c r="E1737" s="41">
        <f>Data!H1735</f>
        <v>0</v>
      </c>
      <c r="F1737" s="41">
        <f>Data!K1735</f>
        <v>0</v>
      </c>
      <c r="G1737" s="33" t="str">
        <f>Data!M1735</f>
        <v>Exceso Velocidad 40 Km/h</v>
      </c>
      <c r="H1737" s="41" t="str">
        <f>Data!P1735</f>
        <v>ECOPETROL RUBIALES- Quifa - CAÑO SUR: Vía Sin Nombre, Puerto Gaitán, Meta, Colombia</v>
      </c>
      <c r="I1737" s="42" t="str">
        <f>Data!Q1735</f>
        <v>Cliente, Vel Max 40 Km/h</v>
      </c>
      <c r="J1737" s="43">
        <f>Data!S1735</f>
        <v>46174.123323692133</v>
      </c>
      <c r="K1737" s="44">
        <f>Data!S1735</f>
        <v>46174.123323692133</v>
      </c>
      <c r="L1737" s="45">
        <f>Data!T1735</f>
        <v>2.4108796296296297E-5</v>
      </c>
      <c r="M1737" s="46">
        <f>Data!U1735</f>
        <v>2.1910170093178749E-2</v>
      </c>
      <c r="N1737" s="46" t="str">
        <f>CONCATENATE(Data!W1735," (",Data!V1735,")")</f>
        <v>Exceso Velocidad 40 Km/h (Velocidad máxima: 41 kmh)</v>
      </c>
      <c r="O1737" s="42" t="str">
        <f>IF(Data!V1735&lt;&gt;"",N1737,Data!W1735)</f>
        <v>Exceso Velocidad 40 Km/h (Velocidad máxima: 41 kmh)</v>
      </c>
      <c r="P1737" s="47" t="str">
        <f>Data!X1735</f>
        <v>Válido</v>
      </c>
    </row>
    <row r="1738" spans="1:16">
      <c r="A1738" s="41" t="str">
        <f>Data!A1736</f>
        <v>QLT553</v>
      </c>
      <c r="B1738" s="41" t="str">
        <f>Data!D1736</f>
        <v>Vehicle, Diesel, Frontera Energy Col 2679</v>
      </c>
      <c r="C1738" s="41">
        <f>Data!F1736</f>
        <v>0</v>
      </c>
      <c r="D1738" s="41">
        <f>Data!G1736</f>
        <v>0</v>
      </c>
      <c r="E1738" s="41">
        <f>Data!H1736</f>
        <v>0</v>
      </c>
      <c r="F1738" s="41">
        <f>Data!K1736</f>
        <v>0</v>
      </c>
      <c r="G1738" s="33" t="str">
        <f>Data!M1736</f>
        <v>Giro brusco</v>
      </c>
      <c r="H1738" s="41" t="str">
        <f>Data!P1736</f>
        <v>ECOPETROL RUBIALES- Quifa - CAÑO SUR: Qf 045, Puerto Gaitán, Meta, Colombia</v>
      </c>
      <c r="I1738" s="42" t="str">
        <f>Data!Q1736</f>
        <v>Cliente, Vel Max 40 Km/h</v>
      </c>
      <c r="J1738" s="43">
        <f>Data!S1736</f>
        <v>46174.124018136572</v>
      </c>
      <c r="K1738" s="44">
        <f>Data!S1736</f>
        <v>46174.124018136572</v>
      </c>
      <c r="L1738" s="45">
        <f>Data!T1736</f>
        <v>1.2731481481481482E-7</v>
      </c>
      <c r="M1738" s="46">
        <f>Data!U1736</f>
        <v>8.8212305854540318E-5</v>
      </c>
      <c r="N1738" s="46" t="str">
        <f>CONCATENATE(Data!W1736," (",Data!V1736,")")</f>
        <v>Giro brusco (Velocidad máxima: 26 kmh Aceleración de lado a lado: -0.48 g-force, Ignición: 1.00)</v>
      </c>
      <c r="O1738" s="42" t="str">
        <f>IF(Data!V1736&lt;&gt;"",N1738,Data!W1736)</f>
        <v>Giro brusco (Velocidad máxima: 26 kmh Aceleración de lado a lado: -0.48 g-force, Ignición: 1.00)</v>
      </c>
      <c r="P1738" s="47" t="str">
        <f>Data!X1736</f>
        <v>Válido</v>
      </c>
    </row>
    <row r="1739" spans="1:16">
      <c r="A1739" s="41" t="str">
        <f>Data!A1737</f>
        <v>QLT553</v>
      </c>
      <c r="B1739" s="41" t="str">
        <f>Data!D1737</f>
        <v>Vehicle, Diesel, Frontera Energy Col 2679</v>
      </c>
      <c r="C1739" s="41">
        <f>Data!F1737</f>
        <v>0</v>
      </c>
      <c r="D1739" s="41">
        <f>Data!G1737</f>
        <v>0</v>
      </c>
      <c r="E1739" s="41">
        <f>Data!H1737</f>
        <v>0</v>
      </c>
      <c r="F1739" s="41">
        <f>Data!K1737</f>
        <v>0</v>
      </c>
      <c r="G1739" s="33" t="str">
        <f>Data!M1737</f>
        <v>Exceso Velocidad 40 Km/h</v>
      </c>
      <c r="H1739" s="41" t="str">
        <f>Data!P1737</f>
        <v>ECOPETROL RUBIALES- Quifa - CAÑO SUR: Qf 045 120x Pwa 127 Qf 78, Puerto Gaitán, Meta, Colombia</v>
      </c>
      <c r="I1739" s="42" t="str">
        <f>Data!Q1737</f>
        <v>Cliente, Vel Max 40 Km/h</v>
      </c>
      <c r="J1739" s="43">
        <f>Data!S1737</f>
        <v>46174.128191550924</v>
      </c>
      <c r="K1739" s="44">
        <f>Data!S1737</f>
        <v>46174.128191550924</v>
      </c>
      <c r="L1739" s="45">
        <f>Data!T1737</f>
        <v>1.4467592592592593E-5</v>
      </c>
      <c r="M1739" s="46">
        <f>Data!U1737</f>
        <v>1.3736987486481667E-2</v>
      </c>
      <c r="N1739" s="46" t="str">
        <f>CONCATENATE(Data!W1737," (",Data!V1737,")")</f>
        <v>Exceso Velocidad 40 Km/h (Velocidad máxima: 41 kmh)</v>
      </c>
      <c r="O1739" s="42" t="str">
        <f>IF(Data!V1737&lt;&gt;"",N1739,Data!W1737)</f>
        <v>Exceso Velocidad 40 Km/h (Velocidad máxima: 41 kmh)</v>
      </c>
      <c r="P1739" s="47" t="str">
        <f>Data!X1737</f>
        <v>Válido</v>
      </c>
    </row>
    <row r="1740" spans="1:16">
      <c r="A1740" s="41" t="str">
        <f>Data!A1738</f>
        <v>QLT553</v>
      </c>
      <c r="B1740" s="41" t="str">
        <f>Data!D1738</f>
        <v>Vehicle, Diesel, Frontera Energy Col 2679</v>
      </c>
      <c r="C1740" s="41">
        <f>Data!F1738</f>
        <v>0</v>
      </c>
      <c r="D1740" s="41">
        <f>Data!G1738</f>
        <v>0</v>
      </c>
      <c r="E1740" s="41">
        <f>Data!H1738</f>
        <v>0</v>
      </c>
      <c r="F1740" s="41">
        <f>Data!K1738</f>
        <v>0</v>
      </c>
      <c r="G1740" s="33" t="str">
        <f>Data!M1738</f>
        <v>Exceso Velocidad 30 Km/h</v>
      </c>
      <c r="H1740" s="41" t="str">
        <f>Data!P1738</f>
        <v>ECOPETROL RUBIALES- Quifa - CAÑO SUR, Puerto Triunfo - Estacion Policia: Vía La Primera Vara, Puerto Gaitán, Meta, Colombia</v>
      </c>
      <c r="I1740" s="42" t="str">
        <f>Data!Q1738</f>
        <v>Cliente, Vel Max 40 Km/h, Vel Max 30 Km/h</v>
      </c>
      <c r="J1740" s="43">
        <f>Data!S1738</f>
        <v>46174.133819259259</v>
      </c>
      <c r="K1740" s="44">
        <f>Data!S1738</f>
        <v>46174.133819259259</v>
      </c>
      <c r="L1740" s="45">
        <f>Data!T1738</f>
        <v>3.105324074074074E-5</v>
      </c>
      <c r="M1740" s="46">
        <f>Data!U1738</f>
        <v>2.3088885471224785E-2</v>
      </c>
      <c r="N1740" s="46" t="str">
        <f>CONCATENATE(Data!W1738," (",Data!V1738,")")</f>
        <v>Exceso Velocidad 30 Km/h (Velocidad máxima: 33 kmh)</v>
      </c>
      <c r="O1740" s="42" t="str">
        <f>IF(Data!V1738&lt;&gt;"",N1740,Data!W1738)</f>
        <v>Exceso Velocidad 30 Km/h (Velocidad máxima: 33 kmh)</v>
      </c>
      <c r="P1740" s="47" t="str">
        <f>Data!X1738</f>
        <v>Válido</v>
      </c>
    </row>
    <row r="1741" spans="1:16">
      <c r="A1741" s="41" t="str">
        <f>Data!A1739</f>
        <v>QLT553</v>
      </c>
      <c r="B1741" s="41" t="str">
        <f>Data!D1739</f>
        <v>Vehicle, Diesel, Frontera Energy Col 2679</v>
      </c>
      <c r="C1741" s="41">
        <f>Data!F1739</f>
        <v>0</v>
      </c>
      <c r="D1741" s="41">
        <f>Data!G1739</f>
        <v>0</v>
      </c>
      <c r="E1741" s="41">
        <f>Data!H1739</f>
        <v>0</v>
      </c>
      <c r="F1741" s="41">
        <f>Data!K1739</f>
        <v>0</v>
      </c>
      <c r="G1741" s="33" t="str">
        <f>Data!M1739</f>
        <v>Tiempo en ralentí</v>
      </c>
      <c r="H1741" s="41" t="str">
        <f>Data!P1739</f>
        <v>ECOPETROL RUBIALES- Quifa - CAÑO SUR, Puerto Triunfo - Estacion Policia: Vía La Primera Vara, Puerto Gaitán, Meta, Colombia</v>
      </c>
      <c r="I1741" s="42" t="str">
        <f>Data!Q1739</f>
        <v>Cliente, Vel Max 40 Km/h, Vel Max 30 Km/h</v>
      </c>
      <c r="J1741" s="43">
        <f>Data!S1739</f>
        <v>46174.13484953704</v>
      </c>
      <c r="K1741" s="44">
        <f>Data!S1739</f>
        <v>46174.13484953704</v>
      </c>
      <c r="L1741" s="45">
        <f>Data!T1739</f>
        <v>3.9699074074074072E-3</v>
      </c>
      <c r="M1741" s="46">
        <f>Data!U1739</f>
        <v>1.8108960939571261E-3</v>
      </c>
      <c r="N1741" s="46" t="str">
        <f>CONCATENATE(Data!W1739," (",Data!V1739,")")</f>
        <v>Tiempo en ralentí (Ignición: 1.00)</v>
      </c>
      <c r="O1741" s="42" t="str">
        <f>IF(Data!V1739&lt;&gt;"",N1741,Data!W1739)</f>
        <v>Tiempo en ralentí (Ignición: 1.00)</v>
      </c>
      <c r="P1741" s="47" t="str">
        <f>Data!X1739</f>
        <v>Válido</v>
      </c>
    </row>
    <row r="1742" spans="1:16">
      <c r="A1742" s="41" t="str">
        <f>Data!A1740</f>
        <v>QLT553</v>
      </c>
      <c r="B1742" s="41" t="str">
        <f>Data!D1740</f>
        <v>Vehicle, Diesel, Frontera Energy Col 2679</v>
      </c>
      <c r="C1742" s="41">
        <f>Data!F1740</f>
        <v>0</v>
      </c>
      <c r="D1742" s="41">
        <f>Data!G1740</f>
        <v>0</v>
      </c>
      <c r="E1742" s="41">
        <f>Data!H1740</f>
        <v>0</v>
      </c>
      <c r="F1742" s="41">
        <f>Data!K1740</f>
        <v>0</v>
      </c>
      <c r="G1742" s="33" t="str">
        <f>Data!M1740</f>
        <v>Exceso Velocidad 30 Km/h</v>
      </c>
      <c r="H1742" s="41" t="str">
        <f>Data!P1740</f>
        <v>ECOPETROL RUBIALES- Quifa - CAÑO SUR, Puerto Triunfo - Estacion Policia: Km 128 +500, Lavadero De Autos EL OASIS, Puerto Gaitan - Rubiales, Puerto Gaitán, Meta, Colombia</v>
      </c>
      <c r="I1742" s="42" t="str">
        <f>Data!Q1740</f>
        <v>Cliente, Vel Max 40 Km/h, Vel Max 30 Km/h</v>
      </c>
      <c r="J1742" s="43">
        <f>Data!S1740</f>
        <v>46174.139953703707</v>
      </c>
      <c r="K1742" s="44">
        <f>Data!S1740</f>
        <v>46174.139953703707</v>
      </c>
      <c r="L1742" s="45">
        <f>Data!T1740</f>
        <v>3.7037037037037037E-5</v>
      </c>
      <c r="M1742" s="46">
        <f>Data!U1740</f>
        <v>2.6460867375135422E-2</v>
      </c>
      <c r="N1742" s="46" t="str">
        <f>CONCATENATE(Data!W1740," (",Data!V1740,")")</f>
        <v>Exceso Velocidad 30 Km/h (Velocidad máxima: 31 kmh)</v>
      </c>
      <c r="O1742" s="42" t="str">
        <f>IF(Data!V1740&lt;&gt;"",N1742,Data!W1740)</f>
        <v>Exceso Velocidad 30 Km/h (Velocidad máxima: 31 kmh)</v>
      </c>
      <c r="P1742" s="47" t="str">
        <f>Data!X1740</f>
        <v>Válido</v>
      </c>
    </row>
    <row r="1743" spans="1:16">
      <c r="A1743" s="41" t="str">
        <f>Data!A1741</f>
        <v>QLT553</v>
      </c>
      <c r="B1743" s="41" t="str">
        <f>Data!D1741</f>
        <v>Vehicle, Diesel, Frontera Energy Col 2679</v>
      </c>
      <c r="C1743" s="41">
        <f>Data!F1741</f>
        <v>0</v>
      </c>
      <c r="D1743" s="41">
        <f>Data!G1741</f>
        <v>0</v>
      </c>
      <c r="E1743" s="41">
        <f>Data!H1741</f>
        <v>0</v>
      </c>
      <c r="F1743" s="41">
        <f>Data!K1741</f>
        <v>0</v>
      </c>
      <c r="G1743" s="33" t="str">
        <f>Data!M1741</f>
        <v>Tiempo en ralentí</v>
      </c>
      <c r="H1743" s="41" t="str">
        <f>Data!P1741</f>
        <v>ECOPETROL RUBIALES- Quifa - CAÑO SUR: Vía Sin Nombre, Puerto Gaitán, Meta, Colombia</v>
      </c>
      <c r="I1743" s="42" t="str">
        <f>Data!Q1741</f>
        <v>Cliente, Vel Max 40 Km/h</v>
      </c>
      <c r="J1743" s="43">
        <f>Data!S1741</f>
        <v>46174.151018518518</v>
      </c>
      <c r="K1743" s="44">
        <f>Data!S1741</f>
        <v>46174.151018518518</v>
      </c>
      <c r="L1743" s="45">
        <f>Data!T1741</f>
        <v>5.7754629629629631E-3</v>
      </c>
      <c r="M1743" s="46">
        <f>Data!U1741</f>
        <v>0</v>
      </c>
      <c r="N1743" s="46" t="str">
        <f>CONCATENATE(Data!W1741," (",Data!V1741,")")</f>
        <v>Tiempo en ralentí (Ignición: 1.00)</v>
      </c>
      <c r="O1743" s="42" t="str">
        <f>IF(Data!V1741&lt;&gt;"",N1743,Data!W1741)</f>
        <v>Tiempo en ralentí (Ignición: 1.00)</v>
      </c>
      <c r="P1743" s="47" t="str">
        <f>Data!X1741</f>
        <v>Válido</v>
      </c>
    </row>
    <row r="1744" spans="1:16">
      <c r="A1744" s="41" t="str">
        <f>Data!A1742</f>
        <v>QLT553</v>
      </c>
      <c r="B1744" s="41" t="str">
        <f>Data!D1742</f>
        <v>Vehicle, Diesel, Frontera Energy Col 2679</v>
      </c>
      <c r="C1744" s="41">
        <f>Data!F1742</f>
        <v>0</v>
      </c>
      <c r="D1744" s="41">
        <f>Data!G1742</f>
        <v>0</v>
      </c>
      <c r="E1744" s="41">
        <f>Data!H1742</f>
        <v>0</v>
      </c>
      <c r="F1744" s="41">
        <f>Data!K1742</f>
        <v>0</v>
      </c>
      <c r="G1744" s="33" t="str">
        <f>Data!M1742</f>
        <v>Exceso Velocidad 40 Km/h</v>
      </c>
      <c r="H1744" s="41" t="str">
        <f>Data!P1742</f>
        <v>ECOPETROL RUBIALES- Quifa - CAÑO SUR: Vía Sin Nombre, Puerto Gaitán, Meta, Colombia</v>
      </c>
      <c r="I1744" s="42" t="str">
        <f>Data!Q1742</f>
        <v>Cliente, Vel Max 40 Km/h</v>
      </c>
      <c r="J1744" s="43">
        <f>Data!S1742</f>
        <v>46174.158275462964</v>
      </c>
      <c r="K1744" s="44">
        <f>Data!S1742</f>
        <v>46174.158275462964</v>
      </c>
      <c r="L1744" s="45">
        <f>Data!T1742</f>
        <v>1.7361211111111111E-5</v>
      </c>
      <c r="M1744" s="46">
        <f>Data!U1742</f>
        <v>1.5314759686589241E-2</v>
      </c>
      <c r="N1744" s="46" t="str">
        <f>CONCATENATE(Data!W1742," (",Data!V1742,")")</f>
        <v>Exceso Velocidad 40 Km/h (Velocidad máxima: 41 kmh)</v>
      </c>
      <c r="O1744" s="42" t="str">
        <f>IF(Data!V1742&lt;&gt;"",N1744,Data!W1742)</f>
        <v>Exceso Velocidad 40 Km/h (Velocidad máxima: 41 kmh)</v>
      </c>
      <c r="P1744" s="47" t="str">
        <f>Data!X1742</f>
        <v>Válido</v>
      </c>
    </row>
    <row r="1745" spans="1:16">
      <c r="A1745" s="41" t="str">
        <f>Data!A1743</f>
        <v>QLT553</v>
      </c>
      <c r="B1745" s="41" t="str">
        <f>Data!D1743</f>
        <v>Vehicle, Diesel, Frontera Energy Col 2679</v>
      </c>
      <c r="C1745" s="41">
        <f>Data!F1743</f>
        <v>0</v>
      </c>
      <c r="D1745" s="41">
        <f>Data!G1743</f>
        <v>0</v>
      </c>
      <c r="E1745" s="41">
        <f>Data!H1743</f>
        <v>0</v>
      </c>
      <c r="F1745" s="41">
        <f>Data!K1743</f>
        <v>0</v>
      </c>
      <c r="G1745" s="33" t="str">
        <f>Data!M1743</f>
        <v>Exceso Velocidad 10 Km/h</v>
      </c>
      <c r="H1745" s="41" t="str">
        <f>Data!P1743</f>
        <v>ECOPETROL RUBIALES- Quifa - CAÑO SUR, Puerto Triunfo - Estacion Policia, PUESTRO CONTROL QUIFA: Puerto Gaitan - Rubiales, Puerto Gaitán, Meta, Colombia</v>
      </c>
      <c r="I1745" s="42" t="str">
        <f>Data!Q1743</f>
        <v>Cliente, Vel Max 40 Km/h, Vel Max 30 Km/h, Vel Max 10 Km/h</v>
      </c>
      <c r="J1745" s="43">
        <f>Data!S1743</f>
        <v>46174.168143287039</v>
      </c>
      <c r="K1745" s="44">
        <f>Data!S1743</f>
        <v>46174.168143287039</v>
      </c>
      <c r="L1745" s="45">
        <f>Data!T1743</f>
        <v>2.6062500000000001E-4</v>
      </c>
      <c r="M1745" s="46">
        <f>Data!U1743</f>
        <v>0.18281574547290802</v>
      </c>
      <c r="N1745" s="46" t="str">
        <f>CONCATENATE(Data!W1743," (",Data!V1743,")")</f>
        <v>Exceso Velocidad 10 Km/h (Velocidad máxima: 33 kmh)</v>
      </c>
      <c r="O1745" s="42" t="str">
        <f>IF(Data!V1743&lt;&gt;"",N1745,Data!W1743)</f>
        <v>Exceso Velocidad 10 Km/h (Velocidad máxima: 33 kmh)</v>
      </c>
      <c r="P1745" s="47" t="str">
        <f>Data!X1743</f>
        <v>Válido</v>
      </c>
    </row>
    <row r="1746" spans="1:16">
      <c r="A1746" s="41" t="str">
        <f>Data!A1744</f>
        <v>QLT553</v>
      </c>
      <c r="B1746" s="41" t="str">
        <f>Data!D1744</f>
        <v>Vehicle, Diesel, Frontera Energy Col 2679</v>
      </c>
      <c r="C1746" s="41">
        <f>Data!F1744</f>
        <v>0</v>
      </c>
      <c r="D1746" s="41">
        <f>Data!G1744</f>
        <v>0</v>
      </c>
      <c r="E1746" s="41">
        <f>Data!H1744</f>
        <v>0</v>
      </c>
      <c r="F1746" s="41">
        <f>Data!K1744</f>
        <v>0</v>
      </c>
      <c r="G1746" s="33" t="str">
        <f>Data!M1744</f>
        <v>Exceso Velocidad 30 Km/h</v>
      </c>
      <c r="H1746" s="41" t="str">
        <f>Data!P1744</f>
        <v>ECOPETROL RUBIALES- Quifa - CAÑO SUR, Puerto Triunfo - Estacion Policia, PUESTRO CONTROL QUIFA: Puerto Gaitan - Rubiales, Puerto Gaitán, Meta, Colombia</v>
      </c>
      <c r="I1746" s="42" t="str">
        <f>Data!Q1744</f>
        <v>Cliente, Vel Max 40 Km/h, Vel Max 30 Km/h, Vel Max 10 Km/h</v>
      </c>
      <c r="J1746" s="43">
        <f>Data!S1744</f>
        <v>46174.168298611112</v>
      </c>
      <c r="K1746" s="44">
        <f>Data!S1744</f>
        <v>46174.168298611112</v>
      </c>
      <c r="L1746" s="45">
        <f>Data!T1744</f>
        <v>5.4560185185185186E-5</v>
      </c>
      <c r="M1746" s="46">
        <f>Data!U1744</f>
        <v>4.0628407150506973E-2</v>
      </c>
      <c r="N1746" s="46" t="str">
        <f>CONCATENATE(Data!W1744," (",Data!V1744,")")</f>
        <v>Exceso Velocidad 30 Km/h (Velocidad máxima: 33 kmh)</v>
      </c>
      <c r="O1746" s="42" t="str">
        <f>IF(Data!V1744&lt;&gt;"",N1746,Data!W1744)</f>
        <v>Exceso Velocidad 30 Km/h (Velocidad máxima: 33 kmh)</v>
      </c>
      <c r="P1746" s="47" t="str">
        <f>Data!X1744</f>
        <v>Válido</v>
      </c>
    </row>
    <row r="1747" spans="1:16">
      <c r="A1747" s="41" t="str">
        <f>Data!A1745</f>
        <v>QLT553</v>
      </c>
      <c r="B1747" s="41" t="str">
        <f>Data!D1745</f>
        <v>Vehicle, Diesel, Frontera Energy Col 2679</v>
      </c>
      <c r="C1747" s="41">
        <f>Data!F1745</f>
        <v>0</v>
      </c>
      <c r="D1747" s="41">
        <f>Data!G1745</f>
        <v>0</v>
      </c>
      <c r="E1747" s="41">
        <f>Data!H1745</f>
        <v>0</v>
      </c>
      <c r="F1747" s="41">
        <f>Data!K1745</f>
        <v>0</v>
      </c>
      <c r="G1747" s="33" t="str">
        <f>Data!M1745</f>
        <v>Exceso de velocidad (nuevo)</v>
      </c>
      <c r="H1747" s="41" t="str">
        <f>Data!P1745</f>
        <v>ECOPETROL RUBIALES- Quifa - CAÑO SUR: Puerto Gaitan - Rubiales, Puerto Gaitán, Meta, Colombia</v>
      </c>
      <c r="I1747" s="42" t="str">
        <f>Data!Q1745</f>
        <v>Cliente, Vel Max 40 Km/h</v>
      </c>
      <c r="J1747" s="43">
        <f>Data!S1745</f>
        <v>46174.168587962966</v>
      </c>
      <c r="K1747" s="44">
        <f>Data!S1745</f>
        <v>46174.168587962966</v>
      </c>
      <c r="L1747" s="45">
        <f>Data!T1745</f>
        <v>4.3981481481481481E-4</v>
      </c>
      <c r="M1747" s="46">
        <f>Data!U1745</f>
        <v>0.28358736634254456</v>
      </c>
      <c r="N1747" s="46" t="str">
        <f>CONCATENATE(Data!W1745," (",Data!V1745,")")</f>
        <v>Exceso de velocidad (nuevo) (Velocidad máxima: 29 kmh (Velocidad máxima en carretera: 7 kmh))</v>
      </c>
      <c r="O1747" s="42" t="str">
        <f>IF(Data!V1745&lt;&gt;"",N1747,Data!W1745)</f>
        <v>Exceso de velocidad (nuevo) (Velocidad máxima: 29 kmh (Velocidad máxima en carretera: 7 kmh))</v>
      </c>
      <c r="P1747" s="47" t="str">
        <f>Data!X1745</f>
        <v>Válido</v>
      </c>
    </row>
    <row r="1748" spans="1:16">
      <c r="A1748" s="41" t="str">
        <f>Data!A1746</f>
        <v>QLT553</v>
      </c>
      <c r="B1748" s="41" t="str">
        <f>Data!D1746</f>
        <v>Vehicle, Diesel, Frontera Energy Col 2679</v>
      </c>
      <c r="C1748" s="41">
        <f>Data!F1746</f>
        <v>0</v>
      </c>
      <c r="D1748" s="41">
        <f>Data!G1746</f>
        <v>0</v>
      </c>
      <c r="E1748" s="41">
        <f>Data!H1746</f>
        <v>0</v>
      </c>
      <c r="F1748" s="41">
        <f>Data!K1746</f>
        <v>0</v>
      </c>
      <c r="G1748" s="33" t="str">
        <f>Data!M1746</f>
        <v>Exceso Velocidad 10 Km/h</v>
      </c>
      <c r="H1748" s="41" t="str">
        <f>Data!P1746</f>
        <v>ECOPETROL RUBIALES- Quifa - CAÑO SUR, Centralizado de combustible Quifa: Vía Sin Nombre, Puerto Gaitán, Meta, Colombia</v>
      </c>
      <c r="I1748" s="42" t="str">
        <f>Data!Q1746</f>
        <v>Cliente, Vel Max 40 Km/h, Vel Max 10 Km/h</v>
      </c>
      <c r="J1748" s="43">
        <f>Data!S1746</f>
        <v>46174.169097083337</v>
      </c>
      <c r="K1748" s="44">
        <f>Data!S1746</f>
        <v>46174.169097083337</v>
      </c>
      <c r="L1748" s="45">
        <f>Data!T1746</f>
        <v>4.584722222222222E-4</v>
      </c>
      <c r="M1748" s="46">
        <f>Data!U1746</f>
        <v>0.15019766986370087</v>
      </c>
      <c r="N1748" s="46" t="str">
        <f>CONCATENATE(Data!W1746," (",Data!V1746,")")</f>
        <v>Exceso Velocidad 10 Km/h (Velocidad máxima: 17 kmh)</v>
      </c>
      <c r="O1748" s="42" t="str">
        <f>IF(Data!V1746&lt;&gt;"",N1748,Data!W1746)</f>
        <v>Exceso Velocidad 10 Km/h (Velocidad máxima: 17 kmh)</v>
      </c>
      <c r="P1748" s="47" t="str">
        <f>Data!X1746</f>
        <v>Válido</v>
      </c>
    </row>
    <row r="1749" spans="1:16">
      <c r="A1749" s="41" t="str">
        <f>Data!A1747</f>
        <v>QLT553</v>
      </c>
      <c r="B1749" s="41" t="str">
        <f>Data!D1747</f>
        <v>Vehicle, Diesel, Frontera Energy Col 2679</v>
      </c>
      <c r="C1749" s="41">
        <f>Data!F1747</f>
        <v>0</v>
      </c>
      <c r="D1749" s="41">
        <f>Data!G1747</f>
        <v>0</v>
      </c>
      <c r="E1749" s="41">
        <f>Data!H1747</f>
        <v>0</v>
      </c>
      <c r="F1749" s="41">
        <f>Data!K1747</f>
        <v>0</v>
      </c>
      <c r="G1749" s="33" t="str">
        <f>Data!M1747</f>
        <v>Exceso Velocidad 10 Km/h</v>
      </c>
      <c r="H1749" s="41" t="str">
        <f>Data!P1747</f>
        <v>ECOPETROL RUBIALES- Quifa - CAÑO SUR, Centralizado de combustible Quifa: Vía Sin Nombre, Puerto Gaitán, Meta, Colombia</v>
      </c>
      <c r="I1749" s="42" t="str">
        <f>Data!Q1747</f>
        <v>Cliente, Vel Max 40 Km/h, Vel Max 10 Km/h</v>
      </c>
      <c r="J1749" s="43">
        <f>Data!S1747</f>
        <v>46174.206759259258</v>
      </c>
      <c r="K1749" s="44">
        <f>Data!S1747</f>
        <v>46174.206759259258</v>
      </c>
      <c r="L1749" s="45">
        <f>Data!T1747</f>
        <v>2.1605324074074075E-4</v>
      </c>
      <c r="M1749" s="46">
        <f>Data!U1747</f>
        <v>5.6173048913478851E-2</v>
      </c>
      <c r="N1749" s="46" t="str">
        <f>CONCATENATE(Data!W1747," (",Data!V1747,")")</f>
        <v>Exceso Velocidad 10 Km/h (Velocidad máxima: 11 kmh)</v>
      </c>
      <c r="O1749" s="42" t="str">
        <f>IF(Data!V1747&lt;&gt;"",N1749,Data!W1747)</f>
        <v>Exceso Velocidad 10 Km/h (Velocidad máxima: 11 kmh)</v>
      </c>
      <c r="P1749" s="47" t="str">
        <f>Data!X1747</f>
        <v>Válido</v>
      </c>
    </row>
    <row r="1750" spans="1:16">
      <c r="A1750" s="41" t="str">
        <f>Data!A1748</f>
        <v>QLT553</v>
      </c>
      <c r="B1750" s="41" t="str">
        <f>Data!D1748</f>
        <v>Vehicle, Diesel, Frontera Energy Col 2679</v>
      </c>
      <c r="C1750" s="41">
        <f>Data!F1748</f>
        <v>0</v>
      </c>
      <c r="D1750" s="41">
        <f>Data!G1748</f>
        <v>0</v>
      </c>
      <c r="E1750" s="41">
        <f>Data!H1748</f>
        <v>0</v>
      </c>
      <c r="F1750" s="41">
        <f>Data!K1748</f>
        <v>0</v>
      </c>
      <c r="G1750" s="33" t="str">
        <f>Data!M1748</f>
        <v>Exceso de velocidad (nuevo)</v>
      </c>
      <c r="H1750" s="41" t="str">
        <f>Data!P1748</f>
        <v>ECOPETROL RUBIALES- Quifa - CAÑO SUR: Puerto Gaitan - Rubiales, Puerto Gaitán, Meta, Colombia</v>
      </c>
      <c r="I1750" s="42" t="str">
        <f>Data!Q1748</f>
        <v>Cliente, Vel Max 40 Km/h</v>
      </c>
      <c r="J1750" s="43">
        <f>Data!S1748</f>
        <v>46174.207187499997</v>
      </c>
      <c r="K1750" s="44">
        <f>Data!S1748</f>
        <v>46174.207187499997</v>
      </c>
      <c r="L1750" s="45">
        <f>Data!T1748</f>
        <v>6.2500000000000001E-4</v>
      </c>
      <c r="M1750" s="46">
        <f>Data!U1748</f>
        <v>0.29469990730285645</v>
      </c>
      <c r="N1750" s="46" t="str">
        <f>CONCATENATE(Data!W1748," (",Data!V1748,")")</f>
        <v>Exceso de velocidad (nuevo) (Velocidad máxima: 22 kmh (Velocidad máxima en carretera: 7 kmh))</v>
      </c>
      <c r="O1750" s="42" t="str">
        <f>IF(Data!V1748&lt;&gt;"",N1750,Data!W1748)</f>
        <v>Exceso de velocidad (nuevo) (Velocidad máxima: 22 kmh (Velocidad máxima en carretera: 7 kmh))</v>
      </c>
      <c r="P1750" s="47" t="str">
        <f>Data!X1748</f>
        <v>Válido</v>
      </c>
    </row>
    <row r="1751" spans="1:16">
      <c r="A1751" s="41" t="str">
        <f>Data!A1749</f>
        <v>QLT553</v>
      </c>
      <c r="B1751" s="41" t="str">
        <f>Data!D1749</f>
        <v>Vehicle, Diesel, Frontera Energy Col 2679</v>
      </c>
      <c r="C1751" s="41">
        <f>Data!F1749</f>
        <v>0</v>
      </c>
      <c r="D1751" s="41">
        <f>Data!G1749</f>
        <v>0</v>
      </c>
      <c r="E1751" s="41">
        <f>Data!H1749</f>
        <v>0</v>
      </c>
      <c r="F1751" s="41">
        <f>Data!K1749</f>
        <v>0</v>
      </c>
      <c r="G1751" s="33" t="str">
        <f>Data!M1749</f>
        <v>Exceso Velocidad 30 Km/h</v>
      </c>
      <c r="H1751" s="41" t="str">
        <f>Data!P1749</f>
        <v>ECOPETROL RUBIALES- Quifa - CAÑO SUR, Puerto Triunfo - Estacion Policia: Puerto Gaitan - Rubiales, Puerto Gaitán, Meta, Colombia</v>
      </c>
      <c r="I1751" s="42" t="str">
        <f>Data!Q1749</f>
        <v>Cliente, Vel Max 40 Km/h, Vel Max 30 Km/h</v>
      </c>
      <c r="J1751" s="43">
        <f>Data!S1749</f>
        <v>46174.216211423613</v>
      </c>
      <c r="K1751" s="44">
        <f>Data!S1749</f>
        <v>46174.216211423613</v>
      </c>
      <c r="L1751" s="45">
        <f>Data!T1749</f>
        <v>1.7361111111111112E-4</v>
      </c>
      <c r="M1751" s="46">
        <f>Data!U1749</f>
        <v>0.13140201568603516</v>
      </c>
      <c r="N1751" s="46" t="str">
        <f>CONCATENATE(Data!W1749," (",Data!V1749,")")</f>
        <v>Exceso Velocidad 30 Km/h (Velocidad máxima: 35 kmh)</v>
      </c>
      <c r="O1751" s="42" t="str">
        <f>IF(Data!V1749&lt;&gt;"",N1751,Data!W1749)</f>
        <v>Exceso Velocidad 30 Km/h (Velocidad máxima: 35 kmh)</v>
      </c>
      <c r="P1751" s="47" t="str">
        <f>Data!X1749</f>
        <v>Válido</v>
      </c>
    </row>
    <row r="1752" spans="1:16">
      <c r="A1752" s="41" t="str">
        <f>Data!A1750</f>
        <v>QLT553</v>
      </c>
      <c r="B1752" s="41" t="str">
        <f>Data!D1750</f>
        <v>Vehicle, Diesel, Frontera Energy Col 2679</v>
      </c>
      <c r="C1752" s="41">
        <f>Data!F1750</f>
        <v>0</v>
      </c>
      <c r="D1752" s="41">
        <f>Data!G1750</f>
        <v>0</v>
      </c>
      <c r="E1752" s="41">
        <f>Data!H1750</f>
        <v>0</v>
      </c>
      <c r="F1752" s="41">
        <f>Data!K1750</f>
        <v>0</v>
      </c>
      <c r="G1752" s="33" t="str">
        <f>Data!M1750</f>
        <v>Exceso Velocidad 10 Km/h</v>
      </c>
      <c r="H1752" s="41" t="str">
        <f>Data!P1750</f>
        <v>ECOPETROL RUBIALES- Quifa - CAÑO SUR, Puerto Triunfo - Estacion Policia, PUESTRO CONTROL QUIFA: Puerto Gaitan - Rubiales, Puerto Gaitán, Meta, Colombia</v>
      </c>
      <c r="I1752" s="42" t="str">
        <f>Data!Q1750</f>
        <v>Cliente, Vel Max 40 Km/h, Vel Max 30 Km/h, Vel Max 10 Km/h</v>
      </c>
      <c r="J1752" s="43">
        <f>Data!S1750</f>
        <v>46174.216593101854</v>
      </c>
      <c r="K1752" s="44">
        <f>Data!S1750</f>
        <v>46174.216593101854</v>
      </c>
      <c r="L1752" s="45">
        <f>Data!T1750</f>
        <v>2.9285879629629627E-4</v>
      </c>
      <c r="M1752" s="46">
        <f>Data!U1750</f>
        <v>0.18443521857261658</v>
      </c>
      <c r="N1752" s="46" t="str">
        <f>CONCATENATE(Data!W1750," (",Data!V1750,")")</f>
        <v>Exceso Velocidad 10 Km/h (Velocidad máxima: 29 kmh)</v>
      </c>
      <c r="O1752" s="42" t="str">
        <f>IF(Data!V1750&lt;&gt;"",N1752,Data!W1750)</f>
        <v>Exceso Velocidad 10 Km/h (Velocidad máxima: 29 kmh)</v>
      </c>
      <c r="P1752" s="47" t="str">
        <f>Data!X1750</f>
        <v>Válido</v>
      </c>
    </row>
    <row r="1753" spans="1:16">
      <c r="A1753" s="41" t="str">
        <f>Data!A1751</f>
        <v>QLT553</v>
      </c>
      <c r="B1753" s="41" t="str">
        <f>Data!D1751</f>
        <v>Vehicle, Diesel, Frontera Energy Col 2679</v>
      </c>
      <c r="C1753" s="41">
        <f>Data!F1751</f>
        <v>0</v>
      </c>
      <c r="D1753" s="41">
        <f>Data!G1751</f>
        <v>0</v>
      </c>
      <c r="E1753" s="41">
        <f>Data!H1751</f>
        <v>0</v>
      </c>
      <c r="F1753" s="41">
        <f>Data!K1751</f>
        <v>0</v>
      </c>
      <c r="G1753" s="33" t="str">
        <f>Data!M1751</f>
        <v>Exceso Velocidad 10 Km/h</v>
      </c>
      <c r="H1753" s="41" t="str">
        <f>Data!P1751</f>
        <v>CAMPAMENTO QUIFA, ECOPETROL RUBIALES- Quifa - CAÑO SUR, Puerto Gaitan - Rubiales, Puerto Gaitán, Meta, Colombia: Ent. CAMPAMENTO, Puerto Gaitán, Meta, Colombia</v>
      </c>
      <c r="I1753" s="42" t="str">
        <f>Data!Q1751</f>
        <v>Vel Max 10 Km/h, Cliente, Vel Max 40 Km/h, Centro de servicios del proveedor</v>
      </c>
      <c r="J1753" s="43">
        <f>Data!S1751</f>
        <v>46174.218744282407</v>
      </c>
      <c r="K1753" s="44">
        <f>Data!S1751</f>
        <v>46174.218744282407</v>
      </c>
      <c r="L1753" s="45">
        <f>Data!T1751</f>
        <v>2.0601851851851853E-5</v>
      </c>
      <c r="M1753" s="46">
        <f>Data!U1751</f>
        <v>5.0906953401863575E-3</v>
      </c>
      <c r="N1753" s="46" t="str">
        <f>CONCATENATE(Data!W1751," (",Data!V1751,")")</f>
        <v>Exceso Velocidad 10 Km/h (Velocidad máxima: 13 kmh)</v>
      </c>
      <c r="O1753" s="42" t="str">
        <f>IF(Data!V1751&lt;&gt;"",N1753,Data!W1751)</f>
        <v>Exceso Velocidad 10 Km/h (Velocidad máxima: 13 kmh)</v>
      </c>
      <c r="P1753" s="47" t="str">
        <f>Data!X1751</f>
        <v>Válido</v>
      </c>
    </row>
    <row r="1754" spans="1:16">
      <c r="A1754" s="41" t="str">
        <f>Data!A1752</f>
        <v>QLT553</v>
      </c>
      <c r="B1754" s="41" t="str">
        <f>Data!D1752</f>
        <v>Vehicle, Diesel, Frontera Energy Col 2679</v>
      </c>
      <c r="C1754" s="41">
        <f>Data!F1752</f>
        <v>0</v>
      </c>
      <c r="D1754" s="41">
        <f>Data!G1752</f>
        <v>0</v>
      </c>
      <c r="E1754" s="41">
        <f>Data!H1752</f>
        <v>0</v>
      </c>
      <c r="F1754" s="41">
        <f>Data!K1752</f>
        <v>0</v>
      </c>
      <c r="G1754" s="33" t="str">
        <f>Data!M1752</f>
        <v>Tiempo en ralentí</v>
      </c>
      <c r="H1754" s="41" t="str">
        <f>Data!P1752</f>
        <v>CAMPAMENTO QUIFA, ECOPETROL RUBIALES- Quifa - CAÑO SUR, Campamento Quifa - CMA: Ent. CAMPAMENTO, Puerto Gaitán, Meta, Colombia</v>
      </c>
      <c r="I1754" s="42" t="str">
        <f>Data!Q1752</f>
        <v>Vel Max 10 Km/h, Cliente, Vel Max 40 Km/h</v>
      </c>
      <c r="J1754" s="43">
        <f>Data!S1752</f>
        <v>46174.219652777778</v>
      </c>
      <c r="K1754" s="44">
        <f>Data!S1752</f>
        <v>46174.219652777778</v>
      </c>
      <c r="L1754" s="45">
        <f>Data!T1752</f>
        <v>5.4632407407407407E-3</v>
      </c>
      <c r="M1754" s="46">
        <f>Data!U1752</f>
        <v>1.8748926231637597E-3</v>
      </c>
      <c r="N1754" s="46" t="str">
        <f>CONCATENATE(Data!W1752," (",Data!V1752,")")</f>
        <v>Tiempo en ralentí (Ignición: 1.00)</v>
      </c>
      <c r="O1754" s="42" t="str">
        <f>IF(Data!V1752&lt;&gt;"",N1754,Data!W1752)</f>
        <v>Tiempo en ralentí (Ignición: 1.00)</v>
      </c>
      <c r="P1754" s="47" t="str">
        <f>Data!X1752</f>
        <v>Válido</v>
      </c>
    </row>
    <row r="1755" spans="1:16">
      <c r="A1755" s="41" t="str">
        <f>Data!A1753</f>
        <v>QLT553</v>
      </c>
      <c r="B1755" s="41" t="str">
        <f>Data!D1753</f>
        <v>Vehicle, Diesel, Frontera Energy Col 2679</v>
      </c>
      <c r="C1755" s="41">
        <f>Data!F1753</f>
        <v>0</v>
      </c>
      <c r="D1755" s="41">
        <f>Data!G1753</f>
        <v>0</v>
      </c>
      <c r="E1755" s="41">
        <f>Data!H1753</f>
        <v>0</v>
      </c>
      <c r="F1755" s="41">
        <f>Data!K1753</f>
        <v>0</v>
      </c>
      <c r="G1755" s="33" t="str">
        <f>Data!M1753</f>
        <v>Exceso de velocidad (nuevo)</v>
      </c>
      <c r="H1755" s="41" t="str">
        <f>Data!P1753</f>
        <v>ECOPETROL RUBIALES- Quifa - CAÑO SUR, Puerto Triunfo - Estacion Policia: Puerto Gaitan - Rubiales, Puerto Gaitán, Meta, Colombia</v>
      </c>
      <c r="I1755" s="42" t="str">
        <f>Data!Q1753</f>
        <v>Cliente, Vel Max 40 Km/h, Vel Max 30 Km/h</v>
      </c>
      <c r="J1755" s="43">
        <f>Data!S1753</f>
        <v>46174.261018518519</v>
      </c>
      <c r="K1755" s="44">
        <f>Data!S1753</f>
        <v>46174.261018518519</v>
      </c>
      <c r="L1755" s="45">
        <f>Data!T1753</f>
        <v>6.3657407407407413E-4</v>
      </c>
      <c r="M1755" s="46">
        <f>Data!U1753</f>
        <v>0.28986743092536926</v>
      </c>
      <c r="N1755" s="46" t="str">
        <f>CONCATENATE(Data!W1753," (",Data!V1753,")")</f>
        <v>Exceso de velocidad (nuevo) (Velocidad máxima: 22 kmh (Velocidad máxima en carretera: 7 kmh))</v>
      </c>
      <c r="O1755" s="42" t="str">
        <f>IF(Data!V1753&lt;&gt;"",N1755,Data!W1753)</f>
        <v>Exceso de velocidad (nuevo) (Velocidad máxima: 22 kmh (Velocidad máxima en carretera: 7 kmh))</v>
      </c>
      <c r="P1755" s="47" t="str">
        <f>Data!X1753</f>
        <v>Válido</v>
      </c>
    </row>
    <row r="1756" spans="1:16">
      <c r="A1756" s="41" t="str">
        <f>Data!A1754</f>
        <v>QLT553</v>
      </c>
      <c r="B1756" s="41" t="str">
        <f>Data!D1754</f>
        <v>Vehicle, Diesel, Frontera Energy Col 2679</v>
      </c>
      <c r="C1756" s="41">
        <f>Data!F1754</f>
        <v>0</v>
      </c>
      <c r="D1756" s="41">
        <f>Data!G1754</f>
        <v>0</v>
      </c>
      <c r="E1756" s="41">
        <f>Data!H1754</f>
        <v>0</v>
      </c>
      <c r="F1756" s="41">
        <f>Data!K1754</f>
        <v>0</v>
      </c>
      <c r="G1756" s="33" t="str">
        <f>Data!M1754</f>
        <v>Exceso Velocidad 10 Km/h</v>
      </c>
      <c r="H1756" s="41" t="str">
        <f>Data!P1754</f>
        <v>ECOPETROL RUBIALES- Quifa - CAÑO SUR, Centralizado de combustible Quifa: Vía Sin Nombre, Puerto Gaitán, Meta, Colombia</v>
      </c>
      <c r="I1756" s="42" t="str">
        <f>Data!Q1754</f>
        <v>Cliente, Vel Max 40 Km/h, Vel Max 10 Km/h</v>
      </c>
      <c r="J1756" s="43">
        <f>Data!S1754</f>
        <v>46174.261750509257</v>
      </c>
      <c r="K1756" s="44">
        <f>Data!S1754</f>
        <v>46174.261750509257</v>
      </c>
      <c r="L1756" s="45">
        <f>Data!T1754</f>
        <v>5.4260416666666671E-4</v>
      </c>
      <c r="M1756" s="46">
        <f>Data!U1754</f>
        <v>0.15743044018745422</v>
      </c>
      <c r="N1756" s="46" t="str">
        <f>CONCATENATE(Data!W1754," (",Data!V1754,")")</f>
        <v>Exceso Velocidad 10 Km/h (Velocidad máxima: 14 kmh)</v>
      </c>
      <c r="O1756" s="42" t="str">
        <f>IF(Data!V1754&lt;&gt;"",N1756,Data!W1754)</f>
        <v>Exceso Velocidad 10 Km/h (Velocidad máxima: 14 kmh)</v>
      </c>
      <c r="P1756" s="47" t="str">
        <f>Data!X1754</f>
        <v>Válido</v>
      </c>
    </row>
    <row r="1757" spans="1:16">
      <c r="A1757" s="41" t="str">
        <f>Data!A1755</f>
        <v>QLT553</v>
      </c>
      <c r="B1757" s="41" t="str">
        <f>Data!D1755</f>
        <v>Vehicle, Diesel, Frontera Energy Col 2679</v>
      </c>
      <c r="C1757" s="41">
        <f>Data!F1755</f>
        <v>0</v>
      </c>
      <c r="D1757" s="41">
        <f>Data!G1755</f>
        <v>0</v>
      </c>
      <c r="E1757" s="41">
        <f>Data!H1755</f>
        <v>0</v>
      </c>
      <c r="F1757" s="41">
        <f>Data!K1755</f>
        <v>0</v>
      </c>
      <c r="G1757" s="33" t="str">
        <f>Data!M1755</f>
        <v>Exceso Velocidad 10 Km/h</v>
      </c>
      <c r="H1757" s="41" t="str">
        <f>Data!P1755</f>
        <v>ECOPETROL RUBIALES- Quifa - CAÑO SUR, Centralizado de combustible Quifa: Vía Sin Nombre, Puerto Gaitán, Meta, Colombia</v>
      </c>
      <c r="I1757" s="42" t="str">
        <f>Data!Q1755</f>
        <v>Cliente, Vel Max 40 Km/h, Vel Max 10 Km/h</v>
      </c>
      <c r="J1757" s="43">
        <f>Data!S1755</f>
        <v>46174.34498361111</v>
      </c>
      <c r="K1757" s="44">
        <f>Data!S1755</f>
        <v>46174.34498361111</v>
      </c>
      <c r="L1757" s="45">
        <f>Data!T1755</f>
        <v>8.714120370370371E-5</v>
      </c>
      <c r="M1757" s="46">
        <f>Data!U1755</f>
        <v>2.4821512401103973E-2</v>
      </c>
      <c r="N1757" s="46" t="str">
        <f>CONCATENATE(Data!W1755," (",Data!V1755,")")</f>
        <v>Exceso Velocidad 10 Km/h (Velocidad máxima: 12 kmh)</v>
      </c>
      <c r="O1757" s="42" t="str">
        <f>IF(Data!V1755&lt;&gt;"",N1757,Data!W1755)</f>
        <v>Exceso Velocidad 10 Km/h (Velocidad máxima: 12 kmh)</v>
      </c>
      <c r="P1757" s="47" t="str">
        <f>Data!X1755</f>
        <v>Válido</v>
      </c>
    </row>
    <row r="1758" spans="1:16">
      <c r="A1758" s="41" t="str">
        <f>Data!A1756</f>
        <v>QLT553</v>
      </c>
      <c r="B1758" s="41" t="str">
        <f>Data!D1756</f>
        <v>Vehicle, Diesel, Frontera Energy Col 2679</v>
      </c>
      <c r="C1758" s="41">
        <f>Data!F1756</f>
        <v>0</v>
      </c>
      <c r="D1758" s="41">
        <f>Data!G1756</f>
        <v>0</v>
      </c>
      <c r="E1758" s="41">
        <f>Data!H1756</f>
        <v>0</v>
      </c>
      <c r="F1758" s="41">
        <f>Data!K1756</f>
        <v>0</v>
      </c>
      <c r="G1758" s="33" t="str">
        <f>Data!M1756</f>
        <v>Exceso de velocidad (nuevo)</v>
      </c>
      <c r="H1758" s="41" t="str">
        <f>Data!P1756</f>
        <v>ECOPETROL RUBIALES- Quifa - CAÑO SUR: Puerto Gaitan - Rubiales, Puerto Gaitán, Meta, Colombia</v>
      </c>
      <c r="I1758" s="42" t="str">
        <f>Data!Q1756</f>
        <v>Cliente, Vel Max 40 Km/h</v>
      </c>
      <c r="J1758" s="43">
        <f>Data!S1756</f>
        <v>46174.345155474541</v>
      </c>
      <c r="K1758" s="44">
        <f>Data!S1756</f>
        <v>46174.345155474541</v>
      </c>
      <c r="L1758" s="45">
        <f>Data!T1756</f>
        <v>5.621180555555555E-4</v>
      </c>
      <c r="M1758" s="46">
        <f>Data!U1756</f>
        <v>0.29233595728874207</v>
      </c>
      <c r="N1758" s="46" t="str">
        <f>CONCATENATE(Data!W1756," (",Data!V1756,")")</f>
        <v>Exceso de velocidad (nuevo) (Velocidad máxima: 28 kmh (Velocidad máxima en carretera: 7 kmh))</v>
      </c>
      <c r="O1758" s="42" t="str">
        <f>IF(Data!V1756&lt;&gt;"",N1758,Data!W1756)</f>
        <v>Exceso de velocidad (nuevo) (Velocidad máxima: 28 kmh (Velocidad máxima en carretera: 7 kmh))</v>
      </c>
      <c r="P1758" s="47" t="str">
        <f>Data!X1756</f>
        <v>Válido</v>
      </c>
    </row>
    <row r="1759" spans="1:16">
      <c r="A1759" s="41" t="str">
        <f>Data!A1757</f>
        <v>QLT553</v>
      </c>
      <c r="B1759" s="41" t="str">
        <f>Data!D1757</f>
        <v>Vehicle, Diesel, Frontera Energy Col 2679</v>
      </c>
      <c r="C1759" s="41">
        <f>Data!F1757</f>
        <v>0</v>
      </c>
      <c r="D1759" s="41">
        <f>Data!G1757</f>
        <v>0</v>
      </c>
      <c r="E1759" s="41">
        <f>Data!H1757</f>
        <v>0</v>
      </c>
      <c r="F1759" s="41">
        <f>Data!K1757</f>
        <v>0</v>
      </c>
      <c r="G1759" s="33" t="str">
        <f>Data!M1757</f>
        <v>Exceso Velocidad 10 Km/h</v>
      </c>
      <c r="H1759" s="41" t="str">
        <f>Data!P1757</f>
        <v>ECOPETROL RUBIALES- Quifa - CAÑO SUR, Puerto Triunfo - Estacion Policia, PUESTRO CONTROL QUIFA: Puerto Gaitan - Rubiales, Puerto Gaitán, Meta, Colombia</v>
      </c>
      <c r="I1759" s="42" t="str">
        <f>Data!Q1757</f>
        <v>Cliente, Vel Max 40 Km/h, Vel Max 30 Km/h, Vel Max 10 Km/h</v>
      </c>
      <c r="J1759" s="43">
        <f>Data!S1757</f>
        <v>46174.346003495368</v>
      </c>
      <c r="K1759" s="44">
        <f>Data!S1757</f>
        <v>46174.346003495368</v>
      </c>
      <c r="L1759" s="45">
        <f>Data!T1757</f>
        <v>2.899074074074074E-4</v>
      </c>
      <c r="M1759" s="46">
        <f>Data!U1757</f>
        <v>0.18345679342746735</v>
      </c>
      <c r="N1759" s="46" t="str">
        <f>CONCATENATE(Data!W1757," (",Data!V1757,")")</f>
        <v>Exceso Velocidad 10 Km/h (Velocidad máxima: 28 kmh)</v>
      </c>
      <c r="O1759" s="42" t="str">
        <f>IF(Data!V1757&lt;&gt;"",N1759,Data!W1757)</f>
        <v>Exceso Velocidad 10 Km/h (Velocidad máxima: 28 kmh)</v>
      </c>
      <c r="P1759" s="47" t="str">
        <f>Data!X1757</f>
        <v>Válido</v>
      </c>
    </row>
    <row r="1760" spans="1:16">
      <c r="A1760" s="41" t="str">
        <f>Data!A1758</f>
        <v>QLT553</v>
      </c>
      <c r="B1760" s="41" t="str">
        <f>Data!D1758</f>
        <v>Vehicle, Diesel, Frontera Energy Col 2679</v>
      </c>
      <c r="C1760" s="41">
        <f>Data!F1758</f>
        <v>0</v>
      </c>
      <c r="D1760" s="41">
        <f>Data!G1758</f>
        <v>0</v>
      </c>
      <c r="E1760" s="41">
        <f>Data!H1758</f>
        <v>0</v>
      </c>
      <c r="F1760" s="41">
        <f>Data!K1758</f>
        <v>0</v>
      </c>
      <c r="G1760" s="33" t="str">
        <f>Data!M1758</f>
        <v>Uso del cinturón de seguridad</v>
      </c>
      <c r="H1760" s="41" t="str">
        <f>Data!P1758</f>
        <v>ECOPETROL RUBIALES- Quifa - CAÑO SUR: VIA QF-393H, Puerto Gaitán, Meta, Colombia</v>
      </c>
      <c r="I1760" s="42" t="str">
        <f>Data!Q1758</f>
        <v>Cliente, Vel Max 40 Km/h</v>
      </c>
      <c r="J1760" s="43">
        <f>Data!S1758</f>
        <v>46174.370540127318</v>
      </c>
      <c r="K1760" s="44">
        <f>Data!S1758</f>
        <v>46174.370540127318</v>
      </c>
      <c r="L1760" s="45">
        <f>Data!T1758</f>
        <v>3.2025462962962962E-5</v>
      </c>
      <c r="M1760" s="46">
        <f>Data!U1758</f>
        <v>9.5915189012885094E-3</v>
      </c>
      <c r="N1760" s="46" t="str">
        <f>CONCATENATE(Data!W1758," (",Data!V1758,")")</f>
        <v>Uso del cinturón de seguridad (Velocidad máxima: 12 kmh Cinturón de seguridad del conductor (1. Desabrochado): 1.00)</v>
      </c>
      <c r="O1760" s="42" t="str">
        <f>IF(Data!V1758&lt;&gt;"",N1760,Data!W1758)</f>
        <v>Uso del cinturón de seguridad (Velocidad máxima: 12 kmh Cinturón de seguridad del conductor (1. Desabrochado): 1.00)</v>
      </c>
      <c r="P1760" s="47" t="str">
        <f>Data!X1758</f>
        <v>Válido</v>
      </c>
    </row>
    <row r="1761" spans="1:16">
      <c r="A1761" s="41" t="str">
        <f>Data!A1759</f>
        <v>QLT553</v>
      </c>
      <c r="B1761" s="41" t="str">
        <f>Data!D1759</f>
        <v>Vehicle, Diesel, Frontera Energy Col 2679</v>
      </c>
      <c r="C1761" s="41">
        <f>Data!F1759</f>
        <v>0</v>
      </c>
      <c r="D1761" s="41">
        <f>Data!G1759</f>
        <v>0</v>
      </c>
      <c r="E1761" s="41">
        <f>Data!H1759</f>
        <v>0</v>
      </c>
      <c r="F1761" s="41">
        <f>Data!K1759</f>
        <v>0</v>
      </c>
      <c r="G1761" s="33" t="str">
        <f>Data!M1759</f>
        <v>Tiempo en ralentí</v>
      </c>
      <c r="H1761" s="41" t="str">
        <f>Data!P1759</f>
        <v>ECOPETROL RUBIALES- Quifa - CAÑO SUR: VIA QF-393H, Puerto Gaitán, Meta, Colombia</v>
      </c>
      <c r="I1761" s="42" t="str">
        <f>Data!Q1759</f>
        <v>Cliente, Vel Max 40 Km/h</v>
      </c>
      <c r="J1761" s="43">
        <f>Data!S1759</f>
        <v>46174.372002314813</v>
      </c>
      <c r="K1761" s="44">
        <f>Data!S1759</f>
        <v>46174.372002314813</v>
      </c>
      <c r="L1761" s="45">
        <f>Data!T1759</f>
        <v>8.1018518518518514E-3</v>
      </c>
      <c r="M1761" s="46">
        <f>Data!U1759</f>
        <v>0</v>
      </c>
      <c r="N1761" s="46" t="str">
        <f>CONCATENATE(Data!W1759," (",Data!V1759,")")</f>
        <v>Tiempo en ralentí (Ignición: 1.00)</v>
      </c>
      <c r="O1761" s="42" t="str">
        <f>IF(Data!V1759&lt;&gt;"",N1761,Data!W1759)</f>
        <v>Tiempo en ralentí (Ignición: 1.00)</v>
      </c>
      <c r="P1761" s="47" t="str">
        <f>Data!X1759</f>
        <v>Válido</v>
      </c>
    </row>
    <row r="1762" spans="1:16">
      <c r="A1762" s="41" t="str">
        <f>Data!A1760</f>
        <v>QLT553</v>
      </c>
      <c r="B1762" s="41" t="str">
        <f>Data!D1760</f>
        <v>Vehicle, Diesel, Frontera Energy Col 2679</v>
      </c>
      <c r="C1762" s="41">
        <f>Data!F1760</f>
        <v>0</v>
      </c>
      <c r="D1762" s="41">
        <f>Data!G1760</f>
        <v>0</v>
      </c>
      <c r="E1762" s="41">
        <f>Data!H1760</f>
        <v>0</v>
      </c>
      <c r="F1762" s="41">
        <f>Data!K1760</f>
        <v>0</v>
      </c>
      <c r="G1762" s="33" t="str">
        <f>Data!M1760</f>
        <v>Uso del cinturón de seguridad</v>
      </c>
      <c r="H1762" s="41" t="str">
        <f>Data!P1760</f>
        <v>ECOPETROL RUBIALES- Quifa - CAÑO SUR: Vía Sin Nombre, Puerto Gaitán, Meta, Colombia</v>
      </c>
      <c r="I1762" s="42" t="str">
        <f>Data!Q1760</f>
        <v>Cliente, Vel Max 40 Km/h</v>
      </c>
      <c r="J1762" s="43">
        <f>Data!S1760</f>
        <v>46174.451905092596</v>
      </c>
      <c r="K1762" s="44">
        <f>Data!S1760</f>
        <v>46174.451905092596</v>
      </c>
      <c r="L1762" s="45">
        <f>Data!T1760</f>
        <v>4.8608796296296296E-4</v>
      </c>
      <c r="M1762" s="46">
        <f>Data!U1760</f>
        <v>0.22257652878761292</v>
      </c>
      <c r="N1762" s="46" t="str">
        <f>CONCATENATE(Data!W1760," (",Data!V1760,")")</f>
        <v>Uso del cinturón de seguridad (Velocidad máxima: 23 kmh Cinturón de seguridad del conductor (1. Desabrochado): 1.00)</v>
      </c>
      <c r="O1762" s="42" t="str">
        <f>IF(Data!V1760&lt;&gt;"",N1762,Data!W1760)</f>
        <v>Uso del cinturón de seguridad (Velocidad máxima: 23 kmh Cinturón de seguridad del conductor (1. Desabrochado): 1.00)</v>
      </c>
      <c r="P1762" s="47" t="str">
        <f>Data!X1760</f>
        <v>Válido</v>
      </c>
    </row>
    <row r="1763" spans="1:16">
      <c r="A1763" s="41" t="str">
        <f>Data!A1761</f>
        <v>QLT553</v>
      </c>
      <c r="B1763" s="41" t="str">
        <f>Data!D1761</f>
        <v>Vehicle, Diesel, Frontera Energy Col 2679</v>
      </c>
      <c r="C1763" s="41">
        <f>Data!F1761</f>
        <v>0</v>
      </c>
      <c r="D1763" s="41">
        <f>Data!G1761</f>
        <v>0</v>
      </c>
      <c r="E1763" s="41">
        <f>Data!H1761</f>
        <v>0</v>
      </c>
      <c r="F1763" s="41">
        <f>Data!K1761</f>
        <v>0</v>
      </c>
      <c r="G1763" s="33" t="str">
        <f>Data!M1761</f>
        <v>Uso del cinturón de seguridad</v>
      </c>
      <c r="H1763" s="41" t="str">
        <f>Data!P1761</f>
        <v>ECOPETROL RUBIALES- Quifa - CAÑO SUR: Vía Sin Nombre, Puerto Gaitán, Meta, Colombia</v>
      </c>
      <c r="I1763" s="42" t="str">
        <f>Data!Q1761</f>
        <v>Cliente, Vel Max 40 Km/h</v>
      </c>
      <c r="J1763" s="43">
        <f>Data!S1761</f>
        <v>46174.468568668985</v>
      </c>
      <c r="K1763" s="44">
        <f>Data!S1761</f>
        <v>46174.468568668985</v>
      </c>
      <c r="L1763" s="45">
        <f>Data!T1761</f>
        <v>9.1087962962962967E-5</v>
      </c>
      <c r="M1763" s="46">
        <f>Data!U1761</f>
        <v>2.3495674133300781E-2</v>
      </c>
      <c r="N1763" s="46" t="str">
        <f>CONCATENATE(Data!W1761," (",Data!V1761,")")</f>
        <v>Uso del cinturón de seguridad (Velocidad máxima: 18 kmh Cinturón de seguridad del conductor (1. Desabrochado): 1.00)</v>
      </c>
      <c r="O1763" s="42" t="str">
        <f>IF(Data!V1761&lt;&gt;"",N1763,Data!W1761)</f>
        <v>Uso del cinturón de seguridad (Velocidad máxima: 18 kmh Cinturón de seguridad del conductor (1. Desabrochado): 1.00)</v>
      </c>
      <c r="P1763" s="47" t="str">
        <f>Data!X1761</f>
        <v>Válido</v>
      </c>
    </row>
    <row r="1764" spans="1:16">
      <c r="A1764" s="41" t="str">
        <f>Data!A1762</f>
        <v>QLT553</v>
      </c>
      <c r="B1764" s="41" t="str">
        <f>Data!D1762</f>
        <v>Vehicle, Diesel, Frontera Energy Col 2679</v>
      </c>
      <c r="C1764" s="41">
        <f>Data!F1762</f>
        <v>0</v>
      </c>
      <c r="D1764" s="41">
        <f>Data!G1762</f>
        <v>0</v>
      </c>
      <c r="E1764" s="41">
        <f>Data!H1762</f>
        <v>0</v>
      </c>
      <c r="F1764" s="41">
        <f>Data!K1762</f>
        <v>0</v>
      </c>
      <c r="G1764" s="33" t="str">
        <f>Data!M1762</f>
        <v>Exceso Velocidad 40 Km/h</v>
      </c>
      <c r="H1764" s="41" t="str">
        <f>Data!P1762</f>
        <v>ECOPETROL RUBIALES- Quifa - CAÑO SUR: Vía Sin Nombre, Puerto Gaitán, Meta, Colombia</v>
      </c>
      <c r="I1764" s="42" t="str">
        <f>Data!Q1762</f>
        <v>Cliente, Vel Max 40 Km/h</v>
      </c>
      <c r="J1764" s="43">
        <f>Data!S1762</f>
        <v>46174.470166122686</v>
      </c>
      <c r="K1764" s="44">
        <f>Data!S1762</f>
        <v>46174.470166122686</v>
      </c>
      <c r="L1764" s="45">
        <f>Data!T1762</f>
        <v>1.9062499999999999E-5</v>
      </c>
      <c r="M1764" s="46">
        <f>Data!U1762</f>
        <v>1.617191918194294E-2</v>
      </c>
      <c r="N1764" s="46" t="str">
        <f>CONCATENATE(Data!W1762," (",Data!V1762,")")</f>
        <v>Exceso Velocidad 40 Km/h (Velocidad máxima: 41 kmh)</v>
      </c>
      <c r="O1764" s="42" t="str">
        <f>IF(Data!V1762&lt;&gt;"",N1764,Data!W1762)</f>
        <v>Exceso Velocidad 40 Km/h (Velocidad máxima: 41 kmh)</v>
      </c>
      <c r="P1764" s="47" t="str">
        <f>Data!X1762</f>
        <v>Válido</v>
      </c>
    </row>
    <row r="1765" spans="1:16">
      <c r="A1765" s="41" t="str">
        <f>Data!A1763</f>
        <v>QLT553</v>
      </c>
      <c r="B1765" s="41" t="str">
        <f>Data!D1763</f>
        <v>Vehicle, Diesel, Frontera Energy Col 2679</v>
      </c>
      <c r="C1765" s="41">
        <f>Data!F1763</f>
        <v>0</v>
      </c>
      <c r="D1765" s="41">
        <f>Data!G1763</f>
        <v>0</v>
      </c>
      <c r="E1765" s="41">
        <f>Data!H1763</f>
        <v>0</v>
      </c>
      <c r="F1765" s="41">
        <f>Data!K1763</f>
        <v>0</v>
      </c>
      <c r="G1765" s="33" t="str">
        <f>Data!M1763</f>
        <v>Exceso Velocidad 40 Km/h</v>
      </c>
      <c r="H1765" s="41" t="str">
        <f>Data!P1763</f>
        <v>ECOPETROL RUBIALES- Quifa - CAÑO SUR: Vía Sin Nombre, Puerto Gaitán, Meta, Colombia</v>
      </c>
      <c r="I1765" s="42" t="str">
        <f>Data!Q1763</f>
        <v>Cliente, Vel Max 40 Km/h</v>
      </c>
      <c r="J1765" s="43">
        <f>Data!S1763</f>
        <v>46174.472007141201</v>
      </c>
      <c r="K1765" s="44">
        <f>Data!S1763</f>
        <v>46174.472007141201</v>
      </c>
      <c r="L1765" s="45">
        <f>Data!T1763</f>
        <v>2.1215277777777779E-5</v>
      </c>
      <c r="M1765" s="46">
        <f>Data!U1763</f>
        <v>1.9385270774364471E-2</v>
      </c>
      <c r="N1765" s="46" t="str">
        <f>CONCATENATE(Data!W1763," (",Data!V1763,")")</f>
        <v>Exceso Velocidad 40 Km/h (Velocidad máxima: 41 kmh)</v>
      </c>
      <c r="O1765" s="42" t="str">
        <f>IF(Data!V1763&lt;&gt;"",N1765,Data!W1763)</f>
        <v>Exceso Velocidad 40 Km/h (Velocidad máxima: 41 kmh)</v>
      </c>
      <c r="P1765" s="47" t="str">
        <f>Data!X1763</f>
        <v>Válido</v>
      </c>
    </row>
    <row r="1766" spans="1:16">
      <c r="A1766" s="41" t="str">
        <f>Data!A1764</f>
        <v>QLT553</v>
      </c>
      <c r="B1766" s="41" t="str">
        <f>Data!D1764</f>
        <v>Vehicle, Diesel, Frontera Energy Col 2679</v>
      </c>
      <c r="C1766" s="41">
        <f>Data!F1764</f>
        <v>0</v>
      </c>
      <c r="D1766" s="41">
        <f>Data!G1764</f>
        <v>0</v>
      </c>
      <c r="E1766" s="41">
        <f>Data!H1764</f>
        <v>0</v>
      </c>
      <c r="F1766" s="41">
        <f>Data!K1764</f>
        <v>0</v>
      </c>
      <c r="G1766" s="33" t="str">
        <f>Data!M1764</f>
        <v>Exceso Velocidad 40 Km/h</v>
      </c>
      <c r="H1766" s="41" t="str">
        <f>Data!P1764</f>
        <v>ECOPETROL RUBIALES- Quifa - CAÑO SUR: Vía Sin Nombre, Puerto Gaitán, Meta, Colombia</v>
      </c>
      <c r="I1766" s="42" t="str">
        <f>Data!Q1764</f>
        <v>Cliente, Vel Max 40 Km/h</v>
      </c>
      <c r="J1766" s="43">
        <f>Data!S1764</f>
        <v>46174.478408564915</v>
      </c>
      <c r="K1766" s="44">
        <f>Data!S1764</f>
        <v>46174.478408564915</v>
      </c>
      <c r="L1766" s="45">
        <f>Data!T1764</f>
        <v>9.6412037037037036E-6</v>
      </c>
      <c r="M1766" s="46">
        <f>Data!U1764</f>
        <v>8.5446136072278023E-3</v>
      </c>
      <c r="N1766" s="46" t="str">
        <f>CONCATENATE(Data!W1764," (",Data!V1764,")")</f>
        <v>Exceso Velocidad 40 Km/h (Velocidad máxima: 41 kmh)</v>
      </c>
      <c r="O1766" s="42" t="str">
        <f>IF(Data!V1764&lt;&gt;"",N1766,Data!W1764)</f>
        <v>Exceso Velocidad 40 Km/h (Velocidad máxima: 41 kmh)</v>
      </c>
      <c r="P1766" s="47" t="str">
        <f>Data!X1764</f>
        <v>Válido</v>
      </c>
    </row>
    <row r="1767" spans="1:16">
      <c r="A1767" s="41" t="str">
        <f>Data!A1765</f>
        <v>QLT553</v>
      </c>
      <c r="B1767" s="41" t="str">
        <f>Data!D1765</f>
        <v>Vehicle, Diesel, Frontera Energy Col 2679</v>
      </c>
      <c r="C1767" s="41">
        <f>Data!F1765</f>
        <v>0</v>
      </c>
      <c r="D1767" s="41">
        <f>Data!G1765</f>
        <v>0</v>
      </c>
      <c r="E1767" s="41">
        <f>Data!H1765</f>
        <v>0</v>
      </c>
      <c r="F1767" s="41">
        <f>Data!K1765</f>
        <v>0</v>
      </c>
      <c r="G1767" s="33" t="str">
        <f>Data!M1765</f>
        <v>Tiempo en ralentí</v>
      </c>
      <c r="H1767" s="41" t="str">
        <f>Data!P1765</f>
        <v>ECOPETROL RUBIALES- Quifa - CAÑO SUR: Vía Sin Nombre, Puerto Gaitán, Meta, Colombia</v>
      </c>
      <c r="I1767" s="42" t="str">
        <f>Data!Q1765</f>
        <v>Cliente, Vel Max 40 Km/h</v>
      </c>
      <c r="J1767" s="43">
        <f>Data!S1765</f>
        <v>46174.479849537034</v>
      </c>
      <c r="K1767" s="44">
        <f>Data!S1765</f>
        <v>46174.479849537034</v>
      </c>
      <c r="L1767" s="45">
        <f>Data!T1765</f>
        <v>6.9328703703703705E-3</v>
      </c>
      <c r="M1767" s="46">
        <f>Data!U1765</f>
        <v>7.8898832725826651E-5</v>
      </c>
      <c r="N1767" s="46" t="str">
        <f>CONCATENATE(Data!W1765," (",Data!V1765,")")</f>
        <v>Tiempo en ralentí (Ignición: 1.00)</v>
      </c>
      <c r="O1767" s="42" t="str">
        <f>IF(Data!V1765&lt;&gt;"",N1767,Data!W1765)</f>
        <v>Tiempo en ralentí (Ignición: 1.00)</v>
      </c>
      <c r="P1767" s="47" t="str">
        <f>Data!X1765</f>
        <v>Válido</v>
      </c>
    </row>
    <row r="1768" spans="1:16">
      <c r="A1768" s="41" t="str">
        <f>Data!A1766</f>
        <v>QLT553</v>
      </c>
      <c r="B1768" s="41" t="str">
        <f>Data!D1766</f>
        <v>Vehicle, Diesel, Frontera Energy Col 2679</v>
      </c>
      <c r="C1768" s="41">
        <f>Data!F1766</f>
        <v>0</v>
      </c>
      <c r="D1768" s="41">
        <f>Data!G1766</f>
        <v>0</v>
      </c>
      <c r="E1768" s="41">
        <f>Data!H1766</f>
        <v>0</v>
      </c>
      <c r="F1768" s="41">
        <f>Data!K1766</f>
        <v>0</v>
      </c>
      <c r="G1768" s="33" t="str">
        <f>Data!M1766</f>
        <v>Uso del cinturón de seguridad</v>
      </c>
      <c r="H1768" s="41" t="str">
        <f>Data!P1766</f>
        <v>ECOPETROL RUBIALES- Quifa - CAÑO SUR: Vía Sin Nombre, Puerto Gaitán, Meta, Colombia</v>
      </c>
      <c r="I1768" s="42" t="str">
        <f>Data!Q1766</f>
        <v>Cliente, Vel Max 40 Km/h</v>
      </c>
      <c r="J1768" s="43">
        <f>Data!S1766</f>
        <v>46174.48715277778</v>
      </c>
      <c r="K1768" s="44">
        <f>Data!S1766</f>
        <v>46174.48715277778</v>
      </c>
      <c r="L1768" s="45">
        <f>Data!T1766</f>
        <v>4.615740740740741E-5</v>
      </c>
      <c r="M1768" s="46">
        <f>Data!U1766</f>
        <v>1.1340665630996227E-2</v>
      </c>
      <c r="N1768" s="46" t="str">
        <f>CONCATENATE(Data!W1766," (",Data!V1766,")")</f>
        <v>Uso del cinturón de seguridad (Velocidad máxima: 13 kmh Cinturón de seguridad del conductor (1. Desabrochado): 1.00)</v>
      </c>
      <c r="O1768" s="42" t="str">
        <f>IF(Data!V1766&lt;&gt;"",N1768,Data!W1766)</f>
        <v>Uso del cinturón de seguridad (Velocidad máxima: 13 kmh Cinturón de seguridad del conductor (1. Desabrochado): 1.00)</v>
      </c>
      <c r="P1768" s="47" t="str">
        <f>Data!X1766</f>
        <v>Válido</v>
      </c>
    </row>
    <row r="1769" spans="1:16">
      <c r="A1769" s="41" t="str">
        <f>Data!A1767</f>
        <v>QLT553</v>
      </c>
      <c r="B1769" s="41" t="str">
        <f>Data!D1767</f>
        <v>Vehicle, Diesel, Frontera Energy Col 2679</v>
      </c>
      <c r="C1769" s="41">
        <f>Data!F1767</f>
        <v>0</v>
      </c>
      <c r="D1769" s="41">
        <f>Data!G1767</f>
        <v>0</v>
      </c>
      <c r="E1769" s="41">
        <f>Data!H1767</f>
        <v>0</v>
      </c>
      <c r="F1769" s="41">
        <f>Data!K1767</f>
        <v>0</v>
      </c>
      <c r="G1769" s="33" t="str">
        <f>Data!M1767</f>
        <v>Exceso Velocidad 40 Km/h</v>
      </c>
      <c r="H1769" s="41" t="str">
        <f>Data!P1767</f>
        <v>ECOPETROL RUBIALES- Quifa - CAÑO SUR: Vía Sin Nombre, Puerto Gaitán, Meta, Colombia</v>
      </c>
      <c r="I1769" s="42" t="str">
        <f>Data!Q1767</f>
        <v>Cliente, Vel Max 40 Km/h</v>
      </c>
      <c r="J1769" s="43">
        <f>Data!S1767</f>
        <v>46174.491402395834</v>
      </c>
      <c r="K1769" s="44">
        <f>Data!S1767</f>
        <v>46174.491402395834</v>
      </c>
      <c r="L1769" s="45">
        <f>Data!T1767</f>
        <v>2.7002314814814815E-5</v>
      </c>
      <c r="M1769" s="46">
        <f>Data!U1767</f>
        <v>2.5871308520436287E-2</v>
      </c>
      <c r="N1769" s="46" t="str">
        <f>CONCATENATE(Data!W1767," (",Data!V1767,")")</f>
        <v>Exceso Velocidad 40 Km/h (Velocidad máxima: 41 kmh)</v>
      </c>
      <c r="O1769" s="42" t="str">
        <f>IF(Data!V1767&lt;&gt;"",N1769,Data!W1767)</f>
        <v>Exceso Velocidad 40 Km/h (Velocidad máxima: 41 kmh)</v>
      </c>
      <c r="P1769" s="47" t="str">
        <f>Data!X1767</f>
        <v>Válido</v>
      </c>
    </row>
    <row r="1770" spans="1:16">
      <c r="A1770" s="41" t="str">
        <f>Data!A1768</f>
        <v>QLT553</v>
      </c>
      <c r="B1770" s="41" t="str">
        <f>Data!D1768</f>
        <v>Vehicle, Diesel, Frontera Energy Col 2679</v>
      </c>
      <c r="C1770" s="41">
        <f>Data!F1768</f>
        <v>0</v>
      </c>
      <c r="D1770" s="41">
        <f>Data!G1768</f>
        <v>0</v>
      </c>
      <c r="E1770" s="41">
        <f>Data!H1768</f>
        <v>0</v>
      </c>
      <c r="F1770" s="41">
        <f>Data!K1768</f>
        <v>0</v>
      </c>
      <c r="G1770" s="33" t="str">
        <f>Data!M1768</f>
        <v>Uso del cinturón de seguridad</v>
      </c>
      <c r="H1770" s="41" t="str">
        <f>Data!P1768</f>
        <v>ECOPETROL RUBIALES- Quifa - CAÑO SUR: Vía Sin Nombre, Puerto Gaitán, Meta, Colombia</v>
      </c>
      <c r="I1770" s="42" t="str">
        <f>Data!Q1768</f>
        <v>Cliente, Vel Max 40 Km/h</v>
      </c>
      <c r="J1770" s="43">
        <f>Data!S1768</f>
        <v>46174.508823425924</v>
      </c>
      <c r="K1770" s="44">
        <f>Data!S1768</f>
        <v>46174.508823425924</v>
      </c>
      <c r="L1770" s="45">
        <f>Data!T1768</f>
        <v>5.3888888888888889E-5</v>
      </c>
      <c r="M1770" s="46">
        <f>Data!U1768</f>
        <v>1.7255021259188652E-2</v>
      </c>
      <c r="N1770" s="46" t="str">
        <f>CONCATENATE(Data!W1768," (",Data!V1768,")")</f>
        <v>Uso del cinturón de seguridad (Velocidad máxima: 16 kmh Cinturón de seguridad del conductor (1. Desabrochado): 1.00)</v>
      </c>
      <c r="O1770" s="42" t="str">
        <f>IF(Data!V1768&lt;&gt;"",N1770,Data!W1768)</f>
        <v>Uso del cinturón de seguridad (Velocidad máxima: 16 kmh Cinturón de seguridad del conductor (1. Desabrochado): 1.00)</v>
      </c>
      <c r="P1770" s="47" t="str">
        <f>Data!X1768</f>
        <v>Válido</v>
      </c>
    </row>
    <row r="1771" spans="1:16">
      <c r="A1771" s="41" t="str">
        <f>Data!A1769</f>
        <v>QLT553</v>
      </c>
      <c r="B1771" s="41" t="str">
        <f>Data!D1769</f>
        <v>Vehicle, Diesel, Frontera Energy Col 2679</v>
      </c>
      <c r="C1771" s="41">
        <f>Data!F1769</f>
        <v>0</v>
      </c>
      <c r="D1771" s="41">
        <f>Data!G1769</f>
        <v>0</v>
      </c>
      <c r="E1771" s="41">
        <f>Data!H1769</f>
        <v>0</v>
      </c>
      <c r="F1771" s="41">
        <f>Data!K1769</f>
        <v>0</v>
      </c>
      <c r="G1771" s="33" t="str">
        <f>Data!M1769</f>
        <v>Uso del cinturón de seguridad</v>
      </c>
      <c r="H1771" s="41" t="str">
        <f>Data!P1769</f>
        <v>ECOPETROL RUBIALES- Quifa - CAÑO SUR: Vía Sin Nombre, Puerto Gaitán, Meta, Colombia</v>
      </c>
      <c r="I1771" s="42" t="str">
        <f>Data!Q1769</f>
        <v>Cliente, Vel Max 40 Km/h</v>
      </c>
      <c r="J1771" s="43">
        <f>Data!S1769</f>
        <v>46174.519357638994</v>
      </c>
      <c r="K1771" s="44">
        <f>Data!S1769</f>
        <v>46174.519357638994</v>
      </c>
      <c r="L1771" s="45">
        <f>Data!T1769</f>
        <v>7.0081018518518515E-5</v>
      </c>
      <c r="M1771" s="46">
        <f>Data!U1769</f>
        <v>2.0283518359065056E-2</v>
      </c>
      <c r="N1771" s="46" t="str">
        <f>CONCATENATE(Data!W1769," (",Data!V1769,")")</f>
        <v>Uso del cinturón de seguridad (Velocidad máxima: 13 kmh Cinturón de seguridad del conductor (1. Desabrochado): 1.00)</v>
      </c>
      <c r="O1771" s="42" t="str">
        <f>IF(Data!V1769&lt;&gt;"",N1771,Data!W1769)</f>
        <v>Uso del cinturón de seguridad (Velocidad máxima: 13 kmh Cinturón de seguridad del conductor (1. Desabrochado): 1.00)</v>
      </c>
      <c r="P1771" s="47" t="str">
        <f>Data!X1769</f>
        <v>Válido</v>
      </c>
    </row>
    <row r="1772" spans="1:16">
      <c r="A1772" s="41" t="str">
        <f>Data!A1770</f>
        <v>QLT553</v>
      </c>
      <c r="B1772" s="41" t="str">
        <f>Data!D1770</f>
        <v>Vehicle, Diesel, Frontera Energy Col 2679</v>
      </c>
      <c r="C1772" s="41">
        <f>Data!F1770</f>
        <v>0</v>
      </c>
      <c r="D1772" s="41">
        <f>Data!G1770</f>
        <v>0</v>
      </c>
      <c r="E1772" s="41">
        <f>Data!H1770</f>
        <v>0</v>
      </c>
      <c r="F1772" s="41">
        <f>Data!K1770</f>
        <v>0</v>
      </c>
      <c r="G1772" s="33" t="str">
        <f>Data!M1770</f>
        <v>Giro brusco</v>
      </c>
      <c r="H1772" s="41" t="str">
        <f>Data!P1770</f>
        <v>ECOPETROL RUBIALES- Quifa - CAÑO SUR, Puerto Triunfo - Estacion Policia: Puerto Gaitan - Rubiales, Puerto Gaitán, Meta, Colombia</v>
      </c>
      <c r="I1772" s="42" t="str">
        <f>Data!Q1770</f>
        <v>Cliente, Vel Max 40 Km/h, Vel Max 30 Km/h</v>
      </c>
      <c r="J1772" s="43">
        <f>Data!S1770</f>
        <v>46174.526322766207</v>
      </c>
      <c r="K1772" s="44">
        <f>Data!S1770</f>
        <v>46174.526322766207</v>
      </c>
      <c r="L1772" s="45">
        <f>Data!T1770</f>
        <v>1.2731481481481482E-7</v>
      </c>
      <c r="M1772" s="46">
        <f>Data!U1770</f>
        <v>2.4542485334677622E-5</v>
      </c>
      <c r="N1772" s="46" t="str">
        <f>CONCATENATE(Data!W1770," (",Data!V1770,")")</f>
        <v>Giro brusco (Velocidad máxima: 9 kmh Aceleración de lado a lado: -0.48 g-force, Ignición: 1.00)</v>
      </c>
      <c r="O1772" s="42" t="str">
        <f>IF(Data!V1770&lt;&gt;"",N1772,Data!W1770)</f>
        <v>Giro brusco (Velocidad máxima: 9 kmh Aceleración de lado a lado: -0.48 g-force, Ignición: 1.00)</v>
      </c>
      <c r="P1772" s="47" t="str">
        <f>Data!X1770</f>
        <v>Válido</v>
      </c>
    </row>
    <row r="1773" spans="1:16">
      <c r="A1773" s="41" t="str">
        <f>Data!A1771</f>
        <v>QLT553</v>
      </c>
      <c r="B1773" s="41" t="str">
        <f>Data!D1771</f>
        <v>Vehicle, Diesel, Frontera Energy Col 2679</v>
      </c>
      <c r="C1773" s="41">
        <f>Data!F1771</f>
        <v>0</v>
      </c>
      <c r="D1773" s="41">
        <f>Data!G1771</f>
        <v>0</v>
      </c>
      <c r="E1773" s="41">
        <f>Data!H1771</f>
        <v>0</v>
      </c>
      <c r="F1773" s="41">
        <f>Data!K1771</f>
        <v>0</v>
      </c>
      <c r="G1773" s="33" t="str">
        <f>Data!M1771</f>
        <v>Giro brusco</v>
      </c>
      <c r="H1773" s="41" t="str">
        <f>Data!P1771</f>
        <v>ECOPETROL RUBIALES- Quifa - CAÑO SUR, Puerto Triunfo - Estacion Policia: Puerto Gaitan - Rubiales, Puerto Gaitán, Meta, Colombia</v>
      </c>
      <c r="I1773" s="42" t="str">
        <f>Data!Q1771</f>
        <v>Cliente, Vel Max 40 Km/h, Vel Max 30 Km/h</v>
      </c>
      <c r="J1773" s="43">
        <f>Data!S1771</f>
        <v>46174.527376921294</v>
      </c>
      <c r="K1773" s="44">
        <f>Data!S1771</f>
        <v>46174.527376921294</v>
      </c>
      <c r="L1773" s="45">
        <f>Data!T1771</f>
        <v>1.5625000000000001E-6</v>
      </c>
      <c r="M1773" s="46">
        <f>Data!U1771</f>
        <v>5.5945891654118896E-4</v>
      </c>
      <c r="N1773" s="46" t="str">
        <f>CONCATENATE(Data!W1771," (",Data!V1771,")")</f>
        <v>Giro brusco (Velocidad máxima: 16 kmh Aceleración de lado a lado: -0.66 g-force, Ignición: 1.00)</v>
      </c>
      <c r="O1773" s="42" t="str">
        <f>IF(Data!V1771&lt;&gt;"",N1773,Data!W1771)</f>
        <v>Giro brusco (Velocidad máxima: 16 kmh Aceleración de lado a lado: -0.66 g-force, Ignición: 1.00)</v>
      </c>
      <c r="P1773" s="47" t="str">
        <f>Data!X1771</f>
        <v>Válido</v>
      </c>
    </row>
    <row r="1774" spans="1:16">
      <c r="A1774" s="41" t="str">
        <f>Data!A1772</f>
        <v>QLT553</v>
      </c>
      <c r="B1774" s="41" t="str">
        <f>Data!D1772</f>
        <v>Vehicle, Diesel, Frontera Energy Col 2679</v>
      </c>
      <c r="C1774" s="41">
        <f>Data!F1772</f>
        <v>0</v>
      </c>
      <c r="D1774" s="41">
        <f>Data!G1772</f>
        <v>0</v>
      </c>
      <c r="E1774" s="41">
        <f>Data!H1772</f>
        <v>0</v>
      </c>
      <c r="F1774" s="41">
        <f>Data!K1772</f>
        <v>0</v>
      </c>
      <c r="G1774" s="33" t="str">
        <f>Data!M1772</f>
        <v>Exceso Velocidad 10 Km/h</v>
      </c>
      <c r="H1774" s="41" t="str">
        <f>Data!P1772</f>
        <v>ECOPETROL RUBIALES- Quifa - CAÑO SUR, Puerto Triunfo - Estacion Policia, PUESTRO CONTROL QUIFA: Puerto Gaitan - Rubiales, Puerto Gaitán, Meta, Colombia</v>
      </c>
      <c r="I1774" s="42" t="str">
        <f>Data!Q1772</f>
        <v>Cliente, Vel Max 40 Km/h, Vel Max 30 Km/h, Vel Max 10 Km/h</v>
      </c>
      <c r="J1774" s="43">
        <f>Data!S1772</f>
        <v>46174.529640162036</v>
      </c>
      <c r="K1774" s="44">
        <f>Data!S1772</f>
        <v>46174.529640162036</v>
      </c>
      <c r="L1774" s="45">
        <f>Data!T1772</f>
        <v>3.8990740740740739E-4</v>
      </c>
      <c r="M1774" s="46">
        <f>Data!U1772</f>
        <v>0.18407177925109863</v>
      </c>
      <c r="N1774" s="46" t="str">
        <f>CONCATENATE(Data!W1772," (",Data!V1772,")")</f>
        <v>Exceso Velocidad 10 Km/h (Velocidad máxima: 24 kmh)</v>
      </c>
      <c r="O1774" s="42" t="str">
        <f>IF(Data!V1772&lt;&gt;"",N1774,Data!W1772)</f>
        <v>Exceso Velocidad 10 Km/h (Velocidad máxima: 24 kmh)</v>
      </c>
      <c r="P1774" s="47" t="str">
        <f>Data!X1772</f>
        <v>Válido</v>
      </c>
    </row>
    <row r="1775" spans="1:16">
      <c r="A1775" s="41" t="str">
        <f>Data!A1773</f>
        <v>QLT553</v>
      </c>
      <c r="B1775" s="41" t="str">
        <f>Data!D1773</f>
        <v>Vehicle, Diesel, Frontera Energy Col 2679</v>
      </c>
      <c r="C1775" s="41">
        <f>Data!F1773</f>
        <v>0</v>
      </c>
      <c r="D1775" s="41">
        <f>Data!G1773</f>
        <v>0</v>
      </c>
      <c r="E1775" s="41">
        <f>Data!H1773</f>
        <v>0</v>
      </c>
      <c r="F1775" s="41">
        <f>Data!K1773</f>
        <v>0</v>
      </c>
      <c r="G1775" s="33" t="str">
        <f>Data!M1773</f>
        <v>Exceso de velocidad (nuevo)</v>
      </c>
      <c r="H1775" s="41" t="str">
        <f>Data!P1773</f>
        <v>ECOPETROL RUBIALES- Quifa - CAÑO SUR: Puerto Gaitan - Rubiales, Puerto Gaitán, Meta, Colombia</v>
      </c>
      <c r="I1775" s="42" t="str">
        <f>Data!Q1773</f>
        <v>Cliente, Vel Max 40 Km/h</v>
      </c>
      <c r="J1775" s="43">
        <f>Data!S1773</f>
        <v>46174.530277777776</v>
      </c>
      <c r="K1775" s="44">
        <f>Data!S1773</f>
        <v>46174.530277777776</v>
      </c>
      <c r="L1775" s="45">
        <f>Data!T1773</f>
        <v>5.6712962962962967E-4</v>
      </c>
      <c r="M1775" s="46">
        <f>Data!U1773</f>
        <v>0.26625606417655945</v>
      </c>
      <c r="N1775" s="46" t="str">
        <f>CONCATENATE(Data!W1773," (",Data!V1773,")")</f>
        <v>Exceso de velocidad (nuevo) (Velocidad máxima: 24 kmh (Velocidad máxima en carretera: 7 kmh))</v>
      </c>
      <c r="O1775" s="42" t="str">
        <f>IF(Data!V1773&lt;&gt;"",N1775,Data!W1773)</f>
        <v>Exceso de velocidad (nuevo) (Velocidad máxima: 24 kmh (Velocidad máxima en carretera: 7 kmh))</v>
      </c>
      <c r="P1775" s="47" t="str">
        <f>Data!X1773</f>
        <v>Válido</v>
      </c>
    </row>
    <row r="1776" spans="1:16">
      <c r="A1776" s="41" t="str">
        <f>Data!A1774</f>
        <v>QLT553</v>
      </c>
      <c r="B1776" s="41" t="str">
        <f>Data!D1774</f>
        <v>Vehicle, Diesel, Frontera Energy Col 2679</v>
      </c>
      <c r="C1776" s="41">
        <f>Data!F1774</f>
        <v>0</v>
      </c>
      <c r="D1776" s="41">
        <f>Data!G1774</f>
        <v>0</v>
      </c>
      <c r="E1776" s="41">
        <f>Data!H1774</f>
        <v>0</v>
      </c>
      <c r="F1776" s="41">
        <f>Data!K1774</f>
        <v>0</v>
      </c>
      <c r="G1776" s="33" t="str">
        <f>Data!M1774</f>
        <v>Exceso Velocidad 10 Km/h</v>
      </c>
      <c r="H1776" s="41" t="str">
        <f>Data!P1774</f>
        <v>ECOPETROL RUBIALES- Quifa - CAÑO SUR, Centralizado de combustible Quifa: Vía Sin Nombre, Puerto Gaitán, Meta, Colombia</v>
      </c>
      <c r="I1776" s="42" t="str">
        <f>Data!Q1774</f>
        <v>Cliente, Vel Max 40 Km/h, Vel Max 10 Km/h</v>
      </c>
      <c r="J1776" s="43">
        <f>Data!S1774</f>
        <v>46174.530985335645</v>
      </c>
      <c r="K1776" s="44">
        <f>Data!S1774</f>
        <v>46174.530985335645</v>
      </c>
      <c r="L1776" s="45">
        <f>Data!T1774</f>
        <v>3.3182870370370369E-5</v>
      </c>
      <c r="M1776" s="46">
        <f>Data!U1774</f>
        <v>6.5884366631507874E-3</v>
      </c>
      <c r="N1776" s="46" t="str">
        <f>CONCATENATE(Data!W1774," (",Data!V1774,")")</f>
        <v>Exceso Velocidad 10 Km/h (Velocidad máxima: 11 kmh)</v>
      </c>
      <c r="O1776" s="42" t="str">
        <f>IF(Data!V1774&lt;&gt;"",N1776,Data!W1774)</f>
        <v>Exceso Velocidad 10 Km/h (Velocidad máxima: 11 kmh)</v>
      </c>
      <c r="P1776" s="47" t="str">
        <f>Data!X1774</f>
        <v>Válido</v>
      </c>
    </row>
    <row r="1777" spans="1:16">
      <c r="A1777" s="41" t="str">
        <f>Data!A1775</f>
        <v>QLT553</v>
      </c>
      <c r="B1777" s="41" t="str">
        <f>Data!D1775</f>
        <v>Vehicle, Diesel, Frontera Energy Col 2679</v>
      </c>
      <c r="C1777" s="41">
        <f>Data!F1775</f>
        <v>0</v>
      </c>
      <c r="D1777" s="41">
        <f>Data!G1775</f>
        <v>0</v>
      </c>
      <c r="E1777" s="41">
        <f>Data!H1775</f>
        <v>0</v>
      </c>
      <c r="F1777" s="41">
        <f>Data!K1775</f>
        <v>0</v>
      </c>
      <c r="G1777" s="33" t="str">
        <f>Data!M1775</f>
        <v>Uso del cinturón de seguridad</v>
      </c>
      <c r="H1777" s="41" t="str">
        <f>Data!P1775</f>
        <v>ECOPETROL RUBIALES- Quifa - CAÑO SUR, Centralizado de combustible Quifa: Vía Sin Nombre, Puerto Gaitán, Meta, Colombia</v>
      </c>
      <c r="I1777" s="42" t="str">
        <f>Data!Q1775</f>
        <v>Cliente, Vel Max 40 Km/h, Vel Max 10 Km/h</v>
      </c>
      <c r="J1777" s="43">
        <f>Data!S1775</f>
        <v>46174.531922581016</v>
      </c>
      <c r="K1777" s="44">
        <f>Data!S1775</f>
        <v>46174.531922581016</v>
      </c>
      <c r="L1777" s="45">
        <f>Data!T1775</f>
        <v>5.8576388888888888E-5</v>
      </c>
      <c r="M1777" s="46">
        <f>Data!U1775</f>
        <v>2.1658355370163918E-2</v>
      </c>
      <c r="N1777" s="46" t="str">
        <f>CONCATENATE(Data!W1775," (",Data!V1775,")")</f>
        <v>Uso del cinturón de seguridad (Velocidad máxima: 17 kmh Cinturón de seguridad del conductor (1. Desabrochado): 1.00)</v>
      </c>
      <c r="O1777" s="42" t="str">
        <f>IF(Data!V1775&lt;&gt;"",N1777,Data!W1775)</f>
        <v>Uso del cinturón de seguridad (Velocidad máxima: 17 kmh Cinturón de seguridad del conductor (1. Desabrochado): 1.00)</v>
      </c>
      <c r="P1777" s="47" t="str">
        <f>Data!X1775</f>
        <v>Válido</v>
      </c>
    </row>
    <row r="1778" spans="1:16">
      <c r="A1778" s="41" t="str">
        <f>Data!A1776</f>
        <v>QLT553</v>
      </c>
      <c r="B1778" s="41" t="str">
        <f>Data!D1776</f>
        <v>Vehicle, Diesel, Frontera Energy Col 2679</v>
      </c>
      <c r="C1778" s="41">
        <f>Data!F1776</f>
        <v>0</v>
      </c>
      <c r="D1778" s="41">
        <f>Data!G1776</f>
        <v>0</v>
      </c>
      <c r="E1778" s="41">
        <f>Data!H1776</f>
        <v>0</v>
      </c>
      <c r="F1778" s="41">
        <f>Data!K1776</f>
        <v>0</v>
      </c>
      <c r="G1778" s="33" t="str">
        <f>Data!M1776</f>
        <v>Exceso Velocidad 10 Km/h</v>
      </c>
      <c r="H1778" s="41" t="str">
        <f>Data!P1776</f>
        <v>ECOPETROL RUBIALES- Quifa - CAÑO SUR, Centralizado de combustible Quifa: Vía Sin Nombre, Puerto Gaitán, Meta, Colombia</v>
      </c>
      <c r="I1778" s="42" t="str">
        <f>Data!Q1776</f>
        <v>Cliente, Vel Max 40 Km/h, Vel Max 10 Km/h</v>
      </c>
      <c r="J1778" s="43">
        <f>Data!S1776</f>
        <v>46174.531922581016</v>
      </c>
      <c r="K1778" s="44">
        <f>Data!S1776</f>
        <v>46174.531922581016</v>
      </c>
      <c r="L1778" s="45">
        <f>Data!T1776</f>
        <v>8.5034722222222225E-5</v>
      </c>
      <c r="M1778" s="46">
        <f>Data!U1776</f>
        <v>3.3392477780580521E-2</v>
      </c>
      <c r="N1778" s="46" t="str">
        <f>CONCATENATE(Data!W1776," (",Data!V1776,")")</f>
        <v>Exceso Velocidad 10 Km/h (Velocidad máxima: 17 kmh)</v>
      </c>
      <c r="O1778" s="42" t="str">
        <f>IF(Data!V1776&lt;&gt;"",N1778,Data!W1776)</f>
        <v>Exceso Velocidad 10 Km/h (Velocidad máxima: 17 kmh)</v>
      </c>
      <c r="P1778" s="47" t="str">
        <f>Data!X1776</f>
        <v>Válido</v>
      </c>
    </row>
    <row r="1779" spans="1:16">
      <c r="A1779" s="41" t="str">
        <f>Data!A1777</f>
        <v>QLT553</v>
      </c>
      <c r="B1779" s="41" t="str">
        <f>Data!D1777</f>
        <v>Vehicle, Diesel, Frontera Energy Col 2679</v>
      </c>
      <c r="C1779" s="41">
        <f>Data!F1777</f>
        <v>0</v>
      </c>
      <c r="D1779" s="41">
        <f>Data!G1777</f>
        <v>0</v>
      </c>
      <c r="E1779" s="41">
        <f>Data!H1777</f>
        <v>0</v>
      </c>
      <c r="F1779" s="41">
        <f>Data!K1777</f>
        <v>0</v>
      </c>
      <c r="G1779" s="33" t="str">
        <f>Data!M1777</f>
        <v>Exceso de velocidad (nuevo)</v>
      </c>
      <c r="H1779" s="41" t="str">
        <f>Data!P1777</f>
        <v>ECOPETROL RUBIALES- Quifa - CAÑO SUR: Puerto Gaitan - Rubiales, Puerto Gaitán, Meta, Colombia</v>
      </c>
      <c r="I1779" s="42" t="str">
        <f>Data!Q1777</f>
        <v>Cliente, Vel Max 40 Km/h</v>
      </c>
      <c r="J1779" s="43">
        <f>Data!S1777</f>
        <v>46174.532071759262</v>
      </c>
      <c r="K1779" s="44">
        <f>Data!S1777</f>
        <v>46174.532071759262</v>
      </c>
      <c r="L1779" s="45">
        <f>Data!T1777</f>
        <v>5.3240740740740744E-4</v>
      </c>
      <c r="M1779" s="46">
        <f>Data!U1777</f>
        <v>0.32816281914710999</v>
      </c>
      <c r="N1779" s="46" t="str">
        <f>CONCATENATE(Data!W1777," (",Data!V1777,")")</f>
        <v>Exceso de velocidad (nuevo) (Velocidad máxima: 31 kmh (Velocidad máxima en carretera: 7 kmh))</v>
      </c>
      <c r="O1779" s="42" t="str">
        <f>IF(Data!V1777&lt;&gt;"",N1779,Data!W1777)</f>
        <v>Exceso de velocidad (nuevo) (Velocidad máxima: 31 kmh (Velocidad máxima en carretera: 7 kmh))</v>
      </c>
      <c r="P1779" s="47" t="str">
        <f>Data!X1777</f>
        <v>Válido</v>
      </c>
    </row>
    <row r="1780" spans="1:16">
      <c r="A1780" s="41" t="str">
        <f>Data!A1778</f>
        <v>QLT553</v>
      </c>
      <c r="B1780" s="41" t="str">
        <f>Data!D1778</f>
        <v>Vehicle, Diesel, Frontera Energy Col 2679</v>
      </c>
      <c r="C1780" s="41">
        <f>Data!F1778</f>
        <v>0</v>
      </c>
      <c r="D1780" s="41">
        <f>Data!G1778</f>
        <v>0</v>
      </c>
      <c r="E1780" s="41">
        <f>Data!H1778</f>
        <v>0</v>
      </c>
      <c r="F1780" s="41">
        <f>Data!K1778</f>
        <v>0</v>
      </c>
      <c r="G1780" s="33" t="str">
        <f>Data!M1778</f>
        <v>Exceso Velocidad 30 Km/h</v>
      </c>
      <c r="H1780" s="41" t="str">
        <f>Data!P1778</f>
        <v>ECOPETROL RUBIALES- Quifa - CAÑO SUR, Puerto Triunfo - Estacion Policia: Puerto Gaitan - Rubiales, Puerto Gaitán, Meta, Colombia</v>
      </c>
      <c r="I1780" s="42" t="str">
        <f>Data!Q1778</f>
        <v>Cliente, Vel Max 40 Km/h, Vel Max 30 Km/h</v>
      </c>
      <c r="J1780" s="43">
        <f>Data!S1778</f>
        <v>46174.532699074072</v>
      </c>
      <c r="K1780" s="44">
        <f>Data!S1778</f>
        <v>46174.532699074072</v>
      </c>
      <c r="L1780" s="45">
        <f>Data!T1778</f>
        <v>1.5694444444444446E-5</v>
      </c>
      <c r="M1780" s="46">
        <f>Data!U1778</f>
        <v>1.056627556681633E-2</v>
      </c>
      <c r="N1780" s="46" t="str">
        <f>CONCATENATE(Data!W1778," (",Data!V1778,")")</f>
        <v>Exceso Velocidad 30 Km/h (Velocidad máxima: 31 kmh)</v>
      </c>
      <c r="O1780" s="42" t="str">
        <f>IF(Data!V1778&lt;&gt;"",N1780,Data!W1778)</f>
        <v>Exceso Velocidad 30 Km/h (Velocidad máxima: 31 kmh)</v>
      </c>
      <c r="P1780" s="47" t="str">
        <f>Data!X1778</f>
        <v>Válido</v>
      </c>
    </row>
    <row r="1781" spans="1:16">
      <c r="A1781" s="41" t="str">
        <f>Data!A1779</f>
        <v>QLT553</v>
      </c>
      <c r="B1781" s="41" t="str">
        <f>Data!D1779</f>
        <v>Vehicle, Diesel, Frontera Energy Col 2679</v>
      </c>
      <c r="C1781" s="41">
        <f>Data!F1779</f>
        <v>0</v>
      </c>
      <c r="D1781" s="41">
        <f>Data!G1779</f>
        <v>0</v>
      </c>
      <c r="E1781" s="41">
        <f>Data!H1779</f>
        <v>0</v>
      </c>
      <c r="F1781" s="41">
        <f>Data!K1779</f>
        <v>0</v>
      </c>
      <c r="G1781" s="33" t="str">
        <f>Data!M1779</f>
        <v>Exceso Velocidad 30 Km/h</v>
      </c>
      <c r="H1781" s="41" t="str">
        <f>Data!P1779</f>
        <v>ECOPETROL RUBIALES- Quifa - CAÑO SUR, Puerto Triunfo - Estacion Policia: Puerto Gaitan - Rubiales, Puerto Gaitán, Meta, Colombia</v>
      </c>
      <c r="I1781" s="42" t="str">
        <f>Data!Q1779</f>
        <v>Cliente, Vel Max 40 Km/h, Vel Max 30 Km/h</v>
      </c>
      <c r="J1781" s="43">
        <f>Data!S1779</f>
        <v>46174.532807361109</v>
      </c>
      <c r="K1781" s="44">
        <f>Data!S1779</f>
        <v>46174.532807361109</v>
      </c>
      <c r="L1781" s="45">
        <f>Data!T1779</f>
        <v>5.1435185185185184E-5</v>
      </c>
      <c r="M1781" s="46">
        <f>Data!U1779</f>
        <v>3.741806373000145E-2</v>
      </c>
      <c r="N1781" s="46" t="str">
        <f>CONCATENATE(Data!W1779," (",Data!V1779,")")</f>
        <v>Exceso Velocidad 30 Km/h (Velocidad máxima: 31 kmh)</v>
      </c>
      <c r="O1781" s="42" t="str">
        <f>IF(Data!V1779&lt;&gt;"",N1781,Data!W1779)</f>
        <v>Exceso Velocidad 30 Km/h (Velocidad máxima: 31 kmh)</v>
      </c>
      <c r="P1781" s="47" t="str">
        <f>Data!X1779</f>
        <v>Válido</v>
      </c>
    </row>
    <row r="1782" spans="1:16">
      <c r="A1782" s="41" t="str">
        <f>Data!A1780</f>
        <v>QLT553</v>
      </c>
      <c r="B1782" s="41" t="str">
        <f>Data!D1780</f>
        <v>Vehicle, Diesel, Frontera Energy Col 2679</v>
      </c>
      <c r="C1782" s="41">
        <f>Data!F1780</f>
        <v>0</v>
      </c>
      <c r="D1782" s="41">
        <f>Data!G1780</f>
        <v>0</v>
      </c>
      <c r="E1782" s="41">
        <f>Data!H1780</f>
        <v>0</v>
      </c>
      <c r="F1782" s="41">
        <f>Data!K1780</f>
        <v>0</v>
      </c>
      <c r="G1782" s="33" t="str">
        <f>Data!M1780</f>
        <v>Exceso Velocidad 30 Km/h</v>
      </c>
      <c r="H1782" s="41" t="str">
        <f>Data!P1780</f>
        <v>ECOPETROL RUBIALES- Quifa - CAÑO SUR, Puerto Triunfo - Estacion Policia: Puerto Gaitan - Rubiales, Puerto Gaitán, Meta, Colombia</v>
      </c>
      <c r="I1782" s="42" t="str">
        <f>Data!Q1780</f>
        <v>Cliente, Vel Max 40 Km/h, Vel Max 30 Km/h</v>
      </c>
      <c r="J1782" s="43">
        <f>Data!S1780</f>
        <v>46174.533433159719</v>
      </c>
      <c r="K1782" s="44">
        <f>Data!S1780</f>
        <v>46174.533433159719</v>
      </c>
      <c r="L1782" s="45">
        <f>Data!T1780</f>
        <v>2.8377314814814812E-4</v>
      </c>
      <c r="M1782" s="46">
        <f>Data!U1780</f>
        <v>0.23891815543174744</v>
      </c>
      <c r="N1782" s="46" t="str">
        <f>CONCATENATE(Data!W1780," (",Data!V1780,")")</f>
        <v>Exceso Velocidad 30 Km/h (Velocidad máxima: 37 kmh)</v>
      </c>
      <c r="O1782" s="42" t="str">
        <f>IF(Data!V1780&lt;&gt;"",N1782,Data!W1780)</f>
        <v>Exceso Velocidad 30 Km/h (Velocidad máxima: 37 kmh)</v>
      </c>
      <c r="P1782" s="47" t="str">
        <f>Data!X1780</f>
        <v>Válido</v>
      </c>
    </row>
    <row r="1783" spans="1:16">
      <c r="A1783" s="41" t="str">
        <f>Data!A1781</f>
        <v>QLT553</v>
      </c>
      <c r="B1783" s="41" t="str">
        <f>Data!D1781</f>
        <v>Vehicle, Diesel, Frontera Energy Col 2679</v>
      </c>
      <c r="C1783" s="41">
        <f>Data!F1781</f>
        <v>0</v>
      </c>
      <c r="D1783" s="41">
        <f>Data!G1781</f>
        <v>0</v>
      </c>
      <c r="E1783" s="41">
        <f>Data!H1781</f>
        <v>0</v>
      </c>
      <c r="F1783" s="41">
        <f>Data!K1781</f>
        <v>0</v>
      </c>
      <c r="G1783" s="33" t="str">
        <f>Data!M1781</f>
        <v>Exceso Velocidad 10 Km/h</v>
      </c>
      <c r="H1783" s="41" t="str">
        <f>Data!P1781</f>
        <v>CAMPAMENTO QUIFA, ECOPETROL RUBIALES- Quifa - CAÑO SUR, Puerto Gaitan - Rubiales, Puerto Gaitán, Meta, Colombia: Ent. CAMPAMENTO, Puerto Gaitán, Meta, Colombia</v>
      </c>
      <c r="I1783" s="42" t="str">
        <f>Data!Q1781</f>
        <v>Vel Max 10 Km/h, Cliente, Vel Max 40 Km/h, Centro de servicios del proveedor</v>
      </c>
      <c r="J1783" s="43">
        <f>Data!S1781</f>
        <v>46174.534146458333</v>
      </c>
      <c r="K1783" s="44">
        <f>Data!S1781</f>
        <v>46174.534146458333</v>
      </c>
      <c r="L1783" s="45">
        <f>Data!T1781</f>
        <v>4.1701388888888891E-5</v>
      </c>
      <c r="M1783" s="46">
        <f>Data!U1781</f>
        <v>1.0391369462013245E-2</v>
      </c>
      <c r="N1783" s="46" t="str">
        <f>CONCATENATE(Data!W1781," (",Data!V1781,")")</f>
        <v>Exceso Velocidad 10 Km/h (Velocidad máxima: 15 kmh)</v>
      </c>
      <c r="O1783" s="42" t="str">
        <f>IF(Data!V1781&lt;&gt;"",N1783,Data!W1781)</f>
        <v>Exceso Velocidad 10 Km/h (Velocidad máxima: 15 kmh)</v>
      </c>
      <c r="P1783" s="47" t="str">
        <f>Data!X1781</f>
        <v>Válido</v>
      </c>
    </row>
    <row r="1784" spans="1:16">
      <c r="A1784" s="41" t="str">
        <f>Data!A1782</f>
        <v>QLT553</v>
      </c>
      <c r="B1784" s="41" t="str">
        <f>Data!D1782</f>
        <v>Vehicle, Diesel, Frontera Energy Col 2679</v>
      </c>
      <c r="C1784" s="41">
        <f>Data!F1782</f>
        <v>0</v>
      </c>
      <c r="D1784" s="41">
        <f>Data!G1782</f>
        <v>0</v>
      </c>
      <c r="E1784" s="41">
        <f>Data!H1782</f>
        <v>0</v>
      </c>
      <c r="F1784" s="41">
        <f>Data!K1782</f>
        <v>0</v>
      </c>
      <c r="G1784" s="33" t="str">
        <f>Data!M1782</f>
        <v>Exceso Velocidad 10 Km/h</v>
      </c>
      <c r="H1784" s="41" t="str">
        <f>Data!P1782</f>
        <v>CAMPAMENTO QUIFA, ECOPETROL RUBIALES- Quifa - CAÑO SUR, Puerto Gaitan - Rubiales, Puerto Gaitán, Meta, Colombia, Campamento Quifa - CMA: Ent. CAMPAMENTO, Puerto Gaitán, Meta, Colombia</v>
      </c>
      <c r="I1784" s="42" t="str">
        <f>Data!Q1782</f>
        <v>Vel Max 10 Km/h, Cliente, Vel Max 40 Km/h, Centro de servicios del proveedor</v>
      </c>
      <c r="J1784" s="43">
        <f>Data!S1782</f>
        <v>46174.53434027778</v>
      </c>
      <c r="K1784" s="44">
        <f>Data!S1782</f>
        <v>46174.53434027778</v>
      </c>
      <c r="L1784" s="45">
        <f>Data!T1782</f>
        <v>1.0706018518518519E-4</v>
      </c>
      <c r="M1784" s="46">
        <f>Data!U1782</f>
        <v>2.5641538202762604E-2</v>
      </c>
      <c r="N1784" s="46" t="str">
        <f>CONCATENATE(Data!W1782," (",Data!V1782,")")</f>
        <v>Exceso Velocidad 10 Km/h (Velocidad máxima: 12 kmh)</v>
      </c>
      <c r="O1784" s="42" t="str">
        <f>IF(Data!V1782&lt;&gt;"",N1784,Data!W1782)</f>
        <v>Exceso Velocidad 10 Km/h (Velocidad máxima: 12 kmh)</v>
      </c>
      <c r="P1784" s="47" t="str">
        <f>Data!X1782</f>
        <v>Válido</v>
      </c>
    </row>
    <row r="1785" spans="1:16">
      <c r="A1785" s="41" t="str">
        <f>Data!A1783</f>
        <v>QLT553</v>
      </c>
      <c r="B1785" s="41" t="str">
        <f>Data!D1783</f>
        <v>Vehicle, Diesel, Frontera Energy Col 2679</v>
      </c>
      <c r="C1785" s="41">
        <f>Data!F1783</f>
        <v>0</v>
      </c>
      <c r="D1785" s="41">
        <f>Data!G1783</f>
        <v>0</v>
      </c>
      <c r="E1785" s="41">
        <f>Data!H1783</f>
        <v>0</v>
      </c>
      <c r="F1785" s="41">
        <f>Data!K1783</f>
        <v>0</v>
      </c>
      <c r="G1785" s="33" t="str">
        <f>Data!M1783</f>
        <v>Exceso Velocidad 30 Km/h</v>
      </c>
      <c r="H1785" s="41" t="str">
        <f>Data!P1783</f>
        <v>ECOPETROL RUBIALES- Quifa - CAÑO SUR, Puerto Triunfo - Estacion Policia: Puerto Gaitan - Rubiales, Puerto Gaitán, Meta, Colombia</v>
      </c>
      <c r="I1785" s="42" t="str">
        <f>Data!Q1783</f>
        <v>Cliente, Vel Max 40 Km/h, Vel Max 30 Km/h</v>
      </c>
      <c r="J1785" s="43">
        <f>Data!S1783</f>
        <v>46174.587783564915</v>
      </c>
      <c r="K1785" s="44">
        <f>Data!S1783</f>
        <v>46174.587783564915</v>
      </c>
      <c r="L1785" s="45">
        <f>Data!T1783</f>
        <v>9.3750000000000002E-5</v>
      </c>
      <c r="M1785" s="46">
        <f>Data!U1783</f>
        <v>6.9835729897022247E-2</v>
      </c>
      <c r="N1785" s="46" t="str">
        <f>CONCATENATE(Data!W1783," (",Data!V1783,")")</f>
        <v>Exceso Velocidad 30 Km/h (Velocidad máxima: 33 kmh)</v>
      </c>
      <c r="O1785" s="42" t="str">
        <f>IF(Data!V1783&lt;&gt;"",N1785,Data!W1783)</f>
        <v>Exceso Velocidad 30 Km/h (Velocidad máxima: 33 kmh)</v>
      </c>
      <c r="P1785" s="47" t="str">
        <f>Data!X1783</f>
        <v>Válido</v>
      </c>
    </row>
    <row r="1786" spans="1:16">
      <c r="A1786" s="41" t="str">
        <f>Data!A1784</f>
        <v>QLT553</v>
      </c>
      <c r="B1786" s="41" t="str">
        <f>Data!D1784</f>
        <v>Vehicle, Diesel, Frontera Energy Col 2679</v>
      </c>
      <c r="C1786" s="41">
        <f>Data!F1784</f>
        <v>0</v>
      </c>
      <c r="D1786" s="41">
        <f>Data!G1784</f>
        <v>0</v>
      </c>
      <c r="E1786" s="41">
        <f>Data!H1784</f>
        <v>0</v>
      </c>
      <c r="F1786" s="41">
        <f>Data!K1784</f>
        <v>0</v>
      </c>
      <c r="G1786" s="33" t="str">
        <f>Data!M1784</f>
        <v>Exceso de velocidad (nuevo)</v>
      </c>
      <c r="H1786" s="41" t="str">
        <f>Data!P1784</f>
        <v>ECOPETROL RUBIALES- Quifa - CAÑO SUR, Puerto Triunfo - Estacion Policia: Puerto Gaitan - Rubiales, Puerto Gaitán, Meta, Colombia</v>
      </c>
      <c r="I1786" s="42" t="str">
        <f>Data!Q1784</f>
        <v>Cliente, Vel Max 40 Km/h, Vel Max 30 Km/h</v>
      </c>
      <c r="J1786" s="43">
        <f>Data!S1784</f>
        <v>46174.589733796296</v>
      </c>
      <c r="K1786" s="44">
        <f>Data!S1784</f>
        <v>46174.589733796296</v>
      </c>
      <c r="L1786" s="45">
        <f>Data!T1784</f>
        <v>7.5231481481481482E-4</v>
      </c>
      <c r="M1786" s="46">
        <f>Data!U1784</f>
        <v>0.30223432183265686</v>
      </c>
      <c r="N1786" s="46" t="str">
        <f>CONCATENATE(Data!W1784," (",Data!V1784,")")</f>
        <v>Exceso de velocidad (nuevo) (Velocidad máxima: 20 kmh (Velocidad máxima en carretera: 7 kmh))</v>
      </c>
      <c r="O1786" s="42" t="str">
        <f>IF(Data!V1784&lt;&gt;"",N1786,Data!W1784)</f>
        <v>Exceso de velocidad (nuevo) (Velocidad máxima: 20 kmh (Velocidad máxima en carretera: 7 kmh))</v>
      </c>
      <c r="P1786" s="47" t="str">
        <f>Data!X1784</f>
        <v>Válido</v>
      </c>
    </row>
    <row r="1787" spans="1:16">
      <c r="A1787" s="41" t="str">
        <f>Data!A1785</f>
        <v>QLT553</v>
      </c>
      <c r="B1787" s="41" t="str">
        <f>Data!D1785</f>
        <v>Vehicle, Diesel, Frontera Energy Col 2679</v>
      </c>
      <c r="C1787" s="41">
        <f>Data!F1785</f>
        <v>0</v>
      </c>
      <c r="D1787" s="41">
        <f>Data!G1785</f>
        <v>0</v>
      </c>
      <c r="E1787" s="41">
        <f>Data!H1785</f>
        <v>0</v>
      </c>
      <c r="F1787" s="41">
        <f>Data!K1785</f>
        <v>0</v>
      </c>
      <c r="G1787" s="33" t="str">
        <f>Data!M1785</f>
        <v>Exceso Velocidad 10 Km/h</v>
      </c>
      <c r="H1787" s="41" t="str">
        <f>Data!P1785</f>
        <v>ECOPETROL RUBIALES- Quifa - CAÑO SUR, Centralizado de combustible Quifa: Vía Sin Nombre, Puerto Gaitán, Meta, Colombia</v>
      </c>
      <c r="I1787" s="42" t="str">
        <f>Data!Q1785</f>
        <v>Cliente, Vel Max 40 Km/h, Vel Max 10 Km/h</v>
      </c>
      <c r="J1787" s="43">
        <f>Data!S1785</f>
        <v>46174.590571296299</v>
      </c>
      <c r="K1787" s="44">
        <f>Data!S1785</f>
        <v>46174.590571296299</v>
      </c>
      <c r="L1787" s="45">
        <f>Data!T1785</f>
        <v>5.9189814814814814E-4</v>
      </c>
      <c r="M1787" s="46">
        <f>Data!U1785</f>
        <v>0.16982689499855042</v>
      </c>
      <c r="N1787" s="46" t="str">
        <f>CONCATENATE(Data!W1785," (",Data!V1785,")")</f>
        <v>Exceso Velocidad 10 Km/h (Velocidad máxima: 13 kmh)</v>
      </c>
      <c r="O1787" s="42" t="str">
        <f>IF(Data!V1785&lt;&gt;"",N1787,Data!W1785)</f>
        <v>Exceso Velocidad 10 Km/h (Velocidad máxima: 13 kmh)</v>
      </c>
      <c r="P1787" s="47" t="str">
        <f>Data!X1785</f>
        <v>Válido</v>
      </c>
    </row>
    <row r="1788" spans="1:16">
      <c r="A1788" s="41" t="str">
        <f>Data!A1786</f>
        <v>QLT553</v>
      </c>
      <c r="B1788" s="41" t="str">
        <f>Data!D1786</f>
        <v>Vehicle, Diesel, Frontera Energy Col 2679</v>
      </c>
      <c r="C1788" s="41">
        <f>Data!F1786</f>
        <v>0</v>
      </c>
      <c r="D1788" s="41">
        <f>Data!G1786</f>
        <v>0</v>
      </c>
      <c r="E1788" s="41">
        <f>Data!H1786</f>
        <v>0</v>
      </c>
      <c r="F1788" s="41">
        <f>Data!K1786</f>
        <v>0</v>
      </c>
      <c r="G1788" s="33" t="str">
        <f>Data!M1786</f>
        <v>Exceso Velocidad 10 Km/h</v>
      </c>
      <c r="H1788" s="41" t="str">
        <f>Data!P1786</f>
        <v>ECOPETROL RUBIALES- Quifa - CAÑO SUR, Centralizado de combustible Quifa: Vía Sin Nombre, Puerto Gaitán, Meta, Colombia</v>
      </c>
      <c r="I1788" s="42" t="str">
        <f>Data!Q1786</f>
        <v>Cliente, Vel Max 40 Km/h, Vel Max 10 Km/h</v>
      </c>
      <c r="J1788" s="43">
        <f>Data!S1786</f>
        <v>46174.627946423614</v>
      </c>
      <c r="K1788" s="44">
        <f>Data!S1786</f>
        <v>46174.627946423614</v>
      </c>
      <c r="L1788" s="45">
        <f>Data!T1786</f>
        <v>2.9511574074074075E-4</v>
      </c>
      <c r="M1788" s="46">
        <f>Data!U1786</f>
        <v>7.796371728181839E-2</v>
      </c>
      <c r="N1788" s="46" t="str">
        <f>CONCATENATE(Data!W1786," (",Data!V1786,")")</f>
        <v>Exceso Velocidad 10 Km/h (Velocidad máxima: 12 kmh)</v>
      </c>
      <c r="O1788" s="42" t="str">
        <f>IF(Data!V1786&lt;&gt;"",N1788,Data!W1786)</f>
        <v>Exceso Velocidad 10 Km/h (Velocidad máxima: 12 kmh)</v>
      </c>
      <c r="P1788" s="47" t="str">
        <f>Data!X1786</f>
        <v>Válido</v>
      </c>
    </row>
    <row r="1789" spans="1:16">
      <c r="A1789" s="41" t="str">
        <f>Data!A1787</f>
        <v>QLT553</v>
      </c>
      <c r="B1789" s="41" t="str">
        <f>Data!D1787</f>
        <v>Vehicle, Diesel, Frontera Energy Col 2679</v>
      </c>
      <c r="C1789" s="41">
        <f>Data!F1787</f>
        <v>0</v>
      </c>
      <c r="D1789" s="41">
        <f>Data!G1787</f>
        <v>0</v>
      </c>
      <c r="E1789" s="41">
        <f>Data!H1787</f>
        <v>0</v>
      </c>
      <c r="F1789" s="41">
        <f>Data!K1787</f>
        <v>0</v>
      </c>
      <c r="G1789" s="33" t="str">
        <f>Data!M1787</f>
        <v>Uso del cinturón de seguridad</v>
      </c>
      <c r="H1789" s="41" t="str">
        <f>Data!P1787</f>
        <v>ECOPETROL RUBIALES- Quifa - CAÑO SUR, Centralizado de combustible Quifa: Vía Sin Nombre, Puerto Gaitán, Meta, Colombia</v>
      </c>
      <c r="I1789" s="42" t="str">
        <f>Data!Q1787</f>
        <v>Cliente, Vel Max 40 Km/h, Vel Max 10 Km/h</v>
      </c>
      <c r="J1789" s="43">
        <f>Data!S1787</f>
        <v>46174.627946423614</v>
      </c>
      <c r="K1789" s="44">
        <f>Data!S1787</f>
        <v>46174.627946423614</v>
      </c>
      <c r="L1789" s="45">
        <f>Data!T1787</f>
        <v>2.9511574074074075E-4</v>
      </c>
      <c r="M1789" s="46">
        <f>Data!U1787</f>
        <v>7.796371728181839E-2</v>
      </c>
      <c r="N1789" s="46" t="str">
        <f>CONCATENATE(Data!W1787," (",Data!V1787,")")</f>
        <v>Uso del cinturón de seguridad (Velocidad máxima: 12 kmh Cinturón de seguridad del conductor (1. Desabrochado): 1.00)</v>
      </c>
      <c r="O1789" s="42" t="str">
        <f>IF(Data!V1787&lt;&gt;"",N1789,Data!W1787)</f>
        <v>Uso del cinturón de seguridad (Velocidad máxima: 12 kmh Cinturón de seguridad del conductor (1. Desabrochado): 1.00)</v>
      </c>
      <c r="P1789" s="47" t="str">
        <f>Data!X1787</f>
        <v>Válido</v>
      </c>
    </row>
    <row r="1790" spans="1:16">
      <c r="A1790" s="41" t="str">
        <f>Data!A1788</f>
        <v>QLT553</v>
      </c>
      <c r="B1790" s="41" t="str">
        <f>Data!D1788</f>
        <v>Vehicle, Diesel, Frontera Energy Col 2679</v>
      </c>
      <c r="C1790" s="41">
        <f>Data!F1788</f>
        <v>0</v>
      </c>
      <c r="D1790" s="41">
        <f>Data!G1788</f>
        <v>0</v>
      </c>
      <c r="E1790" s="41">
        <f>Data!H1788</f>
        <v>0</v>
      </c>
      <c r="F1790" s="41">
        <f>Data!K1788</f>
        <v>0</v>
      </c>
      <c r="G1790" s="33" t="str">
        <f>Data!M1788</f>
        <v>Exceso de velocidad (nuevo)</v>
      </c>
      <c r="H1790" s="41" t="str">
        <f>Data!P1788</f>
        <v>ECOPETROL RUBIALES- Quifa - CAÑO SUR: Puerto Gaitan - Rubiales, Puerto Gaitán, Meta, Colombia</v>
      </c>
      <c r="I1790" s="42" t="str">
        <f>Data!Q1788</f>
        <v>Cliente, Vel Max 40 Km/h</v>
      </c>
      <c r="J1790" s="43">
        <f>Data!S1788</f>
        <v>46174.647481481479</v>
      </c>
      <c r="K1790" s="44">
        <f>Data!S1788</f>
        <v>46174.647481481479</v>
      </c>
      <c r="L1790" s="45">
        <f>Data!T1788</f>
        <v>8.9814814814814813E-4</v>
      </c>
      <c r="M1790" s="46">
        <f>Data!U1788</f>
        <v>0.29672738909721375</v>
      </c>
      <c r="N1790" s="46" t="str">
        <f>CONCATENATE(Data!W1788," (",Data!V1788,")")</f>
        <v>Exceso de velocidad (nuevo) (Velocidad máxima: 16 kmh (Velocidad máxima en carretera: 7 kmh))</v>
      </c>
      <c r="O1790" s="42" t="str">
        <f>IF(Data!V1788&lt;&gt;"",N1790,Data!W1788)</f>
        <v>Exceso de velocidad (nuevo) (Velocidad máxima: 16 kmh (Velocidad máxima en carretera: 7 kmh))</v>
      </c>
      <c r="P1790" s="47" t="str">
        <f>Data!X1788</f>
        <v>Válido</v>
      </c>
    </row>
    <row r="1791" spans="1:16">
      <c r="A1791" s="41" t="str">
        <f>Data!A1789</f>
        <v>QLT553</v>
      </c>
      <c r="B1791" s="41" t="str">
        <f>Data!D1789</f>
        <v>Vehicle, Diesel, Frontera Energy Col 2679</v>
      </c>
      <c r="C1791" s="41">
        <f>Data!F1789</f>
        <v>0</v>
      </c>
      <c r="D1791" s="41">
        <f>Data!G1789</f>
        <v>0</v>
      </c>
      <c r="E1791" s="41">
        <f>Data!H1789</f>
        <v>0</v>
      </c>
      <c r="F1791" s="41">
        <f>Data!K1789</f>
        <v>0</v>
      </c>
      <c r="G1791" s="33" t="str">
        <f>Data!M1789</f>
        <v>Uso del cinturón de seguridad</v>
      </c>
      <c r="H1791" s="41" t="str">
        <f>Data!P1789</f>
        <v>ECOPETROL RUBIALES- Quifa - CAÑO SUR: Vía Sin Nombre, Puerto Gaitán, Meta, Colombia</v>
      </c>
      <c r="I1791" s="42" t="str">
        <f>Data!Q1789</f>
        <v>Cliente, Vel Max 40 Km/h</v>
      </c>
      <c r="J1791" s="43">
        <f>Data!S1789</f>
        <v>46174.6735625</v>
      </c>
      <c r="K1791" s="44">
        <f>Data!S1789</f>
        <v>46174.6735625</v>
      </c>
      <c r="L1791" s="45">
        <f>Data!T1789</f>
        <v>3.9606481481481482E-5</v>
      </c>
      <c r="M1791" s="46">
        <f>Data!U1789</f>
        <v>6.1849495396018028E-3</v>
      </c>
      <c r="N1791" s="46" t="str">
        <f>CONCATENATE(Data!W1789," (",Data!V1789,")")</f>
        <v>Uso del cinturón de seguridad (Velocidad máxima: 12 kmh Cinturón de seguridad del conductor (1. Desabrochado): 1.00)</v>
      </c>
      <c r="O1791" s="42" t="str">
        <f>IF(Data!V1789&lt;&gt;"",N1791,Data!W1789)</f>
        <v>Uso del cinturón de seguridad (Velocidad máxima: 12 kmh Cinturón de seguridad del conductor (1. Desabrochado): 1.00)</v>
      </c>
      <c r="P1791" s="47" t="str">
        <f>Data!X1789</f>
        <v>Válido</v>
      </c>
    </row>
    <row r="1792" spans="1:16">
      <c r="A1792" s="41" t="str">
        <f>Data!A1790</f>
        <v>QLT553</v>
      </c>
      <c r="B1792" s="41" t="str">
        <f>Data!D1790</f>
        <v>Vehicle, Diesel, Frontera Energy Col 2679</v>
      </c>
      <c r="C1792" s="41">
        <f>Data!F1790</f>
        <v>0</v>
      </c>
      <c r="D1792" s="41">
        <f>Data!G1790</f>
        <v>0</v>
      </c>
      <c r="E1792" s="41">
        <f>Data!H1790</f>
        <v>0</v>
      </c>
      <c r="F1792" s="41">
        <f>Data!K1790</f>
        <v>0</v>
      </c>
      <c r="G1792" s="33" t="str">
        <f>Data!M1790</f>
        <v>Uso del cinturón de seguridad</v>
      </c>
      <c r="H1792" s="41" t="str">
        <f>Data!P1790</f>
        <v>ECOPETROL RUBIALES- Quifa - CAÑO SUR: Vía Sin Nombre, Puerto Gaitán, Meta, Colombia</v>
      </c>
      <c r="I1792" s="42" t="str">
        <f>Data!Q1790</f>
        <v>Cliente, Vel Max 40 Km/h</v>
      </c>
      <c r="J1792" s="43">
        <f>Data!S1790</f>
        <v>46174.673761574071</v>
      </c>
      <c r="K1792" s="44">
        <f>Data!S1790</f>
        <v>46174.673761574071</v>
      </c>
      <c r="L1792" s="45">
        <f>Data!T1790</f>
        <v>1.3839236111111112E-3</v>
      </c>
      <c r="M1792" s="46">
        <f>Data!U1790</f>
        <v>0.5422050952911377</v>
      </c>
      <c r="N1792" s="46" t="str">
        <f>CONCATENATE(Data!W1790," (",Data!V1790,")")</f>
        <v>Uso del cinturón de seguridad (Velocidad máxima: 22 kmh Cinturón de seguridad del conductor (1. Desabrochado): 1.00)</v>
      </c>
      <c r="O1792" s="42" t="str">
        <f>IF(Data!V1790&lt;&gt;"",N1792,Data!W1790)</f>
        <v>Uso del cinturón de seguridad (Velocidad máxima: 22 kmh Cinturón de seguridad del conductor (1. Desabrochado): 1.00)</v>
      </c>
      <c r="P1792" s="47" t="str">
        <f>Data!X1790</f>
        <v>Válido</v>
      </c>
    </row>
    <row r="1793" spans="1:16">
      <c r="A1793" s="41" t="str">
        <f>Data!A1791</f>
        <v>QLT553</v>
      </c>
      <c r="B1793" s="41" t="str">
        <f>Data!D1791</f>
        <v>Vehicle, Diesel, Frontera Energy Col 2679</v>
      </c>
      <c r="C1793" s="41">
        <f>Data!F1791</f>
        <v>0</v>
      </c>
      <c r="D1793" s="41">
        <f>Data!G1791</f>
        <v>0</v>
      </c>
      <c r="E1793" s="41">
        <f>Data!H1791</f>
        <v>0</v>
      </c>
      <c r="F1793" s="41">
        <f>Data!K1791</f>
        <v>0</v>
      </c>
      <c r="G1793" s="33" t="str">
        <f>Data!M1791</f>
        <v>Uso del cinturón de seguridad</v>
      </c>
      <c r="H1793" s="41" t="str">
        <f>Data!P1791</f>
        <v>ECOPETROL RUBIALES- Quifa - CAÑO SUR, Puerto Triunfo - Estacion Policia: Puerto Gaitan - Rubiales, Puerto Gaitán, Meta, Colombia</v>
      </c>
      <c r="I1793" s="42" t="str">
        <f>Data!Q1791</f>
        <v>Cliente, Vel Max 40 Km/h, Vel Max 30 Km/h</v>
      </c>
      <c r="J1793" s="43">
        <f>Data!S1791</f>
        <v>46174.675354942126</v>
      </c>
      <c r="K1793" s="44">
        <f>Data!S1791</f>
        <v>46174.675354942126</v>
      </c>
      <c r="L1793" s="45">
        <f>Data!T1791</f>
        <v>2.469097222222222E-4</v>
      </c>
      <c r="M1793" s="46">
        <f>Data!U1791</f>
        <v>7.1791678667068481E-2</v>
      </c>
      <c r="N1793" s="46" t="str">
        <f>CONCATENATE(Data!W1791," (",Data!V1791,")")</f>
        <v>Uso del cinturón de seguridad (Velocidad máxima: 16 kmh Cinturón de seguridad del conductor (1. Desabrochado): 1.00)</v>
      </c>
      <c r="O1793" s="42" t="str">
        <f>IF(Data!V1791&lt;&gt;"",N1793,Data!W1791)</f>
        <v>Uso del cinturón de seguridad (Velocidad máxima: 16 kmh Cinturón de seguridad del conductor (1. Desabrochado): 1.00)</v>
      </c>
      <c r="P1793" s="47" t="str">
        <f>Data!X1791</f>
        <v>Válido</v>
      </c>
    </row>
    <row r="1794" spans="1:16">
      <c r="A1794" s="41" t="str">
        <f>Data!A1792</f>
        <v>QLT553</v>
      </c>
      <c r="B1794" s="41" t="str">
        <f>Data!D1792</f>
        <v>Vehicle, Diesel, Frontera Energy Col 2679</v>
      </c>
      <c r="C1794" s="41">
        <f>Data!F1792</f>
        <v>0</v>
      </c>
      <c r="D1794" s="41">
        <f>Data!G1792</f>
        <v>0</v>
      </c>
      <c r="E1794" s="41">
        <f>Data!H1792</f>
        <v>0</v>
      </c>
      <c r="F1794" s="41">
        <f>Data!K1792</f>
        <v>0</v>
      </c>
      <c r="G1794" s="33" t="str">
        <f>Data!M1792</f>
        <v>Exceso de velocidad (nuevo)</v>
      </c>
      <c r="H1794" s="41" t="str">
        <f>Data!P1792</f>
        <v>ECOPETROL RUBIALES- Quifa - CAÑO SUR: Puerto Gaitan - Rubiales, Puerto Gaitán, Meta, Colombia</v>
      </c>
      <c r="I1794" s="42" t="str">
        <f>Data!Q1792</f>
        <v>Cliente, Vel Max 40 Km/h</v>
      </c>
      <c r="J1794" s="43">
        <f>Data!S1792</f>
        <v>46174.675543981481</v>
      </c>
      <c r="K1794" s="44">
        <f>Data!S1792</f>
        <v>46174.675543981481</v>
      </c>
      <c r="L1794" s="45">
        <f>Data!T1792</f>
        <v>9.0586805555555559E-4</v>
      </c>
      <c r="M1794" s="46">
        <f>Data!U1792</f>
        <v>0.28446048498153687</v>
      </c>
      <c r="N1794" s="46" t="str">
        <f>CONCATENATE(Data!W1792," (",Data!V1792,")")</f>
        <v>Exceso de velocidad (nuevo) (Velocidad máxima: 16 kmh (Velocidad máxima en carretera: 7 kmh))</v>
      </c>
      <c r="O1794" s="42" t="str">
        <f>IF(Data!V1792&lt;&gt;"",N1794,Data!W1792)</f>
        <v>Exceso de velocidad (nuevo) (Velocidad máxima: 16 kmh (Velocidad máxima en carretera: 7 kmh))</v>
      </c>
      <c r="P1794" s="47" t="str">
        <f>Data!X1792</f>
        <v>Válido</v>
      </c>
    </row>
    <row r="1795" spans="1:16">
      <c r="A1795" s="41" t="str">
        <f>Data!A1793</f>
        <v>QLT553</v>
      </c>
      <c r="B1795" s="41" t="str">
        <f>Data!D1793</f>
        <v>Vehicle, Diesel, Frontera Energy Col 2679</v>
      </c>
      <c r="C1795" s="41">
        <f>Data!F1793</f>
        <v>0</v>
      </c>
      <c r="D1795" s="41">
        <f>Data!G1793</f>
        <v>0</v>
      </c>
      <c r="E1795" s="41">
        <f>Data!H1793</f>
        <v>0</v>
      </c>
      <c r="F1795" s="41">
        <f>Data!K1793</f>
        <v>0</v>
      </c>
      <c r="G1795" s="33" t="str">
        <f>Data!M1793</f>
        <v>Uso del cinturón de seguridad</v>
      </c>
      <c r="H1795" s="41" t="str">
        <f>Data!P1793</f>
        <v>ECOPETROL RUBIALES- Quifa - CAÑO SUR: Puerto Gaitan - Rubiales, Puerto Gaitán, Meta, Colombia</v>
      </c>
      <c r="I1795" s="42" t="str">
        <f>Data!Q1793</f>
        <v>Cliente, Vel Max 40 Km/h</v>
      </c>
      <c r="J1795" s="43">
        <f>Data!S1793</f>
        <v>46174.67560185185</v>
      </c>
      <c r="K1795" s="44">
        <f>Data!S1793</f>
        <v>46174.67560185185</v>
      </c>
      <c r="L1795" s="45">
        <f>Data!T1793</f>
        <v>7.6774305555555558E-4</v>
      </c>
      <c r="M1795" s="46">
        <f>Data!U1793</f>
        <v>0.25102570652961731</v>
      </c>
      <c r="N1795" s="46" t="str">
        <f>CONCATENATE(Data!W1793," (",Data!V1793,")")</f>
        <v>Uso del cinturón de seguridad (Velocidad máxima: 16 kmh Cinturón de seguridad del conductor (1. Desabrochado): 1.00)</v>
      </c>
      <c r="O1795" s="42" t="str">
        <f>IF(Data!V1793&lt;&gt;"",N1795,Data!W1793)</f>
        <v>Uso del cinturón de seguridad (Velocidad máxima: 16 kmh Cinturón de seguridad del conductor (1. Desabrochado): 1.00)</v>
      </c>
      <c r="P1795" s="47" t="str">
        <f>Data!X1793</f>
        <v>Válido</v>
      </c>
    </row>
    <row r="1796" spans="1:16">
      <c r="A1796" s="41" t="str">
        <f>Data!A1794</f>
        <v>QLT553</v>
      </c>
      <c r="B1796" s="41" t="str">
        <f>Data!D1794</f>
        <v>Vehicle, Diesel, Frontera Energy Col 2679</v>
      </c>
      <c r="C1796" s="41">
        <f>Data!F1794</f>
        <v>0</v>
      </c>
      <c r="D1796" s="41">
        <f>Data!G1794</f>
        <v>0</v>
      </c>
      <c r="E1796" s="41">
        <f>Data!H1794</f>
        <v>0</v>
      </c>
      <c r="F1796" s="41">
        <f>Data!K1794</f>
        <v>0</v>
      </c>
      <c r="G1796" s="33" t="str">
        <f>Data!M1794</f>
        <v>Tiempo en ralentí</v>
      </c>
      <c r="H1796" s="41" t="str">
        <f>Data!P1794</f>
        <v>ECOPETROL RUBIALES- Quifa - CAÑO SUR, Centralizado de combustible Quifa: Vía Sin Nombre, Puerto Gaitán, Meta, Colombia</v>
      </c>
      <c r="I1796" s="42" t="str">
        <f>Data!Q1794</f>
        <v>Cliente, Vel Max 40 Km/h, Vel Max 10 Km/h</v>
      </c>
      <c r="J1796" s="43">
        <f>Data!S1794</f>
        <v>46174.698671342594</v>
      </c>
      <c r="K1796" s="44">
        <f>Data!S1794</f>
        <v>46174.698671342594</v>
      </c>
      <c r="L1796" s="45">
        <f>Data!T1794</f>
        <v>5.0902314814814812E-3</v>
      </c>
      <c r="M1796" s="46">
        <f>Data!U1794</f>
        <v>4.2938673868775368E-3</v>
      </c>
      <c r="N1796" s="46" t="str">
        <f>CONCATENATE(Data!W1794," (",Data!V1794,")")</f>
        <v>Tiempo en ralentí (Ignición: 1.00)</v>
      </c>
      <c r="O1796" s="42" t="str">
        <f>IF(Data!V1794&lt;&gt;"",N1796,Data!W1794)</f>
        <v>Tiempo en ralentí (Ignición: 1.00)</v>
      </c>
      <c r="P1796" s="47" t="str">
        <f>Data!X1794</f>
        <v>Válido</v>
      </c>
    </row>
    <row r="1797" spans="1:16">
      <c r="A1797" s="41" t="str">
        <f>Data!A1795</f>
        <v>QLT553</v>
      </c>
      <c r="B1797" s="41" t="str">
        <f>Data!D1795</f>
        <v>Vehicle, Diesel, Frontera Energy Col 2679</v>
      </c>
      <c r="C1797" s="41">
        <f>Data!F1795</f>
        <v>0</v>
      </c>
      <c r="D1797" s="41">
        <f>Data!G1795</f>
        <v>0</v>
      </c>
      <c r="E1797" s="41">
        <f>Data!H1795</f>
        <v>0</v>
      </c>
      <c r="F1797" s="41">
        <f>Data!K1795</f>
        <v>0</v>
      </c>
      <c r="G1797" s="33" t="str">
        <f>Data!M1795</f>
        <v>Uso del cinturón de seguridad</v>
      </c>
      <c r="H1797" s="41" t="str">
        <f>Data!P1795</f>
        <v>ECOPETROL RUBIALES- Quifa - CAÑO SUR, Centralizado de combustible Quifa: Vía Sin Nombre, Puerto Gaitán, Meta, Colombia</v>
      </c>
      <c r="I1797" s="42" t="str">
        <f>Data!Q1795</f>
        <v>Cliente, Vel Max 40 Km/h, Vel Max 10 Km/h</v>
      </c>
      <c r="J1797" s="43">
        <f>Data!S1795</f>
        <v>46174.718655960649</v>
      </c>
      <c r="K1797" s="44">
        <f>Data!S1795</f>
        <v>46174.718655960649</v>
      </c>
      <c r="L1797" s="45">
        <f>Data!T1795</f>
        <v>9.1145833333333337E-5</v>
      </c>
      <c r="M1797" s="46">
        <f>Data!U1795</f>
        <v>3.367922455072403E-2</v>
      </c>
      <c r="N1797" s="46" t="str">
        <f>CONCATENATE(Data!W1795," (",Data!V1795,")")</f>
        <v>Uso del cinturón de seguridad (Velocidad máxima: 17 kmh Cinturón de seguridad del conductor (1. Desabrochado): 1.00)</v>
      </c>
      <c r="O1797" s="42" t="str">
        <f>IF(Data!V1795&lt;&gt;"",N1797,Data!W1795)</f>
        <v>Uso del cinturón de seguridad (Velocidad máxima: 17 kmh Cinturón de seguridad del conductor (1. Desabrochado): 1.00)</v>
      </c>
      <c r="P1797" s="47" t="str">
        <f>Data!X1795</f>
        <v>Válido</v>
      </c>
    </row>
    <row r="1798" spans="1:16">
      <c r="A1798" s="41" t="str">
        <f>Data!A1796</f>
        <v>QLT553</v>
      </c>
      <c r="B1798" s="41" t="str">
        <f>Data!D1796</f>
        <v>Vehicle, Diesel, Frontera Energy Col 2679</v>
      </c>
      <c r="C1798" s="41">
        <f>Data!F1796</f>
        <v>0</v>
      </c>
      <c r="D1798" s="41">
        <f>Data!G1796</f>
        <v>0</v>
      </c>
      <c r="E1798" s="41">
        <f>Data!H1796</f>
        <v>0</v>
      </c>
      <c r="F1798" s="41">
        <f>Data!K1796</f>
        <v>0</v>
      </c>
      <c r="G1798" s="33" t="str">
        <f>Data!M1796</f>
        <v>Exceso Velocidad 10 Km/h</v>
      </c>
      <c r="H1798" s="41" t="str">
        <f>Data!P1796</f>
        <v>ECOPETROL RUBIALES- Quifa - CAÑO SUR, Centralizado de combustible Quifa: Vía Sin Nombre, Puerto Gaitán, Meta, Colombia</v>
      </c>
      <c r="I1798" s="42" t="str">
        <f>Data!Q1796</f>
        <v>Cliente, Vel Max 40 Km/h, Vel Max 10 Km/h</v>
      </c>
      <c r="J1798" s="43">
        <f>Data!S1796</f>
        <v>46174.718655960649</v>
      </c>
      <c r="K1798" s="44">
        <f>Data!S1796</f>
        <v>46174.718655960649</v>
      </c>
      <c r="L1798" s="45">
        <f>Data!T1796</f>
        <v>9.1145833333333337E-5</v>
      </c>
      <c r="M1798" s="46">
        <f>Data!U1796</f>
        <v>3.367922455072403E-2</v>
      </c>
      <c r="N1798" s="46" t="str">
        <f>CONCATENATE(Data!W1796," (",Data!V1796,")")</f>
        <v>Exceso Velocidad 10 Km/h (Velocidad máxima: 17 kmh)</v>
      </c>
      <c r="O1798" s="42" t="str">
        <f>IF(Data!V1796&lt;&gt;"",N1798,Data!W1796)</f>
        <v>Exceso Velocidad 10 Km/h (Velocidad máxima: 17 kmh)</v>
      </c>
      <c r="P1798" s="47" t="str">
        <f>Data!X1796</f>
        <v>Válido</v>
      </c>
    </row>
    <row r="1799" spans="1:16">
      <c r="A1799" s="41" t="str">
        <f>Data!A1797</f>
        <v>QLT553</v>
      </c>
      <c r="B1799" s="41" t="str">
        <f>Data!D1797</f>
        <v>Vehicle, Diesel, Frontera Energy Col 2679</v>
      </c>
      <c r="C1799" s="41">
        <f>Data!F1797</f>
        <v>0</v>
      </c>
      <c r="D1799" s="41">
        <f>Data!G1797</f>
        <v>0</v>
      </c>
      <c r="E1799" s="41">
        <f>Data!H1797</f>
        <v>0</v>
      </c>
      <c r="F1799" s="41">
        <f>Data!K1797</f>
        <v>0</v>
      </c>
      <c r="G1799" s="33" t="str">
        <f>Data!M1797</f>
        <v>Uso del cinturón de seguridad</v>
      </c>
      <c r="H1799" s="41" t="str">
        <f>Data!P1797</f>
        <v>ECOPETROL RUBIALES- Quifa - CAÑO SUR, Centralizado de combustible Quifa: Vía Sin Nombre, Puerto Gaitán, Meta, Colombia</v>
      </c>
      <c r="I1799" s="42" t="str">
        <f>Data!Q1797</f>
        <v>Cliente, Vel Max 40 Km/h, Vel Max 10 Km/h</v>
      </c>
      <c r="J1799" s="43">
        <f>Data!S1797</f>
        <v>46174.719283854167</v>
      </c>
      <c r="K1799" s="44">
        <f>Data!S1797</f>
        <v>46174.719283854167</v>
      </c>
      <c r="L1799" s="45">
        <f>Data!T1797</f>
        <v>1.3170138888888888E-4</v>
      </c>
      <c r="M1799" s="46">
        <f>Data!U1797</f>
        <v>4.4947393238544464E-2</v>
      </c>
      <c r="N1799" s="46" t="str">
        <f>CONCATENATE(Data!W1797," (",Data!V1797,")")</f>
        <v>Uso del cinturón de seguridad (Velocidad máxima: 16 kmh Cinturón de seguridad del conductor (1. Desabrochado): 1.00)</v>
      </c>
      <c r="O1799" s="42" t="str">
        <f>IF(Data!V1797&lt;&gt;"",N1799,Data!W1797)</f>
        <v>Uso del cinturón de seguridad (Velocidad máxima: 16 kmh Cinturón de seguridad del conductor (1. Desabrochado): 1.00)</v>
      </c>
      <c r="P1799" s="47" t="str">
        <f>Data!X1797</f>
        <v>Válido</v>
      </c>
    </row>
    <row r="1800" spans="1:16">
      <c r="A1800" s="41" t="str">
        <f>Data!A1798</f>
        <v>QLT553</v>
      </c>
      <c r="B1800" s="41" t="str">
        <f>Data!D1798</f>
        <v>Vehicle, Diesel, Frontera Energy Col 2679</v>
      </c>
      <c r="C1800" s="41">
        <f>Data!F1798</f>
        <v>0</v>
      </c>
      <c r="D1800" s="41">
        <f>Data!G1798</f>
        <v>0</v>
      </c>
      <c r="E1800" s="41">
        <f>Data!H1798</f>
        <v>0</v>
      </c>
      <c r="F1800" s="41">
        <f>Data!K1798</f>
        <v>0</v>
      </c>
      <c r="G1800" s="33" t="str">
        <f>Data!M1798</f>
        <v>Exceso Velocidad 10 Km/h</v>
      </c>
      <c r="H1800" s="41" t="str">
        <f>Data!P1798</f>
        <v>ECOPETROL RUBIALES- Quifa - CAÑO SUR, Centralizado de combustible Quifa: Vía Sin Nombre, Puerto Gaitán, Meta, Colombia</v>
      </c>
      <c r="I1800" s="42" t="str">
        <f>Data!Q1798</f>
        <v>Cliente, Vel Max 40 Km/h, Vel Max 10 Km/h</v>
      </c>
      <c r="J1800" s="43">
        <f>Data!S1798</f>
        <v>46174.719283854167</v>
      </c>
      <c r="K1800" s="44">
        <f>Data!S1798</f>
        <v>46174.719283854167</v>
      </c>
      <c r="L1800" s="45">
        <f>Data!T1798</f>
        <v>1.1635416666666666E-4</v>
      </c>
      <c r="M1800" s="46">
        <f>Data!U1798</f>
        <v>3.9800271391868591E-2</v>
      </c>
      <c r="N1800" s="46" t="str">
        <f>CONCATENATE(Data!W1798," (",Data!V1798,")")</f>
        <v>Exceso Velocidad 10 Km/h (Velocidad máxima: 15 kmh)</v>
      </c>
      <c r="O1800" s="42" t="str">
        <f>IF(Data!V1798&lt;&gt;"",N1800,Data!W1798)</f>
        <v>Exceso Velocidad 10 Km/h (Velocidad máxima: 15 kmh)</v>
      </c>
      <c r="P1800" s="47" t="str">
        <f>Data!X1798</f>
        <v>Válido</v>
      </c>
    </row>
    <row r="1801" spans="1:16">
      <c r="A1801" s="41" t="str">
        <f>Data!A1799</f>
        <v>QLT553</v>
      </c>
      <c r="B1801" s="41" t="str">
        <f>Data!D1799</f>
        <v>Vehicle, Diesel, Frontera Energy Col 2679</v>
      </c>
      <c r="C1801" s="41">
        <f>Data!F1799</f>
        <v>0</v>
      </c>
      <c r="D1801" s="41">
        <f>Data!G1799</f>
        <v>0</v>
      </c>
      <c r="E1801" s="41">
        <f>Data!H1799</f>
        <v>0</v>
      </c>
      <c r="F1801" s="41">
        <f>Data!K1799</f>
        <v>0</v>
      </c>
      <c r="G1801" s="33" t="str">
        <f>Data!M1799</f>
        <v>Exceso de velocidad (nuevo)</v>
      </c>
      <c r="H1801" s="41" t="str">
        <f>Data!P1799</f>
        <v>ECOPETROL RUBIALES- Quifa - CAÑO SUR: Puerto Gaitan - Rubiales, Puerto Gaitán, Meta, Colombia</v>
      </c>
      <c r="I1801" s="42" t="str">
        <f>Data!Q1799</f>
        <v>Cliente, Vel Max 40 Km/h</v>
      </c>
      <c r="J1801" s="43">
        <f>Data!S1799</f>
        <v>46174.719456018516</v>
      </c>
      <c r="K1801" s="44">
        <f>Data!S1799</f>
        <v>46174.719456018516</v>
      </c>
      <c r="L1801" s="45">
        <f>Data!T1799</f>
        <v>4.861111111111111E-4</v>
      </c>
      <c r="M1801" s="46">
        <f>Data!U1799</f>
        <v>0.29617038369178772</v>
      </c>
      <c r="N1801" s="46" t="str">
        <f>CONCATENATE(Data!W1799," (",Data!V1799,")")</f>
        <v>Exceso de velocidad (nuevo) (Velocidad máxima: 29 kmh (Velocidad máxima en carretera: 7 kmh))</v>
      </c>
      <c r="O1801" s="42" t="str">
        <f>IF(Data!V1799&lt;&gt;"",N1801,Data!W1799)</f>
        <v>Exceso de velocidad (nuevo) (Velocidad máxima: 29 kmh (Velocidad máxima en carretera: 7 kmh))</v>
      </c>
      <c r="P1801" s="47" t="str">
        <f>Data!X1799</f>
        <v>Válido</v>
      </c>
    </row>
    <row r="1802" spans="1:16">
      <c r="A1802" s="41" t="str">
        <f>Data!A1800</f>
        <v>QLT553</v>
      </c>
      <c r="B1802" s="41" t="str">
        <f>Data!D1800</f>
        <v>Vehicle, Diesel, Frontera Energy Col 2679</v>
      </c>
      <c r="C1802" s="41">
        <f>Data!F1800</f>
        <v>0</v>
      </c>
      <c r="D1802" s="41">
        <f>Data!G1800</f>
        <v>0</v>
      </c>
      <c r="E1802" s="41">
        <f>Data!H1800</f>
        <v>0</v>
      </c>
      <c r="F1802" s="41">
        <f>Data!K1800</f>
        <v>0</v>
      </c>
      <c r="G1802" s="33" t="str">
        <f>Data!M1800</f>
        <v>Exceso Velocidad 10 Km/h</v>
      </c>
      <c r="H1802" s="41" t="str">
        <f>Data!P1800</f>
        <v>ECOPETROL RUBIALES- Quifa - CAÑO SUR, Puerto Triunfo - Estacion Policia, PUESTRO CONTROL QUIFA: Puerto Gaitan - Rubiales, Puerto Gaitán, Meta, Colombia</v>
      </c>
      <c r="I1802" s="42" t="str">
        <f>Data!Q1800</f>
        <v>Cliente, Vel Max 40 Km/h, Vel Max 30 Km/h, Vel Max 10 Km/h</v>
      </c>
      <c r="J1802" s="43">
        <f>Data!S1800</f>
        <v>46174.720137997683</v>
      </c>
      <c r="K1802" s="44">
        <f>Data!S1800</f>
        <v>46174.720137997683</v>
      </c>
      <c r="L1802" s="45">
        <f>Data!T1800</f>
        <v>2.688425925925926E-4</v>
      </c>
      <c r="M1802" s="46">
        <f>Data!U1800</f>
        <v>0.1839371919631958</v>
      </c>
      <c r="N1802" s="46" t="str">
        <f>CONCATENATE(Data!W1800," (",Data!V1800,")")</f>
        <v>Exceso Velocidad 10 Km/h (Velocidad máxima: 31 kmh)</v>
      </c>
      <c r="O1802" s="42" t="str">
        <f>IF(Data!V1800&lt;&gt;"",N1802,Data!W1800)</f>
        <v>Exceso Velocidad 10 Km/h (Velocidad máxima: 31 kmh)</v>
      </c>
      <c r="P1802" s="47" t="str">
        <f>Data!X1800</f>
        <v>Válido</v>
      </c>
    </row>
    <row r="1803" spans="1:16">
      <c r="A1803" s="41" t="str">
        <f>Data!A1801</f>
        <v>QLT553</v>
      </c>
      <c r="B1803" s="41" t="str">
        <f>Data!D1801</f>
        <v>Vehicle, Diesel, Frontera Energy Col 2679</v>
      </c>
      <c r="C1803" s="41">
        <f>Data!F1801</f>
        <v>0</v>
      </c>
      <c r="D1803" s="41">
        <f>Data!G1801</f>
        <v>0</v>
      </c>
      <c r="E1803" s="41">
        <f>Data!H1801</f>
        <v>0</v>
      </c>
      <c r="F1803" s="41">
        <f>Data!K1801</f>
        <v>0</v>
      </c>
      <c r="G1803" s="33" t="str">
        <f>Data!M1801</f>
        <v>Exceso Velocidad 30 Km/h</v>
      </c>
      <c r="H1803" s="41" t="str">
        <f>Data!P1801</f>
        <v>ECOPETROL RUBIALES- Quifa - CAÑO SUR, Puerto Triunfo - Estacion Policia, PUESTRO CONTROL QUIFA: Puerto Gaitan - Rubiales, Puerto Gaitán, Meta, Colombia</v>
      </c>
      <c r="I1803" s="42" t="str">
        <f>Data!Q1801</f>
        <v>Cliente, Vel Max 40 Km/h, Vel Max 30 Km/h, Vel Max 10 Km/h</v>
      </c>
      <c r="J1803" s="43">
        <f>Data!S1801</f>
        <v>46174.720339502317</v>
      </c>
      <c r="K1803" s="44">
        <f>Data!S1801</f>
        <v>46174.720339502317</v>
      </c>
      <c r="L1803" s="45">
        <f>Data!T1801</f>
        <v>9.7997685185185191E-5</v>
      </c>
      <c r="M1803" s="46">
        <f>Data!U1801</f>
        <v>6.8269290030002594E-2</v>
      </c>
      <c r="N1803" s="46" t="str">
        <f>CONCATENATE(Data!W1801," (",Data!V1801,")")</f>
        <v>Exceso Velocidad 30 Km/h (Velocidad máxima: 31 kmh)</v>
      </c>
      <c r="O1803" s="42" t="str">
        <f>IF(Data!V1801&lt;&gt;"",N1803,Data!W1801)</f>
        <v>Exceso Velocidad 30 Km/h (Velocidad máxima: 31 kmh)</v>
      </c>
      <c r="P1803" s="47" t="str">
        <f>Data!X1801</f>
        <v>Válido</v>
      </c>
    </row>
    <row r="1804" spans="1:16">
      <c r="A1804" s="41" t="str">
        <f>Data!A1802</f>
        <v>QLT553</v>
      </c>
      <c r="B1804" s="41" t="str">
        <f>Data!D1802</f>
        <v>Vehicle, Diesel, Frontera Energy Col 2679</v>
      </c>
      <c r="C1804" s="41">
        <f>Data!F1802</f>
        <v>0</v>
      </c>
      <c r="D1804" s="41">
        <f>Data!G1802</f>
        <v>0</v>
      </c>
      <c r="E1804" s="41">
        <f>Data!H1802</f>
        <v>0</v>
      </c>
      <c r="F1804" s="41">
        <f>Data!K1802</f>
        <v>0</v>
      </c>
      <c r="G1804" s="33" t="str">
        <f>Data!M1802</f>
        <v>Exceso Velocidad 30 Km/h</v>
      </c>
      <c r="H1804" s="41" t="str">
        <f>Data!P1802</f>
        <v>ECOPETROL RUBIALES- Quifa - CAÑO SUR, Puerto Triunfo - Estacion Policia: Puerto Gaitan - Rubiales, Puerto Gaitán, Meta, Colombia</v>
      </c>
      <c r="I1804" s="42" t="str">
        <f>Data!Q1802</f>
        <v>Cliente, Vel Max 40 Km/h, Vel Max 30 Km/h</v>
      </c>
      <c r="J1804" s="43">
        <f>Data!S1802</f>
        <v>46174.720763888887</v>
      </c>
      <c r="K1804" s="44">
        <f>Data!S1802</f>
        <v>46174.720763888887</v>
      </c>
      <c r="L1804" s="45">
        <f>Data!T1802</f>
        <v>1.8353009259259258E-4</v>
      </c>
      <c r="M1804" s="46">
        <f>Data!U1802</f>
        <v>0.13888730108737946</v>
      </c>
      <c r="N1804" s="46" t="str">
        <f>CONCATENATE(Data!W1802," (",Data!V1802,")")</f>
        <v>Exceso Velocidad 30 Km/h (Velocidad máxima: 33 kmh)</v>
      </c>
      <c r="O1804" s="42" t="str">
        <f>IF(Data!V1802&lt;&gt;"",N1804,Data!W1802)</f>
        <v>Exceso Velocidad 30 Km/h (Velocidad máxima: 33 kmh)</v>
      </c>
      <c r="P1804" s="47" t="str">
        <f>Data!X1802</f>
        <v>Válido</v>
      </c>
    </row>
    <row r="1805" spans="1:16">
      <c r="A1805" s="41" t="str">
        <f>Data!A1803</f>
        <v>QLT553</v>
      </c>
      <c r="B1805" s="41" t="str">
        <f>Data!D1803</f>
        <v>Vehicle, Diesel, Frontera Energy Col 2679</v>
      </c>
      <c r="C1805" s="41">
        <f>Data!F1803</f>
        <v>0</v>
      </c>
      <c r="D1805" s="41">
        <f>Data!G1803</f>
        <v>0</v>
      </c>
      <c r="E1805" s="41">
        <f>Data!H1803</f>
        <v>0</v>
      </c>
      <c r="F1805" s="41">
        <f>Data!K1803</f>
        <v>0</v>
      </c>
      <c r="G1805" s="33" t="str">
        <f>Data!M1803</f>
        <v>Exceso Velocidad 30 Km/h</v>
      </c>
      <c r="H1805" s="41" t="str">
        <f>Data!P1803</f>
        <v>ECOPETROL RUBIALES- Quifa - CAÑO SUR, Puerto Triunfo - Estacion Policia: Puerto Gaitan - Rubiales, Puerto Gaitán, Meta, Colombia</v>
      </c>
      <c r="I1805" s="42" t="str">
        <f>Data!Q1803</f>
        <v>Cliente, Vel Max 40 Km/h, Vel Max 30 Km/h</v>
      </c>
      <c r="J1805" s="43">
        <f>Data!S1803</f>
        <v>46174.721056550923</v>
      </c>
      <c r="K1805" s="44">
        <f>Data!S1803</f>
        <v>46174.721056550923</v>
      </c>
      <c r="L1805" s="45">
        <f>Data!T1803</f>
        <v>2.3692129629629631E-5</v>
      </c>
      <c r="M1805" s="46">
        <f>Data!U1803</f>
        <v>1.6704956069588661E-2</v>
      </c>
      <c r="N1805" s="46" t="str">
        <f>CONCATENATE(Data!W1803," (",Data!V1803,")")</f>
        <v>Exceso Velocidad 30 Km/h (Velocidad máxima: 31 kmh)</v>
      </c>
      <c r="O1805" s="42" t="str">
        <f>IF(Data!V1803&lt;&gt;"",N1805,Data!W1803)</f>
        <v>Exceso Velocidad 30 Km/h (Velocidad máxima: 31 kmh)</v>
      </c>
      <c r="P1805" s="47" t="str">
        <f>Data!X1803</f>
        <v>Válido</v>
      </c>
    </row>
    <row r="1806" spans="1:16">
      <c r="A1806" s="41" t="str">
        <f>Data!A1804</f>
        <v>QLT553</v>
      </c>
      <c r="B1806" s="41" t="str">
        <f>Data!D1804</f>
        <v>Vehicle, Diesel, Frontera Energy Col 2679</v>
      </c>
      <c r="C1806" s="41">
        <f>Data!F1804</f>
        <v>0</v>
      </c>
      <c r="D1806" s="41">
        <f>Data!G1804</f>
        <v>0</v>
      </c>
      <c r="E1806" s="41">
        <f>Data!H1804</f>
        <v>0</v>
      </c>
      <c r="F1806" s="41">
        <f>Data!K1804</f>
        <v>0</v>
      </c>
      <c r="G1806" s="33" t="str">
        <f>Data!M1804</f>
        <v>Exceso Velocidad 10 Km/h</v>
      </c>
      <c r="H1806" s="41" t="str">
        <f>Data!P1804</f>
        <v>ECOPETROL RUBIALES- Quifa - CAÑO SUR, Puerto Triunfo - Estacion Policia, PUESTRO CONTROL QUIFA: Puerto Gaitan - Rubiales, Puerto Gaitán, Meta, Colombia</v>
      </c>
      <c r="I1806" s="42" t="str">
        <f>Data!Q1804</f>
        <v>Cliente, Vel Max 40 Km/h, Vel Max 30 Km/h, Vel Max 10 Km/h</v>
      </c>
      <c r="J1806" s="43">
        <f>Data!S1804</f>
        <v>46174.726101354165</v>
      </c>
      <c r="K1806" s="44">
        <f>Data!S1804</f>
        <v>46174.726101354165</v>
      </c>
      <c r="L1806" s="45">
        <f>Data!T1804</f>
        <v>3.4900462962962961E-4</v>
      </c>
      <c r="M1806" s="46">
        <f>Data!U1804</f>
        <v>0.1845305860042572</v>
      </c>
      <c r="N1806" s="46" t="str">
        <f>CONCATENATE(Data!W1804," (",Data!V1804,")")</f>
        <v>Exceso Velocidad 10 Km/h (Velocidad máxima: 26 kmh)</v>
      </c>
      <c r="O1806" s="42" t="str">
        <f>IF(Data!V1804&lt;&gt;"",N1806,Data!W1804)</f>
        <v>Exceso Velocidad 10 Km/h (Velocidad máxima: 26 kmh)</v>
      </c>
      <c r="P1806" s="47" t="str">
        <f>Data!X1804</f>
        <v>Válido</v>
      </c>
    </row>
    <row r="1807" spans="1:16">
      <c r="A1807" s="41" t="str">
        <f>Data!A1805</f>
        <v>QLT553</v>
      </c>
      <c r="B1807" s="41" t="str">
        <f>Data!D1805</f>
        <v>Vehicle, Diesel, Frontera Energy Col 2679</v>
      </c>
      <c r="C1807" s="41">
        <f>Data!F1805</f>
        <v>0</v>
      </c>
      <c r="D1807" s="41">
        <f>Data!G1805</f>
        <v>0</v>
      </c>
      <c r="E1807" s="41">
        <f>Data!H1805</f>
        <v>0</v>
      </c>
      <c r="F1807" s="41">
        <f>Data!K1805</f>
        <v>0</v>
      </c>
      <c r="G1807" s="33" t="str">
        <f>Data!M1805</f>
        <v>Exceso Velocidad 10 Km/h</v>
      </c>
      <c r="H1807" s="41" t="str">
        <f>Data!P1805</f>
        <v>CAMPAMENTO QUIFA, ECOPETROL RUBIALES- Quifa - CAÑO SUR, Puerto Gaitan - Rubiales, Puerto Gaitán, Meta, Colombia: Ent. CAMPAMENTO, Puerto Gaitán, Meta, Colombia</v>
      </c>
      <c r="I1807" s="42" t="str">
        <f>Data!Q1805</f>
        <v>Vel Max 10 Km/h, Cliente, Vel Max 40 Km/h, Centro de servicios del proveedor</v>
      </c>
      <c r="J1807" s="43">
        <f>Data!S1805</f>
        <v>46174.728914571759</v>
      </c>
      <c r="K1807" s="44">
        <f>Data!S1805</f>
        <v>46174.728914571759</v>
      </c>
      <c r="L1807" s="45">
        <f>Data!T1805</f>
        <v>2.0613425925925925E-5</v>
      </c>
      <c r="M1807" s="46">
        <f>Data!U1805</f>
        <v>4.910551942884922E-3</v>
      </c>
      <c r="N1807" s="46" t="str">
        <f>CONCATENATE(Data!W1805," (",Data!V1805,")")</f>
        <v>Exceso Velocidad 10 Km/h (Velocidad máxima: 13 kmh)</v>
      </c>
      <c r="O1807" s="42" t="str">
        <f>IF(Data!V1805&lt;&gt;"",N1807,Data!W1805)</f>
        <v>Exceso Velocidad 10 Km/h (Velocidad máxima: 13 kmh)</v>
      </c>
      <c r="P1807" s="47" t="str">
        <f>Data!X1805</f>
        <v>Válido</v>
      </c>
    </row>
    <row r="1808" spans="1:16">
      <c r="A1808" s="41" t="str">
        <f>Data!A1806</f>
        <v>QLT553</v>
      </c>
      <c r="B1808" s="41" t="str">
        <f>Data!D1806</f>
        <v>Vehicle, Diesel, Frontera Energy Col 2679</v>
      </c>
      <c r="C1808" s="41">
        <f>Data!F1806</f>
        <v>0</v>
      </c>
      <c r="D1808" s="41">
        <f>Data!G1806</f>
        <v>0</v>
      </c>
      <c r="E1808" s="41">
        <f>Data!H1806</f>
        <v>0</v>
      </c>
      <c r="F1808" s="41">
        <f>Data!K1806</f>
        <v>0</v>
      </c>
      <c r="G1808" s="33" t="str">
        <f>Data!M1806</f>
        <v>Exceso Velocidad 10 Km/h</v>
      </c>
      <c r="H1808" s="41" t="str">
        <f>Data!P1806</f>
        <v>CAMPAMENTO QUIFA, ECOPETROL RUBIALES- Quifa - CAÑO SUR, Puerto Gaitan - Rubiales, Puerto Gaitán, Meta, Colombia, Campamento Quifa - CMA: Ent. CAMPAMENTO, Puerto Gaitán, Meta, Colombia</v>
      </c>
      <c r="I1808" s="42" t="str">
        <f>Data!Q1806</f>
        <v>Vel Max 10 Km/h, Cliente, Vel Max 40 Km/h, Centro de servicios del proveedor</v>
      </c>
      <c r="J1808" s="43">
        <f>Data!S1806</f>
        <v>46174.729523148148</v>
      </c>
      <c r="K1808" s="44">
        <f>Data!S1806</f>
        <v>46174.729523148148</v>
      </c>
      <c r="L1808" s="45">
        <f>Data!T1806</f>
        <v>1.1309027777777778E-4</v>
      </c>
      <c r="M1808" s="46">
        <f>Data!U1806</f>
        <v>2.6162400841712952E-2</v>
      </c>
      <c r="N1808" s="46" t="str">
        <f>CONCATENATE(Data!W1806," (",Data!V1806,")")</f>
        <v>Exceso Velocidad 10 Km/h (Velocidad máxima: 12 kmh)</v>
      </c>
      <c r="O1808" s="42" t="str">
        <f>IF(Data!V1806&lt;&gt;"",N1808,Data!W1806)</f>
        <v>Exceso Velocidad 10 Km/h (Velocidad máxima: 12 kmh)</v>
      </c>
      <c r="P1808" s="47" t="str">
        <f>Data!X1806</f>
        <v>Válido</v>
      </c>
    </row>
    <row r="1809" spans="1:16">
      <c r="A1809" s="41" t="str">
        <f>Data!A1807</f>
        <v>QLT553</v>
      </c>
      <c r="B1809" s="41" t="str">
        <f>Data!D1807</f>
        <v>Vehicle, Diesel, Frontera Energy Col 2679</v>
      </c>
      <c r="C1809" s="41">
        <f>Data!F1807</f>
        <v>0</v>
      </c>
      <c r="D1809" s="41">
        <f>Data!G1807</f>
        <v>0</v>
      </c>
      <c r="E1809" s="41">
        <f>Data!H1807</f>
        <v>0</v>
      </c>
      <c r="F1809" s="41">
        <f>Data!K1807</f>
        <v>0</v>
      </c>
      <c r="G1809" s="33" t="str">
        <f>Data!M1807</f>
        <v>Exceso de velocidad (nuevo)</v>
      </c>
      <c r="H1809" s="41" t="str">
        <f>Data!P1807</f>
        <v>ECOPETROL RUBIALES- Quifa - CAÑO SUR, Puerto Triunfo - Estacion Policia: Puerto Gaitan - Rubiales, Puerto Gaitán, Meta, Colombia</v>
      </c>
      <c r="I1809" s="42" t="str">
        <f>Data!Q1807</f>
        <v>Cliente, Vel Max 40 Km/h, Vel Max 30 Km/h</v>
      </c>
      <c r="J1809" s="43">
        <f>Data!S1807</f>
        <v>46174.757916666669</v>
      </c>
      <c r="K1809" s="44">
        <f>Data!S1807</f>
        <v>46174.757916666669</v>
      </c>
      <c r="L1809" s="45">
        <f>Data!T1807</f>
        <v>2.2474537037037038E-4</v>
      </c>
      <c r="M1809" s="46">
        <f>Data!U1807</f>
        <v>6.0350358486175537E-2</v>
      </c>
      <c r="N1809" s="46" t="str">
        <f>CONCATENATE(Data!W1807," (",Data!V1807,")")</f>
        <v>Exceso de velocidad (nuevo) (Velocidad máxima: 12 kmh (Velocidad máxima en carretera: 7 kmh))</v>
      </c>
      <c r="O1809" s="42" t="str">
        <f>IF(Data!V1807&lt;&gt;"",N1809,Data!W1807)</f>
        <v>Exceso de velocidad (nuevo) (Velocidad máxima: 12 kmh (Velocidad máxima en carretera: 7 kmh))</v>
      </c>
      <c r="P1809" s="47" t="str">
        <f>Data!X1807</f>
        <v>Válido</v>
      </c>
    </row>
    <row r="1810" spans="1:16">
      <c r="A1810" s="41" t="str">
        <f>Data!A1808</f>
        <v>QLT553</v>
      </c>
      <c r="B1810" s="41" t="str">
        <f>Data!D1808</f>
        <v>Vehicle, Diesel, Frontera Energy Col 2679</v>
      </c>
      <c r="C1810" s="41">
        <f>Data!F1808</f>
        <v>0</v>
      </c>
      <c r="D1810" s="41">
        <f>Data!G1808</f>
        <v>0</v>
      </c>
      <c r="E1810" s="41">
        <f>Data!H1808</f>
        <v>0</v>
      </c>
      <c r="F1810" s="41">
        <f>Data!K1808</f>
        <v>0</v>
      </c>
      <c r="G1810" s="33" t="str">
        <f>Data!M1808</f>
        <v>Exceso de velocidad (nuevo)</v>
      </c>
      <c r="H1810" s="41" t="str">
        <f>Data!P1808</f>
        <v>ECOPETROL RUBIALES- Quifa - CAÑO SUR: Puerto Gaitan - Rubiales, Puerto Gaitán, Meta, Colombia</v>
      </c>
      <c r="I1810" s="42" t="str">
        <f>Data!Q1808</f>
        <v>Cliente, Vel Max 40 Km/h</v>
      </c>
      <c r="J1810" s="43">
        <f>Data!S1808</f>
        <v>46174.758328703705</v>
      </c>
      <c r="K1810" s="44">
        <f>Data!S1808</f>
        <v>46174.758328703705</v>
      </c>
      <c r="L1810" s="45">
        <f>Data!T1808</f>
        <v>5.3703703703703704E-4</v>
      </c>
      <c r="M1810" s="46">
        <f>Data!U1808</f>
        <v>0.20608831942081451</v>
      </c>
      <c r="N1810" s="46" t="str">
        <f>CONCATENATE(Data!W1808," (",Data!V1808,")")</f>
        <v>Exceso de velocidad (nuevo) (Velocidad máxima: 18 kmh (Velocidad máxima en carretera: 7 kmh))</v>
      </c>
      <c r="O1810" s="42" t="str">
        <f>IF(Data!V1808&lt;&gt;"",N1810,Data!W1808)</f>
        <v>Exceso de velocidad (nuevo) (Velocidad máxima: 18 kmh (Velocidad máxima en carretera: 7 kmh))</v>
      </c>
      <c r="P1810" s="47" t="str">
        <f>Data!X1808</f>
        <v>Válido</v>
      </c>
    </row>
    <row r="1811" spans="1:16">
      <c r="A1811" s="41" t="str">
        <f>Data!A1809</f>
        <v>QLT553</v>
      </c>
      <c r="B1811" s="41" t="str">
        <f>Data!D1809</f>
        <v>Vehicle, Diesel, Frontera Energy Col 2679</v>
      </c>
      <c r="C1811" s="41">
        <f>Data!F1809</f>
        <v>0</v>
      </c>
      <c r="D1811" s="41">
        <f>Data!G1809</f>
        <v>0</v>
      </c>
      <c r="E1811" s="41">
        <f>Data!H1809</f>
        <v>0</v>
      </c>
      <c r="F1811" s="41">
        <f>Data!K1809</f>
        <v>0</v>
      </c>
      <c r="G1811" s="33" t="str">
        <f>Data!M1809</f>
        <v>Exceso Velocidad 10 Km/h</v>
      </c>
      <c r="H1811" s="41" t="str">
        <f>Data!P1809</f>
        <v>ECOPETROL RUBIALES- Quifa - CAÑO SUR, Centralizado de combustible Quifa: Vía Sin Nombre, Puerto Gaitán, Meta, Colombia</v>
      </c>
      <c r="I1811" s="42" t="str">
        <f>Data!Q1809</f>
        <v>Cliente, Vel Max 40 Km/h, Vel Max 10 Km/h</v>
      </c>
      <c r="J1811" s="43">
        <f>Data!S1809</f>
        <v>46174.759035798612</v>
      </c>
      <c r="K1811" s="44">
        <f>Data!S1809</f>
        <v>46174.759035798612</v>
      </c>
      <c r="L1811" s="45">
        <f>Data!T1809</f>
        <v>2.003125E-4</v>
      </c>
      <c r="M1811" s="46">
        <f>Data!U1809</f>
        <v>5.3714968264102936E-2</v>
      </c>
      <c r="N1811" s="46" t="str">
        <f>CONCATENATE(Data!W1809," (",Data!V1809,")")</f>
        <v>Exceso Velocidad 10 Km/h (Velocidad máxima: 13 kmh)</v>
      </c>
      <c r="O1811" s="42" t="str">
        <f>IF(Data!V1809&lt;&gt;"",N1811,Data!W1809)</f>
        <v>Exceso Velocidad 10 Km/h (Velocidad máxima: 13 kmh)</v>
      </c>
      <c r="P1811" s="47" t="str">
        <f>Data!X1809</f>
        <v>Válido</v>
      </c>
    </row>
    <row r="1812" spans="1:16">
      <c r="A1812" s="41" t="str">
        <f>Data!A1810</f>
        <v>QLT553</v>
      </c>
      <c r="B1812" s="41" t="str">
        <f>Data!D1810</f>
        <v>Vehicle, Diesel, Frontera Energy Col 2679</v>
      </c>
      <c r="C1812" s="41">
        <f>Data!F1810</f>
        <v>0</v>
      </c>
      <c r="D1812" s="41">
        <f>Data!G1810</f>
        <v>0</v>
      </c>
      <c r="E1812" s="41">
        <f>Data!H1810</f>
        <v>0</v>
      </c>
      <c r="F1812" s="41">
        <f>Data!K1810</f>
        <v>0</v>
      </c>
      <c r="G1812" s="33" t="str">
        <f>Data!M1810</f>
        <v>Exceso Velocidad 10 Km/h</v>
      </c>
      <c r="H1812" s="41" t="str">
        <f>Data!P1810</f>
        <v>ECOPETROL RUBIALES- Quifa - CAÑO SUR, Centralizado de combustible Quifa: Vía Sin Nombre, Puerto Gaitán, Meta, Colombia</v>
      </c>
      <c r="I1812" s="42" t="str">
        <f>Data!Q1810</f>
        <v>Cliente, Vel Max 40 Km/h, Vel Max 10 Km/h</v>
      </c>
      <c r="J1812" s="43">
        <f>Data!S1810</f>
        <v>46174.759236111109</v>
      </c>
      <c r="K1812" s="44">
        <f>Data!S1810</f>
        <v>46174.759236111109</v>
      </c>
      <c r="L1812" s="45">
        <f>Data!T1810</f>
        <v>3.0960648148148151E-4</v>
      </c>
      <c r="M1812" s="46">
        <f>Data!U1810</f>
        <v>7.651451975107193E-2</v>
      </c>
      <c r="N1812" s="46" t="str">
        <f>CONCATENATE(Data!W1810," (",Data!V1810,")")</f>
        <v>Exceso Velocidad 10 Km/h (Velocidad máxima: 11 kmh)</v>
      </c>
      <c r="O1812" s="42" t="str">
        <f>IF(Data!V1810&lt;&gt;"",N1812,Data!W1810)</f>
        <v>Exceso Velocidad 10 Km/h (Velocidad máxima: 11 kmh)</v>
      </c>
      <c r="P1812" s="47" t="str">
        <f>Data!X1810</f>
        <v>Válido</v>
      </c>
    </row>
    <row r="1813" spans="1:16">
      <c r="A1813" s="41" t="str">
        <f>Data!A1811</f>
        <v>QLT553</v>
      </c>
      <c r="B1813" s="41" t="str">
        <f>Data!D1811</f>
        <v>Vehicle, Diesel, Frontera Energy Col 2679</v>
      </c>
      <c r="C1813" s="41">
        <f>Data!F1811</f>
        <v>0</v>
      </c>
      <c r="D1813" s="41">
        <f>Data!G1811</f>
        <v>0</v>
      </c>
      <c r="E1813" s="41">
        <f>Data!H1811</f>
        <v>0</v>
      </c>
      <c r="F1813" s="41">
        <f>Data!K1811</f>
        <v>0</v>
      </c>
      <c r="G1813" s="33" t="str">
        <f>Data!M1811</f>
        <v>Exceso Velocidad 10 Km/h</v>
      </c>
      <c r="H1813" s="41" t="str">
        <f>Data!P1811</f>
        <v>ECOPETROL RUBIALES- Quifa - CAÑO SUR, Centralizado de combustible Quifa: Vía Sin Nombre, Puerto Gaitán, Meta, Colombia</v>
      </c>
      <c r="I1813" s="42" t="str">
        <f>Data!Q1811</f>
        <v>Cliente, Vel Max 40 Km/h, Vel Max 10 Km/h</v>
      </c>
      <c r="J1813" s="43">
        <f>Data!S1811</f>
        <v>46174.831925925922</v>
      </c>
      <c r="K1813" s="44">
        <f>Data!S1811</f>
        <v>46174.831925925922</v>
      </c>
      <c r="L1813" s="45">
        <f>Data!T1811</f>
        <v>1.0798611111111111E-5</v>
      </c>
      <c r="M1813" s="46">
        <f>Data!U1811</f>
        <v>2.3180046118795872E-3</v>
      </c>
      <c r="N1813" s="46" t="str">
        <f>CONCATENATE(Data!W1811," (",Data!V1811,")")</f>
        <v>Exceso Velocidad 10 Km/h (Velocidad máxima: 11 kmh)</v>
      </c>
      <c r="O1813" s="42" t="str">
        <f>IF(Data!V1811&lt;&gt;"",N1813,Data!W1811)</f>
        <v>Exceso Velocidad 10 Km/h (Velocidad máxima: 11 kmh)</v>
      </c>
      <c r="P1813" s="47" t="str">
        <f>Data!X1811</f>
        <v>Válido</v>
      </c>
    </row>
    <row r="1814" spans="1:16">
      <c r="A1814" s="41" t="str">
        <f>Data!A1812</f>
        <v>QLT553</v>
      </c>
      <c r="B1814" s="41" t="str">
        <f>Data!D1812</f>
        <v>Vehicle, Diesel, Frontera Energy Col 2679</v>
      </c>
      <c r="C1814" s="41">
        <f>Data!F1812</f>
        <v>0</v>
      </c>
      <c r="D1814" s="41">
        <f>Data!G1812</f>
        <v>0</v>
      </c>
      <c r="E1814" s="41">
        <f>Data!H1812</f>
        <v>0</v>
      </c>
      <c r="F1814" s="41">
        <f>Data!K1812</f>
        <v>0</v>
      </c>
      <c r="G1814" s="33" t="str">
        <f>Data!M1812</f>
        <v>Exceso Velocidad 10 Km/h</v>
      </c>
      <c r="H1814" s="41" t="str">
        <f>Data!P1812</f>
        <v>ECOPETROL RUBIALES- Quifa - CAÑO SUR, Centralizado de combustible Quifa: Vía Sin Nombre, Puerto Gaitán, Meta, Colombia</v>
      </c>
      <c r="I1814" s="42" t="str">
        <f>Data!Q1812</f>
        <v>Cliente, Vel Max 40 Km/h, Vel Max 10 Km/h</v>
      </c>
      <c r="J1814" s="43">
        <f>Data!S1812</f>
        <v>46174.832071759258</v>
      </c>
      <c r="K1814" s="44">
        <f>Data!S1812</f>
        <v>46174.832071759258</v>
      </c>
      <c r="L1814" s="45">
        <f>Data!T1812</f>
        <v>1.6898148148148149E-4</v>
      </c>
      <c r="M1814" s="46">
        <f>Data!U1812</f>
        <v>3.7960220128297806E-2</v>
      </c>
      <c r="N1814" s="46" t="str">
        <f>CONCATENATE(Data!W1812," (",Data!V1812,")")</f>
        <v>Exceso Velocidad 10 Km/h (Velocidad máxima: 11 kmh)</v>
      </c>
      <c r="O1814" s="42" t="str">
        <f>IF(Data!V1812&lt;&gt;"",N1814,Data!W1812)</f>
        <v>Exceso Velocidad 10 Km/h (Velocidad máxima: 11 kmh)</v>
      </c>
      <c r="P1814" s="47" t="str">
        <f>Data!X1812</f>
        <v>Válido</v>
      </c>
    </row>
    <row r="1815" spans="1:16">
      <c r="A1815" s="41" t="str">
        <f>Data!A1813</f>
        <v>QLT553</v>
      </c>
      <c r="B1815" s="41" t="str">
        <f>Data!D1813</f>
        <v>Vehicle, Diesel, Frontera Energy Col 2679</v>
      </c>
      <c r="C1815" s="41">
        <f>Data!F1813</f>
        <v>0</v>
      </c>
      <c r="D1815" s="41">
        <f>Data!G1813</f>
        <v>0</v>
      </c>
      <c r="E1815" s="41">
        <f>Data!H1813</f>
        <v>0</v>
      </c>
      <c r="F1815" s="41">
        <f>Data!K1813</f>
        <v>0</v>
      </c>
      <c r="G1815" s="33" t="str">
        <f>Data!M1813</f>
        <v>Exceso de velocidad (nuevo)</v>
      </c>
      <c r="H1815" s="41" t="str">
        <f>Data!P1813</f>
        <v>ECOPETROL RUBIALES- Quifa - CAÑO SUR: Puerto Gaitan - Rubiales, Puerto Gaitán, Meta, Colombia</v>
      </c>
      <c r="I1815" s="42" t="str">
        <f>Data!Q1813</f>
        <v>Cliente, Vel Max 40 Km/h</v>
      </c>
      <c r="J1815" s="43">
        <f>Data!S1813</f>
        <v>46174.832982766202</v>
      </c>
      <c r="K1815" s="44">
        <f>Data!S1813</f>
        <v>46174.832982766202</v>
      </c>
      <c r="L1815" s="45">
        <f>Data!T1813</f>
        <v>7.5565972222222224E-4</v>
      </c>
      <c r="M1815" s="46">
        <f>Data!U1813</f>
        <v>0.32024544477462769</v>
      </c>
      <c r="N1815" s="46" t="str">
        <f>CONCATENATE(Data!W1813," (",Data!V1813,")")</f>
        <v>Exceso de velocidad (nuevo) (Velocidad máxima: 22 kmh (Velocidad máxima en carretera: 7 kmh))</v>
      </c>
      <c r="O1815" s="42" t="str">
        <f>IF(Data!V1813&lt;&gt;"",N1815,Data!W1813)</f>
        <v>Exceso de velocidad (nuevo) (Velocidad máxima: 22 kmh (Velocidad máxima en carretera: 7 kmh))</v>
      </c>
      <c r="P1815" s="47" t="str">
        <f>Data!X1813</f>
        <v>Válido</v>
      </c>
    </row>
    <row r="1816" spans="1:16">
      <c r="A1816" s="41" t="str">
        <f>Data!A1814</f>
        <v>QLT553</v>
      </c>
      <c r="B1816" s="41" t="str">
        <f>Data!D1814</f>
        <v>Vehicle, Diesel, Frontera Energy Col 2679</v>
      </c>
      <c r="C1816" s="41">
        <f>Data!F1814</f>
        <v>0</v>
      </c>
      <c r="D1816" s="41">
        <f>Data!G1814</f>
        <v>0</v>
      </c>
      <c r="E1816" s="41">
        <f>Data!H1814</f>
        <v>0</v>
      </c>
      <c r="F1816" s="41">
        <f>Data!K1814</f>
        <v>0</v>
      </c>
      <c r="G1816" s="33" t="str">
        <f>Data!M1814</f>
        <v>Exceso Velocidad 10 Km/h</v>
      </c>
      <c r="H1816" s="41" t="str">
        <f>Data!P1814</f>
        <v>CAMPAMENTO QUIFA, ECOPETROL RUBIALES- Quifa - CAÑO SUR, Puerto Gaitan - Rubiales, Puerto Gaitán, Meta, Colombia, Puerto Triunfo - Estacion Policia: Ent. CAMPAMENTO, Puerto Gaitán, Meta, Colombia</v>
      </c>
      <c r="I1816" s="42" t="str">
        <f>Data!Q1814</f>
        <v>Vel Max 10 Km/h, Cliente, Vel Max 40 Km/h, Centro de servicios del proveedor, Vel Max 30 Km/h</v>
      </c>
      <c r="J1816" s="43">
        <f>Data!S1814</f>
        <v>46174.83563765046</v>
      </c>
      <c r="K1816" s="44">
        <f>Data!S1814</f>
        <v>46174.83563765046</v>
      </c>
      <c r="L1816" s="45">
        <f>Data!T1814</f>
        <v>3.9023148148148147E-4</v>
      </c>
      <c r="M1816" s="46">
        <f>Data!U1814</f>
        <v>0.15137162804603577</v>
      </c>
      <c r="N1816" s="46" t="str">
        <f>CONCATENATE(Data!W1814," (",Data!V1814,")")</f>
        <v>Exceso Velocidad 10 Km/h (Velocidad máxima: 20 kmh)</v>
      </c>
      <c r="O1816" s="42" t="str">
        <f>IF(Data!V1814&lt;&gt;"",N1816,Data!W1814)</f>
        <v>Exceso Velocidad 10 Km/h (Velocidad máxima: 20 kmh)</v>
      </c>
      <c r="P1816" s="47" t="str">
        <f>Data!X1814</f>
        <v>Válido</v>
      </c>
    </row>
    <row r="1817" spans="1:16">
      <c r="A1817" s="41" t="str">
        <f>Data!A1815</f>
        <v>QLT553</v>
      </c>
      <c r="B1817" s="41" t="str">
        <f>Data!D1815</f>
        <v>Vehicle, Diesel, Frontera Energy Col 2679</v>
      </c>
      <c r="C1817" s="41">
        <f>Data!F1815</f>
        <v>0</v>
      </c>
      <c r="D1817" s="41">
        <f>Data!G1815</f>
        <v>0</v>
      </c>
      <c r="E1817" s="41">
        <f>Data!H1815</f>
        <v>0</v>
      </c>
      <c r="F1817" s="41">
        <f>Data!K1815</f>
        <v>0</v>
      </c>
      <c r="G1817" s="33" t="str">
        <f>Data!M1815</f>
        <v>Tiempo en ralentí</v>
      </c>
      <c r="H1817" s="41" t="str">
        <f>Data!P1815</f>
        <v>ECOPETROL RUBIALES- Quifa - CAÑO SUR: Puerto Gaitan - Rubiales, Puerto Gaitán, Meta, Colombia</v>
      </c>
      <c r="I1817" s="42" t="str">
        <f>Data!Q1815</f>
        <v>Cliente, Vel Max 40 Km/h</v>
      </c>
      <c r="J1817" s="43">
        <f>Data!S1815</f>
        <v>46174.852743055555</v>
      </c>
      <c r="K1817" s="44">
        <f>Data!S1815</f>
        <v>46174.852743055555</v>
      </c>
      <c r="L1817" s="45">
        <f>Data!T1815</f>
        <v>1.3622685185185186E-2</v>
      </c>
      <c r="M1817" s="46">
        <f>Data!U1815</f>
        <v>0</v>
      </c>
      <c r="N1817" s="46" t="str">
        <f>CONCATENATE(Data!W1815," (",Data!V1815,")")</f>
        <v>Tiempo en ralentí (Ignición: 1.00)</v>
      </c>
      <c r="O1817" s="42" t="str">
        <f>IF(Data!V1815&lt;&gt;"",N1817,Data!W1815)</f>
        <v>Tiempo en ralentí (Ignición: 1.00)</v>
      </c>
      <c r="P1817" s="47" t="str">
        <f>Data!X1815</f>
        <v>Válido</v>
      </c>
    </row>
    <row r="1818" spans="1:16">
      <c r="A1818" s="41" t="str">
        <f>Data!A1816</f>
        <v>QLT553</v>
      </c>
      <c r="B1818" s="41" t="str">
        <f>Data!D1816</f>
        <v>Vehicle, Diesel, Frontera Energy Col 2679</v>
      </c>
      <c r="C1818" s="41">
        <f>Data!F1816</f>
        <v>0</v>
      </c>
      <c r="D1818" s="41">
        <f>Data!G1816</f>
        <v>0</v>
      </c>
      <c r="E1818" s="41">
        <f>Data!H1816</f>
        <v>0</v>
      </c>
      <c r="F1818" s="41">
        <f>Data!K1816</f>
        <v>0</v>
      </c>
      <c r="G1818" s="33" t="str">
        <f>Data!M1816</f>
        <v>Exceso Velocidad 10 Km/h</v>
      </c>
      <c r="H1818" s="41" t="str">
        <f>Data!P1816</f>
        <v>ECOPETROL RUBIALES- Quifa - CAÑO SUR, BATERIA 4: Rb 4 324 126 129 195 14 325 316 143 217 1 26 523 256 28, Puerto Gaitán, Meta, Colombia</v>
      </c>
      <c r="I1818" s="42" t="str">
        <f>Data!Q1816</f>
        <v>Cliente, Vel Max 40 Km/h, Vel Max 10 Km/h</v>
      </c>
      <c r="J1818" s="43">
        <f>Data!S1816</f>
        <v>46174.956799768617</v>
      </c>
      <c r="K1818" s="44">
        <f>Data!S1816</f>
        <v>46174.956799768617</v>
      </c>
      <c r="L1818" s="45">
        <f>Data!T1816</f>
        <v>1.9097232222222224E-4</v>
      </c>
      <c r="M1818" s="46">
        <f>Data!U1816</f>
        <v>5.2619542926549911E-2</v>
      </c>
      <c r="N1818" s="46" t="str">
        <f>CONCATENATE(Data!W1816," (",Data!V1816,")")</f>
        <v>Exceso Velocidad 10 Km/h (Velocidad máxima: 13 kmh)</v>
      </c>
      <c r="O1818" s="42" t="str">
        <f>IF(Data!V1816&lt;&gt;"",N1818,Data!W1816)</f>
        <v>Exceso Velocidad 10 Km/h (Velocidad máxima: 13 kmh)</v>
      </c>
      <c r="P1818" s="47" t="str">
        <f>Data!X1816</f>
        <v>Válido</v>
      </c>
    </row>
    <row r="1819" spans="1:16">
      <c r="A1819" s="41" t="str">
        <f>Data!A1817</f>
        <v>QLT553</v>
      </c>
      <c r="B1819" s="41" t="str">
        <f>Data!D1817</f>
        <v>Vehicle, Diesel, Frontera Energy Col 2679</v>
      </c>
      <c r="C1819" s="41">
        <f>Data!F1817</f>
        <v>0</v>
      </c>
      <c r="D1819" s="41">
        <f>Data!G1817</f>
        <v>0</v>
      </c>
      <c r="E1819" s="41">
        <f>Data!H1817</f>
        <v>0</v>
      </c>
      <c r="F1819" s="41">
        <f>Data!K1817</f>
        <v>0</v>
      </c>
      <c r="G1819" s="33" t="str">
        <f>Data!M1817</f>
        <v>Exceso Velocidad 10 Km/h</v>
      </c>
      <c r="H1819" s="41" t="str">
        <f>Data!P1817</f>
        <v>ECOPETROL RUBIALES- Quifa - CAÑO SUR, BATERIA 4: Rb 4 324 126 129 195 14 325 316 143 217 1 26 523 256 28, Puerto Gaitán, Meta, Colombia</v>
      </c>
      <c r="I1819" s="42" t="str">
        <f>Data!Q1817</f>
        <v>Cliente, Vel Max 40 Km/h, Vel Max 10 Km/h</v>
      </c>
      <c r="J1819" s="43">
        <f>Data!S1817</f>
        <v>46174.956990740742</v>
      </c>
      <c r="K1819" s="44">
        <f>Data!S1817</f>
        <v>46174.956990740742</v>
      </c>
      <c r="L1819" s="45">
        <f>Data!T1817</f>
        <v>2.6388888888888886E-4</v>
      </c>
      <c r="M1819" s="46">
        <f>Data!U1817</f>
        <v>7.5186803936958313E-2</v>
      </c>
      <c r="N1819" s="46" t="str">
        <f>CONCATENATE(Data!W1817," (",Data!V1817,")")</f>
        <v>Exceso Velocidad 10 Km/h (Velocidad máxima: 13 kmh)</v>
      </c>
      <c r="O1819" s="42" t="str">
        <f>IF(Data!V1817&lt;&gt;"",N1819,Data!W1817)</f>
        <v>Exceso Velocidad 10 Km/h (Velocidad máxima: 13 kmh)</v>
      </c>
      <c r="P1819" s="47" t="str">
        <f>Data!X1817</f>
        <v>Válido</v>
      </c>
    </row>
    <row r="1820" spans="1:16">
      <c r="A1820" s="41" t="str">
        <f>Data!A1818</f>
        <v>QLT553</v>
      </c>
      <c r="B1820" s="41" t="str">
        <f>Data!D1818</f>
        <v>Vehicle, Diesel, Frontera Energy Col 2679</v>
      </c>
      <c r="C1820" s="41">
        <f>Data!F1818</f>
        <v>0</v>
      </c>
      <c r="D1820" s="41">
        <f>Data!G1818</f>
        <v>0</v>
      </c>
      <c r="E1820" s="41">
        <f>Data!H1818</f>
        <v>0</v>
      </c>
      <c r="F1820" s="41">
        <f>Data!K1818</f>
        <v>0</v>
      </c>
      <c r="G1820" s="33" t="str">
        <f>Data!M1818</f>
        <v>Exceso Velocidad 10 Km/h</v>
      </c>
      <c r="H1820" s="41" t="str">
        <f>Data!P1818</f>
        <v>ECOPETROL RUBIALES- Quifa - CAÑO SUR, BATERIA 4: Rb 4 324 126 129 195 14 325 316 143 217 1 26 523 256 28, Meta, 502057, Colombia</v>
      </c>
      <c r="I1820" s="42" t="str">
        <f>Data!Q1818</f>
        <v>Cliente, Vel Max 40 Km/h, Vel Max 10 Km/h</v>
      </c>
      <c r="J1820" s="43">
        <f>Data!S1818</f>
        <v>46174.95752314815</v>
      </c>
      <c r="K1820" s="44">
        <f>Data!S1818</f>
        <v>46174.95752314815</v>
      </c>
      <c r="L1820" s="45">
        <f>Data!T1818</f>
        <v>2.199074074074074E-4</v>
      </c>
      <c r="M1820" s="46">
        <f>Data!U1818</f>
        <v>5.2646968513727188E-2</v>
      </c>
      <c r="N1820" s="46" t="str">
        <f>CONCATENATE(Data!W1818," (",Data!V1818,")")</f>
        <v>Exceso Velocidad 10 Km/h (Velocidad máxima: 11 kmh)</v>
      </c>
      <c r="O1820" s="42" t="str">
        <f>IF(Data!V1818&lt;&gt;"",N1820,Data!W1818)</f>
        <v>Exceso Velocidad 10 Km/h (Velocidad máxima: 11 kmh)</v>
      </c>
      <c r="P1820" s="47" t="str">
        <f>Data!X1818</f>
        <v>Válido</v>
      </c>
    </row>
    <row r="1821" spans="1:16">
      <c r="A1821" s="41" t="str">
        <f>Data!A1819</f>
        <v>QLT553</v>
      </c>
      <c r="B1821" s="41" t="str">
        <f>Data!D1819</f>
        <v>Vehicle, Diesel, Frontera Energy Col 2679</v>
      </c>
      <c r="C1821" s="41">
        <f>Data!F1819</f>
        <v>0</v>
      </c>
      <c r="D1821" s="41">
        <f>Data!G1819</f>
        <v>0</v>
      </c>
      <c r="E1821" s="41">
        <f>Data!H1819</f>
        <v>0</v>
      </c>
      <c r="F1821" s="41">
        <f>Data!K1819</f>
        <v>0</v>
      </c>
      <c r="G1821" s="33" t="str">
        <f>Data!M1819</f>
        <v>Exceso Velocidad 10 Km/h</v>
      </c>
      <c r="H1821" s="41" t="str">
        <f>Data!P1819</f>
        <v>ECOPETROL RUBIALES- Quifa - CAÑO SUR, BATERIA 4: Rb 4 324 126 129 195 14 325 316 143 217 1 26 523 256 28, Puerto Gaitán, Meta, Colombia</v>
      </c>
      <c r="I1821" s="42" t="str">
        <f>Data!Q1819</f>
        <v>Cliente, Vel Max 40 Km/h, Vel Max 10 Km/h</v>
      </c>
      <c r="J1821" s="43">
        <f>Data!S1819</f>
        <v>46174.958431713065</v>
      </c>
      <c r="K1821" s="44">
        <f>Data!S1819</f>
        <v>46174.958431713065</v>
      </c>
      <c r="L1821" s="45">
        <f>Data!T1819</f>
        <v>1.3888888888888889E-4</v>
      </c>
      <c r="M1821" s="46">
        <f>Data!U1819</f>
        <v>3.4764420241117477E-2</v>
      </c>
      <c r="N1821" s="46" t="str">
        <f>CONCATENATE(Data!W1819," (",Data!V1819,")")</f>
        <v>Exceso Velocidad 10 Km/h (Velocidad máxima: 11 kmh)</v>
      </c>
      <c r="O1821" s="42" t="str">
        <f>IF(Data!V1819&lt;&gt;"",N1821,Data!W1819)</f>
        <v>Exceso Velocidad 10 Km/h (Velocidad máxima: 11 kmh)</v>
      </c>
      <c r="P1821" s="47" t="str">
        <f>Data!X1819</f>
        <v>Válido</v>
      </c>
    </row>
    <row r="1822" spans="1:16">
      <c r="A1822" s="41" t="str">
        <f>Data!A1820</f>
        <v>QLT553</v>
      </c>
      <c r="B1822" s="41" t="str">
        <f>Data!D1820</f>
        <v>Vehicle, Diesel, Frontera Energy Col 2679</v>
      </c>
      <c r="C1822" s="41">
        <f>Data!F1820</f>
        <v>0</v>
      </c>
      <c r="D1822" s="41">
        <f>Data!G1820</f>
        <v>0</v>
      </c>
      <c r="E1822" s="41">
        <f>Data!H1820</f>
        <v>0</v>
      </c>
      <c r="F1822" s="41">
        <f>Data!K1820</f>
        <v>0</v>
      </c>
      <c r="G1822" s="33" t="str">
        <f>Data!M1820</f>
        <v>Exceso Velocidad 10 Km/h</v>
      </c>
      <c r="H1822" s="41" t="str">
        <f>Data!P1820</f>
        <v>ECOPETROL RUBIALES- Quifa - CAÑO SUR, BATERIA 4: Rb 4 324 126 129 195 14 325 316 143 217 1 26 523 256 28, Puerto Gaitán, Meta, Colombia</v>
      </c>
      <c r="I1822" s="42" t="str">
        <f>Data!Q1820</f>
        <v>Cliente, Vel Max 40 Km/h, Vel Max 10 Km/h</v>
      </c>
      <c r="J1822" s="43">
        <f>Data!S1820</f>
        <v>46174.959089502314</v>
      </c>
      <c r="K1822" s="44">
        <f>Data!S1820</f>
        <v>46174.959089502314</v>
      </c>
      <c r="L1822" s="45">
        <f>Data!T1820</f>
        <v>2.6234953703703701E-4</v>
      </c>
      <c r="M1822" s="46">
        <f>Data!U1820</f>
        <v>6.2284190207719803E-2</v>
      </c>
      <c r="N1822" s="46" t="str">
        <f>CONCATENATE(Data!W1820," (",Data!V1820,")")</f>
        <v>Exceso Velocidad 10 Km/h (Velocidad máxima: 12 kmh)</v>
      </c>
      <c r="O1822" s="42" t="str">
        <f>IF(Data!V1820&lt;&gt;"",N1822,Data!W1820)</f>
        <v>Exceso Velocidad 10 Km/h (Velocidad máxima: 12 kmh)</v>
      </c>
      <c r="P1822" s="47" t="str">
        <f>Data!X1820</f>
        <v>Válido</v>
      </c>
    </row>
    <row r="1823" spans="1:16">
      <c r="A1823" s="41" t="str">
        <f>Data!A1821</f>
        <v>QLT553</v>
      </c>
      <c r="B1823" s="41" t="str">
        <f>Data!D1821</f>
        <v>Vehicle, Diesel, Frontera Energy Col 2679</v>
      </c>
      <c r="C1823" s="41">
        <f>Data!F1821</f>
        <v>0</v>
      </c>
      <c r="D1823" s="41">
        <f>Data!G1821</f>
        <v>0</v>
      </c>
      <c r="E1823" s="41">
        <f>Data!H1821</f>
        <v>0</v>
      </c>
      <c r="F1823" s="41">
        <f>Data!K1821</f>
        <v>0</v>
      </c>
      <c r="G1823" s="33" t="str">
        <f>Data!M1821</f>
        <v>Exceso Velocidad 10 Km/h</v>
      </c>
      <c r="H1823" s="41" t="str">
        <f>Data!P1821</f>
        <v>ECOPETROL RUBIALES- Quifa - CAÑO SUR, BATERIA 4: Rb 4 324 126 129 195 14 325 316 143 217 1 26 523 256 28, Puerto Gaitán, Meta, Colombia</v>
      </c>
      <c r="I1823" s="42" t="str">
        <f>Data!Q1821</f>
        <v>Cliente, Vel Max 40 Km/h, Vel Max 10 Km/h</v>
      </c>
      <c r="J1823" s="43">
        <f>Data!S1821</f>
        <v>46174.959351851852</v>
      </c>
      <c r="K1823" s="44">
        <f>Data!S1821</f>
        <v>46174.959351851852</v>
      </c>
      <c r="L1823" s="45">
        <f>Data!T1821</f>
        <v>7.6388888888888893E-4</v>
      </c>
      <c r="M1823" s="46">
        <f>Data!U1821</f>
        <v>0.20076324045658112</v>
      </c>
      <c r="N1823" s="46" t="str">
        <f>CONCATENATE(Data!W1821," (",Data!V1821,")")</f>
        <v>Exceso Velocidad 10 Km/h (Velocidad máxima: 12 kmh)</v>
      </c>
      <c r="O1823" s="42" t="str">
        <f>IF(Data!V1821&lt;&gt;"",N1823,Data!W1821)</f>
        <v>Exceso Velocidad 10 Km/h (Velocidad máxima: 12 kmh)</v>
      </c>
      <c r="P1823" s="47" t="str">
        <f>Data!X1821</f>
        <v>Válido</v>
      </c>
    </row>
    <row r="1824" spans="1:16">
      <c r="A1824" s="41" t="str">
        <f>Data!A1822</f>
        <v>QLT553</v>
      </c>
      <c r="B1824" s="41" t="str">
        <f>Data!D1822</f>
        <v>Vehicle, Diesel, Frontera Energy Col 2679</v>
      </c>
      <c r="C1824" s="41">
        <f>Data!F1822</f>
        <v>0</v>
      </c>
      <c r="D1824" s="41">
        <f>Data!G1822</f>
        <v>0</v>
      </c>
      <c r="E1824" s="41">
        <f>Data!H1822</f>
        <v>0</v>
      </c>
      <c r="F1824" s="41">
        <f>Data!K1822</f>
        <v>0</v>
      </c>
      <c r="G1824" s="33" t="str">
        <f>Data!M1822</f>
        <v>Exceso Velocidad 10 Km/h</v>
      </c>
      <c r="H1824" s="41" t="str">
        <f>Data!P1822</f>
        <v>ECOPETROL RUBIALES- Quifa - CAÑO SUR, BATERIA 4: Rb 4, Puerto Gaitán, Meta, Colombia</v>
      </c>
      <c r="I1824" s="42" t="str">
        <f>Data!Q1822</f>
        <v>Cliente, Vel Max 40 Km/h, Vel Max 10 Km/h</v>
      </c>
      <c r="J1824" s="43">
        <f>Data!S1822</f>
        <v>46174.960493831015</v>
      </c>
      <c r="K1824" s="44">
        <f>Data!S1822</f>
        <v>46174.960493831015</v>
      </c>
      <c r="L1824" s="45">
        <f>Data!T1822</f>
        <v>4.0431712962962963E-4</v>
      </c>
      <c r="M1824" s="46">
        <f>Data!U1822</f>
        <v>0.10719262808561325</v>
      </c>
      <c r="N1824" s="46" t="str">
        <f>CONCATENATE(Data!W1822," (",Data!V1822,")")</f>
        <v>Exceso Velocidad 10 Km/h (Velocidad máxima: 14 kmh)</v>
      </c>
      <c r="O1824" s="42" t="str">
        <f>IF(Data!V1822&lt;&gt;"",N1824,Data!W1822)</f>
        <v>Exceso Velocidad 10 Km/h (Velocidad máxima: 14 kmh)</v>
      </c>
      <c r="P1824" s="47" t="str">
        <f>Data!X1822</f>
        <v>Válido</v>
      </c>
    </row>
    <row r="1825" spans="1:16">
      <c r="A1825" s="41" t="str">
        <f>Data!A1823</f>
        <v>QLT553</v>
      </c>
      <c r="B1825" s="41" t="str">
        <f>Data!D1823</f>
        <v>Vehicle, Diesel, Frontera Energy Col 2679</v>
      </c>
      <c r="C1825" s="41">
        <f>Data!F1823</f>
        <v>0</v>
      </c>
      <c r="D1825" s="41">
        <f>Data!G1823</f>
        <v>0</v>
      </c>
      <c r="E1825" s="41">
        <f>Data!H1823</f>
        <v>0</v>
      </c>
      <c r="F1825" s="41">
        <f>Data!K1823</f>
        <v>0</v>
      </c>
      <c r="G1825" s="33" t="str">
        <f>Data!M1823</f>
        <v>Exceso Velocidad 10 Km/h</v>
      </c>
      <c r="H1825" s="41" t="str">
        <f>Data!P1823</f>
        <v>ECOPETROL RUBIALES- Quifa - CAÑO SUR, BATERIA 4: Rb 4, Puerto Gaitán, Meta, Colombia</v>
      </c>
      <c r="I1825" s="42" t="str">
        <f>Data!Q1823</f>
        <v>Cliente, Vel Max 40 Km/h, Vel Max 10 Km/h</v>
      </c>
      <c r="J1825" s="43">
        <f>Data!S1823</f>
        <v>46174.984849537039</v>
      </c>
      <c r="K1825" s="44">
        <f>Data!S1823</f>
        <v>46174.984849537039</v>
      </c>
      <c r="L1825" s="45">
        <f>Data!T1823</f>
        <v>1.1188657407407408E-4</v>
      </c>
      <c r="M1825" s="46">
        <f>Data!U1823</f>
        <v>2.4836026132106781E-2</v>
      </c>
      <c r="N1825" s="46" t="str">
        <f>CONCATENATE(Data!W1823," (",Data!V1823,")")</f>
        <v>Exceso Velocidad 10 Km/h (Velocidad máxima: 11 kmh)</v>
      </c>
      <c r="O1825" s="42" t="str">
        <f>IF(Data!V1823&lt;&gt;"",N1825,Data!W1823)</f>
        <v>Exceso Velocidad 10 Km/h (Velocidad máxima: 11 kmh)</v>
      </c>
      <c r="P1825" s="47" t="str">
        <f>Data!X1823</f>
        <v>Válido</v>
      </c>
    </row>
    <row r="1826" spans="1:16">
      <c r="A1826" s="41" t="str">
        <f>Data!A1824</f>
        <v>QLT553</v>
      </c>
      <c r="B1826" s="41" t="str">
        <f>Data!D1824</f>
        <v>Vehicle, Diesel, Frontera Energy Col 2679</v>
      </c>
      <c r="C1826" s="41">
        <f>Data!F1824</f>
        <v>0</v>
      </c>
      <c r="D1826" s="41">
        <f>Data!G1824</f>
        <v>0</v>
      </c>
      <c r="E1826" s="41">
        <f>Data!H1824</f>
        <v>0</v>
      </c>
      <c r="F1826" s="41">
        <f>Data!K1824</f>
        <v>0</v>
      </c>
      <c r="G1826" s="33" t="str">
        <f>Data!M1824</f>
        <v>Exceso Velocidad 10 Km/h</v>
      </c>
      <c r="H1826" s="41" t="str">
        <f>Data!P1824</f>
        <v>ECOPETROL RUBIALES- Quifa - CAÑO SUR, BATERIA 4: Rb 4, Puerto Gaitán, Meta, Colombia</v>
      </c>
      <c r="I1826" s="42" t="str">
        <f>Data!Q1824</f>
        <v>Cliente, Vel Max 40 Km/h, Vel Max 10 Km/h</v>
      </c>
      <c r="J1826" s="43">
        <f>Data!S1824</f>
        <v>46174.985532407409</v>
      </c>
      <c r="K1826" s="44">
        <f>Data!S1824</f>
        <v>46174.985532407409</v>
      </c>
      <c r="L1826" s="45">
        <f>Data!T1824</f>
        <v>5.9027777777777778E-4</v>
      </c>
      <c r="M1826" s="46">
        <f>Data!U1824</f>
        <v>0.17678062617778778</v>
      </c>
      <c r="N1826" s="46" t="str">
        <f>CONCATENATE(Data!W1824," (",Data!V1824,")")</f>
        <v>Exceso Velocidad 10 Km/h (Velocidad máxima: 15 kmh)</v>
      </c>
      <c r="O1826" s="42" t="str">
        <f>IF(Data!V1824&lt;&gt;"",N1826,Data!W1824)</f>
        <v>Exceso Velocidad 10 Km/h (Velocidad máxima: 15 kmh)</v>
      </c>
      <c r="P1826" s="47" t="str">
        <f>Data!X1824</f>
        <v>Válido</v>
      </c>
    </row>
    <row r="1827" spans="1:16">
      <c r="A1827" s="41" t="str">
        <f>Data!A1825</f>
        <v>QLT553</v>
      </c>
      <c r="B1827" s="41" t="str">
        <f>Data!D1825</f>
        <v>Vehicle, Diesel, Frontera Energy Col 2679</v>
      </c>
      <c r="C1827" s="41">
        <f>Data!F1825</f>
        <v>0</v>
      </c>
      <c r="D1827" s="41">
        <f>Data!G1825</f>
        <v>0</v>
      </c>
      <c r="E1827" s="41">
        <f>Data!H1825</f>
        <v>0</v>
      </c>
      <c r="F1827" s="41">
        <f>Data!K1825</f>
        <v>0</v>
      </c>
      <c r="G1827" s="33" t="str">
        <f>Data!M1825</f>
        <v>Exceso Velocidad 10 Km/h</v>
      </c>
      <c r="H1827" s="41" t="str">
        <f>Data!P1825</f>
        <v>ECOPETROL RUBIALES- Quifa - CAÑO SUR, BATERIA 4: Rb 4 324 126 129 195 14 325 316 143 217 1 26 523 256 28, Puerto Gaitán, Meta, Colombia</v>
      </c>
      <c r="I1827" s="42" t="str">
        <f>Data!Q1825</f>
        <v>Cliente, Vel Max 40 Km/h, Vel Max 10 Km/h</v>
      </c>
      <c r="J1827" s="43">
        <f>Data!S1825</f>
        <v>46174.986122685186</v>
      </c>
      <c r="K1827" s="44">
        <f>Data!S1825</f>
        <v>46174.986122685186</v>
      </c>
      <c r="L1827" s="45">
        <f>Data!T1825</f>
        <v>9.6064814814814819E-4</v>
      </c>
      <c r="M1827" s="46">
        <f>Data!U1825</f>
        <v>0.27181044220924377</v>
      </c>
      <c r="N1827" s="46" t="str">
        <f>CONCATENATE(Data!W1825," (",Data!V1825,")")</f>
        <v>Exceso Velocidad 10 Km/h (Velocidad máxima: 14 kmh)</v>
      </c>
      <c r="O1827" s="42" t="str">
        <f>IF(Data!V1825&lt;&gt;"",N1827,Data!W1825)</f>
        <v>Exceso Velocidad 10 Km/h (Velocidad máxima: 14 kmh)</v>
      </c>
      <c r="P1827" s="47" t="str">
        <f>Data!X1825</f>
        <v>Válido</v>
      </c>
    </row>
    <row r="1828" spans="1:16">
      <c r="A1828" s="41" t="str">
        <f>Data!A1826</f>
        <v>QLT553</v>
      </c>
      <c r="B1828" s="41" t="str">
        <f>Data!D1826</f>
        <v>Vehicle, Diesel, Frontera Energy Col 2679</v>
      </c>
      <c r="C1828" s="41">
        <f>Data!F1826</f>
        <v>0</v>
      </c>
      <c r="D1828" s="41">
        <f>Data!G1826</f>
        <v>0</v>
      </c>
      <c r="E1828" s="41">
        <f>Data!H1826</f>
        <v>0</v>
      </c>
      <c r="F1828" s="41">
        <f>Data!K1826</f>
        <v>0</v>
      </c>
      <c r="G1828" s="33" t="str">
        <f>Data!M1826</f>
        <v>Exceso Velocidad 10 Km/h</v>
      </c>
      <c r="H1828" s="41" t="str">
        <f>Data!P1826</f>
        <v>ECOPETROL RUBIALES- Quifa - CAÑO SUR, BATERIA 4: Rb 4 324 126 129 195 14 325 316 143 217 1 26 523 256 28, Puerto Gaitán, Meta, Colombia</v>
      </c>
      <c r="I1828" s="42" t="str">
        <f>Data!Q1826</f>
        <v>Cliente, Vel Max 40 Km/h, Vel Max 10 Km/h</v>
      </c>
      <c r="J1828" s="43">
        <f>Data!S1826</f>
        <v>46174.987479166666</v>
      </c>
      <c r="K1828" s="44">
        <f>Data!S1826</f>
        <v>46174.987479166666</v>
      </c>
      <c r="L1828" s="45">
        <f>Data!T1826</f>
        <v>1.4814814814814815E-4</v>
      </c>
      <c r="M1828" s="46">
        <f>Data!U1826</f>
        <v>3.9253376424312592E-2</v>
      </c>
      <c r="N1828" s="46" t="str">
        <f>CONCATENATE(Data!W1826," (",Data!V1826,")")</f>
        <v>Exceso Velocidad 10 Km/h (Velocidad máxima: 13 kmh)</v>
      </c>
      <c r="O1828" s="42" t="str">
        <f>IF(Data!V1826&lt;&gt;"",N1828,Data!W1826)</f>
        <v>Exceso Velocidad 10 Km/h (Velocidad máxima: 13 kmh)</v>
      </c>
      <c r="P1828" s="47" t="str">
        <f>Data!X1826</f>
        <v>Válido</v>
      </c>
    </row>
    <row r="1829" spans="1:16">
      <c r="A1829" s="41" t="str">
        <f>Data!A1827</f>
        <v>QLT553</v>
      </c>
      <c r="B1829" s="41" t="str">
        <f>Data!D1827</f>
        <v>Vehicle, Diesel, Frontera Energy Col 2679</v>
      </c>
      <c r="C1829" s="41">
        <f>Data!F1827</f>
        <v>0</v>
      </c>
      <c r="D1829" s="41">
        <f>Data!G1827</f>
        <v>0</v>
      </c>
      <c r="E1829" s="41">
        <f>Data!H1827</f>
        <v>0</v>
      </c>
      <c r="F1829" s="41">
        <f>Data!K1827</f>
        <v>0</v>
      </c>
      <c r="G1829" s="33" t="str">
        <f>Data!M1827</f>
        <v>Exceso Velocidad 10 Km/h</v>
      </c>
      <c r="H1829" s="41" t="str">
        <f>Data!P1827</f>
        <v>ECOPETROL RUBIALES- Quifa - CAÑO SUR, BATERIA 4: Rb 4 324 126 129 195 14 325 316 143 217 1 26 523 256 28, Meta, 502057, Colombia</v>
      </c>
      <c r="I1829" s="42" t="str">
        <f>Data!Q1827</f>
        <v>Cliente, Vel Max 40 Km/h, Vel Max 10 Km/h</v>
      </c>
      <c r="J1829" s="43">
        <f>Data!S1827</f>
        <v>46174.987685185188</v>
      </c>
      <c r="K1829" s="44">
        <f>Data!S1827</f>
        <v>46174.987685185188</v>
      </c>
      <c r="L1829" s="45">
        <f>Data!T1827</f>
        <v>2.8935285185185187E-5</v>
      </c>
      <c r="M1829" s="46">
        <f>Data!U1827</f>
        <v>6.5388539806008339E-3</v>
      </c>
      <c r="N1829" s="46" t="str">
        <f>CONCATENATE(Data!W1827," (",Data!V1827,")")</f>
        <v>Exceso Velocidad 10 Km/h (Velocidad máxima: 11 kmh)</v>
      </c>
      <c r="O1829" s="42" t="str">
        <f>IF(Data!V1827&lt;&gt;"",N1829,Data!W1827)</f>
        <v>Exceso Velocidad 10 Km/h (Velocidad máxima: 11 kmh)</v>
      </c>
      <c r="P1829" s="47" t="str">
        <f>Data!X1827</f>
        <v>Válido</v>
      </c>
    </row>
    <row r="1830" spans="1:16">
      <c r="A1830" s="41" t="str">
        <f>Data!A1828</f>
        <v>QLT576</v>
      </c>
      <c r="B1830" s="41" t="str">
        <f>Data!D1828</f>
        <v>Vehicle, Diesel, Frontera Energy Col 2679</v>
      </c>
      <c r="C1830" s="41">
        <f>Data!F1828</f>
        <v>0</v>
      </c>
      <c r="D1830" s="41">
        <f>Data!G1828</f>
        <v>0</v>
      </c>
      <c r="E1830" s="41">
        <f>Data!H1828</f>
        <v>0</v>
      </c>
      <c r="F1830" s="41">
        <f>Data!K1828</f>
        <v>0</v>
      </c>
      <c r="G1830" s="33" t="str">
        <f>Data!M1828</f>
        <v>Exceso Velocidad 10 Km/h</v>
      </c>
      <c r="H1830" s="41" t="str">
        <f>Data!P1828</f>
        <v>CAMPAMENTO QUIFA, ECOPETROL RUBIALES- Quifa - CAÑO SUR, Puerto Triunfo - Estacion Policia: Puerto Gaitan - Rubiales, Puerto Gaitán, Meta, Colombia</v>
      </c>
      <c r="I1830" s="42" t="str">
        <f>Data!Q1828</f>
        <v>Vel Max 10 Km/h, Cliente, Vel Max 40 Km/h, Vel Max 30 Km/h</v>
      </c>
      <c r="J1830" s="43">
        <f>Data!S1828</f>
        <v>46174.197831574071</v>
      </c>
      <c r="K1830" s="44">
        <f>Data!S1828</f>
        <v>46174.197831574071</v>
      </c>
      <c r="L1830" s="45">
        <f>Data!T1828</f>
        <v>2.4258101851851852E-4</v>
      </c>
      <c r="M1830" s="46">
        <f>Data!U1828</f>
        <v>0.12039940059185028</v>
      </c>
      <c r="N1830" s="46" t="str">
        <f>CONCATENATE(Data!W1828," (",Data!V1828,")")</f>
        <v>Exceso Velocidad 10 Km/h (Velocidad máxima: 25 kmh)</v>
      </c>
      <c r="O1830" s="42" t="str">
        <f>IF(Data!V1828&lt;&gt;"",N1830,Data!W1828)</f>
        <v>Exceso Velocidad 10 Km/h (Velocidad máxima: 25 kmh)</v>
      </c>
      <c r="P1830" s="47" t="str">
        <f>Data!X1828</f>
        <v>Válido</v>
      </c>
    </row>
    <row r="1831" spans="1:16">
      <c r="A1831" s="41" t="str">
        <f>Data!A1829</f>
        <v>QLT576</v>
      </c>
      <c r="B1831" s="41" t="str">
        <f>Data!D1829</f>
        <v>Vehicle, Diesel, Frontera Energy Col 2679</v>
      </c>
      <c r="C1831" s="41">
        <f>Data!F1829</f>
        <v>0</v>
      </c>
      <c r="D1831" s="41">
        <f>Data!G1829</f>
        <v>0</v>
      </c>
      <c r="E1831" s="41">
        <f>Data!H1829</f>
        <v>0</v>
      </c>
      <c r="F1831" s="41">
        <f>Data!K1829</f>
        <v>0</v>
      </c>
      <c r="G1831" s="33" t="str">
        <f>Data!M1829</f>
        <v>Exceso Velocidad 30 Km/h</v>
      </c>
      <c r="H1831" s="41" t="str">
        <f>Data!P1829</f>
        <v>ECOPETROL RUBIALES- Quifa - CAÑO SUR, Puerto Triunfo - Estacion Policia: Puerto Gaitan - Rubiales, Puerto Gaitán, Meta, Colombia</v>
      </c>
      <c r="I1831" s="42" t="str">
        <f>Data!Q1829</f>
        <v>Cliente, Vel Max 40 Km/h, Vel Max 30 Km/h</v>
      </c>
      <c r="J1831" s="43">
        <f>Data!S1829</f>
        <v>46174.198708668984</v>
      </c>
      <c r="K1831" s="44">
        <f>Data!S1829</f>
        <v>46174.198708668984</v>
      </c>
      <c r="L1831" s="45">
        <f>Data!T1829</f>
        <v>1.4971064814814814E-4</v>
      </c>
      <c r="M1831" s="46">
        <f>Data!U1829</f>
        <v>0.11459910124540329</v>
      </c>
      <c r="N1831" s="46" t="str">
        <f>CONCATENATE(Data!W1829," (",Data!V1829,")")</f>
        <v>Exceso Velocidad 30 Km/h (Velocidad máxima: 33 kmh)</v>
      </c>
      <c r="O1831" s="42" t="str">
        <f>IF(Data!V1829&lt;&gt;"",N1831,Data!W1829)</f>
        <v>Exceso Velocidad 30 Km/h (Velocidad máxima: 33 kmh)</v>
      </c>
      <c r="P1831" s="47" t="str">
        <f>Data!X1829</f>
        <v>Válido</v>
      </c>
    </row>
    <row r="1832" spans="1:16">
      <c r="A1832" s="41" t="str">
        <f>Data!A1830</f>
        <v>QLT576</v>
      </c>
      <c r="B1832" s="41" t="str">
        <f>Data!D1830</f>
        <v>Vehicle, Diesel, Frontera Energy Col 2679</v>
      </c>
      <c r="C1832" s="41">
        <f>Data!F1830</f>
        <v>0</v>
      </c>
      <c r="D1832" s="41">
        <f>Data!G1830</f>
        <v>0</v>
      </c>
      <c r="E1832" s="41">
        <f>Data!H1830</f>
        <v>0</v>
      </c>
      <c r="F1832" s="41">
        <f>Data!K1830</f>
        <v>0</v>
      </c>
      <c r="G1832" s="33" t="str">
        <f>Data!M1830</f>
        <v>Exceso Velocidad 30 Km/h</v>
      </c>
      <c r="H1832" s="41" t="str">
        <f>Data!P1830</f>
        <v>ECOPETROL RUBIALES- Quifa - CAÑO SUR, Puerto Triunfo - Estacion Policia: Puerto Gaitan - Rubiales, Puerto Gaitán, Meta, Colombia</v>
      </c>
      <c r="I1832" s="42" t="str">
        <f>Data!Q1830</f>
        <v>Cliente, Vel Max 40 Km/h, Vel Max 30 Km/h</v>
      </c>
      <c r="J1832" s="43">
        <f>Data!S1830</f>
        <v>46174.199091435286</v>
      </c>
      <c r="K1832" s="44">
        <f>Data!S1830</f>
        <v>46174.199091435286</v>
      </c>
      <c r="L1832" s="45">
        <f>Data!T1830</f>
        <v>6.8796296296296292E-5</v>
      </c>
      <c r="M1832" s="46">
        <f>Data!U1830</f>
        <v>4.7665979713201523E-2</v>
      </c>
      <c r="N1832" s="46" t="str">
        <f>CONCATENATE(Data!W1830," (",Data!V1830,")")</f>
        <v>Exceso Velocidad 30 Km/h (Velocidad máxima: 31 kmh)</v>
      </c>
      <c r="O1832" s="42" t="str">
        <f>IF(Data!V1830&lt;&gt;"",N1832,Data!W1830)</f>
        <v>Exceso Velocidad 30 Km/h (Velocidad máxima: 31 kmh)</v>
      </c>
      <c r="P1832" s="47" t="str">
        <f>Data!X1830</f>
        <v>Válido</v>
      </c>
    </row>
    <row r="1833" spans="1:16">
      <c r="A1833" s="41" t="str">
        <f>Data!A1831</f>
        <v>QLT576</v>
      </c>
      <c r="B1833" s="41" t="str">
        <f>Data!D1831</f>
        <v>Vehicle, Diesel, Frontera Energy Col 2679</v>
      </c>
      <c r="C1833" s="41">
        <f>Data!F1831</f>
        <v>0</v>
      </c>
      <c r="D1833" s="41">
        <f>Data!G1831</f>
        <v>0</v>
      </c>
      <c r="E1833" s="41">
        <f>Data!H1831</f>
        <v>0</v>
      </c>
      <c r="F1833" s="41">
        <f>Data!K1831</f>
        <v>0</v>
      </c>
      <c r="G1833" s="33" t="str">
        <f>Data!M1831</f>
        <v>Exceso Velocidad 30 Km/h</v>
      </c>
      <c r="H1833" s="41" t="str">
        <f>Data!P1831</f>
        <v>ECOPETROL RUBIALES- Quifa - CAÑO SUR, Puerto Triunfo - Estacion Policia: Puerto Gaitan - Rubiales, Puerto Gaitán, Meta, Colombia</v>
      </c>
      <c r="I1833" s="42" t="str">
        <f>Data!Q1831</f>
        <v>Cliente, Vel Max 40 Km/h, Vel Max 30 Km/h</v>
      </c>
      <c r="J1833" s="43">
        <f>Data!S1831</f>
        <v>46174.19925189815</v>
      </c>
      <c r="K1833" s="44">
        <f>Data!S1831</f>
        <v>46174.19925189815</v>
      </c>
      <c r="L1833" s="45">
        <f>Data!T1831</f>
        <v>6.8541666666666661E-5</v>
      </c>
      <c r="M1833" s="46">
        <f>Data!U1831</f>
        <v>5.035669356584549E-2</v>
      </c>
      <c r="N1833" s="46" t="str">
        <f>CONCATENATE(Data!W1831," (",Data!V1831,")")</f>
        <v>Exceso Velocidad 30 Km/h (Velocidad máxima: 33 kmh)</v>
      </c>
      <c r="O1833" s="42" t="str">
        <f>IF(Data!V1831&lt;&gt;"",N1833,Data!W1831)</f>
        <v>Exceso Velocidad 30 Km/h (Velocidad máxima: 33 kmh)</v>
      </c>
      <c r="P1833" s="47" t="str">
        <f>Data!X1831</f>
        <v>Válido</v>
      </c>
    </row>
    <row r="1834" spans="1:16">
      <c r="A1834" s="41" t="str">
        <f>Data!A1832</f>
        <v>QLT576</v>
      </c>
      <c r="B1834" s="41" t="str">
        <f>Data!D1832</f>
        <v>Vehicle, Diesel, Frontera Energy Col 2679</v>
      </c>
      <c r="C1834" s="41">
        <f>Data!F1832</f>
        <v>0</v>
      </c>
      <c r="D1834" s="41">
        <f>Data!G1832</f>
        <v>0</v>
      </c>
      <c r="E1834" s="41">
        <f>Data!H1832</f>
        <v>0</v>
      </c>
      <c r="F1834" s="41">
        <f>Data!K1832</f>
        <v>0</v>
      </c>
      <c r="G1834" s="33" t="str">
        <f>Data!M1832</f>
        <v>Exceso Velocidad 30 Km/h</v>
      </c>
      <c r="H1834" s="41" t="str">
        <f>Data!P1832</f>
        <v>ECOPETROL RUBIALES- Quifa - CAÑO SUR, Puerto Triunfo - Estacion Policia: Puerto Gaitan - Rubiales, Puerto Gaitán, Meta, Colombia</v>
      </c>
      <c r="I1834" s="42" t="str">
        <f>Data!Q1832</f>
        <v>Cliente, Vel Max 40 Km/h, Vel Max 30 Km/h</v>
      </c>
      <c r="J1834" s="43">
        <f>Data!S1832</f>
        <v>46174.199378854166</v>
      </c>
      <c r="K1834" s="44">
        <f>Data!S1832</f>
        <v>46174.199378854166</v>
      </c>
      <c r="L1834" s="45">
        <f>Data!T1832</f>
        <v>9.8655092592592588E-4</v>
      </c>
      <c r="M1834" s="46">
        <f>Data!U1832</f>
        <v>0.76584106683731079</v>
      </c>
      <c r="N1834" s="46" t="str">
        <f>CONCATENATE(Data!W1832," (",Data!V1832,")")</f>
        <v>Exceso Velocidad 30 Km/h (Velocidad máxima: 33 kmh)</v>
      </c>
      <c r="O1834" s="42" t="str">
        <f>IF(Data!V1832&lt;&gt;"",N1834,Data!W1832)</f>
        <v>Exceso Velocidad 30 Km/h (Velocidad máxima: 33 kmh)</v>
      </c>
      <c r="P1834" s="47" t="str">
        <f>Data!X1832</f>
        <v>Válido</v>
      </c>
    </row>
    <row r="1835" spans="1:16">
      <c r="A1835" s="41" t="str">
        <f>Data!A1833</f>
        <v>QLT576</v>
      </c>
      <c r="B1835" s="41" t="str">
        <f>Data!D1833</f>
        <v>Vehicle, Diesel, Frontera Energy Col 2679</v>
      </c>
      <c r="C1835" s="41">
        <f>Data!F1833</f>
        <v>0</v>
      </c>
      <c r="D1835" s="41">
        <f>Data!G1833</f>
        <v>0</v>
      </c>
      <c r="E1835" s="41">
        <f>Data!H1833</f>
        <v>0</v>
      </c>
      <c r="F1835" s="41">
        <f>Data!K1833</f>
        <v>0</v>
      </c>
      <c r="G1835" s="33" t="str">
        <f>Data!M1833</f>
        <v>Exceso Velocidad 10 Km/h</v>
      </c>
      <c r="H1835" s="41" t="str">
        <f>Data!P1833</f>
        <v>ECOPETROL RUBIALES- Quifa - CAÑO SUR, Puerto Triunfo - Estacion Policia, PUESTRO CONTROL QUIFA: Puerto Gaitan - Rubiales, Puerto Gaitán, Meta, Colombia</v>
      </c>
      <c r="I1835" s="42" t="str">
        <f>Data!Q1833</f>
        <v>Cliente, Vel Max 40 Km/h, Vel Max 30 Km/h, Vel Max 10 Km/h</v>
      </c>
      <c r="J1835" s="43">
        <f>Data!S1833</f>
        <v>46174.199667696761</v>
      </c>
      <c r="K1835" s="44">
        <f>Data!S1833</f>
        <v>46174.199667696761</v>
      </c>
      <c r="L1835" s="45">
        <f>Data!T1833</f>
        <v>2.4061342592592594E-4</v>
      </c>
      <c r="M1835" s="46">
        <f>Data!U1833</f>
        <v>0.18380694091320038</v>
      </c>
      <c r="N1835" s="46" t="str">
        <f>CONCATENATE(Data!W1833," (",Data!V1833,")")</f>
        <v>Exceso Velocidad 10 Km/h (Velocidad máxima: 32 kmh)</v>
      </c>
      <c r="O1835" s="42" t="str">
        <f>IF(Data!V1833&lt;&gt;"",N1835,Data!W1833)</f>
        <v>Exceso Velocidad 10 Km/h (Velocidad máxima: 32 kmh)</v>
      </c>
      <c r="P1835" s="47" t="str">
        <f>Data!X1833</f>
        <v>Válido</v>
      </c>
    </row>
    <row r="1836" spans="1:16">
      <c r="A1836" s="41" t="str">
        <f>Data!A1834</f>
        <v>QLT576</v>
      </c>
      <c r="B1836" s="41" t="str">
        <f>Data!D1834</f>
        <v>Vehicle, Diesel, Frontera Energy Col 2679</v>
      </c>
      <c r="C1836" s="41">
        <f>Data!F1834</f>
        <v>0</v>
      </c>
      <c r="D1836" s="41">
        <f>Data!G1834</f>
        <v>0</v>
      </c>
      <c r="E1836" s="41">
        <f>Data!H1834</f>
        <v>0</v>
      </c>
      <c r="F1836" s="41">
        <f>Data!K1834</f>
        <v>0</v>
      </c>
      <c r="G1836" s="33" t="str">
        <f>Data!M1834</f>
        <v>Exceso Velocidad 30 Km/h</v>
      </c>
      <c r="H1836" s="41" t="str">
        <f>Data!P1834</f>
        <v>ECOPETROL RUBIALES- Quifa - CAÑO SUR, Puerto Triunfo - Estacion Policia: Puerto Gaitan - Rubiales, Puerto Gaitán, Meta, Colombia</v>
      </c>
      <c r="I1836" s="42" t="str">
        <f>Data!Q1834</f>
        <v>Cliente, Vel Max 40 Km/h, Vel Max 30 Km/h</v>
      </c>
      <c r="J1836" s="43">
        <f>Data!S1834</f>
        <v>46174.200803240739</v>
      </c>
      <c r="K1836" s="44">
        <f>Data!S1834</f>
        <v>46174.200803240739</v>
      </c>
      <c r="L1836" s="45">
        <f>Data!T1834</f>
        <v>1.9791666666666666E-4</v>
      </c>
      <c r="M1836" s="46">
        <f>Data!U1834</f>
        <v>0.14202013611793518</v>
      </c>
      <c r="N1836" s="46" t="str">
        <f>CONCATENATE(Data!W1834," (",Data!V1834,")")</f>
        <v>Exceso Velocidad 30 Km/h (Velocidad máxima: 31 kmh)</v>
      </c>
      <c r="O1836" s="42" t="str">
        <f>IF(Data!V1834&lt;&gt;"",N1836,Data!W1834)</f>
        <v>Exceso Velocidad 30 Km/h (Velocidad máxima: 31 kmh)</v>
      </c>
      <c r="P1836" s="47" t="str">
        <f>Data!X1834</f>
        <v>Válido</v>
      </c>
    </row>
    <row r="1837" spans="1:16">
      <c r="A1837" s="41" t="str">
        <f>Data!A1835</f>
        <v>QLT576</v>
      </c>
      <c r="B1837" s="41" t="str">
        <f>Data!D1835</f>
        <v>Vehicle, Diesel, Frontera Energy Col 2679</v>
      </c>
      <c r="C1837" s="41">
        <f>Data!F1835</f>
        <v>0</v>
      </c>
      <c r="D1837" s="41">
        <f>Data!G1835</f>
        <v>0</v>
      </c>
      <c r="E1837" s="41">
        <f>Data!H1835</f>
        <v>0</v>
      </c>
      <c r="F1837" s="41">
        <f>Data!K1835</f>
        <v>0</v>
      </c>
      <c r="G1837" s="33" t="str">
        <f>Data!M1835</f>
        <v>Exceso Velocidad 30 Km/h</v>
      </c>
      <c r="H1837" s="41" t="str">
        <f>Data!P1835</f>
        <v>ECOPETROL RUBIALES- Quifa - CAÑO SUR, Puerto Triunfo - Estacion Policia: Puerto Gaitan - Rubiales, Puerto Gaitán, Meta, Colombia</v>
      </c>
      <c r="I1837" s="42" t="str">
        <f>Data!Q1835</f>
        <v>Cliente, Vel Max 40 Km/h, Vel Max 30 Km/h</v>
      </c>
      <c r="J1837" s="43">
        <f>Data!S1835</f>
        <v>46174.212268518517</v>
      </c>
      <c r="K1837" s="44">
        <f>Data!S1835</f>
        <v>46174.212268518517</v>
      </c>
      <c r="L1837" s="45">
        <f>Data!T1835</f>
        <v>3.4722222222222222E-5</v>
      </c>
      <c r="M1837" s="46">
        <f>Data!U1835</f>
        <v>2.6179609820246696E-2</v>
      </c>
      <c r="N1837" s="46" t="str">
        <f>CONCATENATE(Data!W1835," (",Data!V1835,")")</f>
        <v>Exceso Velocidad 30 Km/h (Velocidad máxima: 31 kmh)</v>
      </c>
      <c r="O1837" s="42" t="str">
        <f>IF(Data!V1835&lt;&gt;"",N1837,Data!W1835)</f>
        <v>Exceso Velocidad 30 Km/h (Velocidad máxima: 31 kmh)</v>
      </c>
      <c r="P1837" s="47" t="str">
        <f>Data!X1835</f>
        <v>Válido</v>
      </c>
    </row>
    <row r="1838" spans="1:16">
      <c r="A1838" s="41" t="str">
        <f>Data!A1836</f>
        <v>QLT576</v>
      </c>
      <c r="B1838" s="41" t="str">
        <f>Data!D1836</f>
        <v>Vehicle, Diesel, Frontera Energy Col 2679</v>
      </c>
      <c r="C1838" s="41">
        <f>Data!F1836</f>
        <v>0</v>
      </c>
      <c r="D1838" s="41">
        <f>Data!G1836</f>
        <v>0</v>
      </c>
      <c r="E1838" s="41">
        <f>Data!H1836</f>
        <v>0</v>
      </c>
      <c r="F1838" s="41">
        <f>Data!K1836</f>
        <v>0</v>
      </c>
      <c r="G1838" s="33" t="str">
        <f>Data!M1836</f>
        <v>Exceso Velocidad 10 Km/h</v>
      </c>
      <c r="H1838" s="41" t="str">
        <f>Data!P1836</f>
        <v>ECOPETROL RUBIALES- Quifa - CAÑO SUR, Puerto Triunfo - Estacion Policia, PUESTRO CONTROL QUIFA: Puerto Gaitan - Rubiales, Puerto Gaitán, Meta, Colombia</v>
      </c>
      <c r="I1838" s="42" t="str">
        <f>Data!Q1836</f>
        <v>Cliente, Vel Max 40 Km/h, Vel Max 30 Km/h, Vel Max 10 Km/h</v>
      </c>
      <c r="J1838" s="43">
        <f>Data!S1836</f>
        <v>46174.216087372683</v>
      </c>
      <c r="K1838" s="44">
        <f>Data!S1836</f>
        <v>46174.216087372683</v>
      </c>
      <c r="L1838" s="45">
        <f>Data!T1836</f>
        <v>3.5331018518518518E-4</v>
      </c>
      <c r="M1838" s="46">
        <f>Data!U1836</f>
        <v>0.18246108293533325</v>
      </c>
      <c r="N1838" s="46" t="str">
        <f>CONCATENATE(Data!W1836," (",Data!V1836,")")</f>
        <v>Exceso Velocidad 10 Km/h (Velocidad máxima: 24 kmh)</v>
      </c>
      <c r="O1838" s="42" t="str">
        <f>IF(Data!V1836&lt;&gt;"",N1838,Data!W1836)</f>
        <v>Exceso Velocidad 10 Km/h (Velocidad máxima: 24 kmh)</v>
      </c>
      <c r="P1838" s="47" t="str">
        <f>Data!X1836</f>
        <v>Válido</v>
      </c>
    </row>
    <row r="1839" spans="1:16">
      <c r="A1839" s="41" t="str">
        <f>Data!A1837</f>
        <v>QLT576</v>
      </c>
      <c r="B1839" s="41" t="str">
        <f>Data!D1837</f>
        <v>Vehicle, Diesel, Frontera Energy Col 2679</v>
      </c>
      <c r="C1839" s="41">
        <f>Data!F1837</f>
        <v>0</v>
      </c>
      <c r="D1839" s="41">
        <f>Data!G1837</f>
        <v>0</v>
      </c>
      <c r="E1839" s="41">
        <f>Data!H1837</f>
        <v>0</v>
      </c>
      <c r="F1839" s="41">
        <f>Data!K1837</f>
        <v>0</v>
      </c>
      <c r="G1839" s="33" t="str">
        <f>Data!M1837</f>
        <v>Exceso Velocidad 10 Km/h</v>
      </c>
      <c r="H1839" s="41" t="str">
        <f>Data!P1837</f>
        <v>CAMPAMENTO QUIFA, ECOPETROL RUBIALES- Quifa - CAÑO SUR, Puerto Gaitan - Rubiales, Puerto Gaitán, Meta, Colombia: Ent. CAMPAMENTO, Puerto Gaitán, Meta, Colombia</v>
      </c>
      <c r="I1839" s="42" t="str">
        <f>Data!Q1837</f>
        <v>Vel Max 10 Km/h, Cliente, Vel Max 40 Km/h, Centro de servicios del proveedor</v>
      </c>
      <c r="J1839" s="43">
        <f>Data!S1837</f>
        <v>46174.218656342593</v>
      </c>
      <c r="K1839" s="44">
        <f>Data!S1837</f>
        <v>46174.218656342593</v>
      </c>
      <c r="L1839" s="45">
        <f>Data!T1837</f>
        <v>2.4212962962962961E-5</v>
      </c>
      <c r="M1839" s="46">
        <f>Data!U1837</f>
        <v>5.4169045761227608E-3</v>
      </c>
      <c r="N1839" s="46" t="str">
        <f>CONCATENATE(Data!W1837," (",Data!V1837,")")</f>
        <v>Exceso Velocidad 10 Km/h (Velocidad máxima: 11 kmh)</v>
      </c>
      <c r="O1839" s="42" t="str">
        <f>IF(Data!V1837&lt;&gt;"",N1839,Data!W1837)</f>
        <v>Exceso Velocidad 10 Km/h (Velocidad máxima: 11 kmh)</v>
      </c>
      <c r="P1839" s="47" t="str">
        <f>Data!X1837</f>
        <v>Válido</v>
      </c>
    </row>
    <row r="1840" spans="1:16">
      <c r="A1840" s="41" t="str">
        <f>Data!A1838</f>
        <v>QLT576</v>
      </c>
      <c r="B1840" s="41" t="str">
        <f>Data!D1838</f>
        <v>Vehicle, Diesel, Frontera Energy Col 2679</v>
      </c>
      <c r="C1840" s="41">
        <f>Data!F1838</f>
        <v>0</v>
      </c>
      <c r="D1840" s="41">
        <f>Data!G1838</f>
        <v>0</v>
      </c>
      <c r="E1840" s="41">
        <f>Data!H1838</f>
        <v>0</v>
      </c>
      <c r="F1840" s="41">
        <f>Data!K1838</f>
        <v>0</v>
      </c>
      <c r="G1840" s="33" t="str">
        <f>Data!M1838</f>
        <v>Exceso Velocidad 10 Km/h</v>
      </c>
      <c r="H1840" s="41" t="str">
        <f>Data!P1838</f>
        <v>CAMPAMENTO QUIFA, ECOPETROL RUBIALES- Quifa - CAÑO SUR, Puerto Gaitan - Rubiales, Puerto Gaitán, Meta, Colombia, Campamento Quifa - CMA: Ent. CAMPAMENTO, Puerto Gaitán, Meta, Colombia</v>
      </c>
      <c r="I1840" s="42" t="str">
        <f>Data!Q1838</f>
        <v>Vel Max 10 Km/h, Cliente, Vel Max 40 Km/h, Centro de servicios del proveedor</v>
      </c>
      <c r="J1840" s="43">
        <f>Data!S1838</f>
        <v>46174.219036458337</v>
      </c>
      <c r="K1840" s="44">
        <f>Data!S1838</f>
        <v>46174.219036458337</v>
      </c>
      <c r="L1840" s="45">
        <f>Data!T1838</f>
        <v>9.1631944444444448E-5</v>
      </c>
      <c r="M1840" s="46">
        <f>Data!U1838</f>
        <v>2.229965478181839E-2</v>
      </c>
      <c r="N1840" s="46" t="str">
        <f>CONCATENATE(Data!W1838," (",Data!V1838,")")</f>
        <v>Exceso Velocidad 10 Km/h (Velocidad máxima: 11 kmh)</v>
      </c>
      <c r="O1840" s="42" t="str">
        <f>IF(Data!V1838&lt;&gt;"",N1840,Data!W1838)</f>
        <v>Exceso Velocidad 10 Km/h (Velocidad máxima: 11 kmh)</v>
      </c>
      <c r="P1840" s="47" t="str">
        <f>Data!X1838</f>
        <v>Válido</v>
      </c>
    </row>
    <row r="1841" spans="1:16">
      <c r="A1841" s="41" t="str">
        <f>Data!A1839</f>
        <v>QLT576</v>
      </c>
      <c r="B1841" s="41" t="str">
        <f>Data!D1839</f>
        <v>Vehicle, Diesel, Frontera Energy Col 2679</v>
      </c>
      <c r="C1841" s="41">
        <f>Data!F1839</f>
        <v>0</v>
      </c>
      <c r="D1841" s="41">
        <f>Data!G1839</f>
        <v>0</v>
      </c>
      <c r="E1841" s="41">
        <f>Data!H1839</f>
        <v>0</v>
      </c>
      <c r="F1841" s="41">
        <f>Data!K1839</f>
        <v>0</v>
      </c>
      <c r="G1841" s="33" t="str">
        <f>Data!M1839</f>
        <v>Exceso de velocidad (nuevo)</v>
      </c>
      <c r="H1841" s="41" t="str">
        <f>Data!P1839</f>
        <v>ECOPETROL RUBIALES- Quifa - CAÑO SUR, Puerto Triunfo - Estacion Policia: Puerto Gaitan - Rubiales, Puerto Gaitán, Meta, Colombia</v>
      </c>
      <c r="I1841" s="42" t="str">
        <f>Data!Q1839</f>
        <v>Cliente, Vel Max 40 Km/h, Vel Max 30 Km/h</v>
      </c>
      <c r="J1841" s="43">
        <f>Data!S1839</f>
        <v>46174.261435185188</v>
      </c>
      <c r="K1841" s="44">
        <f>Data!S1839</f>
        <v>46174.261435185188</v>
      </c>
      <c r="L1841" s="45">
        <f>Data!T1839</f>
        <v>5.2083333333333333E-4</v>
      </c>
      <c r="M1841" s="46">
        <f>Data!U1839</f>
        <v>0.27345570921897888</v>
      </c>
      <c r="N1841" s="46" t="str">
        <f>CONCATENATE(Data!W1839," (",Data!V1839,")")</f>
        <v>Exceso de velocidad (nuevo) (Velocidad máxima: 24 kmh (Velocidad máxima en carretera: 7 kmh))</v>
      </c>
      <c r="O1841" s="42" t="str">
        <f>IF(Data!V1839&lt;&gt;"",N1841,Data!W1839)</f>
        <v>Exceso de velocidad (nuevo) (Velocidad máxima: 24 kmh (Velocidad máxima en carretera: 7 kmh))</v>
      </c>
      <c r="P1841" s="47" t="str">
        <f>Data!X1839</f>
        <v>Válido</v>
      </c>
    </row>
    <row r="1842" spans="1:16">
      <c r="A1842" s="41" t="str">
        <f>Data!A1840</f>
        <v>QLT576</v>
      </c>
      <c r="B1842" s="41" t="str">
        <f>Data!D1840</f>
        <v>Vehicle, Diesel, Frontera Energy Col 2679</v>
      </c>
      <c r="C1842" s="41">
        <f>Data!F1840</f>
        <v>0</v>
      </c>
      <c r="D1842" s="41">
        <f>Data!G1840</f>
        <v>0</v>
      </c>
      <c r="E1842" s="41">
        <f>Data!H1840</f>
        <v>0</v>
      </c>
      <c r="F1842" s="41">
        <f>Data!K1840</f>
        <v>0</v>
      </c>
      <c r="G1842" s="33" t="str">
        <f>Data!M1840</f>
        <v>Exceso Velocidad 10 Km/h</v>
      </c>
      <c r="H1842" s="41" t="str">
        <f>Data!P1840</f>
        <v>ECOPETROL RUBIALES- Quifa - CAÑO SUR, Centralizado de combustible Quifa: Vía Sin Nombre, Puerto Gaitán, Meta, Colombia</v>
      </c>
      <c r="I1842" s="42" t="str">
        <f>Data!Q1840</f>
        <v>Cliente, Vel Max 40 Km/h, Vel Max 10 Km/h</v>
      </c>
      <c r="J1842" s="43">
        <f>Data!S1840</f>
        <v>46174.263113425928</v>
      </c>
      <c r="K1842" s="44">
        <f>Data!S1840</f>
        <v>46174.263113425928</v>
      </c>
      <c r="L1842" s="45">
        <f>Data!T1840</f>
        <v>1.5046296296296297E-4</v>
      </c>
      <c r="M1842" s="46">
        <f>Data!U1840</f>
        <v>3.6867890506982803E-2</v>
      </c>
      <c r="N1842" s="46" t="str">
        <f>CONCATENATE(Data!W1840," (",Data!V1840,")")</f>
        <v>Exceso Velocidad 10 Km/h (Velocidad máxima: 11 kmh)</v>
      </c>
      <c r="O1842" s="42" t="str">
        <f>IF(Data!V1840&lt;&gt;"",N1842,Data!W1840)</f>
        <v>Exceso Velocidad 10 Km/h (Velocidad máxima: 11 kmh)</v>
      </c>
      <c r="P1842" s="47" t="str">
        <f>Data!X1840</f>
        <v>Válido</v>
      </c>
    </row>
    <row r="1843" spans="1:16">
      <c r="A1843" s="41" t="str">
        <f>Data!A1841</f>
        <v>QLT576</v>
      </c>
      <c r="B1843" s="41" t="str">
        <f>Data!D1841</f>
        <v>Vehicle, Diesel, Frontera Energy Col 2679</v>
      </c>
      <c r="C1843" s="41">
        <f>Data!F1841</f>
        <v>0</v>
      </c>
      <c r="D1843" s="41">
        <f>Data!G1841</f>
        <v>0</v>
      </c>
      <c r="E1843" s="41">
        <f>Data!H1841</f>
        <v>0</v>
      </c>
      <c r="F1843" s="41">
        <f>Data!K1841</f>
        <v>0</v>
      </c>
      <c r="G1843" s="33" t="str">
        <f>Data!M1841</f>
        <v>Exceso Velocidad 10 Km/h</v>
      </c>
      <c r="H1843" s="41" t="str">
        <f>Data!P1841</f>
        <v>ECOPETROL RUBIALES- Quifa - CAÑO SUR, Centralizado de combustible Quifa: Vía Sin Nombre, Puerto Gaitán, Meta, Colombia</v>
      </c>
      <c r="I1843" s="42" t="str">
        <f>Data!Q1841</f>
        <v>Cliente, Vel Max 40 Km/h, Vel Max 10 Km/h</v>
      </c>
      <c r="J1843" s="43">
        <f>Data!S1841</f>
        <v>46174.266932870371</v>
      </c>
      <c r="K1843" s="44">
        <f>Data!S1841</f>
        <v>46174.266932870371</v>
      </c>
      <c r="L1843" s="45">
        <f>Data!T1841</f>
        <v>3.5416666666666669E-4</v>
      </c>
      <c r="M1843" s="46">
        <f>Data!U1841</f>
        <v>8.3773218095302582E-2</v>
      </c>
      <c r="N1843" s="46" t="str">
        <f>CONCATENATE(Data!W1841," (",Data!V1841,")")</f>
        <v>Exceso Velocidad 10 Km/h (Velocidad máxima: 12 kmh)</v>
      </c>
      <c r="O1843" s="42" t="str">
        <f>IF(Data!V1841&lt;&gt;"",N1843,Data!W1841)</f>
        <v>Exceso Velocidad 10 Km/h (Velocidad máxima: 12 kmh)</v>
      </c>
      <c r="P1843" s="47" t="str">
        <f>Data!X1841</f>
        <v>Válido</v>
      </c>
    </row>
    <row r="1844" spans="1:16">
      <c r="A1844" s="41" t="str">
        <f>Data!A1842</f>
        <v>QLT576</v>
      </c>
      <c r="B1844" s="41" t="str">
        <f>Data!D1842</f>
        <v>Vehicle, Diesel, Frontera Energy Col 2679</v>
      </c>
      <c r="C1844" s="41">
        <f>Data!F1842</f>
        <v>0</v>
      </c>
      <c r="D1844" s="41">
        <f>Data!G1842</f>
        <v>0</v>
      </c>
      <c r="E1844" s="41">
        <f>Data!H1842</f>
        <v>0</v>
      </c>
      <c r="F1844" s="41">
        <f>Data!K1842</f>
        <v>0</v>
      </c>
      <c r="G1844" s="33" t="str">
        <f>Data!M1842</f>
        <v>Exceso de velocidad (nuevo)</v>
      </c>
      <c r="H1844" s="41" t="str">
        <f>Data!P1842</f>
        <v>ECOPETROL RUBIALES- Quifa - CAÑO SUR: Puerto Gaitan - Rubiales, Puerto Gaitán, Meta, Colombia</v>
      </c>
      <c r="I1844" s="42" t="str">
        <f>Data!Q1842</f>
        <v>Cliente, Vel Max 40 Km/h</v>
      </c>
      <c r="J1844" s="43">
        <f>Data!S1842</f>
        <v>46174.267511574071</v>
      </c>
      <c r="K1844" s="44">
        <f>Data!S1842</f>
        <v>46174.267511574071</v>
      </c>
      <c r="L1844" s="45">
        <f>Data!T1842</f>
        <v>5.8333333333333338E-4</v>
      </c>
      <c r="M1844" s="46">
        <f>Data!U1842</f>
        <v>0.26661598682403564</v>
      </c>
      <c r="N1844" s="46" t="str">
        <f>CONCATENATE(Data!W1842," (",Data!V1842,")")</f>
        <v>Exceso de velocidad (nuevo) (Velocidad máxima: 24 kmh (Velocidad máxima en carretera: 7 kmh))</v>
      </c>
      <c r="O1844" s="42" t="str">
        <f>IF(Data!V1842&lt;&gt;"",N1844,Data!W1842)</f>
        <v>Exceso de velocidad (nuevo) (Velocidad máxima: 24 kmh (Velocidad máxima en carretera: 7 kmh))</v>
      </c>
      <c r="P1844" s="47" t="str">
        <f>Data!X1842</f>
        <v>Válido</v>
      </c>
    </row>
    <row r="1845" spans="1:16">
      <c r="A1845" s="41" t="str">
        <f>Data!A1843</f>
        <v>QLT576</v>
      </c>
      <c r="B1845" s="41" t="str">
        <f>Data!D1843</f>
        <v>Vehicle, Diesel, Frontera Energy Col 2679</v>
      </c>
      <c r="C1845" s="41">
        <f>Data!F1843</f>
        <v>0</v>
      </c>
      <c r="D1845" s="41">
        <f>Data!G1843</f>
        <v>0</v>
      </c>
      <c r="E1845" s="41">
        <f>Data!H1843</f>
        <v>0</v>
      </c>
      <c r="F1845" s="41">
        <f>Data!K1843</f>
        <v>0</v>
      </c>
      <c r="G1845" s="33" t="str">
        <f>Data!M1843</f>
        <v>Exceso Velocidad 10 Km/h</v>
      </c>
      <c r="H1845" s="41" t="str">
        <f>Data!P1843</f>
        <v>ECOPETROL RUBIALES- Quifa - CAÑO SUR, Puerto Triunfo - Estacion Policia, PUESTRO CONTROL QUIFA: Puerto Gaitan - Rubiales, Puerto Gaitán, Meta, Colombia</v>
      </c>
      <c r="I1845" s="42" t="str">
        <f>Data!Q1843</f>
        <v>Cliente, Vel Max 40 Km/h, Vel Max 30 Km/h, Vel Max 10 Km/h</v>
      </c>
      <c r="J1845" s="43">
        <f>Data!S1843</f>
        <v>46174.268381238428</v>
      </c>
      <c r="K1845" s="44">
        <f>Data!S1843</f>
        <v>46174.268381238428</v>
      </c>
      <c r="L1845" s="45">
        <f>Data!T1843</f>
        <v>3.7498842592592591E-4</v>
      </c>
      <c r="M1845" s="46">
        <f>Data!U1843</f>
        <v>0.18358376622200012</v>
      </c>
      <c r="N1845" s="46" t="str">
        <f>CONCATENATE(Data!W1843," (",Data!V1843,")")</f>
        <v>Exceso Velocidad 10 Km/h (Velocidad máxima: 20 kmh)</v>
      </c>
      <c r="O1845" s="42" t="str">
        <f>IF(Data!V1843&lt;&gt;"",N1845,Data!W1843)</f>
        <v>Exceso Velocidad 10 Km/h (Velocidad máxima: 20 kmh)</v>
      </c>
      <c r="P1845" s="47" t="str">
        <f>Data!X1843</f>
        <v>Válido</v>
      </c>
    </row>
    <row r="1846" spans="1:16">
      <c r="A1846" s="41" t="str">
        <f>Data!A1844</f>
        <v>QLT576</v>
      </c>
      <c r="B1846" s="41" t="str">
        <f>Data!D1844</f>
        <v>Vehicle, Diesel, Frontera Energy Col 2679</v>
      </c>
      <c r="C1846" s="41">
        <f>Data!F1844</f>
        <v>0</v>
      </c>
      <c r="D1846" s="41">
        <f>Data!G1844</f>
        <v>0</v>
      </c>
      <c r="E1846" s="41">
        <f>Data!H1844</f>
        <v>0</v>
      </c>
      <c r="F1846" s="41">
        <f>Data!K1844</f>
        <v>0</v>
      </c>
      <c r="G1846" s="33" t="str">
        <f>Data!M1844</f>
        <v>Tiempo en ralentí</v>
      </c>
      <c r="H1846" s="41" t="str">
        <f>Data!P1844</f>
        <v>ECOPETROL RUBIALES- Quifa - CAÑO SUR, Puerto Triunfo - Estacion Policia: Puerto Gaitan - Rubiales, Puerto Gaitán, Meta, Colombia</v>
      </c>
      <c r="I1846" s="42" t="str">
        <f>Data!Q1844</f>
        <v>Cliente, Vel Max 40 Km/h, Vel Max 30 Km/h</v>
      </c>
      <c r="J1846" s="43">
        <f>Data!S1844</f>
        <v>46174.272800925923</v>
      </c>
      <c r="K1846" s="44">
        <f>Data!S1844</f>
        <v>46174.272800925923</v>
      </c>
      <c r="L1846" s="45">
        <f>Data!T1844</f>
        <v>4.3287037037037035E-3</v>
      </c>
      <c r="M1846" s="46">
        <f>Data!U1844</f>
        <v>0</v>
      </c>
      <c r="N1846" s="46" t="str">
        <f>CONCATENATE(Data!W1844," (",Data!V1844,")")</f>
        <v>Tiempo en ralentí (Ignición: 1.00)</v>
      </c>
      <c r="O1846" s="42" t="str">
        <f>IF(Data!V1844&lt;&gt;"",N1846,Data!W1844)</f>
        <v>Tiempo en ralentí (Ignición: 1.00)</v>
      </c>
      <c r="P1846" s="47" t="str">
        <f>Data!X1844</f>
        <v>Válido</v>
      </c>
    </row>
    <row r="1847" spans="1:16">
      <c r="A1847" s="41" t="str">
        <f>Data!A1845</f>
        <v>QLT576</v>
      </c>
      <c r="B1847" s="41" t="str">
        <f>Data!D1845</f>
        <v>Vehicle, Diesel, Frontera Energy Col 2679</v>
      </c>
      <c r="C1847" s="41">
        <f>Data!F1845</f>
        <v>0</v>
      </c>
      <c r="D1847" s="41">
        <f>Data!G1845</f>
        <v>0</v>
      </c>
      <c r="E1847" s="41">
        <f>Data!H1845</f>
        <v>0</v>
      </c>
      <c r="F1847" s="41">
        <f>Data!K1845</f>
        <v>0</v>
      </c>
      <c r="G1847" s="33" t="str">
        <f>Data!M1845</f>
        <v>Exceso Velocidad 10 Km/h</v>
      </c>
      <c r="H1847" s="41" t="str">
        <f>Data!P1845</f>
        <v>ECOPETROL RUBIALES- Quifa - CAÑO SUR, Puerto Triunfo - Estacion Policia, PUESTRO CONTROL QUIFA: Puerto Gaitan - Rubiales, Puerto Gaitán, Meta, Colombia</v>
      </c>
      <c r="I1847" s="42" t="str">
        <f>Data!Q1845</f>
        <v>Cliente, Vel Max 40 Km/h, Vel Max 30 Km/h, Vel Max 10 Km/h</v>
      </c>
      <c r="J1847" s="43">
        <f>Data!S1845</f>
        <v>46174.27971584491</v>
      </c>
      <c r="K1847" s="44">
        <f>Data!S1845</f>
        <v>46174.27971584491</v>
      </c>
      <c r="L1847" s="45">
        <f>Data!T1845</f>
        <v>3.328935185185185E-4</v>
      </c>
      <c r="M1847" s="46">
        <f>Data!U1845</f>
        <v>0.18402376770973206</v>
      </c>
      <c r="N1847" s="46" t="str">
        <f>CONCATENATE(Data!W1845," (",Data!V1845,")")</f>
        <v>Exceso Velocidad 10 Km/h (Velocidad máxima: 26 kmh)</v>
      </c>
      <c r="O1847" s="42" t="str">
        <f>IF(Data!V1845&lt;&gt;"",N1847,Data!W1845)</f>
        <v>Exceso Velocidad 10 Km/h (Velocidad máxima: 26 kmh)</v>
      </c>
      <c r="P1847" s="47" t="str">
        <f>Data!X1845</f>
        <v>Válido</v>
      </c>
    </row>
    <row r="1848" spans="1:16">
      <c r="A1848" s="41" t="str">
        <f>Data!A1846</f>
        <v>QLT576</v>
      </c>
      <c r="B1848" s="41" t="str">
        <f>Data!D1846</f>
        <v>Vehicle, Diesel, Frontera Energy Col 2679</v>
      </c>
      <c r="C1848" s="41">
        <f>Data!F1846</f>
        <v>0</v>
      </c>
      <c r="D1848" s="41">
        <f>Data!G1846</f>
        <v>0</v>
      </c>
      <c r="E1848" s="41">
        <f>Data!H1846</f>
        <v>0</v>
      </c>
      <c r="F1848" s="41">
        <f>Data!K1846</f>
        <v>0</v>
      </c>
      <c r="G1848" s="33" t="str">
        <f>Data!M1846</f>
        <v>Exceso de velocidad (nuevo)</v>
      </c>
      <c r="H1848" s="41" t="str">
        <f>Data!P1846</f>
        <v>ECOPETROL RUBIALES- Quifa - CAÑO SUR: Puerto Gaitan - Rubiales, Puerto Gaitán, Meta, Colombia</v>
      </c>
      <c r="I1848" s="42" t="str">
        <f>Data!Q1846</f>
        <v>Cliente, Vel Max 40 Km/h</v>
      </c>
      <c r="J1848" s="43">
        <f>Data!S1846</f>
        <v>46174.280324074076</v>
      </c>
      <c r="K1848" s="44">
        <f>Data!S1846</f>
        <v>46174.280324074076</v>
      </c>
      <c r="L1848" s="45">
        <f>Data!T1846</f>
        <v>5.4398148148148144E-4</v>
      </c>
      <c r="M1848" s="46">
        <f>Data!U1846</f>
        <v>0.27379956841468811</v>
      </c>
      <c r="N1848" s="46" t="str">
        <f>CONCATENATE(Data!W1846," (",Data!V1846,")")</f>
        <v>Exceso de velocidad (nuevo) (Velocidad máxima: 22 kmh (Velocidad máxima en carretera: 7 kmh))</v>
      </c>
      <c r="O1848" s="42" t="str">
        <f>IF(Data!V1846&lt;&gt;"",N1848,Data!W1846)</f>
        <v>Exceso de velocidad (nuevo) (Velocidad máxima: 22 kmh (Velocidad máxima en carretera: 7 kmh))</v>
      </c>
      <c r="P1848" s="47" t="str">
        <f>Data!X1846</f>
        <v>Válido</v>
      </c>
    </row>
    <row r="1849" spans="1:16">
      <c r="A1849" s="41" t="str">
        <f>Data!A1847</f>
        <v>QLT576</v>
      </c>
      <c r="B1849" s="41" t="str">
        <f>Data!D1847</f>
        <v>Vehicle, Diesel, Frontera Energy Col 2679</v>
      </c>
      <c r="C1849" s="41">
        <f>Data!F1847</f>
        <v>0</v>
      </c>
      <c r="D1849" s="41">
        <f>Data!G1847</f>
        <v>0</v>
      </c>
      <c r="E1849" s="41">
        <f>Data!H1847</f>
        <v>0</v>
      </c>
      <c r="F1849" s="41">
        <f>Data!K1847</f>
        <v>0</v>
      </c>
      <c r="G1849" s="33" t="str">
        <f>Data!M1847</f>
        <v>Exceso Velocidad 10 Km/h</v>
      </c>
      <c r="H1849" s="41" t="str">
        <f>Data!P1847</f>
        <v>ECOPETROL RUBIALES- Quifa - CAÑO SUR, Centralizado de combustible Quifa: Vía Sin Nombre, Puerto Gaitán, Meta, Colombia</v>
      </c>
      <c r="I1849" s="42" t="str">
        <f>Data!Q1847</f>
        <v>Cliente, Vel Max 40 Km/h, Vel Max 10 Km/h</v>
      </c>
      <c r="J1849" s="43">
        <f>Data!S1847</f>
        <v>46174.280963333331</v>
      </c>
      <c r="K1849" s="44">
        <f>Data!S1847</f>
        <v>46174.280963333331</v>
      </c>
      <c r="L1849" s="45">
        <f>Data!T1847</f>
        <v>6.1074074074074069E-4</v>
      </c>
      <c r="M1849" s="46">
        <f>Data!U1847</f>
        <v>0.17585296928882599</v>
      </c>
      <c r="N1849" s="46" t="str">
        <f>CONCATENATE(Data!W1847," (",Data!V1847,")")</f>
        <v>Exceso Velocidad 10 Km/h (Velocidad máxima: 14 kmh)</v>
      </c>
      <c r="O1849" s="42" t="str">
        <f>IF(Data!V1847&lt;&gt;"",N1849,Data!W1847)</f>
        <v>Exceso Velocidad 10 Km/h (Velocidad máxima: 14 kmh)</v>
      </c>
      <c r="P1849" s="47" t="str">
        <f>Data!X1847</f>
        <v>Válido</v>
      </c>
    </row>
    <row r="1850" spans="1:16">
      <c r="A1850" s="41" t="str">
        <f>Data!A1848</f>
        <v>QLT576</v>
      </c>
      <c r="B1850" s="41" t="str">
        <f>Data!D1848</f>
        <v>Vehicle, Diesel, Frontera Energy Col 2679</v>
      </c>
      <c r="C1850" s="41">
        <f>Data!F1848</f>
        <v>0</v>
      </c>
      <c r="D1850" s="41">
        <f>Data!G1848</f>
        <v>0</v>
      </c>
      <c r="E1850" s="41">
        <f>Data!H1848</f>
        <v>0</v>
      </c>
      <c r="F1850" s="41">
        <f>Data!K1848</f>
        <v>0</v>
      </c>
      <c r="G1850" s="33" t="str">
        <f>Data!M1848</f>
        <v>Exceso de velocidad (nuevo)</v>
      </c>
      <c r="H1850" s="41" t="str">
        <f>Data!P1848</f>
        <v>ECOPETROL RUBIALES- Quifa - CAÑO SUR: Puerto Gaitan - Rubiales, Puerto Gaitán, Meta, Colombia</v>
      </c>
      <c r="I1850" s="42" t="str">
        <f>Data!Q1848</f>
        <v>Cliente, Vel Max 40 Km/h</v>
      </c>
      <c r="J1850" s="43">
        <f>Data!S1848</f>
        <v>46174.321914351851</v>
      </c>
      <c r="K1850" s="44">
        <f>Data!S1848</f>
        <v>46174.321914351851</v>
      </c>
      <c r="L1850" s="45">
        <f>Data!T1848</f>
        <v>7.8564814814814816E-4</v>
      </c>
      <c r="M1850" s="46">
        <f>Data!U1848</f>
        <v>0.29166612029075623</v>
      </c>
      <c r="N1850" s="46" t="str">
        <f>CONCATENATE(Data!W1848," (",Data!V1848,")")</f>
        <v>Exceso de velocidad (nuevo) (Velocidad máxima: 20 kmh (Velocidad máxima en carretera: 7 kmh))</v>
      </c>
      <c r="O1850" s="42" t="str">
        <f>IF(Data!V1848&lt;&gt;"",N1850,Data!W1848)</f>
        <v>Exceso de velocidad (nuevo) (Velocidad máxima: 20 kmh (Velocidad máxima en carretera: 7 kmh))</v>
      </c>
      <c r="P1850" s="47" t="str">
        <f>Data!X1848</f>
        <v>Válido</v>
      </c>
    </row>
    <row r="1851" spans="1:16">
      <c r="A1851" s="41" t="str">
        <f>Data!A1849</f>
        <v>QLT576</v>
      </c>
      <c r="B1851" s="41" t="str">
        <f>Data!D1849</f>
        <v>Vehicle, Diesel, Frontera Energy Col 2679</v>
      </c>
      <c r="C1851" s="41">
        <f>Data!F1849</f>
        <v>0</v>
      </c>
      <c r="D1851" s="41">
        <f>Data!G1849</f>
        <v>0</v>
      </c>
      <c r="E1851" s="41">
        <f>Data!H1849</f>
        <v>0</v>
      </c>
      <c r="F1851" s="41">
        <f>Data!K1849</f>
        <v>0</v>
      </c>
      <c r="G1851" s="33" t="str">
        <f>Data!M1849</f>
        <v>Exceso Velocidad 10 Km/h</v>
      </c>
      <c r="H1851" s="41" t="str">
        <f>Data!P1849</f>
        <v>ECOPETROL RUBIALES- Quifa - CAÑO SUR, Puerto Triunfo - Estacion Policia, PUESTRO CONTROL QUIFA: Puerto Gaitan - Rubiales, Puerto Gaitán, Meta, Colombia</v>
      </c>
      <c r="I1851" s="42" t="str">
        <f>Data!Q1849</f>
        <v>Cliente, Vel Max 40 Km/h, Vel Max 30 Km/h, Vel Max 10 Km/h</v>
      </c>
      <c r="J1851" s="43">
        <f>Data!S1849</f>
        <v>46174.322985462961</v>
      </c>
      <c r="K1851" s="44">
        <f>Data!S1849</f>
        <v>46174.322985462961</v>
      </c>
      <c r="L1851" s="45">
        <f>Data!T1849</f>
        <v>3.3563657407407408E-4</v>
      </c>
      <c r="M1851" s="46">
        <f>Data!U1849</f>
        <v>0.1834721714258194</v>
      </c>
      <c r="N1851" s="46" t="str">
        <f>CONCATENATE(Data!W1849," (",Data!V1849,")")</f>
        <v>Exceso Velocidad 10 Km/h (Velocidad máxima: 25 kmh)</v>
      </c>
      <c r="O1851" s="42" t="str">
        <f>IF(Data!V1849&lt;&gt;"",N1851,Data!W1849)</f>
        <v>Exceso Velocidad 10 Km/h (Velocidad máxima: 25 kmh)</v>
      </c>
      <c r="P1851" s="47" t="str">
        <f>Data!X1849</f>
        <v>Válido</v>
      </c>
    </row>
    <row r="1852" spans="1:16">
      <c r="A1852" s="41" t="str">
        <f>Data!A1850</f>
        <v>QLT576</v>
      </c>
      <c r="B1852" s="41" t="str">
        <f>Data!D1850</f>
        <v>Vehicle, Diesel, Frontera Energy Col 2679</v>
      </c>
      <c r="C1852" s="41">
        <f>Data!F1850</f>
        <v>0</v>
      </c>
      <c r="D1852" s="41">
        <f>Data!G1850</f>
        <v>0</v>
      </c>
      <c r="E1852" s="41">
        <f>Data!H1850</f>
        <v>0</v>
      </c>
      <c r="F1852" s="41">
        <f>Data!K1850</f>
        <v>0</v>
      </c>
      <c r="G1852" s="33" t="str">
        <f>Data!M1850</f>
        <v>Exceso Velocidad 30 Km/h</v>
      </c>
      <c r="H1852" s="41" t="str">
        <f>Data!P1850</f>
        <v>ECOPETROL RUBIALES- Quifa - CAÑO SUR, Puerto Triunfo - Estacion Policia: Vía La Primera Vara, Puerto Gaitán, Meta, Colombia</v>
      </c>
      <c r="I1852" s="42" t="str">
        <f>Data!Q1850</f>
        <v>Cliente, Vel Max 40 Km/h, Vel Max 30 Km/h</v>
      </c>
      <c r="J1852" s="43">
        <f>Data!S1850</f>
        <v>46174.33226221065</v>
      </c>
      <c r="K1852" s="44">
        <f>Data!S1850</f>
        <v>46174.33226221065</v>
      </c>
      <c r="L1852" s="45">
        <f>Data!T1850</f>
        <v>1.0543981481481482E-5</v>
      </c>
      <c r="M1852" s="46">
        <f>Data!U1850</f>
        <v>7.1456246078014374E-3</v>
      </c>
      <c r="N1852" s="46" t="str">
        <f>CONCATENATE(Data!W1850," (",Data!V1850,")")</f>
        <v>Exceso Velocidad 30 Km/h (Velocidad máxima: 31 kmh)</v>
      </c>
      <c r="O1852" s="42" t="str">
        <f>IF(Data!V1850&lt;&gt;"",N1852,Data!W1850)</f>
        <v>Exceso Velocidad 30 Km/h (Velocidad máxima: 31 kmh)</v>
      </c>
      <c r="P1852" s="47" t="str">
        <f>Data!X1850</f>
        <v>Válido</v>
      </c>
    </row>
    <row r="1853" spans="1:16">
      <c r="A1853" s="41" t="str">
        <f>Data!A1851</f>
        <v>QLT576</v>
      </c>
      <c r="B1853" s="41" t="str">
        <f>Data!D1851</f>
        <v>Vehicle, Diesel, Frontera Energy Col 2679</v>
      </c>
      <c r="C1853" s="41">
        <f>Data!F1851</f>
        <v>0</v>
      </c>
      <c r="D1853" s="41">
        <f>Data!G1851</f>
        <v>0</v>
      </c>
      <c r="E1853" s="41">
        <f>Data!H1851</f>
        <v>0</v>
      </c>
      <c r="F1853" s="41">
        <f>Data!K1851</f>
        <v>0</v>
      </c>
      <c r="G1853" s="33" t="str">
        <f>Data!M1851</f>
        <v>Uso del cinturón de seguridad</v>
      </c>
      <c r="H1853" s="41" t="str">
        <f>Data!P1851</f>
        <v>ECOPETROL RUBIALES- Quifa - CAÑO SUR: Qf 045 120x Pwa 127 Qf 78, Puerto Gaitán, Meta, Colombia</v>
      </c>
      <c r="I1853" s="42" t="str">
        <f>Data!Q1851</f>
        <v>Cliente, Vel Max 40 Km/h</v>
      </c>
      <c r="J1853" s="43">
        <f>Data!S1851</f>
        <v>46174.3351453125</v>
      </c>
      <c r="K1853" s="44">
        <f>Data!S1851</f>
        <v>46174.3351453125</v>
      </c>
      <c r="L1853" s="45">
        <f>Data!T1851</f>
        <v>1.287037037037037E-5</v>
      </c>
      <c r="M1853" s="46">
        <f>Data!U1851</f>
        <v>4.0691872127354145E-3</v>
      </c>
      <c r="N1853" s="46" t="str">
        <f>CONCATENATE(Data!W1851," (",Data!V1851,")")</f>
        <v>Uso del cinturón de seguridad (Velocidad máxima: 16 kmh Cinturón de seguridad del conductor (1. Desabrochado): 1.00)</v>
      </c>
      <c r="O1853" s="42" t="str">
        <f>IF(Data!V1851&lt;&gt;"",N1853,Data!W1851)</f>
        <v>Uso del cinturón de seguridad (Velocidad máxima: 16 kmh Cinturón de seguridad del conductor (1. Desabrochado): 1.00)</v>
      </c>
      <c r="P1853" s="47" t="str">
        <f>Data!X1851</f>
        <v>Válido</v>
      </c>
    </row>
    <row r="1854" spans="1:16">
      <c r="A1854" s="41" t="str">
        <f>Data!A1852</f>
        <v>QLT576</v>
      </c>
      <c r="B1854" s="41" t="str">
        <f>Data!D1852</f>
        <v>Vehicle, Diesel, Frontera Energy Col 2679</v>
      </c>
      <c r="C1854" s="41">
        <f>Data!F1852</f>
        <v>0</v>
      </c>
      <c r="D1854" s="41">
        <f>Data!G1852</f>
        <v>0</v>
      </c>
      <c r="E1854" s="41">
        <f>Data!H1852</f>
        <v>0</v>
      </c>
      <c r="F1854" s="41">
        <f>Data!K1852</f>
        <v>0</v>
      </c>
      <c r="G1854" s="33" t="str">
        <f>Data!M1852</f>
        <v>Tiempo en ralentí</v>
      </c>
      <c r="H1854" s="41" t="str">
        <f>Data!P1852</f>
        <v>ECOPETROL RUBIALES- Quifa - CAÑO SUR: Qf 78, Puerto Gaitán, Meta, Colombia</v>
      </c>
      <c r="I1854" s="42" t="str">
        <f>Data!Q1852</f>
        <v>Cliente, Vel Max 40 Km/h</v>
      </c>
      <c r="J1854" s="43">
        <f>Data!S1852</f>
        <v>46174.373136574075</v>
      </c>
      <c r="K1854" s="44">
        <f>Data!S1852</f>
        <v>46174.373136574075</v>
      </c>
      <c r="L1854" s="45">
        <f>Data!T1852</f>
        <v>4.6412037037037038E-3</v>
      </c>
      <c r="M1854" s="46">
        <f>Data!U1852</f>
        <v>0</v>
      </c>
      <c r="N1854" s="46" t="str">
        <f>CONCATENATE(Data!W1852," (",Data!V1852,")")</f>
        <v>Tiempo en ralentí (Ignición: 1.00)</v>
      </c>
      <c r="O1854" s="42" t="str">
        <f>IF(Data!V1852&lt;&gt;"",N1854,Data!W1852)</f>
        <v>Tiempo en ralentí (Ignición: 1.00)</v>
      </c>
      <c r="P1854" s="47" t="str">
        <f>Data!X1852</f>
        <v>Válido</v>
      </c>
    </row>
    <row r="1855" spans="1:16">
      <c r="A1855" s="41" t="str">
        <f>Data!A1853</f>
        <v>QLT576</v>
      </c>
      <c r="B1855" s="41" t="str">
        <f>Data!D1853</f>
        <v>Vehicle, Diesel, Frontera Energy Col 2679</v>
      </c>
      <c r="C1855" s="41">
        <f>Data!F1853</f>
        <v>0</v>
      </c>
      <c r="D1855" s="41">
        <f>Data!G1853</f>
        <v>0</v>
      </c>
      <c r="E1855" s="41">
        <f>Data!H1853</f>
        <v>0</v>
      </c>
      <c r="F1855" s="41">
        <f>Data!K1853</f>
        <v>0</v>
      </c>
      <c r="G1855" s="33" t="str">
        <f>Data!M1853</f>
        <v>Tiempo en ralentí</v>
      </c>
      <c r="H1855" s="41" t="str">
        <f>Data!P1853</f>
        <v>ECOPETROL RUBIALES- Quifa - CAÑO SUR: Qf 78, Puerto Gaitán, Meta, Colombia</v>
      </c>
      <c r="I1855" s="42" t="str">
        <f>Data!Q1853</f>
        <v>Cliente, Vel Max 40 Km/h</v>
      </c>
      <c r="J1855" s="43">
        <f>Data!S1853</f>
        <v>46174.381377314814</v>
      </c>
      <c r="K1855" s="44">
        <f>Data!S1853</f>
        <v>46174.381377314814</v>
      </c>
      <c r="L1855" s="45">
        <f>Data!T1853</f>
        <v>7.766203703703704E-3</v>
      </c>
      <c r="M1855" s="46">
        <f>Data!U1853</f>
        <v>0</v>
      </c>
      <c r="N1855" s="46" t="str">
        <f>CONCATENATE(Data!W1853," (",Data!V1853,")")</f>
        <v>Tiempo en ralentí (Ignición: 1.00)</v>
      </c>
      <c r="O1855" s="42" t="str">
        <f>IF(Data!V1853&lt;&gt;"",N1855,Data!W1853)</f>
        <v>Tiempo en ralentí (Ignición: 1.00)</v>
      </c>
      <c r="P1855" s="47" t="str">
        <f>Data!X1853</f>
        <v>Válido</v>
      </c>
    </row>
    <row r="1856" spans="1:16">
      <c r="A1856" s="41" t="str">
        <f>Data!A1854</f>
        <v>QLT576</v>
      </c>
      <c r="B1856" s="41" t="str">
        <f>Data!D1854</f>
        <v>Vehicle, Diesel, Frontera Energy Col 2679</v>
      </c>
      <c r="C1856" s="41">
        <f>Data!F1854</f>
        <v>0</v>
      </c>
      <c r="D1856" s="41">
        <f>Data!G1854</f>
        <v>0</v>
      </c>
      <c r="E1856" s="41">
        <f>Data!H1854</f>
        <v>0</v>
      </c>
      <c r="F1856" s="41">
        <f>Data!K1854</f>
        <v>0</v>
      </c>
      <c r="G1856" s="33" t="str">
        <f>Data!M1854</f>
        <v>Giro brusco</v>
      </c>
      <c r="H1856" s="41" t="str">
        <f>Data!P1854</f>
        <v>ECOPETROL RUBIALES- Quifa - CAÑO SUR: Pwa 127 Qf 78, Puerto Gaitán, Meta, Colombia</v>
      </c>
      <c r="I1856" s="42" t="str">
        <f>Data!Q1854</f>
        <v>Cliente, Vel Max 40 Km/h</v>
      </c>
      <c r="J1856" s="43">
        <f>Data!S1854</f>
        <v>46174.427377662039</v>
      </c>
      <c r="K1856" s="44">
        <f>Data!S1854</f>
        <v>46174.427377662039</v>
      </c>
      <c r="L1856" s="45">
        <f>Data!T1854</f>
        <v>2.8935185185185185E-7</v>
      </c>
      <c r="M1856" s="46">
        <f>Data!U1854</f>
        <v>7.5872718298342079E-5</v>
      </c>
      <c r="N1856" s="46" t="str">
        <f>CONCATENATE(Data!W1854," (",Data!V1854,")")</f>
        <v>Giro brusco (Velocidad máxima: 12 kmh Ignición: 1.00 , Aceleración de lado a lado: 0.50 g-force)</v>
      </c>
      <c r="O1856" s="42" t="str">
        <f>IF(Data!V1854&lt;&gt;"",N1856,Data!W1854)</f>
        <v>Giro brusco (Velocidad máxima: 12 kmh Ignición: 1.00 , Aceleración de lado a lado: 0.50 g-force)</v>
      </c>
      <c r="P1856" s="47" t="str">
        <f>Data!X1854</f>
        <v>Válido</v>
      </c>
    </row>
    <row r="1857" spans="1:16">
      <c r="A1857" s="41" t="str">
        <f>Data!A1855</f>
        <v>QLT576</v>
      </c>
      <c r="B1857" s="41" t="str">
        <f>Data!D1855</f>
        <v>Vehicle, Diesel, Frontera Energy Col 2679</v>
      </c>
      <c r="C1857" s="41">
        <f>Data!F1855</f>
        <v>0</v>
      </c>
      <c r="D1857" s="41">
        <f>Data!G1855</f>
        <v>0</v>
      </c>
      <c r="E1857" s="41">
        <f>Data!H1855</f>
        <v>0</v>
      </c>
      <c r="F1857" s="41">
        <f>Data!K1855</f>
        <v>0</v>
      </c>
      <c r="G1857" s="33" t="str">
        <f>Data!M1855</f>
        <v>Tiempo en ralentí</v>
      </c>
      <c r="H1857" s="41" t="str">
        <f>Data!P1855</f>
        <v>ECOPETROL RUBIALES- Quifa - CAÑO SUR: Pwa 127 Qf 78, Puerto Gaitán, Meta, Colombia</v>
      </c>
      <c r="I1857" s="42" t="str">
        <f>Data!Q1855</f>
        <v>Cliente, Vel Max 40 Km/h</v>
      </c>
      <c r="J1857" s="43">
        <f>Data!S1855</f>
        <v>46174.428831018522</v>
      </c>
      <c r="K1857" s="44">
        <f>Data!S1855</f>
        <v>46174.428831018522</v>
      </c>
      <c r="L1857" s="45">
        <f>Data!T1855</f>
        <v>5.7407407407407407E-3</v>
      </c>
      <c r="M1857" s="46">
        <f>Data!U1855</f>
        <v>0</v>
      </c>
      <c r="N1857" s="46" t="str">
        <f>CONCATENATE(Data!W1855," (",Data!V1855,")")</f>
        <v>Tiempo en ralentí (Ignición: 1.00)</v>
      </c>
      <c r="O1857" s="42" t="str">
        <f>IF(Data!V1855&lt;&gt;"",N1857,Data!W1855)</f>
        <v>Tiempo en ralentí (Ignición: 1.00)</v>
      </c>
      <c r="P1857" s="47" t="str">
        <f>Data!X1855</f>
        <v>Válido</v>
      </c>
    </row>
    <row r="1858" spans="1:16">
      <c r="A1858" s="41" t="str">
        <f>Data!A1856</f>
        <v>QLT576</v>
      </c>
      <c r="B1858" s="41" t="str">
        <f>Data!D1856</f>
        <v>Vehicle, Diesel, Frontera Energy Col 2679</v>
      </c>
      <c r="C1858" s="41">
        <f>Data!F1856</f>
        <v>0</v>
      </c>
      <c r="D1858" s="41">
        <f>Data!G1856</f>
        <v>0</v>
      </c>
      <c r="E1858" s="41">
        <f>Data!H1856</f>
        <v>0</v>
      </c>
      <c r="F1858" s="41">
        <f>Data!K1856</f>
        <v>0</v>
      </c>
      <c r="G1858" s="33" t="str">
        <f>Data!M1856</f>
        <v>Tiempo en ralentí</v>
      </c>
      <c r="H1858" s="41" t="str">
        <f>Data!P1856</f>
        <v>ECOPETROL RUBIALES- Quifa - CAÑO SUR: QF-392, Puerto Gaitán, Meta, Colombia</v>
      </c>
      <c r="I1858" s="42" t="str">
        <f>Data!Q1856</f>
        <v>Cliente, Vel Max 40 Km/h</v>
      </c>
      <c r="J1858" s="43">
        <f>Data!S1856</f>
        <v>46174.453506944446</v>
      </c>
      <c r="K1858" s="44">
        <f>Data!S1856</f>
        <v>46174.453506944446</v>
      </c>
      <c r="L1858" s="45">
        <f>Data!T1856</f>
        <v>4.1319444444444442E-3</v>
      </c>
      <c r="M1858" s="46">
        <f>Data!U1856</f>
        <v>0</v>
      </c>
      <c r="N1858" s="46" t="str">
        <f>CONCATENATE(Data!W1856," (",Data!V1856,")")</f>
        <v>Tiempo en ralentí (Ignición: 1.00)</v>
      </c>
      <c r="O1858" s="42" t="str">
        <f>IF(Data!V1856&lt;&gt;"",N1858,Data!W1856)</f>
        <v>Tiempo en ralentí (Ignición: 1.00)</v>
      </c>
      <c r="P1858" s="47" t="str">
        <f>Data!X1856</f>
        <v>Válido</v>
      </c>
    </row>
    <row r="1859" spans="1:16">
      <c r="A1859" s="41" t="str">
        <f>Data!A1857</f>
        <v>QLT576</v>
      </c>
      <c r="B1859" s="41" t="str">
        <f>Data!D1857</f>
        <v>Vehicle, Diesel, Frontera Energy Col 2679</v>
      </c>
      <c r="C1859" s="41">
        <f>Data!F1857</f>
        <v>0</v>
      </c>
      <c r="D1859" s="41">
        <f>Data!G1857</f>
        <v>0</v>
      </c>
      <c r="E1859" s="41">
        <f>Data!H1857</f>
        <v>0</v>
      </c>
      <c r="F1859" s="41">
        <f>Data!K1857</f>
        <v>0</v>
      </c>
      <c r="G1859" s="33" t="str">
        <f>Data!M1857</f>
        <v>Giro brusco</v>
      </c>
      <c r="H1859" s="41" t="str">
        <f>Data!P1857</f>
        <v>ECOPETROL RUBIALES- Quifa - CAÑO SUR: Qf 045, Puerto Gaitán, Meta, Colombia</v>
      </c>
      <c r="I1859" s="42" t="str">
        <f>Data!Q1857</f>
        <v>Cliente, Vel Max 40 Km/h</v>
      </c>
      <c r="J1859" s="43">
        <f>Data!S1857</f>
        <v>46174.48181125</v>
      </c>
      <c r="K1859" s="44">
        <f>Data!S1857</f>
        <v>46174.48181125</v>
      </c>
      <c r="L1859" s="45">
        <f>Data!T1857</f>
        <v>5.0925925925925927E-7</v>
      </c>
      <c r="M1859" s="46">
        <f>Data!U1857</f>
        <v>2.5366098270751536E-4</v>
      </c>
      <c r="N1859" s="46" t="str">
        <f>CONCATENATE(Data!W1857," (",Data!V1857,")")</f>
        <v>Giro brusco (Velocidad máxima: 19 kmh Aceleración de lado a lado: -0.52 g-force, Ignición: 1.00)</v>
      </c>
      <c r="O1859" s="42" t="str">
        <f>IF(Data!V1857&lt;&gt;"",N1859,Data!W1857)</f>
        <v>Giro brusco (Velocidad máxima: 19 kmh Aceleración de lado a lado: -0.52 g-force, Ignición: 1.00)</v>
      </c>
      <c r="P1859" s="47" t="str">
        <f>Data!X1857</f>
        <v>Válido</v>
      </c>
    </row>
    <row r="1860" spans="1:16">
      <c r="A1860" s="41" t="str">
        <f>Data!A1858</f>
        <v>QLT576</v>
      </c>
      <c r="B1860" s="41" t="str">
        <f>Data!D1858</f>
        <v>Vehicle, Diesel, Frontera Energy Col 2679</v>
      </c>
      <c r="C1860" s="41">
        <f>Data!F1858</f>
        <v>0</v>
      </c>
      <c r="D1860" s="41">
        <f>Data!G1858</f>
        <v>0</v>
      </c>
      <c r="E1860" s="41">
        <f>Data!H1858</f>
        <v>0</v>
      </c>
      <c r="F1860" s="41">
        <f>Data!K1858</f>
        <v>0</v>
      </c>
      <c r="G1860" s="33" t="str">
        <f>Data!M1858</f>
        <v>Exceso Velocidad 40 Km/h</v>
      </c>
      <c r="H1860" s="41" t="str">
        <f>Data!P1858</f>
        <v>ECOPETROL RUBIALES- Quifa - CAÑO SUR: Qf 045, Puerto Gaitán, Meta, Colombia</v>
      </c>
      <c r="I1860" s="42" t="str">
        <f>Data!Q1858</f>
        <v>Cliente, Vel Max 40 Km/h</v>
      </c>
      <c r="J1860" s="43">
        <f>Data!S1858</f>
        <v>46174.497311921295</v>
      </c>
      <c r="K1860" s="44">
        <f>Data!S1858</f>
        <v>46174.497311921295</v>
      </c>
      <c r="L1860" s="45">
        <f>Data!T1858</f>
        <v>2.0254629629629629E-5</v>
      </c>
      <c r="M1860" s="46">
        <f>Data!U1858</f>
        <v>1.8465865403413773E-2</v>
      </c>
      <c r="N1860" s="46" t="str">
        <f>CONCATENATE(Data!W1858," (",Data!V1858,")")</f>
        <v>Exceso Velocidad 40 Km/h (Velocidad máxima: 41 kmh)</v>
      </c>
      <c r="O1860" s="42" t="str">
        <f>IF(Data!V1858&lt;&gt;"",N1860,Data!W1858)</f>
        <v>Exceso Velocidad 40 Km/h (Velocidad máxima: 41 kmh)</v>
      </c>
      <c r="P1860" s="47" t="str">
        <f>Data!X1858</f>
        <v>Válido</v>
      </c>
    </row>
    <row r="1861" spans="1:16">
      <c r="A1861" s="41" t="str">
        <f>Data!A1859</f>
        <v>QLT576</v>
      </c>
      <c r="B1861" s="41" t="str">
        <f>Data!D1859</f>
        <v>Vehicle, Diesel, Frontera Energy Col 2679</v>
      </c>
      <c r="C1861" s="41">
        <f>Data!F1859</f>
        <v>0</v>
      </c>
      <c r="D1861" s="41">
        <f>Data!G1859</f>
        <v>0</v>
      </c>
      <c r="E1861" s="41">
        <f>Data!H1859</f>
        <v>0</v>
      </c>
      <c r="F1861" s="41">
        <f>Data!K1859</f>
        <v>0</v>
      </c>
      <c r="G1861" s="33" t="str">
        <f>Data!M1859</f>
        <v>Frenado brusco (nuevo)</v>
      </c>
      <c r="H1861" s="41" t="str">
        <f>Data!P1859</f>
        <v>ECOPETROL RUBIALES- Quifa - CAÑO SUR: Qf 045, Puerto Gaitán, Meta, Colombia</v>
      </c>
      <c r="I1861" s="42" t="str">
        <f>Data!Q1859</f>
        <v>Cliente, Vel Max 40 Km/h</v>
      </c>
      <c r="J1861" s="43">
        <f>Data!S1859</f>
        <v>46174.497407407405</v>
      </c>
      <c r="K1861" s="44">
        <f>Data!S1859</f>
        <v>46174.497407407405</v>
      </c>
      <c r="L1861" s="45">
        <f>Data!T1859</f>
        <v>0</v>
      </c>
      <c r="M1861" s="46">
        <f>Data!U1859</f>
        <v>0</v>
      </c>
      <c r="N1861" s="46" t="str">
        <f>CONCATENATE(Data!W1859," (",Data!V1859,")")</f>
        <v>Frenado brusco (nuevo) (Clase de vehículo para métricas de seguridad: Otra clase (no estandarizada), Velocidad máxima: 20 kmh,  Ignición: 1)</v>
      </c>
      <c r="O1861" s="42" t="str">
        <f>IF(Data!V1859&lt;&gt;"",N1861,Data!W1859)</f>
        <v>Frenado brusco (nuevo) (Clase de vehículo para métricas de seguridad: Otra clase (no estandarizada), Velocidad máxima: 20 kmh,  Ignición: 1)</v>
      </c>
      <c r="P1861" s="47" t="str">
        <f>Data!X1859</f>
        <v>Válido</v>
      </c>
    </row>
    <row r="1862" spans="1:16">
      <c r="A1862" s="41" t="str">
        <f>Data!A1860</f>
        <v>QLT576</v>
      </c>
      <c r="B1862" s="41" t="str">
        <f>Data!D1860</f>
        <v>Vehicle, Diesel, Frontera Energy Col 2679</v>
      </c>
      <c r="C1862" s="41">
        <f>Data!F1860</f>
        <v>0</v>
      </c>
      <c r="D1862" s="41">
        <f>Data!G1860</f>
        <v>0</v>
      </c>
      <c r="E1862" s="41">
        <f>Data!H1860</f>
        <v>0</v>
      </c>
      <c r="F1862" s="41">
        <f>Data!K1860</f>
        <v>0</v>
      </c>
      <c r="G1862" s="33" t="str">
        <f>Data!M1860</f>
        <v>Exceso Velocidad 40 Km/h</v>
      </c>
      <c r="H1862" s="41" t="str">
        <f>Data!P1860</f>
        <v>ECOPETROL RUBIALES- Quifa - CAÑO SUR: Qf 045 120x Pwa 127 Qf 78, Puerto Gaitán, Meta, Colombia</v>
      </c>
      <c r="I1862" s="42" t="str">
        <f>Data!Q1860</f>
        <v>Cliente, Vel Max 40 Km/h</v>
      </c>
      <c r="J1862" s="43">
        <f>Data!S1860</f>
        <v>46174.498028553244</v>
      </c>
      <c r="K1862" s="44">
        <f>Data!S1860</f>
        <v>46174.498028553244</v>
      </c>
      <c r="L1862" s="45">
        <f>Data!T1860</f>
        <v>1.4659722222222222E-4</v>
      </c>
      <c r="M1862" s="46">
        <f>Data!U1860</f>
        <v>0.14254829287528992</v>
      </c>
      <c r="N1862" s="46" t="str">
        <f>CONCATENATE(Data!W1860," (",Data!V1860,")")</f>
        <v>Exceso Velocidad 40 Km/h (Velocidad máxima: 42 kmh)</v>
      </c>
      <c r="O1862" s="42" t="str">
        <f>IF(Data!V1860&lt;&gt;"",N1862,Data!W1860)</f>
        <v>Exceso Velocidad 40 Km/h (Velocidad máxima: 42 kmh)</v>
      </c>
      <c r="P1862" s="47" t="str">
        <f>Data!X1860</f>
        <v>Válido</v>
      </c>
    </row>
    <row r="1863" spans="1:16">
      <c r="A1863" s="41" t="str">
        <f>Data!A1861</f>
        <v>QLT576</v>
      </c>
      <c r="B1863" s="41" t="str">
        <f>Data!D1861</f>
        <v>Vehicle, Diesel, Frontera Energy Col 2679</v>
      </c>
      <c r="C1863" s="41">
        <f>Data!F1861</f>
        <v>0</v>
      </c>
      <c r="D1863" s="41">
        <f>Data!G1861</f>
        <v>0</v>
      </c>
      <c r="E1863" s="41">
        <f>Data!H1861</f>
        <v>0</v>
      </c>
      <c r="F1863" s="41">
        <f>Data!K1861</f>
        <v>0</v>
      </c>
      <c r="G1863" s="33" t="str">
        <f>Data!M1861</f>
        <v>Exceso Velocidad 40 Km/h</v>
      </c>
      <c r="H1863" s="41" t="str">
        <f>Data!P1861</f>
        <v>ECOPETROL RUBIALES- Quifa - CAÑO SUR: Qf 045 120x Pwa 127 Qf 78, Puerto Gaitán, Meta, Colombia</v>
      </c>
      <c r="I1863" s="42" t="str">
        <f>Data!Q1861</f>
        <v>Cliente, Vel Max 40 Km/h</v>
      </c>
      <c r="J1863" s="43">
        <f>Data!S1861</f>
        <v>46174.498223379735</v>
      </c>
      <c r="K1863" s="44">
        <f>Data!S1861</f>
        <v>46174.498223379735</v>
      </c>
      <c r="L1863" s="45">
        <f>Data!T1861</f>
        <v>4.9189814814814815E-5</v>
      </c>
      <c r="M1863" s="46">
        <f>Data!U1861</f>
        <v>4.5539509505033493E-2</v>
      </c>
      <c r="N1863" s="46" t="str">
        <f>CONCATENATE(Data!W1861," (",Data!V1861,")")</f>
        <v>Exceso Velocidad 40 Km/h (Velocidad máxima: 41 kmh)</v>
      </c>
      <c r="O1863" s="42" t="str">
        <f>IF(Data!V1861&lt;&gt;"",N1863,Data!W1861)</f>
        <v>Exceso Velocidad 40 Km/h (Velocidad máxima: 41 kmh)</v>
      </c>
      <c r="P1863" s="47" t="str">
        <f>Data!X1861</f>
        <v>Válido</v>
      </c>
    </row>
    <row r="1864" spans="1:16">
      <c r="A1864" s="41" t="str">
        <f>Data!A1862</f>
        <v>QLT576</v>
      </c>
      <c r="B1864" s="41" t="str">
        <f>Data!D1862</f>
        <v>Vehicle, Diesel, Frontera Energy Col 2679</v>
      </c>
      <c r="C1864" s="41">
        <f>Data!F1862</f>
        <v>0</v>
      </c>
      <c r="D1864" s="41">
        <f>Data!G1862</f>
        <v>0</v>
      </c>
      <c r="E1864" s="41">
        <f>Data!H1862</f>
        <v>0</v>
      </c>
      <c r="F1864" s="41">
        <f>Data!K1862</f>
        <v>0</v>
      </c>
      <c r="G1864" s="33" t="str">
        <f>Data!M1862</f>
        <v>Exceso Velocidad 40 Km/h</v>
      </c>
      <c r="H1864" s="41" t="str">
        <f>Data!P1862</f>
        <v>ECOPETROL RUBIALES- Quifa - CAÑO SUR: Qf 045 120x Pwa 127 Qf 78, Puerto Gaitán, Meta, Colombia</v>
      </c>
      <c r="I1864" s="42" t="str">
        <f>Data!Q1862</f>
        <v>Cliente, Vel Max 40 Km/h</v>
      </c>
      <c r="J1864" s="43">
        <f>Data!S1862</f>
        <v>46174.498394097223</v>
      </c>
      <c r="K1864" s="44">
        <f>Data!S1862</f>
        <v>46174.498394097223</v>
      </c>
      <c r="L1864" s="45">
        <f>Data!T1862</f>
        <v>3.5682870370370369E-5</v>
      </c>
      <c r="M1864" s="46">
        <f>Data!U1862</f>
        <v>3.3534877002239227E-2</v>
      </c>
      <c r="N1864" s="46" t="str">
        <f>CONCATENATE(Data!W1862," (",Data!V1862,")")</f>
        <v>Exceso Velocidad 40 Km/h (Velocidad máxima: 41 kmh)</v>
      </c>
      <c r="O1864" s="42" t="str">
        <f>IF(Data!V1862&lt;&gt;"",N1864,Data!W1862)</f>
        <v>Exceso Velocidad 40 Km/h (Velocidad máxima: 41 kmh)</v>
      </c>
      <c r="P1864" s="47" t="str">
        <f>Data!X1862</f>
        <v>Válido</v>
      </c>
    </row>
    <row r="1865" spans="1:16">
      <c r="A1865" s="41" t="str">
        <f>Data!A1863</f>
        <v>QLT576</v>
      </c>
      <c r="B1865" s="41" t="str">
        <f>Data!D1863</f>
        <v>Vehicle, Diesel, Frontera Energy Col 2679</v>
      </c>
      <c r="C1865" s="41">
        <f>Data!F1863</f>
        <v>0</v>
      </c>
      <c r="D1865" s="41">
        <f>Data!G1863</f>
        <v>0</v>
      </c>
      <c r="E1865" s="41">
        <f>Data!H1863</f>
        <v>0</v>
      </c>
      <c r="F1865" s="41">
        <f>Data!K1863</f>
        <v>0</v>
      </c>
      <c r="G1865" s="33" t="str">
        <f>Data!M1863</f>
        <v>Exceso Velocidad 40 Km/h</v>
      </c>
      <c r="H1865" s="41" t="str">
        <f>Data!P1863</f>
        <v>ECOPETROL RUBIALES- Quifa - CAÑO SUR: Qf 045 120x Pwa 127 Qf 78, Puerto Gaitán, Meta, Colombia</v>
      </c>
      <c r="I1865" s="42" t="str">
        <f>Data!Q1863</f>
        <v>Cliente, Vel Max 40 Km/h</v>
      </c>
      <c r="J1865" s="43">
        <f>Data!S1863</f>
        <v>46174.49855517361</v>
      </c>
      <c r="K1865" s="44">
        <f>Data!S1863</f>
        <v>46174.49855517361</v>
      </c>
      <c r="L1865" s="45">
        <f>Data!T1863</f>
        <v>4.4363425925925926E-5</v>
      </c>
      <c r="M1865" s="46">
        <f>Data!U1863</f>
        <v>4.1348934173583984E-2</v>
      </c>
      <c r="N1865" s="46" t="str">
        <f>CONCATENATE(Data!W1863," (",Data!V1863,")")</f>
        <v>Exceso Velocidad 40 Km/h (Velocidad máxima: 41 kmh)</v>
      </c>
      <c r="O1865" s="42" t="str">
        <f>IF(Data!V1863&lt;&gt;"",N1865,Data!W1863)</f>
        <v>Exceso Velocidad 40 Km/h (Velocidad máxima: 41 kmh)</v>
      </c>
      <c r="P1865" s="47" t="str">
        <f>Data!X1863</f>
        <v>Válido</v>
      </c>
    </row>
    <row r="1866" spans="1:16">
      <c r="A1866" s="41" t="str">
        <f>Data!A1864</f>
        <v>QLT576</v>
      </c>
      <c r="B1866" s="41" t="str">
        <f>Data!D1864</f>
        <v>Vehicle, Diesel, Frontera Energy Col 2679</v>
      </c>
      <c r="C1866" s="41">
        <f>Data!F1864</f>
        <v>0</v>
      </c>
      <c r="D1866" s="41">
        <f>Data!G1864</f>
        <v>0</v>
      </c>
      <c r="E1866" s="41">
        <f>Data!H1864</f>
        <v>0</v>
      </c>
      <c r="F1866" s="41">
        <f>Data!K1864</f>
        <v>0</v>
      </c>
      <c r="G1866" s="33" t="str">
        <f>Data!M1864</f>
        <v>Exceso Velocidad 40 Km/h</v>
      </c>
      <c r="H1866" s="41" t="str">
        <f>Data!P1864</f>
        <v>ECOPETROL RUBIALES- Quifa - CAÑO SUR: Qf 045 120x Pwa 127 Qf 78, Puerto Gaitán, Meta, Colombia</v>
      </c>
      <c r="I1866" s="42" t="str">
        <f>Data!Q1864</f>
        <v>Cliente, Vel Max 40 Km/h</v>
      </c>
      <c r="J1866" s="43">
        <f>Data!S1864</f>
        <v>46174.498778113426</v>
      </c>
      <c r="K1866" s="44">
        <f>Data!S1864</f>
        <v>46174.498778113426</v>
      </c>
      <c r="L1866" s="45">
        <f>Data!T1864</f>
        <v>2.4387731481481482E-4</v>
      </c>
      <c r="M1866" s="46">
        <f>Data!U1864</f>
        <v>0.23155805468559265</v>
      </c>
      <c r="N1866" s="46" t="str">
        <f>CONCATENATE(Data!W1864," (",Data!V1864,")")</f>
        <v>Exceso Velocidad 40 Km/h (Velocidad máxima: 42 kmh)</v>
      </c>
      <c r="O1866" s="42" t="str">
        <f>IF(Data!V1864&lt;&gt;"",N1866,Data!W1864)</f>
        <v>Exceso Velocidad 40 Km/h (Velocidad máxima: 42 kmh)</v>
      </c>
      <c r="P1866" s="47" t="str">
        <f>Data!X1864</f>
        <v>Válido</v>
      </c>
    </row>
    <row r="1867" spans="1:16">
      <c r="A1867" s="41" t="str">
        <f>Data!A1865</f>
        <v>QLT576</v>
      </c>
      <c r="B1867" s="41" t="str">
        <f>Data!D1865</f>
        <v>Vehicle, Diesel, Frontera Energy Col 2679</v>
      </c>
      <c r="C1867" s="41">
        <f>Data!F1865</f>
        <v>0</v>
      </c>
      <c r="D1867" s="41">
        <f>Data!G1865</f>
        <v>0</v>
      </c>
      <c r="E1867" s="41">
        <f>Data!H1865</f>
        <v>0</v>
      </c>
      <c r="F1867" s="41">
        <f>Data!K1865</f>
        <v>0</v>
      </c>
      <c r="G1867" s="33" t="str">
        <f>Data!M1865</f>
        <v>Exceso Velocidad 40 Km/h</v>
      </c>
      <c r="H1867" s="41" t="str">
        <f>Data!P1865</f>
        <v>ECOPETROL RUBIALES- Quifa - CAÑO SUR: Qf 045 120x Pwa 127 Qf 78, Puerto Gaitán, Meta, Colombia</v>
      </c>
      <c r="I1867" s="42" t="str">
        <f>Data!Q1865</f>
        <v>Cliente, Vel Max 40 Km/h</v>
      </c>
      <c r="J1867" s="43">
        <f>Data!S1865</f>
        <v>46174.499390428238</v>
      </c>
      <c r="K1867" s="44">
        <f>Data!S1865</f>
        <v>46174.499390428238</v>
      </c>
      <c r="L1867" s="45">
        <f>Data!T1865</f>
        <v>1.4082175925925926E-4</v>
      </c>
      <c r="M1867" s="46">
        <f>Data!U1865</f>
        <v>0.13302163779735565</v>
      </c>
      <c r="N1867" s="46" t="str">
        <f>CONCATENATE(Data!W1865," (",Data!V1865,")")</f>
        <v>Exceso Velocidad 40 Km/h (Velocidad máxima: 41 kmh)</v>
      </c>
      <c r="O1867" s="42" t="str">
        <f>IF(Data!V1865&lt;&gt;"",N1867,Data!W1865)</f>
        <v>Exceso Velocidad 40 Km/h (Velocidad máxima: 41 kmh)</v>
      </c>
      <c r="P1867" s="47" t="str">
        <f>Data!X1865</f>
        <v>Válido</v>
      </c>
    </row>
    <row r="1868" spans="1:16">
      <c r="A1868" s="41" t="str">
        <f>Data!A1866</f>
        <v>QLT576</v>
      </c>
      <c r="B1868" s="41" t="str">
        <f>Data!D1866</f>
        <v>Vehicle, Diesel, Frontera Energy Col 2679</v>
      </c>
      <c r="C1868" s="41">
        <f>Data!F1866</f>
        <v>0</v>
      </c>
      <c r="D1868" s="41">
        <f>Data!G1866</f>
        <v>0</v>
      </c>
      <c r="E1868" s="41">
        <f>Data!H1866</f>
        <v>0</v>
      </c>
      <c r="F1868" s="41">
        <f>Data!K1866</f>
        <v>0</v>
      </c>
      <c r="G1868" s="33" t="str">
        <f>Data!M1866</f>
        <v>Exceso Velocidad 40 Km/h</v>
      </c>
      <c r="H1868" s="41" t="str">
        <f>Data!P1866</f>
        <v>ECOPETROL RUBIALES- Quifa - CAÑO SUR: Qf 045 120x Pwa 127 Qf 78, Puerto Gaitán, Meta, Colombia</v>
      </c>
      <c r="I1868" s="42" t="str">
        <f>Data!Q1866</f>
        <v>Cliente, Vel Max 40 Km/h</v>
      </c>
      <c r="J1868" s="43">
        <f>Data!S1866</f>
        <v>46174.499681713067</v>
      </c>
      <c r="K1868" s="44">
        <f>Data!S1866</f>
        <v>46174.499681713067</v>
      </c>
      <c r="L1868" s="45">
        <f>Data!T1866</f>
        <v>1.3310195185185187E-4</v>
      </c>
      <c r="M1868" s="46">
        <f>Data!U1866</f>
        <v>0.12665280699729919</v>
      </c>
      <c r="N1868" s="46" t="str">
        <f>CONCATENATE(Data!W1866," (",Data!V1866,")")</f>
        <v>Exceso Velocidad 40 Km/h (Velocidad máxima: 41 kmh)</v>
      </c>
      <c r="O1868" s="42" t="str">
        <f>IF(Data!V1866&lt;&gt;"",N1868,Data!W1866)</f>
        <v>Exceso Velocidad 40 Km/h (Velocidad máxima: 41 kmh)</v>
      </c>
      <c r="P1868" s="47" t="str">
        <f>Data!X1866</f>
        <v>Válido</v>
      </c>
    </row>
    <row r="1869" spans="1:16">
      <c r="A1869" s="41" t="str">
        <f>Data!A1867</f>
        <v>QLT576</v>
      </c>
      <c r="B1869" s="41" t="str">
        <f>Data!D1867</f>
        <v>Vehicle, Diesel, Frontera Energy Col 2679</v>
      </c>
      <c r="C1869" s="41">
        <f>Data!F1867</f>
        <v>0</v>
      </c>
      <c r="D1869" s="41">
        <f>Data!G1867</f>
        <v>0</v>
      </c>
      <c r="E1869" s="41">
        <f>Data!H1867</f>
        <v>0</v>
      </c>
      <c r="F1869" s="41">
        <f>Data!K1867</f>
        <v>0</v>
      </c>
      <c r="G1869" s="33" t="str">
        <f>Data!M1867</f>
        <v>Exceso Velocidad 40 Km/h</v>
      </c>
      <c r="H1869" s="41" t="str">
        <f>Data!P1867</f>
        <v>ECOPETROL RUBIALES- Quifa - CAÑO SUR: Qf 045 120x Pwa 127 Qf 78, Puerto Gaitán, Meta, Colombia</v>
      </c>
      <c r="I1869" s="42" t="str">
        <f>Data!Q1867</f>
        <v>Cliente, Vel Max 40 Km/h</v>
      </c>
      <c r="J1869" s="43">
        <f>Data!S1867</f>
        <v>46174.504589120472</v>
      </c>
      <c r="K1869" s="44">
        <f>Data!S1867</f>
        <v>46174.504589120472</v>
      </c>
      <c r="L1869" s="45">
        <f>Data!T1867</f>
        <v>5.2083433333333337E-5</v>
      </c>
      <c r="M1869" s="46">
        <f>Data!U1867</f>
        <v>4.9685977399349213E-2</v>
      </c>
      <c r="N1869" s="46" t="str">
        <f>CONCATENATE(Data!W1867," (",Data!V1867,")")</f>
        <v>Exceso Velocidad 40 Km/h (Velocidad máxima: 41 kmh)</v>
      </c>
      <c r="O1869" s="42" t="str">
        <f>IF(Data!V1867&lt;&gt;"",N1869,Data!W1867)</f>
        <v>Exceso Velocidad 40 Km/h (Velocidad máxima: 41 kmh)</v>
      </c>
      <c r="P1869" s="47" t="str">
        <f>Data!X1867</f>
        <v>Válido</v>
      </c>
    </row>
    <row r="1870" spans="1:16">
      <c r="A1870" s="41" t="str">
        <f>Data!A1868</f>
        <v>QLT576</v>
      </c>
      <c r="B1870" s="41" t="str">
        <f>Data!D1868</f>
        <v>Vehicle, Diesel, Frontera Energy Col 2679</v>
      </c>
      <c r="C1870" s="41">
        <f>Data!F1868</f>
        <v>0</v>
      </c>
      <c r="D1870" s="41">
        <f>Data!G1868</f>
        <v>0</v>
      </c>
      <c r="E1870" s="41">
        <f>Data!H1868</f>
        <v>0</v>
      </c>
      <c r="F1870" s="41">
        <f>Data!K1868</f>
        <v>0</v>
      </c>
      <c r="G1870" s="33" t="str">
        <f>Data!M1868</f>
        <v>Exceso Velocidad 30 Km/h</v>
      </c>
      <c r="H1870" s="41" t="str">
        <f>Data!P1868</f>
        <v>ECOPETROL RUBIALES- Quifa - CAÑO SUR, Puerto Triunfo - Estacion Policia: Vía La Primera Vara, Puerto Gaitán, Meta, Colombia</v>
      </c>
      <c r="I1870" s="42" t="str">
        <f>Data!Q1868</f>
        <v>Cliente, Vel Max 40 Km/h, Vel Max 30 Km/h</v>
      </c>
      <c r="J1870" s="43">
        <f>Data!S1868</f>
        <v>46174.507089861108</v>
      </c>
      <c r="K1870" s="44">
        <f>Data!S1868</f>
        <v>46174.507089861108</v>
      </c>
      <c r="L1870" s="45">
        <f>Data!T1868</f>
        <v>5.0462962962962959E-6</v>
      </c>
      <c r="M1870" s="46">
        <f>Data!U1868</f>
        <v>3.8662315346300602E-3</v>
      </c>
      <c r="N1870" s="46" t="str">
        <f>CONCATENATE(Data!W1868," (",Data!V1868,")")</f>
        <v>Exceso Velocidad 30 Km/h (Velocidad máxima: 30 kmh)</v>
      </c>
      <c r="O1870" s="42" t="str">
        <f>IF(Data!V1868&lt;&gt;"",N1870,Data!W1868)</f>
        <v>Exceso Velocidad 30 Km/h (Velocidad máxima: 30 kmh)</v>
      </c>
      <c r="P1870" s="47" t="str">
        <f>Data!X1868</f>
        <v>Válido</v>
      </c>
    </row>
    <row r="1871" spans="1:16">
      <c r="A1871" s="41" t="str">
        <f>Data!A1869</f>
        <v>QLT576</v>
      </c>
      <c r="B1871" s="41" t="str">
        <f>Data!D1869</f>
        <v>Vehicle, Diesel, Frontera Energy Col 2679</v>
      </c>
      <c r="C1871" s="41">
        <f>Data!F1869</f>
        <v>0</v>
      </c>
      <c r="D1871" s="41">
        <f>Data!G1869</f>
        <v>0</v>
      </c>
      <c r="E1871" s="41">
        <f>Data!H1869</f>
        <v>0</v>
      </c>
      <c r="F1871" s="41">
        <f>Data!K1869</f>
        <v>0</v>
      </c>
      <c r="G1871" s="33" t="str">
        <f>Data!M1869</f>
        <v>Giro brusco</v>
      </c>
      <c r="H1871" s="41" t="str">
        <f>Data!P1869</f>
        <v>ECOPETROL RUBIALES- Quifa - CAÑO SUR, Puerto Triunfo - Estacion Policia: Vía La Primera Vara, Puerto Gaitán, Meta, Colombia</v>
      </c>
      <c r="I1871" s="42" t="str">
        <f>Data!Q1869</f>
        <v>Cliente, Vel Max 40 Km/h, Vel Max 30 Km/h</v>
      </c>
      <c r="J1871" s="43">
        <f>Data!S1869</f>
        <v>46174.507741099536</v>
      </c>
      <c r="K1871" s="44">
        <f>Data!S1869</f>
        <v>46174.507741099536</v>
      </c>
      <c r="L1871" s="45">
        <f>Data!T1869</f>
        <v>2.5462962962962963E-7</v>
      </c>
      <c r="M1871" s="46">
        <f>Data!U1869</f>
        <v>3.573928916011937E-5</v>
      </c>
      <c r="N1871" s="46" t="str">
        <f>CONCATENATE(Data!W1869," (",Data!V1869,")")</f>
        <v>Giro brusco (Velocidad máxima: 6 kmh Aceleración de lado a lado: 0.49 g-force, Ignición: 1.00)</v>
      </c>
      <c r="O1871" s="42" t="str">
        <f>IF(Data!V1869&lt;&gt;"",N1871,Data!W1869)</f>
        <v>Giro brusco (Velocidad máxima: 6 kmh Aceleración de lado a lado: 0.49 g-force, Ignición: 1.00)</v>
      </c>
      <c r="P1871" s="47" t="str">
        <f>Data!X1869</f>
        <v>Válido</v>
      </c>
    </row>
    <row r="1872" spans="1:16">
      <c r="A1872" s="41" t="str">
        <f>Data!A1870</f>
        <v>QLT576</v>
      </c>
      <c r="B1872" s="41" t="str">
        <f>Data!D1870</f>
        <v>Vehicle, Diesel, Frontera Energy Col 2679</v>
      </c>
      <c r="C1872" s="41">
        <f>Data!F1870</f>
        <v>0</v>
      </c>
      <c r="D1872" s="41">
        <f>Data!G1870</f>
        <v>0</v>
      </c>
      <c r="E1872" s="41">
        <f>Data!H1870</f>
        <v>0</v>
      </c>
      <c r="F1872" s="41">
        <f>Data!K1870</f>
        <v>0</v>
      </c>
      <c r="G1872" s="33" t="str">
        <f>Data!M1870</f>
        <v>Giro brusco</v>
      </c>
      <c r="H1872" s="41" t="str">
        <f>Data!P1870</f>
        <v>ECOPETROL RUBIALES- Quifa - CAÑO SUR, Puerto Triunfo - Estacion Policia: Puerto Gaitan - Rubiales, Puerto Gaitán, Meta, Colombia</v>
      </c>
      <c r="I1872" s="42" t="str">
        <f>Data!Q1870</f>
        <v>Cliente, Vel Max 40 Km/h, Vel Max 30 Km/h</v>
      </c>
      <c r="J1872" s="43">
        <f>Data!S1870</f>
        <v>46174.51318947917</v>
      </c>
      <c r="K1872" s="44">
        <f>Data!S1870</f>
        <v>46174.51318947917</v>
      </c>
      <c r="L1872" s="45">
        <f>Data!T1870</f>
        <v>3.8194444444444445E-7</v>
      </c>
      <c r="M1872" s="46">
        <f>Data!U1870</f>
        <v>1.4200445730239153E-4</v>
      </c>
      <c r="N1872" s="46" t="str">
        <f>CONCATENATE(Data!W1870," (",Data!V1870,")")</f>
        <v>Giro brusco (Velocidad máxima: 15 kmh Ignición: 1.00 , Aceleración de lado a lado: -0.50 g-force)</v>
      </c>
      <c r="O1872" s="42" t="str">
        <f>IF(Data!V1870&lt;&gt;"",N1872,Data!W1870)</f>
        <v>Giro brusco (Velocidad máxima: 15 kmh Ignición: 1.00 , Aceleración de lado a lado: -0.50 g-force)</v>
      </c>
      <c r="P1872" s="47" t="str">
        <f>Data!X1870</f>
        <v>Válido</v>
      </c>
    </row>
    <row r="1873" spans="1:16">
      <c r="A1873" s="41" t="str">
        <f>Data!A1871</f>
        <v>QLT576</v>
      </c>
      <c r="B1873" s="41" t="str">
        <f>Data!D1871</f>
        <v>Vehicle, Diesel, Frontera Energy Col 2679</v>
      </c>
      <c r="C1873" s="41">
        <f>Data!F1871</f>
        <v>0</v>
      </c>
      <c r="D1873" s="41">
        <f>Data!G1871</f>
        <v>0</v>
      </c>
      <c r="E1873" s="41">
        <f>Data!H1871</f>
        <v>0</v>
      </c>
      <c r="F1873" s="41">
        <f>Data!K1871</f>
        <v>0</v>
      </c>
      <c r="G1873" s="33" t="str">
        <f>Data!M1871</f>
        <v>Exceso Velocidad 30 Km/h</v>
      </c>
      <c r="H1873" s="41" t="str">
        <f>Data!P1871</f>
        <v>ECOPETROL RUBIALES- Quifa - CAÑO SUR, Puerto Triunfo - Estacion Policia: Puerto Gaitan - Rubiales, Puerto Gaitán, Meta, Colombia</v>
      </c>
      <c r="I1873" s="42" t="str">
        <f>Data!Q1871</f>
        <v>Cliente, Vel Max 40 Km/h, Vel Max 30 Km/h</v>
      </c>
      <c r="J1873" s="43">
        <f>Data!S1871</f>
        <v>46174.51353340278</v>
      </c>
      <c r="K1873" s="44">
        <f>Data!S1871</f>
        <v>46174.51353340278</v>
      </c>
      <c r="L1873" s="45">
        <f>Data!T1871</f>
        <v>1.031712962962963E-4</v>
      </c>
      <c r="M1873" s="46">
        <f>Data!U1871</f>
        <v>7.6022550463676453E-2</v>
      </c>
      <c r="N1873" s="46" t="str">
        <f>CONCATENATE(Data!W1871," (",Data!V1871,")")</f>
        <v>Exceso Velocidad 30 Km/h (Velocidad máxima: 31 kmh)</v>
      </c>
      <c r="O1873" s="42" t="str">
        <f>IF(Data!V1871&lt;&gt;"",N1873,Data!W1871)</f>
        <v>Exceso Velocidad 30 Km/h (Velocidad máxima: 31 kmh)</v>
      </c>
      <c r="P1873" s="47" t="str">
        <f>Data!X1871</f>
        <v>Válido</v>
      </c>
    </row>
    <row r="1874" spans="1:16">
      <c r="A1874" s="41" t="str">
        <f>Data!A1872</f>
        <v>QLT576</v>
      </c>
      <c r="B1874" s="41" t="str">
        <f>Data!D1872</f>
        <v>Vehicle, Diesel, Frontera Energy Col 2679</v>
      </c>
      <c r="C1874" s="41">
        <f>Data!F1872</f>
        <v>0</v>
      </c>
      <c r="D1874" s="41">
        <f>Data!G1872</f>
        <v>0</v>
      </c>
      <c r="E1874" s="41">
        <f>Data!H1872</f>
        <v>0</v>
      </c>
      <c r="F1874" s="41">
        <f>Data!K1872</f>
        <v>0</v>
      </c>
      <c r="G1874" s="33" t="str">
        <f>Data!M1872</f>
        <v>Exceso Velocidad 30 Km/h</v>
      </c>
      <c r="H1874" s="41" t="str">
        <f>Data!P1872</f>
        <v>ECOPETROL RUBIALES- Quifa - CAÑO SUR, Puerto Triunfo - Estacion Policia: Puerto Gaitan - Rubiales, Puerto Gaitán, Meta, Colombia</v>
      </c>
      <c r="I1874" s="42" t="str">
        <f>Data!Q1872</f>
        <v>Cliente, Vel Max 40 Km/h, Vel Max 30 Km/h</v>
      </c>
      <c r="J1874" s="43">
        <f>Data!S1872</f>
        <v>46174.516382453701</v>
      </c>
      <c r="K1874" s="44">
        <f>Data!S1872</f>
        <v>46174.516382453701</v>
      </c>
      <c r="L1874" s="45">
        <f>Data!T1872</f>
        <v>3.1199074074074072E-4</v>
      </c>
      <c r="M1874" s="46">
        <f>Data!U1872</f>
        <v>0.2664787769317627</v>
      </c>
      <c r="N1874" s="46" t="str">
        <f>CONCATENATE(Data!W1872," (",Data!V1872,")")</f>
        <v>Exceso Velocidad 30 Km/h (Velocidad máxima: 44 kmh)</v>
      </c>
      <c r="O1874" s="42" t="str">
        <f>IF(Data!V1872&lt;&gt;"",N1874,Data!W1872)</f>
        <v>Exceso Velocidad 30 Km/h (Velocidad máxima: 44 kmh)</v>
      </c>
      <c r="P1874" s="47" t="str">
        <f>Data!X1872</f>
        <v>Válido</v>
      </c>
    </row>
    <row r="1875" spans="1:16">
      <c r="A1875" s="41" t="str">
        <f>Data!A1873</f>
        <v>QLT576</v>
      </c>
      <c r="B1875" s="41" t="str">
        <f>Data!D1873</f>
        <v>Vehicle, Diesel, Frontera Energy Col 2679</v>
      </c>
      <c r="C1875" s="41">
        <f>Data!F1873</f>
        <v>0</v>
      </c>
      <c r="D1875" s="41">
        <f>Data!G1873</f>
        <v>0</v>
      </c>
      <c r="E1875" s="41">
        <f>Data!H1873</f>
        <v>0</v>
      </c>
      <c r="F1875" s="41">
        <f>Data!K1873</f>
        <v>0</v>
      </c>
      <c r="G1875" s="33" t="str">
        <f>Data!M1873</f>
        <v>Exceso Velocidad 40 Km/h</v>
      </c>
      <c r="H1875" s="41" t="str">
        <f>Data!P1873</f>
        <v>ECOPETROL RUBIALES- Quifa - CAÑO SUR, Puerto Triunfo - Estacion Policia: Puerto Gaitan - Rubiales, Puerto Gaitán, Meta, Colombia</v>
      </c>
      <c r="I1875" s="42" t="str">
        <f>Data!Q1873</f>
        <v>Cliente, Vel Max 40 Km/h, Vel Max 30 Km/h</v>
      </c>
      <c r="J1875" s="43">
        <f>Data!S1873</f>
        <v>46174.516538298609</v>
      </c>
      <c r="K1875" s="44">
        <f>Data!S1873</f>
        <v>46174.516538298609</v>
      </c>
      <c r="L1875" s="45">
        <f>Data!T1873</f>
        <v>8.6701388888888887E-5</v>
      </c>
      <c r="M1875" s="46">
        <f>Data!U1873</f>
        <v>8.5418835282325745E-2</v>
      </c>
      <c r="N1875" s="46" t="str">
        <f>CONCATENATE(Data!W1873," (",Data!V1873,")")</f>
        <v>Exceso Velocidad 40 Km/h (Velocidad máxima: 44 kmh)</v>
      </c>
      <c r="O1875" s="42" t="str">
        <f>IF(Data!V1873&lt;&gt;"",N1875,Data!W1873)</f>
        <v>Exceso Velocidad 40 Km/h (Velocidad máxima: 44 kmh)</v>
      </c>
      <c r="P1875" s="47" t="str">
        <f>Data!X1873</f>
        <v>Válido</v>
      </c>
    </row>
    <row r="1876" spans="1:16">
      <c r="A1876" s="41" t="str">
        <f>Data!A1874</f>
        <v>QLT576</v>
      </c>
      <c r="B1876" s="41" t="str">
        <f>Data!D1874</f>
        <v>Vehicle, Diesel, Frontera Energy Col 2679</v>
      </c>
      <c r="C1876" s="41">
        <f>Data!F1874</f>
        <v>0</v>
      </c>
      <c r="D1876" s="41">
        <f>Data!G1874</f>
        <v>0</v>
      </c>
      <c r="E1876" s="41">
        <f>Data!H1874</f>
        <v>0</v>
      </c>
      <c r="F1876" s="41">
        <f>Data!K1874</f>
        <v>0</v>
      </c>
      <c r="G1876" s="33" t="str">
        <f>Data!M1874</f>
        <v>Exceso Velocidad 10 Km/h</v>
      </c>
      <c r="H1876" s="41" t="str">
        <f>Data!P1874</f>
        <v>ECOPETROL RUBIALES- Quifa - CAÑO SUR, Puerto Triunfo - Estacion Policia, PUESTRO CONTROL QUIFA: Puerto Gaitan - Rubiales, Puerto Gaitán, Meta, Colombia</v>
      </c>
      <c r="I1876" s="42" t="str">
        <f>Data!Q1874</f>
        <v>Cliente, Vel Max 40 Km/h, Vel Max 30 Km/h, Vel Max 10 Km/h</v>
      </c>
      <c r="J1876" s="43">
        <f>Data!S1874</f>
        <v>46174.516702152781</v>
      </c>
      <c r="K1876" s="44">
        <f>Data!S1874</f>
        <v>46174.516702152781</v>
      </c>
      <c r="L1876" s="45">
        <f>Data!T1874</f>
        <v>2.3027777777777779E-4</v>
      </c>
      <c r="M1876" s="46">
        <f>Data!U1874</f>
        <v>0.18296585977077484</v>
      </c>
      <c r="N1876" s="46" t="str">
        <f>CONCATENATE(Data!W1874," (",Data!V1874,")")</f>
        <v>Exceso Velocidad 10 Km/h (Velocidad máxima: 37 kmh)</v>
      </c>
      <c r="O1876" s="42" t="str">
        <f>IF(Data!V1874&lt;&gt;"",N1876,Data!W1874)</f>
        <v>Exceso Velocidad 10 Km/h (Velocidad máxima: 37 kmh)</v>
      </c>
      <c r="P1876" s="47" t="str">
        <f>Data!X1874</f>
        <v>Válido</v>
      </c>
    </row>
    <row r="1877" spans="1:16">
      <c r="A1877" s="41" t="str">
        <f>Data!A1875</f>
        <v>QLT576</v>
      </c>
      <c r="B1877" s="41" t="str">
        <f>Data!D1875</f>
        <v>Vehicle, Diesel, Frontera Energy Col 2679</v>
      </c>
      <c r="C1877" s="41">
        <f>Data!F1875</f>
        <v>0</v>
      </c>
      <c r="D1877" s="41">
        <f>Data!G1875</f>
        <v>0</v>
      </c>
      <c r="E1877" s="41">
        <f>Data!H1875</f>
        <v>0</v>
      </c>
      <c r="F1877" s="41">
        <f>Data!K1875</f>
        <v>0</v>
      </c>
      <c r="G1877" s="33" t="str">
        <f>Data!M1875</f>
        <v>Exceso Velocidad 30 Km/h</v>
      </c>
      <c r="H1877" s="41" t="str">
        <f>Data!P1875</f>
        <v>ECOPETROL RUBIALES- Quifa - CAÑO SUR, Puerto Triunfo - Estacion Policia, PUESTRO CONTROL QUIFA: Puerto Gaitan - Rubiales, Puerto Gaitán, Meta, Colombia</v>
      </c>
      <c r="I1877" s="42" t="str">
        <f>Data!Q1875</f>
        <v>Cliente, Vel Max 40 Km/h, Vel Max 30 Km/h, Vel Max 10 Km/h</v>
      </c>
      <c r="J1877" s="43">
        <f>Data!S1875</f>
        <v>46174.516718750099</v>
      </c>
      <c r="K1877" s="44">
        <f>Data!S1875</f>
        <v>46174.516718750099</v>
      </c>
      <c r="L1877" s="45">
        <f>Data!T1875</f>
        <v>4.8567129629629627E-4</v>
      </c>
      <c r="M1877" s="46">
        <f>Data!U1875</f>
        <v>0.40515249967575073</v>
      </c>
      <c r="N1877" s="46" t="str">
        <f>CONCATENATE(Data!W1875," (",Data!V1875,")")</f>
        <v>Exceso Velocidad 30 Km/h (Velocidad máxima: 44 kmh)</v>
      </c>
      <c r="O1877" s="42" t="str">
        <f>IF(Data!V1875&lt;&gt;"",N1877,Data!W1875)</f>
        <v>Exceso Velocidad 30 Km/h (Velocidad máxima: 44 kmh)</v>
      </c>
      <c r="P1877" s="47" t="str">
        <f>Data!X1875</f>
        <v>Válido</v>
      </c>
    </row>
    <row r="1878" spans="1:16">
      <c r="A1878" s="41" t="str">
        <f>Data!A1876</f>
        <v>QLT576</v>
      </c>
      <c r="B1878" s="41" t="str">
        <f>Data!D1876</f>
        <v>Vehicle, Diesel, Frontera Energy Col 2679</v>
      </c>
      <c r="C1878" s="41">
        <f>Data!F1876</f>
        <v>0</v>
      </c>
      <c r="D1878" s="41">
        <f>Data!G1876</f>
        <v>0</v>
      </c>
      <c r="E1878" s="41">
        <f>Data!H1876</f>
        <v>0</v>
      </c>
      <c r="F1878" s="41">
        <f>Data!K1876</f>
        <v>0</v>
      </c>
      <c r="G1878" s="33" t="str">
        <f>Data!M1876</f>
        <v>Exceso Velocidad 40 Km/h</v>
      </c>
      <c r="H1878" s="41" t="str">
        <f>Data!P1876</f>
        <v>ECOPETROL RUBIALES- Quifa - CAÑO SUR, Puerto Triunfo - Estacion Policia: Puerto Gaitan - Rubiales, Puerto Gaitán, Meta, Colombia</v>
      </c>
      <c r="I1878" s="42" t="str">
        <f>Data!Q1876</f>
        <v>Cliente, Vel Max 40 Km/h, Vel Max 30 Km/h</v>
      </c>
      <c r="J1878" s="43">
        <f>Data!S1876</f>
        <v>46174.517051921299</v>
      </c>
      <c r="K1878" s="44">
        <f>Data!S1876</f>
        <v>46174.517051921299</v>
      </c>
      <c r="L1878" s="45">
        <f>Data!T1876</f>
        <v>4.1203703703703705E-5</v>
      </c>
      <c r="M1878" s="46">
        <f>Data!U1876</f>
        <v>3.984706848859787E-2</v>
      </c>
      <c r="N1878" s="46" t="str">
        <f>CONCATENATE(Data!W1876," (",Data!V1876,")")</f>
        <v>Exceso Velocidad 40 Km/h (Velocidad máxima: 44 kmh)</v>
      </c>
      <c r="O1878" s="42" t="str">
        <f>IF(Data!V1876&lt;&gt;"",N1878,Data!W1876)</f>
        <v>Exceso Velocidad 40 Km/h (Velocidad máxima: 44 kmh)</v>
      </c>
      <c r="P1878" s="47" t="str">
        <f>Data!X1876</f>
        <v>Válido</v>
      </c>
    </row>
    <row r="1879" spans="1:16">
      <c r="A1879" s="41" t="str">
        <f>Data!A1877</f>
        <v>QLT576</v>
      </c>
      <c r="B1879" s="41" t="str">
        <f>Data!D1877</f>
        <v>Vehicle, Diesel, Frontera Energy Col 2679</v>
      </c>
      <c r="C1879" s="41">
        <f>Data!F1877</f>
        <v>0</v>
      </c>
      <c r="D1879" s="41">
        <f>Data!G1877</f>
        <v>0</v>
      </c>
      <c r="E1879" s="41">
        <f>Data!H1877</f>
        <v>0</v>
      </c>
      <c r="F1879" s="41">
        <f>Data!K1877</f>
        <v>0</v>
      </c>
      <c r="G1879" s="33" t="str">
        <f>Data!M1877</f>
        <v>Exceso Velocidad 30 Km/h</v>
      </c>
      <c r="H1879" s="41" t="str">
        <f>Data!P1877</f>
        <v>ECOPETROL RUBIALES- Quifa - CAÑO SUR, Puerto Triunfo - Estacion Policia: Puerto Gaitan - Rubiales, Puerto Gaitán, Meta, Colombia</v>
      </c>
      <c r="I1879" s="42" t="str">
        <f>Data!Q1877</f>
        <v>Cliente, Vel Max 40 Km/h, Vel Max 30 Km/h</v>
      </c>
      <c r="J1879" s="43">
        <f>Data!S1877</f>
        <v>46174.517274305661</v>
      </c>
      <c r="K1879" s="44">
        <f>Data!S1877</f>
        <v>46174.517274305661</v>
      </c>
      <c r="L1879" s="45">
        <f>Data!T1877</f>
        <v>6.6134259259259258E-5</v>
      </c>
      <c r="M1879" s="46">
        <f>Data!U1877</f>
        <v>5.0727915018796921E-2</v>
      </c>
      <c r="N1879" s="46" t="str">
        <f>CONCATENATE(Data!W1877," (",Data!V1877,")")</f>
        <v>Exceso Velocidad 30 Km/h (Velocidad máxima: 35 kmh)</v>
      </c>
      <c r="O1879" s="42" t="str">
        <f>IF(Data!V1877&lt;&gt;"",N1879,Data!W1877)</f>
        <v>Exceso Velocidad 30 Km/h (Velocidad máxima: 35 kmh)</v>
      </c>
      <c r="P1879" s="47" t="str">
        <f>Data!X1877</f>
        <v>Válido</v>
      </c>
    </row>
    <row r="1880" spans="1:16">
      <c r="A1880" s="41" t="str">
        <f>Data!A1878</f>
        <v>QLT576</v>
      </c>
      <c r="B1880" s="41" t="str">
        <f>Data!D1878</f>
        <v>Vehicle, Diesel, Frontera Energy Col 2679</v>
      </c>
      <c r="C1880" s="41">
        <f>Data!F1878</f>
        <v>0</v>
      </c>
      <c r="D1880" s="41">
        <f>Data!G1878</f>
        <v>0</v>
      </c>
      <c r="E1880" s="41">
        <f>Data!H1878</f>
        <v>0</v>
      </c>
      <c r="F1880" s="41">
        <f>Data!K1878</f>
        <v>0</v>
      </c>
      <c r="G1880" s="33" t="str">
        <f>Data!M1878</f>
        <v>Exceso Velocidad 30 Km/h</v>
      </c>
      <c r="H1880" s="41" t="str">
        <f>Data!P1878</f>
        <v>ECOPETROL RUBIALES- Quifa - CAÑO SUR, Puerto Triunfo - Estacion Policia: Puerto Gaitan - Rubiales, Puerto Gaitán, Meta, Colombia</v>
      </c>
      <c r="I1880" s="42" t="str">
        <f>Data!Q1878</f>
        <v>Cliente, Vel Max 40 Km/h, Vel Max 30 Km/h</v>
      </c>
      <c r="J1880" s="43">
        <f>Data!S1878</f>
        <v>46174.517568761577</v>
      </c>
      <c r="K1880" s="44">
        <f>Data!S1878</f>
        <v>46174.517568761577</v>
      </c>
      <c r="L1880" s="45">
        <f>Data!T1878</f>
        <v>9.6435185185185187E-5</v>
      </c>
      <c r="M1880" s="46">
        <f>Data!U1878</f>
        <v>7.8943416476249695E-2</v>
      </c>
      <c r="N1880" s="46" t="str">
        <f>CONCATENATE(Data!W1878," (",Data!V1878,")")</f>
        <v>Exceso Velocidad 30 Km/h (Velocidad máxima: 37 kmh)</v>
      </c>
      <c r="O1880" s="42" t="str">
        <f>IF(Data!V1878&lt;&gt;"",N1880,Data!W1878)</f>
        <v>Exceso Velocidad 30 Km/h (Velocidad máxima: 37 kmh)</v>
      </c>
      <c r="P1880" s="47" t="str">
        <f>Data!X1878</f>
        <v>Válido</v>
      </c>
    </row>
    <row r="1881" spans="1:16">
      <c r="A1881" s="41" t="str">
        <f>Data!A1879</f>
        <v>QLT576</v>
      </c>
      <c r="B1881" s="41" t="str">
        <f>Data!D1879</f>
        <v>Vehicle, Diesel, Frontera Energy Col 2679</v>
      </c>
      <c r="C1881" s="41">
        <f>Data!F1879</f>
        <v>0</v>
      </c>
      <c r="D1881" s="41">
        <f>Data!G1879</f>
        <v>0</v>
      </c>
      <c r="E1881" s="41">
        <f>Data!H1879</f>
        <v>0</v>
      </c>
      <c r="F1881" s="41">
        <f>Data!K1879</f>
        <v>0</v>
      </c>
      <c r="G1881" s="33" t="str">
        <f>Data!M1879</f>
        <v>Exceso Velocidad 30 Km/h</v>
      </c>
      <c r="H1881" s="41" t="str">
        <f>Data!P1879</f>
        <v>ECOPETROL RUBIALES- Quifa - CAÑO SUR, Puerto Triunfo - Estacion Policia: Puerto Gaitan - Rubiales, Puerto Gaitán, Meta, Colombia</v>
      </c>
      <c r="I1881" s="42" t="str">
        <f>Data!Q1879</f>
        <v>Cliente, Vel Max 40 Km/h, Vel Max 30 Km/h</v>
      </c>
      <c r="J1881" s="43">
        <f>Data!S1879</f>
        <v>46174.51770704861</v>
      </c>
      <c r="K1881" s="44">
        <f>Data!S1879</f>
        <v>46174.51770704861</v>
      </c>
      <c r="L1881" s="45">
        <f>Data!T1879</f>
        <v>3.5043981481481482E-4</v>
      </c>
      <c r="M1881" s="46">
        <f>Data!U1879</f>
        <v>0.31466418504714966</v>
      </c>
      <c r="N1881" s="46" t="str">
        <f>CONCATENATE(Data!W1879," (",Data!V1879,")")</f>
        <v>Exceso Velocidad 30 Km/h (Velocidad máxima: 41 kmh)</v>
      </c>
      <c r="O1881" s="42" t="str">
        <f>IF(Data!V1879&lt;&gt;"",N1881,Data!W1879)</f>
        <v>Exceso Velocidad 30 Km/h (Velocidad máxima: 41 kmh)</v>
      </c>
      <c r="P1881" s="47" t="str">
        <f>Data!X1879</f>
        <v>Válido</v>
      </c>
    </row>
    <row r="1882" spans="1:16">
      <c r="A1882" s="41" t="str">
        <f>Data!A1880</f>
        <v>QLT576</v>
      </c>
      <c r="B1882" s="41" t="str">
        <f>Data!D1880</f>
        <v>Vehicle, Diesel, Frontera Energy Col 2679</v>
      </c>
      <c r="C1882" s="41">
        <f>Data!F1880</f>
        <v>0</v>
      </c>
      <c r="D1882" s="41">
        <f>Data!G1880</f>
        <v>0</v>
      </c>
      <c r="E1882" s="41">
        <f>Data!H1880</f>
        <v>0</v>
      </c>
      <c r="F1882" s="41">
        <f>Data!K1880</f>
        <v>0</v>
      </c>
      <c r="G1882" s="33" t="str">
        <f>Data!M1880</f>
        <v>Exceso Velocidad 40 Km/h</v>
      </c>
      <c r="H1882" s="41" t="str">
        <f>Data!P1880</f>
        <v>ECOPETROL RUBIALES- Quifa - CAÑO SUR, Puerto Triunfo - Estacion Policia: Puerto Gaitan - Rubiales, Puerto Gaitán, Meta, Colombia</v>
      </c>
      <c r="I1882" s="42" t="str">
        <f>Data!Q1880</f>
        <v>Cliente, Vel Max 40 Km/h, Vel Max 30 Km/h</v>
      </c>
      <c r="J1882" s="43">
        <f>Data!S1880</f>
        <v>46174.517899305654</v>
      </c>
      <c r="K1882" s="44">
        <f>Data!S1880</f>
        <v>46174.517899305654</v>
      </c>
      <c r="L1882" s="45">
        <f>Data!T1880</f>
        <v>7.1377314814814819E-5</v>
      </c>
      <c r="M1882" s="46">
        <f>Data!U1880</f>
        <v>6.6688723862171173E-2</v>
      </c>
      <c r="N1882" s="46" t="str">
        <f>CONCATENATE(Data!W1880," (",Data!V1880,")")</f>
        <v>Exceso Velocidad 40 Km/h (Velocidad máxima: 41 kmh)</v>
      </c>
      <c r="O1882" s="42" t="str">
        <f>IF(Data!V1880&lt;&gt;"",N1882,Data!W1880)</f>
        <v>Exceso Velocidad 40 Km/h (Velocidad máxima: 41 kmh)</v>
      </c>
      <c r="P1882" s="47" t="str">
        <f>Data!X1880</f>
        <v>Válido</v>
      </c>
    </row>
    <row r="1883" spans="1:16">
      <c r="A1883" s="41" t="str">
        <f>Data!A1881</f>
        <v>QLT576</v>
      </c>
      <c r="B1883" s="41" t="str">
        <f>Data!D1881</f>
        <v>Vehicle, Diesel, Frontera Energy Col 2679</v>
      </c>
      <c r="C1883" s="41">
        <f>Data!F1881</f>
        <v>0</v>
      </c>
      <c r="D1883" s="41">
        <f>Data!G1881</f>
        <v>0</v>
      </c>
      <c r="E1883" s="41">
        <f>Data!H1881</f>
        <v>0</v>
      </c>
      <c r="F1883" s="41">
        <f>Data!K1881</f>
        <v>0</v>
      </c>
      <c r="G1883" s="33" t="str">
        <f>Data!M1881</f>
        <v>Exceso Velocidad 30 Km/h</v>
      </c>
      <c r="H1883" s="41" t="str">
        <f>Data!P1881</f>
        <v>ECOPETROL RUBIALES- Quifa - CAÑO SUR, Puerto Gaitan - Rubiales, Puerto Gaitán, Meta, Colombia, Puerto Triunfo - Estacion Policia: Puerto Gaitan - Rubiales, Puerto Gaitán, Meta, Colombia</v>
      </c>
      <c r="I1883" s="42" t="str">
        <f>Data!Q1881</f>
        <v>Cliente, Vel Max 40 Km/h, Centro de servicios del proveedor, Vel Max 30 Km/h</v>
      </c>
      <c r="J1883" s="43">
        <f>Data!S1881</f>
        <v>46174.518217592595</v>
      </c>
      <c r="K1883" s="44">
        <f>Data!S1881</f>
        <v>46174.518217592595</v>
      </c>
      <c r="L1883" s="45">
        <f>Data!T1881</f>
        <v>3.857638888888889E-5</v>
      </c>
      <c r="M1883" s="46">
        <f>Data!U1881</f>
        <v>2.7885697782039642E-2</v>
      </c>
      <c r="N1883" s="46" t="str">
        <f>CONCATENATE(Data!W1881," (",Data!V1881,")")</f>
        <v>Exceso Velocidad 30 Km/h (Velocidad máxima: 31 kmh)</v>
      </c>
      <c r="O1883" s="42" t="str">
        <f>IF(Data!V1881&lt;&gt;"",N1883,Data!W1881)</f>
        <v>Exceso Velocidad 30 Km/h (Velocidad máxima: 31 kmh)</v>
      </c>
      <c r="P1883" s="47" t="str">
        <f>Data!X1881</f>
        <v>Válido</v>
      </c>
    </row>
    <row r="1884" spans="1:16">
      <c r="A1884" s="41" t="str">
        <f>Data!A1882</f>
        <v>QLT576</v>
      </c>
      <c r="B1884" s="41" t="str">
        <f>Data!D1882</f>
        <v>Vehicle, Diesel, Frontera Energy Col 2679</v>
      </c>
      <c r="C1884" s="41">
        <f>Data!F1882</f>
        <v>0</v>
      </c>
      <c r="D1884" s="41">
        <f>Data!G1882</f>
        <v>0</v>
      </c>
      <c r="E1884" s="41">
        <f>Data!H1882</f>
        <v>0</v>
      </c>
      <c r="F1884" s="41">
        <f>Data!K1882</f>
        <v>0</v>
      </c>
      <c r="G1884" s="33" t="str">
        <f>Data!M1882</f>
        <v>Exceso Velocidad 10 Km/h</v>
      </c>
      <c r="H1884" s="41" t="str">
        <f>Data!P1882</f>
        <v>CAMPAMENTO QUIFA, ECOPETROL RUBIALES- Quifa - CAÑO SUR, Puerto Gaitan - Rubiales, Puerto Gaitán, Meta, Colombia: Ent. CAMPAMENTO, Puerto Gaitán, Meta, Colombia</v>
      </c>
      <c r="I1884" s="42" t="str">
        <f>Data!Q1882</f>
        <v>Vel Max 10 Km/h, Cliente, Vel Max 40 Km/h, Centro de servicios del proveedor</v>
      </c>
      <c r="J1884" s="43">
        <f>Data!S1882</f>
        <v>46174.518435810183</v>
      </c>
      <c r="K1884" s="44">
        <f>Data!S1882</f>
        <v>46174.518435810183</v>
      </c>
      <c r="L1884" s="45">
        <f>Data!T1882</f>
        <v>8.2708333333333329E-5</v>
      </c>
      <c r="M1884" s="46">
        <f>Data!U1882</f>
        <v>2.2167511284351349E-2</v>
      </c>
      <c r="N1884" s="46" t="str">
        <f>CONCATENATE(Data!W1882," (",Data!V1882,")")</f>
        <v>Exceso Velocidad 10 Km/h (Velocidad máxima: 12 kmh)</v>
      </c>
      <c r="O1884" s="42" t="str">
        <f>IF(Data!V1882&lt;&gt;"",N1884,Data!W1882)</f>
        <v>Exceso Velocidad 10 Km/h (Velocidad máxima: 12 kmh)</v>
      </c>
      <c r="P1884" s="47" t="str">
        <f>Data!X1882</f>
        <v>Válido</v>
      </c>
    </row>
    <row r="1885" spans="1:16">
      <c r="A1885" s="41" t="str">
        <f>Data!A1883</f>
        <v>QLT576</v>
      </c>
      <c r="B1885" s="41" t="str">
        <f>Data!D1883</f>
        <v>Vehicle, Diesel, Frontera Energy Col 2679</v>
      </c>
      <c r="C1885" s="41">
        <f>Data!F1883</f>
        <v>0</v>
      </c>
      <c r="D1885" s="41">
        <f>Data!G1883</f>
        <v>0</v>
      </c>
      <c r="E1885" s="41">
        <f>Data!H1883</f>
        <v>0</v>
      </c>
      <c r="F1885" s="41">
        <f>Data!K1883</f>
        <v>0</v>
      </c>
      <c r="G1885" s="33" t="str">
        <f>Data!M1883</f>
        <v>Exceso Velocidad 10 Km/h</v>
      </c>
      <c r="H1885" s="41" t="str">
        <f>Data!P1883</f>
        <v>CAMPAMENTO QUIFA, ECOPETROL RUBIALES- Quifa - CAÑO SUR, Puerto Gaitan - Rubiales, Puerto Gaitán, Meta, Colombia, Campamento Quifa - CMA: Ent. CAMPAMENTO, Puerto Gaitán, Meta, Colombia</v>
      </c>
      <c r="I1885" s="42" t="str">
        <f>Data!Q1883</f>
        <v>Vel Max 10 Km/h, Cliente, Vel Max 40 Km/h, Centro de servicios del proveedor</v>
      </c>
      <c r="J1885" s="43">
        <f>Data!S1883</f>
        <v>46174.518518518518</v>
      </c>
      <c r="K1885" s="44">
        <f>Data!S1883</f>
        <v>46174.518518518518</v>
      </c>
      <c r="L1885" s="45">
        <f>Data!T1883</f>
        <v>3.0092592592592595E-4</v>
      </c>
      <c r="M1885" s="46">
        <f>Data!U1883</f>
        <v>7.9869017004966736E-2</v>
      </c>
      <c r="N1885" s="46" t="str">
        <f>CONCATENATE(Data!W1883," (",Data!V1883,")")</f>
        <v>Exceso Velocidad 10 Km/h (Velocidad máxima: 12 kmh)</v>
      </c>
      <c r="O1885" s="42" t="str">
        <f>IF(Data!V1883&lt;&gt;"",N1885,Data!W1883)</f>
        <v>Exceso Velocidad 10 Km/h (Velocidad máxima: 12 kmh)</v>
      </c>
      <c r="P1885" s="47" t="str">
        <f>Data!X1883</f>
        <v>Válido</v>
      </c>
    </row>
    <row r="1886" spans="1:16">
      <c r="A1886" s="41" t="str">
        <f>Data!A1884</f>
        <v>QLT576</v>
      </c>
      <c r="B1886" s="41" t="str">
        <f>Data!D1884</f>
        <v>Vehicle, Diesel, Frontera Energy Col 2679</v>
      </c>
      <c r="C1886" s="41">
        <f>Data!F1884</f>
        <v>0</v>
      </c>
      <c r="D1886" s="41">
        <f>Data!G1884</f>
        <v>0</v>
      </c>
      <c r="E1886" s="41">
        <f>Data!H1884</f>
        <v>0</v>
      </c>
      <c r="F1886" s="41">
        <f>Data!K1884</f>
        <v>0</v>
      </c>
      <c r="G1886" s="33" t="str">
        <f>Data!M1884</f>
        <v>Exceso de velocidad (nuevo)</v>
      </c>
      <c r="H1886" s="41" t="str">
        <f>Data!P1884</f>
        <v>ECOPETROL RUBIALES- Quifa - CAÑO SUR, Puerto Triunfo - Estacion Policia: Puerto Gaitan - Rubiales, Puerto Gaitán, Meta, Colombia</v>
      </c>
      <c r="I1886" s="42" t="str">
        <f>Data!Q1884</f>
        <v>Cliente, Vel Max 40 Km/h, Vel Max 30 Km/h</v>
      </c>
      <c r="J1886" s="43">
        <f>Data!S1884</f>
        <v>46174.569537037038</v>
      </c>
      <c r="K1886" s="44">
        <f>Data!S1884</f>
        <v>46174.569537037038</v>
      </c>
      <c r="L1886" s="45">
        <f>Data!T1884</f>
        <v>1.9675925925925924E-3</v>
      </c>
      <c r="M1886" s="46">
        <f>Data!U1884</f>
        <v>1.0654145479202271</v>
      </c>
      <c r="N1886" s="46" t="str">
        <f>CONCATENATE(Data!W1884," (",Data!V1884,")")</f>
        <v>Exceso de velocidad (nuevo) (Velocidad máxima: 28 kmh (Velocidad máxima en carretera: 7 kmh))</v>
      </c>
      <c r="O1886" s="42" t="str">
        <f>IF(Data!V1884&lt;&gt;"",N1886,Data!W1884)</f>
        <v>Exceso de velocidad (nuevo) (Velocidad máxima: 28 kmh (Velocidad máxima en carretera: 7 kmh))</v>
      </c>
      <c r="P1886" s="47" t="str">
        <f>Data!X1884</f>
        <v>Válido</v>
      </c>
    </row>
    <row r="1887" spans="1:16">
      <c r="A1887" s="41" t="str">
        <f>Data!A1885</f>
        <v>QLT576</v>
      </c>
      <c r="B1887" s="41" t="str">
        <f>Data!D1885</f>
        <v>Vehicle, Diesel, Frontera Energy Col 2679</v>
      </c>
      <c r="C1887" s="41">
        <f>Data!F1885</f>
        <v>0</v>
      </c>
      <c r="D1887" s="41">
        <f>Data!G1885</f>
        <v>0</v>
      </c>
      <c r="E1887" s="41">
        <f>Data!H1885</f>
        <v>0</v>
      </c>
      <c r="F1887" s="41">
        <f>Data!K1885</f>
        <v>0</v>
      </c>
      <c r="G1887" s="33" t="str">
        <f>Data!M1885</f>
        <v>Tiempo en ralentí</v>
      </c>
      <c r="H1887" s="41" t="str">
        <f>Data!P1885</f>
        <v>ECOPETROL RUBIALES- Quifa - CAÑO SUR: Vía Sin Nombre, Puerto Gaitán, Meta, Colombia</v>
      </c>
      <c r="I1887" s="42" t="str">
        <f>Data!Q1885</f>
        <v>Cliente, Vel Max 40 Km/h</v>
      </c>
      <c r="J1887" s="43">
        <f>Data!S1885</f>
        <v>46174.579907407409</v>
      </c>
      <c r="K1887" s="44">
        <f>Data!S1885</f>
        <v>46174.579907407409</v>
      </c>
      <c r="L1887" s="45">
        <f>Data!T1885</f>
        <v>4.386574074074074E-3</v>
      </c>
      <c r="M1887" s="46">
        <f>Data!U1885</f>
        <v>0</v>
      </c>
      <c r="N1887" s="46" t="str">
        <f>CONCATENATE(Data!W1885," (",Data!V1885,")")</f>
        <v>Tiempo en ralentí (Ignición: 1.00)</v>
      </c>
      <c r="O1887" s="42" t="str">
        <f>IF(Data!V1885&lt;&gt;"",N1887,Data!W1885)</f>
        <v>Tiempo en ralentí (Ignición: 1.00)</v>
      </c>
      <c r="P1887" s="47" t="str">
        <f>Data!X1885</f>
        <v>Válido</v>
      </c>
    </row>
    <row r="1888" spans="1:16">
      <c r="A1888" s="41" t="str">
        <f>Data!A1886</f>
        <v>QLT576</v>
      </c>
      <c r="B1888" s="41" t="str">
        <f>Data!D1886</f>
        <v>Vehicle, Diesel, Frontera Energy Col 2679</v>
      </c>
      <c r="C1888" s="41">
        <f>Data!F1886</f>
        <v>0</v>
      </c>
      <c r="D1888" s="41">
        <f>Data!G1886</f>
        <v>0</v>
      </c>
      <c r="E1888" s="41">
        <f>Data!H1886</f>
        <v>0</v>
      </c>
      <c r="F1888" s="41">
        <f>Data!K1886</f>
        <v>0</v>
      </c>
      <c r="G1888" s="33" t="str">
        <f>Data!M1886</f>
        <v>Exceso de velocidad (nuevo)</v>
      </c>
      <c r="H1888" s="41" t="str">
        <f>Data!P1886</f>
        <v>ECOPETROL RUBIALES- Quifa - CAÑO SUR: Vía Sin Nombre, Puerto Gaitán, Meta, Colombia</v>
      </c>
      <c r="I1888" s="42" t="str">
        <f>Data!Q1886</f>
        <v>Cliente, Vel Max 40 Km/h</v>
      </c>
      <c r="J1888" s="43">
        <f>Data!S1886</f>
        <v>46174.585416666669</v>
      </c>
      <c r="K1888" s="44">
        <f>Data!S1886</f>
        <v>46174.585416666669</v>
      </c>
      <c r="L1888" s="45">
        <f>Data!T1886</f>
        <v>1.736111111111111E-3</v>
      </c>
      <c r="M1888" s="46">
        <f>Data!U1886</f>
        <v>1.1011337041854858</v>
      </c>
      <c r="N1888" s="46" t="str">
        <f>CONCATENATE(Data!W1886," (",Data!V1886,")")</f>
        <v>Exceso de velocidad (nuevo) (Velocidad máxima: 31 kmh (Velocidad máxima en carretera: 7 kmh))</v>
      </c>
      <c r="O1888" s="42" t="str">
        <f>IF(Data!V1886&lt;&gt;"",N1888,Data!W1886)</f>
        <v>Exceso de velocidad (nuevo) (Velocidad máxima: 31 kmh (Velocidad máxima en carretera: 7 kmh))</v>
      </c>
      <c r="P1888" s="47" t="str">
        <f>Data!X1886</f>
        <v>Válido</v>
      </c>
    </row>
    <row r="1889" spans="1:16">
      <c r="A1889" s="41" t="str">
        <f>Data!A1887</f>
        <v>QLT576</v>
      </c>
      <c r="B1889" s="41" t="str">
        <f>Data!D1887</f>
        <v>Vehicle, Diesel, Frontera Energy Col 2679</v>
      </c>
      <c r="C1889" s="41">
        <f>Data!F1887</f>
        <v>0</v>
      </c>
      <c r="D1889" s="41">
        <f>Data!G1887</f>
        <v>0</v>
      </c>
      <c r="E1889" s="41">
        <f>Data!H1887</f>
        <v>0</v>
      </c>
      <c r="F1889" s="41">
        <f>Data!K1887</f>
        <v>0</v>
      </c>
      <c r="G1889" s="33" t="str">
        <f>Data!M1887</f>
        <v>Exceso Velocidad 10 Km/h</v>
      </c>
      <c r="H1889" s="41" t="str">
        <f>Data!P1887</f>
        <v>ECOPETROL RUBIALES- Quifa - CAÑO SUR, Puerto Triunfo - Estacion Policia, PUESTRO CONTROL QUIFA: Puerto Gaitan - Rubiales, Puerto Gaitán, Meta, Colombia</v>
      </c>
      <c r="I1889" s="42" t="str">
        <f>Data!Q1887</f>
        <v>Cliente, Vel Max 40 Km/h, Vel Max 30 Km/h, Vel Max 10 Km/h</v>
      </c>
      <c r="J1889" s="43">
        <f>Data!S1887</f>
        <v>46174.587295393518</v>
      </c>
      <c r="K1889" s="44">
        <f>Data!S1887</f>
        <v>46174.587295393518</v>
      </c>
      <c r="L1889" s="45">
        <f>Data!T1887</f>
        <v>3.5571759259259259E-4</v>
      </c>
      <c r="M1889" s="46">
        <f>Data!U1887</f>
        <v>0.18396936357021332</v>
      </c>
      <c r="N1889" s="46" t="str">
        <f>CONCATENATE(Data!W1887," (",Data!V1887,")")</f>
        <v>Exceso Velocidad 10 Km/h (Velocidad máxima: 24 kmh)</v>
      </c>
      <c r="O1889" s="42" t="str">
        <f>IF(Data!V1887&lt;&gt;"",N1889,Data!W1887)</f>
        <v>Exceso Velocidad 10 Km/h (Velocidad máxima: 24 kmh)</v>
      </c>
      <c r="P1889" s="47" t="str">
        <f>Data!X1887</f>
        <v>Válido</v>
      </c>
    </row>
    <row r="1890" spans="1:16">
      <c r="A1890" s="41" t="str">
        <f>Data!A1888</f>
        <v>QLT576</v>
      </c>
      <c r="B1890" s="41" t="str">
        <f>Data!D1888</f>
        <v>Vehicle, Diesel, Frontera Energy Col 2679</v>
      </c>
      <c r="C1890" s="41">
        <f>Data!F1888</f>
        <v>0</v>
      </c>
      <c r="D1890" s="41">
        <f>Data!G1888</f>
        <v>0</v>
      </c>
      <c r="E1890" s="41">
        <f>Data!H1888</f>
        <v>0</v>
      </c>
      <c r="F1890" s="41">
        <f>Data!K1888</f>
        <v>0</v>
      </c>
      <c r="G1890" s="33" t="str">
        <f>Data!M1888</f>
        <v>Exceso Velocidad 30 Km/h</v>
      </c>
      <c r="H1890" s="41" t="str">
        <f>Data!P1888</f>
        <v>ECOPETROL RUBIALES- Quifa - CAÑO SUR, Puerto Triunfo - Estacion Policia: Puerto Gaitan - Rubiales, Puerto Gaitán, Meta, Colombia</v>
      </c>
      <c r="I1890" s="42" t="str">
        <f>Data!Q1888</f>
        <v>Cliente, Vel Max 40 Km/h, Vel Max 30 Km/h</v>
      </c>
      <c r="J1890" s="43">
        <f>Data!S1888</f>
        <v>46174.587907407411</v>
      </c>
      <c r="K1890" s="44">
        <f>Data!S1888</f>
        <v>46174.587907407411</v>
      </c>
      <c r="L1890" s="45">
        <f>Data!T1888</f>
        <v>1.7129629629629629E-4</v>
      </c>
      <c r="M1890" s="46">
        <f>Data!U1888</f>
        <v>0.12771596014499664</v>
      </c>
      <c r="N1890" s="46" t="str">
        <f>CONCATENATE(Data!W1888," (",Data!V1888,")")</f>
        <v>Exceso Velocidad 30 Km/h (Velocidad máxima: 33 kmh)</v>
      </c>
      <c r="O1890" s="42" t="str">
        <f>IF(Data!V1888&lt;&gt;"",N1890,Data!W1888)</f>
        <v>Exceso Velocidad 30 Km/h (Velocidad máxima: 33 kmh)</v>
      </c>
      <c r="P1890" s="47" t="str">
        <f>Data!X1888</f>
        <v>Válido</v>
      </c>
    </row>
    <row r="1891" spans="1:16">
      <c r="A1891" s="41" t="str">
        <f>Data!A1889</f>
        <v>QLT576</v>
      </c>
      <c r="B1891" s="41" t="str">
        <f>Data!D1889</f>
        <v>Vehicle, Diesel, Frontera Energy Col 2679</v>
      </c>
      <c r="C1891" s="41">
        <f>Data!F1889</f>
        <v>0</v>
      </c>
      <c r="D1891" s="41">
        <f>Data!G1889</f>
        <v>0</v>
      </c>
      <c r="E1891" s="41">
        <f>Data!H1889</f>
        <v>0</v>
      </c>
      <c r="F1891" s="41">
        <f>Data!K1889</f>
        <v>0</v>
      </c>
      <c r="G1891" s="33" t="str">
        <f>Data!M1889</f>
        <v>Tiempo en ralentí</v>
      </c>
      <c r="H1891" s="41" t="str">
        <f>Data!P1889</f>
        <v>ECOPETROL RUBIALES- Quifa - CAÑO SUR: Vía Sin Nombre, Puerto Gaitán, Meta, Colombia</v>
      </c>
      <c r="I1891" s="42" t="str">
        <f>Data!Q1889</f>
        <v>Cliente, Vel Max 40 Km/h</v>
      </c>
      <c r="J1891" s="43">
        <f>Data!S1889</f>
        <v>46174.610567129632</v>
      </c>
      <c r="K1891" s="44">
        <f>Data!S1889</f>
        <v>46174.610567129632</v>
      </c>
      <c r="L1891" s="45">
        <f>Data!T1889</f>
        <v>3.4837962962962965E-3</v>
      </c>
      <c r="M1891" s="46">
        <f>Data!U1889</f>
        <v>0</v>
      </c>
      <c r="N1891" s="46" t="str">
        <f>CONCATENATE(Data!W1889," (",Data!V1889,")")</f>
        <v>Tiempo en ralentí (Ignición: 1.00)</v>
      </c>
      <c r="O1891" s="42" t="str">
        <f>IF(Data!V1889&lt;&gt;"",N1891,Data!W1889)</f>
        <v>Tiempo en ralentí (Ignición: 1.00)</v>
      </c>
      <c r="P1891" s="47" t="str">
        <f>Data!X1889</f>
        <v>Válido</v>
      </c>
    </row>
    <row r="1892" spans="1:16">
      <c r="A1892" s="41" t="str">
        <f>Data!A1890</f>
        <v>QLT576</v>
      </c>
      <c r="B1892" s="41" t="str">
        <f>Data!D1890</f>
        <v>Vehicle, Diesel, Frontera Energy Col 2679</v>
      </c>
      <c r="C1892" s="41">
        <f>Data!F1890</f>
        <v>0</v>
      </c>
      <c r="D1892" s="41">
        <f>Data!G1890</f>
        <v>0</v>
      </c>
      <c r="E1892" s="41">
        <f>Data!H1890</f>
        <v>0</v>
      </c>
      <c r="F1892" s="41">
        <f>Data!K1890</f>
        <v>0</v>
      </c>
      <c r="G1892" s="33" t="str">
        <f>Data!M1890</f>
        <v>Exceso Velocidad 40 Km/h</v>
      </c>
      <c r="H1892" s="41" t="str">
        <f>Data!P1890</f>
        <v>ECOPETROL RUBIALES- Quifa - CAÑO SUR: Vía Sin Nombre, Puerto Gaitán, Meta, Colombia</v>
      </c>
      <c r="I1892" s="42" t="str">
        <f>Data!Q1890</f>
        <v>Cliente, Vel Max 40 Km/h</v>
      </c>
      <c r="J1892" s="43">
        <f>Data!S1890</f>
        <v>46174.614803240744</v>
      </c>
      <c r="K1892" s="44">
        <f>Data!S1890</f>
        <v>46174.614803240744</v>
      </c>
      <c r="L1892" s="45">
        <f>Data!T1890</f>
        <v>1.0416666666666667E-4</v>
      </c>
      <c r="M1892" s="46">
        <f>Data!U1890</f>
        <v>9.6251673996448517E-2</v>
      </c>
      <c r="N1892" s="46" t="str">
        <f>CONCATENATE(Data!W1890," (",Data!V1890,")")</f>
        <v>Exceso Velocidad 40 Km/h (Velocidad máxima: 41 kmh)</v>
      </c>
      <c r="O1892" s="42" t="str">
        <f>IF(Data!V1890&lt;&gt;"",N1892,Data!W1890)</f>
        <v>Exceso Velocidad 40 Km/h (Velocidad máxima: 41 kmh)</v>
      </c>
      <c r="P1892" s="47" t="str">
        <f>Data!X1890</f>
        <v>Válido</v>
      </c>
    </row>
    <row r="1893" spans="1:16">
      <c r="A1893" s="41" t="str">
        <f>Data!A1891</f>
        <v>QLT576</v>
      </c>
      <c r="B1893" s="41" t="str">
        <f>Data!D1891</f>
        <v>Vehicle, Diesel, Frontera Energy Col 2679</v>
      </c>
      <c r="C1893" s="41">
        <f>Data!F1891</f>
        <v>0</v>
      </c>
      <c r="D1893" s="41">
        <f>Data!G1891</f>
        <v>0</v>
      </c>
      <c r="E1893" s="41">
        <f>Data!H1891</f>
        <v>0</v>
      </c>
      <c r="F1893" s="41">
        <f>Data!K1891</f>
        <v>0</v>
      </c>
      <c r="G1893" s="33" t="str">
        <f>Data!M1891</f>
        <v>Giro brusco</v>
      </c>
      <c r="H1893" s="41" t="str">
        <f>Data!P1891</f>
        <v>ECOPETROL RUBIALES- Quifa - CAÑO SUR: Vía Quifa17 a Vara, Puerto Gaitán, Meta, Colombia</v>
      </c>
      <c r="I1893" s="42" t="str">
        <f>Data!Q1891</f>
        <v>Cliente, Vel Max 40 Km/h</v>
      </c>
      <c r="J1893" s="43">
        <f>Data!S1891</f>
        <v>46174.62937790509</v>
      </c>
      <c r="K1893" s="44">
        <f>Data!S1891</f>
        <v>46174.62937790509</v>
      </c>
      <c r="L1893" s="45">
        <f>Data!T1891</f>
        <v>5.5555555555555552E-7</v>
      </c>
      <c r="M1893" s="46">
        <f>Data!U1891</f>
        <v>2.1023752924520522E-4</v>
      </c>
      <c r="N1893" s="46" t="str">
        <f>CONCATENATE(Data!W1891," (",Data!V1891,")")</f>
        <v>Giro brusco (Velocidad máxima: 16 kmh Aceleración de lado a lado: -0.57 g-force, Ignición: 1.00)</v>
      </c>
      <c r="O1893" s="42" t="str">
        <f>IF(Data!V1891&lt;&gt;"",N1893,Data!W1891)</f>
        <v>Giro brusco (Velocidad máxima: 16 kmh Aceleración de lado a lado: -0.57 g-force, Ignición: 1.00)</v>
      </c>
      <c r="P1893" s="47" t="str">
        <f>Data!X1891</f>
        <v>Válido</v>
      </c>
    </row>
    <row r="1894" spans="1:16">
      <c r="A1894" s="41" t="str">
        <f>Data!A1892</f>
        <v>QLT576</v>
      </c>
      <c r="B1894" s="41" t="str">
        <f>Data!D1892</f>
        <v>Vehicle, Diesel, Frontera Energy Col 2679</v>
      </c>
      <c r="C1894" s="41">
        <f>Data!F1892</f>
        <v>0</v>
      </c>
      <c r="D1894" s="41">
        <f>Data!G1892</f>
        <v>0</v>
      </c>
      <c r="E1894" s="41">
        <f>Data!H1892</f>
        <v>0</v>
      </c>
      <c r="F1894" s="41">
        <f>Data!K1892</f>
        <v>0</v>
      </c>
      <c r="G1894" s="33" t="str">
        <f>Data!M1892</f>
        <v>Giro brusco</v>
      </c>
      <c r="H1894" s="41" t="str">
        <f>Data!P1892</f>
        <v>ECOPETROL RUBIALES- Quifa - CAÑO SUR: Vía Quifa17 a Vara, Puerto Gaitán, Meta, Colombia</v>
      </c>
      <c r="I1894" s="42" t="str">
        <f>Data!Q1892</f>
        <v>Cliente, Vel Max 40 Km/h</v>
      </c>
      <c r="J1894" s="43">
        <f>Data!S1892</f>
        <v>46174.629386342589</v>
      </c>
      <c r="K1894" s="44">
        <f>Data!S1892</f>
        <v>46174.629386342589</v>
      </c>
      <c r="L1894" s="45">
        <f>Data!T1892</f>
        <v>2.3148148148148148E-7</v>
      </c>
      <c r="M1894" s="46">
        <f>Data!U1892</f>
        <v>8.7598964455537498E-5</v>
      </c>
      <c r="N1894" s="46" t="str">
        <f>CONCATENATE(Data!W1892," (",Data!V1892,")")</f>
        <v>Giro brusco (Velocidad máxima: 16 kmh Aceleración de lado a lado: -0.50 g-force, Ignición: 1.00)</v>
      </c>
      <c r="O1894" s="42" t="str">
        <f>IF(Data!V1892&lt;&gt;"",N1894,Data!W1892)</f>
        <v>Giro brusco (Velocidad máxima: 16 kmh Aceleración de lado a lado: -0.50 g-force, Ignición: 1.00)</v>
      </c>
      <c r="P1894" s="47" t="str">
        <f>Data!X1892</f>
        <v>Válido</v>
      </c>
    </row>
    <row r="1895" spans="1:16">
      <c r="A1895" s="41" t="str">
        <f>Data!A1893</f>
        <v>QLT576</v>
      </c>
      <c r="B1895" s="41" t="str">
        <f>Data!D1893</f>
        <v>Vehicle, Diesel, Frontera Energy Col 2679</v>
      </c>
      <c r="C1895" s="41">
        <f>Data!F1893</f>
        <v>0</v>
      </c>
      <c r="D1895" s="41">
        <f>Data!G1893</f>
        <v>0</v>
      </c>
      <c r="E1895" s="41">
        <f>Data!H1893</f>
        <v>0</v>
      </c>
      <c r="F1895" s="41">
        <f>Data!K1893</f>
        <v>0</v>
      </c>
      <c r="G1895" s="33" t="str">
        <f>Data!M1893</f>
        <v>Giro brusco</v>
      </c>
      <c r="H1895" s="41" t="str">
        <f>Data!P1893</f>
        <v>ECOPETROL RUBIALES- Quifa - CAÑO SUR: Vía Quifa17 a Vara, Puerto Gaitán, Meta, Colombia</v>
      </c>
      <c r="I1895" s="42" t="str">
        <f>Data!Q1893</f>
        <v>Cliente, Vel Max 40 Km/h</v>
      </c>
      <c r="J1895" s="43">
        <f>Data!S1893</f>
        <v>46174.636162523151</v>
      </c>
      <c r="K1895" s="44">
        <f>Data!S1893</f>
        <v>46174.636162523151</v>
      </c>
      <c r="L1895" s="45">
        <f>Data!T1893</f>
        <v>9.2592592592592591E-8</v>
      </c>
      <c r="M1895" s="46">
        <f>Data!U1893</f>
        <v>1.6529302229173481E-5</v>
      </c>
      <c r="N1895" s="46" t="str">
        <f>CONCATENATE(Data!W1893," (",Data!V1893,")")</f>
        <v>Giro brusco (Velocidad máxima: 9 kmh Aceleración de lado a lado: -0.47 g-force, Ignición: 1.00)</v>
      </c>
      <c r="O1895" s="42" t="str">
        <f>IF(Data!V1893&lt;&gt;"",N1895,Data!W1893)</f>
        <v>Giro brusco (Velocidad máxima: 9 kmh Aceleración de lado a lado: -0.47 g-force, Ignición: 1.00)</v>
      </c>
      <c r="P1895" s="47" t="str">
        <f>Data!X1893</f>
        <v>Válido</v>
      </c>
    </row>
    <row r="1896" spans="1:16">
      <c r="A1896" s="41" t="str">
        <f>Data!A1894</f>
        <v>QLT576</v>
      </c>
      <c r="B1896" s="41" t="str">
        <f>Data!D1894</f>
        <v>Vehicle, Diesel, Frontera Energy Col 2679</v>
      </c>
      <c r="C1896" s="41">
        <f>Data!F1894</f>
        <v>0</v>
      </c>
      <c r="D1896" s="41">
        <f>Data!G1894</f>
        <v>0</v>
      </c>
      <c r="E1896" s="41">
        <f>Data!H1894</f>
        <v>0</v>
      </c>
      <c r="F1896" s="41">
        <f>Data!K1894</f>
        <v>0</v>
      </c>
      <c r="G1896" s="33" t="str">
        <f>Data!M1894</f>
        <v>Tiempo en ralentí</v>
      </c>
      <c r="H1896" s="41" t="str">
        <f>Data!P1894</f>
        <v>ECOPETROL RUBIALES- Quifa - CAÑO SUR: Vía Sin Nombre, Puerto Gaitán, Meta, Colombia</v>
      </c>
      <c r="I1896" s="42" t="str">
        <f>Data!Q1894</f>
        <v>Cliente, Vel Max 40 Km/h</v>
      </c>
      <c r="J1896" s="43">
        <f>Data!S1894</f>
        <v>46174.653831018521</v>
      </c>
      <c r="K1896" s="44">
        <f>Data!S1894</f>
        <v>46174.653831018521</v>
      </c>
      <c r="L1896" s="45">
        <f>Data!T1894</f>
        <v>3.4953703703703705E-3</v>
      </c>
      <c r="M1896" s="46">
        <f>Data!U1894</f>
        <v>0</v>
      </c>
      <c r="N1896" s="46" t="str">
        <f>CONCATENATE(Data!W1894," (",Data!V1894,")")</f>
        <v>Tiempo en ralentí (Ignición: 1.00)</v>
      </c>
      <c r="O1896" s="42" t="str">
        <f>IF(Data!V1894&lt;&gt;"",N1896,Data!W1894)</f>
        <v>Tiempo en ralentí (Ignición: 1.00)</v>
      </c>
      <c r="P1896" s="47" t="str">
        <f>Data!X1894</f>
        <v>Válido</v>
      </c>
    </row>
    <row r="1897" spans="1:16">
      <c r="A1897" s="41" t="str">
        <f>Data!A1895</f>
        <v>QLT576</v>
      </c>
      <c r="B1897" s="41" t="str">
        <f>Data!D1895</f>
        <v>Vehicle, Diesel, Frontera Energy Col 2679</v>
      </c>
      <c r="C1897" s="41">
        <f>Data!F1895</f>
        <v>0</v>
      </c>
      <c r="D1897" s="41">
        <f>Data!G1895</f>
        <v>0</v>
      </c>
      <c r="E1897" s="41">
        <f>Data!H1895</f>
        <v>0</v>
      </c>
      <c r="F1897" s="41">
        <f>Data!K1895</f>
        <v>0</v>
      </c>
      <c r="G1897" s="33" t="str">
        <f>Data!M1895</f>
        <v>Exceso Velocidad 40 Km/h</v>
      </c>
      <c r="H1897" s="41" t="str">
        <f>Data!P1895</f>
        <v>ECOPETROL RUBIALES- Quifa - CAÑO SUR: Vía Sin Nombre, Puerto Gaitán, Meta, Colombia</v>
      </c>
      <c r="I1897" s="42" t="str">
        <f>Data!Q1895</f>
        <v>Cliente, Vel Max 40 Km/h</v>
      </c>
      <c r="J1897" s="43">
        <f>Data!S1895</f>
        <v>46174.665280671295</v>
      </c>
      <c r="K1897" s="44">
        <f>Data!S1895</f>
        <v>46174.665280671295</v>
      </c>
      <c r="L1897" s="45">
        <f>Data!T1895</f>
        <v>5.2083433333333337E-5</v>
      </c>
      <c r="M1897" s="46">
        <f>Data!U1895</f>
        <v>4.8715643584728241E-2</v>
      </c>
      <c r="N1897" s="46" t="str">
        <f>CONCATENATE(Data!W1895," (",Data!V1895,")")</f>
        <v>Exceso Velocidad 40 Km/h (Velocidad máxima: 41 kmh)</v>
      </c>
      <c r="O1897" s="42" t="str">
        <f>IF(Data!V1895&lt;&gt;"",N1897,Data!W1895)</f>
        <v>Exceso Velocidad 40 Km/h (Velocidad máxima: 41 kmh)</v>
      </c>
      <c r="P1897" s="47" t="str">
        <f>Data!X1895</f>
        <v>Válido</v>
      </c>
    </row>
    <row r="1898" spans="1:16">
      <c r="A1898" s="41" t="str">
        <f>Data!A1896</f>
        <v>QLT576</v>
      </c>
      <c r="B1898" s="41" t="str">
        <f>Data!D1896</f>
        <v>Vehicle, Diesel, Frontera Energy Col 2679</v>
      </c>
      <c r="C1898" s="41">
        <f>Data!F1896</f>
        <v>0</v>
      </c>
      <c r="D1898" s="41">
        <f>Data!G1896</f>
        <v>0</v>
      </c>
      <c r="E1898" s="41">
        <f>Data!H1896</f>
        <v>0</v>
      </c>
      <c r="F1898" s="41">
        <f>Data!K1896</f>
        <v>0</v>
      </c>
      <c r="G1898" s="33" t="str">
        <f>Data!M1896</f>
        <v>Exceso Velocidad 40 Km/h</v>
      </c>
      <c r="H1898" s="41" t="str">
        <f>Data!P1896</f>
        <v>ECOPETROL RUBIALES- Quifa - CAÑO SUR: Vía Quifa17 a Vara, Puerto Gaitán, Meta, Colombia</v>
      </c>
      <c r="I1898" s="42" t="str">
        <f>Data!Q1896</f>
        <v>Cliente, Vel Max 40 Km/h</v>
      </c>
      <c r="J1898" s="43">
        <f>Data!S1896</f>
        <v>46174.665850694546</v>
      </c>
      <c r="K1898" s="44">
        <f>Data!S1896</f>
        <v>46174.665850694546</v>
      </c>
      <c r="L1898" s="45">
        <f>Data!T1896</f>
        <v>2.6331018518518516E-4</v>
      </c>
      <c r="M1898" s="46">
        <f>Data!U1896</f>
        <v>0.24547749757766724</v>
      </c>
      <c r="N1898" s="46" t="str">
        <f>CONCATENATE(Data!W1896," (",Data!V1896,")")</f>
        <v>Exceso Velocidad 40 Km/h (Velocidad máxima: 41 kmh)</v>
      </c>
      <c r="O1898" s="42" t="str">
        <f>IF(Data!V1896&lt;&gt;"",N1898,Data!W1896)</f>
        <v>Exceso Velocidad 40 Km/h (Velocidad máxima: 41 kmh)</v>
      </c>
      <c r="P1898" s="47" t="str">
        <f>Data!X1896</f>
        <v>Válido</v>
      </c>
    </row>
    <row r="1899" spans="1:16">
      <c r="A1899" s="41" t="str">
        <f>Data!A1897</f>
        <v>QLT576</v>
      </c>
      <c r="B1899" s="41" t="str">
        <f>Data!D1897</f>
        <v>Vehicle, Diesel, Frontera Energy Col 2679</v>
      </c>
      <c r="C1899" s="41">
        <f>Data!F1897</f>
        <v>0</v>
      </c>
      <c r="D1899" s="41">
        <f>Data!G1897</f>
        <v>0</v>
      </c>
      <c r="E1899" s="41">
        <f>Data!H1897</f>
        <v>0</v>
      </c>
      <c r="F1899" s="41">
        <f>Data!K1897</f>
        <v>0</v>
      </c>
      <c r="G1899" s="33" t="str">
        <f>Data!M1897</f>
        <v>Exceso Velocidad 40 Km/h</v>
      </c>
      <c r="H1899" s="41" t="str">
        <f>Data!P1897</f>
        <v>ECOPETROL RUBIALES- Quifa - CAÑO SUR: Vía Quifa17 a Vara, Puerto Gaitán, Meta, Colombia</v>
      </c>
      <c r="I1899" s="42" t="str">
        <f>Data!Q1897</f>
        <v>Cliente, Vel Max 40 Km/h</v>
      </c>
      <c r="J1899" s="43">
        <f>Data!S1897</f>
        <v>46174.666589502318</v>
      </c>
      <c r="K1899" s="44">
        <f>Data!S1897</f>
        <v>46174.666589502318</v>
      </c>
      <c r="L1899" s="45">
        <f>Data!T1897</f>
        <v>1.0803240740740741E-4</v>
      </c>
      <c r="M1899" s="46">
        <f>Data!U1897</f>
        <v>0.10362815856933594</v>
      </c>
      <c r="N1899" s="46" t="str">
        <f>CONCATENATE(Data!W1897," (",Data!V1897,")")</f>
        <v>Exceso Velocidad 40 Km/h (Velocidad máxima: 42 kmh)</v>
      </c>
      <c r="O1899" s="42" t="str">
        <f>IF(Data!V1897&lt;&gt;"",N1899,Data!W1897)</f>
        <v>Exceso Velocidad 40 Km/h (Velocidad máxima: 42 kmh)</v>
      </c>
      <c r="P1899" s="47" t="str">
        <f>Data!X1897</f>
        <v>Válido</v>
      </c>
    </row>
    <row r="1900" spans="1:16">
      <c r="A1900" s="41" t="str">
        <f>Data!A1898</f>
        <v>QLT576</v>
      </c>
      <c r="B1900" s="41" t="str">
        <f>Data!D1898</f>
        <v>Vehicle, Diesel, Frontera Energy Col 2679</v>
      </c>
      <c r="C1900" s="41">
        <f>Data!F1898</f>
        <v>0</v>
      </c>
      <c r="D1900" s="41">
        <f>Data!G1898</f>
        <v>0</v>
      </c>
      <c r="E1900" s="41">
        <f>Data!H1898</f>
        <v>0</v>
      </c>
      <c r="F1900" s="41">
        <f>Data!K1898</f>
        <v>0</v>
      </c>
      <c r="G1900" s="33" t="str">
        <f>Data!M1898</f>
        <v>Exceso Velocidad 30 Km/h</v>
      </c>
      <c r="H1900" s="41" t="str">
        <f>Data!P1898</f>
        <v>ECOPETROL RUBIALES- Quifa - CAÑO SUR, Puerto Triunfo - Estacion Policia: Vía La Primera Vara, Puerto Gaitán, Meta, Colombia</v>
      </c>
      <c r="I1900" s="42" t="str">
        <f>Data!Q1898</f>
        <v>Cliente, Vel Max 40 Km/h, Vel Max 30 Km/h</v>
      </c>
      <c r="J1900" s="43">
        <f>Data!S1898</f>
        <v>46174.667258344911</v>
      </c>
      <c r="K1900" s="44">
        <f>Data!S1898</f>
        <v>46174.667258344911</v>
      </c>
      <c r="L1900" s="45">
        <f>Data!T1898</f>
        <v>2.8449074074074075E-5</v>
      </c>
      <c r="M1900" s="46">
        <f>Data!U1898</f>
        <v>2.0468462258577347E-2</v>
      </c>
      <c r="N1900" s="46" t="str">
        <f>CONCATENATE(Data!W1898," (",Data!V1898,")")</f>
        <v>Exceso Velocidad 30 Km/h (Velocidad máxima: 36 kmh)</v>
      </c>
      <c r="O1900" s="42" t="str">
        <f>IF(Data!V1898&lt;&gt;"",N1900,Data!W1898)</f>
        <v>Exceso Velocidad 30 Km/h (Velocidad máxima: 36 kmh)</v>
      </c>
      <c r="P1900" s="47" t="str">
        <f>Data!X1898</f>
        <v>Válido</v>
      </c>
    </row>
    <row r="1901" spans="1:16">
      <c r="A1901" s="41" t="str">
        <f>Data!A1899</f>
        <v>QLT576</v>
      </c>
      <c r="B1901" s="41" t="str">
        <f>Data!D1899</f>
        <v>Vehicle, Diesel, Frontera Energy Col 2679</v>
      </c>
      <c r="C1901" s="41">
        <f>Data!F1899</f>
        <v>0</v>
      </c>
      <c r="D1901" s="41">
        <f>Data!G1899</f>
        <v>0</v>
      </c>
      <c r="E1901" s="41">
        <f>Data!H1899</f>
        <v>0</v>
      </c>
      <c r="F1901" s="41">
        <f>Data!K1899</f>
        <v>0</v>
      </c>
      <c r="G1901" s="33" t="str">
        <f>Data!M1899</f>
        <v>Exceso Velocidad 30 Km/h</v>
      </c>
      <c r="H1901" s="41" t="str">
        <f>Data!P1899</f>
        <v>ECOPETROL RUBIALES- Quifa - CAÑO SUR, Puerto Triunfo - Estacion Policia: Vía La Primera Vara, Puerto Gaitán, Meta, Colombia</v>
      </c>
      <c r="I1901" s="42" t="str">
        <f>Data!Q1899</f>
        <v>Cliente, Vel Max 40 Km/h, Vel Max 30 Km/h</v>
      </c>
      <c r="J1901" s="43">
        <f>Data!S1899</f>
        <v>46174.667502314813</v>
      </c>
      <c r="K1901" s="44">
        <f>Data!S1899</f>
        <v>46174.667502314813</v>
      </c>
      <c r="L1901" s="45">
        <f>Data!T1899</f>
        <v>1.388888888888889E-5</v>
      </c>
      <c r="M1901" s="46">
        <f>Data!U1899</f>
        <v>9.6814688295125961E-3</v>
      </c>
      <c r="N1901" s="46" t="str">
        <f>CONCATENATE(Data!W1899," (",Data!V1899,")")</f>
        <v>Exceso Velocidad 30 Km/h (Velocidad máxima: 31 kmh)</v>
      </c>
      <c r="O1901" s="42" t="str">
        <f>IF(Data!V1899&lt;&gt;"",N1901,Data!W1899)</f>
        <v>Exceso Velocidad 30 Km/h (Velocidad máxima: 31 kmh)</v>
      </c>
      <c r="P1901" s="47" t="str">
        <f>Data!X1899</f>
        <v>Válido</v>
      </c>
    </row>
    <row r="1902" spans="1:16">
      <c r="A1902" s="41" t="str">
        <f>Data!A1900</f>
        <v>QLT576</v>
      </c>
      <c r="B1902" s="41" t="str">
        <f>Data!D1900</f>
        <v>Vehicle, Diesel, Frontera Energy Col 2679</v>
      </c>
      <c r="C1902" s="41">
        <f>Data!F1900</f>
        <v>0</v>
      </c>
      <c r="D1902" s="41">
        <f>Data!G1900</f>
        <v>0</v>
      </c>
      <c r="E1902" s="41">
        <f>Data!H1900</f>
        <v>0</v>
      </c>
      <c r="F1902" s="41">
        <f>Data!K1900</f>
        <v>0</v>
      </c>
      <c r="G1902" s="33" t="str">
        <f>Data!M1900</f>
        <v>Exceso Velocidad 30 Km/h</v>
      </c>
      <c r="H1902" s="41" t="str">
        <f>Data!P1900</f>
        <v>ECOPETROL RUBIALES- Quifa - CAÑO SUR, Puerto Triunfo - Estacion Policia: Vía La Primera Vara, Puerto Gaitán, Meta, Colombia</v>
      </c>
      <c r="I1902" s="42" t="str">
        <f>Data!Q1900</f>
        <v>Cliente, Vel Max 40 Km/h, Vel Max 30 Km/h</v>
      </c>
      <c r="J1902" s="43">
        <f>Data!S1900</f>
        <v>46174.667716053242</v>
      </c>
      <c r="K1902" s="44">
        <f>Data!S1900</f>
        <v>46174.667716053242</v>
      </c>
      <c r="L1902" s="45">
        <f>Data!T1900</f>
        <v>6.6354166666666669E-5</v>
      </c>
      <c r="M1902" s="46">
        <f>Data!U1900</f>
        <v>4.6838894486427307E-2</v>
      </c>
      <c r="N1902" s="46" t="str">
        <f>CONCATENATE(Data!W1900," (",Data!V1900,")")</f>
        <v>Exceso Velocidad 30 Km/h (Velocidad máxima: 33 kmh)</v>
      </c>
      <c r="O1902" s="42" t="str">
        <f>IF(Data!V1900&lt;&gt;"",N1902,Data!W1900)</f>
        <v>Exceso Velocidad 30 Km/h (Velocidad máxima: 33 kmh)</v>
      </c>
      <c r="P1902" s="47" t="str">
        <f>Data!X1900</f>
        <v>Válido</v>
      </c>
    </row>
    <row r="1903" spans="1:16">
      <c r="A1903" s="41" t="str">
        <f>Data!A1901</f>
        <v>QLT576</v>
      </c>
      <c r="B1903" s="41" t="str">
        <f>Data!D1901</f>
        <v>Vehicle, Diesel, Frontera Energy Col 2679</v>
      </c>
      <c r="C1903" s="41">
        <f>Data!F1901</f>
        <v>0</v>
      </c>
      <c r="D1903" s="41">
        <f>Data!G1901</f>
        <v>0</v>
      </c>
      <c r="E1903" s="41">
        <f>Data!H1901</f>
        <v>0</v>
      </c>
      <c r="F1903" s="41">
        <f>Data!K1901</f>
        <v>0</v>
      </c>
      <c r="G1903" s="33" t="str">
        <f>Data!M1901</f>
        <v>Exceso Velocidad 30 Km/h</v>
      </c>
      <c r="H1903" s="41" t="str">
        <f>Data!P1901</f>
        <v>ECOPETROL RUBIALES- Quifa - CAÑO SUR, Puerto Triunfo - Estacion Policia: Km 128 +500, Lavadero De Autos EL OASIS, Puerto Gaitan - Rubiales, Puerto Gaitán, Meta, Colombia</v>
      </c>
      <c r="I1903" s="42" t="str">
        <f>Data!Q1901</f>
        <v>Cliente, Vel Max 40 Km/h, Vel Max 30 Km/h</v>
      </c>
      <c r="J1903" s="43">
        <f>Data!S1901</f>
        <v>46174.669326388888</v>
      </c>
      <c r="K1903" s="44">
        <f>Data!S1901</f>
        <v>46174.669326388888</v>
      </c>
      <c r="L1903" s="45">
        <f>Data!T1901</f>
        <v>4.4756944444444447E-5</v>
      </c>
      <c r="M1903" s="46">
        <f>Data!U1901</f>
        <v>3.3434849232435226E-2</v>
      </c>
      <c r="N1903" s="46" t="str">
        <f>CONCATENATE(Data!W1901," (",Data!V1901,")")</f>
        <v>Exceso Velocidad 30 Km/h (Velocidad máxima: 31 kmh)</v>
      </c>
      <c r="O1903" s="42" t="str">
        <f>IF(Data!V1901&lt;&gt;"",N1903,Data!W1901)</f>
        <v>Exceso Velocidad 30 Km/h (Velocidad máxima: 31 kmh)</v>
      </c>
      <c r="P1903" s="47" t="str">
        <f>Data!X1901</f>
        <v>Válido</v>
      </c>
    </row>
    <row r="1904" spans="1:16">
      <c r="A1904" s="41" t="str">
        <f>Data!A1902</f>
        <v>QLT576</v>
      </c>
      <c r="B1904" s="41" t="str">
        <f>Data!D1902</f>
        <v>Vehicle, Diesel, Frontera Energy Col 2679</v>
      </c>
      <c r="C1904" s="41">
        <f>Data!F1902</f>
        <v>0</v>
      </c>
      <c r="D1904" s="41">
        <f>Data!G1902</f>
        <v>0</v>
      </c>
      <c r="E1904" s="41">
        <f>Data!H1902</f>
        <v>0</v>
      </c>
      <c r="F1904" s="41">
        <f>Data!K1902</f>
        <v>0</v>
      </c>
      <c r="G1904" s="33" t="str">
        <f>Data!M1902</f>
        <v>Exceso Velocidad 30 Km/h</v>
      </c>
      <c r="H1904" s="41" t="str">
        <f>Data!P1902</f>
        <v>ECOPETROL RUBIALES- Quifa - CAÑO SUR, Puerto Triunfo - Estacion Policia: Puerto Gaitan - Rubiales, Puerto Gaitán, Meta, Colombia</v>
      </c>
      <c r="I1904" s="42" t="str">
        <f>Data!Q1902</f>
        <v>Cliente, Vel Max 40 Km/h, Vel Max 30 Km/h</v>
      </c>
      <c r="J1904" s="43">
        <f>Data!S1902</f>
        <v>46174.669505625003</v>
      </c>
      <c r="K1904" s="44">
        <f>Data!S1902</f>
        <v>46174.669505625003</v>
      </c>
      <c r="L1904" s="45">
        <f>Data!T1902</f>
        <v>1.2111111111111112E-4</v>
      </c>
      <c r="M1904" s="46">
        <f>Data!U1902</f>
        <v>0.10286609083414078</v>
      </c>
      <c r="N1904" s="46" t="str">
        <f>CONCATENATE(Data!W1902," (",Data!V1902,")")</f>
        <v>Exceso Velocidad 30 Km/h (Velocidad máxima: 39 kmh)</v>
      </c>
      <c r="O1904" s="42" t="str">
        <f>IF(Data!V1902&lt;&gt;"",N1904,Data!W1902)</f>
        <v>Exceso Velocidad 30 Km/h (Velocidad máxima: 39 kmh)</v>
      </c>
      <c r="P1904" s="47" t="str">
        <f>Data!X1902</f>
        <v>Válido</v>
      </c>
    </row>
    <row r="1905" spans="1:16">
      <c r="A1905" s="41" t="str">
        <f>Data!A1903</f>
        <v>QLT576</v>
      </c>
      <c r="B1905" s="41" t="str">
        <f>Data!D1903</f>
        <v>Vehicle, Diesel, Frontera Energy Col 2679</v>
      </c>
      <c r="C1905" s="41">
        <f>Data!F1903</f>
        <v>0</v>
      </c>
      <c r="D1905" s="41">
        <f>Data!G1903</f>
        <v>0</v>
      </c>
      <c r="E1905" s="41">
        <f>Data!H1903</f>
        <v>0</v>
      </c>
      <c r="F1905" s="41">
        <f>Data!K1903</f>
        <v>0</v>
      </c>
      <c r="G1905" s="33" t="str">
        <f>Data!M1903</f>
        <v>Exceso Velocidad 30 Km/h</v>
      </c>
      <c r="H1905" s="41" t="str">
        <f>Data!P1903</f>
        <v>ECOPETROL RUBIALES- Quifa - CAÑO SUR, Puerto Triunfo - Estacion Policia: Puerto Gaitan - Rubiales, Puerto Gaitán, Meta, Colombia</v>
      </c>
      <c r="I1905" s="42" t="str">
        <f>Data!Q1903</f>
        <v>Cliente, Vel Max 40 Km/h, Vel Max 30 Km/h</v>
      </c>
      <c r="J1905" s="43">
        <f>Data!S1903</f>
        <v>46174.669652777775</v>
      </c>
      <c r="K1905" s="44">
        <f>Data!S1903</f>
        <v>46174.669652777775</v>
      </c>
      <c r="L1905" s="45">
        <f>Data!T1903</f>
        <v>2.8113425925925927E-5</v>
      </c>
      <c r="M1905" s="46">
        <f>Data!U1903</f>
        <v>2.009410597383976E-2</v>
      </c>
      <c r="N1905" s="46" t="str">
        <f>CONCATENATE(Data!W1903," (",Data!V1903,")")</f>
        <v>Exceso Velocidad 30 Km/h (Velocidad máxima: 31 kmh)</v>
      </c>
      <c r="O1905" s="42" t="str">
        <f>IF(Data!V1903&lt;&gt;"",N1905,Data!W1903)</f>
        <v>Exceso Velocidad 30 Km/h (Velocidad máxima: 31 kmh)</v>
      </c>
      <c r="P1905" s="47" t="str">
        <f>Data!X1903</f>
        <v>Válido</v>
      </c>
    </row>
    <row r="1906" spans="1:16">
      <c r="A1906" s="41" t="str">
        <f>Data!A1904</f>
        <v>QLT576</v>
      </c>
      <c r="B1906" s="41" t="str">
        <f>Data!D1904</f>
        <v>Vehicle, Diesel, Frontera Energy Col 2679</v>
      </c>
      <c r="C1906" s="41">
        <f>Data!F1904</f>
        <v>0</v>
      </c>
      <c r="D1906" s="41">
        <f>Data!G1904</f>
        <v>0</v>
      </c>
      <c r="E1906" s="41">
        <f>Data!H1904</f>
        <v>0</v>
      </c>
      <c r="F1906" s="41">
        <f>Data!K1904</f>
        <v>0</v>
      </c>
      <c r="G1906" s="33" t="str">
        <f>Data!M1904</f>
        <v>Exceso Velocidad 30 Km/h</v>
      </c>
      <c r="H1906" s="41" t="str">
        <f>Data!P1904</f>
        <v>ECOPETROL RUBIALES- Quifa - CAÑO SUR, Puerto Triunfo - Estacion Policia: vereda puerto triunfo Km 129+300 vía rubiales, Puerto Gaitán, Meta, Colombia</v>
      </c>
      <c r="I1906" s="42" t="str">
        <f>Data!Q1904</f>
        <v>Cliente, Vel Max 40 Km/h, Vel Max 30 Km/h</v>
      </c>
      <c r="J1906" s="43">
        <f>Data!S1904</f>
        <v>46174.671314988424</v>
      </c>
      <c r="K1906" s="44">
        <f>Data!S1904</f>
        <v>46174.671314988424</v>
      </c>
      <c r="L1906" s="45">
        <f>Data!T1904</f>
        <v>1.8964120370370369E-4</v>
      </c>
      <c r="M1906" s="46">
        <f>Data!U1904</f>
        <v>0.14549227058887482</v>
      </c>
      <c r="N1906" s="46" t="str">
        <f>CONCATENATE(Data!W1904," (",Data!V1904,")")</f>
        <v>Exceso Velocidad 30 Km/h (Velocidad máxima: 33 kmh)</v>
      </c>
      <c r="O1906" s="42" t="str">
        <f>IF(Data!V1904&lt;&gt;"",N1906,Data!W1904)</f>
        <v>Exceso Velocidad 30 Km/h (Velocidad máxima: 33 kmh)</v>
      </c>
      <c r="P1906" s="47" t="str">
        <f>Data!X1904</f>
        <v>Válido</v>
      </c>
    </row>
    <row r="1907" spans="1:16">
      <c r="A1907" s="41" t="str">
        <f>Data!A1905</f>
        <v>QLT576</v>
      </c>
      <c r="B1907" s="41" t="str">
        <f>Data!D1905</f>
        <v>Vehicle, Diesel, Frontera Energy Col 2679</v>
      </c>
      <c r="C1907" s="41">
        <f>Data!F1905</f>
        <v>0</v>
      </c>
      <c r="D1907" s="41">
        <f>Data!G1905</f>
        <v>0</v>
      </c>
      <c r="E1907" s="41">
        <f>Data!H1905</f>
        <v>0</v>
      </c>
      <c r="F1907" s="41">
        <f>Data!K1905</f>
        <v>0</v>
      </c>
      <c r="G1907" s="33" t="str">
        <f>Data!M1905</f>
        <v>Exceso Velocidad 30 Km/h</v>
      </c>
      <c r="H1907" s="41" t="str">
        <f>Data!P1905</f>
        <v>ECOPETROL RUBIALES- Quifa - CAÑO SUR, Puerto Triunfo - Estacion Policia: Puerto Gaitan - Rubiales, Puerto Gaitán, Meta, Colombia</v>
      </c>
      <c r="I1907" s="42" t="str">
        <f>Data!Q1905</f>
        <v>Cliente, Vel Max 40 Km/h, Vel Max 30 Km/h</v>
      </c>
      <c r="J1907" s="43">
        <f>Data!S1905</f>
        <v>46174.671813564812</v>
      </c>
      <c r="K1907" s="44">
        <f>Data!S1905</f>
        <v>46174.671813564812</v>
      </c>
      <c r="L1907" s="45">
        <f>Data!T1905</f>
        <v>9.1192129629629625E-5</v>
      </c>
      <c r="M1907" s="46">
        <f>Data!U1905</f>
        <v>7.3310650885105133E-2</v>
      </c>
      <c r="N1907" s="46" t="str">
        <f>CONCATENATE(Data!W1905," (",Data!V1905,")")</f>
        <v>Exceso Velocidad 30 Km/h (Velocidad máxima: 35 kmh)</v>
      </c>
      <c r="O1907" s="42" t="str">
        <f>IF(Data!V1905&lt;&gt;"",N1907,Data!W1905)</f>
        <v>Exceso Velocidad 30 Km/h (Velocidad máxima: 35 kmh)</v>
      </c>
      <c r="P1907" s="47" t="str">
        <f>Data!X1905</f>
        <v>Válido</v>
      </c>
    </row>
    <row r="1908" spans="1:16">
      <c r="A1908" s="41" t="str">
        <f>Data!A1906</f>
        <v>QLT576</v>
      </c>
      <c r="B1908" s="41" t="str">
        <f>Data!D1906</f>
        <v>Vehicle, Diesel, Frontera Energy Col 2679</v>
      </c>
      <c r="C1908" s="41">
        <f>Data!F1906</f>
        <v>0</v>
      </c>
      <c r="D1908" s="41">
        <f>Data!G1906</f>
        <v>0</v>
      </c>
      <c r="E1908" s="41">
        <f>Data!H1906</f>
        <v>0</v>
      </c>
      <c r="F1908" s="41">
        <f>Data!K1906</f>
        <v>0</v>
      </c>
      <c r="G1908" s="33" t="str">
        <f>Data!M1906</f>
        <v>Exceso Velocidad 30 Km/h</v>
      </c>
      <c r="H1908" s="41" t="str">
        <f>Data!P1906</f>
        <v>ECOPETROL RUBIALES- Quifa - CAÑO SUR, Puerto Triunfo - Estacion Policia: Puerto Gaitan - Rubiales, Puerto Gaitán, Meta, Colombia</v>
      </c>
      <c r="I1908" s="42" t="str">
        <f>Data!Q1906</f>
        <v>Cliente, Vel Max 40 Km/h, Vel Max 30 Km/h</v>
      </c>
      <c r="J1908" s="43">
        <f>Data!S1906</f>
        <v>46174.672025462962</v>
      </c>
      <c r="K1908" s="44">
        <f>Data!S1906</f>
        <v>46174.672025462962</v>
      </c>
      <c r="L1908" s="45">
        <f>Data!T1906</f>
        <v>1.550925925925926E-4</v>
      </c>
      <c r="M1908" s="46">
        <f>Data!U1906</f>
        <v>0.11866039782762527</v>
      </c>
      <c r="N1908" s="46" t="str">
        <f>CONCATENATE(Data!W1906," (",Data!V1906,")")</f>
        <v>Exceso Velocidad 30 Km/h (Velocidad máxima: 33 kmh)</v>
      </c>
      <c r="O1908" s="42" t="str">
        <f>IF(Data!V1906&lt;&gt;"",N1908,Data!W1906)</f>
        <v>Exceso Velocidad 30 Km/h (Velocidad máxima: 33 kmh)</v>
      </c>
      <c r="P1908" s="47" t="str">
        <f>Data!X1906</f>
        <v>Válido</v>
      </c>
    </row>
    <row r="1909" spans="1:16">
      <c r="A1909" s="41" t="str">
        <f>Data!A1907</f>
        <v>QLT576</v>
      </c>
      <c r="B1909" s="41" t="str">
        <f>Data!D1907</f>
        <v>Vehicle, Diesel, Frontera Energy Col 2679</v>
      </c>
      <c r="C1909" s="41">
        <f>Data!F1907</f>
        <v>0</v>
      </c>
      <c r="D1909" s="41">
        <f>Data!G1907</f>
        <v>0</v>
      </c>
      <c r="E1909" s="41">
        <f>Data!H1907</f>
        <v>0</v>
      </c>
      <c r="F1909" s="41">
        <f>Data!K1907</f>
        <v>0</v>
      </c>
      <c r="G1909" s="33" t="str">
        <f>Data!M1907</f>
        <v>Exceso Velocidad 30 Km/h</v>
      </c>
      <c r="H1909" s="41" t="str">
        <f>Data!P1907</f>
        <v>ECOPETROL RUBIALES- Quifa - CAÑO SUR, Puerto Triunfo - Estacion Policia: Puerto Gaitan - Rubiales, Puerto Gaitán, Meta, Colombia</v>
      </c>
      <c r="I1909" s="42" t="str">
        <f>Data!Q1907</f>
        <v>Cliente, Vel Max 40 Km/h, Vel Max 30 Km/h</v>
      </c>
      <c r="J1909" s="43">
        <f>Data!S1907</f>
        <v>46174.672209363423</v>
      </c>
      <c r="K1909" s="44">
        <f>Data!S1907</f>
        <v>46174.672209363423</v>
      </c>
      <c r="L1909" s="45">
        <f>Data!T1907</f>
        <v>1.4145833333333333E-4</v>
      </c>
      <c r="M1909" s="46">
        <f>Data!U1907</f>
        <v>0.11785893142223358</v>
      </c>
      <c r="N1909" s="46" t="str">
        <f>CONCATENATE(Data!W1907," (",Data!V1907,")")</f>
        <v>Exceso Velocidad 30 Km/h (Velocidad máxima: 37 kmh)</v>
      </c>
      <c r="O1909" s="42" t="str">
        <f>IF(Data!V1907&lt;&gt;"",N1909,Data!W1907)</f>
        <v>Exceso Velocidad 30 Km/h (Velocidad máxima: 37 kmh)</v>
      </c>
      <c r="P1909" s="47" t="str">
        <f>Data!X1907</f>
        <v>Válido</v>
      </c>
    </row>
    <row r="1910" spans="1:16">
      <c r="A1910" s="41" t="str">
        <f>Data!A1908</f>
        <v>QLT576</v>
      </c>
      <c r="B1910" s="41" t="str">
        <f>Data!D1908</f>
        <v>Vehicle, Diesel, Frontera Energy Col 2679</v>
      </c>
      <c r="C1910" s="41">
        <f>Data!F1908</f>
        <v>0</v>
      </c>
      <c r="D1910" s="41">
        <f>Data!G1908</f>
        <v>0</v>
      </c>
      <c r="E1910" s="41">
        <f>Data!H1908</f>
        <v>0</v>
      </c>
      <c r="F1910" s="41">
        <f>Data!K1908</f>
        <v>0</v>
      </c>
      <c r="G1910" s="33" t="str">
        <f>Data!M1908</f>
        <v>Exceso Velocidad 30 Km/h</v>
      </c>
      <c r="H1910" s="41" t="str">
        <f>Data!P1908</f>
        <v>ECOPETROL RUBIALES- Quifa - CAÑO SUR, Puerto Triunfo - Estacion Policia: Puerto Gaitan - Rubiales, Puerto Gaitán, Meta, Colombia</v>
      </c>
      <c r="I1910" s="42" t="str">
        <f>Data!Q1908</f>
        <v>Cliente, Vel Max 40 Km/h, Vel Max 30 Km/h</v>
      </c>
      <c r="J1910" s="43">
        <f>Data!S1908</f>
        <v>46174.672507361109</v>
      </c>
      <c r="K1910" s="44">
        <f>Data!S1908</f>
        <v>46174.672507361109</v>
      </c>
      <c r="L1910" s="45">
        <f>Data!T1908</f>
        <v>2.4200231481481482E-4</v>
      </c>
      <c r="M1910" s="46">
        <f>Data!U1908</f>
        <v>0.20104937255382538</v>
      </c>
      <c r="N1910" s="46" t="str">
        <f>CONCATENATE(Data!W1908," (",Data!V1908,")")</f>
        <v>Exceso Velocidad 30 Km/h (Velocidad máxima: 37 kmh)</v>
      </c>
      <c r="O1910" s="42" t="str">
        <f>IF(Data!V1908&lt;&gt;"",N1910,Data!W1908)</f>
        <v>Exceso Velocidad 30 Km/h (Velocidad máxima: 37 kmh)</v>
      </c>
      <c r="P1910" s="47" t="str">
        <f>Data!X1908</f>
        <v>Válido</v>
      </c>
    </row>
    <row r="1911" spans="1:16">
      <c r="A1911" s="41" t="str">
        <f>Data!A1909</f>
        <v>QLT576</v>
      </c>
      <c r="B1911" s="41" t="str">
        <f>Data!D1909</f>
        <v>Vehicle, Diesel, Frontera Energy Col 2679</v>
      </c>
      <c r="C1911" s="41">
        <f>Data!F1909</f>
        <v>0</v>
      </c>
      <c r="D1911" s="41">
        <f>Data!G1909</f>
        <v>0</v>
      </c>
      <c r="E1911" s="41">
        <f>Data!H1909</f>
        <v>0</v>
      </c>
      <c r="F1911" s="41">
        <f>Data!K1909</f>
        <v>0</v>
      </c>
      <c r="G1911" s="33" t="str">
        <f>Data!M1909</f>
        <v>Exceso Velocidad 30 Km/h</v>
      </c>
      <c r="H1911" s="41" t="str">
        <f>Data!P1909</f>
        <v>ECOPETROL RUBIALES- Quifa - CAÑO SUR, Puerto Triunfo - Estacion Policia: Puerto Gaitan - Rubiales, Puerto Gaitán, Meta, Colombia</v>
      </c>
      <c r="I1911" s="42" t="str">
        <f>Data!Q1909</f>
        <v>Cliente, Vel Max 40 Km/h, Vel Max 30 Km/h</v>
      </c>
      <c r="J1911" s="43">
        <f>Data!S1909</f>
        <v>46174.673055555555</v>
      </c>
      <c r="K1911" s="44">
        <f>Data!S1909</f>
        <v>46174.673055555555</v>
      </c>
      <c r="L1911" s="45">
        <f>Data!T1909</f>
        <v>2.0543981481481482E-4</v>
      </c>
      <c r="M1911" s="46">
        <f>Data!U1909</f>
        <v>0.16010801494121552</v>
      </c>
      <c r="N1911" s="46" t="str">
        <f>CONCATENATE(Data!W1909," (",Data!V1909,")")</f>
        <v>Exceso Velocidad 30 Km/h (Velocidad máxima: 33 kmh)</v>
      </c>
      <c r="O1911" s="42" t="str">
        <f>IF(Data!V1909&lt;&gt;"",N1911,Data!W1909)</f>
        <v>Exceso Velocidad 30 Km/h (Velocidad máxima: 33 kmh)</v>
      </c>
      <c r="P1911" s="47" t="str">
        <f>Data!X1909</f>
        <v>Válido</v>
      </c>
    </row>
    <row r="1912" spans="1:16">
      <c r="A1912" s="41" t="str">
        <f>Data!A1910</f>
        <v>QLT576</v>
      </c>
      <c r="B1912" s="41" t="str">
        <f>Data!D1910</f>
        <v>Vehicle, Diesel, Frontera Energy Col 2679</v>
      </c>
      <c r="C1912" s="41">
        <f>Data!F1910</f>
        <v>0</v>
      </c>
      <c r="D1912" s="41">
        <f>Data!G1910</f>
        <v>0</v>
      </c>
      <c r="E1912" s="41">
        <f>Data!H1910</f>
        <v>0</v>
      </c>
      <c r="F1912" s="41">
        <f>Data!K1910</f>
        <v>0</v>
      </c>
      <c r="G1912" s="33" t="str">
        <f>Data!M1910</f>
        <v>Exceso Velocidad 30 Km/h</v>
      </c>
      <c r="H1912" s="41" t="str">
        <f>Data!P1910</f>
        <v>ECOPETROL RUBIALES- Quifa - CAÑO SUR, Puerto Triunfo - Estacion Policia: Puerto Gaitan - Rubiales, Puerto Gaitán, Meta, Colombia</v>
      </c>
      <c r="I1912" s="42" t="str">
        <f>Data!Q1910</f>
        <v>Cliente, Vel Max 40 Km/h, Vel Max 30 Km/h</v>
      </c>
      <c r="J1912" s="43">
        <f>Data!S1910</f>
        <v>46174.67338734954</v>
      </c>
      <c r="K1912" s="44">
        <f>Data!S1910</f>
        <v>46174.67338734954</v>
      </c>
      <c r="L1912" s="45">
        <f>Data!T1910</f>
        <v>6.172453703703704E-5</v>
      </c>
      <c r="M1912" s="46">
        <f>Data!U1910</f>
        <v>4.5302342623472214E-2</v>
      </c>
      <c r="N1912" s="46" t="str">
        <f>CONCATENATE(Data!W1910," (",Data!V1910,")")</f>
        <v>Exceso Velocidad 30 Km/h (Velocidad máxima: 31 kmh)</v>
      </c>
      <c r="O1912" s="42" t="str">
        <f>IF(Data!V1910&lt;&gt;"",N1912,Data!W1910)</f>
        <v>Exceso Velocidad 30 Km/h (Velocidad máxima: 31 kmh)</v>
      </c>
      <c r="P1912" s="47" t="str">
        <f>Data!X1910</f>
        <v>Válido</v>
      </c>
    </row>
    <row r="1913" spans="1:16">
      <c r="A1913" s="41" t="str">
        <f>Data!A1911</f>
        <v>QLT576</v>
      </c>
      <c r="B1913" s="41" t="str">
        <f>Data!D1911</f>
        <v>Vehicle, Diesel, Frontera Energy Col 2679</v>
      </c>
      <c r="C1913" s="41">
        <f>Data!F1911</f>
        <v>0</v>
      </c>
      <c r="D1913" s="41">
        <f>Data!G1911</f>
        <v>0</v>
      </c>
      <c r="E1913" s="41">
        <f>Data!H1911</f>
        <v>0</v>
      </c>
      <c r="F1913" s="41">
        <f>Data!K1911</f>
        <v>0</v>
      </c>
      <c r="G1913" s="33" t="str">
        <f>Data!M1911</f>
        <v>Exceso Velocidad 30 Km/h</v>
      </c>
      <c r="H1913" s="41" t="str">
        <f>Data!P1911</f>
        <v>ECOPETROL RUBIALES- Quifa - CAÑO SUR, Puerto Triunfo - Estacion Policia: Puerto Gaitan - Rubiales, Puerto Gaitán, Meta, Colombia</v>
      </c>
      <c r="I1913" s="42" t="str">
        <f>Data!Q1911</f>
        <v>Cliente, Vel Max 40 Km/h, Vel Max 30 Km/h</v>
      </c>
      <c r="J1913" s="43">
        <f>Data!S1911</f>
        <v>46174.673567384256</v>
      </c>
      <c r="K1913" s="44">
        <f>Data!S1911</f>
        <v>46174.673567384256</v>
      </c>
      <c r="L1913" s="45">
        <f>Data!T1911</f>
        <v>6.1664351851851854E-4</v>
      </c>
      <c r="M1913" s="46">
        <f>Data!U1911</f>
        <v>0.50001543760299683</v>
      </c>
      <c r="N1913" s="46" t="str">
        <f>CONCATENATE(Data!W1911," (",Data!V1911,")")</f>
        <v>Exceso Velocidad 30 Km/h (Velocidad máxima: 39 kmh)</v>
      </c>
      <c r="O1913" s="42" t="str">
        <f>IF(Data!V1911&lt;&gt;"",N1913,Data!W1911)</f>
        <v>Exceso Velocidad 30 Km/h (Velocidad máxima: 39 kmh)</v>
      </c>
      <c r="P1913" s="47" t="str">
        <f>Data!X1911</f>
        <v>Válido</v>
      </c>
    </row>
    <row r="1914" spans="1:16">
      <c r="A1914" s="41" t="str">
        <f>Data!A1912</f>
        <v>QLT576</v>
      </c>
      <c r="B1914" s="41" t="str">
        <f>Data!D1912</f>
        <v>Vehicle, Diesel, Frontera Energy Col 2679</v>
      </c>
      <c r="C1914" s="41">
        <f>Data!F1912</f>
        <v>0</v>
      </c>
      <c r="D1914" s="41">
        <f>Data!G1912</f>
        <v>0</v>
      </c>
      <c r="E1914" s="41">
        <f>Data!H1912</f>
        <v>0</v>
      </c>
      <c r="F1914" s="41">
        <f>Data!K1912</f>
        <v>0</v>
      </c>
      <c r="G1914" s="33" t="str">
        <f>Data!M1912</f>
        <v>Exceso Velocidad 10 Km/h</v>
      </c>
      <c r="H1914" s="41" t="str">
        <f>Data!P1912</f>
        <v>ECOPETROL RUBIALES- Quifa - CAÑO SUR, Puerto Triunfo - Estacion Policia, PUESTRO CONTROL QUIFA: Puerto Gaitan - Rubiales, Puerto Gaitán, Meta, Colombia</v>
      </c>
      <c r="I1914" s="42" t="str">
        <f>Data!Q1912</f>
        <v>Cliente, Vel Max 40 Km/h, Vel Max 30 Km/h, Vel Max 10 Km/h</v>
      </c>
      <c r="J1914" s="43">
        <f>Data!S1912</f>
        <v>46174.674004039349</v>
      </c>
      <c r="K1914" s="44">
        <f>Data!S1912</f>
        <v>46174.674004039349</v>
      </c>
      <c r="L1914" s="45">
        <f>Data!T1912</f>
        <v>2.4668981481481482E-4</v>
      </c>
      <c r="M1914" s="46">
        <f>Data!U1912</f>
        <v>0.18271937966346741</v>
      </c>
      <c r="N1914" s="46" t="str">
        <f>CONCATENATE(Data!W1912," (",Data!V1912,")")</f>
        <v>Exceso Velocidad 10 Km/h (Velocidad máxima: 32 kmh)</v>
      </c>
      <c r="O1914" s="42" t="str">
        <f>IF(Data!V1912&lt;&gt;"",N1914,Data!W1912)</f>
        <v>Exceso Velocidad 10 Km/h (Velocidad máxima: 32 kmh)</v>
      </c>
      <c r="P1914" s="47" t="str">
        <f>Data!X1912</f>
        <v>Válido</v>
      </c>
    </row>
    <row r="1915" spans="1:16">
      <c r="A1915" s="41" t="str">
        <f>Data!A1913</f>
        <v>QLT576</v>
      </c>
      <c r="B1915" s="41" t="str">
        <f>Data!D1913</f>
        <v>Vehicle, Diesel, Frontera Energy Col 2679</v>
      </c>
      <c r="C1915" s="41">
        <f>Data!F1913</f>
        <v>0</v>
      </c>
      <c r="D1915" s="41">
        <f>Data!G1913</f>
        <v>0</v>
      </c>
      <c r="E1915" s="41">
        <f>Data!H1913</f>
        <v>0</v>
      </c>
      <c r="F1915" s="41">
        <f>Data!K1913</f>
        <v>0</v>
      </c>
      <c r="G1915" s="33" t="str">
        <f>Data!M1913</f>
        <v>Exceso Velocidad 30 Km/h</v>
      </c>
      <c r="H1915" s="41" t="str">
        <f>Data!P1913</f>
        <v>ECOPETROL RUBIALES- Quifa - CAÑO SUR, Puerto Triunfo - Estacion Policia: Puerto Gaitan - Rubiales, Puerto Gaitán, Meta, Colombia</v>
      </c>
      <c r="I1915" s="42" t="str">
        <f>Data!Q1913</f>
        <v>Cliente, Vel Max 40 Km/h, Vel Max 30 Km/h</v>
      </c>
      <c r="J1915" s="43">
        <f>Data!S1913</f>
        <v>46174.674346064916</v>
      </c>
      <c r="K1915" s="44">
        <f>Data!S1913</f>
        <v>46174.674346064916</v>
      </c>
      <c r="L1915" s="45">
        <f>Data!T1913</f>
        <v>4.4363425925925926E-5</v>
      </c>
      <c r="M1915" s="46">
        <f>Data!U1913</f>
        <v>3.2945763319730759E-2</v>
      </c>
      <c r="N1915" s="46" t="str">
        <f>CONCATENATE(Data!W1913," (",Data!V1913,")")</f>
        <v>Exceso Velocidad 30 Km/h (Velocidad máxima: 31 kmh)</v>
      </c>
      <c r="O1915" s="42" t="str">
        <f>IF(Data!V1913&lt;&gt;"",N1915,Data!W1913)</f>
        <v>Exceso Velocidad 30 Km/h (Velocidad máxima: 31 kmh)</v>
      </c>
      <c r="P1915" s="47" t="str">
        <f>Data!X1913</f>
        <v>Válido</v>
      </c>
    </row>
    <row r="1916" spans="1:16">
      <c r="A1916" s="41" t="str">
        <f>Data!A1914</f>
        <v>QLT576</v>
      </c>
      <c r="B1916" s="41" t="str">
        <f>Data!D1914</f>
        <v>Vehicle, Diesel, Frontera Energy Col 2679</v>
      </c>
      <c r="C1916" s="41">
        <f>Data!F1914</f>
        <v>0</v>
      </c>
      <c r="D1916" s="41">
        <f>Data!G1914</f>
        <v>0</v>
      </c>
      <c r="E1916" s="41">
        <f>Data!H1914</f>
        <v>0</v>
      </c>
      <c r="F1916" s="41">
        <f>Data!K1914</f>
        <v>0</v>
      </c>
      <c r="G1916" s="33" t="str">
        <f>Data!M1914</f>
        <v>Exceso de velocidad (nuevo)</v>
      </c>
      <c r="H1916" s="41" t="str">
        <f>Data!P1914</f>
        <v>ECOPETROL RUBIALES- Quifa - CAÑO SUR: Puerto Gaitan - Rubiales, Puerto Gaitán, Meta, Colombia</v>
      </c>
      <c r="I1916" s="42" t="str">
        <f>Data!Q1914</f>
        <v>Cliente, Vel Max 40 Km/h</v>
      </c>
      <c r="J1916" s="43">
        <f>Data!S1914</f>
        <v>46174.674421296295</v>
      </c>
      <c r="K1916" s="44">
        <f>Data!S1914</f>
        <v>46174.674421296295</v>
      </c>
      <c r="L1916" s="45">
        <f>Data!T1914</f>
        <v>3.9351851851851852E-4</v>
      </c>
      <c r="M1916" s="46">
        <f>Data!U1914</f>
        <v>0.28150439262390137</v>
      </c>
      <c r="N1916" s="46" t="str">
        <f>CONCATENATE(Data!W1914," (",Data!V1914,")")</f>
        <v>Exceso de velocidad (nuevo) (Velocidad máxima: 35 kmh (Velocidad máxima en carretera: 7 kmh))</v>
      </c>
      <c r="O1916" s="42" t="str">
        <f>IF(Data!V1914&lt;&gt;"",N1916,Data!W1914)</f>
        <v>Exceso de velocidad (nuevo) (Velocidad máxima: 35 kmh (Velocidad máxima en carretera: 7 kmh))</v>
      </c>
      <c r="P1916" s="47" t="str">
        <f>Data!X1914</f>
        <v>Válido</v>
      </c>
    </row>
    <row r="1917" spans="1:16">
      <c r="A1917" s="41" t="str">
        <f>Data!A1915</f>
        <v>QLT576</v>
      </c>
      <c r="B1917" s="41" t="str">
        <f>Data!D1915</f>
        <v>Vehicle, Diesel, Frontera Energy Col 2679</v>
      </c>
      <c r="C1917" s="41">
        <f>Data!F1915</f>
        <v>0</v>
      </c>
      <c r="D1917" s="41">
        <f>Data!G1915</f>
        <v>0</v>
      </c>
      <c r="E1917" s="41">
        <f>Data!H1915</f>
        <v>0</v>
      </c>
      <c r="F1917" s="41">
        <f>Data!K1915</f>
        <v>0</v>
      </c>
      <c r="G1917" s="33" t="str">
        <f>Data!M1915</f>
        <v>Exceso Velocidad 10 Km/h</v>
      </c>
      <c r="H1917" s="41" t="str">
        <f>Data!P1915</f>
        <v>ECOPETROL RUBIALES- Quifa - CAÑO SUR, Centralizado de combustible Quifa: Vía Sin Nombre, Puerto Gaitán, Meta, Colombia</v>
      </c>
      <c r="I1917" s="42" t="str">
        <f>Data!Q1915</f>
        <v>Cliente, Vel Max 40 Km/h, Vel Max 10 Km/h</v>
      </c>
      <c r="J1917" s="43">
        <f>Data!S1915</f>
        <v>46174.674873356482</v>
      </c>
      <c r="K1917" s="44">
        <f>Data!S1915</f>
        <v>46174.674873356482</v>
      </c>
      <c r="L1917" s="45">
        <f>Data!T1915</f>
        <v>1.4078703703703703E-4</v>
      </c>
      <c r="M1917" s="46">
        <f>Data!U1915</f>
        <v>4.8321172595024109E-2</v>
      </c>
      <c r="N1917" s="46" t="str">
        <f>CONCATENATE(Data!W1915," (",Data!V1915,")")</f>
        <v>Exceso Velocidad 10 Km/h (Velocidad máxima: 16 kmh)</v>
      </c>
      <c r="O1917" s="42" t="str">
        <f>IF(Data!V1915&lt;&gt;"",N1917,Data!W1915)</f>
        <v>Exceso Velocidad 10 Km/h (Velocidad máxima: 16 kmh)</v>
      </c>
      <c r="P1917" s="47" t="str">
        <f>Data!X1915</f>
        <v>Válido</v>
      </c>
    </row>
    <row r="1918" spans="1:16">
      <c r="A1918" s="41" t="str">
        <f>Data!A1916</f>
        <v>QLT576</v>
      </c>
      <c r="B1918" s="41" t="str">
        <f>Data!D1916</f>
        <v>Vehicle, Diesel, Frontera Energy Col 2679</v>
      </c>
      <c r="C1918" s="41">
        <f>Data!F1916</f>
        <v>0</v>
      </c>
      <c r="D1918" s="41">
        <f>Data!G1916</f>
        <v>0</v>
      </c>
      <c r="E1918" s="41">
        <f>Data!H1916</f>
        <v>0</v>
      </c>
      <c r="F1918" s="41">
        <f>Data!K1916</f>
        <v>0</v>
      </c>
      <c r="G1918" s="33" t="str">
        <f>Data!M1916</f>
        <v>Tiempo en ralentí</v>
      </c>
      <c r="H1918" s="41" t="str">
        <f>Data!P1916</f>
        <v>ECOPETROL RUBIALES- Quifa - CAÑO SUR, Centralizado de combustible Quifa: Vía Sin Nombre, Puerto Gaitán, Meta, Colombia</v>
      </c>
      <c r="I1918" s="42" t="str">
        <f>Data!Q1916</f>
        <v>Cliente, Vel Max 40 Km/h, Vel Max 10 Km/h</v>
      </c>
      <c r="J1918" s="43">
        <f>Data!S1916</f>
        <v>46174.678622685184</v>
      </c>
      <c r="K1918" s="44">
        <f>Data!S1916</f>
        <v>46174.678622685184</v>
      </c>
      <c r="L1918" s="45">
        <f>Data!T1916</f>
        <v>5.3819444444444444E-3</v>
      </c>
      <c r="M1918" s="46">
        <f>Data!U1916</f>
        <v>0</v>
      </c>
      <c r="N1918" s="46" t="str">
        <f>CONCATENATE(Data!W1916," (",Data!V1916,")")</f>
        <v>Tiempo en ralentí (Ignición: 1.00)</v>
      </c>
      <c r="O1918" s="42" t="str">
        <f>IF(Data!V1916&lt;&gt;"",N1918,Data!W1916)</f>
        <v>Tiempo en ralentí (Ignición: 1.00)</v>
      </c>
      <c r="P1918" s="47" t="str">
        <f>Data!X1916</f>
        <v>Válido</v>
      </c>
    </row>
    <row r="1919" spans="1:16">
      <c r="A1919" s="41" t="str">
        <f>Data!A1917</f>
        <v>QLT576</v>
      </c>
      <c r="B1919" s="41" t="str">
        <f>Data!D1917</f>
        <v>Vehicle, Diesel, Frontera Energy Col 2679</v>
      </c>
      <c r="C1919" s="41">
        <f>Data!F1917</f>
        <v>0</v>
      </c>
      <c r="D1919" s="41">
        <f>Data!G1917</f>
        <v>0</v>
      </c>
      <c r="E1919" s="41">
        <f>Data!H1917</f>
        <v>0</v>
      </c>
      <c r="F1919" s="41">
        <f>Data!K1917</f>
        <v>0</v>
      </c>
      <c r="G1919" s="33" t="str">
        <f>Data!M1917</f>
        <v>Exceso Velocidad 10 Km/h</v>
      </c>
      <c r="H1919" s="41" t="str">
        <f>Data!P1917</f>
        <v>ECOPETROL RUBIALES- Quifa - CAÑO SUR, Centralizado de combustible Quifa: Vía Sin Nombre, Puerto Gaitán, Meta, Colombia</v>
      </c>
      <c r="I1919" s="42" t="str">
        <f>Data!Q1917</f>
        <v>Cliente, Vel Max 40 Km/h, Vel Max 10 Km/h</v>
      </c>
      <c r="J1919" s="43">
        <f>Data!S1917</f>
        <v>46174.690717592595</v>
      </c>
      <c r="K1919" s="44">
        <f>Data!S1917</f>
        <v>46174.690717592595</v>
      </c>
      <c r="L1919" s="45">
        <f>Data!T1917</f>
        <v>2.9596064814814817E-4</v>
      </c>
      <c r="M1919" s="46">
        <f>Data!U1917</f>
        <v>7.7099300920963287E-2</v>
      </c>
      <c r="N1919" s="46" t="str">
        <f>CONCATENATE(Data!W1917," (",Data!V1917,")")</f>
        <v>Exceso Velocidad 10 Km/h (Velocidad máxima: 13 kmh)</v>
      </c>
      <c r="O1919" s="42" t="str">
        <f>IF(Data!V1917&lt;&gt;"",N1919,Data!W1917)</f>
        <v>Exceso Velocidad 10 Km/h (Velocidad máxima: 13 kmh)</v>
      </c>
      <c r="P1919" s="47" t="str">
        <f>Data!X1917</f>
        <v>Válido</v>
      </c>
    </row>
    <row r="1920" spans="1:16">
      <c r="A1920" s="41" t="str">
        <f>Data!A1918</f>
        <v>QLT576</v>
      </c>
      <c r="B1920" s="41" t="str">
        <f>Data!D1918</f>
        <v>Vehicle, Diesel, Frontera Energy Col 2679</v>
      </c>
      <c r="C1920" s="41">
        <f>Data!F1918</f>
        <v>0</v>
      </c>
      <c r="D1920" s="41">
        <f>Data!G1918</f>
        <v>0</v>
      </c>
      <c r="E1920" s="41">
        <f>Data!H1918</f>
        <v>0</v>
      </c>
      <c r="F1920" s="41">
        <f>Data!K1918</f>
        <v>0</v>
      </c>
      <c r="G1920" s="33" t="str">
        <f>Data!M1918</f>
        <v>Tiempo en ralentí</v>
      </c>
      <c r="H1920" s="41" t="str">
        <f>Data!P1918</f>
        <v>ECOPETROL RUBIALES- Quifa - CAÑO SUR, Centralizado de combustible Quifa: Vía Sin Nombre, Puerto Gaitán, Meta, Colombia</v>
      </c>
      <c r="I1920" s="42" t="str">
        <f>Data!Q1918</f>
        <v>Cliente, Vel Max 40 Km/h, Vel Max 10 Km/h</v>
      </c>
      <c r="J1920" s="43">
        <f>Data!S1918</f>
        <v>46174.69122685185</v>
      </c>
      <c r="K1920" s="44">
        <f>Data!S1918</f>
        <v>46174.69122685185</v>
      </c>
      <c r="L1920" s="45">
        <f>Data!T1918</f>
        <v>5.7407407407407407E-3</v>
      </c>
      <c r="M1920" s="46">
        <f>Data!U1918</f>
        <v>0</v>
      </c>
      <c r="N1920" s="46" t="str">
        <f>CONCATENATE(Data!W1918," (",Data!V1918,")")</f>
        <v>Tiempo en ralentí (Ignición: 1.00)</v>
      </c>
      <c r="O1920" s="42" t="str">
        <f>IF(Data!V1918&lt;&gt;"",N1920,Data!W1918)</f>
        <v>Tiempo en ralentí (Ignición: 1.00)</v>
      </c>
      <c r="P1920" s="47" t="str">
        <f>Data!X1918</f>
        <v>Válido</v>
      </c>
    </row>
    <row r="1921" spans="1:16">
      <c r="A1921" s="41" t="str">
        <f>Data!A1919</f>
        <v>QLT576</v>
      </c>
      <c r="B1921" s="41" t="str">
        <f>Data!D1919</f>
        <v>Vehicle, Diesel, Frontera Energy Col 2679</v>
      </c>
      <c r="C1921" s="41">
        <f>Data!F1919</f>
        <v>0</v>
      </c>
      <c r="D1921" s="41">
        <f>Data!G1919</f>
        <v>0</v>
      </c>
      <c r="E1921" s="41">
        <f>Data!H1919</f>
        <v>0</v>
      </c>
      <c r="F1921" s="41">
        <f>Data!K1919</f>
        <v>0</v>
      </c>
      <c r="G1921" s="33" t="str">
        <f>Data!M1919</f>
        <v>Exceso Velocidad 10 Km/h</v>
      </c>
      <c r="H1921" s="41" t="str">
        <f>Data!P1919</f>
        <v>ECOPETROL RUBIALES- Quifa - CAÑO SUR, Centralizado de combustible Quifa: Vía Sin Nombre, Puerto Gaitán, Meta, Colombia</v>
      </c>
      <c r="I1921" s="42" t="str">
        <f>Data!Q1919</f>
        <v>Cliente, Vel Max 40 Km/h, Vel Max 10 Km/h</v>
      </c>
      <c r="J1921" s="43">
        <f>Data!S1919</f>
        <v>46174.697164351855</v>
      </c>
      <c r="K1921" s="44">
        <f>Data!S1919</f>
        <v>46174.697164351855</v>
      </c>
      <c r="L1921" s="45">
        <f>Data!T1919</f>
        <v>6.0055555555555556E-4</v>
      </c>
      <c r="M1921" s="46">
        <f>Data!U1919</f>
        <v>0.15691131353378296</v>
      </c>
      <c r="N1921" s="46" t="str">
        <f>CONCATENATE(Data!W1919," (",Data!V1919,")")</f>
        <v>Exceso Velocidad 10 Km/h (Velocidad máxima: 12 kmh)</v>
      </c>
      <c r="O1921" s="42" t="str">
        <f>IF(Data!V1919&lt;&gt;"",N1921,Data!W1919)</f>
        <v>Exceso Velocidad 10 Km/h (Velocidad máxima: 12 kmh)</v>
      </c>
      <c r="P1921" s="47" t="str">
        <f>Data!X1919</f>
        <v>Válido</v>
      </c>
    </row>
    <row r="1922" spans="1:16">
      <c r="A1922" s="41" t="str">
        <f>Data!A1920</f>
        <v>QLT576</v>
      </c>
      <c r="B1922" s="41" t="str">
        <f>Data!D1920</f>
        <v>Vehicle, Diesel, Frontera Energy Col 2679</v>
      </c>
      <c r="C1922" s="41">
        <f>Data!F1920</f>
        <v>0</v>
      </c>
      <c r="D1922" s="41">
        <f>Data!G1920</f>
        <v>0</v>
      </c>
      <c r="E1922" s="41">
        <f>Data!H1920</f>
        <v>0</v>
      </c>
      <c r="F1922" s="41">
        <f>Data!K1920</f>
        <v>0</v>
      </c>
      <c r="G1922" s="33" t="str">
        <f>Data!M1920</f>
        <v>Exceso de velocidad (nuevo)</v>
      </c>
      <c r="H1922" s="41" t="str">
        <f>Data!P1920</f>
        <v>ECOPETROL RUBIALES- Quifa - CAÑO SUR: Puerto Gaitan - Rubiales, Puerto Gaitán, Meta, Colombia</v>
      </c>
      <c r="I1922" s="42" t="str">
        <f>Data!Q1920</f>
        <v>Cliente, Vel Max 40 Km/h</v>
      </c>
      <c r="J1922" s="43">
        <f>Data!S1920</f>
        <v>46174.697905092595</v>
      </c>
      <c r="K1922" s="44">
        <f>Data!S1920</f>
        <v>46174.697905092595</v>
      </c>
      <c r="L1922" s="45">
        <f>Data!T1920</f>
        <v>4.2824074074074075E-4</v>
      </c>
      <c r="M1922" s="46">
        <f>Data!U1920</f>
        <v>0.26120075583457947</v>
      </c>
      <c r="N1922" s="46" t="str">
        <f>CONCATENATE(Data!W1920," (",Data!V1920,")")</f>
        <v>Exceso de velocidad (nuevo) (Velocidad máxima: 26 kmh (Velocidad máxima en carretera: 7 kmh))</v>
      </c>
      <c r="O1922" s="42" t="str">
        <f>IF(Data!V1920&lt;&gt;"",N1922,Data!W1920)</f>
        <v>Exceso de velocidad (nuevo) (Velocidad máxima: 26 kmh (Velocidad máxima en carretera: 7 kmh))</v>
      </c>
      <c r="P1922" s="47" t="str">
        <f>Data!X1920</f>
        <v>Válido</v>
      </c>
    </row>
    <row r="1923" spans="1:16">
      <c r="A1923" s="41" t="str">
        <f>Data!A1921</f>
        <v>QLT576</v>
      </c>
      <c r="B1923" s="41" t="str">
        <f>Data!D1921</f>
        <v>Vehicle, Diesel, Frontera Energy Col 2679</v>
      </c>
      <c r="C1923" s="41">
        <f>Data!F1921</f>
        <v>0</v>
      </c>
      <c r="D1923" s="41">
        <f>Data!G1921</f>
        <v>0</v>
      </c>
      <c r="E1923" s="41">
        <f>Data!H1921</f>
        <v>0</v>
      </c>
      <c r="F1923" s="41">
        <f>Data!K1921</f>
        <v>0</v>
      </c>
      <c r="G1923" s="33" t="str">
        <f>Data!M1921</f>
        <v>Exceso Velocidad 10 Km/h</v>
      </c>
      <c r="H1923" s="41" t="str">
        <f>Data!P1921</f>
        <v>ECOPETROL RUBIALES- Quifa - CAÑO SUR, Puerto Triunfo - Estacion Policia, PUESTRO CONTROL QUIFA: Puerto Gaitan - Rubiales, Puerto Gaitán, Meta, Colombia</v>
      </c>
      <c r="I1923" s="42" t="str">
        <f>Data!Q1921</f>
        <v>Cliente, Vel Max 40 Km/h, Vel Max 30 Km/h, Vel Max 10 Km/h</v>
      </c>
      <c r="J1923" s="43">
        <f>Data!S1921</f>
        <v>46174.698541666665</v>
      </c>
      <c r="K1923" s="44">
        <f>Data!S1921</f>
        <v>46174.698541666665</v>
      </c>
      <c r="L1923" s="45">
        <f>Data!T1921</f>
        <v>2.805439814814815E-4</v>
      </c>
      <c r="M1923" s="46">
        <f>Data!U1921</f>
        <v>0.18389974534511566</v>
      </c>
      <c r="N1923" s="46" t="str">
        <f>CONCATENATE(Data!W1921," (",Data!V1921,")")</f>
        <v>Exceso Velocidad 10 Km/h (Velocidad máxima: 28 kmh)</v>
      </c>
      <c r="O1923" s="42" t="str">
        <f>IF(Data!V1921&lt;&gt;"",N1923,Data!W1921)</f>
        <v>Exceso Velocidad 10 Km/h (Velocidad máxima: 28 kmh)</v>
      </c>
      <c r="P1923" s="47" t="str">
        <f>Data!X1921</f>
        <v>Válido</v>
      </c>
    </row>
    <row r="1924" spans="1:16">
      <c r="A1924" s="41" t="str">
        <f>Data!A1922</f>
        <v>QLT576</v>
      </c>
      <c r="B1924" s="41" t="str">
        <f>Data!D1922</f>
        <v>Vehicle, Diesel, Frontera Energy Col 2679</v>
      </c>
      <c r="C1924" s="41">
        <f>Data!F1922</f>
        <v>0</v>
      </c>
      <c r="D1924" s="41">
        <f>Data!G1922</f>
        <v>0</v>
      </c>
      <c r="E1924" s="41">
        <f>Data!H1922</f>
        <v>0</v>
      </c>
      <c r="F1924" s="41">
        <f>Data!K1922</f>
        <v>0</v>
      </c>
      <c r="G1924" s="33" t="str">
        <f>Data!M1922</f>
        <v>Tiempo en ralentí</v>
      </c>
      <c r="H1924" s="41" t="str">
        <f>Data!P1922</f>
        <v>ECOPETROL RUBIALES- Quifa - CAÑO SUR: Puerto Gaitan - Rubiales, Puerto Gaitán, Meta, Colombia</v>
      </c>
      <c r="I1924" s="42" t="str">
        <f>Data!Q1922</f>
        <v>Cliente, Vel Max 40 Km/h</v>
      </c>
      <c r="J1924" s="43">
        <f>Data!S1922</f>
        <v>46174.700787037036</v>
      </c>
      <c r="K1924" s="44">
        <f>Data!S1922</f>
        <v>46174.700787037036</v>
      </c>
      <c r="L1924" s="45">
        <f>Data!T1922</f>
        <v>1.0324074074074074E-2</v>
      </c>
      <c r="M1924" s="46">
        <f>Data!U1922</f>
        <v>0</v>
      </c>
      <c r="N1924" s="46" t="str">
        <f>CONCATENATE(Data!W1922," (",Data!V1922,")")</f>
        <v>Tiempo en ralentí (Ignición: 1.00)</v>
      </c>
      <c r="O1924" s="42" t="str">
        <f>IF(Data!V1922&lt;&gt;"",N1924,Data!W1922)</f>
        <v>Tiempo en ralentí (Ignición: 1.00)</v>
      </c>
      <c r="P1924" s="47" t="str">
        <f>Data!X1922</f>
        <v>Válido</v>
      </c>
    </row>
    <row r="1925" spans="1:16">
      <c r="A1925" s="41" t="str">
        <f>Data!A1923</f>
        <v>QLT576</v>
      </c>
      <c r="B1925" s="41" t="str">
        <f>Data!D1923</f>
        <v>Vehicle, Diesel, Frontera Energy Col 2679</v>
      </c>
      <c r="C1925" s="41">
        <f>Data!F1923</f>
        <v>0</v>
      </c>
      <c r="D1925" s="41">
        <f>Data!G1923</f>
        <v>0</v>
      </c>
      <c r="E1925" s="41">
        <f>Data!H1923</f>
        <v>0</v>
      </c>
      <c r="F1925" s="41">
        <f>Data!K1923</f>
        <v>0</v>
      </c>
      <c r="G1925" s="33" t="str">
        <f>Data!M1923</f>
        <v>Exceso Velocidad 10 Km/h</v>
      </c>
      <c r="H1925" s="41" t="str">
        <f>Data!P1923</f>
        <v>ECOPETROL RUBIALES- Quifa - CAÑO SUR, Puerto Triunfo - Estacion Policia, PUESTRO CONTROL QUIFA: Puerto Gaitan - Rubiales, Puerto Gaitán, Meta, Colombia</v>
      </c>
      <c r="I1925" s="42" t="str">
        <f>Data!Q1923</f>
        <v>Cliente, Vel Max 40 Km/h, Vel Max 30 Km/h, Vel Max 10 Km/h</v>
      </c>
      <c r="J1925" s="43">
        <f>Data!S1923</f>
        <v>46174.716344629633</v>
      </c>
      <c r="K1925" s="44">
        <f>Data!S1923</f>
        <v>46174.716344629633</v>
      </c>
      <c r="L1925" s="45">
        <f>Data!T1923</f>
        <v>3.3922453703703702E-4</v>
      </c>
      <c r="M1925" s="46">
        <f>Data!U1923</f>
        <v>0.18320493400096893</v>
      </c>
      <c r="N1925" s="46" t="str">
        <f>CONCATENATE(Data!W1923," (",Data!V1923,")")</f>
        <v>Exceso Velocidad 10 Km/h (Velocidad máxima: 21 kmh)</v>
      </c>
      <c r="O1925" s="42" t="str">
        <f>IF(Data!V1923&lt;&gt;"",N1925,Data!W1923)</f>
        <v>Exceso Velocidad 10 Km/h (Velocidad máxima: 21 kmh)</v>
      </c>
      <c r="P1925" s="47" t="str">
        <f>Data!X1923</f>
        <v>Válido</v>
      </c>
    </row>
    <row r="1926" spans="1:16">
      <c r="A1926" s="41" t="str">
        <f>Data!A1924</f>
        <v>QLT576</v>
      </c>
      <c r="B1926" s="41" t="str">
        <f>Data!D1924</f>
        <v>Vehicle, Diesel, Frontera Energy Col 2679</v>
      </c>
      <c r="C1926" s="41">
        <f>Data!F1924</f>
        <v>0</v>
      </c>
      <c r="D1926" s="41">
        <f>Data!G1924</f>
        <v>0</v>
      </c>
      <c r="E1926" s="41">
        <f>Data!H1924</f>
        <v>0</v>
      </c>
      <c r="F1926" s="41">
        <f>Data!K1924</f>
        <v>0</v>
      </c>
      <c r="G1926" s="33" t="str">
        <f>Data!M1924</f>
        <v>Exceso Velocidad 10 Km/h</v>
      </c>
      <c r="H1926" s="41" t="str">
        <f>Data!P1924</f>
        <v>CAMPAMENTO QUIFA, ECOPETROL RUBIALES- Quifa - CAÑO SUR, Puerto Gaitan - Rubiales, Puerto Gaitán, Meta, Colombia: Ent. CAMPAMENTO, Puerto Gaitán, Meta, Colombia</v>
      </c>
      <c r="I1926" s="42" t="str">
        <f>Data!Q1924</f>
        <v>Vel Max 10 Km/h, Cliente, Vel Max 40 Km/h, Centro de servicios del proveedor</v>
      </c>
      <c r="J1926" s="43">
        <f>Data!S1924</f>
        <v>46174.718874212966</v>
      </c>
      <c r="K1926" s="44">
        <f>Data!S1924</f>
        <v>46174.718874212966</v>
      </c>
      <c r="L1926" s="45">
        <f>Data!T1924</f>
        <v>1.4675925925925926E-5</v>
      </c>
      <c r="M1926" s="46">
        <f>Data!U1924</f>
        <v>3.233801107853651E-3</v>
      </c>
      <c r="N1926" s="46" t="str">
        <f>CONCATENATE(Data!W1924," (",Data!V1924,")")</f>
        <v>Exceso Velocidad 10 Km/h (Velocidad máxima: 11 kmh)</v>
      </c>
      <c r="O1926" s="42" t="str">
        <f>IF(Data!V1924&lt;&gt;"",N1926,Data!W1924)</f>
        <v>Exceso Velocidad 10 Km/h (Velocidad máxima: 11 kmh)</v>
      </c>
      <c r="P1926" s="47" t="str">
        <f>Data!X1924</f>
        <v>Válido</v>
      </c>
    </row>
    <row r="1927" spans="1:16">
      <c r="A1927" s="41" t="str">
        <f>Data!A1925</f>
        <v>QLT576</v>
      </c>
      <c r="B1927" s="41" t="str">
        <f>Data!D1925</f>
        <v>Vehicle, Diesel, Frontera Energy Col 2679</v>
      </c>
      <c r="C1927" s="41">
        <f>Data!F1925</f>
        <v>0</v>
      </c>
      <c r="D1927" s="41">
        <f>Data!G1925</f>
        <v>0</v>
      </c>
      <c r="E1927" s="41">
        <f>Data!H1925</f>
        <v>0</v>
      </c>
      <c r="F1927" s="41">
        <f>Data!K1925</f>
        <v>0</v>
      </c>
      <c r="G1927" s="33" t="str">
        <f>Data!M1925</f>
        <v>Exceso Velocidad 10 Km/h</v>
      </c>
      <c r="H1927" s="41" t="str">
        <f>Data!P1925</f>
        <v>CAMPAMENTO QUIFA, ECOPETROL RUBIALES- Quifa - CAÑO SUR, Puerto Gaitan - Rubiales, Puerto Gaitán, Meta, Colombia, Campamento Quifa - CMA: Ent. CAMPAMENTO, Puerto Gaitán, Meta, Colombia</v>
      </c>
      <c r="I1927" s="42" t="str">
        <f>Data!Q1925</f>
        <v>Vel Max 10 Km/h, Cliente, Vel Max 40 Km/h, Centro de servicios del proveedor</v>
      </c>
      <c r="J1927" s="43">
        <f>Data!S1925</f>
        <v>46174.719369213068</v>
      </c>
      <c r="K1927" s="44">
        <f>Data!S1925</f>
        <v>46174.719369213068</v>
      </c>
      <c r="L1927" s="45">
        <f>Data!T1925</f>
        <v>1.0416666666666667E-4</v>
      </c>
      <c r="M1927" s="46">
        <f>Data!U1925</f>
        <v>2.4345716461539268E-2</v>
      </c>
      <c r="N1927" s="46" t="str">
        <f>CONCATENATE(Data!W1925," (",Data!V1925,")")</f>
        <v>Exceso Velocidad 10 Km/h (Velocidad máxima: 11 kmh)</v>
      </c>
      <c r="O1927" s="42" t="str">
        <f>IF(Data!V1925&lt;&gt;"",N1927,Data!W1925)</f>
        <v>Exceso Velocidad 10 Km/h (Velocidad máxima: 11 kmh)</v>
      </c>
      <c r="P1927" s="47" t="str">
        <f>Data!X1925</f>
        <v>Válido</v>
      </c>
    </row>
    <row r="1928" spans="1:16">
      <c r="A1928" s="41" t="str">
        <f>Data!A1926</f>
        <v>QLT576</v>
      </c>
      <c r="B1928" s="41" t="str">
        <f>Data!D1926</f>
        <v>Vehicle, Diesel, Frontera Energy Col 2679</v>
      </c>
      <c r="C1928" s="41">
        <f>Data!F1926</f>
        <v>0</v>
      </c>
      <c r="D1928" s="41">
        <f>Data!G1926</f>
        <v>0</v>
      </c>
      <c r="E1928" s="41">
        <f>Data!H1926</f>
        <v>0</v>
      </c>
      <c r="F1928" s="41">
        <f>Data!K1926</f>
        <v>0</v>
      </c>
      <c r="G1928" s="33" t="str">
        <f>Data!M1926</f>
        <v>Exceso Velocidad 10 Km/h</v>
      </c>
      <c r="H1928" s="41" t="str">
        <f>Data!P1926</f>
        <v>ECOPETROL RUBIALES- Quifa - CAÑO SUR, Puerto Triunfo - Estacion Policia, PUESTRO CONTROL QUIFA: Puerto Gaitan - Rubiales, Puerto Gaitán, Meta, Colombia</v>
      </c>
      <c r="I1928" s="42" t="str">
        <f>Data!Q1926</f>
        <v>Cliente, Vel Max 40 Km/h, Vel Max 30 Km/h, Vel Max 10 Km/h</v>
      </c>
      <c r="J1928" s="43">
        <f>Data!S1926</f>
        <v>46174.757730972226</v>
      </c>
      <c r="K1928" s="44">
        <f>Data!S1926</f>
        <v>46174.757730972226</v>
      </c>
      <c r="L1928" s="45">
        <f>Data!T1926</f>
        <v>3.394560185185185E-4</v>
      </c>
      <c r="M1928" s="46">
        <f>Data!U1926</f>
        <v>0.18308284878730774</v>
      </c>
      <c r="N1928" s="46" t="str">
        <f>CONCATENATE(Data!W1926," (",Data!V1926,")")</f>
        <v>Exceso Velocidad 10 Km/h (Velocidad máxima: 23 kmh)</v>
      </c>
      <c r="O1928" s="42" t="str">
        <f>IF(Data!V1926&lt;&gt;"",N1928,Data!W1926)</f>
        <v>Exceso Velocidad 10 Km/h (Velocidad máxima: 23 kmh)</v>
      </c>
      <c r="P1928" s="47" t="str">
        <f>Data!X1926</f>
        <v>Válido</v>
      </c>
    </row>
    <row r="1929" spans="1:16">
      <c r="A1929" s="41" t="str">
        <f>Data!A1927</f>
        <v>QLT576</v>
      </c>
      <c r="B1929" s="41" t="str">
        <f>Data!D1927</f>
        <v>Vehicle, Diesel, Frontera Energy Col 2679</v>
      </c>
      <c r="C1929" s="41">
        <f>Data!F1927</f>
        <v>0</v>
      </c>
      <c r="D1929" s="41">
        <f>Data!G1927</f>
        <v>0</v>
      </c>
      <c r="E1929" s="41">
        <f>Data!H1927</f>
        <v>0</v>
      </c>
      <c r="F1929" s="41">
        <f>Data!K1927</f>
        <v>0</v>
      </c>
      <c r="G1929" s="33" t="str">
        <f>Data!M1927</f>
        <v>Exceso Velocidad 10 Km/h</v>
      </c>
      <c r="H1929" s="41" t="str">
        <f>Data!P1927</f>
        <v>ECOPETROL RUBIALES- Quifa - CAÑO SUR, Puerto Triunfo - Estacion Policia, PUESTRO CONTROL QUIFA: Puerto Gaitan - Rubiales, Puerto Gaitán, Meta, Colombia</v>
      </c>
      <c r="I1929" s="42" t="str">
        <f>Data!Q1927</f>
        <v>Cliente, Vel Max 40 Km/h, Vel Max 30 Km/h, Vel Max 10 Km/h</v>
      </c>
      <c r="J1929" s="43">
        <f>Data!S1927</f>
        <v>46174.773591631943</v>
      </c>
      <c r="K1929" s="44">
        <f>Data!S1927</f>
        <v>46174.773591631943</v>
      </c>
      <c r="L1929" s="45">
        <f>Data!T1927</f>
        <v>3.843865740740741E-4</v>
      </c>
      <c r="M1929" s="46">
        <f>Data!U1927</f>
        <v>0.18395073711872101</v>
      </c>
      <c r="N1929" s="46" t="str">
        <f>CONCATENATE(Data!W1927," (",Data!V1927,")")</f>
        <v>Exceso Velocidad 10 Km/h (Velocidad máxima: 24 kmh)</v>
      </c>
      <c r="O1929" s="42" t="str">
        <f>IF(Data!V1927&lt;&gt;"",N1929,Data!W1927)</f>
        <v>Exceso Velocidad 10 Km/h (Velocidad máxima: 24 kmh)</v>
      </c>
      <c r="P1929" s="47" t="str">
        <f>Data!X1927</f>
        <v>Válido</v>
      </c>
    </row>
    <row r="1930" spans="1:16">
      <c r="A1930" s="41" t="str">
        <f>Data!A1928</f>
        <v>QLT576</v>
      </c>
      <c r="B1930" s="41" t="str">
        <f>Data!D1928</f>
        <v>Vehicle, Diesel, Frontera Energy Col 2679</v>
      </c>
      <c r="C1930" s="41">
        <f>Data!F1928</f>
        <v>0</v>
      </c>
      <c r="D1930" s="41">
        <f>Data!G1928</f>
        <v>0</v>
      </c>
      <c r="E1930" s="41">
        <f>Data!H1928</f>
        <v>0</v>
      </c>
      <c r="F1930" s="41">
        <f>Data!K1928</f>
        <v>0</v>
      </c>
      <c r="G1930" s="33" t="str">
        <f>Data!M1928</f>
        <v>Exceso Velocidad 10 Km/h</v>
      </c>
      <c r="H1930" s="41" t="str">
        <f>Data!P1928</f>
        <v>CAMPAMENTO QUIFA, ECOPETROL RUBIALES- Quifa - CAÑO SUR, Puerto Gaitan - Rubiales, Puerto Gaitán, Meta, Colombia, Puerto Triunfo - Estacion Policia: Ent. CAMPAMENTO, Puerto Gaitán, Meta, Colombia</v>
      </c>
      <c r="I1930" s="42" t="str">
        <f>Data!Q1928</f>
        <v>Vel Max 10 Km/h, Cliente, Vel Max 40 Km/h, Centro de servicios del proveedor, Vel Max 30 Km/h</v>
      </c>
      <c r="J1930" s="43">
        <f>Data!S1928</f>
        <v>46174.776775590275</v>
      </c>
      <c r="K1930" s="44">
        <f>Data!S1928</f>
        <v>46174.776775590275</v>
      </c>
      <c r="L1930" s="45">
        <f>Data!T1928</f>
        <v>4.4457175925925925E-4</v>
      </c>
      <c r="M1930" s="46">
        <f>Data!U1928</f>
        <v>0.15052372217178345</v>
      </c>
      <c r="N1930" s="46" t="str">
        <f>CONCATENATE(Data!W1928," (",Data!V1928,")")</f>
        <v>Exceso Velocidad 10 Km/h (Velocidad máxima: 16 kmh)</v>
      </c>
      <c r="O1930" s="42" t="str">
        <f>IF(Data!V1928&lt;&gt;"",N1930,Data!W1928)</f>
        <v>Exceso Velocidad 10 Km/h (Velocidad máxima: 16 kmh)</v>
      </c>
      <c r="P1930" s="47" t="str">
        <f>Data!X1928</f>
        <v>Válido</v>
      </c>
    </row>
    <row r="1931" spans="1:16">
      <c r="A1931" s="41" t="str">
        <f>Data!A1929</f>
        <v>QLT576</v>
      </c>
      <c r="B1931" s="41" t="str">
        <f>Data!D1929</f>
        <v>Vehicle, Diesel, Frontera Energy Col 2679</v>
      </c>
      <c r="C1931" s="41">
        <f>Data!F1929</f>
        <v>0</v>
      </c>
      <c r="D1931" s="41">
        <f>Data!G1929</f>
        <v>0</v>
      </c>
      <c r="E1931" s="41">
        <f>Data!H1929</f>
        <v>0</v>
      </c>
      <c r="F1931" s="41">
        <f>Data!K1929</f>
        <v>0</v>
      </c>
      <c r="G1931" s="33" t="str">
        <f>Data!M1929</f>
        <v>Tiempo en ralentí</v>
      </c>
      <c r="H1931" s="41" t="str">
        <f>Data!P1929</f>
        <v>ECOPETROL RUBIALES- Quifa - CAÑO SUR: Qf 12, Puerto Gaitán, Meta, Colombia</v>
      </c>
      <c r="I1931" s="42" t="str">
        <f>Data!Q1929</f>
        <v>Cliente, Vel Max 40 Km/h</v>
      </c>
      <c r="J1931" s="43">
        <f>Data!S1929</f>
        <v>46174.809687499997</v>
      </c>
      <c r="K1931" s="44">
        <f>Data!S1929</f>
        <v>46174.809687499997</v>
      </c>
      <c r="L1931" s="45">
        <f>Data!T1929</f>
        <v>1.0266203703703704E-2</v>
      </c>
      <c r="M1931" s="46">
        <f>Data!U1929</f>
        <v>0</v>
      </c>
      <c r="N1931" s="46" t="str">
        <f>CONCATENATE(Data!W1929," (",Data!V1929,")")</f>
        <v>Tiempo en ralentí (Ignición: 1.00)</v>
      </c>
      <c r="O1931" s="42" t="str">
        <f>IF(Data!V1929&lt;&gt;"",N1931,Data!W1929)</f>
        <v>Tiempo en ralentí (Ignición: 1.00)</v>
      </c>
      <c r="P1931" s="47" t="str">
        <f>Data!X1929</f>
        <v>Válido</v>
      </c>
    </row>
    <row r="1932" spans="1:16">
      <c r="A1932" s="41" t="str">
        <f>Data!A1930</f>
        <v>QLT576</v>
      </c>
      <c r="B1932" s="41" t="str">
        <f>Data!D1930</f>
        <v>Vehicle, Diesel, Frontera Energy Col 2679</v>
      </c>
      <c r="C1932" s="41">
        <f>Data!F1930</f>
        <v>0</v>
      </c>
      <c r="D1932" s="41">
        <f>Data!G1930</f>
        <v>0</v>
      </c>
      <c r="E1932" s="41">
        <f>Data!H1930</f>
        <v>0</v>
      </c>
      <c r="F1932" s="41">
        <f>Data!K1930</f>
        <v>0</v>
      </c>
      <c r="G1932" s="33" t="str">
        <f>Data!M1930</f>
        <v>Giro brusco</v>
      </c>
      <c r="H1932" s="41" t="str">
        <f>Data!P1930</f>
        <v>ECOPETROL RUBIALES- Quifa - CAÑO SUR: Rb 443 358, Puerto Gaitán, Meta, Colombia</v>
      </c>
      <c r="I1932" s="42" t="str">
        <f>Data!Q1930</f>
        <v>Cliente, Vel Max 40 Km/h</v>
      </c>
      <c r="J1932" s="43">
        <f>Data!S1930</f>
        <v>46174.830143738429</v>
      </c>
      <c r="K1932" s="44">
        <f>Data!S1930</f>
        <v>46174.830143738429</v>
      </c>
      <c r="L1932" s="45">
        <f>Data!T1930</f>
        <v>1.3310185185185185E-6</v>
      </c>
      <c r="M1932" s="46">
        <f>Data!U1930</f>
        <v>7.2386965621262789E-4</v>
      </c>
      <c r="N1932" s="46" t="str">
        <f>CONCATENATE(Data!W1930," (",Data!V1930,")")</f>
        <v>Giro brusco (Velocidad máxima: 19 kmh Aceleración de lado a lado: -0.70 g-force, Ignición: 1.00)</v>
      </c>
      <c r="O1932" s="42" t="str">
        <f>IF(Data!V1930&lt;&gt;"",N1932,Data!W1930)</f>
        <v>Giro brusco (Velocidad máxima: 19 kmh Aceleración de lado a lado: -0.70 g-force, Ignición: 1.00)</v>
      </c>
      <c r="P1932" s="47" t="str">
        <f>Data!X1930</f>
        <v>Válido</v>
      </c>
    </row>
    <row r="1933" spans="1:16">
      <c r="A1933" s="41" t="str">
        <f>Data!A1931</f>
        <v>QLT576</v>
      </c>
      <c r="B1933" s="41" t="str">
        <f>Data!D1931</f>
        <v>Vehicle, Diesel, Frontera Energy Col 2679</v>
      </c>
      <c r="C1933" s="41">
        <f>Data!F1931</f>
        <v>0</v>
      </c>
      <c r="D1933" s="41">
        <f>Data!G1931</f>
        <v>0</v>
      </c>
      <c r="E1933" s="41">
        <f>Data!H1931</f>
        <v>0</v>
      </c>
      <c r="F1933" s="41">
        <f>Data!K1931</f>
        <v>0</v>
      </c>
      <c r="G1933" s="33" t="str">
        <f>Data!M1931</f>
        <v>Giro brusco</v>
      </c>
      <c r="H1933" s="41" t="str">
        <f>Data!P1931</f>
        <v>ECOPETROL RUBIALES- Quifa - CAÑO SUR: Rb 443 358, Puerto Gaitán, Meta, Colombia</v>
      </c>
      <c r="I1933" s="42" t="str">
        <f>Data!Q1931</f>
        <v>Cliente, Vel Max 40 Km/h</v>
      </c>
      <c r="J1933" s="43">
        <f>Data!S1931</f>
        <v>46174.830151527778</v>
      </c>
      <c r="K1933" s="44">
        <f>Data!S1931</f>
        <v>46174.830151527778</v>
      </c>
      <c r="L1933" s="45">
        <f>Data!T1931</f>
        <v>6.5972222222222221E-7</v>
      </c>
      <c r="M1933" s="46">
        <f>Data!U1931</f>
        <v>3.1826546182855964E-4</v>
      </c>
      <c r="N1933" s="46" t="str">
        <f>CONCATENATE(Data!W1931," (",Data!V1931,")")</f>
        <v>Giro brusco (Velocidad máxima: 18 kmh Aceleración de lado a lado: -0.56 g-force, Ignición: 1.00)</v>
      </c>
      <c r="O1933" s="42" t="str">
        <f>IF(Data!V1931&lt;&gt;"",N1933,Data!W1931)</f>
        <v>Giro brusco (Velocidad máxima: 18 kmh Aceleración de lado a lado: -0.56 g-force, Ignición: 1.00)</v>
      </c>
      <c r="P1933" s="47" t="str">
        <f>Data!X1931</f>
        <v>Válido</v>
      </c>
    </row>
    <row r="1934" spans="1:16">
      <c r="A1934" s="41" t="str">
        <f>Data!A1932</f>
        <v>QLT576</v>
      </c>
      <c r="B1934" s="41" t="str">
        <f>Data!D1932</f>
        <v>Vehicle, Diesel, Frontera Energy Col 2679</v>
      </c>
      <c r="C1934" s="41">
        <f>Data!F1932</f>
        <v>0</v>
      </c>
      <c r="D1934" s="41">
        <f>Data!G1932</f>
        <v>0</v>
      </c>
      <c r="E1934" s="41">
        <f>Data!H1932</f>
        <v>0</v>
      </c>
      <c r="F1934" s="41">
        <f>Data!K1932</f>
        <v>0</v>
      </c>
      <c r="G1934" s="33" t="str">
        <f>Data!M1932</f>
        <v>Giro brusco</v>
      </c>
      <c r="H1934" s="41" t="str">
        <f>Data!P1932</f>
        <v>ECOPETROL RUBIALES- Quifa - CAÑO SUR: Rb 443 358, Puerto Gaitán, Meta, Colombia</v>
      </c>
      <c r="I1934" s="42" t="str">
        <f>Data!Q1932</f>
        <v>Cliente, Vel Max 40 Km/h</v>
      </c>
      <c r="J1934" s="43">
        <f>Data!S1932</f>
        <v>46174.843383449072</v>
      </c>
      <c r="K1934" s="44">
        <f>Data!S1932</f>
        <v>46174.843383449072</v>
      </c>
      <c r="L1934" s="45">
        <f>Data!T1932</f>
        <v>1.6087962962962962E-6</v>
      </c>
      <c r="M1934" s="46">
        <f>Data!U1932</f>
        <v>5.6239537661895156E-4</v>
      </c>
      <c r="N1934" s="46" t="str">
        <f>CONCATENATE(Data!W1932," (",Data!V1932,")")</f>
        <v>Giro brusco (Velocidad máxima: 14 kmh Ignición: 1.00 , Aceleración de lado a lado: -0.59 g-force)</v>
      </c>
      <c r="O1934" s="42" t="str">
        <f>IF(Data!V1932&lt;&gt;"",N1934,Data!W1932)</f>
        <v>Giro brusco (Velocidad máxima: 14 kmh Ignición: 1.00 , Aceleración de lado a lado: -0.59 g-force)</v>
      </c>
      <c r="P1934" s="47" t="str">
        <f>Data!X1932</f>
        <v>Válido</v>
      </c>
    </row>
    <row r="1935" spans="1:16">
      <c r="A1935" s="41" t="str">
        <f>Data!A1933</f>
        <v>QLT576</v>
      </c>
      <c r="B1935" s="41" t="str">
        <f>Data!D1933</f>
        <v>Vehicle, Diesel, Frontera Energy Col 2679</v>
      </c>
      <c r="C1935" s="41">
        <f>Data!F1933</f>
        <v>0</v>
      </c>
      <c r="D1935" s="41">
        <f>Data!G1933</f>
        <v>0</v>
      </c>
      <c r="E1935" s="41">
        <f>Data!H1933</f>
        <v>0</v>
      </c>
      <c r="F1935" s="41">
        <f>Data!K1933</f>
        <v>0</v>
      </c>
      <c r="G1935" s="33" t="str">
        <f>Data!M1933</f>
        <v>Tiempo en ralentí</v>
      </c>
      <c r="H1935" s="41" t="str">
        <f>Data!P1933</f>
        <v>ECOPETROL RUBIALES- Quifa - CAÑO SUR: Vía Sin Nombre, Puerto Gaitán, Meta, Colombia</v>
      </c>
      <c r="I1935" s="42" t="str">
        <f>Data!Q1933</f>
        <v>Cliente, Vel Max 40 Km/h</v>
      </c>
      <c r="J1935" s="43">
        <f>Data!S1933</f>
        <v>46174.852465277778</v>
      </c>
      <c r="K1935" s="44">
        <f>Data!S1933</f>
        <v>46174.852465277778</v>
      </c>
      <c r="L1935" s="45">
        <f>Data!T1933</f>
        <v>3.4837962962962965E-3</v>
      </c>
      <c r="M1935" s="46">
        <f>Data!U1933</f>
        <v>0</v>
      </c>
      <c r="N1935" s="46" t="str">
        <f>CONCATENATE(Data!W1933," (",Data!V1933,")")</f>
        <v>Tiempo en ralentí (Ignición: 1.00)</v>
      </c>
      <c r="O1935" s="42" t="str">
        <f>IF(Data!V1933&lt;&gt;"",N1935,Data!W1933)</f>
        <v>Tiempo en ralentí (Ignición: 1.00)</v>
      </c>
      <c r="P1935" s="47" t="str">
        <f>Data!X1933</f>
        <v>Válido</v>
      </c>
    </row>
    <row r="1936" spans="1:16">
      <c r="A1936" s="41" t="str">
        <f>Data!A1934</f>
        <v>QLT576</v>
      </c>
      <c r="B1936" s="41" t="str">
        <f>Data!D1934</f>
        <v>Vehicle, Diesel, Frontera Energy Col 2679</v>
      </c>
      <c r="C1936" s="41">
        <f>Data!F1934</f>
        <v>0</v>
      </c>
      <c r="D1936" s="41">
        <f>Data!G1934</f>
        <v>0</v>
      </c>
      <c r="E1936" s="41">
        <f>Data!H1934</f>
        <v>0</v>
      </c>
      <c r="F1936" s="41">
        <f>Data!K1934</f>
        <v>0</v>
      </c>
      <c r="G1936" s="33" t="str">
        <f>Data!M1934</f>
        <v>Tiempo en ralentí</v>
      </c>
      <c r="H1936" s="41" t="str">
        <f>Data!P1934</f>
        <v>ECOPETROL RUBIALES- Quifa - CAÑO SUR: Qf 53, Puerto Gaitán, Meta, Colombia</v>
      </c>
      <c r="I1936" s="42" t="str">
        <f>Data!Q1934</f>
        <v>Cliente, Vel Max 40 Km/h</v>
      </c>
      <c r="J1936" s="43">
        <f>Data!S1934</f>
        <v>46174.860636574071</v>
      </c>
      <c r="K1936" s="44">
        <f>Data!S1934</f>
        <v>46174.860636574071</v>
      </c>
      <c r="L1936" s="45">
        <f>Data!T1934</f>
        <v>6.8865740740740745E-3</v>
      </c>
      <c r="M1936" s="46">
        <f>Data!U1934</f>
        <v>0</v>
      </c>
      <c r="N1936" s="46" t="str">
        <f>CONCATENATE(Data!W1934," (",Data!V1934,")")</f>
        <v>Tiempo en ralentí (Ignición: 1.00)</v>
      </c>
      <c r="O1936" s="42" t="str">
        <f>IF(Data!V1934&lt;&gt;"",N1936,Data!W1934)</f>
        <v>Tiempo en ralentí (Ignición: 1.00)</v>
      </c>
      <c r="P1936" s="47" t="str">
        <f>Data!X1934</f>
        <v>Válido</v>
      </c>
    </row>
    <row r="1937" spans="1:16">
      <c r="A1937" s="41" t="str">
        <f>Data!A1935</f>
        <v>QLT576</v>
      </c>
      <c r="B1937" s="41" t="str">
        <f>Data!D1935</f>
        <v>Vehicle, Diesel, Frontera Energy Col 2679</v>
      </c>
      <c r="C1937" s="41">
        <f>Data!F1935</f>
        <v>0</v>
      </c>
      <c r="D1937" s="41">
        <f>Data!G1935</f>
        <v>0</v>
      </c>
      <c r="E1937" s="41">
        <f>Data!H1935</f>
        <v>0</v>
      </c>
      <c r="F1937" s="41">
        <f>Data!K1935</f>
        <v>0</v>
      </c>
      <c r="G1937" s="33" t="str">
        <f>Data!M1935</f>
        <v>Tiempo en ralentí</v>
      </c>
      <c r="H1937" s="41" t="str">
        <f>Data!P1935</f>
        <v>ECOPETROL RUBIALES- Quifa - CAÑO SUR: Vía a QF-306, Puerto Gaitán, Meta, Colombia</v>
      </c>
      <c r="I1937" s="42" t="str">
        <f>Data!Q1935</f>
        <v>Cliente, Vel Max 40 Km/h</v>
      </c>
      <c r="J1937" s="43">
        <f>Data!S1935</f>
        <v>46174.916446759256</v>
      </c>
      <c r="K1937" s="44">
        <f>Data!S1935</f>
        <v>46174.916446759256</v>
      </c>
      <c r="L1937" s="45">
        <f>Data!T1935</f>
        <v>4.6412037037037038E-3</v>
      </c>
      <c r="M1937" s="46">
        <f>Data!U1935</f>
        <v>0</v>
      </c>
      <c r="N1937" s="46" t="str">
        <f>CONCATENATE(Data!W1935," (",Data!V1935,")")</f>
        <v>Tiempo en ralentí (Ignición: 1.00)</v>
      </c>
      <c r="O1937" s="42" t="str">
        <f>IF(Data!V1935&lt;&gt;"",N1937,Data!W1935)</f>
        <v>Tiempo en ralentí (Ignición: 1.00)</v>
      </c>
      <c r="P1937" s="47" t="str">
        <f>Data!X1935</f>
        <v>Válido</v>
      </c>
    </row>
    <row r="1938" spans="1:16">
      <c r="A1938" s="41" t="str">
        <f>Data!A1936</f>
        <v>QLT576</v>
      </c>
      <c r="B1938" s="41" t="str">
        <f>Data!D1936</f>
        <v>Vehicle, Diesel, Frontera Energy Col 2679</v>
      </c>
      <c r="C1938" s="41">
        <f>Data!F1936</f>
        <v>0</v>
      </c>
      <c r="D1938" s="41">
        <f>Data!G1936</f>
        <v>0</v>
      </c>
      <c r="E1938" s="41">
        <f>Data!H1936</f>
        <v>0</v>
      </c>
      <c r="F1938" s="41">
        <f>Data!K1936</f>
        <v>0</v>
      </c>
      <c r="G1938" s="33" t="str">
        <f>Data!M1936</f>
        <v>Giro brusco</v>
      </c>
      <c r="H1938" s="41" t="str">
        <f>Data!P1936</f>
        <v>ECOPETROL RUBIALES- Quifa - CAÑO SUR: Rb 222 273 150 278 277 360 446 453 454 447, Puerto Gaitán, Meta, Colombia</v>
      </c>
      <c r="I1938" s="42" t="str">
        <f>Data!Q1936</f>
        <v>Cliente, Vel Max 40 Km/h</v>
      </c>
      <c r="J1938" s="43">
        <f>Data!S1936</f>
        <v>46174.927390925928</v>
      </c>
      <c r="K1938" s="44">
        <f>Data!S1936</f>
        <v>46174.927390925928</v>
      </c>
      <c r="L1938" s="45">
        <f>Data!T1936</f>
        <v>8.1018518518518515E-8</v>
      </c>
      <c r="M1938" s="46">
        <f>Data!U1936</f>
        <v>2.8451542675611563E-5</v>
      </c>
      <c r="N1938" s="46" t="str">
        <f>CONCATENATE(Data!W1936," (",Data!V1936,")")</f>
        <v>Giro brusco (Velocidad máxima: 13 kmh Aceleración de lado a lado: 0.47 g-force, Ignición: 1.00)</v>
      </c>
      <c r="O1938" s="42" t="str">
        <f>IF(Data!V1936&lt;&gt;"",N1938,Data!W1936)</f>
        <v>Giro brusco (Velocidad máxima: 13 kmh Aceleración de lado a lado: 0.47 g-force, Ignición: 1.00)</v>
      </c>
      <c r="P1938" s="47" t="str">
        <f>Data!X1936</f>
        <v>Válido</v>
      </c>
    </row>
    <row r="1939" spans="1:16">
      <c r="A1939" s="41" t="str">
        <f>Data!A1937</f>
        <v>QLT576</v>
      </c>
      <c r="B1939" s="41" t="str">
        <f>Data!D1937</f>
        <v>Vehicle, Diesel, Frontera Energy Col 2679</v>
      </c>
      <c r="C1939" s="41">
        <f>Data!F1937</f>
        <v>0</v>
      </c>
      <c r="D1939" s="41">
        <f>Data!G1937</f>
        <v>0</v>
      </c>
      <c r="E1939" s="41">
        <f>Data!H1937</f>
        <v>0</v>
      </c>
      <c r="F1939" s="41">
        <f>Data!K1937</f>
        <v>0</v>
      </c>
      <c r="G1939" s="33" t="str">
        <f>Data!M1937</f>
        <v>Tiempo en ralentí</v>
      </c>
      <c r="H1939" s="41" t="str">
        <f>Data!P1937</f>
        <v>ECOPETROL RUBIALES- Quifa - CAÑO SUR: Rb 222 273 150 278 277 360 446 453 454 447, Puerto Gaitán, Meta, Colombia</v>
      </c>
      <c r="I1939" s="42" t="str">
        <f>Data!Q1937</f>
        <v>Cliente, Vel Max 40 Km/h</v>
      </c>
      <c r="J1939" s="43">
        <f>Data!S1937</f>
        <v>46174.930439814816</v>
      </c>
      <c r="K1939" s="44">
        <f>Data!S1937</f>
        <v>46174.930439814816</v>
      </c>
      <c r="L1939" s="45">
        <f>Data!T1937</f>
        <v>4.2361111111111115E-3</v>
      </c>
      <c r="M1939" s="46">
        <f>Data!U1937</f>
        <v>5.3340056183515117E-5</v>
      </c>
      <c r="N1939" s="46" t="str">
        <f>CONCATENATE(Data!W1937," (",Data!V1937,")")</f>
        <v>Tiempo en ralentí (Ignición: 1.00)</v>
      </c>
      <c r="O1939" s="42" t="str">
        <f>IF(Data!V1937&lt;&gt;"",N1939,Data!W1937)</f>
        <v>Tiempo en ralentí (Ignición: 1.00)</v>
      </c>
      <c r="P1939" s="47" t="str">
        <f>Data!X1937</f>
        <v>Válido</v>
      </c>
    </row>
    <row r="1940" spans="1:16">
      <c r="A1940" s="41" t="str">
        <f>Data!A1938</f>
        <v>QLT576</v>
      </c>
      <c r="B1940" s="41" t="str">
        <f>Data!D1938</f>
        <v>Vehicle, Diesel, Frontera Energy Col 2679</v>
      </c>
      <c r="C1940" s="41">
        <f>Data!F1938</f>
        <v>0</v>
      </c>
      <c r="D1940" s="41">
        <f>Data!G1938</f>
        <v>0</v>
      </c>
      <c r="E1940" s="41">
        <f>Data!H1938</f>
        <v>0</v>
      </c>
      <c r="F1940" s="41">
        <f>Data!K1938</f>
        <v>0</v>
      </c>
      <c r="G1940" s="33" t="str">
        <f>Data!M1938</f>
        <v>Tiempo en ralentí</v>
      </c>
      <c r="H1940" s="41" t="str">
        <f>Data!P1938</f>
        <v>ECOPETROL RUBIALES- Quifa - CAÑO SUR: Rb 222 273 150 278 277 360 446 453 454 447, Puerto Gaitán, Meta, Colombia</v>
      </c>
      <c r="I1940" s="42" t="str">
        <f>Data!Q1938</f>
        <v>Cliente, Vel Max 40 Km/h</v>
      </c>
      <c r="J1940" s="43">
        <f>Data!S1938</f>
        <v>46174.937141203707</v>
      </c>
      <c r="K1940" s="44">
        <f>Data!S1938</f>
        <v>46174.937141203707</v>
      </c>
      <c r="L1940" s="45">
        <f>Data!T1938</f>
        <v>3.6111111111111109E-3</v>
      </c>
      <c r="M1940" s="46">
        <f>Data!U1938</f>
        <v>0</v>
      </c>
      <c r="N1940" s="46" t="str">
        <f>CONCATENATE(Data!W1938," (",Data!V1938,")")</f>
        <v>Tiempo en ralentí (Ignición: 1.00)</v>
      </c>
      <c r="O1940" s="42" t="str">
        <f>IF(Data!V1938&lt;&gt;"",N1940,Data!W1938)</f>
        <v>Tiempo en ralentí (Ignición: 1.00)</v>
      </c>
      <c r="P1940" s="47" t="str">
        <f>Data!X1938</f>
        <v>Válido</v>
      </c>
    </row>
    <row r="1941" spans="1:16">
      <c r="A1941" s="41" t="str">
        <f>Data!A1939</f>
        <v>QLT576</v>
      </c>
      <c r="B1941" s="41" t="str">
        <f>Data!D1939</f>
        <v>Vehicle, Diesel, Frontera Energy Col 2679</v>
      </c>
      <c r="C1941" s="41">
        <f>Data!F1939</f>
        <v>0</v>
      </c>
      <c r="D1941" s="41">
        <f>Data!G1939</f>
        <v>0</v>
      </c>
      <c r="E1941" s="41">
        <f>Data!H1939</f>
        <v>0</v>
      </c>
      <c r="F1941" s="41">
        <f>Data!K1939</f>
        <v>0</v>
      </c>
      <c r="G1941" s="33" t="str">
        <f>Data!M1939</f>
        <v>Tiempo en ralentí</v>
      </c>
      <c r="H1941" s="41" t="str">
        <f>Data!P1939</f>
        <v>ECOPETROL RUBIALES- Quifa - CAÑO SUR: Vía Sin Nombre, Puerto Gaitán, Meta, Colombia</v>
      </c>
      <c r="I1941" s="42" t="str">
        <f>Data!Q1939</f>
        <v>Cliente, Vel Max 40 Km/h</v>
      </c>
      <c r="J1941" s="43">
        <f>Data!S1939</f>
        <v>46174.957777777781</v>
      </c>
      <c r="K1941" s="44">
        <f>Data!S1939</f>
        <v>46174.957777777781</v>
      </c>
      <c r="L1941" s="45">
        <f>Data!T1939</f>
        <v>3.5532407407407409E-3</v>
      </c>
      <c r="M1941" s="46">
        <f>Data!U1939</f>
        <v>0</v>
      </c>
      <c r="N1941" s="46" t="str">
        <f>CONCATENATE(Data!W1939," (",Data!V1939,")")</f>
        <v>Tiempo en ralentí (Ignición: 1.00)</v>
      </c>
      <c r="O1941" s="42" t="str">
        <f>IF(Data!V1939&lt;&gt;"",N1941,Data!W1939)</f>
        <v>Tiempo en ralentí (Ignición: 1.00)</v>
      </c>
      <c r="P1941" s="47" t="str">
        <f>Data!X1939</f>
        <v>Válido</v>
      </c>
    </row>
    <row r="1942" spans="1:16">
      <c r="A1942" s="41" t="str">
        <f>Data!A1940</f>
        <v>QLT576</v>
      </c>
      <c r="B1942" s="41" t="str">
        <f>Data!D1940</f>
        <v>Vehicle, Diesel, Frontera Energy Col 2679</v>
      </c>
      <c r="C1942" s="41">
        <f>Data!F1940</f>
        <v>0</v>
      </c>
      <c r="D1942" s="41">
        <f>Data!G1940</f>
        <v>0</v>
      </c>
      <c r="E1942" s="41">
        <f>Data!H1940</f>
        <v>0</v>
      </c>
      <c r="F1942" s="41">
        <f>Data!K1940</f>
        <v>0</v>
      </c>
      <c r="G1942" s="33" t="str">
        <f>Data!M1940</f>
        <v>Tiempo en ralentí</v>
      </c>
      <c r="H1942" s="41" t="str">
        <f>Data!P1940</f>
        <v>ECOPETROL RUBIALES- Quifa - CAÑO SUR: Qf 12 48 36 79 Dw1, Puerto Gaitán, Meta, Colombia</v>
      </c>
      <c r="I1942" s="42" t="str">
        <f>Data!Q1940</f>
        <v>Cliente, Vel Max 40 Km/h</v>
      </c>
      <c r="J1942" s="43">
        <f>Data!S1940</f>
        <v>46174.979930555557</v>
      </c>
      <c r="K1942" s="44">
        <f>Data!S1940</f>
        <v>46174.979930555557</v>
      </c>
      <c r="L1942" s="45">
        <f>Data!T1940</f>
        <v>4.6412037037037038E-3</v>
      </c>
      <c r="M1942" s="46">
        <f>Data!U1940</f>
        <v>0</v>
      </c>
      <c r="N1942" s="46" t="str">
        <f>CONCATENATE(Data!W1940," (",Data!V1940,")")</f>
        <v>Tiempo en ralentí (Ignición: 1.00)</v>
      </c>
      <c r="O1942" s="42" t="str">
        <f>IF(Data!V1940&lt;&gt;"",N1942,Data!W1940)</f>
        <v>Tiempo en ralentí (Ignición: 1.00)</v>
      </c>
      <c r="P1942" s="47" t="str">
        <f>Data!X1940</f>
        <v>Válido</v>
      </c>
    </row>
    <row r="1943" spans="1:16">
      <c r="A1943" s="41" t="str">
        <f>Data!A1941</f>
        <v>QLT576</v>
      </c>
      <c r="B1943" s="41" t="str">
        <f>Data!D1941</f>
        <v>Vehicle, Diesel, Frontera Energy Col 2679</v>
      </c>
      <c r="C1943" s="41">
        <f>Data!F1941</f>
        <v>0</v>
      </c>
      <c r="D1943" s="41">
        <f>Data!G1941</f>
        <v>0</v>
      </c>
      <c r="E1943" s="41">
        <f>Data!H1941</f>
        <v>0</v>
      </c>
      <c r="F1943" s="41">
        <f>Data!K1941</f>
        <v>0</v>
      </c>
      <c r="G1943" s="33" t="str">
        <f>Data!M1941</f>
        <v>Exceso Velocidad 40 Km/h</v>
      </c>
      <c r="H1943" s="41" t="str">
        <f>Data!P1941</f>
        <v>ECOPETROL RUBIALES- Quifa - CAÑO SUR: Vía La Culebra, Puerto Gaitán, Meta, Colombia</v>
      </c>
      <c r="I1943" s="42" t="str">
        <f>Data!Q1941</f>
        <v>Cliente, Vel Max 40 Km/h</v>
      </c>
      <c r="J1943" s="43">
        <f>Data!S1941</f>
        <v>46174.994747303244</v>
      </c>
      <c r="K1943" s="44">
        <f>Data!S1941</f>
        <v>46174.994747303244</v>
      </c>
      <c r="L1943" s="45">
        <f>Data!T1941</f>
        <v>2.7002314814814815E-5</v>
      </c>
      <c r="M1943" s="46">
        <f>Data!U1941</f>
        <v>2.4153947830200195E-2</v>
      </c>
      <c r="N1943" s="46" t="str">
        <f>CONCATENATE(Data!W1941," (",Data!V1941,")")</f>
        <v>Exceso Velocidad 40 Km/h (Velocidad máxima: 41 kmh)</v>
      </c>
      <c r="O1943" s="42" t="str">
        <f>IF(Data!V1941&lt;&gt;"",N1943,Data!W1941)</f>
        <v>Exceso Velocidad 40 Km/h (Velocidad máxima: 41 kmh)</v>
      </c>
      <c r="P1943" s="47" t="str">
        <f>Data!X1941</f>
        <v>Válido</v>
      </c>
    </row>
  </sheetData>
  <autoFilter ref="A13:O13" xr:uid="{00000000-0009-0000-0000-000001000000}"/>
  <mergeCells count="1">
    <mergeCell ref="A4:B4"/>
  </mergeCells>
  <conditionalFormatting sqref="H14:H1943">
    <cfRule type="expression" dxfId="2" priority="2">
      <formula>ISNUMBER(SEARCH("Customer Zone", I14))</formula>
    </cfRule>
    <cfRule type="expression" dxfId="1" priority="3">
      <formula>ISNUMBER(SEARCH("Home Zone", I14))</formula>
    </cfRule>
    <cfRule type="expression" dxfId="0" priority="4">
      <formula>ISNUMBER(SEARCH("Depot Zone", I14))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J611"/>
  <sheetViews>
    <sheetView showGridLines="0" tabSelected="1" zoomScaleNormal="100" workbookViewId="0"/>
  </sheetViews>
  <sheetFormatPr defaultColWidth="9.140625" defaultRowHeight="16.5"/>
  <cols>
    <col min="1" max="2" width="26" style="7" customWidth="1"/>
    <col min="3" max="4" width="26.140625" style="7" customWidth="1"/>
    <col min="5" max="5" width="26" style="7" customWidth="1"/>
    <col min="6" max="6" width="50.42578125" style="7" customWidth="1"/>
    <col min="7" max="8" width="16.42578125" style="8" bestFit="1" customWidth="1"/>
    <col min="9" max="10" width="15.42578125" style="7" customWidth="1"/>
    <col min="11" max="11" width="15.85546875" style="7" customWidth="1"/>
    <col min="12" max="12" width="6.42578125" style="7" customWidth="1"/>
    <col min="13" max="1024" width="9.140625" style="7"/>
  </cols>
  <sheetData>
    <row r="1" spans="1:1024" s="14" customFormat="1" ht="25.5" customHeight="1">
      <c r="A1" s="13" t="s">
        <v>250</v>
      </c>
      <c r="C1" s="15">
        <f>Data!B2</f>
        <v>46175.845932222219</v>
      </c>
      <c r="G1" s="48"/>
      <c r="H1" s="15"/>
      <c r="J1" s="15"/>
      <c r="K1" s="16"/>
      <c r="L1" s="17"/>
    </row>
    <row r="2" spans="1:1024" ht="25.5" customHeight="1">
      <c r="A2" s="18" t="str">
        <f>Data!B1</f>
        <v>MAGNEX GROUP</v>
      </c>
      <c r="I2" s="8"/>
      <c r="J2" s="8"/>
      <c r="K2" s="12"/>
      <c r="L2" s="19"/>
    </row>
    <row r="3" spans="1:1024" s="20" customFormat="1" ht="17.45" customHeight="1">
      <c r="A3" s="7"/>
      <c r="G3" s="21"/>
      <c r="H3" s="21"/>
      <c r="I3" s="21"/>
      <c r="J3" s="22"/>
      <c r="K3" s="23"/>
      <c r="L3" s="24"/>
      <c r="M3" s="25"/>
      <c r="N3" s="25"/>
      <c r="O3" s="21"/>
    </row>
    <row r="4" spans="1:1024" ht="17.45" customHeight="1">
      <c r="A4" s="70" t="s">
        <v>180</v>
      </c>
      <c r="B4" s="70"/>
      <c r="C4" s="27"/>
      <c r="D4" s="27"/>
      <c r="E4" s="27"/>
      <c r="F4" s="27"/>
      <c r="G4" s="43"/>
      <c r="I4" s="8"/>
      <c r="J4" s="9"/>
      <c r="K4" s="10"/>
      <c r="L4" s="11"/>
      <c r="M4" s="12"/>
      <c r="N4" s="12"/>
      <c r="O4" s="8"/>
    </row>
    <row r="5" spans="1:1024" ht="17.45" customHeight="1">
      <c r="A5" s="28" t="s">
        <v>277</v>
      </c>
      <c r="B5" s="29">
        <f>Data!B3</f>
        <v>46174</v>
      </c>
      <c r="C5" s="27"/>
      <c r="D5" s="27"/>
      <c r="E5" s="27"/>
      <c r="F5" s="27"/>
      <c r="G5" s="43"/>
      <c r="I5" s="8"/>
      <c r="J5" s="9"/>
      <c r="K5" s="10"/>
      <c r="L5" s="11"/>
      <c r="M5" s="12"/>
      <c r="N5" s="12"/>
      <c r="O5" s="8"/>
    </row>
    <row r="6" spans="1:1024" ht="17.45" customHeight="1">
      <c r="A6" s="28" t="s">
        <v>288</v>
      </c>
      <c r="B6" s="29">
        <f>Data!B4</f>
        <v>46174.999988425923</v>
      </c>
      <c r="C6" s="27"/>
      <c r="D6" s="27"/>
      <c r="E6" s="27"/>
      <c r="F6" s="27"/>
      <c r="G6" s="43"/>
      <c r="I6" s="8"/>
      <c r="J6" s="9"/>
      <c r="K6" s="10"/>
      <c r="L6" s="11"/>
      <c r="M6" s="12"/>
      <c r="N6" s="12"/>
      <c r="O6" s="8"/>
    </row>
    <row r="7" spans="1:1024" ht="17.45" customHeight="1">
      <c r="A7" s="28" t="s">
        <v>369</v>
      </c>
      <c r="B7" s="30">
        <f>B6-B5</f>
        <v>0.99998842592322035</v>
      </c>
      <c r="C7" s="27"/>
      <c r="D7" s="27"/>
      <c r="E7" s="27"/>
      <c r="F7" s="27"/>
      <c r="G7" s="43"/>
      <c r="I7" s="8"/>
      <c r="J7" s="9"/>
      <c r="K7" s="10"/>
      <c r="L7" s="11"/>
      <c r="M7" s="12"/>
      <c r="N7" s="12"/>
      <c r="O7" s="8"/>
    </row>
    <row r="8" spans="1:1024" s="69" customFormat="1" ht="17.45" customHeight="1">
      <c r="A8" s="59"/>
      <c r="B8" s="60"/>
      <c r="C8" s="61"/>
      <c r="D8" s="61"/>
      <c r="E8" s="61"/>
      <c r="F8" s="61"/>
      <c r="G8" s="62"/>
      <c r="H8" s="63"/>
      <c r="I8" s="63"/>
      <c r="J8" s="64"/>
      <c r="K8" s="65"/>
      <c r="L8" s="66"/>
      <c r="M8" s="67"/>
      <c r="N8" s="67"/>
      <c r="O8" s="63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  <c r="EQ8" s="68"/>
      <c r="ER8" s="68"/>
      <c r="ES8" s="68"/>
      <c r="ET8" s="68"/>
      <c r="EU8" s="68"/>
      <c r="EV8" s="68"/>
      <c r="EW8" s="68"/>
      <c r="EX8" s="68"/>
      <c r="EY8" s="68"/>
      <c r="EZ8" s="68"/>
      <c r="FA8" s="68"/>
      <c r="FB8" s="68"/>
      <c r="FC8" s="68"/>
      <c r="FD8" s="68"/>
      <c r="FE8" s="68"/>
      <c r="FF8" s="68"/>
      <c r="FG8" s="68"/>
      <c r="FH8" s="68"/>
      <c r="FI8" s="68"/>
      <c r="FJ8" s="68"/>
      <c r="FK8" s="68"/>
      <c r="FL8" s="68"/>
      <c r="FM8" s="68"/>
      <c r="FN8" s="68"/>
      <c r="FO8" s="68"/>
      <c r="FP8" s="68"/>
      <c r="FQ8" s="68"/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8"/>
      <c r="GG8" s="68"/>
      <c r="GH8" s="68"/>
      <c r="GI8" s="68"/>
      <c r="GJ8" s="68"/>
      <c r="GK8" s="68"/>
      <c r="GL8" s="68"/>
      <c r="GM8" s="68"/>
      <c r="GN8" s="68"/>
      <c r="GO8" s="68"/>
      <c r="GP8" s="68"/>
      <c r="GQ8" s="68"/>
      <c r="GR8" s="68"/>
      <c r="GS8" s="68"/>
      <c r="GT8" s="68"/>
      <c r="GU8" s="68"/>
      <c r="GV8" s="68"/>
      <c r="GW8" s="68"/>
      <c r="GX8" s="68"/>
      <c r="GY8" s="68"/>
      <c r="GZ8" s="68"/>
      <c r="HA8" s="68"/>
      <c r="HB8" s="68"/>
      <c r="HC8" s="68"/>
      <c r="HD8" s="68"/>
      <c r="HE8" s="68"/>
      <c r="HF8" s="68"/>
      <c r="HG8" s="68"/>
      <c r="HH8" s="68"/>
      <c r="HI8" s="68"/>
      <c r="HJ8" s="68"/>
      <c r="HK8" s="68"/>
      <c r="HL8" s="68"/>
      <c r="HM8" s="68"/>
      <c r="HN8" s="68"/>
      <c r="HO8" s="68"/>
      <c r="HP8" s="68"/>
      <c r="HQ8" s="68"/>
      <c r="HR8" s="68"/>
      <c r="HS8" s="68"/>
      <c r="HT8" s="68"/>
      <c r="HU8" s="68"/>
      <c r="HV8" s="68"/>
      <c r="HW8" s="68"/>
      <c r="HX8" s="68"/>
      <c r="HY8" s="68"/>
      <c r="HZ8" s="68"/>
      <c r="IA8" s="68"/>
      <c r="IB8" s="68"/>
      <c r="IC8" s="68"/>
      <c r="ID8" s="68"/>
      <c r="IE8" s="68"/>
      <c r="IF8" s="68"/>
      <c r="IG8" s="68"/>
      <c r="IH8" s="68"/>
      <c r="II8" s="68"/>
      <c r="IJ8" s="68"/>
      <c r="IK8" s="68"/>
      <c r="IL8" s="68"/>
      <c r="IM8" s="68"/>
      <c r="IN8" s="68"/>
      <c r="IO8" s="68"/>
      <c r="IP8" s="68"/>
      <c r="IQ8" s="68"/>
      <c r="IR8" s="68"/>
      <c r="IS8" s="68"/>
      <c r="IT8" s="68"/>
      <c r="IU8" s="68"/>
      <c r="IV8" s="68"/>
      <c r="IW8" s="68"/>
      <c r="IX8" s="68"/>
      <c r="IY8" s="68"/>
      <c r="IZ8" s="68"/>
      <c r="JA8" s="68"/>
      <c r="JB8" s="68"/>
      <c r="JC8" s="68"/>
      <c r="JD8" s="68"/>
      <c r="JE8" s="68"/>
      <c r="JF8" s="68"/>
      <c r="JG8" s="68"/>
      <c r="JH8" s="68"/>
      <c r="JI8" s="68"/>
      <c r="JJ8" s="68"/>
      <c r="JK8" s="68"/>
      <c r="JL8" s="68"/>
      <c r="JM8" s="68"/>
      <c r="JN8" s="68"/>
      <c r="JO8" s="68"/>
      <c r="JP8" s="68"/>
      <c r="JQ8" s="68"/>
      <c r="JR8" s="68"/>
      <c r="JS8" s="68"/>
      <c r="JT8" s="68"/>
      <c r="JU8" s="68"/>
      <c r="JV8" s="68"/>
      <c r="JW8" s="68"/>
      <c r="JX8" s="68"/>
      <c r="JY8" s="68"/>
      <c r="JZ8" s="68"/>
      <c r="KA8" s="68"/>
      <c r="KB8" s="68"/>
      <c r="KC8" s="68"/>
      <c r="KD8" s="68"/>
      <c r="KE8" s="68"/>
      <c r="KF8" s="68"/>
      <c r="KG8" s="68"/>
      <c r="KH8" s="68"/>
      <c r="KI8" s="68"/>
      <c r="KJ8" s="68"/>
      <c r="KK8" s="68"/>
      <c r="KL8" s="68"/>
      <c r="KM8" s="68"/>
      <c r="KN8" s="68"/>
      <c r="KO8" s="68"/>
      <c r="KP8" s="68"/>
      <c r="KQ8" s="68"/>
      <c r="KR8" s="68"/>
      <c r="KS8" s="68"/>
      <c r="KT8" s="68"/>
      <c r="KU8" s="68"/>
      <c r="KV8" s="68"/>
      <c r="KW8" s="68"/>
      <c r="KX8" s="68"/>
      <c r="KY8" s="68"/>
      <c r="KZ8" s="68"/>
      <c r="LA8" s="68"/>
      <c r="LB8" s="68"/>
      <c r="LC8" s="68"/>
      <c r="LD8" s="68"/>
      <c r="LE8" s="68"/>
      <c r="LF8" s="68"/>
      <c r="LG8" s="68"/>
      <c r="LH8" s="68"/>
      <c r="LI8" s="68"/>
      <c r="LJ8" s="68"/>
      <c r="LK8" s="68"/>
      <c r="LL8" s="68"/>
      <c r="LM8" s="68"/>
      <c r="LN8" s="68"/>
      <c r="LO8" s="68"/>
      <c r="LP8" s="68"/>
      <c r="LQ8" s="68"/>
      <c r="LR8" s="68"/>
      <c r="LS8" s="68"/>
      <c r="LT8" s="68"/>
      <c r="LU8" s="68"/>
      <c r="LV8" s="68"/>
      <c r="LW8" s="68"/>
      <c r="LX8" s="68"/>
      <c r="LY8" s="68"/>
      <c r="LZ8" s="68"/>
      <c r="MA8" s="68"/>
      <c r="MB8" s="68"/>
      <c r="MC8" s="68"/>
      <c r="MD8" s="68"/>
      <c r="ME8" s="68"/>
      <c r="MF8" s="68"/>
      <c r="MG8" s="68"/>
      <c r="MH8" s="68"/>
      <c r="MI8" s="68"/>
      <c r="MJ8" s="68"/>
      <c r="MK8" s="68"/>
      <c r="ML8" s="68"/>
      <c r="MM8" s="68"/>
      <c r="MN8" s="68"/>
      <c r="MO8" s="68"/>
      <c r="MP8" s="68"/>
      <c r="MQ8" s="68"/>
      <c r="MR8" s="68"/>
      <c r="MS8" s="68"/>
      <c r="MT8" s="68"/>
      <c r="MU8" s="68"/>
      <c r="MV8" s="68"/>
      <c r="MW8" s="68"/>
      <c r="MX8" s="68"/>
      <c r="MY8" s="68"/>
      <c r="MZ8" s="68"/>
      <c r="NA8" s="68"/>
      <c r="NB8" s="68"/>
      <c r="NC8" s="68"/>
      <c r="ND8" s="68"/>
      <c r="NE8" s="68"/>
      <c r="NF8" s="68"/>
      <c r="NG8" s="68"/>
      <c r="NH8" s="68"/>
      <c r="NI8" s="68"/>
      <c r="NJ8" s="68"/>
      <c r="NK8" s="68"/>
      <c r="NL8" s="68"/>
      <c r="NM8" s="68"/>
      <c r="NN8" s="68"/>
      <c r="NO8" s="68"/>
      <c r="NP8" s="68"/>
      <c r="NQ8" s="68"/>
      <c r="NR8" s="68"/>
      <c r="NS8" s="68"/>
      <c r="NT8" s="68"/>
      <c r="NU8" s="68"/>
      <c r="NV8" s="68"/>
      <c r="NW8" s="68"/>
      <c r="NX8" s="68"/>
      <c r="NY8" s="68"/>
      <c r="NZ8" s="68"/>
      <c r="OA8" s="68"/>
      <c r="OB8" s="68"/>
      <c r="OC8" s="68"/>
      <c r="OD8" s="68"/>
      <c r="OE8" s="68"/>
      <c r="OF8" s="68"/>
      <c r="OG8" s="68"/>
      <c r="OH8" s="68"/>
      <c r="OI8" s="68"/>
      <c r="OJ8" s="68"/>
      <c r="OK8" s="68"/>
      <c r="OL8" s="68"/>
      <c r="OM8" s="68"/>
      <c r="ON8" s="68"/>
      <c r="OO8" s="68"/>
      <c r="OP8" s="68"/>
      <c r="OQ8" s="68"/>
      <c r="OR8" s="68"/>
      <c r="OS8" s="68"/>
      <c r="OT8" s="68"/>
      <c r="OU8" s="68"/>
      <c r="OV8" s="68"/>
      <c r="OW8" s="68"/>
      <c r="OX8" s="68"/>
      <c r="OY8" s="68"/>
      <c r="OZ8" s="68"/>
      <c r="PA8" s="68"/>
      <c r="PB8" s="68"/>
      <c r="PC8" s="68"/>
      <c r="PD8" s="68"/>
      <c r="PE8" s="68"/>
      <c r="PF8" s="68"/>
      <c r="PG8" s="68"/>
      <c r="PH8" s="68"/>
      <c r="PI8" s="68"/>
      <c r="PJ8" s="68"/>
      <c r="PK8" s="68"/>
      <c r="PL8" s="68"/>
      <c r="PM8" s="68"/>
      <c r="PN8" s="68"/>
      <c r="PO8" s="68"/>
      <c r="PP8" s="68"/>
      <c r="PQ8" s="68"/>
      <c r="PR8" s="68"/>
      <c r="PS8" s="68"/>
      <c r="PT8" s="68"/>
      <c r="PU8" s="68"/>
      <c r="PV8" s="68"/>
      <c r="PW8" s="68"/>
      <c r="PX8" s="68"/>
      <c r="PY8" s="68"/>
      <c r="PZ8" s="68"/>
      <c r="QA8" s="68"/>
      <c r="QB8" s="68"/>
      <c r="QC8" s="68"/>
      <c r="QD8" s="68"/>
      <c r="QE8" s="68"/>
      <c r="QF8" s="68"/>
      <c r="QG8" s="68"/>
      <c r="QH8" s="68"/>
      <c r="QI8" s="68"/>
      <c r="QJ8" s="68"/>
      <c r="QK8" s="68"/>
      <c r="QL8" s="68"/>
      <c r="QM8" s="68"/>
      <c r="QN8" s="68"/>
      <c r="QO8" s="68"/>
      <c r="QP8" s="68"/>
      <c r="QQ8" s="68"/>
      <c r="QR8" s="68"/>
      <c r="QS8" s="68"/>
      <c r="QT8" s="68"/>
      <c r="QU8" s="68"/>
      <c r="QV8" s="68"/>
      <c r="QW8" s="68"/>
      <c r="QX8" s="68"/>
      <c r="QY8" s="68"/>
      <c r="QZ8" s="68"/>
      <c r="RA8" s="68"/>
      <c r="RB8" s="68"/>
      <c r="RC8" s="68"/>
      <c r="RD8" s="68"/>
      <c r="RE8" s="68"/>
      <c r="RF8" s="68"/>
      <c r="RG8" s="68"/>
      <c r="RH8" s="68"/>
      <c r="RI8" s="68"/>
      <c r="RJ8" s="68"/>
      <c r="RK8" s="68"/>
      <c r="RL8" s="68"/>
      <c r="RM8" s="68"/>
      <c r="RN8" s="68"/>
      <c r="RO8" s="68"/>
      <c r="RP8" s="68"/>
      <c r="RQ8" s="68"/>
      <c r="RR8" s="68"/>
      <c r="RS8" s="68"/>
      <c r="RT8" s="68"/>
      <c r="RU8" s="68"/>
      <c r="RV8" s="68"/>
      <c r="RW8" s="68"/>
      <c r="RX8" s="68"/>
      <c r="RY8" s="68"/>
      <c r="RZ8" s="68"/>
      <c r="SA8" s="68"/>
      <c r="SB8" s="68"/>
      <c r="SC8" s="68"/>
      <c r="SD8" s="68"/>
      <c r="SE8" s="68"/>
      <c r="SF8" s="68"/>
      <c r="SG8" s="68"/>
      <c r="SH8" s="68"/>
      <c r="SI8" s="68"/>
      <c r="SJ8" s="68"/>
      <c r="SK8" s="68"/>
      <c r="SL8" s="68"/>
      <c r="SM8" s="68"/>
      <c r="SN8" s="68"/>
      <c r="SO8" s="68"/>
      <c r="SP8" s="68"/>
      <c r="SQ8" s="68"/>
      <c r="SR8" s="68"/>
      <c r="SS8" s="68"/>
      <c r="ST8" s="68"/>
      <c r="SU8" s="68"/>
      <c r="SV8" s="68"/>
      <c r="SW8" s="68"/>
      <c r="SX8" s="68"/>
      <c r="SY8" s="68"/>
      <c r="SZ8" s="68"/>
      <c r="TA8" s="68"/>
      <c r="TB8" s="68"/>
      <c r="TC8" s="68"/>
      <c r="TD8" s="68"/>
      <c r="TE8" s="68"/>
      <c r="TF8" s="68"/>
      <c r="TG8" s="68"/>
      <c r="TH8" s="68"/>
      <c r="TI8" s="68"/>
      <c r="TJ8" s="68"/>
      <c r="TK8" s="68"/>
      <c r="TL8" s="68"/>
      <c r="TM8" s="68"/>
      <c r="TN8" s="68"/>
      <c r="TO8" s="68"/>
      <c r="TP8" s="68"/>
      <c r="TQ8" s="68"/>
      <c r="TR8" s="68"/>
      <c r="TS8" s="68"/>
      <c r="TT8" s="68"/>
      <c r="TU8" s="68"/>
      <c r="TV8" s="68"/>
      <c r="TW8" s="68"/>
      <c r="TX8" s="68"/>
      <c r="TY8" s="68"/>
      <c r="TZ8" s="68"/>
      <c r="UA8" s="68"/>
      <c r="UB8" s="68"/>
      <c r="UC8" s="68"/>
      <c r="UD8" s="68"/>
      <c r="UE8" s="68"/>
      <c r="UF8" s="68"/>
      <c r="UG8" s="68"/>
      <c r="UH8" s="68"/>
      <c r="UI8" s="68"/>
      <c r="UJ8" s="68"/>
      <c r="UK8" s="68"/>
      <c r="UL8" s="68"/>
      <c r="UM8" s="68"/>
      <c r="UN8" s="68"/>
      <c r="UO8" s="68"/>
      <c r="UP8" s="68"/>
      <c r="UQ8" s="68"/>
      <c r="UR8" s="68"/>
      <c r="US8" s="68"/>
      <c r="UT8" s="68"/>
      <c r="UU8" s="68"/>
      <c r="UV8" s="68"/>
      <c r="UW8" s="68"/>
      <c r="UX8" s="68"/>
      <c r="UY8" s="68"/>
      <c r="UZ8" s="68"/>
      <c r="VA8" s="68"/>
      <c r="VB8" s="68"/>
      <c r="VC8" s="68"/>
      <c r="VD8" s="68"/>
      <c r="VE8" s="68"/>
      <c r="VF8" s="68"/>
      <c r="VG8" s="68"/>
      <c r="VH8" s="68"/>
      <c r="VI8" s="68"/>
      <c r="VJ8" s="68"/>
      <c r="VK8" s="68"/>
      <c r="VL8" s="68"/>
      <c r="VM8" s="68"/>
      <c r="VN8" s="68"/>
      <c r="VO8" s="68"/>
      <c r="VP8" s="68"/>
      <c r="VQ8" s="68"/>
      <c r="VR8" s="68"/>
      <c r="VS8" s="68"/>
      <c r="VT8" s="68"/>
      <c r="VU8" s="68"/>
      <c r="VV8" s="68"/>
      <c r="VW8" s="68"/>
      <c r="VX8" s="68"/>
      <c r="VY8" s="68"/>
      <c r="VZ8" s="68"/>
      <c r="WA8" s="68"/>
      <c r="WB8" s="68"/>
      <c r="WC8" s="68"/>
      <c r="WD8" s="68"/>
      <c r="WE8" s="68"/>
      <c r="WF8" s="68"/>
      <c r="WG8" s="68"/>
      <c r="WH8" s="68"/>
      <c r="WI8" s="68"/>
      <c r="WJ8" s="68"/>
      <c r="WK8" s="68"/>
      <c r="WL8" s="68"/>
      <c r="WM8" s="68"/>
      <c r="WN8" s="68"/>
      <c r="WO8" s="68"/>
      <c r="WP8" s="68"/>
      <c r="WQ8" s="68"/>
      <c r="WR8" s="68"/>
      <c r="WS8" s="68"/>
      <c r="WT8" s="68"/>
      <c r="WU8" s="68"/>
      <c r="WV8" s="68"/>
      <c r="WW8" s="68"/>
      <c r="WX8" s="68"/>
      <c r="WY8" s="68"/>
      <c r="WZ8" s="68"/>
      <c r="XA8" s="68"/>
      <c r="XB8" s="68"/>
      <c r="XC8" s="68"/>
      <c r="XD8" s="68"/>
      <c r="XE8" s="68"/>
      <c r="XF8" s="68"/>
      <c r="XG8" s="68"/>
      <c r="XH8" s="68"/>
      <c r="XI8" s="68"/>
      <c r="XJ8" s="68"/>
      <c r="XK8" s="68"/>
      <c r="XL8" s="68"/>
      <c r="XM8" s="68"/>
      <c r="XN8" s="68"/>
      <c r="XO8" s="68"/>
      <c r="XP8" s="68"/>
      <c r="XQ8" s="68"/>
      <c r="XR8" s="68"/>
      <c r="XS8" s="68"/>
      <c r="XT8" s="68"/>
      <c r="XU8" s="68"/>
      <c r="XV8" s="68"/>
      <c r="XW8" s="68"/>
      <c r="XX8" s="68"/>
      <c r="XY8" s="68"/>
      <c r="XZ8" s="68"/>
      <c r="YA8" s="68"/>
      <c r="YB8" s="68"/>
      <c r="YC8" s="68"/>
      <c r="YD8" s="68"/>
      <c r="YE8" s="68"/>
      <c r="YF8" s="68"/>
      <c r="YG8" s="68"/>
      <c r="YH8" s="68"/>
      <c r="YI8" s="68"/>
      <c r="YJ8" s="68"/>
      <c r="YK8" s="68"/>
      <c r="YL8" s="68"/>
      <c r="YM8" s="68"/>
      <c r="YN8" s="68"/>
      <c r="YO8" s="68"/>
      <c r="YP8" s="68"/>
      <c r="YQ8" s="68"/>
      <c r="YR8" s="68"/>
      <c r="YS8" s="68"/>
      <c r="YT8" s="68"/>
      <c r="YU8" s="68"/>
      <c r="YV8" s="68"/>
      <c r="YW8" s="68"/>
      <c r="YX8" s="68"/>
      <c r="YY8" s="68"/>
      <c r="YZ8" s="68"/>
      <c r="ZA8" s="68"/>
      <c r="ZB8" s="68"/>
      <c r="ZC8" s="68"/>
      <c r="ZD8" s="68"/>
      <c r="ZE8" s="68"/>
      <c r="ZF8" s="68"/>
      <c r="ZG8" s="68"/>
      <c r="ZH8" s="68"/>
      <c r="ZI8" s="68"/>
      <c r="ZJ8" s="68"/>
      <c r="ZK8" s="68"/>
      <c r="ZL8" s="68"/>
      <c r="ZM8" s="68"/>
      <c r="ZN8" s="68"/>
      <c r="ZO8" s="68"/>
      <c r="ZP8" s="68"/>
      <c r="ZQ8" s="68"/>
      <c r="ZR8" s="68"/>
      <c r="ZS8" s="68"/>
      <c r="ZT8" s="68"/>
      <c r="ZU8" s="68"/>
      <c r="ZV8" s="68"/>
      <c r="ZW8" s="68"/>
      <c r="ZX8" s="68"/>
      <c r="ZY8" s="68"/>
      <c r="ZZ8" s="68"/>
      <c r="AAA8" s="68"/>
      <c r="AAB8" s="68"/>
      <c r="AAC8" s="68"/>
      <c r="AAD8" s="68"/>
      <c r="AAE8" s="68"/>
      <c r="AAF8" s="68"/>
      <c r="AAG8" s="68"/>
      <c r="AAH8" s="68"/>
      <c r="AAI8" s="68"/>
      <c r="AAJ8" s="68"/>
      <c r="AAK8" s="68"/>
      <c r="AAL8" s="68"/>
      <c r="AAM8" s="68"/>
      <c r="AAN8" s="68"/>
      <c r="AAO8" s="68"/>
      <c r="AAP8" s="68"/>
      <c r="AAQ8" s="68"/>
      <c r="AAR8" s="68"/>
      <c r="AAS8" s="68"/>
      <c r="AAT8" s="68"/>
      <c r="AAU8" s="68"/>
      <c r="AAV8" s="68"/>
      <c r="AAW8" s="68"/>
      <c r="AAX8" s="68"/>
      <c r="AAY8" s="68"/>
      <c r="AAZ8" s="68"/>
      <c r="ABA8" s="68"/>
      <c r="ABB8" s="68"/>
      <c r="ABC8" s="68"/>
      <c r="ABD8" s="68"/>
      <c r="ABE8" s="68"/>
      <c r="ABF8" s="68"/>
      <c r="ABG8" s="68"/>
      <c r="ABH8" s="68"/>
      <c r="ABI8" s="68"/>
      <c r="ABJ8" s="68"/>
      <c r="ABK8" s="68"/>
      <c r="ABL8" s="68"/>
      <c r="ABM8" s="68"/>
      <c r="ABN8" s="68"/>
      <c r="ABO8" s="68"/>
      <c r="ABP8" s="68"/>
      <c r="ABQ8" s="68"/>
      <c r="ABR8" s="68"/>
      <c r="ABS8" s="68"/>
      <c r="ABT8" s="68"/>
      <c r="ABU8" s="68"/>
      <c r="ABV8" s="68"/>
      <c r="ABW8" s="68"/>
      <c r="ABX8" s="68"/>
      <c r="ABY8" s="68"/>
      <c r="ABZ8" s="68"/>
      <c r="ACA8" s="68"/>
      <c r="ACB8" s="68"/>
      <c r="ACC8" s="68"/>
      <c r="ACD8" s="68"/>
      <c r="ACE8" s="68"/>
      <c r="ACF8" s="68"/>
      <c r="ACG8" s="68"/>
      <c r="ACH8" s="68"/>
      <c r="ACI8" s="68"/>
      <c r="ACJ8" s="68"/>
      <c r="ACK8" s="68"/>
      <c r="ACL8" s="68"/>
      <c r="ACM8" s="68"/>
      <c r="ACN8" s="68"/>
      <c r="ACO8" s="68"/>
      <c r="ACP8" s="68"/>
      <c r="ACQ8" s="68"/>
      <c r="ACR8" s="68"/>
      <c r="ACS8" s="68"/>
      <c r="ACT8" s="68"/>
      <c r="ACU8" s="68"/>
      <c r="ACV8" s="68"/>
      <c r="ACW8" s="68"/>
      <c r="ACX8" s="68"/>
      <c r="ACY8" s="68"/>
      <c r="ACZ8" s="68"/>
      <c r="ADA8" s="68"/>
      <c r="ADB8" s="68"/>
      <c r="ADC8" s="68"/>
      <c r="ADD8" s="68"/>
      <c r="ADE8" s="68"/>
      <c r="ADF8" s="68"/>
      <c r="ADG8" s="68"/>
      <c r="ADH8" s="68"/>
      <c r="ADI8" s="68"/>
      <c r="ADJ8" s="68"/>
      <c r="ADK8" s="68"/>
      <c r="ADL8" s="68"/>
      <c r="ADM8" s="68"/>
      <c r="ADN8" s="68"/>
      <c r="ADO8" s="68"/>
      <c r="ADP8" s="68"/>
      <c r="ADQ8" s="68"/>
      <c r="ADR8" s="68"/>
      <c r="ADS8" s="68"/>
      <c r="ADT8" s="68"/>
      <c r="ADU8" s="68"/>
      <c r="ADV8" s="68"/>
      <c r="ADW8" s="68"/>
      <c r="ADX8" s="68"/>
      <c r="ADY8" s="68"/>
      <c r="ADZ8" s="68"/>
      <c r="AEA8" s="68"/>
      <c r="AEB8" s="68"/>
      <c r="AEC8" s="68"/>
      <c r="AED8" s="68"/>
      <c r="AEE8" s="68"/>
      <c r="AEF8" s="68"/>
      <c r="AEG8" s="68"/>
      <c r="AEH8" s="68"/>
      <c r="AEI8" s="68"/>
      <c r="AEJ8" s="68"/>
      <c r="AEK8" s="68"/>
      <c r="AEL8" s="68"/>
      <c r="AEM8" s="68"/>
      <c r="AEN8" s="68"/>
      <c r="AEO8" s="68"/>
      <c r="AEP8" s="68"/>
      <c r="AEQ8" s="68"/>
      <c r="AER8" s="68"/>
      <c r="AES8" s="68"/>
      <c r="AET8" s="68"/>
      <c r="AEU8" s="68"/>
      <c r="AEV8" s="68"/>
      <c r="AEW8" s="68"/>
      <c r="AEX8" s="68"/>
      <c r="AEY8" s="68"/>
      <c r="AEZ8" s="68"/>
      <c r="AFA8" s="68"/>
      <c r="AFB8" s="68"/>
      <c r="AFC8" s="68"/>
      <c r="AFD8" s="68"/>
      <c r="AFE8" s="68"/>
      <c r="AFF8" s="68"/>
      <c r="AFG8" s="68"/>
      <c r="AFH8" s="68"/>
      <c r="AFI8" s="68"/>
      <c r="AFJ8" s="68"/>
      <c r="AFK8" s="68"/>
      <c r="AFL8" s="68"/>
      <c r="AFM8" s="68"/>
      <c r="AFN8" s="68"/>
      <c r="AFO8" s="68"/>
      <c r="AFP8" s="68"/>
      <c r="AFQ8" s="68"/>
      <c r="AFR8" s="68"/>
      <c r="AFS8" s="68"/>
      <c r="AFT8" s="68"/>
      <c r="AFU8" s="68"/>
      <c r="AFV8" s="68"/>
      <c r="AFW8" s="68"/>
      <c r="AFX8" s="68"/>
      <c r="AFY8" s="68"/>
      <c r="AFZ8" s="68"/>
      <c r="AGA8" s="68"/>
      <c r="AGB8" s="68"/>
      <c r="AGC8" s="68"/>
      <c r="AGD8" s="68"/>
      <c r="AGE8" s="68"/>
      <c r="AGF8" s="68"/>
      <c r="AGG8" s="68"/>
      <c r="AGH8" s="68"/>
      <c r="AGI8" s="68"/>
      <c r="AGJ8" s="68"/>
      <c r="AGK8" s="68"/>
      <c r="AGL8" s="68"/>
      <c r="AGM8" s="68"/>
      <c r="AGN8" s="68"/>
      <c r="AGO8" s="68"/>
      <c r="AGP8" s="68"/>
      <c r="AGQ8" s="68"/>
      <c r="AGR8" s="68"/>
      <c r="AGS8" s="68"/>
      <c r="AGT8" s="68"/>
      <c r="AGU8" s="68"/>
      <c r="AGV8" s="68"/>
      <c r="AGW8" s="68"/>
      <c r="AGX8" s="68"/>
      <c r="AGY8" s="68"/>
      <c r="AGZ8" s="68"/>
      <c r="AHA8" s="68"/>
      <c r="AHB8" s="68"/>
      <c r="AHC8" s="68"/>
      <c r="AHD8" s="68"/>
      <c r="AHE8" s="68"/>
      <c r="AHF8" s="68"/>
      <c r="AHG8" s="68"/>
      <c r="AHH8" s="68"/>
      <c r="AHI8" s="68"/>
      <c r="AHJ8" s="68"/>
      <c r="AHK8" s="68"/>
      <c r="AHL8" s="68"/>
      <c r="AHM8" s="68"/>
      <c r="AHN8" s="68"/>
      <c r="AHO8" s="68"/>
      <c r="AHP8" s="68"/>
      <c r="AHQ8" s="68"/>
      <c r="AHR8" s="68"/>
      <c r="AHS8" s="68"/>
      <c r="AHT8" s="68"/>
      <c r="AHU8" s="68"/>
      <c r="AHV8" s="68"/>
      <c r="AHW8" s="68"/>
      <c r="AHX8" s="68"/>
      <c r="AHY8" s="68"/>
      <c r="AHZ8" s="68"/>
      <c r="AIA8" s="68"/>
      <c r="AIB8" s="68"/>
      <c r="AIC8" s="68"/>
      <c r="AID8" s="68"/>
      <c r="AIE8" s="68"/>
      <c r="AIF8" s="68"/>
      <c r="AIG8" s="68"/>
      <c r="AIH8" s="68"/>
      <c r="AII8" s="68"/>
      <c r="AIJ8" s="68"/>
      <c r="AIK8" s="68"/>
      <c r="AIL8" s="68"/>
      <c r="AIM8" s="68"/>
      <c r="AIN8" s="68"/>
      <c r="AIO8" s="68"/>
      <c r="AIP8" s="68"/>
      <c r="AIQ8" s="68"/>
      <c r="AIR8" s="68"/>
      <c r="AIS8" s="68"/>
      <c r="AIT8" s="68"/>
      <c r="AIU8" s="68"/>
      <c r="AIV8" s="68"/>
      <c r="AIW8" s="68"/>
      <c r="AIX8" s="68"/>
      <c r="AIY8" s="68"/>
      <c r="AIZ8" s="68"/>
      <c r="AJA8" s="68"/>
      <c r="AJB8" s="68"/>
      <c r="AJC8" s="68"/>
      <c r="AJD8" s="68"/>
      <c r="AJE8" s="68"/>
      <c r="AJF8" s="68"/>
      <c r="AJG8" s="68"/>
      <c r="AJH8" s="68"/>
      <c r="AJI8" s="68"/>
      <c r="AJJ8" s="68"/>
      <c r="AJK8" s="68"/>
      <c r="AJL8" s="68"/>
      <c r="AJM8" s="68"/>
      <c r="AJN8" s="68"/>
      <c r="AJO8" s="68"/>
      <c r="AJP8" s="68"/>
      <c r="AJQ8" s="68"/>
      <c r="AJR8" s="68"/>
      <c r="AJS8" s="68"/>
      <c r="AJT8" s="68"/>
      <c r="AJU8" s="68"/>
      <c r="AJV8" s="68"/>
      <c r="AJW8" s="68"/>
      <c r="AJX8" s="68"/>
      <c r="AJY8" s="68"/>
      <c r="AJZ8" s="68"/>
      <c r="AKA8" s="68"/>
      <c r="AKB8" s="68"/>
      <c r="AKC8" s="68"/>
      <c r="AKD8" s="68"/>
      <c r="AKE8" s="68"/>
      <c r="AKF8" s="68"/>
      <c r="AKG8" s="68"/>
      <c r="AKH8" s="68"/>
      <c r="AKI8" s="68"/>
      <c r="AKJ8" s="68"/>
      <c r="AKK8" s="68"/>
      <c r="AKL8" s="68"/>
      <c r="AKM8" s="68"/>
      <c r="AKN8" s="68"/>
      <c r="AKO8" s="68"/>
      <c r="AKP8" s="68"/>
      <c r="AKQ8" s="68"/>
      <c r="AKR8" s="68"/>
      <c r="AKS8" s="68"/>
      <c r="AKT8" s="68"/>
      <c r="AKU8" s="68"/>
      <c r="AKV8" s="68"/>
      <c r="AKW8" s="68"/>
      <c r="AKX8" s="68"/>
      <c r="AKY8" s="68"/>
      <c r="AKZ8" s="68"/>
      <c r="ALA8" s="68"/>
      <c r="ALB8" s="68"/>
      <c r="ALC8" s="68"/>
      <c r="ALD8" s="68"/>
      <c r="ALE8" s="68"/>
      <c r="ALF8" s="68"/>
      <c r="ALG8" s="68"/>
      <c r="ALH8" s="68"/>
      <c r="ALI8" s="68"/>
      <c r="ALJ8" s="68"/>
      <c r="ALK8" s="68"/>
      <c r="ALL8" s="68"/>
      <c r="ALM8" s="68"/>
      <c r="ALN8" s="68"/>
      <c r="ALO8" s="68"/>
      <c r="ALP8" s="68"/>
      <c r="ALQ8" s="68"/>
      <c r="ALR8" s="68"/>
      <c r="ALS8" s="68"/>
      <c r="ALT8" s="68"/>
      <c r="ALU8" s="68"/>
      <c r="ALV8" s="68"/>
      <c r="ALW8" s="68"/>
      <c r="ALX8" s="68"/>
      <c r="ALY8" s="68"/>
      <c r="ALZ8" s="68"/>
      <c r="AMA8" s="68"/>
      <c r="AMB8" s="68"/>
      <c r="AMC8" s="68"/>
      <c r="AMD8" s="68"/>
      <c r="AME8" s="68"/>
      <c r="AMF8" s="68"/>
      <c r="AMG8" s="68"/>
      <c r="AMH8" s="68"/>
      <c r="AMI8" s="68"/>
      <c r="AMJ8" s="68"/>
    </row>
    <row r="9" spans="1:1024" ht="17.45" customHeight="1">
      <c r="A9" s="26" t="s">
        <v>323</v>
      </c>
      <c r="B9" s="29" t="str">
        <f>Data!B5</f>
        <v>America/Bogota</v>
      </c>
      <c r="C9" s="33"/>
      <c r="D9" s="33"/>
      <c r="E9" s="33"/>
      <c r="F9" s="33"/>
      <c r="G9" s="47"/>
      <c r="I9" s="8"/>
      <c r="J9" s="9"/>
      <c r="K9" s="10"/>
      <c r="L9" s="11"/>
      <c r="M9" s="12"/>
      <c r="N9" s="12"/>
      <c r="O9" s="8"/>
    </row>
    <row r="10" spans="1:1024" ht="17.45" customHeight="1">
      <c r="A10" s="26" t="s">
        <v>300</v>
      </c>
      <c r="B10" s="29" t="str">
        <f>Data!B6</f>
        <v>km</v>
      </c>
      <c r="C10" s="27"/>
      <c r="D10" s="27"/>
      <c r="E10" s="27"/>
      <c r="F10" s="27"/>
      <c r="G10" s="43"/>
      <c r="I10" s="8"/>
      <c r="J10" s="9"/>
      <c r="K10" s="10"/>
      <c r="L10" s="11"/>
      <c r="M10" s="12"/>
      <c r="N10" s="12"/>
      <c r="O10" s="8"/>
    </row>
    <row r="11" spans="1:1024" ht="17.45" customHeight="1">
      <c r="A11" s="26" t="s">
        <v>313</v>
      </c>
      <c r="B11" s="29" t="str">
        <f>Data!B7</f>
        <v>km/h</v>
      </c>
      <c r="C11" s="27"/>
      <c r="D11" s="27"/>
      <c r="E11" s="27"/>
      <c r="F11" s="27"/>
      <c r="G11" s="43"/>
      <c r="I11" s="8"/>
      <c r="J11" s="9"/>
      <c r="K11" s="10"/>
      <c r="L11" s="11"/>
      <c r="M11" s="12"/>
      <c r="N11" s="12"/>
      <c r="O11" s="8"/>
    </row>
    <row r="12" spans="1:1024" ht="17.45" customHeight="1">
      <c r="A12" s="20"/>
      <c r="B12" s="49"/>
    </row>
    <row r="13" spans="1:1024">
      <c r="A13"/>
      <c r="B13"/>
      <c r="C13"/>
      <c r="D13"/>
      <c r="E13"/>
      <c r="F13"/>
      <c r="G13" s="56" t="s">
        <v>381</v>
      </c>
      <c r="H13"/>
    </row>
    <row r="14" spans="1:1024">
      <c r="A14" s="56" t="s">
        <v>70</v>
      </c>
      <c r="B14" s="56" t="s">
        <v>81</v>
      </c>
      <c r="C14" s="56" t="s">
        <v>93</v>
      </c>
      <c r="D14" s="56" t="s">
        <v>119</v>
      </c>
      <c r="E14" s="56" t="s">
        <v>145</v>
      </c>
      <c r="F14" s="56" t="s">
        <v>238</v>
      </c>
      <c r="G14" t="s">
        <v>213</v>
      </c>
      <c r="H14" t="s">
        <v>200</v>
      </c>
    </row>
    <row r="15" spans="1:1024">
      <c r="A15" t="s">
        <v>604</v>
      </c>
      <c r="B15" t="s">
        <v>608</v>
      </c>
      <c r="C15" t="s">
        <v>609</v>
      </c>
      <c r="D15" t="s">
        <v>610</v>
      </c>
      <c r="E15" t="s">
        <v>614</v>
      </c>
      <c r="F15" t="s">
        <v>1097</v>
      </c>
      <c r="G15" s="57">
        <v>6.5716234967112541E-3</v>
      </c>
      <c r="H15" s="58">
        <v>4.5949074074074078E-3</v>
      </c>
    </row>
    <row r="16" spans="1:1024">
      <c r="A16"/>
      <c r="B16" t="s">
        <v>618</v>
      </c>
      <c r="C16" t="s">
        <v>619</v>
      </c>
      <c r="D16" t="s">
        <v>620</v>
      </c>
      <c r="E16" t="s">
        <v>614</v>
      </c>
      <c r="F16" t="s">
        <v>1097</v>
      </c>
      <c r="G16" s="57">
        <v>5.2228802815079689E-5</v>
      </c>
      <c r="H16" s="58">
        <v>4.3576388888888887E-2</v>
      </c>
    </row>
    <row r="17" spans="1:8">
      <c r="A17"/>
      <c r="B17"/>
      <c r="C17"/>
      <c r="D17"/>
      <c r="E17" t="s">
        <v>625</v>
      </c>
      <c r="F17" t="s">
        <v>1098</v>
      </c>
      <c r="G17" s="57">
        <v>0</v>
      </c>
      <c r="H17" s="58">
        <v>0</v>
      </c>
    </row>
    <row r="18" spans="1:8">
      <c r="A18"/>
      <c r="B18"/>
      <c r="C18"/>
      <c r="D18"/>
      <c r="E18"/>
      <c r="F18" t="s">
        <v>1099</v>
      </c>
      <c r="G18" s="57">
        <v>8.6521878838539124E-3</v>
      </c>
      <c r="H18" s="58">
        <v>1.1574074074074073E-5</v>
      </c>
    </row>
    <row r="19" spans="1:8">
      <c r="A19" t="s">
        <v>630</v>
      </c>
      <c r="B19">
        <v>0</v>
      </c>
      <c r="C19">
        <v>0</v>
      </c>
      <c r="D19">
        <v>0</v>
      </c>
      <c r="E19" t="s">
        <v>614</v>
      </c>
      <c r="F19" t="s">
        <v>1097</v>
      </c>
      <c r="G19" s="57">
        <v>2.469366230070591E-2</v>
      </c>
      <c r="H19" s="58">
        <v>1.0335648148148148E-2</v>
      </c>
    </row>
    <row r="20" spans="1:8">
      <c r="A20"/>
      <c r="B20"/>
      <c r="C20"/>
      <c r="D20"/>
      <c r="E20" t="s">
        <v>634</v>
      </c>
      <c r="F20" t="s">
        <v>1100</v>
      </c>
      <c r="G20" s="57">
        <v>0</v>
      </c>
      <c r="H20" s="58">
        <v>0</v>
      </c>
    </row>
    <row r="21" spans="1:8">
      <c r="A21"/>
      <c r="B21"/>
      <c r="C21"/>
      <c r="D21"/>
      <c r="E21" t="s">
        <v>641</v>
      </c>
      <c r="F21" t="s">
        <v>1101</v>
      </c>
      <c r="G21" s="57">
        <v>0.19335001707077026</v>
      </c>
      <c r="H21" s="58">
        <v>1.3888888888888889E-4</v>
      </c>
    </row>
    <row r="22" spans="1:8">
      <c r="A22"/>
      <c r="B22"/>
      <c r="C22"/>
      <c r="D22"/>
      <c r="E22" t="s">
        <v>645</v>
      </c>
      <c r="F22" t="s">
        <v>1102</v>
      </c>
      <c r="G22" s="57">
        <v>6.5561726689338684E-2</v>
      </c>
      <c r="H22" s="58">
        <v>1.3888888888888889E-4</v>
      </c>
    </row>
    <row r="23" spans="1:8">
      <c r="A23" t="s">
        <v>650</v>
      </c>
      <c r="B23">
        <v>0</v>
      </c>
      <c r="C23">
        <v>0</v>
      </c>
      <c r="D23">
        <v>0</v>
      </c>
      <c r="E23" t="s">
        <v>614</v>
      </c>
      <c r="F23" t="s">
        <v>1097</v>
      </c>
      <c r="G23" s="57">
        <v>0</v>
      </c>
      <c r="H23" s="58">
        <v>3.5763888888888889E-3</v>
      </c>
    </row>
    <row r="24" spans="1:8">
      <c r="A24"/>
      <c r="B24"/>
      <c r="C24"/>
      <c r="D24"/>
      <c r="E24" t="s">
        <v>625</v>
      </c>
      <c r="F24" t="s">
        <v>1103</v>
      </c>
      <c r="G24" s="57">
        <v>0</v>
      </c>
      <c r="H24" s="58">
        <v>0</v>
      </c>
    </row>
    <row r="25" spans="1:8">
      <c r="A25"/>
      <c r="B25"/>
      <c r="C25"/>
      <c r="D25"/>
      <c r="E25" t="s">
        <v>634</v>
      </c>
      <c r="F25" t="s">
        <v>1100</v>
      </c>
      <c r="G25" s="57">
        <v>0</v>
      </c>
      <c r="H25" s="58">
        <v>0</v>
      </c>
    </row>
    <row r="26" spans="1:8">
      <c r="A26"/>
      <c r="B26"/>
      <c r="C26"/>
      <c r="D26"/>
      <c r="E26"/>
      <c r="F26" t="s">
        <v>1104</v>
      </c>
      <c r="G26" s="57">
        <v>0</v>
      </c>
      <c r="H26" s="58">
        <v>0</v>
      </c>
    </row>
    <row r="27" spans="1:8">
      <c r="A27"/>
      <c r="B27"/>
      <c r="C27"/>
      <c r="D27"/>
      <c r="E27" t="s">
        <v>645</v>
      </c>
      <c r="F27" t="s">
        <v>1105</v>
      </c>
      <c r="G27" s="57">
        <v>2.0554753427859396E-4</v>
      </c>
      <c r="H27" s="58">
        <v>0</v>
      </c>
    </row>
    <row r="28" spans="1:8">
      <c r="A28"/>
      <c r="B28"/>
      <c r="C28"/>
      <c r="D28"/>
      <c r="E28"/>
      <c r="F28" t="s">
        <v>1106</v>
      </c>
      <c r="G28" s="57">
        <v>5.6960124522447586E-2</v>
      </c>
      <c r="H28" s="58">
        <v>1.8518518518518518E-4</v>
      </c>
    </row>
    <row r="29" spans="1:8">
      <c r="A29"/>
      <c r="B29"/>
      <c r="C29"/>
      <c r="D29"/>
      <c r="E29" t="s">
        <v>656</v>
      </c>
      <c r="F29" t="s">
        <v>1107</v>
      </c>
      <c r="G29" s="57">
        <v>9.3072600662708282E-2</v>
      </c>
      <c r="H29" s="58">
        <v>1.0416666666666667E-4</v>
      </c>
    </row>
    <row r="30" spans="1:8">
      <c r="A30"/>
      <c r="B30"/>
      <c r="C30"/>
      <c r="D30"/>
      <c r="E30"/>
      <c r="F30" t="s">
        <v>1108</v>
      </c>
      <c r="G30" s="57">
        <v>0.18389824032783508</v>
      </c>
      <c r="H30" s="58">
        <v>1.9675925925925926E-4</v>
      </c>
    </row>
    <row r="31" spans="1:8">
      <c r="A31"/>
      <c r="B31"/>
      <c r="C31"/>
      <c r="D31"/>
      <c r="E31"/>
      <c r="F31" t="s">
        <v>1109</v>
      </c>
      <c r="G31" s="57">
        <v>0.1778407096862793</v>
      </c>
      <c r="H31" s="58">
        <v>1.9675925925925926E-4</v>
      </c>
    </row>
    <row r="32" spans="1:8">
      <c r="A32" t="s">
        <v>672</v>
      </c>
      <c r="B32">
        <v>0</v>
      </c>
      <c r="C32">
        <v>0</v>
      </c>
      <c r="D32">
        <v>0</v>
      </c>
      <c r="E32" t="s">
        <v>614</v>
      </c>
      <c r="F32" t="s">
        <v>1097</v>
      </c>
      <c r="G32" s="57">
        <v>0</v>
      </c>
      <c r="H32" s="58">
        <v>1.4039351851851851E-2</v>
      </c>
    </row>
    <row r="33" spans="1:8">
      <c r="A33"/>
      <c r="B33"/>
      <c r="C33"/>
      <c r="D33"/>
      <c r="E33" t="s">
        <v>656</v>
      </c>
      <c r="F33" t="s">
        <v>1109</v>
      </c>
      <c r="G33" s="57">
        <v>6.847042590379715E-2</v>
      </c>
      <c r="H33" s="58">
        <v>8.1018518518518516E-5</v>
      </c>
    </row>
    <row r="34" spans="1:8">
      <c r="A34"/>
      <c r="B34"/>
      <c r="C34"/>
      <c r="D34"/>
      <c r="E34"/>
      <c r="F34" t="s">
        <v>1110</v>
      </c>
      <c r="G34" s="57">
        <v>0.37499135732650757</v>
      </c>
      <c r="H34" s="58">
        <v>1.9675925925925926E-4</v>
      </c>
    </row>
    <row r="35" spans="1:8">
      <c r="A35"/>
      <c r="B35"/>
      <c r="C35"/>
      <c r="D35"/>
      <c r="E35"/>
      <c r="F35" t="s">
        <v>1111</v>
      </c>
      <c r="G35" s="57">
        <v>0.16537246108055115</v>
      </c>
      <c r="H35" s="58">
        <v>8.1018518518518516E-5</v>
      </c>
    </row>
    <row r="36" spans="1:8">
      <c r="A36"/>
      <c r="B36"/>
      <c r="C36"/>
      <c r="D36"/>
      <c r="E36"/>
      <c r="F36" t="s">
        <v>1112</v>
      </c>
      <c r="G36" s="57">
        <v>0.83146542310714722</v>
      </c>
      <c r="H36" s="58">
        <v>5.6712962962962967E-4</v>
      </c>
    </row>
    <row r="37" spans="1:8">
      <c r="A37"/>
      <c r="B37"/>
      <c r="C37"/>
      <c r="D37"/>
      <c r="E37"/>
      <c r="F37" t="s">
        <v>1113</v>
      </c>
      <c r="G37" s="57">
        <v>0.18297208845615387</v>
      </c>
      <c r="H37" s="58">
        <v>1.0416666666666667E-4</v>
      </c>
    </row>
    <row r="38" spans="1:8">
      <c r="A38"/>
      <c r="B38"/>
      <c r="C38"/>
      <c r="D38"/>
      <c r="E38"/>
      <c r="F38" t="s">
        <v>1114</v>
      </c>
      <c r="G38" s="57">
        <v>9.4803698360919952E-2</v>
      </c>
      <c r="H38" s="58">
        <v>1.0416666666666667E-4</v>
      </c>
    </row>
    <row r="39" spans="1:8">
      <c r="A39"/>
      <c r="B39"/>
      <c r="C39"/>
      <c r="D39"/>
      <c r="E39"/>
      <c r="F39" t="s">
        <v>1115</v>
      </c>
      <c r="G39" s="57">
        <v>5.691164493560791</v>
      </c>
      <c r="H39" s="58">
        <v>4.43287037037037E-3</v>
      </c>
    </row>
    <row r="40" spans="1:8">
      <c r="A40"/>
      <c r="B40"/>
      <c r="C40"/>
      <c r="D40"/>
      <c r="E40"/>
      <c r="F40" t="s">
        <v>1116</v>
      </c>
      <c r="G40" s="57">
        <v>3.7818548679351807</v>
      </c>
      <c r="H40" s="58">
        <v>3.1712962962962962E-3</v>
      </c>
    </row>
    <row r="41" spans="1:8">
      <c r="A41"/>
      <c r="B41"/>
      <c r="C41"/>
      <c r="D41"/>
      <c r="E41"/>
      <c r="F41" t="s">
        <v>1117</v>
      </c>
      <c r="G41" s="57">
        <v>0.1405646800994873</v>
      </c>
      <c r="H41" s="58">
        <v>1.3888888888888889E-4</v>
      </c>
    </row>
    <row r="42" spans="1:8">
      <c r="A42"/>
      <c r="B42"/>
      <c r="C42"/>
      <c r="D42"/>
      <c r="E42"/>
      <c r="F42" t="s">
        <v>1118</v>
      </c>
      <c r="G42" s="57">
        <v>1.6439336538314819</v>
      </c>
      <c r="H42" s="58">
        <v>1.3194444444444445E-3</v>
      </c>
    </row>
    <row r="43" spans="1:8">
      <c r="A43"/>
      <c r="B43"/>
      <c r="C43"/>
      <c r="D43"/>
      <c r="E43" t="s">
        <v>674</v>
      </c>
      <c r="F43" t="s">
        <v>1119</v>
      </c>
      <c r="G43" s="57">
        <v>0</v>
      </c>
      <c r="H43" s="58">
        <v>0</v>
      </c>
    </row>
    <row r="44" spans="1:8">
      <c r="A44"/>
      <c r="B44"/>
      <c r="C44"/>
      <c r="D44"/>
      <c r="E44"/>
      <c r="F44" t="s">
        <v>1120</v>
      </c>
      <c r="G44" s="57">
        <v>0</v>
      </c>
      <c r="H44" s="58">
        <v>0</v>
      </c>
    </row>
    <row r="45" spans="1:8">
      <c r="A45"/>
      <c r="B45"/>
      <c r="C45"/>
      <c r="D45"/>
      <c r="E45"/>
      <c r="F45" t="s">
        <v>1121</v>
      </c>
      <c r="G45" s="57">
        <v>0</v>
      </c>
      <c r="H45" s="58">
        <v>0</v>
      </c>
    </row>
    <row r="46" spans="1:8">
      <c r="A46"/>
      <c r="B46"/>
      <c r="C46"/>
      <c r="D46"/>
      <c r="E46"/>
      <c r="F46" t="s">
        <v>1122</v>
      </c>
      <c r="G46" s="57">
        <v>0</v>
      </c>
      <c r="H46" s="58">
        <v>0</v>
      </c>
    </row>
    <row r="47" spans="1:8">
      <c r="A47"/>
      <c r="B47"/>
      <c r="C47"/>
      <c r="D47"/>
      <c r="E47" t="s">
        <v>685</v>
      </c>
      <c r="F47" t="s">
        <v>1123</v>
      </c>
      <c r="G47" s="57">
        <v>2.2239429876208305E-2</v>
      </c>
      <c r="H47" s="58">
        <v>1.1574074074074073E-5</v>
      </c>
    </row>
    <row r="48" spans="1:8">
      <c r="A48"/>
      <c r="B48"/>
      <c r="C48"/>
      <c r="D48"/>
      <c r="E48"/>
      <c r="F48" t="s">
        <v>1124</v>
      </c>
      <c r="G48" s="57">
        <v>3.8444988429546356E-2</v>
      </c>
      <c r="H48" s="58">
        <v>2.3148148148148147E-5</v>
      </c>
    </row>
    <row r="49" spans="1:8">
      <c r="A49" t="s">
        <v>702</v>
      </c>
      <c r="B49">
        <v>0</v>
      </c>
      <c r="C49">
        <v>0</v>
      </c>
      <c r="D49">
        <v>0</v>
      </c>
      <c r="E49" t="s">
        <v>614</v>
      </c>
      <c r="F49" t="s">
        <v>1097</v>
      </c>
      <c r="G49" s="57">
        <v>3.1781781581230462E-4</v>
      </c>
      <c r="H49" s="58">
        <v>6.2280092592592595E-2</v>
      </c>
    </row>
    <row r="50" spans="1:8">
      <c r="A50"/>
      <c r="B50"/>
      <c r="C50"/>
      <c r="D50"/>
      <c r="E50" t="s">
        <v>656</v>
      </c>
      <c r="F50" t="s">
        <v>1114</v>
      </c>
      <c r="G50" s="57">
        <v>8.088432252407074E-2</v>
      </c>
      <c r="H50" s="58">
        <v>1.0416666666666667E-4</v>
      </c>
    </row>
    <row r="51" spans="1:8">
      <c r="A51"/>
      <c r="B51"/>
      <c r="C51"/>
      <c r="D51"/>
      <c r="E51"/>
      <c r="F51" t="s">
        <v>1125</v>
      </c>
      <c r="G51" s="57">
        <v>0.2348802387714386</v>
      </c>
      <c r="H51" s="58">
        <v>2.199074074074074E-4</v>
      </c>
    </row>
    <row r="52" spans="1:8">
      <c r="A52"/>
      <c r="B52"/>
      <c r="C52"/>
      <c r="D52"/>
      <c r="E52"/>
      <c r="F52" t="s">
        <v>1126</v>
      </c>
      <c r="G52" s="57">
        <v>0.12300074100494385</v>
      </c>
      <c r="H52" s="58">
        <v>1.0416666666666667E-4</v>
      </c>
    </row>
    <row r="53" spans="1:8">
      <c r="A53" t="s">
        <v>714</v>
      </c>
      <c r="B53">
        <v>0</v>
      </c>
      <c r="C53">
        <v>0</v>
      </c>
      <c r="D53">
        <v>0</v>
      </c>
      <c r="E53" t="s">
        <v>614</v>
      </c>
      <c r="F53" t="s">
        <v>1097</v>
      </c>
      <c r="G53" s="57">
        <v>1.3223888527136296E-4</v>
      </c>
      <c r="H53" s="58">
        <v>4.9652777777777782E-2</v>
      </c>
    </row>
    <row r="54" spans="1:8">
      <c r="A54"/>
      <c r="B54"/>
      <c r="C54"/>
      <c r="D54"/>
      <c r="E54" t="s">
        <v>625</v>
      </c>
      <c r="F54" t="s">
        <v>1127</v>
      </c>
      <c r="G54" s="57">
        <v>0</v>
      </c>
      <c r="H54" s="58">
        <v>0</v>
      </c>
    </row>
    <row r="55" spans="1:8">
      <c r="A55"/>
      <c r="B55"/>
      <c r="C55"/>
      <c r="D55"/>
      <c r="E55"/>
      <c r="F55" t="s">
        <v>1128</v>
      </c>
      <c r="G55" s="57">
        <v>0</v>
      </c>
      <c r="H55" s="58">
        <v>0</v>
      </c>
    </row>
    <row r="56" spans="1:8">
      <c r="A56"/>
      <c r="B56"/>
      <c r="C56"/>
      <c r="D56"/>
      <c r="E56" t="s">
        <v>645</v>
      </c>
      <c r="F56" t="s">
        <v>1106</v>
      </c>
      <c r="G56" s="57">
        <v>1.0797986397519708</v>
      </c>
      <c r="H56" s="58">
        <v>3.7499999999999999E-3</v>
      </c>
    </row>
    <row r="57" spans="1:8">
      <c r="A57"/>
      <c r="B57"/>
      <c r="C57"/>
      <c r="D57"/>
      <c r="E57"/>
      <c r="F57" t="s">
        <v>1129</v>
      </c>
      <c r="G57" s="57">
        <v>0.18355429172515869</v>
      </c>
      <c r="H57" s="58">
        <v>3.7037037037037035E-4</v>
      </c>
    </row>
    <row r="58" spans="1:8">
      <c r="A58"/>
      <c r="B58"/>
      <c r="C58"/>
      <c r="D58"/>
      <c r="E58"/>
      <c r="F58" t="s">
        <v>1130</v>
      </c>
      <c r="G58" s="57">
        <v>0.51204024208709598</v>
      </c>
      <c r="H58" s="58">
        <v>2.1180555555555553E-3</v>
      </c>
    </row>
    <row r="59" spans="1:8">
      <c r="A59"/>
      <c r="B59"/>
      <c r="C59"/>
      <c r="D59"/>
      <c r="E59"/>
      <c r="F59" t="s">
        <v>1131</v>
      </c>
      <c r="G59" s="57">
        <v>0.63484302908182144</v>
      </c>
      <c r="H59" s="58">
        <v>1.9791666666666664E-3</v>
      </c>
    </row>
    <row r="60" spans="1:8">
      <c r="A60"/>
      <c r="B60"/>
      <c r="C60"/>
      <c r="D60"/>
      <c r="E60"/>
      <c r="F60" t="s">
        <v>1132</v>
      </c>
      <c r="G60" s="57">
        <v>1.574089284054935</v>
      </c>
      <c r="H60" s="58">
        <v>6.1921296296296299E-3</v>
      </c>
    </row>
    <row r="61" spans="1:8">
      <c r="A61"/>
      <c r="B61"/>
      <c r="C61"/>
      <c r="D61"/>
      <c r="E61"/>
      <c r="F61" t="s">
        <v>1133</v>
      </c>
      <c r="G61" s="57">
        <v>1.1966338506899774</v>
      </c>
      <c r="H61" s="58">
        <v>4.2361111111111115E-3</v>
      </c>
    </row>
    <row r="62" spans="1:8">
      <c r="A62"/>
      <c r="B62"/>
      <c r="C62"/>
      <c r="D62"/>
      <c r="E62"/>
      <c r="F62" t="s">
        <v>1134</v>
      </c>
      <c r="G62" s="57">
        <v>0.36714649200439453</v>
      </c>
      <c r="H62" s="58">
        <v>6.3657407407407413E-4</v>
      </c>
    </row>
    <row r="63" spans="1:8">
      <c r="A63"/>
      <c r="B63"/>
      <c r="C63"/>
      <c r="D63"/>
      <c r="E63"/>
      <c r="F63" t="s">
        <v>1135</v>
      </c>
      <c r="G63" s="57">
        <v>0.18388620018959045</v>
      </c>
      <c r="H63" s="58">
        <v>3.8194444444444446E-4</v>
      </c>
    </row>
    <row r="64" spans="1:8">
      <c r="A64"/>
      <c r="B64"/>
      <c r="C64"/>
      <c r="D64"/>
      <c r="E64"/>
      <c r="F64" t="s">
        <v>1136</v>
      </c>
      <c r="G64" s="57">
        <v>0.73079463839530945</v>
      </c>
      <c r="H64" s="58">
        <v>2.1064814814814813E-3</v>
      </c>
    </row>
    <row r="65" spans="1:8">
      <c r="A65"/>
      <c r="B65"/>
      <c r="C65"/>
      <c r="D65"/>
      <c r="E65"/>
      <c r="F65" t="s">
        <v>1137</v>
      </c>
      <c r="G65" s="57">
        <v>0.38972482085227966</v>
      </c>
      <c r="H65" s="58">
        <v>9.9537037037037042E-4</v>
      </c>
    </row>
    <row r="66" spans="1:8">
      <c r="A66"/>
      <c r="B66"/>
      <c r="C66"/>
      <c r="D66"/>
      <c r="E66"/>
      <c r="F66" t="s">
        <v>1138</v>
      </c>
      <c r="G66" s="57">
        <v>0.65952016413211823</v>
      </c>
      <c r="H66" s="58">
        <v>1.4583333333333334E-3</v>
      </c>
    </row>
    <row r="67" spans="1:8">
      <c r="A67"/>
      <c r="B67"/>
      <c r="C67"/>
      <c r="D67"/>
      <c r="E67"/>
      <c r="F67" t="s">
        <v>1139</v>
      </c>
      <c r="G67" s="57">
        <v>0.47144202515482903</v>
      </c>
      <c r="H67" s="58">
        <v>1.5046296296296296E-3</v>
      </c>
    </row>
    <row r="68" spans="1:8">
      <c r="A68"/>
      <c r="B68"/>
      <c r="C68"/>
      <c r="D68"/>
      <c r="E68"/>
      <c r="F68" t="s">
        <v>1140</v>
      </c>
      <c r="G68" s="57">
        <v>0.18333487212657928</v>
      </c>
      <c r="H68" s="58">
        <v>4.0509259259259258E-4</v>
      </c>
    </row>
    <row r="69" spans="1:8">
      <c r="A69"/>
      <c r="B69"/>
      <c r="C69"/>
      <c r="D69"/>
      <c r="E69" t="s">
        <v>685</v>
      </c>
      <c r="F69" t="s">
        <v>1141</v>
      </c>
      <c r="G69" s="57">
        <v>9.5031637101783417E-6</v>
      </c>
      <c r="H69" s="58">
        <v>0</v>
      </c>
    </row>
    <row r="70" spans="1:8">
      <c r="A70"/>
      <c r="B70"/>
      <c r="C70"/>
      <c r="D70"/>
      <c r="E70"/>
      <c r="F70" t="s">
        <v>1142</v>
      </c>
      <c r="G70" s="57">
        <v>2.088816836476326E-4</v>
      </c>
      <c r="H70" s="58">
        <v>0</v>
      </c>
    </row>
    <row r="71" spans="1:8">
      <c r="A71"/>
      <c r="B71"/>
      <c r="C71"/>
      <c r="D71"/>
      <c r="E71" t="s">
        <v>733</v>
      </c>
      <c r="F71" t="s">
        <v>1143</v>
      </c>
      <c r="G71" s="57">
        <v>1.4320127775135916E-5</v>
      </c>
      <c r="H71" s="58">
        <v>0</v>
      </c>
    </row>
    <row r="72" spans="1:8">
      <c r="A72"/>
      <c r="B72"/>
      <c r="C72"/>
      <c r="D72"/>
      <c r="E72" t="s">
        <v>754</v>
      </c>
      <c r="F72" t="s">
        <v>1144</v>
      </c>
      <c r="G72" s="57">
        <v>4.4498056173324585E-2</v>
      </c>
      <c r="H72" s="58">
        <v>9.2592592592592588E-5</v>
      </c>
    </row>
    <row r="73" spans="1:8">
      <c r="A73"/>
      <c r="B73"/>
      <c r="C73"/>
      <c r="D73"/>
      <c r="E73" t="s">
        <v>757</v>
      </c>
      <c r="F73" t="s">
        <v>1145</v>
      </c>
      <c r="G73" s="57">
        <v>1.6746198758482933E-2</v>
      </c>
      <c r="H73" s="58">
        <v>2.3148148148148147E-5</v>
      </c>
    </row>
    <row r="74" spans="1:8">
      <c r="A74"/>
      <c r="B74"/>
      <c r="C74"/>
      <c r="D74"/>
      <c r="E74" t="s">
        <v>762</v>
      </c>
      <c r="F74" t="s">
        <v>1146</v>
      </c>
      <c r="G74" s="57">
        <v>4.4034449383616447E-3</v>
      </c>
      <c r="H74" s="58">
        <v>1.1574074074074073E-5</v>
      </c>
    </row>
    <row r="75" spans="1:8">
      <c r="A75" t="s">
        <v>764</v>
      </c>
      <c r="B75" t="s">
        <v>766</v>
      </c>
      <c r="C75" t="s">
        <v>767</v>
      </c>
      <c r="D75" t="s">
        <v>768</v>
      </c>
      <c r="E75" t="s">
        <v>614</v>
      </c>
      <c r="F75" t="s">
        <v>1097</v>
      </c>
      <c r="G75" s="57">
        <v>3.5035134278587066E-3</v>
      </c>
      <c r="H75" s="58">
        <v>2.6956018518518518E-2</v>
      </c>
    </row>
    <row r="76" spans="1:8">
      <c r="A76"/>
      <c r="B76"/>
      <c r="C76"/>
      <c r="D76"/>
      <c r="E76" t="s">
        <v>645</v>
      </c>
      <c r="F76" t="s">
        <v>1102</v>
      </c>
      <c r="G76" s="57">
        <v>9.8465338349342346E-2</v>
      </c>
      <c r="H76" s="58">
        <v>2.4305555555555555E-4</v>
      </c>
    </row>
    <row r="77" spans="1:8">
      <c r="A77"/>
      <c r="B77"/>
      <c r="C77"/>
      <c r="D77"/>
      <c r="E77"/>
      <c r="F77" t="s">
        <v>1105</v>
      </c>
      <c r="G77" s="57">
        <v>9.0800569159910083E-4</v>
      </c>
      <c r="H77" s="58">
        <v>0</v>
      </c>
    </row>
    <row r="78" spans="1:8">
      <c r="A78"/>
      <c r="B78"/>
      <c r="C78"/>
      <c r="D78"/>
      <c r="E78"/>
      <c r="F78" t="s">
        <v>1106</v>
      </c>
      <c r="G78" s="57">
        <v>1.8727561719715595</v>
      </c>
      <c r="H78" s="58">
        <v>6.3541666666666659E-3</v>
      </c>
    </row>
    <row r="79" spans="1:8">
      <c r="A79"/>
      <c r="B79"/>
      <c r="C79"/>
      <c r="D79"/>
      <c r="E79"/>
      <c r="F79" t="s">
        <v>1130</v>
      </c>
      <c r="G79" s="57">
        <v>0.204918441362679</v>
      </c>
      <c r="H79" s="58">
        <v>8.5648148148148161E-4</v>
      </c>
    </row>
    <row r="80" spans="1:8">
      <c r="A80"/>
      <c r="B80"/>
      <c r="C80"/>
      <c r="D80"/>
      <c r="E80"/>
      <c r="F80" t="s">
        <v>1131</v>
      </c>
      <c r="G80" s="57">
        <v>2.111221119761467</v>
      </c>
      <c r="H80" s="58">
        <v>6.5624999999999998E-3</v>
      </c>
    </row>
    <row r="81" spans="1:8">
      <c r="A81"/>
      <c r="B81"/>
      <c r="C81"/>
      <c r="D81"/>
      <c r="E81"/>
      <c r="F81" t="s">
        <v>1132</v>
      </c>
      <c r="G81" s="57">
        <v>0.48751320503652096</v>
      </c>
      <c r="H81" s="58">
        <v>1.8518518518518519E-3</v>
      </c>
    </row>
    <row r="82" spans="1:8">
      <c r="A82"/>
      <c r="B82"/>
      <c r="C82"/>
      <c r="D82"/>
      <c r="E82"/>
      <c r="F82" t="s">
        <v>1133</v>
      </c>
      <c r="G82" s="57">
        <v>0.23923092149198055</v>
      </c>
      <c r="H82" s="58">
        <v>8.7962962962962962E-4</v>
      </c>
    </row>
    <row r="83" spans="1:8">
      <c r="A83"/>
      <c r="B83"/>
      <c r="C83"/>
      <c r="D83"/>
      <c r="E83"/>
      <c r="F83" t="s">
        <v>1134</v>
      </c>
      <c r="G83" s="57">
        <v>0.36564658582210541</v>
      </c>
      <c r="H83" s="58">
        <v>6.4814814814814813E-4</v>
      </c>
    </row>
    <row r="84" spans="1:8">
      <c r="A84"/>
      <c r="B84"/>
      <c r="C84"/>
      <c r="D84"/>
      <c r="E84"/>
      <c r="F84" t="s">
        <v>1135</v>
      </c>
      <c r="G84" s="57">
        <v>7.5734443962574005E-2</v>
      </c>
      <c r="H84" s="58">
        <v>1.8518518518518518E-4</v>
      </c>
    </row>
    <row r="85" spans="1:8">
      <c r="A85"/>
      <c r="B85"/>
      <c r="C85"/>
      <c r="D85"/>
      <c r="E85"/>
      <c r="F85" t="s">
        <v>1136</v>
      </c>
      <c r="G85" s="57">
        <v>1.048057958483696</v>
      </c>
      <c r="H85" s="58">
        <v>2.9861111111111113E-3</v>
      </c>
    </row>
    <row r="86" spans="1:8">
      <c r="A86"/>
      <c r="B86"/>
      <c r="C86"/>
      <c r="D86"/>
      <c r="E86"/>
      <c r="F86" t="s">
        <v>1137</v>
      </c>
      <c r="G86" s="57">
        <v>0.2760208398103714</v>
      </c>
      <c r="H86" s="58">
        <v>5.4398148148148144E-4</v>
      </c>
    </row>
    <row r="87" spans="1:8">
      <c r="A87"/>
      <c r="B87"/>
      <c r="C87"/>
      <c r="D87"/>
      <c r="E87"/>
      <c r="F87" t="s">
        <v>1138</v>
      </c>
      <c r="G87" s="57">
        <v>0.2151383962482214</v>
      </c>
      <c r="H87" s="58">
        <v>3.7037037037037041E-4</v>
      </c>
    </row>
    <row r="88" spans="1:8">
      <c r="A88"/>
      <c r="B88"/>
      <c r="C88"/>
      <c r="D88"/>
      <c r="E88"/>
      <c r="F88" t="s">
        <v>1147</v>
      </c>
      <c r="G88" s="57">
        <v>0.42868313193321228</v>
      </c>
      <c r="H88" s="58">
        <v>1.4236111111111112E-3</v>
      </c>
    </row>
    <row r="89" spans="1:8">
      <c r="A89"/>
      <c r="B89"/>
      <c r="C89"/>
      <c r="D89"/>
      <c r="E89"/>
      <c r="F89" t="s">
        <v>1148</v>
      </c>
      <c r="G89" s="57">
        <v>0.73178902268409729</v>
      </c>
      <c r="H89" s="58">
        <v>1.1458333333333333E-3</v>
      </c>
    </row>
    <row r="90" spans="1:8">
      <c r="A90"/>
      <c r="B90"/>
      <c r="C90"/>
      <c r="D90"/>
      <c r="E90"/>
      <c r="F90" t="s">
        <v>1149</v>
      </c>
      <c r="G90" s="57">
        <v>0.18352344632148743</v>
      </c>
      <c r="H90" s="58">
        <v>3.0092592592592595E-4</v>
      </c>
    </row>
    <row r="91" spans="1:8">
      <c r="A91"/>
      <c r="B91"/>
      <c r="C91"/>
      <c r="D91"/>
      <c r="E91" t="s">
        <v>685</v>
      </c>
      <c r="F91" t="s">
        <v>1150</v>
      </c>
      <c r="G91" s="57">
        <v>4.6137945901136845E-5</v>
      </c>
      <c r="H91" s="58">
        <v>0</v>
      </c>
    </row>
    <row r="92" spans="1:8">
      <c r="A92"/>
      <c r="B92"/>
      <c r="C92"/>
      <c r="D92"/>
      <c r="E92"/>
      <c r="F92" t="s">
        <v>1151</v>
      </c>
      <c r="G92" s="57">
        <v>8.1992322520818561E-5</v>
      </c>
      <c r="H92" s="58">
        <v>0</v>
      </c>
    </row>
    <row r="93" spans="1:8">
      <c r="A93"/>
      <c r="B93"/>
      <c r="C93"/>
      <c r="D93"/>
      <c r="E93"/>
      <c r="F93" t="s">
        <v>1152</v>
      </c>
      <c r="G93" s="57">
        <v>8.2457181633799337E-6</v>
      </c>
      <c r="H93" s="58">
        <v>0</v>
      </c>
    </row>
    <row r="94" spans="1:8">
      <c r="A94"/>
      <c r="B94"/>
      <c r="C94"/>
      <c r="D94"/>
      <c r="E94"/>
      <c r="F94" t="s">
        <v>1153</v>
      </c>
      <c r="G94" s="57">
        <v>7.9390098107978702E-5</v>
      </c>
      <c r="H94" s="58">
        <v>0</v>
      </c>
    </row>
    <row r="95" spans="1:8">
      <c r="A95"/>
      <c r="B95"/>
      <c r="C95"/>
      <c r="D95"/>
      <c r="E95"/>
      <c r="F95" t="s">
        <v>1154</v>
      </c>
      <c r="G95" s="57">
        <v>4.093252937309444E-4</v>
      </c>
      <c r="H95" s="58">
        <v>0</v>
      </c>
    </row>
    <row r="96" spans="1:8">
      <c r="A96"/>
      <c r="B96"/>
      <c r="C96"/>
      <c r="D96"/>
      <c r="E96" t="s">
        <v>754</v>
      </c>
      <c r="F96" t="s">
        <v>1155</v>
      </c>
      <c r="G96" s="57">
        <v>7.3552511632442474E-2</v>
      </c>
      <c r="H96" s="58">
        <v>2.6620370370370372E-4</v>
      </c>
    </row>
    <row r="97" spans="1:8">
      <c r="A97"/>
      <c r="B97"/>
      <c r="C97"/>
      <c r="D97"/>
      <c r="E97"/>
      <c r="F97" t="s">
        <v>1156</v>
      </c>
      <c r="G97" s="57">
        <v>1.9616154953837395E-2</v>
      </c>
      <c r="H97" s="58">
        <v>6.9444444444444444E-5</v>
      </c>
    </row>
    <row r="98" spans="1:8">
      <c r="A98"/>
      <c r="B98"/>
      <c r="C98"/>
      <c r="D98"/>
      <c r="E98" t="s">
        <v>757</v>
      </c>
      <c r="F98" t="s">
        <v>1145</v>
      </c>
      <c r="G98" s="57">
        <v>0.31393247097730637</v>
      </c>
      <c r="H98" s="58">
        <v>3.4722222222222218E-4</v>
      </c>
    </row>
    <row r="99" spans="1:8">
      <c r="A99"/>
      <c r="B99"/>
      <c r="C99"/>
      <c r="D99"/>
      <c r="E99"/>
      <c r="F99" t="s">
        <v>1157</v>
      </c>
      <c r="G99" s="57">
        <v>6.6365189850330353E-2</v>
      </c>
      <c r="H99" s="58">
        <v>6.9444444444444444E-5</v>
      </c>
    </row>
    <row r="100" spans="1:8">
      <c r="A100"/>
      <c r="B100"/>
      <c r="C100"/>
      <c r="D100"/>
      <c r="E100"/>
      <c r="F100" t="s">
        <v>1158</v>
      </c>
      <c r="G100" s="57">
        <v>0.20713204890489578</v>
      </c>
      <c r="H100" s="58">
        <v>2.0833333333333332E-4</v>
      </c>
    </row>
    <row r="101" spans="1:8">
      <c r="A101"/>
      <c r="B101"/>
      <c r="C101"/>
      <c r="D101"/>
      <c r="E101" t="s">
        <v>762</v>
      </c>
      <c r="F101" t="s">
        <v>1146</v>
      </c>
      <c r="G101" s="57">
        <v>0.29192808736115694</v>
      </c>
      <c r="H101" s="58">
        <v>4.1666666666666664E-4</v>
      </c>
    </row>
    <row r="102" spans="1:8">
      <c r="A102"/>
      <c r="B102"/>
      <c r="C102"/>
      <c r="D102"/>
      <c r="E102"/>
      <c r="F102" t="s">
        <v>1159</v>
      </c>
      <c r="G102" s="57">
        <v>3.867219015955925E-2</v>
      </c>
      <c r="H102" s="58">
        <v>4.6296296296296294E-5</v>
      </c>
    </row>
    <row r="103" spans="1:8">
      <c r="A103"/>
      <c r="B103"/>
      <c r="C103"/>
      <c r="D103"/>
      <c r="E103"/>
      <c r="F103" t="s">
        <v>1160</v>
      </c>
      <c r="G103" s="57">
        <v>1.2204634584486485</v>
      </c>
      <c r="H103" s="58">
        <v>1.5972222222222221E-3</v>
      </c>
    </row>
    <row r="104" spans="1:8">
      <c r="A104"/>
      <c r="B104"/>
      <c r="C104"/>
      <c r="D104"/>
      <c r="E104"/>
      <c r="F104" t="s">
        <v>1161</v>
      </c>
      <c r="G104" s="57">
        <v>9.8271414637565613E-2</v>
      </c>
      <c r="H104" s="58">
        <v>1.273148148148148E-4</v>
      </c>
    </row>
    <row r="105" spans="1:8">
      <c r="A105" t="s">
        <v>792</v>
      </c>
      <c r="B105">
        <v>0</v>
      </c>
      <c r="C105">
        <v>0</v>
      </c>
      <c r="D105">
        <v>0</v>
      </c>
      <c r="E105" t="s">
        <v>614</v>
      </c>
      <c r="F105" t="s">
        <v>1097</v>
      </c>
      <c r="G105" s="57">
        <v>3.4745104072499089E-2</v>
      </c>
      <c r="H105" s="58">
        <v>0.1221875</v>
      </c>
    </row>
    <row r="106" spans="1:8">
      <c r="A106"/>
      <c r="B106"/>
      <c r="C106"/>
      <c r="D106"/>
      <c r="E106" t="s">
        <v>625</v>
      </c>
      <c r="F106" t="s">
        <v>1162</v>
      </c>
      <c r="G106" s="57">
        <v>0</v>
      </c>
      <c r="H106" s="58">
        <v>0</v>
      </c>
    </row>
    <row r="107" spans="1:8">
      <c r="A107"/>
      <c r="B107"/>
      <c r="C107"/>
      <c r="D107"/>
      <c r="E107" t="s">
        <v>634</v>
      </c>
      <c r="F107" t="s">
        <v>1163</v>
      </c>
      <c r="G107" s="57">
        <v>0</v>
      </c>
      <c r="H107" s="58">
        <v>0</v>
      </c>
    </row>
    <row r="108" spans="1:8">
      <c r="A108"/>
      <c r="B108"/>
      <c r="C108"/>
      <c r="D108"/>
      <c r="E108"/>
      <c r="F108" t="s">
        <v>1164</v>
      </c>
      <c r="G108" s="57">
        <v>66.775444537401199</v>
      </c>
      <c r="H108" s="58">
        <v>0.24384259259259261</v>
      </c>
    </row>
    <row r="109" spans="1:8">
      <c r="A109"/>
      <c r="B109"/>
      <c r="C109"/>
      <c r="D109"/>
      <c r="E109" t="s">
        <v>645</v>
      </c>
      <c r="F109" t="s">
        <v>1106</v>
      </c>
      <c r="G109" s="57">
        <v>0.67264142632484436</v>
      </c>
      <c r="H109" s="58">
        <v>2.2106481481481482E-3</v>
      </c>
    </row>
    <row r="110" spans="1:8">
      <c r="A110"/>
      <c r="B110"/>
      <c r="C110"/>
      <c r="D110"/>
      <c r="E110"/>
      <c r="F110" t="s">
        <v>1129</v>
      </c>
      <c r="G110" s="57">
        <v>0.83224986400455236</v>
      </c>
      <c r="H110" s="58">
        <v>2.2222222222222222E-3</v>
      </c>
    </row>
    <row r="111" spans="1:8">
      <c r="A111"/>
      <c r="B111"/>
      <c r="C111"/>
      <c r="D111"/>
      <c r="E111"/>
      <c r="F111" t="s">
        <v>1130</v>
      </c>
      <c r="G111" s="57">
        <v>0.2580615864135325</v>
      </c>
      <c r="H111" s="58">
        <v>1.0300925925925924E-3</v>
      </c>
    </row>
    <row r="112" spans="1:8">
      <c r="A112"/>
      <c r="B112"/>
      <c r="C112"/>
      <c r="D112"/>
      <c r="E112"/>
      <c r="F112" t="s">
        <v>1131</v>
      </c>
      <c r="G112" s="57">
        <v>0.31863820552825928</v>
      </c>
      <c r="H112" s="58">
        <v>1.0763888888888889E-3</v>
      </c>
    </row>
    <row r="113" spans="1:8">
      <c r="A113"/>
      <c r="B113"/>
      <c r="C113"/>
      <c r="D113"/>
      <c r="E113"/>
      <c r="F113" t="s">
        <v>1132</v>
      </c>
      <c r="G113" s="57">
        <v>0.40796348080039024</v>
      </c>
      <c r="H113" s="58">
        <v>1.5625000000000001E-3</v>
      </c>
    </row>
    <row r="114" spans="1:8">
      <c r="A114"/>
      <c r="B114"/>
      <c r="C114"/>
      <c r="D114"/>
      <c r="E114"/>
      <c r="F114" t="s">
        <v>1133</v>
      </c>
      <c r="G114" s="57">
        <v>0.25471520936116576</v>
      </c>
      <c r="H114" s="58">
        <v>9.1435185185185196E-4</v>
      </c>
    </row>
    <row r="115" spans="1:8">
      <c r="A115"/>
      <c r="B115"/>
      <c r="C115"/>
      <c r="D115"/>
      <c r="E115"/>
      <c r="F115" t="s">
        <v>1135</v>
      </c>
      <c r="G115" s="57">
        <v>1.4934578463435173</v>
      </c>
      <c r="H115" s="58">
        <v>3.5300925925925929E-3</v>
      </c>
    </row>
    <row r="116" spans="1:8">
      <c r="A116"/>
      <c r="B116"/>
      <c r="C116"/>
      <c r="D116"/>
      <c r="E116"/>
      <c r="F116" t="s">
        <v>1136</v>
      </c>
      <c r="G116" s="57">
        <v>0.26074375957250595</v>
      </c>
      <c r="H116" s="58">
        <v>6.4814814814814813E-4</v>
      </c>
    </row>
    <row r="117" spans="1:8">
      <c r="A117"/>
      <c r="B117"/>
      <c r="C117"/>
      <c r="D117"/>
      <c r="E117"/>
      <c r="F117" t="s">
        <v>1137</v>
      </c>
      <c r="G117" s="57">
        <v>0.36292494833469391</v>
      </c>
      <c r="H117" s="58">
        <v>7.1759259259259259E-4</v>
      </c>
    </row>
    <row r="118" spans="1:8">
      <c r="A118"/>
      <c r="B118"/>
      <c r="C118"/>
      <c r="D118"/>
      <c r="E118"/>
      <c r="F118" t="s">
        <v>1138</v>
      </c>
      <c r="G118" s="57">
        <v>1.1087860614061356</v>
      </c>
      <c r="H118" s="58">
        <v>2.465277777777778E-3</v>
      </c>
    </row>
    <row r="119" spans="1:8">
      <c r="A119"/>
      <c r="B119"/>
      <c r="C119"/>
      <c r="D119"/>
      <c r="E119"/>
      <c r="F119" t="s">
        <v>1139</v>
      </c>
      <c r="G119" s="57">
        <v>8.3180665969848633E-2</v>
      </c>
      <c r="H119" s="58">
        <v>2.4305555555555555E-4</v>
      </c>
    </row>
    <row r="120" spans="1:8">
      <c r="A120"/>
      <c r="B120"/>
      <c r="C120"/>
      <c r="D120"/>
      <c r="E120"/>
      <c r="F120" t="s">
        <v>1147</v>
      </c>
      <c r="G120" s="57">
        <v>0.21897542849183083</v>
      </c>
      <c r="H120" s="58">
        <v>6.8287037037037036E-4</v>
      </c>
    </row>
    <row r="121" spans="1:8">
      <c r="A121"/>
      <c r="B121"/>
      <c r="C121"/>
      <c r="D121"/>
      <c r="E121"/>
      <c r="F121" t="s">
        <v>1148</v>
      </c>
      <c r="G121" s="57">
        <v>0.75012452155351639</v>
      </c>
      <c r="H121" s="58">
        <v>1.3888888888888889E-3</v>
      </c>
    </row>
    <row r="122" spans="1:8">
      <c r="A122"/>
      <c r="B122"/>
      <c r="C122"/>
      <c r="D122"/>
      <c r="E122"/>
      <c r="F122" t="s">
        <v>1149</v>
      </c>
      <c r="G122" s="57">
        <v>1.3684296011924744</v>
      </c>
      <c r="H122" s="58">
        <v>2.5925925925925921E-3</v>
      </c>
    </row>
    <row r="123" spans="1:8">
      <c r="A123"/>
      <c r="B123"/>
      <c r="C123"/>
      <c r="D123"/>
      <c r="E123"/>
      <c r="F123" t="s">
        <v>1165</v>
      </c>
      <c r="G123" s="57">
        <v>0.18249921500682831</v>
      </c>
      <c r="H123" s="58">
        <v>2.4305555555555555E-4</v>
      </c>
    </row>
    <row r="124" spans="1:8">
      <c r="A124"/>
      <c r="B124"/>
      <c r="C124"/>
      <c r="D124"/>
      <c r="E124"/>
      <c r="F124" t="s">
        <v>1166</v>
      </c>
      <c r="G124" s="57">
        <v>0.18306021392345428</v>
      </c>
      <c r="H124" s="58">
        <v>2.6620370370370372E-4</v>
      </c>
    </row>
    <row r="125" spans="1:8">
      <c r="A125"/>
      <c r="B125"/>
      <c r="C125"/>
      <c r="D125"/>
      <c r="E125" t="s">
        <v>656</v>
      </c>
      <c r="F125" t="s">
        <v>1167</v>
      </c>
      <c r="G125" s="57">
        <v>0.58104774355888367</v>
      </c>
      <c r="H125" s="58">
        <v>1.0300925925925924E-3</v>
      </c>
    </row>
    <row r="126" spans="1:8">
      <c r="A126"/>
      <c r="B126"/>
      <c r="C126"/>
      <c r="D126"/>
      <c r="E126"/>
      <c r="F126" t="s">
        <v>1168</v>
      </c>
      <c r="G126" s="57">
        <v>0.302339106798172</v>
      </c>
      <c r="H126" s="58">
        <v>5.0925925925925921E-4</v>
      </c>
    </row>
    <row r="127" spans="1:8">
      <c r="A127"/>
      <c r="B127"/>
      <c r="C127"/>
      <c r="D127"/>
      <c r="E127"/>
      <c r="F127" t="s">
        <v>1169</v>
      </c>
      <c r="G127" s="57">
        <v>0.27915593981742859</v>
      </c>
      <c r="H127" s="58">
        <v>3.8194444444444446E-4</v>
      </c>
    </row>
    <row r="128" spans="1:8">
      <c r="A128"/>
      <c r="B128"/>
      <c r="C128"/>
      <c r="D128"/>
      <c r="E128"/>
      <c r="F128" t="s">
        <v>1170</v>
      </c>
      <c r="G128" s="57">
        <v>0.32882252335548401</v>
      </c>
      <c r="H128" s="58">
        <v>4.9768518518518521E-4</v>
      </c>
    </row>
    <row r="129" spans="1:8">
      <c r="A129"/>
      <c r="B129"/>
      <c r="C129"/>
      <c r="D129"/>
      <c r="E129"/>
      <c r="F129" t="s">
        <v>1171</v>
      </c>
      <c r="G129" s="57">
        <v>0.88690364360809326</v>
      </c>
      <c r="H129" s="58">
        <v>1.8287037037037039E-3</v>
      </c>
    </row>
    <row r="130" spans="1:8">
      <c r="A130"/>
      <c r="B130"/>
      <c r="C130"/>
      <c r="D130"/>
      <c r="E130"/>
      <c r="F130" t="s">
        <v>1172</v>
      </c>
      <c r="G130" s="57">
        <v>0.60818305611610413</v>
      </c>
      <c r="H130" s="58">
        <v>1.2731481481481483E-3</v>
      </c>
    </row>
    <row r="131" spans="1:8">
      <c r="A131"/>
      <c r="B131"/>
      <c r="C131"/>
      <c r="D131"/>
      <c r="E131"/>
      <c r="F131" t="s">
        <v>1173</v>
      </c>
      <c r="G131" s="57">
        <v>4.1339889168739319E-2</v>
      </c>
      <c r="H131" s="58">
        <v>1.5046296296296297E-4</v>
      </c>
    </row>
    <row r="132" spans="1:8">
      <c r="A132"/>
      <c r="B132"/>
      <c r="C132"/>
      <c r="D132"/>
      <c r="E132" t="s">
        <v>685</v>
      </c>
      <c r="F132" t="s">
        <v>1141</v>
      </c>
      <c r="G132" s="57">
        <v>2.8372271117405035E-5</v>
      </c>
      <c r="H132" s="58">
        <v>0</v>
      </c>
    </row>
    <row r="133" spans="1:8">
      <c r="A133"/>
      <c r="B133"/>
      <c r="C133"/>
      <c r="D133"/>
      <c r="E133"/>
      <c r="F133" t="s">
        <v>1174</v>
      </c>
      <c r="G133" s="57">
        <v>1.1395020555937663E-4</v>
      </c>
      <c r="H133" s="58">
        <v>0</v>
      </c>
    </row>
    <row r="134" spans="1:8">
      <c r="A134"/>
      <c r="B134"/>
      <c r="C134"/>
      <c r="D134"/>
      <c r="E134"/>
      <c r="F134" t="s">
        <v>1175</v>
      </c>
      <c r="G134" s="57">
        <v>5.5888318456709385E-5</v>
      </c>
      <c r="H134" s="58">
        <v>0</v>
      </c>
    </row>
    <row r="135" spans="1:8">
      <c r="A135"/>
      <c r="B135"/>
      <c r="C135"/>
      <c r="D135"/>
      <c r="E135"/>
      <c r="F135" t="s">
        <v>1176</v>
      </c>
      <c r="G135" s="57">
        <v>6.1572784034069628E-5</v>
      </c>
      <c r="H135" s="58">
        <v>0</v>
      </c>
    </row>
    <row r="136" spans="1:8">
      <c r="A136"/>
      <c r="B136"/>
      <c r="C136"/>
      <c r="D136"/>
      <c r="E136"/>
      <c r="F136" t="s">
        <v>1177</v>
      </c>
      <c r="G136" s="57">
        <v>8.3210186858195812E-5</v>
      </c>
      <c r="H136" s="58">
        <v>0</v>
      </c>
    </row>
    <row r="137" spans="1:8">
      <c r="A137"/>
      <c r="B137"/>
      <c r="C137"/>
      <c r="D137"/>
      <c r="E137"/>
      <c r="F137" t="s">
        <v>1178</v>
      </c>
      <c r="G137" s="57">
        <v>2.1849546465091407E-4</v>
      </c>
      <c r="H137" s="58">
        <v>0</v>
      </c>
    </row>
    <row r="138" spans="1:8">
      <c r="A138"/>
      <c r="B138"/>
      <c r="C138"/>
      <c r="D138"/>
      <c r="E138"/>
      <c r="F138" t="s">
        <v>1179</v>
      </c>
      <c r="G138" s="57">
        <v>1.251999638043344E-4</v>
      </c>
      <c r="H138" s="58">
        <v>0</v>
      </c>
    </row>
    <row r="139" spans="1:8">
      <c r="A139"/>
      <c r="B139"/>
      <c r="C139"/>
      <c r="D139"/>
      <c r="E139"/>
      <c r="F139" t="s">
        <v>1180</v>
      </c>
      <c r="G139" s="57">
        <v>4.6834058593958616E-4</v>
      </c>
      <c r="H139" s="58">
        <v>0</v>
      </c>
    </row>
    <row r="140" spans="1:8">
      <c r="A140"/>
      <c r="B140"/>
      <c r="C140"/>
      <c r="D140"/>
      <c r="E140" t="s">
        <v>733</v>
      </c>
      <c r="F140" t="s">
        <v>1181</v>
      </c>
      <c r="G140" s="57">
        <v>1.1045602150261402E-4</v>
      </c>
      <c r="H140" s="58">
        <v>0</v>
      </c>
    </row>
    <row r="141" spans="1:8">
      <c r="A141"/>
      <c r="B141"/>
      <c r="C141"/>
      <c r="D141"/>
      <c r="E141" t="s">
        <v>754</v>
      </c>
      <c r="F141" t="s">
        <v>1144</v>
      </c>
      <c r="G141" s="57">
        <v>0.44335061311721802</v>
      </c>
      <c r="H141" s="58">
        <v>1.0416666666666667E-3</v>
      </c>
    </row>
    <row r="142" spans="1:8">
      <c r="A142"/>
      <c r="B142"/>
      <c r="C142"/>
      <c r="D142"/>
      <c r="E142"/>
      <c r="F142" t="s">
        <v>1155</v>
      </c>
      <c r="G142" s="57">
        <v>0.20377915352582932</v>
      </c>
      <c r="H142" s="58">
        <v>1.2384259259259258E-3</v>
      </c>
    </row>
    <row r="143" spans="1:8">
      <c r="A143"/>
      <c r="B143"/>
      <c r="C143"/>
      <c r="D143"/>
      <c r="E143"/>
      <c r="F143" t="s">
        <v>1156</v>
      </c>
      <c r="G143" s="57">
        <v>7.4447441846132278E-2</v>
      </c>
      <c r="H143" s="58">
        <v>3.0092592592592595E-4</v>
      </c>
    </row>
    <row r="144" spans="1:8">
      <c r="A144"/>
      <c r="B144"/>
      <c r="C144"/>
      <c r="D144"/>
      <c r="E144"/>
      <c r="F144" t="s">
        <v>1182</v>
      </c>
      <c r="G144" s="57">
        <v>0.13309487700462341</v>
      </c>
      <c r="H144" s="58">
        <v>3.8194444444444446E-4</v>
      </c>
    </row>
    <row r="145" spans="1:8">
      <c r="A145"/>
      <c r="B145"/>
      <c r="C145"/>
      <c r="D145"/>
      <c r="E145"/>
      <c r="F145" t="s">
        <v>1183</v>
      </c>
      <c r="G145" s="57">
        <v>0.15137545764446259</v>
      </c>
      <c r="H145" s="58">
        <v>2.8935185185185184E-4</v>
      </c>
    </row>
    <row r="146" spans="1:8">
      <c r="A146"/>
      <c r="B146"/>
      <c r="C146"/>
      <c r="D146"/>
      <c r="E146"/>
      <c r="F146" t="s">
        <v>1184</v>
      </c>
      <c r="G146" s="57">
        <v>1.7263516187667847</v>
      </c>
      <c r="H146" s="58">
        <v>2.7777777777777779E-3</v>
      </c>
    </row>
    <row r="147" spans="1:8">
      <c r="A147"/>
      <c r="B147"/>
      <c r="C147"/>
      <c r="D147"/>
      <c r="E147"/>
      <c r="F147" t="s">
        <v>1185</v>
      </c>
      <c r="G147" s="57">
        <v>7.7874600887298584E-2</v>
      </c>
      <c r="H147" s="58">
        <v>3.0092592592592595E-4</v>
      </c>
    </row>
    <row r="148" spans="1:8">
      <c r="A148"/>
      <c r="B148"/>
      <c r="C148"/>
      <c r="D148"/>
      <c r="E148"/>
      <c r="F148" t="s">
        <v>1186</v>
      </c>
      <c r="G148" s="57">
        <v>0.63467258214950562</v>
      </c>
      <c r="H148" s="58">
        <v>1.712962962962963E-3</v>
      </c>
    </row>
    <row r="149" spans="1:8">
      <c r="A149"/>
      <c r="B149"/>
      <c r="C149"/>
      <c r="D149"/>
      <c r="E149"/>
      <c r="F149" t="s">
        <v>1187</v>
      </c>
      <c r="G149" s="57">
        <v>0.23600612208247185</v>
      </c>
      <c r="H149" s="58">
        <v>9.3749999999999997E-4</v>
      </c>
    </row>
    <row r="150" spans="1:8">
      <c r="A150"/>
      <c r="B150"/>
      <c r="C150"/>
      <c r="D150"/>
      <c r="E150"/>
      <c r="F150" t="s">
        <v>1188</v>
      </c>
      <c r="G150" s="57">
        <v>2.6601267978549004E-2</v>
      </c>
      <c r="H150" s="58">
        <v>1.1574074074074075E-4</v>
      </c>
    </row>
    <row r="151" spans="1:8">
      <c r="A151"/>
      <c r="B151"/>
      <c r="C151"/>
      <c r="D151"/>
      <c r="E151"/>
      <c r="F151" t="s">
        <v>1189</v>
      </c>
      <c r="G151" s="57">
        <v>0.98460978269577026</v>
      </c>
      <c r="H151" s="58">
        <v>2.2337962962962962E-3</v>
      </c>
    </row>
    <row r="152" spans="1:8">
      <c r="A152"/>
      <c r="B152"/>
      <c r="C152"/>
      <c r="D152"/>
      <c r="E152"/>
      <c r="F152" t="s">
        <v>1190</v>
      </c>
      <c r="G152" s="57">
        <v>7.740594819188118E-2</v>
      </c>
      <c r="H152" s="58">
        <v>2.6620370370370372E-4</v>
      </c>
    </row>
    <row r="153" spans="1:8">
      <c r="A153"/>
      <c r="B153"/>
      <c r="C153"/>
      <c r="D153"/>
      <c r="E153"/>
      <c r="F153" t="s">
        <v>1191</v>
      </c>
      <c r="G153" s="57">
        <v>0.39257695898413658</v>
      </c>
      <c r="H153" s="58">
        <v>1.0879629629629629E-3</v>
      </c>
    </row>
    <row r="154" spans="1:8">
      <c r="A154"/>
      <c r="B154"/>
      <c r="C154"/>
      <c r="D154"/>
      <c r="E154"/>
      <c r="F154" t="s">
        <v>1192</v>
      </c>
      <c r="G154" s="57">
        <v>0.23783670365810394</v>
      </c>
      <c r="H154" s="58">
        <v>8.4490740740740739E-4</v>
      </c>
    </row>
    <row r="155" spans="1:8">
      <c r="A155"/>
      <c r="B155"/>
      <c r="C155"/>
      <c r="D155"/>
      <c r="E155" t="s">
        <v>757</v>
      </c>
      <c r="F155" t="s">
        <v>1145</v>
      </c>
      <c r="G155" s="57">
        <v>0.93262577150017023</v>
      </c>
      <c r="H155" s="58">
        <v>1.0185185185185184E-3</v>
      </c>
    </row>
    <row r="156" spans="1:8">
      <c r="A156"/>
      <c r="B156"/>
      <c r="C156"/>
      <c r="D156"/>
      <c r="E156"/>
      <c r="F156" t="s">
        <v>1157</v>
      </c>
      <c r="G156" s="57">
        <v>0.50583939161151648</v>
      </c>
      <c r="H156" s="58">
        <v>5.3240740740740744E-4</v>
      </c>
    </row>
    <row r="157" spans="1:8">
      <c r="A157"/>
      <c r="B157"/>
      <c r="C157"/>
      <c r="D157"/>
      <c r="E157" t="s">
        <v>762</v>
      </c>
      <c r="F157" t="s">
        <v>1146</v>
      </c>
      <c r="G157" s="57">
        <v>1.1799148074351251</v>
      </c>
      <c r="H157" s="58">
        <v>1.655092592592593E-3</v>
      </c>
    </row>
    <row r="158" spans="1:8">
      <c r="A158"/>
      <c r="B158"/>
      <c r="C158"/>
      <c r="D158"/>
      <c r="E158"/>
      <c r="F158" t="s">
        <v>1159</v>
      </c>
      <c r="G158" s="57">
        <v>0.77155493944883347</v>
      </c>
      <c r="H158" s="58">
        <v>9.3750000000000007E-4</v>
      </c>
    </row>
    <row r="159" spans="1:8">
      <c r="A159"/>
      <c r="B159"/>
      <c r="C159"/>
      <c r="D159"/>
      <c r="E159"/>
      <c r="F159" t="s">
        <v>1160</v>
      </c>
      <c r="G159" s="57">
        <v>1.2135655004531145</v>
      </c>
      <c r="H159" s="58">
        <v>1.5856481481481485E-3</v>
      </c>
    </row>
    <row r="160" spans="1:8">
      <c r="A160"/>
      <c r="B160"/>
      <c r="C160"/>
      <c r="D160"/>
      <c r="E160"/>
      <c r="F160" t="s">
        <v>1161</v>
      </c>
      <c r="G160" s="57">
        <v>1.4240410290658474</v>
      </c>
      <c r="H160" s="58">
        <v>1.8634259259259261E-3</v>
      </c>
    </row>
    <row r="161" spans="1:8">
      <c r="A161"/>
      <c r="B161"/>
      <c r="C161"/>
      <c r="D161"/>
      <c r="E161"/>
      <c r="F161" t="s">
        <v>1193</v>
      </c>
      <c r="G161" s="57">
        <v>0.39222599565982819</v>
      </c>
      <c r="H161" s="58">
        <v>4.6296296296296293E-4</v>
      </c>
    </row>
    <row r="162" spans="1:8">
      <c r="A162"/>
      <c r="B162"/>
      <c r="C162"/>
      <c r="D162"/>
      <c r="E162" t="s">
        <v>837</v>
      </c>
      <c r="F162" t="s">
        <v>1194</v>
      </c>
      <c r="G162" s="57">
        <v>66.775444537401199</v>
      </c>
      <c r="H162" s="58">
        <v>0.24384259259259261</v>
      </c>
    </row>
    <row r="163" spans="1:8">
      <c r="A163" t="s">
        <v>840</v>
      </c>
      <c r="B163">
        <v>0</v>
      </c>
      <c r="C163">
        <v>0</v>
      </c>
      <c r="D163">
        <v>0</v>
      </c>
      <c r="E163" t="s">
        <v>614</v>
      </c>
      <c r="F163" t="s">
        <v>1097</v>
      </c>
      <c r="G163" s="57">
        <v>0.21172148757614195</v>
      </c>
      <c r="H163" s="58">
        <v>0.17951388888888889</v>
      </c>
    </row>
    <row r="164" spans="1:8">
      <c r="A164"/>
      <c r="B164"/>
      <c r="C164"/>
      <c r="D164"/>
      <c r="E164" t="s">
        <v>645</v>
      </c>
      <c r="F164" t="s">
        <v>1102</v>
      </c>
      <c r="G164" s="57">
        <v>4.194047674536705E-2</v>
      </c>
      <c r="H164" s="58">
        <v>9.2592592592592588E-5</v>
      </c>
    </row>
    <row r="165" spans="1:8">
      <c r="A165"/>
      <c r="B165"/>
      <c r="C165"/>
      <c r="D165"/>
      <c r="E165"/>
      <c r="F165" t="s">
        <v>1106</v>
      </c>
      <c r="G165" s="57">
        <v>0.60346892848610878</v>
      </c>
      <c r="H165" s="58">
        <v>2.0138888888888888E-3</v>
      </c>
    </row>
    <row r="166" spans="1:8">
      <c r="A166"/>
      <c r="B166"/>
      <c r="C166"/>
      <c r="D166"/>
      <c r="E166"/>
      <c r="F166" t="s">
        <v>1130</v>
      </c>
      <c r="G166" s="57">
        <v>0.15567073598504066</v>
      </c>
      <c r="H166" s="58">
        <v>6.134259259259259E-4</v>
      </c>
    </row>
    <row r="167" spans="1:8">
      <c r="A167"/>
      <c r="B167"/>
      <c r="C167"/>
      <c r="D167"/>
      <c r="E167"/>
      <c r="F167" t="s">
        <v>1132</v>
      </c>
      <c r="G167" s="57">
        <v>0.59555504703894258</v>
      </c>
      <c r="H167" s="58">
        <v>2.2106481481481482E-3</v>
      </c>
    </row>
    <row r="168" spans="1:8">
      <c r="A168"/>
      <c r="B168"/>
      <c r="C168"/>
      <c r="D168"/>
      <c r="E168"/>
      <c r="F168" t="s">
        <v>1133</v>
      </c>
      <c r="G168" s="57">
        <v>0.47255958802998066</v>
      </c>
      <c r="H168" s="58">
        <v>1.7129629629629626E-3</v>
      </c>
    </row>
    <row r="169" spans="1:8">
      <c r="A169"/>
      <c r="B169"/>
      <c r="C169"/>
      <c r="D169"/>
      <c r="E169"/>
      <c r="F169" t="s">
        <v>1135</v>
      </c>
      <c r="G169" s="57">
        <v>0.80824726819992065</v>
      </c>
      <c r="H169" s="58">
        <v>1.6782407407407406E-3</v>
      </c>
    </row>
    <row r="170" spans="1:8">
      <c r="A170"/>
      <c r="B170"/>
      <c r="C170"/>
      <c r="D170"/>
      <c r="E170"/>
      <c r="F170" t="s">
        <v>1137</v>
      </c>
      <c r="G170" s="57">
        <v>0.53204405307769775</v>
      </c>
      <c r="H170" s="58">
        <v>1.0763888888888889E-3</v>
      </c>
    </row>
    <row r="171" spans="1:8">
      <c r="A171"/>
      <c r="B171"/>
      <c r="C171"/>
      <c r="D171"/>
      <c r="E171"/>
      <c r="F171" t="s">
        <v>1138</v>
      </c>
      <c r="G171" s="57">
        <v>0.18378856778144836</v>
      </c>
      <c r="H171" s="58">
        <v>3.1250000000000001E-4</v>
      </c>
    </row>
    <row r="172" spans="1:8">
      <c r="A172"/>
      <c r="B172"/>
      <c r="C172"/>
      <c r="D172"/>
      <c r="E172"/>
      <c r="F172" t="s">
        <v>1140</v>
      </c>
      <c r="G172" s="57">
        <v>6.4304627478122711E-2</v>
      </c>
      <c r="H172" s="58">
        <v>1.6203703703703703E-4</v>
      </c>
    </row>
    <row r="173" spans="1:8">
      <c r="A173"/>
      <c r="B173"/>
      <c r="C173"/>
      <c r="D173"/>
      <c r="E173"/>
      <c r="F173" t="s">
        <v>1147</v>
      </c>
      <c r="G173" s="57">
        <v>0.40666851401329041</v>
      </c>
      <c r="H173" s="58">
        <v>1.2847222222222223E-3</v>
      </c>
    </row>
    <row r="174" spans="1:8">
      <c r="A174"/>
      <c r="B174"/>
      <c r="C174"/>
      <c r="D174"/>
      <c r="E174"/>
      <c r="F174" t="s">
        <v>1148</v>
      </c>
      <c r="G174" s="57">
        <v>0.31496743857860565</v>
      </c>
      <c r="H174" s="58">
        <v>6.018518518518519E-4</v>
      </c>
    </row>
    <row r="175" spans="1:8">
      <c r="A175"/>
      <c r="B175"/>
      <c r="C175"/>
      <c r="D175"/>
      <c r="E175"/>
      <c r="F175" t="s">
        <v>1165</v>
      </c>
      <c r="G175" s="57">
        <v>0.12694023549556732</v>
      </c>
      <c r="H175" s="58">
        <v>2.4305555555555555E-4</v>
      </c>
    </row>
    <row r="176" spans="1:8">
      <c r="A176"/>
      <c r="B176"/>
      <c r="C176"/>
      <c r="D176"/>
      <c r="E176"/>
      <c r="F176" t="s">
        <v>1195</v>
      </c>
      <c r="G176" s="57">
        <v>0.36842378973960876</v>
      </c>
      <c r="H176" s="58">
        <v>5.7870370370370367E-4</v>
      </c>
    </row>
    <row r="177" spans="1:8">
      <c r="A177"/>
      <c r="B177"/>
      <c r="C177"/>
      <c r="D177"/>
      <c r="E177"/>
      <c r="F177" t="s">
        <v>1196</v>
      </c>
      <c r="G177" s="57">
        <v>0.18434272706508636</v>
      </c>
      <c r="H177" s="58">
        <v>3.1250000000000001E-4</v>
      </c>
    </row>
    <row r="178" spans="1:8">
      <c r="A178"/>
      <c r="B178"/>
      <c r="C178"/>
      <c r="D178"/>
      <c r="E178"/>
      <c r="F178" t="s">
        <v>1197</v>
      </c>
      <c r="G178" s="57">
        <v>0.18322302401065826</v>
      </c>
      <c r="H178" s="58">
        <v>3.0092592592592595E-4</v>
      </c>
    </row>
    <row r="179" spans="1:8">
      <c r="A179"/>
      <c r="B179"/>
      <c r="C179"/>
      <c r="D179"/>
      <c r="E179"/>
      <c r="F179" t="s">
        <v>1198</v>
      </c>
      <c r="G179" s="57">
        <v>0.53662317991256714</v>
      </c>
      <c r="H179" s="58">
        <v>6.9444444444444447E-4</v>
      </c>
    </row>
    <row r="180" spans="1:8">
      <c r="A180"/>
      <c r="B180"/>
      <c r="C180"/>
      <c r="D180"/>
      <c r="E180" t="s">
        <v>656</v>
      </c>
      <c r="F180" t="s">
        <v>1168</v>
      </c>
      <c r="G180" s="57">
        <v>0.31852486729621887</v>
      </c>
      <c r="H180" s="58">
        <v>5.9027777777777778E-4</v>
      </c>
    </row>
    <row r="181" spans="1:8">
      <c r="A181"/>
      <c r="B181"/>
      <c r="C181"/>
      <c r="D181"/>
      <c r="E181"/>
      <c r="F181" t="s">
        <v>1199</v>
      </c>
      <c r="G181" s="57">
        <v>0.30702447891235352</v>
      </c>
      <c r="H181" s="58">
        <v>6.8287037037037036E-4</v>
      </c>
    </row>
    <row r="182" spans="1:8">
      <c r="A182"/>
      <c r="B182"/>
      <c r="C182"/>
      <c r="D182"/>
      <c r="E182"/>
      <c r="F182" t="s">
        <v>1200</v>
      </c>
      <c r="G182" s="57">
        <v>2.1330424547195435</v>
      </c>
      <c r="H182" s="58">
        <v>2.9282407407407408E-3</v>
      </c>
    </row>
    <row r="183" spans="1:8">
      <c r="A183"/>
      <c r="B183"/>
      <c r="C183"/>
      <c r="D183"/>
      <c r="E183" t="s">
        <v>685</v>
      </c>
      <c r="F183" t="s">
        <v>1201</v>
      </c>
      <c r="G183" s="57">
        <v>8.8062835857272148E-5</v>
      </c>
      <c r="H183" s="58">
        <v>0</v>
      </c>
    </row>
    <row r="184" spans="1:8">
      <c r="A184"/>
      <c r="B184"/>
      <c r="C184"/>
      <c r="D184"/>
      <c r="E184" t="s">
        <v>754</v>
      </c>
      <c r="F184" t="s">
        <v>1185</v>
      </c>
      <c r="G184" s="57">
        <v>8.4825165569782257E-2</v>
      </c>
      <c r="H184" s="58">
        <v>2.4305555555555555E-4</v>
      </c>
    </row>
    <row r="185" spans="1:8">
      <c r="A185"/>
      <c r="B185"/>
      <c r="C185"/>
      <c r="D185"/>
      <c r="E185" t="s">
        <v>757</v>
      </c>
      <c r="F185" t="s">
        <v>1145</v>
      </c>
      <c r="G185" s="57">
        <v>0.75234768912196159</v>
      </c>
      <c r="H185" s="58">
        <v>8.1018518518518538E-4</v>
      </c>
    </row>
    <row r="186" spans="1:8">
      <c r="A186"/>
      <c r="B186"/>
      <c r="C186"/>
      <c r="D186"/>
      <c r="E186"/>
      <c r="F186" t="s">
        <v>1157</v>
      </c>
      <c r="G186" s="57">
        <v>1.4984577018767595</v>
      </c>
      <c r="H186" s="58">
        <v>1.5740740740740739E-3</v>
      </c>
    </row>
    <row r="187" spans="1:8">
      <c r="A187"/>
      <c r="B187"/>
      <c r="C187"/>
      <c r="D187"/>
      <c r="E187"/>
      <c r="F187" t="s">
        <v>1158</v>
      </c>
      <c r="G187" s="57">
        <v>0.72926520556211472</v>
      </c>
      <c r="H187" s="58">
        <v>7.2916666666666659E-4</v>
      </c>
    </row>
    <row r="188" spans="1:8">
      <c r="A188"/>
      <c r="B188"/>
      <c r="C188"/>
      <c r="D188"/>
      <c r="E188"/>
      <c r="F188" t="s">
        <v>1202</v>
      </c>
      <c r="G188" s="57">
        <v>0.27316024154424667</v>
      </c>
      <c r="H188" s="58">
        <v>2.7777777777777778E-4</v>
      </c>
    </row>
    <row r="189" spans="1:8">
      <c r="A189"/>
      <c r="B189"/>
      <c r="C189"/>
      <c r="D189"/>
      <c r="E189"/>
      <c r="F189" t="s">
        <v>1203</v>
      </c>
      <c r="G189" s="57">
        <v>0.87236754596233368</v>
      </c>
      <c r="H189" s="58">
        <v>8.7962962962962962E-4</v>
      </c>
    </row>
    <row r="190" spans="1:8">
      <c r="A190"/>
      <c r="B190"/>
      <c r="C190"/>
      <c r="D190"/>
      <c r="E190"/>
      <c r="F190" t="s">
        <v>1204</v>
      </c>
      <c r="G190" s="57">
        <v>1.1339008659124374</v>
      </c>
      <c r="H190" s="58">
        <v>1.0995370370370371E-3</v>
      </c>
    </row>
    <row r="191" spans="1:8">
      <c r="A191"/>
      <c r="B191"/>
      <c r="C191"/>
      <c r="D191"/>
      <c r="E191"/>
      <c r="F191" t="s">
        <v>1205</v>
      </c>
      <c r="G191" s="57">
        <v>0.13719680532813072</v>
      </c>
      <c r="H191" s="58">
        <v>1.3888888888888889E-4</v>
      </c>
    </row>
    <row r="192" spans="1:8">
      <c r="A192"/>
      <c r="B192"/>
      <c r="C192"/>
      <c r="D192"/>
      <c r="E192"/>
      <c r="F192" t="s">
        <v>1206</v>
      </c>
      <c r="G192" s="57">
        <v>9.3482151627540588E-2</v>
      </c>
      <c r="H192" s="58">
        <v>9.2592592592592588E-5</v>
      </c>
    </row>
    <row r="193" spans="1:8">
      <c r="A193"/>
      <c r="B193"/>
      <c r="C193"/>
      <c r="D193"/>
      <c r="E193" t="s">
        <v>762</v>
      </c>
      <c r="F193" t="s">
        <v>1146</v>
      </c>
      <c r="G193" s="57">
        <v>0.34137357724830508</v>
      </c>
      <c r="H193" s="58">
        <v>4.5138888888888892E-4</v>
      </c>
    </row>
    <row r="194" spans="1:8">
      <c r="A194"/>
      <c r="B194"/>
      <c r="C194"/>
      <c r="D194"/>
      <c r="E194"/>
      <c r="F194" t="s">
        <v>1159</v>
      </c>
      <c r="G194" s="57">
        <v>1.8005973976105452</v>
      </c>
      <c r="H194" s="58">
        <v>2.1759259259259258E-3</v>
      </c>
    </row>
    <row r="195" spans="1:8">
      <c r="A195"/>
      <c r="B195"/>
      <c r="C195"/>
      <c r="D195"/>
      <c r="E195"/>
      <c r="F195" t="s">
        <v>1160</v>
      </c>
      <c r="G195" s="57">
        <v>0.53118011355400085</v>
      </c>
      <c r="H195" s="58">
        <v>7.0601851851851847E-4</v>
      </c>
    </row>
    <row r="196" spans="1:8">
      <c r="A196"/>
      <c r="B196"/>
      <c r="C196"/>
      <c r="D196"/>
      <c r="E196"/>
      <c r="F196" t="s">
        <v>1161</v>
      </c>
      <c r="G196" s="57">
        <v>1.5784140080213547</v>
      </c>
      <c r="H196" s="58">
        <v>2.0138888888888893E-3</v>
      </c>
    </row>
    <row r="197" spans="1:8">
      <c r="A197"/>
      <c r="B197"/>
      <c r="C197"/>
      <c r="D197"/>
      <c r="E197"/>
      <c r="F197" t="s">
        <v>1193</v>
      </c>
      <c r="G197" s="57">
        <v>0.49996732920408249</v>
      </c>
      <c r="H197" s="58">
        <v>5.6712962962962967E-4</v>
      </c>
    </row>
    <row r="198" spans="1:8">
      <c r="A198"/>
      <c r="B198"/>
      <c r="C198"/>
      <c r="D198"/>
      <c r="E198"/>
      <c r="F198" t="s">
        <v>1207</v>
      </c>
      <c r="G198" s="57">
        <v>0.65908387303352356</v>
      </c>
      <c r="H198" s="58">
        <v>7.2916666666666659E-4</v>
      </c>
    </row>
    <row r="199" spans="1:8">
      <c r="A199"/>
      <c r="B199"/>
      <c r="C199"/>
      <c r="D199"/>
      <c r="E199"/>
      <c r="F199" t="s">
        <v>1208</v>
      </c>
      <c r="G199" s="57">
        <v>1.0919450558722019</v>
      </c>
      <c r="H199" s="58">
        <v>1.423611111111111E-3</v>
      </c>
    </row>
    <row r="200" spans="1:8">
      <c r="A200"/>
      <c r="B200"/>
      <c r="C200"/>
      <c r="D200"/>
      <c r="E200"/>
      <c r="F200" t="s">
        <v>1209</v>
      </c>
      <c r="G200" s="57">
        <v>1.5620077550411224</v>
      </c>
      <c r="H200" s="58">
        <v>1.9444444444444442E-3</v>
      </c>
    </row>
    <row r="201" spans="1:8">
      <c r="A201"/>
      <c r="B201"/>
      <c r="C201"/>
      <c r="D201"/>
      <c r="E201"/>
      <c r="F201" t="s">
        <v>1210</v>
      </c>
      <c r="G201" s="57">
        <v>0.49797592125833035</v>
      </c>
      <c r="H201" s="58">
        <v>6.8287037037037036E-4</v>
      </c>
    </row>
    <row r="202" spans="1:8">
      <c r="A202"/>
      <c r="B202"/>
      <c r="C202"/>
      <c r="D202"/>
      <c r="E202"/>
      <c r="F202" t="s">
        <v>1211</v>
      </c>
      <c r="G202" s="57">
        <v>1.4335337653756142</v>
      </c>
      <c r="H202" s="58">
        <v>1.6319444444444443E-3</v>
      </c>
    </row>
    <row r="203" spans="1:8">
      <c r="A203"/>
      <c r="B203"/>
      <c r="C203"/>
      <c r="D203"/>
      <c r="E203"/>
      <c r="F203" t="s">
        <v>1212</v>
      </c>
      <c r="G203" s="57">
        <v>0.30267438292503357</v>
      </c>
      <c r="H203" s="58">
        <v>3.0092592592592595E-4</v>
      </c>
    </row>
    <row r="204" spans="1:8">
      <c r="A204"/>
      <c r="B204"/>
      <c r="C204"/>
      <c r="D204"/>
      <c r="E204"/>
      <c r="F204" t="s">
        <v>1213</v>
      </c>
      <c r="G204" s="57">
        <v>0.3013835996389389</v>
      </c>
      <c r="H204" s="58">
        <v>3.3564814814814818E-4</v>
      </c>
    </row>
    <row r="205" spans="1:8">
      <c r="A205"/>
      <c r="B205"/>
      <c r="C205"/>
      <c r="D205"/>
      <c r="E205"/>
      <c r="F205" t="s">
        <v>1214</v>
      </c>
      <c r="G205" s="57">
        <v>0.67320889607071877</v>
      </c>
      <c r="H205" s="58">
        <v>7.8703703703703694E-4</v>
      </c>
    </row>
    <row r="206" spans="1:8">
      <c r="A206"/>
      <c r="B206"/>
      <c r="C206"/>
      <c r="D206"/>
      <c r="E206"/>
      <c r="F206" t="s">
        <v>1215</v>
      </c>
      <c r="G206" s="57">
        <v>0.29939433932304382</v>
      </c>
      <c r="H206" s="58">
        <v>3.3564814814814812E-4</v>
      </c>
    </row>
    <row r="207" spans="1:8">
      <c r="A207"/>
      <c r="B207"/>
      <c r="C207"/>
      <c r="D207"/>
      <c r="E207"/>
      <c r="F207" t="s">
        <v>1216</v>
      </c>
      <c r="G207" s="57">
        <v>8.2933239638805389E-2</v>
      </c>
      <c r="H207" s="58">
        <v>1.0416666666666667E-4</v>
      </c>
    </row>
    <row r="208" spans="1:8">
      <c r="A208" t="s">
        <v>858</v>
      </c>
      <c r="B208">
        <v>0</v>
      </c>
      <c r="C208">
        <v>0</v>
      </c>
      <c r="D208">
        <v>0</v>
      </c>
      <c r="E208" t="s">
        <v>614</v>
      </c>
      <c r="F208" t="s">
        <v>1097</v>
      </c>
      <c r="G208" s="57">
        <v>3.5394448646911769E-2</v>
      </c>
      <c r="H208" s="58">
        <v>6.6041666666666665E-2</v>
      </c>
    </row>
    <row r="209" spans="1:8">
      <c r="A209"/>
      <c r="B209"/>
      <c r="C209"/>
      <c r="D209"/>
      <c r="E209" t="s">
        <v>645</v>
      </c>
      <c r="F209" t="s">
        <v>1106</v>
      </c>
      <c r="G209" s="57">
        <v>0.23864990472793579</v>
      </c>
      <c r="H209" s="58">
        <v>7.8703703703703705E-4</v>
      </c>
    </row>
    <row r="210" spans="1:8">
      <c r="A210"/>
      <c r="B210"/>
      <c r="C210"/>
      <c r="D210"/>
      <c r="E210"/>
      <c r="F210" t="s">
        <v>1129</v>
      </c>
      <c r="G210" s="57">
        <v>0.52248285710811615</v>
      </c>
      <c r="H210" s="58">
        <v>1.3310185185185185E-3</v>
      </c>
    </row>
    <row r="211" spans="1:8">
      <c r="A211"/>
      <c r="B211"/>
      <c r="C211"/>
      <c r="D211"/>
      <c r="E211"/>
      <c r="F211" t="s">
        <v>1130</v>
      </c>
      <c r="G211" s="57">
        <v>0.21606397326104343</v>
      </c>
      <c r="H211" s="58">
        <v>9.0277777777777784E-4</v>
      </c>
    </row>
    <row r="212" spans="1:8">
      <c r="A212"/>
      <c r="B212"/>
      <c r="C212"/>
      <c r="D212"/>
      <c r="E212"/>
      <c r="F212" t="s">
        <v>1131</v>
      </c>
      <c r="G212" s="57">
        <v>0.37074196338653564</v>
      </c>
      <c r="H212" s="58">
        <v>1.1226851851851851E-3</v>
      </c>
    </row>
    <row r="213" spans="1:8">
      <c r="A213"/>
      <c r="B213"/>
      <c r="C213"/>
      <c r="D213"/>
      <c r="E213"/>
      <c r="F213" t="s">
        <v>1132</v>
      </c>
      <c r="G213" s="57">
        <v>0.38820089213550091</v>
      </c>
      <c r="H213" s="58">
        <v>1.4467592592592594E-3</v>
      </c>
    </row>
    <row r="214" spans="1:8">
      <c r="A214"/>
      <c r="B214"/>
      <c r="C214"/>
      <c r="D214"/>
      <c r="E214"/>
      <c r="F214" t="s">
        <v>1133</v>
      </c>
      <c r="G214" s="57">
        <v>5.8768489398062229E-2</v>
      </c>
      <c r="H214" s="58">
        <v>2.199074074074074E-4</v>
      </c>
    </row>
    <row r="215" spans="1:8">
      <c r="A215"/>
      <c r="B215"/>
      <c r="C215"/>
      <c r="D215"/>
      <c r="E215"/>
      <c r="F215" t="s">
        <v>1134</v>
      </c>
      <c r="G215" s="57">
        <v>0.18372516334056854</v>
      </c>
      <c r="H215" s="58">
        <v>3.1250000000000001E-4</v>
      </c>
    </row>
    <row r="216" spans="1:8">
      <c r="A216"/>
      <c r="B216"/>
      <c r="C216"/>
      <c r="D216"/>
      <c r="E216"/>
      <c r="F216" t="s">
        <v>1135</v>
      </c>
      <c r="G216" s="57">
        <v>0.42309193313121796</v>
      </c>
      <c r="H216" s="58">
        <v>9.8379629629629642E-4</v>
      </c>
    </row>
    <row r="217" spans="1:8">
      <c r="A217"/>
      <c r="B217"/>
      <c r="C217"/>
      <c r="D217"/>
      <c r="E217"/>
      <c r="F217" t="s">
        <v>1136</v>
      </c>
      <c r="G217" s="57">
        <v>0.47597257047891617</v>
      </c>
      <c r="H217" s="58">
        <v>1.2037037037037038E-3</v>
      </c>
    </row>
    <row r="218" spans="1:8">
      <c r="A218"/>
      <c r="B218"/>
      <c r="C218"/>
      <c r="D218"/>
      <c r="E218"/>
      <c r="F218" t="s">
        <v>1137</v>
      </c>
      <c r="G218" s="57">
        <v>6.9877207279205322E-2</v>
      </c>
      <c r="H218" s="58">
        <v>1.3888888888888889E-4</v>
      </c>
    </row>
    <row r="219" spans="1:8">
      <c r="A219"/>
      <c r="B219"/>
      <c r="C219"/>
      <c r="D219"/>
      <c r="E219"/>
      <c r="F219" t="s">
        <v>1139</v>
      </c>
      <c r="G219" s="57">
        <v>2.2469980642199516E-2</v>
      </c>
      <c r="H219" s="58">
        <v>6.9444444444444444E-5</v>
      </c>
    </row>
    <row r="220" spans="1:8">
      <c r="A220"/>
      <c r="B220"/>
      <c r="C220"/>
      <c r="D220"/>
      <c r="E220"/>
      <c r="F220" t="s">
        <v>1140</v>
      </c>
      <c r="G220" s="57">
        <v>0.23002156615257263</v>
      </c>
      <c r="H220" s="58">
        <v>6.134259259259259E-4</v>
      </c>
    </row>
    <row r="221" spans="1:8">
      <c r="A221"/>
      <c r="B221"/>
      <c r="C221"/>
      <c r="D221"/>
      <c r="E221"/>
      <c r="F221" t="s">
        <v>1147</v>
      </c>
      <c r="G221" s="57">
        <v>5.9472441673278809E-2</v>
      </c>
      <c r="H221" s="58">
        <v>1.7361111111111112E-4</v>
      </c>
    </row>
    <row r="222" spans="1:8">
      <c r="A222"/>
      <c r="B222"/>
      <c r="C222"/>
      <c r="D222"/>
      <c r="E222"/>
      <c r="F222" t="s">
        <v>1148</v>
      </c>
      <c r="G222" s="57">
        <v>0.18426470458507538</v>
      </c>
      <c r="H222" s="58">
        <v>2.8935185185185184E-4</v>
      </c>
    </row>
    <row r="223" spans="1:8">
      <c r="A223"/>
      <c r="B223"/>
      <c r="C223"/>
      <c r="D223"/>
      <c r="E223"/>
      <c r="F223" t="s">
        <v>1217</v>
      </c>
      <c r="G223" s="57">
        <v>0.18414017558097839</v>
      </c>
      <c r="H223" s="58">
        <v>3.8194444444444446E-4</v>
      </c>
    </row>
    <row r="224" spans="1:8">
      <c r="A224"/>
      <c r="B224"/>
      <c r="C224"/>
      <c r="D224"/>
      <c r="E224"/>
      <c r="F224" t="s">
        <v>1218</v>
      </c>
      <c r="G224" s="57">
        <v>0.36711953580379486</v>
      </c>
      <c r="H224" s="58">
        <v>5.2083333333333333E-4</v>
      </c>
    </row>
    <row r="225" spans="1:8">
      <c r="A225"/>
      <c r="B225"/>
      <c r="C225"/>
      <c r="D225"/>
      <c r="E225" t="s">
        <v>656</v>
      </c>
      <c r="F225" t="s">
        <v>1167</v>
      </c>
      <c r="G225" s="57">
        <v>0.29778546094894409</v>
      </c>
      <c r="H225" s="58">
        <v>4.3981481481481481E-4</v>
      </c>
    </row>
    <row r="226" spans="1:8">
      <c r="A226"/>
      <c r="B226"/>
      <c r="C226"/>
      <c r="D226"/>
      <c r="E226"/>
      <c r="F226" t="s">
        <v>1168</v>
      </c>
      <c r="G226" s="57">
        <v>0.21370463073253632</v>
      </c>
      <c r="H226" s="58">
        <v>3.5879629629629629E-4</v>
      </c>
    </row>
    <row r="227" spans="1:8">
      <c r="A227"/>
      <c r="B227"/>
      <c r="C227"/>
      <c r="D227"/>
      <c r="E227"/>
      <c r="F227" t="s">
        <v>1171</v>
      </c>
      <c r="G227" s="57">
        <v>0.2219889909029007</v>
      </c>
      <c r="H227" s="58">
        <v>3.8194444444444446E-4</v>
      </c>
    </row>
    <row r="228" spans="1:8">
      <c r="A228"/>
      <c r="B228"/>
      <c r="C228"/>
      <c r="D228"/>
      <c r="E228"/>
      <c r="F228" t="s">
        <v>1199</v>
      </c>
      <c r="G228" s="57">
        <v>0.32408386468887329</v>
      </c>
      <c r="H228" s="58">
        <v>6.2500000000000001E-4</v>
      </c>
    </row>
    <row r="229" spans="1:8">
      <c r="A229"/>
      <c r="B229"/>
      <c r="C229"/>
      <c r="D229"/>
      <c r="E229"/>
      <c r="F229" t="s">
        <v>1219</v>
      </c>
      <c r="G229" s="57">
        <v>0.87761926651000977</v>
      </c>
      <c r="H229" s="58">
        <v>2.5347222222222221E-3</v>
      </c>
    </row>
    <row r="230" spans="1:8">
      <c r="A230"/>
      <c r="B230"/>
      <c r="C230"/>
      <c r="D230"/>
      <c r="E230"/>
      <c r="F230" t="s">
        <v>1220</v>
      </c>
      <c r="G230" s="57">
        <v>0.27985435724258423</v>
      </c>
      <c r="H230" s="58">
        <v>7.8703703703703705E-4</v>
      </c>
    </row>
    <row r="231" spans="1:8">
      <c r="A231"/>
      <c r="B231"/>
      <c r="C231"/>
      <c r="D231"/>
      <c r="E231"/>
      <c r="F231" t="s">
        <v>1221</v>
      </c>
      <c r="G231" s="57">
        <v>0.19174717366695404</v>
      </c>
      <c r="H231" s="58">
        <v>3.8194444444444446E-4</v>
      </c>
    </row>
    <row r="232" spans="1:8">
      <c r="A232"/>
      <c r="B232"/>
      <c r="C232"/>
      <c r="D232"/>
      <c r="E232"/>
      <c r="F232" t="s">
        <v>1222</v>
      </c>
      <c r="G232" s="57">
        <v>0.2893650233745575</v>
      </c>
      <c r="H232" s="58">
        <v>9.2592592592592596E-4</v>
      </c>
    </row>
    <row r="233" spans="1:8">
      <c r="A233"/>
      <c r="B233"/>
      <c r="C233"/>
      <c r="D233"/>
      <c r="E233" t="s">
        <v>685</v>
      </c>
      <c r="F233" t="s">
        <v>1223</v>
      </c>
      <c r="G233" s="57">
        <v>2.5464288773946464E-4</v>
      </c>
      <c r="H233" s="58">
        <v>0</v>
      </c>
    </row>
    <row r="234" spans="1:8">
      <c r="A234"/>
      <c r="B234"/>
      <c r="C234"/>
      <c r="D234"/>
      <c r="E234"/>
      <c r="F234" t="s">
        <v>1224</v>
      </c>
      <c r="G234" s="57">
        <v>8.2073165685869753E-5</v>
      </c>
      <c r="H234" s="58">
        <v>0</v>
      </c>
    </row>
    <row r="235" spans="1:8">
      <c r="A235"/>
      <c r="B235"/>
      <c r="C235"/>
      <c r="D235"/>
      <c r="E235" t="s">
        <v>754</v>
      </c>
      <c r="F235" t="s">
        <v>1185</v>
      </c>
      <c r="G235" s="57">
        <v>5.1017288118600845E-2</v>
      </c>
      <c r="H235" s="58">
        <v>1.3888888888888889E-4</v>
      </c>
    </row>
    <row r="236" spans="1:8">
      <c r="A236"/>
      <c r="B236"/>
      <c r="C236"/>
      <c r="D236"/>
      <c r="E236" t="s">
        <v>757</v>
      </c>
      <c r="F236" t="s">
        <v>1145</v>
      </c>
      <c r="G236" s="57">
        <v>2.6930242776870728E-2</v>
      </c>
      <c r="H236" s="58">
        <v>3.4722222222222222E-5</v>
      </c>
    </row>
    <row r="237" spans="1:8">
      <c r="A237"/>
      <c r="B237"/>
      <c r="C237"/>
      <c r="D237"/>
      <c r="E237" t="s">
        <v>762</v>
      </c>
      <c r="F237" t="s">
        <v>1146</v>
      </c>
      <c r="G237" s="57">
        <v>0.47899015992879868</v>
      </c>
      <c r="H237" s="58">
        <v>6.4814814814814813E-4</v>
      </c>
    </row>
    <row r="238" spans="1:8">
      <c r="A238"/>
      <c r="B238"/>
      <c r="C238"/>
      <c r="D238"/>
      <c r="E238"/>
      <c r="F238" t="s">
        <v>1159</v>
      </c>
      <c r="G238" s="57">
        <v>0.4301300048828125</v>
      </c>
      <c r="H238" s="58">
        <v>5.3240740740740744E-4</v>
      </c>
    </row>
    <row r="239" spans="1:8">
      <c r="A239"/>
      <c r="B239"/>
      <c r="C239"/>
      <c r="D239"/>
      <c r="E239"/>
      <c r="F239" t="s">
        <v>1160</v>
      </c>
      <c r="G239" s="57">
        <v>0.37344804406166077</v>
      </c>
      <c r="H239" s="58">
        <v>4.861111111111111E-4</v>
      </c>
    </row>
    <row r="240" spans="1:8">
      <c r="A240"/>
      <c r="B240"/>
      <c r="C240"/>
      <c r="D240"/>
      <c r="E240"/>
      <c r="F240" t="s">
        <v>1161</v>
      </c>
      <c r="G240" s="57">
        <v>0.30686532706022263</v>
      </c>
      <c r="H240" s="58">
        <v>3.9351851851851852E-4</v>
      </c>
    </row>
    <row r="241" spans="1:8">
      <c r="A241" t="s">
        <v>869</v>
      </c>
      <c r="B241">
        <v>0</v>
      </c>
      <c r="C241">
        <v>0</v>
      </c>
      <c r="D241">
        <v>0</v>
      </c>
      <c r="E241" t="s">
        <v>614</v>
      </c>
      <c r="F241" t="s">
        <v>1097</v>
      </c>
      <c r="G241" s="57">
        <v>5.2214311435818672E-3</v>
      </c>
      <c r="H241" s="58">
        <v>3.6238425925925931E-2</v>
      </c>
    </row>
    <row r="242" spans="1:8">
      <c r="A242"/>
      <c r="B242"/>
      <c r="C242"/>
      <c r="D242"/>
      <c r="E242" t="s">
        <v>625</v>
      </c>
      <c r="F242" t="s">
        <v>1098</v>
      </c>
      <c r="G242" s="57">
        <v>5.1011787727475166E-3</v>
      </c>
      <c r="H242" s="58">
        <v>1.1574074074074073E-5</v>
      </c>
    </row>
    <row r="243" spans="1:8">
      <c r="A243"/>
      <c r="B243"/>
      <c r="C243"/>
      <c r="D243"/>
      <c r="E243" t="s">
        <v>634</v>
      </c>
      <c r="F243" t="s">
        <v>1225</v>
      </c>
      <c r="G243" s="57">
        <v>0</v>
      </c>
      <c r="H243" s="58">
        <v>0</v>
      </c>
    </row>
    <row r="244" spans="1:8">
      <c r="A244"/>
      <c r="B244"/>
      <c r="C244"/>
      <c r="D244"/>
      <c r="E244" t="s">
        <v>645</v>
      </c>
      <c r="F244" t="s">
        <v>1129</v>
      </c>
      <c r="G244" s="57">
        <v>0.11550955101847649</v>
      </c>
      <c r="H244" s="58">
        <v>2.7777777777777778E-4</v>
      </c>
    </row>
    <row r="245" spans="1:8">
      <c r="A245"/>
      <c r="B245"/>
      <c r="C245"/>
      <c r="D245"/>
      <c r="E245"/>
      <c r="F245" t="s">
        <v>1131</v>
      </c>
      <c r="G245" s="57">
        <v>7.9478109255433083E-3</v>
      </c>
      <c r="H245" s="58">
        <v>1.1574074074074073E-5</v>
      </c>
    </row>
    <row r="246" spans="1:8">
      <c r="A246"/>
      <c r="B246"/>
      <c r="C246"/>
      <c r="D246"/>
      <c r="E246"/>
      <c r="F246" t="s">
        <v>1132</v>
      </c>
      <c r="G246" s="57">
        <v>3.0027903616428375E-2</v>
      </c>
      <c r="H246" s="58">
        <v>1.1574074074074075E-4</v>
      </c>
    </row>
    <row r="247" spans="1:8">
      <c r="A247"/>
      <c r="B247"/>
      <c r="C247"/>
      <c r="D247"/>
      <c r="E247"/>
      <c r="F247" t="s">
        <v>1135</v>
      </c>
      <c r="G247" s="57">
        <v>2.9827231541275978E-2</v>
      </c>
      <c r="H247" s="58">
        <v>8.1018518518518516E-5</v>
      </c>
    </row>
    <row r="248" spans="1:8">
      <c r="A248"/>
      <c r="B248"/>
      <c r="C248"/>
      <c r="D248"/>
      <c r="E248"/>
      <c r="F248" t="s">
        <v>1136</v>
      </c>
      <c r="G248" s="57">
        <v>5.0172466784715652E-2</v>
      </c>
      <c r="H248" s="58">
        <v>1.273148148148148E-4</v>
      </c>
    </row>
    <row r="249" spans="1:8">
      <c r="A249"/>
      <c r="B249"/>
      <c r="C249"/>
      <c r="D249"/>
      <c r="E249"/>
      <c r="F249" t="s">
        <v>1137</v>
      </c>
      <c r="G249" s="57">
        <v>0.36642844974994659</v>
      </c>
      <c r="H249" s="58">
        <v>6.7129629629629625E-4</v>
      </c>
    </row>
    <row r="250" spans="1:8">
      <c r="A250"/>
      <c r="B250"/>
      <c r="C250"/>
      <c r="D250"/>
      <c r="E250"/>
      <c r="F250" t="s">
        <v>1138</v>
      </c>
      <c r="G250" s="57">
        <v>0.1828467845916748</v>
      </c>
      <c r="H250" s="58">
        <v>3.0092592592592595E-4</v>
      </c>
    </row>
    <row r="251" spans="1:8">
      <c r="A251"/>
      <c r="B251"/>
      <c r="C251"/>
      <c r="D251"/>
      <c r="E251"/>
      <c r="F251" t="s">
        <v>1196</v>
      </c>
      <c r="G251" s="57">
        <v>0.1831982433795929</v>
      </c>
      <c r="H251" s="58">
        <v>3.1250000000000001E-4</v>
      </c>
    </row>
    <row r="252" spans="1:8">
      <c r="A252"/>
      <c r="B252"/>
      <c r="C252"/>
      <c r="D252"/>
      <c r="E252" t="s">
        <v>685</v>
      </c>
      <c r="F252" t="s">
        <v>1226</v>
      </c>
      <c r="G252" s="57">
        <v>1.4880055096000433E-4</v>
      </c>
      <c r="H252" s="58">
        <v>0</v>
      </c>
    </row>
    <row r="253" spans="1:8">
      <c r="A253"/>
      <c r="B253"/>
      <c r="C253"/>
      <c r="D253"/>
      <c r="E253"/>
      <c r="F253" t="s">
        <v>1227</v>
      </c>
      <c r="G253" s="57">
        <v>8.7359303142875433E-4</v>
      </c>
      <c r="H253" s="58">
        <v>0</v>
      </c>
    </row>
    <row r="254" spans="1:8">
      <c r="A254"/>
      <c r="B254"/>
      <c r="C254"/>
      <c r="D254"/>
      <c r="E254"/>
      <c r="F254" t="s">
        <v>1228</v>
      </c>
      <c r="G254" s="57">
        <v>2.4639803450554609E-4</v>
      </c>
      <c r="H254" s="58">
        <v>0</v>
      </c>
    </row>
    <row r="255" spans="1:8">
      <c r="A255"/>
      <c r="B255"/>
      <c r="C255"/>
      <c r="D255"/>
      <c r="E255"/>
      <c r="F255" t="s">
        <v>1229</v>
      </c>
      <c r="G255" s="57">
        <v>8.3301223639864475E-5</v>
      </c>
      <c r="H255" s="58">
        <v>0</v>
      </c>
    </row>
    <row r="256" spans="1:8">
      <c r="A256"/>
      <c r="B256"/>
      <c r="C256"/>
      <c r="D256"/>
      <c r="E256"/>
      <c r="F256" t="s">
        <v>1230</v>
      </c>
      <c r="G256" s="57">
        <v>1.1182711750734597E-4</v>
      </c>
      <c r="H256" s="58">
        <v>0</v>
      </c>
    </row>
    <row r="257" spans="1:8">
      <c r="A257"/>
      <c r="B257"/>
      <c r="C257"/>
      <c r="D257"/>
      <c r="E257"/>
      <c r="F257" t="s">
        <v>1231</v>
      </c>
      <c r="G257" s="57">
        <v>5.4049771279096603E-4</v>
      </c>
      <c r="H257" s="58">
        <v>0</v>
      </c>
    </row>
    <row r="258" spans="1:8">
      <c r="A258"/>
      <c r="B258"/>
      <c r="C258"/>
      <c r="D258"/>
      <c r="E258"/>
      <c r="F258" t="s">
        <v>1232</v>
      </c>
      <c r="G258" s="57">
        <v>1.6774068353697658E-4</v>
      </c>
      <c r="H258" s="58">
        <v>0</v>
      </c>
    </row>
    <row r="259" spans="1:8">
      <c r="A259"/>
      <c r="B259"/>
      <c r="C259"/>
      <c r="D259"/>
      <c r="E259"/>
      <c r="F259" t="s">
        <v>1233</v>
      </c>
      <c r="G259" s="57">
        <v>6.9376028841361403E-4</v>
      </c>
      <c r="H259" s="58">
        <v>0</v>
      </c>
    </row>
    <row r="260" spans="1:8">
      <c r="A260"/>
      <c r="B260"/>
      <c r="C260"/>
      <c r="D260"/>
      <c r="E260"/>
      <c r="F260" t="s">
        <v>1234</v>
      </c>
      <c r="G260" s="57">
        <v>2.5668853777460754E-4</v>
      </c>
      <c r="H260" s="58">
        <v>0</v>
      </c>
    </row>
    <row r="261" spans="1:8">
      <c r="A261"/>
      <c r="B261"/>
      <c r="C261"/>
      <c r="D261"/>
      <c r="E261" t="s">
        <v>733</v>
      </c>
      <c r="F261" t="s">
        <v>1235</v>
      </c>
      <c r="G261" s="57">
        <v>4.8458416131325066E-4</v>
      </c>
      <c r="H261" s="58">
        <v>0</v>
      </c>
    </row>
    <row r="262" spans="1:8">
      <c r="A262"/>
      <c r="B262"/>
      <c r="C262"/>
      <c r="D262"/>
      <c r="E262"/>
      <c r="F262" t="s">
        <v>1236</v>
      </c>
      <c r="G262" s="57">
        <v>7.0396263618022203E-4</v>
      </c>
      <c r="H262" s="58">
        <v>0</v>
      </c>
    </row>
    <row r="263" spans="1:8">
      <c r="A263"/>
      <c r="B263"/>
      <c r="C263"/>
      <c r="D263"/>
      <c r="E263" t="s">
        <v>757</v>
      </c>
      <c r="F263" t="s">
        <v>1145</v>
      </c>
      <c r="G263" s="57">
        <v>1.4872548170387745E-2</v>
      </c>
      <c r="H263" s="58">
        <v>2.3148148148148147E-5</v>
      </c>
    </row>
    <row r="264" spans="1:8">
      <c r="A264"/>
      <c r="B264"/>
      <c r="C264"/>
      <c r="D264"/>
      <c r="E264"/>
      <c r="F264" t="s">
        <v>1157</v>
      </c>
      <c r="G264" s="57">
        <v>6.8641439080238342E-2</v>
      </c>
      <c r="H264" s="58">
        <v>6.9444444444444444E-5</v>
      </c>
    </row>
    <row r="265" spans="1:8">
      <c r="A265"/>
      <c r="B265"/>
      <c r="C265"/>
      <c r="D265"/>
      <c r="E265" t="s">
        <v>762</v>
      </c>
      <c r="F265" t="s">
        <v>1146</v>
      </c>
      <c r="G265" s="57">
        <v>7.8733667731285095E-2</v>
      </c>
      <c r="H265" s="58">
        <v>1.0416666666666667E-4</v>
      </c>
    </row>
    <row r="266" spans="1:8">
      <c r="A266"/>
      <c r="B266"/>
      <c r="C266"/>
      <c r="D266"/>
      <c r="E266" t="s">
        <v>875</v>
      </c>
      <c r="F266" t="s">
        <v>1237</v>
      </c>
      <c r="G266" s="57">
        <v>0.17772884666919708</v>
      </c>
      <c r="H266" s="58">
        <v>2.6620370370370372E-4</v>
      </c>
    </row>
    <row r="267" spans="1:8">
      <c r="A267"/>
      <c r="B267"/>
      <c r="C267"/>
      <c r="D267"/>
      <c r="E267"/>
      <c r="F267" t="s">
        <v>1238</v>
      </c>
      <c r="G267" s="57">
        <v>9.8442517220973969E-2</v>
      </c>
      <c r="H267" s="58">
        <v>1.7361111111111112E-4</v>
      </c>
    </row>
    <row r="268" spans="1:8">
      <c r="A268"/>
      <c r="B268"/>
      <c r="C268"/>
      <c r="D268"/>
      <c r="E268"/>
      <c r="F268" t="s">
        <v>1239</v>
      </c>
      <c r="G268" s="57">
        <v>0.2109622061252594</v>
      </c>
      <c r="H268" s="58">
        <v>3.8194444444444446E-4</v>
      </c>
    </row>
    <row r="269" spans="1:8">
      <c r="A269"/>
      <c r="B269"/>
      <c r="C269"/>
      <c r="D269"/>
      <c r="E269"/>
      <c r="F269" t="s">
        <v>1240</v>
      </c>
      <c r="G269" s="57">
        <v>0.24575473368167877</v>
      </c>
      <c r="H269" s="58">
        <v>3.3564814814814812E-4</v>
      </c>
    </row>
    <row r="270" spans="1:8">
      <c r="A270"/>
      <c r="B270"/>
      <c r="C270"/>
      <c r="D270"/>
      <c r="E270" t="s">
        <v>879</v>
      </c>
      <c r="F270" t="s">
        <v>1241</v>
      </c>
      <c r="G270" s="57">
        <v>1.2114604469388723E-3</v>
      </c>
      <c r="H270" s="58">
        <v>0</v>
      </c>
    </row>
    <row r="271" spans="1:8">
      <c r="A271"/>
      <c r="B271"/>
      <c r="C271"/>
      <c r="D271"/>
      <c r="E271"/>
      <c r="F271" t="s">
        <v>1242</v>
      </c>
      <c r="G271" s="57">
        <v>2.4229209520854056E-4</v>
      </c>
      <c r="H271" s="58">
        <v>0</v>
      </c>
    </row>
    <row r="272" spans="1:8">
      <c r="A272"/>
      <c r="B272"/>
      <c r="C272"/>
      <c r="D272"/>
      <c r="E272"/>
      <c r="F272" t="s">
        <v>1243</v>
      </c>
      <c r="G272" s="57">
        <v>1.6986924456432462E-3</v>
      </c>
      <c r="H272" s="58">
        <v>0</v>
      </c>
    </row>
    <row r="273" spans="1:8">
      <c r="A273"/>
      <c r="B273"/>
      <c r="C273"/>
      <c r="D273"/>
      <c r="E273"/>
      <c r="F273" t="s">
        <v>1244</v>
      </c>
      <c r="G273" s="57">
        <v>1.0712474613683298E-4</v>
      </c>
      <c r="H273" s="58">
        <v>0</v>
      </c>
    </row>
    <row r="274" spans="1:8">
      <c r="A274"/>
      <c r="B274"/>
      <c r="C274"/>
      <c r="D274"/>
      <c r="E274" t="s">
        <v>882</v>
      </c>
      <c r="F274" t="s">
        <v>1245</v>
      </c>
      <c r="G274" s="57">
        <v>9.4121159054338932E-4</v>
      </c>
      <c r="H274" s="58">
        <v>0</v>
      </c>
    </row>
    <row r="275" spans="1:8">
      <c r="A275" t="s">
        <v>894</v>
      </c>
      <c r="B275" t="s">
        <v>896</v>
      </c>
      <c r="C275" t="s">
        <v>897</v>
      </c>
      <c r="D275" t="s">
        <v>898</v>
      </c>
      <c r="E275" t="s">
        <v>625</v>
      </c>
      <c r="F275" t="s">
        <v>1246</v>
      </c>
      <c r="G275" s="57">
        <v>0</v>
      </c>
      <c r="H275" s="58">
        <v>0</v>
      </c>
    </row>
    <row r="276" spans="1:8">
      <c r="A276"/>
      <c r="B276"/>
      <c r="C276"/>
      <c r="D276"/>
      <c r="E276"/>
      <c r="F276" t="s">
        <v>1247</v>
      </c>
      <c r="G276" s="57">
        <v>0</v>
      </c>
      <c r="H276" s="58">
        <v>0</v>
      </c>
    </row>
    <row r="277" spans="1:8">
      <c r="A277"/>
      <c r="B277"/>
      <c r="C277"/>
      <c r="D277"/>
      <c r="E277" t="s">
        <v>645</v>
      </c>
      <c r="F277" t="s">
        <v>1106</v>
      </c>
      <c r="G277" s="57">
        <v>2.0397009328007698E-2</v>
      </c>
      <c r="H277" s="58">
        <v>6.9444444444444444E-5</v>
      </c>
    </row>
    <row r="278" spans="1:8">
      <c r="A278"/>
      <c r="B278"/>
      <c r="C278"/>
      <c r="D278"/>
      <c r="E278"/>
      <c r="F278" t="s">
        <v>1130</v>
      </c>
      <c r="G278" s="57">
        <v>5.4565127938985825E-3</v>
      </c>
      <c r="H278" s="58">
        <v>2.3148148148148147E-5</v>
      </c>
    </row>
    <row r="279" spans="1:8">
      <c r="A279"/>
      <c r="B279"/>
      <c r="C279"/>
      <c r="D279"/>
      <c r="E279"/>
      <c r="F279" t="s">
        <v>1131</v>
      </c>
      <c r="G279" s="57">
        <v>0.16644328087568283</v>
      </c>
      <c r="H279" s="58">
        <v>5.2083333333333333E-4</v>
      </c>
    </row>
    <row r="280" spans="1:8">
      <c r="A280"/>
      <c r="B280"/>
      <c r="C280"/>
      <c r="D280"/>
      <c r="E280"/>
      <c r="F280" t="s">
        <v>1132</v>
      </c>
      <c r="G280" s="57">
        <v>2.5270308367908001E-2</v>
      </c>
      <c r="H280" s="58">
        <v>1.1574074074074075E-4</v>
      </c>
    </row>
    <row r="281" spans="1:8">
      <c r="A281"/>
      <c r="B281"/>
      <c r="C281"/>
      <c r="D281"/>
      <c r="E281"/>
      <c r="F281" t="s">
        <v>1133</v>
      </c>
      <c r="G281" s="57">
        <v>3.44696044921875E-2</v>
      </c>
      <c r="H281" s="58">
        <v>1.3888888888888889E-4</v>
      </c>
    </row>
    <row r="282" spans="1:8">
      <c r="A282"/>
      <c r="B282"/>
      <c r="C282"/>
      <c r="D282"/>
      <c r="E282"/>
      <c r="F282" t="s">
        <v>1136</v>
      </c>
      <c r="G282" s="57">
        <v>9.1882169246673584E-2</v>
      </c>
      <c r="H282" s="58">
        <v>3.3564814814814812E-4</v>
      </c>
    </row>
    <row r="283" spans="1:8">
      <c r="A283"/>
      <c r="B283"/>
      <c r="C283"/>
      <c r="D283"/>
      <c r="E283"/>
      <c r="F283" t="s">
        <v>1140</v>
      </c>
      <c r="G283" s="57">
        <v>1.2454603798687458E-2</v>
      </c>
      <c r="H283" s="58">
        <v>3.4722222222222222E-5</v>
      </c>
    </row>
    <row r="284" spans="1:8">
      <c r="A284"/>
      <c r="B284"/>
      <c r="C284"/>
      <c r="D284"/>
      <c r="E284"/>
      <c r="F284" t="s">
        <v>1147</v>
      </c>
      <c r="G284" s="57">
        <v>0.1066591665148735</v>
      </c>
      <c r="H284" s="58">
        <v>3.4722222222222224E-4</v>
      </c>
    </row>
    <row r="285" spans="1:8">
      <c r="A285"/>
      <c r="B285"/>
      <c r="C285"/>
      <c r="D285"/>
      <c r="E285"/>
      <c r="F285" t="s">
        <v>1149</v>
      </c>
      <c r="G285" s="57">
        <v>0.18376989662647247</v>
      </c>
      <c r="H285" s="58">
        <v>3.0092592592592595E-4</v>
      </c>
    </row>
    <row r="286" spans="1:8">
      <c r="A286"/>
      <c r="B286"/>
      <c r="C286"/>
      <c r="D286"/>
      <c r="E286" t="s">
        <v>685</v>
      </c>
      <c r="F286" t="s">
        <v>1248</v>
      </c>
      <c r="G286" s="57">
        <v>1.8293618632014841E-4</v>
      </c>
      <c r="H286" s="58">
        <v>0</v>
      </c>
    </row>
    <row r="287" spans="1:8">
      <c r="A287"/>
      <c r="B287"/>
      <c r="C287"/>
      <c r="D287"/>
      <c r="E287"/>
      <c r="F287" t="s">
        <v>1249</v>
      </c>
      <c r="G287" s="57">
        <v>4.3012347305193543E-5</v>
      </c>
      <c r="H287" s="58">
        <v>0</v>
      </c>
    </row>
    <row r="288" spans="1:8">
      <c r="A288"/>
      <c r="B288"/>
      <c r="C288"/>
      <c r="D288"/>
      <c r="E288"/>
      <c r="F288" t="s">
        <v>1250</v>
      </c>
      <c r="G288" s="57">
        <v>6.5845472272485495E-4</v>
      </c>
      <c r="H288" s="58">
        <v>0</v>
      </c>
    </row>
    <row r="289" spans="1:8">
      <c r="A289"/>
      <c r="B289"/>
      <c r="C289"/>
      <c r="D289"/>
      <c r="E289"/>
      <c r="F289" t="s">
        <v>1251</v>
      </c>
      <c r="G289" s="57">
        <v>2.4530664086341858E-4</v>
      </c>
      <c r="H289" s="58">
        <v>0</v>
      </c>
    </row>
    <row r="290" spans="1:8">
      <c r="A290"/>
      <c r="B290"/>
      <c r="C290"/>
      <c r="D290"/>
      <c r="E290" t="s">
        <v>754</v>
      </c>
      <c r="F290" t="s">
        <v>1156</v>
      </c>
      <c r="G290" s="57">
        <v>2.863746602088213E-3</v>
      </c>
      <c r="H290" s="58">
        <v>1.1574074074074073E-5</v>
      </c>
    </row>
    <row r="291" spans="1:8">
      <c r="A291"/>
      <c r="B291"/>
      <c r="C291"/>
      <c r="D291"/>
      <c r="E291"/>
      <c r="F291" t="s">
        <v>1186</v>
      </c>
      <c r="G291" s="57">
        <v>8.1361182034015656E-2</v>
      </c>
      <c r="H291" s="58">
        <v>2.199074074074074E-4</v>
      </c>
    </row>
    <row r="292" spans="1:8">
      <c r="A292"/>
      <c r="B292"/>
      <c r="C292"/>
      <c r="D292"/>
      <c r="E292"/>
      <c r="F292" t="s">
        <v>1252</v>
      </c>
      <c r="G292" s="57">
        <v>3.058081679046154E-2</v>
      </c>
      <c r="H292" s="58">
        <v>5.7870370370370373E-5</v>
      </c>
    </row>
    <row r="293" spans="1:8">
      <c r="A293"/>
      <c r="B293"/>
      <c r="C293"/>
      <c r="D293"/>
      <c r="E293" t="s">
        <v>757</v>
      </c>
      <c r="F293" t="s">
        <v>1145</v>
      </c>
      <c r="G293" s="57">
        <v>0.99541947338730097</v>
      </c>
      <c r="H293" s="58">
        <v>1.0879629629629631E-3</v>
      </c>
    </row>
    <row r="294" spans="1:8">
      <c r="A294"/>
      <c r="B294"/>
      <c r="C294"/>
      <c r="D294"/>
      <c r="E294"/>
      <c r="F294" t="s">
        <v>1157</v>
      </c>
      <c r="G294" s="57">
        <v>0.56233664974570274</v>
      </c>
      <c r="H294" s="58">
        <v>5.6712962962962967E-4</v>
      </c>
    </row>
    <row r="295" spans="1:8">
      <c r="A295"/>
      <c r="B295"/>
      <c r="C295"/>
      <c r="D295"/>
      <c r="E295"/>
      <c r="F295" t="s">
        <v>1158</v>
      </c>
      <c r="G295" s="57">
        <v>9.8906449973583221E-2</v>
      </c>
      <c r="H295" s="58">
        <v>1.0416666666666667E-4</v>
      </c>
    </row>
    <row r="296" spans="1:8">
      <c r="A296"/>
      <c r="B296"/>
      <c r="C296"/>
      <c r="D296"/>
      <c r="E296"/>
      <c r="F296" t="s">
        <v>1205</v>
      </c>
      <c r="G296" s="57">
        <v>0.11311499029397964</v>
      </c>
      <c r="H296" s="58">
        <v>1.1574074074074075E-4</v>
      </c>
    </row>
    <row r="297" spans="1:8">
      <c r="A297"/>
      <c r="B297"/>
      <c r="C297"/>
      <c r="D297"/>
      <c r="E297" t="s">
        <v>762</v>
      </c>
      <c r="F297" t="s">
        <v>1146</v>
      </c>
      <c r="G297" s="57">
        <v>1.0485892184078693E-2</v>
      </c>
      <c r="H297" s="58">
        <v>1.1574074074074073E-5</v>
      </c>
    </row>
    <row r="298" spans="1:8">
      <c r="A298"/>
      <c r="B298"/>
      <c r="C298"/>
      <c r="D298"/>
      <c r="E298" t="s">
        <v>875</v>
      </c>
      <c r="F298" t="s">
        <v>1237</v>
      </c>
      <c r="G298" s="57">
        <v>0.52862012386322021</v>
      </c>
      <c r="H298" s="58">
        <v>7.291666666666667E-4</v>
      </c>
    </row>
    <row r="299" spans="1:8">
      <c r="A299"/>
      <c r="B299"/>
      <c r="C299"/>
      <c r="D299"/>
      <c r="E299"/>
      <c r="F299" t="s">
        <v>1238</v>
      </c>
      <c r="G299" s="57">
        <v>0.29378251731395721</v>
      </c>
      <c r="H299" s="58">
        <v>4.861111111111111E-4</v>
      </c>
    </row>
    <row r="300" spans="1:8">
      <c r="A300"/>
      <c r="B300"/>
      <c r="C300"/>
      <c r="D300"/>
      <c r="E300"/>
      <c r="F300" t="s">
        <v>1239</v>
      </c>
      <c r="G300" s="57">
        <v>0.16375534608960152</v>
      </c>
      <c r="H300" s="58">
        <v>3.1250000000000001E-4</v>
      </c>
    </row>
    <row r="301" spans="1:8">
      <c r="A301"/>
      <c r="B301"/>
      <c r="C301"/>
      <c r="D301"/>
      <c r="E301"/>
      <c r="F301" t="s">
        <v>1253</v>
      </c>
      <c r="G301" s="57">
        <v>0.36829421296715736</v>
      </c>
      <c r="H301" s="58">
        <v>7.0601851851851858E-4</v>
      </c>
    </row>
    <row r="302" spans="1:8">
      <c r="A302"/>
      <c r="B302"/>
      <c r="C302"/>
      <c r="D302"/>
      <c r="E302"/>
      <c r="F302" t="s">
        <v>1254</v>
      </c>
      <c r="G302" s="57">
        <v>0.30995889566838741</v>
      </c>
      <c r="H302" s="58">
        <v>6.134259259259259E-4</v>
      </c>
    </row>
    <row r="303" spans="1:8">
      <c r="A303"/>
      <c r="B303"/>
      <c r="C303"/>
      <c r="D303"/>
      <c r="E303"/>
      <c r="F303" t="s">
        <v>1255</v>
      </c>
      <c r="G303" s="57">
        <v>0.19201041758060455</v>
      </c>
      <c r="H303" s="58">
        <v>2.8935185185185184E-4</v>
      </c>
    </row>
    <row r="304" spans="1:8">
      <c r="A304" t="s">
        <v>921</v>
      </c>
      <c r="B304">
        <v>0</v>
      </c>
      <c r="C304">
        <v>0</v>
      </c>
      <c r="D304">
        <v>0</v>
      </c>
      <c r="E304" t="s">
        <v>614</v>
      </c>
      <c r="F304" t="s">
        <v>1097</v>
      </c>
      <c r="G304" s="57">
        <v>1.6980045475065708E-3</v>
      </c>
      <c r="H304" s="58">
        <v>2.2638888888888889E-2</v>
      </c>
    </row>
    <row r="305" spans="1:8">
      <c r="A305"/>
      <c r="B305"/>
      <c r="C305"/>
      <c r="D305"/>
      <c r="E305" t="s">
        <v>733</v>
      </c>
      <c r="F305" t="s">
        <v>1256</v>
      </c>
      <c r="G305" s="57">
        <v>1.6146335110533983E-4</v>
      </c>
      <c r="H305" s="58">
        <v>0</v>
      </c>
    </row>
    <row r="306" spans="1:8">
      <c r="A306" t="s">
        <v>926</v>
      </c>
      <c r="B306">
        <v>0</v>
      </c>
      <c r="C306">
        <v>0</v>
      </c>
      <c r="D306">
        <v>0</v>
      </c>
      <c r="E306" t="s">
        <v>614</v>
      </c>
      <c r="F306" t="s">
        <v>1097</v>
      </c>
      <c r="G306" s="57">
        <v>1.9693702924996614E-3</v>
      </c>
      <c r="H306" s="58">
        <v>1.4606481481481481E-2</v>
      </c>
    </row>
    <row r="307" spans="1:8">
      <c r="A307"/>
      <c r="B307"/>
      <c r="C307"/>
      <c r="D307"/>
      <c r="E307" t="s">
        <v>625</v>
      </c>
      <c r="F307" t="s">
        <v>1103</v>
      </c>
      <c r="G307" s="57">
        <v>0</v>
      </c>
      <c r="H307" s="58">
        <v>0</v>
      </c>
    </row>
    <row r="308" spans="1:8">
      <c r="A308"/>
      <c r="B308"/>
      <c r="C308"/>
      <c r="D308"/>
      <c r="E308"/>
      <c r="F308" t="s">
        <v>1257</v>
      </c>
      <c r="G308" s="57">
        <v>0</v>
      </c>
      <c r="H308" s="58">
        <v>0</v>
      </c>
    </row>
    <row r="309" spans="1:8">
      <c r="A309"/>
      <c r="B309"/>
      <c r="C309"/>
      <c r="D309"/>
      <c r="E309"/>
      <c r="F309" t="s">
        <v>1258</v>
      </c>
      <c r="G309" s="57">
        <v>0</v>
      </c>
      <c r="H309" s="58">
        <v>0</v>
      </c>
    </row>
    <row r="310" spans="1:8">
      <c r="A310"/>
      <c r="B310"/>
      <c r="C310"/>
      <c r="D310"/>
      <c r="E310"/>
      <c r="F310" t="s">
        <v>1259</v>
      </c>
      <c r="G310" s="57">
        <v>0</v>
      </c>
      <c r="H310" s="58">
        <v>0</v>
      </c>
    </row>
    <row r="311" spans="1:8">
      <c r="A311"/>
      <c r="B311"/>
      <c r="C311"/>
      <c r="D311"/>
      <c r="E311"/>
      <c r="F311" t="s">
        <v>1260</v>
      </c>
      <c r="G311" s="57">
        <v>0</v>
      </c>
      <c r="H311" s="58">
        <v>0</v>
      </c>
    </row>
    <row r="312" spans="1:8">
      <c r="A312"/>
      <c r="B312"/>
      <c r="C312"/>
      <c r="D312"/>
      <c r="E312"/>
      <c r="F312" t="s">
        <v>1261</v>
      </c>
      <c r="G312" s="57">
        <v>0</v>
      </c>
      <c r="H312" s="58">
        <v>0</v>
      </c>
    </row>
    <row r="313" spans="1:8">
      <c r="A313"/>
      <c r="B313"/>
      <c r="C313"/>
      <c r="D313"/>
      <c r="E313"/>
      <c r="F313" t="s">
        <v>1262</v>
      </c>
      <c r="G313" s="57">
        <v>0</v>
      </c>
      <c r="H313" s="58">
        <v>0</v>
      </c>
    </row>
    <row r="314" spans="1:8">
      <c r="A314"/>
      <c r="B314"/>
      <c r="C314"/>
      <c r="D314"/>
      <c r="E314"/>
      <c r="F314" t="s">
        <v>1263</v>
      </c>
      <c r="G314" s="57">
        <v>0</v>
      </c>
      <c r="H314" s="58">
        <v>0</v>
      </c>
    </row>
    <row r="315" spans="1:8">
      <c r="A315"/>
      <c r="B315"/>
      <c r="C315"/>
      <c r="D315"/>
      <c r="E315"/>
      <c r="F315" t="s">
        <v>1264</v>
      </c>
      <c r="G315" s="57">
        <v>4.3194885365664959E-3</v>
      </c>
      <c r="H315" s="58">
        <v>1.1574074074074073E-5</v>
      </c>
    </row>
    <row r="316" spans="1:8">
      <c r="A316"/>
      <c r="B316"/>
      <c r="C316"/>
      <c r="D316"/>
      <c r="E316" t="s">
        <v>645</v>
      </c>
      <c r="F316" t="s">
        <v>1105</v>
      </c>
      <c r="G316" s="57">
        <v>6.5596289932727814E-3</v>
      </c>
      <c r="H316" s="58">
        <v>2.3148148148148147E-5</v>
      </c>
    </row>
    <row r="317" spans="1:8">
      <c r="A317"/>
      <c r="B317"/>
      <c r="C317"/>
      <c r="D317"/>
      <c r="E317"/>
      <c r="F317" t="s">
        <v>1106</v>
      </c>
      <c r="G317" s="57">
        <v>0.89811452850699425</v>
      </c>
      <c r="H317" s="58">
        <v>2.9282407407407408E-3</v>
      </c>
    </row>
    <row r="318" spans="1:8">
      <c r="A318"/>
      <c r="B318"/>
      <c r="C318"/>
      <c r="D318"/>
      <c r="E318"/>
      <c r="F318" t="s">
        <v>1131</v>
      </c>
      <c r="G318" s="57">
        <v>0.23605610057711601</v>
      </c>
      <c r="H318" s="58">
        <v>7.9861111111111105E-4</v>
      </c>
    </row>
    <row r="319" spans="1:8">
      <c r="A319"/>
      <c r="B319"/>
      <c r="C319"/>
      <c r="D319"/>
      <c r="E319"/>
      <c r="F319" t="s">
        <v>1132</v>
      </c>
      <c r="G319" s="57">
        <v>0.72458481602370739</v>
      </c>
      <c r="H319" s="58">
        <v>2.731481481481481E-3</v>
      </c>
    </row>
    <row r="320" spans="1:8">
      <c r="A320"/>
      <c r="B320"/>
      <c r="C320"/>
      <c r="D320"/>
      <c r="E320"/>
      <c r="F320" t="s">
        <v>1133</v>
      </c>
      <c r="G320" s="57">
        <v>0.17230555415153503</v>
      </c>
      <c r="H320" s="58">
        <v>6.134259259259259E-4</v>
      </c>
    </row>
    <row r="321" spans="1:8">
      <c r="A321"/>
      <c r="B321"/>
      <c r="C321"/>
      <c r="D321"/>
      <c r="E321"/>
      <c r="F321" t="s">
        <v>1135</v>
      </c>
      <c r="G321" s="57">
        <v>0.75039715878665447</v>
      </c>
      <c r="H321" s="58">
        <v>2.0138888888888888E-3</v>
      </c>
    </row>
    <row r="322" spans="1:8">
      <c r="A322"/>
      <c r="B322"/>
      <c r="C322"/>
      <c r="D322"/>
      <c r="E322"/>
      <c r="F322" t="s">
        <v>1136</v>
      </c>
      <c r="G322" s="57">
        <v>3.6776222288608551</v>
      </c>
      <c r="H322" s="58">
        <v>1.0937499999999999E-2</v>
      </c>
    </row>
    <row r="323" spans="1:8">
      <c r="A323"/>
      <c r="B323"/>
      <c r="C323"/>
      <c r="D323"/>
      <c r="E323"/>
      <c r="F323" t="s">
        <v>1137</v>
      </c>
      <c r="G323" s="57">
        <v>0.32562550902366638</v>
      </c>
      <c r="H323" s="58">
        <v>7.1759259259259259E-4</v>
      </c>
    </row>
    <row r="324" spans="1:8">
      <c r="A324"/>
      <c r="B324"/>
      <c r="C324"/>
      <c r="D324"/>
      <c r="E324"/>
      <c r="F324" t="s">
        <v>1138</v>
      </c>
      <c r="G324" s="57">
        <v>0.78022176027297974</v>
      </c>
      <c r="H324" s="58">
        <v>1.7592592592592592E-3</v>
      </c>
    </row>
    <row r="325" spans="1:8">
      <c r="A325"/>
      <c r="B325"/>
      <c r="C325"/>
      <c r="D325"/>
      <c r="E325"/>
      <c r="F325" t="s">
        <v>1139</v>
      </c>
      <c r="G325" s="57">
        <v>0.45328012481331825</v>
      </c>
      <c r="H325" s="58">
        <v>1.25E-3</v>
      </c>
    </row>
    <row r="326" spans="1:8">
      <c r="A326"/>
      <c r="B326"/>
      <c r="C326"/>
      <c r="D326"/>
      <c r="E326"/>
      <c r="F326" t="s">
        <v>1149</v>
      </c>
      <c r="G326" s="57">
        <v>0.2909921407699585</v>
      </c>
      <c r="H326" s="58">
        <v>6.4814814814814813E-4</v>
      </c>
    </row>
    <row r="327" spans="1:8">
      <c r="A327"/>
      <c r="B327"/>
      <c r="C327"/>
      <c r="D327"/>
      <c r="E327" t="s">
        <v>674</v>
      </c>
      <c r="F327" t="s">
        <v>1265</v>
      </c>
      <c r="G327" s="57">
        <v>0</v>
      </c>
      <c r="H327" s="58">
        <v>0</v>
      </c>
    </row>
    <row r="328" spans="1:8">
      <c r="A328"/>
      <c r="B328"/>
      <c r="C328"/>
      <c r="D328"/>
      <c r="E328"/>
      <c r="F328" t="s">
        <v>1266</v>
      </c>
      <c r="G328" s="57">
        <v>0</v>
      </c>
      <c r="H328" s="58">
        <v>0</v>
      </c>
    </row>
    <row r="329" spans="1:8">
      <c r="A329"/>
      <c r="B329"/>
      <c r="C329"/>
      <c r="D329"/>
      <c r="E329"/>
      <c r="F329" t="s">
        <v>1267</v>
      </c>
      <c r="G329" s="57">
        <v>0</v>
      </c>
      <c r="H329" s="58">
        <v>0</v>
      </c>
    </row>
    <row r="330" spans="1:8">
      <c r="A330"/>
      <c r="B330"/>
      <c r="C330"/>
      <c r="D330"/>
      <c r="E330"/>
      <c r="F330" t="s">
        <v>1268</v>
      </c>
      <c r="G330" s="57">
        <v>0</v>
      </c>
      <c r="H330" s="58">
        <v>0</v>
      </c>
    </row>
    <row r="331" spans="1:8">
      <c r="A331"/>
      <c r="B331"/>
      <c r="C331"/>
      <c r="D331"/>
      <c r="E331"/>
      <c r="F331" t="s">
        <v>1269</v>
      </c>
      <c r="G331" s="57">
        <v>0</v>
      </c>
      <c r="H331" s="58">
        <v>0</v>
      </c>
    </row>
    <row r="332" spans="1:8">
      <c r="A332"/>
      <c r="B332"/>
      <c r="C332"/>
      <c r="D332"/>
      <c r="E332"/>
      <c r="F332" t="s">
        <v>1270</v>
      </c>
      <c r="G332" s="57">
        <v>0</v>
      </c>
      <c r="H332" s="58">
        <v>0</v>
      </c>
    </row>
    <row r="333" spans="1:8">
      <c r="A333"/>
      <c r="B333"/>
      <c r="C333"/>
      <c r="D333"/>
      <c r="E333" t="s">
        <v>685</v>
      </c>
      <c r="F333" t="s">
        <v>1152</v>
      </c>
      <c r="G333" s="57">
        <v>1.3640346878673881E-5</v>
      </c>
      <c r="H333" s="58">
        <v>0</v>
      </c>
    </row>
    <row r="334" spans="1:8">
      <c r="A334"/>
      <c r="B334"/>
      <c r="C334"/>
      <c r="D334"/>
      <c r="E334"/>
      <c r="F334" t="s">
        <v>1154</v>
      </c>
      <c r="G334" s="57">
        <v>3.6549411015585065E-4</v>
      </c>
      <c r="H334" s="58">
        <v>0</v>
      </c>
    </row>
    <row r="335" spans="1:8">
      <c r="A335"/>
      <c r="B335"/>
      <c r="C335"/>
      <c r="D335"/>
      <c r="E335"/>
      <c r="F335" t="s">
        <v>1271</v>
      </c>
      <c r="G335" s="57">
        <v>4.140219243708998E-5</v>
      </c>
      <c r="H335" s="58">
        <v>0</v>
      </c>
    </row>
    <row r="336" spans="1:8">
      <c r="A336"/>
      <c r="B336"/>
      <c r="C336"/>
      <c r="D336"/>
      <c r="E336"/>
      <c r="F336" t="s">
        <v>1272</v>
      </c>
      <c r="G336" s="57">
        <v>1.9778500427491963E-4</v>
      </c>
      <c r="H336" s="58">
        <v>0</v>
      </c>
    </row>
    <row r="337" spans="1:8">
      <c r="A337"/>
      <c r="B337"/>
      <c r="C337"/>
      <c r="D337"/>
      <c r="E337" t="s">
        <v>754</v>
      </c>
      <c r="F337" t="s">
        <v>1144</v>
      </c>
      <c r="G337" s="57">
        <v>7.7455751597881317E-2</v>
      </c>
      <c r="H337" s="58">
        <v>1.9675925925925926E-4</v>
      </c>
    </row>
    <row r="338" spans="1:8">
      <c r="A338"/>
      <c r="B338"/>
      <c r="C338"/>
      <c r="D338"/>
      <c r="E338"/>
      <c r="F338" t="s">
        <v>1155</v>
      </c>
      <c r="G338" s="57">
        <v>0.19536592392250896</v>
      </c>
      <c r="H338" s="58">
        <v>7.5231481481481482E-4</v>
      </c>
    </row>
    <row r="339" spans="1:8">
      <c r="A339"/>
      <c r="B339"/>
      <c r="C339"/>
      <c r="D339"/>
      <c r="E339"/>
      <c r="F339" t="s">
        <v>1156</v>
      </c>
      <c r="G339" s="57">
        <v>0.23074462218210101</v>
      </c>
      <c r="H339" s="58">
        <v>8.680555555555554E-4</v>
      </c>
    </row>
    <row r="340" spans="1:8">
      <c r="A340"/>
      <c r="B340"/>
      <c r="C340"/>
      <c r="D340"/>
      <c r="E340"/>
      <c r="F340" t="s">
        <v>1182</v>
      </c>
      <c r="G340" s="57">
        <v>1.5611923299729824E-2</v>
      </c>
      <c r="H340" s="58">
        <v>3.4722222222222222E-5</v>
      </c>
    </row>
    <row r="341" spans="1:8">
      <c r="A341"/>
      <c r="B341"/>
      <c r="C341"/>
      <c r="D341"/>
      <c r="E341"/>
      <c r="F341" t="s">
        <v>1183</v>
      </c>
      <c r="G341" s="57">
        <v>0.6254420280456543</v>
      </c>
      <c r="H341" s="58">
        <v>1.273148148148148E-3</v>
      </c>
    </row>
    <row r="342" spans="1:8">
      <c r="A342"/>
      <c r="B342"/>
      <c r="C342"/>
      <c r="D342"/>
      <c r="E342"/>
      <c r="F342" t="s">
        <v>1187</v>
      </c>
      <c r="G342" s="57">
        <v>9.5249152276664972E-2</v>
      </c>
      <c r="H342" s="58">
        <v>4.0509259259259258E-4</v>
      </c>
    </row>
    <row r="343" spans="1:8">
      <c r="A343"/>
      <c r="B343"/>
      <c r="C343"/>
      <c r="D343"/>
      <c r="E343"/>
      <c r="F343" t="s">
        <v>1188</v>
      </c>
      <c r="G343" s="57">
        <v>0.1532911229878664</v>
      </c>
      <c r="H343" s="58">
        <v>5.2083333333333333E-4</v>
      </c>
    </row>
    <row r="344" spans="1:8">
      <c r="A344"/>
      <c r="B344"/>
      <c r="C344"/>
      <c r="D344"/>
      <c r="E344"/>
      <c r="F344" t="s">
        <v>1190</v>
      </c>
      <c r="G344" s="57">
        <v>0.44653320964425802</v>
      </c>
      <c r="H344" s="58">
        <v>1.4930555555555556E-3</v>
      </c>
    </row>
    <row r="345" spans="1:8">
      <c r="A345"/>
      <c r="B345"/>
      <c r="C345"/>
      <c r="D345"/>
      <c r="E345"/>
      <c r="F345" t="s">
        <v>1191</v>
      </c>
      <c r="G345" s="57">
        <v>6.4287394285202026E-2</v>
      </c>
      <c r="H345" s="58">
        <v>1.6203703703703703E-4</v>
      </c>
    </row>
    <row r="346" spans="1:8">
      <c r="A346"/>
      <c r="B346"/>
      <c r="C346"/>
      <c r="D346"/>
      <c r="E346"/>
      <c r="F346" t="s">
        <v>1192</v>
      </c>
      <c r="G346" s="57">
        <v>0.32623819634318352</v>
      </c>
      <c r="H346" s="58">
        <v>1.0532407407407409E-3</v>
      </c>
    </row>
    <row r="347" spans="1:8">
      <c r="A347"/>
      <c r="B347"/>
      <c r="C347"/>
      <c r="D347"/>
      <c r="E347"/>
      <c r="F347" t="s">
        <v>1273</v>
      </c>
      <c r="G347" s="57">
        <v>1.7474234336987138E-3</v>
      </c>
      <c r="H347" s="58">
        <v>1.1574074074074073E-5</v>
      </c>
    </row>
    <row r="348" spans="1:8">
      <c r="A348"/>
      <c r="B348"/>
      <c r="C348"/>
      <c r="D348"/>
      <c r="E348"/>
      <c r="F348" t="s">
        <v>1274</v>
      </c>
      <c r="G348" s="57">
        <v>4.9148485064506531E-2</v>
      </c>
      <c r="H348" s="58">
        <v>1.0416666666666667E-4</v>
      </c>
    </row>
    <row r="349" spans="1:8">
      <c r="A349"/>
      <c r="B349"/>
      <c r="C349"/>
      <c r="D349"/>
      <c r="E349"/>
      <c r="F349" t="s">
        <v>1275</v>
      </c>
      <c r="G349" s="57">
        <v>3.7787530571222305E-2</v>
      </c>
      <c r="H349" s="58">
        <v>1.3888888888888889E-4</v>
      </c>
    </row>
    <row r="350" spans="1:8">
      <c r="A350"/>
      <c r="B350"/>
      <c r="C350"/>
      <c r="D350"/>
      <c r="E350" t="s">
        <v>757</v>
      </c>
      <c r="F350" t="s">
        <v>1145</v>
      </c>
      <c r="G350" s="57">
        <v>4.7586158863268793</v>
      </c>
      <c r="H350" s="58">
        <v>5.0231481481481455E-3</v>
      </c>
    </row>
    <row r="351" spans="1:8">
      <c r="A351"/>
      <c r="B351"/>
      <c r="C351"/>
      <c r="D351"/>
      <c r="E351"/>
      <c r="F351" t="s">
        <v>1157</v>
      </c>
      <c r="G351" s="57">
        <v>9.4191737361252308</v>
      </c>
      <c r="H351" s="58">
        <v>9.594907407407401E-3</v>
      </c>
    </row>
    <row r="352" spans="1:8">
      <c r="A352"/>
      <c r="B352"/>
      <c r="C352"/>
      <c r="D352"/>
      <c r="E352"/>
      <c r="F352" t="s">
        <v>1158</v>
      </c>
      <c r="G352" s="57">
        <v>12.960513427853584</v>
      </c>
      <c r="H352" s="58">
        <v>1.2835648148148146E-2</v>
      </c>
    </row>
    <row r="353" spans="1:8">
      <c r="A353"/>
      <c r="B353"/>
      <c r="C353"/>
      <c r="D353"/>
      <c r="E353"/>
      <c r="F353" t="s">
        <v>1205</v>
      </c>
      <c r="G353" s="57">
        <v>11.203294552862644</v>
      </c>
      <c r="H353" s="58">
        <v>1.0821759259259258E-2</v>
      </c>
    </row>
    <row r="354" spans="1:8">
      <c r="A354"/>
      <c r="B354"/>
      <c r="C354"/>
      <c r="D354"/>
      <c r="E354"/>
      <c r="F354" t="s">
        <v>1276</v>
      </c>
      <c r="G354" s="57">
        <v>3.7848350256681442</v>
      </c>
      <c r="H354" s="58">
        <v>3.5532407407407405E-3</v>
      </c>
    </row>
    <row r="355" spans="1:8">
      <c r="A355"/>
      <c r="B355"/>
      <c r="C355"/>
      <c r="D355"/>
      <c r="E355"/>
      <c r="F355" t="s">
        <v>1277</v>
      </c>
      <c r="G355" s="57">
        <v>2.2283521890640259</v>
      </c>
      <c r="H355" s="58">
        <v>2.0254629629629629E-3</v>
      </c>
    </row>
    <row r="356" spans="1:8">
      <c r="A356"/>
      <c r="B356"/>
      <c r="C356"/>
      <c r="D356"/>
      <c r="E356"/>
      <c r="F356" t="s">
        <v>1278</v>
      </c>
      <c r="G356" s="57">
        <v>1.4573923051357269</v>
      </c>
      <c r="H356" s="58">
        <v>1.2847222222222223E-3</v>
      </c>
    </row>
    <row r="357" spans="1:8">
      <c r="A357"/>
      <c r="B357"/>
      <c r="C357"/>
      <c r="D357"/>
      <c r="E357"/>
      <c r="F357" t="s">
        <v>1279</v>
      </c>
      <c r="G357" s="57">
        <v>0.42920702695846558</v>
      </c>
      <c r="H357" s="58">
        <v>3.8194444444444446E-4</v>
      </c>
    </row>
    <row r="358" spans="1:8">
      <c r="A358"/>
      <c r="B358"/>
      <c r="C358"/>
      <c r="D358"/>
      <c r="E358" t="s">
        <v>875</v>
      </c>
      <c r="F358" t="s">
        <v>1237</v>
      </c>
      <c r="G358" s="57">
        <v>0.6090078204870224</v>
      </c>
      <c r="H358" s="58">
        <v>8.7962962962962951E-4</v>
      </c>
    </row>
    <row r="359" spans="1:8">
      <c r="A359"/>
      <c r="B359"/>
      <c r="C359"/>
      <c r="D359"/>
      <c r="E359"/>
      <c r="F359" t="s">
        <v>1238</v>
      </c>
      <c r="G359" s="57">
        <v>0.44695600867271423</v>
      </c>
      <c r="H359" s="58">
        <v>7.7546296296296304E-4</v>
      </c>
    </row>
    <row r="360" spans="1:8">
      <c r="A360"/>
      <c r="B360"/>
      <c r="C360"/>
      <c r="D360"/>
      <c r="E360"/>
      <c r="F360" t="s">
        <v>1239</v>
      </c>
      <c r="G360" s="57">
        <v>1.0540965925902128</v>
      </c>
      <c r="H360" s="58">
        <v>1.9328703703703704E-3</v>
      </c>
    </row>
    <row r="361" spans="1:8">
      <c r="A361"/>
      <c r="B361"/>
      <c r="C361"/>
      <c r="D361"/>
      <c r="E361"/>
      <c r="F361" t="s">
        <v>1240</v>
      </c>
      <c r="G361" s="57">
        <v>0.28910845518112183</v>
      </c>
      <c r="H361" s="58">
        <v>3.9351851851851852E-4</v>
      </c>
    </row>
    <row r="362" spans="1:8">
      <c r="A362"/>
      <c r="B362"/>
      <c r="C362"/>
      <c r="D362"/>
      <c r="E362"/>
      <c r="F362" t="s">
        <v>1253</v>
      </c>
      <c r="G362" s="57">
        <v>0.43699437426403165</v>
      </c>
      <c r="H362" s="58">
        <v>9.1435185185185196E-4</v>
      </c>
    </row>
    <row r="363" spans="1:8">
      <c r="A363"/>
      <c r="B363"/>
      <c r="C363"/>
      <c r="D363"/>
      <c r="E363"/>
      <c r="F363" t="s">
        <v>1254</v>
      </c>
      <c r="G363" s="57">
        <v>1.2328669410198927</v>
      </c>
      <c r="H363" s="58">
        <v>2.3148148148148151E-3</v>
      </c>
    </row>
    <row r="364" spans="1:8">
      <c r="A364"/>
      <c r="B364"/>
      <c r="C364"/>
      <c r="D364"/>
      <c r="E364"/>
      <c r="F364" t="s">
        <v>1255</v>
      </c>
      <c r="G364" s="57">
        <v>0.975766621530056</v>
      </c>
      <c r="H364" s="58">
        <v>1.5277777777777776E-3</v>
      </c>
    </row>
    <row r="365" spans="1:8">
      <c r="A365"/>
      <c r="B365"/>
      <c r="C365"/>
      <c r="D365"/>
      <c r="E365"/>
      <c r="F365" t="s">
        <v>1280</v>
      </c>
      <c r="G365" s="57">
        <v>0.6786617636680603</v>
      </c>
      <c r="H365" s="58">
        <v>8.564814814814815E-4</v>
      </c>
    </row>
    <row r="366" spans="1:8">
      <c r="A366"/>
      <c r="B366"/>
      <c r="C366"/>
      <c r="D366"/>
      <c r="E366"/>
      <c r="F366" t="s">
        <v>1281</v>
      </c>
      <c r="G366" s="57">
        <v>0.69096265733242035</v>
      </c>
      <c r="H366" s="58">
        <v>9.1435185185185174E-4</v>
      </c>
    </row>
    <row r="367" spans="1:8">
      <c r="A367"/>
      <c r="B367"/>
      <c r="C367"/>
      <c r="D367"/>
      <c r="E367"/>
      <c r="F367" t="s">
        <v>1282</v>
      </c>
      <c r="G367" s="57">
        <v>0.61199092119932175</v>
      </c>
      <c r="H367" s="58">
        <v>7.7546296296296304E-4</v>
      </c>
    </row>
    <row r="368" spans="1:8">
      <c r="A368"/>
      <c r="B368"/>
      <c r="C368"/>
      <c r="D368"/>
      <c r="E368"/>
      <c r="F368" t="s">
        <v>1283</v>
      </c>
      <c r="G368" s="57">
        <v>1.971204936504364</v>
      </c>
      <c r="H368" s="58">
        <v>2.1643518518518518E-3</v>
      </c>
    </row>
    <row r="369" spans="1:8">
      <c r="A369"/>
      <c r="B369"/>
      <c r="C369"/>
      <c r="D369"/>
      <c r="E369"/>
      <c r="F369" t="s">
        <v>1284</v>
      </c>
      <c r="G369" s="57">
        <v>1.2668789848685265</v>
      </c>
      <c r="H369" s="58">
        <v>2.1064814814814817E-3</v>
      </c>
    </row>
    <row r="370" spans="1:8">
      <c r="A370"/>
      <c r="B370"/>
      <c r="C370"/>
      <c r="D370"/>
      <c r="E370"/>
      <c r="F370" t="s">
        <v>1285</v>
      </c>
      <c r="G370" s="57">
        <v>0.53410539031028748</v>
      </c>
      <c r="H370" s="58">
        <v>7.4074074074074081E-4</v>
      </c>
    </row>
    <row r="371" spans="1:8">
      <c r="A371"/>
      <c r="B371"/>
      <c r="C371"/>
      <c r="D371"/>
      <c r="E371"/>
      <c r="F371" t="s">
        <v>1286</v>
      </c>
      <c r="G371" s="57">
        <v>5.9772612527012825E-2</v>
      </c>
      <c r="H371" s="58">
        <v>9.2592592592592588E-5</v>
      </c>
    </row>
    <row r="372" spans="1:8">
      <c r="A372"/>
      <c r="B372"/>
      <c r="C372"/>
      <c r="D372"/>
      <c r="E372"/>
      <c r="F372" t="s">
        <v>1287</v>
      </c>
      <c r="G372" s="57">
        <v>8.4018044173717499E-2</v>
      </c>
      <c r="H372" s="58">
        <v>1.0416666666666667E-4</v>
      </c>
    </row>
    <row r="373" spans="1:8">
      <c r="A373"/>
      <c r="B373"/>
      <c r="C373"/>
      <c r="D373"/>
      <c r="E373"/>
      <c r="F373" t="s">
        <v>1288</v>
      </c>
      <c r="G373" s="57">
        <v>1.2967753224074841E-2</v>
      </c>
      <c r="H373" s="58">
        <v>2.3148148148148147E-5</v>
      </c>
    </row>
    <row r="374" spans="1:8">
      <c r="A374"/>
      <c r="B374"/>
      <c r="C374"/>
      <c r="D374"/>
      <c r="E374" t="s">
        <v>939</v>
      </c>
      <c r="F374" t="s">
        <v>1289</v>
      </c>
      <c r="G374" s="57">
        <v>0</v>
      </c>
      <c r="H374" s="58">
        <v>0</v>
      </c>
    </row>
    <row r="375" spans="1:8">
      <c r="A375"/>
      <c r="B375"/>
      <c r="C375"/>
      <c r="D375"/>
      <c r="E375"/>
      <c r="F375" t="s">
        <v>1290</v>
      </c>
      <c r="G375" s="57">
        <v>0</v>
      </c>
      <c r="H375" s="58">
        <v>0</v>
      </c>
    </row>
    <row r="376" spans="1:8">
      <c r="A376"/>
      <c r="B376"/>
      <c r="C376"/>
      <c r="D376"/>
      <c r="E376"/>
      <c r="F376" t="s">
        <v>1291</v>
      </c>
      <c r="G376" s="57">
        <v>0</v>
      </c>
      <c r="H376" s="58">
        <v>0</v>
      </c>
    </row>
    <row r="377" spans="1:8">
      <c r="A377"/>
      <c r="B377"/>
      <c r="C377"/>
      <c r="D377"/>
      <c r="E377"/>
      <c r="F377" t="s">
        <v>1292</v>
      </c>
      <c r="G377" s="57">
        <v>0</v>
      </c>
      <c r="H377" s="58">
        <v>0</v>
      </c>
    </row>
    <row r="378" spans="1:8">
      <c r="A378"/>
      <c r="B378"/>
      <c r="C378"/>
      <c r="D378"/>
      <c r="E378"/>
      <c r="F378" t="s">
        <v>1293</v>
      </c>
      <c r="G378" s="57">
        <v>0</v>
      </c>
      <c r="H378" s="58">
        <v>0</v>
      </c>
    </row>
    <row r="379" spans="1:8">
      <c r="A379"/>
      <c r="B379"/>
      <c r="C379"/>
      <c r="D379"/>
      <c r="E379"/>
      <c r="F379" t="s">
        <v>1294</v>
      </c>
      <c r="G379" s="57">
        <v>0</v>
      </c>
      <c r="H379" s="58">
        <v>0</v>
      </c>
    </row>
    <row r="380" spans="1:8">
      <c r="A380"/>
      <c r="B380"/>
      <c r="C380"/>
      <c r="D380"/>
      <c r="E380"/>
      <c r="F380" t="s">
        <v>1295</v>
      </c>
      <c r="G380" s="57">
        <v>0</v>
      </c>
      <c r="H380" s="58">
        <v>0</v>
      </c>
    </row>
    <row r="381" spans="1:8">
      <c r="A381"/>
      <c r="B381"/>
      <c r="C381"/>
      <c r="D381"/>
      <c r="E381"/>
      <c r="F381" t="s">
        <v>1296</v>
      </c>
      <c r="G381" s="57">
        <v>0</v>
      </c>
      <c r="H381" s="58">
        <v>0</v>
      </c>
    </row>
    <row r="382" spans="1:8">
      <c r="A382" t="s">
        <v>1017</v>
      </c>
      <c r="B382" t="s">
        <v>1019</v>
      </c>
      <c r="C382" t="s">
        <v>1020</v>
      </c>
      <c r="D382" t="s">
        <v>1021</v>
      </c>
      <c r="E382" t="s">
        <v>614</v>
      </c>
      <c r="F382" t="s">
        <v>1097</v>
      </c>
      <c r="G382" s="57">
        <v>9.1441059485077858E-3</v>
      </c>
      <c r="H382" s="58">
        <v>2.9490740740740741E-2</v>
      </c>
    </row>
    <row r="383" spans="1:8">
      <c r="A383"/>
      <c r="B383"/>
      <c r="C383"/>
      <c r="D383"/>
      <c r="E383" t="s">
        <v>645</v>
      </c>
      <c r="F383" t="s">
        <v>1106</v>
      </c>
      <c r="G383" s="57">
        <v>0.14740543067455292</v>
      </c>
      <c r="H383" s="58">
        <v>5.6712962962962967E-4</v>
      </c>
    </row>
    <row r="384" spans="1:8">
      <c r="A384"/>
      <c r="B384"/>
      <c r="C384"/>
      <c r="D384"/>
      <c r="E384"/>
      <c r="F384" t="s">
        <v>1129</v>
      </c>
      <c r="G384" s="57">
        <v>9.0124618262052536E-2</v>
      </c>
      <c r="H384" s="58">
        <v>2.3148148148148149E-4</v>
      </c>
    </row>
    <row r="385" spans="1:8">
      <c r="A385"/>
      <c r="B385"/>
      <c r="C385"/>
      <c r="D385"/>
      <c r="E385"/>
      <c r="F385" t="s">
        <v>1130</v>
      </c>
      <c r="G385" s="57">
        <v>0.28582999762147665</v>
      </c>
      <c r="H385" s="58">
        <v>1.2152777777777778E-3</v>
      </c>
    </row>
    <row r="386" spans="1:8">
      <c r="A386"/>
      <c r="B386"/>
      <c r="C386"/>
      <c r="D386"/>
      <c r="E386"/>
      <c r="F386" t="s">
        <v>1131</v>
      </c>
      <c r="G386" s="57">
        <v>0.31800471246242523</v>
      </c>
      <c r="H386" s="58">
        <v>1.0879629629629629E-3</v>
      </c>
    </row>
    <row r="387" spans="1:8">
      <c r="A387"/>
      <c r="B387"/>
      <c r="C387"/>
      <c r="D387"/>
      <c r="E387"/>
      <c r="F387" t="s">
        <v>1132</v>
      </c>
      <c r="G387" s="57">
        <v>0.85252393409609795</v>
      </c>
      <c r="H387" s="58">
        <v>3.2175925925925931E-3</v>
      </c>
    </row>
    <row r="388" spans="1:8">
      <c r="A388"/>
      <c r="B388"/>
      <c r="C388"/>
      <c r="D388"/>
      <c r="E388"/>
      <c r="F388" t="s">
        <v>1133</v>
      </c>
      <c r="G388" s="57">
        <v>1.1313742958009243</v>
      </c>
      <c r="H388" s="58">
        <v>4.1550925925925922E-3</v>
      </c>
    </row>
    <row r="389" spans="1:8">
      <c r="A389"/>
      <c r="B389"/>
      <c r="C389"/>
      <c r="D389"/>
      <c r="E389"/>
      <c r="F389" t="s">
        <v>1136</v>
      </c>
      <c r="G389" s="57">
        <v>4.2648885399103165E-2</v>
      </c>
      <c r="H389" s="58">
        <v>1.0416666666666667E-4</v>
      </c>
    </row>
    <row r="390" spans="1:8">
      <c r="A390"/>
      <c r="B390"/>
      <c r="C390"/>
      <c r="D390"/>
      <c r="E390"/>
      <c r="F390" t="s">
        <v>1137</v>
      </c>
      <c r="G390" s="57">
        <v>0.18447498977184296</v>
      </c>
      <c r="H390" s="58">
        <v>4.6296296296296298E-4</v>
      </c>
    </row>
    <row r="391" spans="1:8">
      <c r="A391"/>
      <c r="B391"/>
      <c r="C391"/>
      <c r="D391"/>
      <c r="E391"/>
      <c r="F391" t="s">
        <v>1138</v>
      </c>
      <c r="G391" s="57">
        <v>0.18272776901721954</v>
      </c>
      <c r="H391" s="58">
        <v>3.4722222222222224E-4</v>
      </c>
    </row>
    <row r="392" spans="1:8">
      <c r="A392"/>
      <c r="B392"/>
      <c r="C392"/>
      <c r="D392"/>
      <c r="E392" t="s">
        <v>762</v>
      </c>
      <c r="F392" t="s">
        <v>1146</v>
      </c>
      <c r="G392" s="57">
        <v>0.30264663323760033</v>
      </c>
      <c r="H392" s="58">
        <v>4.0509259259259264E-4</v>
      </c>
    </row>
    <row r="393" spans="1:8">
      <c r="A393"/>
      <c r="B393"/>
      <c r="C393"/>
      <c r="D393"/>
      <c r="E393"/>
      <c r="F393" t="s">
        <v>1161</v>
      </c>
      <c r="G393" s="57">
        <v>0.17245160043239594</v>
      </c>
      <c r="H393" s="58">
        <v>2.199074074074074E-4</v>
      </c>
    </row>
    <row r="394" spans="1:8">
      <c r="A394" t="s">
        <v>1022</v>
      </c>
      <c r="B394">
        <v>0</v>
      </c>
      <c r="C394">
        <v>0</v>
      </c>
      <c r="D394">
        <v>0</v>
      </c>
      <c r="E394" t="s">
        <v>614</v>
      </c>
      <c r="F394" t="s">
        <v>1097</v>
      </c>
      <c r="G394" s="57">
        <v>0.1016641540445562</v>
      </c>
      <c r="H394" s="58">
        <v>0.12427083333333333</v>
      </c>
    </row>
    <row r="395" spans="1:8">
      <c r="A395"/>
      <c r="B395"/>
      <c r="C395"/>
      <c r="D395"/>
      <c r="E395" t="s">
        <v>754</v>
      </c>
      <c r="F395" t="s">
        <v>1155</v>
      </c>
      <c r="G395" s="57">
        <v>3.4750469028949738E-2</v>
      </c>
      <c r="H395" s="58">
        <v>1.3888888888888889E-4</v>
      </c>
    </row>
    <row r="396" spans="1:8">
      <c r="A396"/>
      <c r="B396"/>
      <c r="C396"/>
      <c r="D396"/>
      <c r="E396"/>
      <c r="F396" t="s">
        <v>1156</v>
      </c>
      <c r="G396" s="57">
        <v>6.0617540031671524E-2</v>
      </c>
      <c r="H396" s="58">
        <v>2.199074074074074E-4</v>
      </c>
    </row>
    <row r="397" spans="1:8">
      <c r="A397"/>
      <c r="B397"/>
      <c r="C397"/>
      <c r="D397"/>
      <c r="E397"/>
      <c r="F397" t="s">
        <v>1187</v>
      </c>
      <c r="G397" s="57">
        <v>6.0830367729067802E-2</v>
      </c>
      <c r="H397" s="58">
        <v>2.6620370370370372E-4</v>
      </c>
    </row>
    <row r="398" spans="1:8">
      <c r="A398" t="s">
        <v>1024</v>
      </c>
      <c r="B398">
        <v>0</v>
      </c>
      <c r="C398">
        <v>0</v>
      </c>
      <c r="D398">
        <v>0</v>
      </c>
      <c r="E398" t="s">
        <v>614</v>
      </c>
      <c r="F398" t="s">
        <v>1097</v>
      </c>
      <c r="G398" s="57">
        <v>0.20501170121133327</v>
      </c>
      <c r="H398" s="58">
        <v>0.16855324074074074</v>
      </c>
    </row>
    <row r="399" spans="1:8">
      <c r="A399"/>
      <c r="B399"/>
      <c r="C399"/>
      <c r="D399"/>
      <c r="E399" t="s">
        <v>625</v>
      </c>
      <c r="F399" t="s">
        <v>1128</v>
      </c>
      <c r="G399" s="57">
        <v>0</v>
      </c>
      <c r="H399" s="58">
        <v>0</v>
      </c>
    </row>
    <row r="400" spans="1:8">
      <c r="A400"/>
      <c r="B400"/>
      <c r="C400"/>
      <c r="D400"/>
      <c r="E400"/>
      <c r="F400" t="s">
        <v>1261</v>
      </c>
      <c r="G400" s="57">
        <v>0</v>
      </c>
      <c r="H400" s="58">
        <v>0</v>
      </c>
    </row>
    <row r="401" spans="1:8">
      <c r="A401"/>
      <c r="B401"/>
      <c r="C401"/>
      <c r="D401"/>
      <c r="E401"/>
      <c r="F401" t="s">
        <v>1297</v>
      </c>
      <c r="G401" s="57">
        <v>0</v>
      </c>
      <c r="H401" s="58">
        <v>0</v>
      </c>
    </row>
    <row r="402" spans="1:8">
      <c r="A402"/>
      <c r="B402"/>
      <c r="C402"/>
      <c r="D402"/>
      <c r="E402"/>
      <c r="F402" t="s">
        <v>1298</v>
      </c>
      <c r="G402" s="57">
        <v>0</v>
      </c>
      <c r="H402" s="58">
        <v>0</v>
      </c>
    </row>
    <row r="403" spans="1:8">
      <c r="A403"/>
      <c r="B403"/>
      <c r="C403"/>
      <c r="D403"/>
      <c r="E403" t="s">
        <v>645</v>
      </c>
      <c r="F403" t="s">
        <v>1105</v>
      </c>
      <c r="G403" s="57">
        <v>2.0149044576101005E-4</v>
      </c>
      <c r="H403" s="58">
        <v>0</v>
      </c>
    </row>
    <row r="404" spans="1:8">
      <c r="A404"/>
      <c r="B404"/>
      <c r="C404"/>
      <c r="D404"/>
      <c r="E404"/>
      <c r="F404" t="s">
        <v>1130</v>
      </c>
      <c r="G404" s="57">
        <v>0.32522229058668017</v>
      </c>
      <c r="H404" s="58">
        <v>1.261574074074074E-3</v>
      </c>
    </row>
    <row r="405" spans="1:8">
      <c r="A405"/>
      <c r="B405"/>
      <c r="C405"/>
      <c r="D405"/>
      <c r="E405"/>
      <c r="F405" t="s">
        <v>1131</v>
      </c>
      <c r="G405" s="57">
        <v>0.14076884090900421</v>
      </c>
      <c r="H405" s="58">
        <v>4.6296296296296298E-4</v>
      </c>
    </row>
    <row r="406" spans="1:8">
      <c r="A406"/>
      <c r="B406"/>
      <c r="C406"/>
      <c r="D406"/>
      <c r="E406"/>
      <c r="F406" t="s">
        <v>1132</v>
      </c>
      <c r="G406" s="57">
        <v>6.8482242524623871E-2</v>
      </c>
      <c r="H406" s="58">
        <v>2.7777777777777778E-4</v>
      </c>
    </row>
    <row r="407" spans="1:8">
      <c r="A407"/>
      <c r="B407"/>
      <c r="C407"/>
      <c r="D407"/>
      <c r="E407"/>
      <c r="F407" t="s">
        <v>1133</v>
      </c>
      <c r="G407" s="57">
        <v>0.17841908382251859</v>
      </c>
      <c r="H407" s="58">
        <v>6.7129629629629635E-4</v>
      </c>
    </row>
    <row r="408" spans="1:8">
      <c r="A408"/>
      <c r="B408"/>
      <c r="C408"/>
      <c r="D408"/>
      <c r="E408"/>
      <c r="F408" t="s">
        <v>1134</v>
      </c>
      <c r="G408" s="57">
        <v>0.18379375338554382</v>
      </c>
      <c r="H408" s="58">
        <v>3.0092592592592595E-4</v>
      </c>
    </row>
    <row r="409" spans="1:8">
      <c r="A409"/>
      <c r="B409"/>
      <c r="C409"/>
      <c r="D409"/>
      <c r="E409"/>
      <c r="F409" t="s">
        <v>1137</v>
      </c>
      <c r="G409" s="57">
        <v>7.9250730574131012E-2</v>
      </c>
      <c r="H409" s="58">
        <v>1.6203703703703703E-4</v>
      </c>
    </row>
    <row r="410" spans="1:8">
      <c r="A410"/>
      <c r="B410"/>
      <c r="C410"/>
      <c r="D410"/>
      <c r="E410"/>
      <c r="F410" t="s">
        <v>1138</v>
      </c>
      <c r="G410" s="57">
        <v>0.18268759548664093</v>
      </c>
      <c r="H410" s="58">
        <v>2.8935185185185184E-4</v>
      </c>
    </row>
    <row r="411" spans="1:8">
      <c r="A411"/>
      <c r="B411"/>
      <c r="C411"/>
      <c r="D411"/>
      <c r="E411"/>
      <c r="F411" t="s">
        <v>1140</v>
      </c>
      <c r="G411" s="57">
        <v>0.32218046486377716</v>
      </c>
      <c r="H411" s="58">
        <v>6.9444444444444436E-4</v>
      </c>
    </row>
    <row r="412" spans="1:8">
      <c r="A412"/>
      <c r="B412"/>
      <c r="C412"/>
      <c r="D412"/>
      <c r="E412"/>
      <c r="F412" t="s">
        <v>1147</v>
      </c>
      <c r="G412" s="57">
        <v>2.1506365388631821E-2</v>
      </c>
      <c r="H412" s="58">
        <v>6.9444444444444444E-5</v>
      </c>
    </row>
    <row r="413" spans="1:8">
      <c r="A413"/>
      <c r="B413"/>
      <c r="C413"/>
      <c r="D413"/>
      <c r="E413"/>
      <c r="F413" t="s">
        <v>1148</v>
      </c>
      <c r="G413" s="57">
        <v>0.53490114212036133</v>
      </c>
      <c r="H413" s="58">
        <v>8.1018518518518516E-4</v>
      </c>
    </row>
    <row r="414" spans="1:8">
      <c r="A414"/>
      <c r="B414"/>
      <c r="C414"/>
      <c r="D414"/>
      <c r="E414"/>
      <c r="F414" t="s">
        <v>1166</v>
      </c>
      <c r="G414" s="57">
        <v>0.71905028820037842</v>
      </c>
      <c r="H414" s="58">
        <v>1.2268518518518518E-3</v>
      </c>
    </row>
    <row r="415" spans="1:8">
      <c r="A415"/>
      <c r="B415"/>
      <c r="C415"/>
      <c r="D415"/>
      <c r="E415"/>
      <c r="F415" t="s">
        <v>1196</v>
      </c>
      <c r="G415" s="57">
        <v>0.12586846947669983</v>
      </c>
      <c r="H415" s="58">
        <v>2.6620370370370372E-4</v>
      </c>
    </row>
    <row r="416" spans="1:8">
      <c r="A416"/>
      <c r="B416"/>
      <c r="C416"/>
      <c r="D416"/>
      <c r="E416"/>
      <c r="F416" t="s">
        <v>1198</v>
      </c>
      <c r="G416" s="57">
        <v>0.18261578679084778</v>
      </c>
      <c r="H416" s="58">
        <v>2.0833333333333335E-4</v>
      </c>
    </row>
    <row r="417" spans="1:8">
      <c r="A417"/>
      <c r="B417"/>
      <c r="C417"/>
      <c r="D417"/>
      <c r="E417"/>
      <c r="F417" t="s">
        <v>1217</v>
      </c>
      <c r="G417" s="57">
        <v>7.7775426208972931E-2</v>
      </c>
      <c r="H417" s="58">
        <v>1.9675925925925926E-4</v>
      </c>
    </row>
    <row r="418" spans="1:8">
      <c r="A418"/>
      <c r="B418"/>
      <c r="C418"/>
      <c r="D418"/>
      <c r="E418"/>
      <c r="F418" t="s">
        <v>1218</v>
      </c>
      <c r="G418" s="57">
        <v>0.18369325995445251</v>
      </c>
      <c r="H418" s="58">
        <v>2.5462962962962961E-4</v>
      </c>
    </row>
    <row r="419" spans="1:8">
      <c r="A419"/>
      <c r="B419"/>
      <c r="C419"/>
      <c r="D419"/>
      <c r="E419"/>
      <c r="F419" t="s">
        <v>1299</v>
      </c>
      <c r="G419" s="57">
        <v>0.18382279574871063</v>
      </c>
      <c r="H419" s="58">
        <v>2.4305555555555555E-4</v>
      </c>
    </row>
    <row r="420" spans="1:8">
      <c r="A420"/>
      <c r="B420"/>
      <c r="C420"/>
      <c r="D420"/>
      <c r="E420" t="s">
        <v>656</v>
      </c>
      <c r="F420" t="s">
        <v>1172</v>
      </c>
      <c r="G420" s="57">
        <v>0.29547443985939026</v>
      </c>
      <c r="H420" s="58">
        <v>5.0925925925925921E-4</v>
      </c>
    </row>
    <row r="421" spans="1:8">
      <c r="A421"/>
      <c r="B421"/>
      <c r="C421"/>
      <c r="D421"/>
      <c r="E421"/>
      <c r="F421" t="s">
        <v>1300</v>
      </c>
      <c r="G421" s="57">
        <v>0.2873547375202179</v>
      </c>
      <c r="H421" s="58">
        <v>4.2824074074074075E-4</v>
      </c>
    </row>
    <row r="422" spans="1:8">
      <c r="A422"/>
      <c r="B422"/>
      <c r="C422"/>
      <c r="D422"/>
      <c r="E422"/>
      <c r="F422" t="s">
        <v>1301</v>
      </c>
      <c r="G422" s="57">
        <v>0.30687850713729858</v>
      </c>
      <c r="H422" s="58">
        <v>4.9768518518518521E-4</v>
      </c>
    </row>
    <row r="423" spans="1:8">
      <c r="A423"/>
      <c r="B423"/>
      <c r="C423"/>
      <c r="D423"/>
      <c r="E423"/>
      <c r="F423" t="s">
        <v>1302</v>
      </c>
      <c r="G423" s="57">
        <v>0.30573582649230957</v>
      </c>
      <c r="H423" s="58">
        <v>5.3240740740740744E-4</v>
      </c>
    </row>
    <row r="424" spans="1:8">
      <c r="A424"/>
      <c r="B424"/>
      <c r="C424"/>
      <c r="D424"/>
      <c r="E424" t="s">
        <v>685</v>
      </c>
      <c r="F424" t="s">
        <v>1150</v>
      </c>
      <c r="G424" s="57">
        <v>2.6703786716097966E-5</v>
      </c>
      <c r="H424" s="58">
        <v>0</v>
      </c>
    </row>
    <row r="425" spans="1:8">
      <c r="A425"/>
      <c r="B425"/>
      <c r="C425"/>
      <c r="D425"/>
      <c r="E425"/>
      <c r="F425" t="s">
        <v>1303</v>
      </c>
      <c r="G425" s="57">
        <v>9.4550116045866162E-5</v>
      </c>
      <c r="H425" s="58">
        <v>0</v>
      </c>
    </row>
    <row r="426" spans="1:8">
      <c r="A426"/>
      <c r="B426"/>
      <c r="C426"/>
      <c r="D426"/>
      <c r="E426"/>
      <c r="F426" t="s">
        <v>1304</v>
      </c>
      <c r="G426" s="57">
        <v>2.0070152822881937E-3</v>
      </c>
      <c r="H426" s="58">
        <v>0</v>
      </c>
    </row>
    <row r="427" spans="1:8">
      <c r="A427"/>
      <c r="B427"/>
      <c r="C427"/>
      <c r="D427"/>
      <c r="E427"/>
      <c r="F427" t="s">
        <v>1305</v>
      </c>
      <c r="G427" s="57">
        <v>1.4560871059074998E-3</v>
      </c>
      <c r="H427" s="58">
        <v>0</v>
      </c>
    </row>
    <row r="428" spans="1:8">
      <c r="A428"/>
      <c r="B428"/>
      <c r="C428"/>
      <c r="D428"/>
      <c r="E428" t="s">
        <v>757</v>
      </c>
      <c r="F428" t="s">
        <v>1145</v>
      </c>
      <c r="G428" s="57">
        <v>4.9854442356154323</v>
      </c>
      <c r="H428" s="58">
        <v>5.1851851851851842E-3</v>
      </c>
    </row>
    <row r="429" spans="1:8">
      <c r="A429"/>
      <c r="B429"/>
      <c r="C429"/>
      <c r="D429"/>
      <c r="E429"/>
      <c r="F429" t="s">
        <v>1157</v>
      </c>
      <c r="G429" s="57">
        <v>3.6941483989357948</v>
      </c>
      <c r="H429" s="58">
        <v>3.7384259259259259E-3</v>
      </c>
    </row>
    <row r="430" spans="1:8">
      <c r="A430"/>
      <c r="B430"/>
      <c r="C430"/>
      <c r="D430"/>
      <c r="E430"/>
      <c r="F430" t="s">
        <v>1158</v>
      </c>
      <c r="G430" s="57">
        <v>1.9109578728675842</v>
      </c>
      <c r="H430" s="58">
        <v>1.9097222222222224E-3</v>
      </c>
    </row>
    <row r="431" spans="1:8">
      <c r="A431"/>
      <c r="B431"/>
      <c r="C431"/>
      <c r="D431"/>
      <c r="E431"/>
      <c r="F431" t="s">
        <v>1202</v>
      </c>
      <c r="G431" s="57">
        <v>1.9740984439849854</v>
      </c>
      <c r="H431" s="58">
        <v>1.8287037037037037E-3</v>
      </c>
    </row>
    <row r="432" spans="1:8">
      <c r="A432"/>
      <c r="B432"/>
      <c r="C432"/>
      <c r="D432"/>
      <c r="E432"/>
      <c r="F432" t="s">
        <v>1203</v>
      </c>
      <c r="G432" s="57">
        <v>2.2302903160452843</v>
      </c>
      <c r="H432" s="58">
        <v>2.2685185185185182E-3</v>
      </c>
    </row>
    <row r="433" spans="1:8">
      <c r="A433"/>
      <c r="B433"/>
      <c r="C433"/>
      <c r="D433"/>
      <c r="E433"/>
      <c r="F433" t="s">
        <v>1204</v>
      </c>
      <c r="G433" s="57">
        <v>2.0374471545219421</v>
      </c>
      <c r="H433" s="58">
        <v>2.0023148148148148E-3</v>
      </c>
    </row>
    <row r="434" spans="1:8">
      <c r="A434"/>
      <c r="B434"/>
      <c r="C434"/>
      <c r="D434"/>
      <c r="E434"/>
      <c r="F434" t="s">
        <v>1205</v>
      </c>
      <c r="G434" s="57">
        <v>2.1974051594734192</v>
      </c>
      <c r="H434" s="58">
        <v>2.1180555555555558E-3</v>
      </c>
    </row>
    <row r="435" spans="1:8">
      <c r="A435"/>
      <c r="B435"/>
      <c r="C435"/>
      <c r="D435"/>
      <c r="E435"/>
      <c r="F435" t="s">
        <v>1306</v>
      </c>
      <c r="G435" s="57">
        <v>0.41583928465843201</v>
      </c>
      <c r="H435" s="58">
        <v>3.9351851851851852E-4</v>
      </c>
    </row>
    <row r="436" spans="1:8">
      <c r="A436"/>
      <c r="B436"/>
      <c r="C436"/>
      <c r="D436"/>
      <c r="E436" t="s">
        <v>762</v>
      </c>
      <c r="F436" t="s">
        <v>1146</v>
      </c>
      <c r="G436" s="57">
        <v>0.45286795124411583</v>
      </c>
      <c r="H436" s="58">
        <v>6.3657407407407413E-4</v>
      </c>
    </row>
    <row r="437" spans="1:8">
      <c r="A437"/>
      <c r="B437"/>
      <c r="C437"/>
      <c r="D437"/>
      <c r="E437"/>
      <c r="F437" t="s">
        <v>1159</v>
      </c>
      <c r="G437" s="57">
        <v>0.91506160795688629</v>
      </c>
      <c r="H437" s="58">
        <v>1.1226851851851851E-3</v>
      </c>
    </row>
    <row r="438" spans="1:8">
      <c r="A438"/>
      <c r="B438"/>
      <c r="C438"/>
      <c r="D438"/>
      <c r="E438"/>
      <c r="F438" t="s">
        <v>1160</v>
      </c>
      <c r="G438" s="57">
        <v>0.47349813021719456</v>
      </c>
      <c r="H438" s="58">
        <v>6.134259259259259E-4</v>
      </c>
    </row>
    <row r="439" spans="1:8">
      <c r="A439"/>
      <c r="B439"/>
      <c r="C439"/>
      <c r="D439"/>
      <c r="E439"/>
      <c r="F439" t="s">
        <v>1161</v>
      </c>
      <c r="G439" s="57">
        <v>0.60683439299464226</v>
      </c>
      <c r="H439" s="58">
        <v>7.6388888888888893E-4</v>
      </c>
    </row>
    <row r="440" spans="1:8">
      <c r="A440"/>
      <c r="B440"/>
      <c r="C440"/>
      <c r="D440"/>
      <c r="E440"/>
      <c r="F440" t="s">
        <v>1193</v>
      </c>
      <c r="G440" s="57">
        <v>0.35019247233867645</v>
      </c>
      <c r="H440" s="58">
        <v>3.9351851851851852E-4</v>
      </c>
    </row>
    <row r="441" spans="1:8">
      <c r="A441"/>
      <c r="B441"/>
      <c r="C441"/>
      <c r="D441"/>
      <c r="E441"/>
      <c r="F441" t="s">
        <v>1208</v>
      </c>
      <c r="G441" s="57">
        <v>0.83246883191168308</v>
      </c>
      <c r="H441" s="58">
        <v>1.0532407407407409E-3</v>
      </c>
    </row>
    <row r="442" spans="1:8">
      <c r="A442"/>
      <c r="B442"/>
      <c r="C442"/>
      <c r="D442"/>
      <c r="E442"/>
      <c r="F442" t="s">
        <v>1209</v>
      </c>
      <c r="G442" s="57">
        <v>0.39729171991348267</v>
      </c>
      <c r="H442" s="58">
        <v>4.9768518518518521E-4</v>
      </c>
    </row>
    <row r="443" spans="1:8">
      <c r="A443"/>
      <c r="B443"/>
      <c r="C443"/>
      <c r="D443"/>
      <c r="E443"/>
      <c r="F443" t="s">
        <v>1210</v>
      </c>
      <c r="G443" s="57">
        <v>0.3342935498803854</v>
      </c>
      <c r="H443" s="58">
        <v>4.5138888888888892E-4</v>
      </c>
    </row>
    <row r="444" spans="1:8">
      <c r="A444"/>
      <c r="B444"/>
      <c r="C444"/>
      <c r="D444"/>
      <c r="E444"/>
      <c r="F444" t="s">
        <v>1213</v>
      </c>
      <c r="G444" s="57">
        <v>0.96442034840583801</v>
      </c>
      <c r="H444" s="58">
        <v>1.0763888888888889E-3</v>
      </c>
    </row>
    <row r="445" spans="1:8">
      <c r="A445"/>
      <c r="B445"/>
      <c r="C445"/>
      <c r="D445"/>
      <c r="E445"/>
      <c r="F445" t="s">
        <v>1214</v>
      </c>
      <c r="G445" s="57">
        <v>0.33942432701587677</v>
      </c>
      <c r="H445" s="58">
        <v>3.9351851851851852E-4</v>
      </c>
    </row>
    <row r="446" spans="1:8">
      <c r="A446"/>
      <c r="B446"/>
      <c r="C446"/>
      <c r="D446"/>
      <c r="E446"/>
      <c r="F446" t="s">
        <v>1215</v>
      </c>
      <c r="G446" s="57">
        <v>0.29928857088088989</v>
      </c>
      <c r="H446" s="58">
        <v>3.3564814814814812E-4</v>
      </c>
    </row>
    <row r="447" spans="1:8">
      <c r="A447"/>
      <c r="B447"/>
      <c r="C447"/>
      <c r="D447"/>
      <c r="E447" t="s">
        <v>875</v>
      </c>
      <c r="F447" t="s">
        <v>1239</v>
      </c>
      <c r="G447" s="57">
        <v>0.73558157682418823</v>
      </c>
      <c r="H447" s="58">
        <v>1.2731481481481483E-3</v>
      </c>
    </row>
    <row r="448" spans="1:8">
      <c r="A448"/>
      <c r="B448"/>
      <c r="C448"/>
      <c r="D448"/>
      <c r="E448"/>
      <c r="F448" t="s">
        <v>1254</v>
      </c>
      <c r="G448" s="57">
        <v>0.17478886991739273</v>
      </c>
      <c r="H448" s="58">
        <v>3.3564814814814812E-4</v>
      </c>
    </row>
    <row r="449" spans="1:8">
      <c r="A449"/>
      <c r="B449"/>
      <c r="C449"/>
      <c r="D449"/>
      <c r="E449"/>
      <c r="F449" t="s">
        <v>1288</v>
      </c>
      <c r="G449" s="57">
        <v>0.50196796655654907</v>
      </c>
      <c r="H449" s="58">
        <v>8.7962962962962962E-4</v>
      </c>
    </row>
    <row r="450" spans="1:8">
      <c r="A450"/>
      <c r="B450"/>
      <c r="C450"/>
      <c r="D450"/>
      <c r="E450"/>
      <c r="F450" t="s">
        <v>1307</v>
      </c>
      <c r="G450" s="57">
        <v>0.29917660355567932</v>
      </c>
      <c r="H450" s="58">
        <v>5.7870370370370367E-4</v>
      </c>
    </row>
    <row r="451" spans="1:8">
      <c r="A451" t="s">
        <v>1040</v>
      </c>
      <c r="B451">
        <v>0</v>
      </c>
      <c r="C451">
        <v>0</v>
      </c>
      <c r="D451">
        <v>0</v>
      </c>
      <c r="E451" t="s">
        <v>614</v>
      </c>
      <c r="F451" t="s">
        <v>1097</v>
      </c>
      <c r="G451" s="57">
        <v>3.5242748446762562E-2</v>
      </c>
      <c r="H451" s="58">
        <v>2.5520833333333333E-2</v>
      </c>
    </row>
    <row r="452" spans="1:8">
      <c r="A452"/>
      <c r="B452"/>
      <c r="C452"/>
      <c r="D452"/>
      <c r="E452" t="s">
        <v>645</v>
      </c>
      <c r="F452" t="s">
        <v>1105</v>
      </c>
      <c r="G452" s="57">
        <v>3.7098182365298271E-3</v>
      </c>
      <c r="H452" s="58">
        <v>1.1574074074074073E-5</v>
      </c>
    </row>
    <row r="453" spans="1:8">
      <c r="A453"/>
      <c r="B453"/>
      <c r="C453"/>
      <c r="D453"/>
      <c r="E453"/>
      <c r="F453" t="s">
        <v>1106</v>
      </c>
      <c r="G453" s="57">
        <v>0.58941205218434334</v>
      </c>
      <c r="H453" s="58">
        <v>2.2106481481481482E-3</v>
      </c>
    </row>
    <row r="454" spans="1:8">
      <c r="A454"/>
      <c r="B454"/>
      <c r="C454"/>
      <c r="D454"/>
      <c r="E454"/>
      <c r="F454" t="s">
        <v>1129</v>
      </c>
      <c r="G454" s="57">
        <v>0.11400726065039635</v>
      </c>
      <c r="H454" s="58">
        <v>2.8935185185185184E-4</v>
      </c>
    </row>
    <row r="455" spans="1:8">
      <c r="A455"/>
      <c r="B455"/>
      <c r="C455"/>
      <c r="D455"/>
      <c r="E455"/>
      <c r="F455" t="s">
        <v>1130</v>
      </c>
      <c r="G455" s="57">
        <v>1.1126147080212831</v>
      </c>
      <c r="H455" s="58">
        <v>4.4791666666666669E-3</v>
      </c>
    </row>
    <row r="456" spans="1:8">
      <c r="A456"/>
      <c r="B456"/>
      <c r="C456"/>
      <c r="D456"/>
      <c r="E456"/>
      <c r="F456" t="s">
        <v>1131</v>
      </c>
      <c r="G456" s="57">
        <v>0.17985254153609276</v>
      </c>
      <c r="H456" s="58">
        <v>4.7453703703703704E-4</v>
      </c>
    </row>
    <row r="457" spans="1:8">
      <c r="A457"/>
      <c r="B457"/>
      <c r="C457"/>
      <c r="D457"/>
      <c r="E457"/>
      <c r="F457" t="s">
        <v>1132</v>
      </c>
      <c r="G457" s="57">
        <v>0.33496113028377295</v>
      </c>
      <c r="H457" s="58">
        <v>1.3657407407407407E-3</v>
      </c>
    </row>
    <row r="458" spans="1:8">
      <c r="A458"/>
      <c r="B458"/>
      <c r="C458"/>
      <c r="D458"/>
      <c r="E458"/>
      <c r="F458" t="s">
        <v>1133</v>
      </c>
      <c r="G458" s="57">
        <v>0.36080164089798927</v>
      </c>
      <c r="H458" s="58">
        <v>1.2152777777777778E-3</v>
      </c>
    </row>
    <row r="459" spans="1:8">
      <c r="A459"/>
      <c r="B459"/>
      <c r="C459"/>
      <c r="D459"/>
      <c r="E459"/>
      <c r="F459" t="s">
        <v>1136</v>
      </c>
      <c r="G459" s="57">
        <v>0.18975785374641418</v>
      </c>
      <c r="H459" s="58">
        <v>5.4398148148148144E-4</v>
      </c>
    </row>
    <row r="460" spans="1:8">
      <c r="A460"/>
      <c r="B460"/>
      <c r="C460"/>
      <c r="D460"/>
      <c r="E460"/>
      <c r="F460" t="s">
        <v>1139</v>
      </c>
      <c r="G460" s="57">
        <v>0.58561114966869354</v>
      </c>
      <c r="H460" s="58">
        <v>1.5393518518518519E-3</v>
      </c>
    </row>
    <row r="461" spans="1:8">
      <c r="A461"/>
      <c r="B461"/>
      <c r="C461"/>
      <c r="D461"/>
      <c r="E461"/>
      <c r="F461" t="s">
        <v>1140</v>
      </c>
      <c r="G461" s="57">
        <v>0.40001179277896881</v>
      </c>
      <c r="H461" s="58">
        <v>8.9120370370370373E-4</v>
      </c>
    </row>
    <row r="462" spans="1:8">
      <c r="A462"/>
      <c r="B462"/>
      <c r="C462"/>
      <c r="D462"/>
      <c r="E462"/>
      <c r="F462" t="s">
        <v>1147</v>
      </c>
      <c r="G462" s="57">
        <v>0.21524799522012472</v>
      </c>
      <c r="H462" s="58">
        <v>6.7129629629629625E-4</v>
      </c>
    </row>
    <row r="463" spans="1:8">
      <c r="A463"/>
      <c r="B463"/>
      <c r="C463"/>
      <c r="D463"/>
      <c r="E463"/>
      <c r="F463" t="s">
        <v>1196</v>
      </c>
      <c r="G463" s="57">
        <v>0.18367443978786469</v>
      </c>
      <c r="H463" s="58">
        <v>2.8935185185185184E-4</v>
      </c>
    </row>
    <row r="464" spans="1:8">
      <c r="A464"/>
      <c r="B464"/>
      <c r="C464"/>
      <c r="D464"/>
      <c r="E464"/>
      <c r="F464" t="s">
        <v>1217</v>
      </c>
      <c r="G464" s="57">
        <v>0.11736620217561722</v>
      </c>
      <c r="H464" s="58">
        <v>2.8935185185185184E-4</v>
      </c>
    </row>
    <row r="465" spans="1:8">
      <c r="A465"/>
      <c r="B465"/>
      <c r="C465"/>
      <c r="D465"/>
      <c r="E465" t="s">
        <v>656</v>
      </c>
      <c r="F465" t="s">
        <v>1167</v>
      </c>
      <c r="G465" s="57">
        <v>0.29337120056152344</v>
      </c>
      <c r="H465" s="58">
        <v>4.9768518518518521E-4</v>
      </c>
    </row>
    <row r="466" spans="1:8">
      <c r="A466"/>
      <c r="B466"/>
      <c r="C466"/>
      <c r="D466"/>
      <c r="E466"/>
      <c r="F466" t="s">
        <v>1168</v>
      </c>
      <c r="G466" s="57">
        <v>0.46691873669624329</v>
      </c>
      <c r="H466" s="58">
        <v>7.1759259259259259E-4</v>
      </c>
    </row>
    <row r="467" spans="1:8">
      <c r="A467"/>
      <c r="B467"/>
      <c r="C467"/>
      <c r="D467"/>
      <c r="E467"/>
      <c r="F467" t="s">
        <v>1199</v>
      </c>
      <c r="G467" s="57">
        <v>0.307466059923172</v>
      </c>
      <c r="H467" s="58">
        <v>6.7129629629629625E-4</v>
      </c>
    </row>
    <row r="468" spans="1:8">
      <c r="A468"/>
      <c r="B468"/>
      <c r="C468"/>
      <c r="D468"/>
      <c r="E468"/>
      <c r="F468" t="s">
        <v>1219</v>
      </c>
      <c r="G468" s="57">
        <v>0.30160501599311829</v>
      </c>
      <c r="H468" s="58">
        <v>8.4490740740740739E-4</v>
      </c>
    </row>
    <row r="469" spans="1:8">
      <c r="A469"/>
      <c r="B469"/>
      <c r="C469"/>
      <c r="D469"/>
      <c r="E469"/>
      <c r="F469" t="s">
        <v>1220</v>
      </c>
      <c r="G469" s="57">
        <v>1.0623590052127838</v>
      </c>
      <c r="H469" s="58">
        <v>2.4305555555555556E-3</v>
      </c>
    </row>
    <row r="470" spans="1:8">
      <c r="A470"/>
      <c r="B470"/>
      <c r="C470"/>
      <c r="D470"/>
      <c r="E470"/>
      <c r="F470" t="s">
        <v>1221</v>
      </c>
      <c r="G470" s="57">
        <v>0.29454463720321655</v>
      </c>
      <c r="H470" s="58">
        <v>6.3657407407407413E-4</v>
      </c>
    </row>
    <row r="471" spans="1:8">
      <c r="A471"/>
      <c r="B471"/>
      <c r="C471"/>
      <c r="D471"/>
      <c r="E471"/>
      <c r="F471" t="s">
        <v>1302</v>
      </c>
      <c r="G471" s="57">
        <v>0.30317482352256775</v>
      </c>
      <c r="H471" s="58">
        <v>5.4398148148148144E-4</v>
      </c>
    </row>
    <row r="472" spans="1:8">
      <c r="A472"/>
      <c r="B472"/>
      <c r="C472"/>
      <c r="D472"/>
      <c r="E472"/>
      <c r="F472" t="s">
        <v>1308</v>
      </c>
      <c r="G472" s="57">
        <v>1.3163180947303772</v>
      </c>
      <c r="H472" s="58">
        <v>2.4305555555555556E-3</v>
      </c>
    </row>
    <row r="473" spans="1:8">
      <c r="A473"/>
      <c r="B473"/>
      <c r="C473"/>
      <c r="D473"/>
      <c r="E473"/>
      <c r="F473" t="s">
        <v>1309</v>
      </c>
      <c r="G473" s="57">
        <v>0.77633994817733765</v>
      </c>
      <c r="H473" s="58">
        <v>1.7939814814814815E-3</v>
      </c>
    </row>
    <row r="474" spans="1:8">
      <c r="A474"/>
      <c r="B474"/>
      <c r="C474"/>
      <c r="D474"/>
      <c r="E474"/>
      <c r="F474" t="s">
        <v>1310</v>
      </c>
      <c r="G474" s="57">
        <v>0.22359070181846619</v>
      </c>
      <c r="H474" s="58">
        <v>7.291666666666667E-4</v>
      </c>
    </row>
    <row r="475" spans="1:8">
      <c r="A475"/>
      <c r="B475"/>
      <c r="C475"/>
      <c r="D475"/>
      <c r="E475"/>
      <c r="F475" t="s">
        <v>1311</v>
      </c>
      <c r="G475" s="57">
        <v>6.1692163348197937E-2</v>
      </c>
      <c r="H475" s="58">
        <v>1.8518518518518518E-4</v>
      </c>
    </row>
    <row r="476" spans="1:8">
      <c r="A476"/>
      <c r="B476"/>
      <c r="C476"/>
      <c r="D476"/>
      <c r="E476"/>
      <c r="F476" t="s">
        <v>1312</v>
      </c>
      <c r="G476" s="57">
        <v>0.30578452348709106</v>
      </c>
      <c r="H476" s="58">
        <v>6.2500000000000001E-4</v>
      </c>
    </row>
    <row r="477" spans="1:8">
      <c r="A477"/>
      <c r="B477"/>
      <c r="C477"/>
      <c r="D477"/>
      <c r="E477"/>
      <c r="F477" t="s">
        <v>1313</v>
      </c>
      <c r="G477" s="57">
        <v>0.30988553166389465</v>
      </c>
      <c r="H477" s="58">
        <v>7.9861111111111116E-4</v>
      </c>
    </row>
    <row r="478" spans="1:8">
      <c r="A478"/>
      <c r="B478"/>
      <c r="C478"/>
      <c r="D478"/>
      <c r="E478" t="s">
        <v>754</v>
      </c>
      <c r="F478" t="s">
        <v>1190</v>
      </c>
      <c r="G478" s="57">
        <v>8.2688279449939728E-2</v>
      </c>
      <c r="H478" s="58">
        <v>1.9675925925925926E-4</v>
      </c>
    </row>
    <row r="479" spans="1:8">
      <c r="A479"/>
      <c r="B479"/>
      <c r="C479"/>
      <c r="D479"/>
      <c r="E479" t="s">
        <v>762</v>
      </c>
      <c r="F479" t="s">
        <v>1146</v>
      </c>
      <c r="G479" s="57">
        <v>0.25407330319285393</v>
      </c>
      <c r="H479" s="58">
        <v>3.4722222222222218E-4</v>
      </c>
    </row>
    <row r="480" spans="1:8">
      <c r="A480" t="s">
        <v>1051</v>
      </c>
      <c r="B480">
        <v>0</v>
      </c>
      <c r="C480">
        <v>0</v>
      </c>
      <c r="D480">
        <v>0</v>
      </c>
      <c r="E480" t="s">
        <v>614</v>
      </c>
      <c r="F480" t="s">
        <v>1097</v>
      </c>
      <c r="G480" s="57">
        <v>1.6273129243927542E-2</v>
      </c>
      <c r="H480" s="58">
        <v>0.12211805555555555</v>
      </c>
    </row>
    <row r="481" spans="1:8">
      <c r="A481"/>
      <c r="B481"/>
      <c r="C481"/>
      <c r="D481"/>
      <c r="E481" t="s">
        <v>645</v>
      </c>
      <c r="F481" t="s">
        <v>1102</v>
      </c>
      <c r="G481" s="57">
        <v>0.13028468191623688</v>
      </c>
      <c r="H481" s="58">
        <v>2.8935185185185184E-4</v>
      </c>
    </row>
    <row r="482" spans="1:8">
      <c r="A482"/>
      <c r="B482"/>
      <c r="C482"/>
      <c r="D482"/>
      <c r="E482"/>
      <c r="F482" t="s">
        <v>1106</v>
      </c>
      <c r="G482" s="57">
        <v>4.7395052388310432E-3</v>
      </c>
      <c r="H482" s="58">
        <v>2.3148148148148147E-5</v>
      </c>
    </row>
    <row r="483" spans="1:8">
      <c r="A483"/>
      <c r="B483"/>
      <c r="C483"/>
      <c r="D483"/>
      <c r="E483"/>
      <c r="F483" t="s">
        <v>1129</v>
      </c>
      <c r="G483" s="57">
        <v>0.23192990571260452</v>
      </c>
      <c r="H483" s="58">
        <v>5.4398148148148144E-4</v>
      </c>
    </row>
    <row r="484" spans="1:8">
      <c r="A484"/>
      <c r="B484"/>
      <c r="C484"/>
      <c r="D484"/>
      <c r="E484"/>
      <c r="F484" t="s">
        <v>1130</v>
      </c>
      <c r="G484" s="57">
        <v>0.22311738081043586</v>
      </c>
      <c r="H484" s="58">
        <v>9.1435185185185196E-4</v>
      </c>
    </row>
    <row r="485" spans="1:8">
      <c r="A485"/>
      <c r="B485"/>
      <c r="C485"/>
      <c r="D485"/>
      <c r="E485"/>
      <c r="F485" t="s">
        <v>1131</v>
      </c>
      <c r="G485" s="57">
        <v>2.9899155721068382E-2</v>
      </c>
      <c r="H485" s="58">
        <v>9.2592592592592588E-5</v>
      </c>
    </row>
    <row r="486" spans="1:8">
      <c r="A486"/>
      <c r="B486"/>
      <c r="C486"/>
      <c r="D486"/>
      <c r="E486"/>
      <c r="F486" t="s">
        <v>1132</v>
      </c>
      <c r="G486" s="57">
        <v>5.9641610831022263E-2</v>
      </c>
      <c r="H486" s="58">
        <v>2.3148148148148149E-4</v>
      </c>
    </row>
    <row r="487" spans="1:8">
      <c r="A487"/>
      <c r="B487"/>
      <c r="C487"/>
      <c r="D487"/>
      <c r="E487"/>
      <c r="F487" t="s">
        <v>1133</v>
      </c>
      <c r="G487" s="57">
        <v>0.18096088524907827</v>
      </c>
      <c r="H487" s="58">
        <v>6.5972222222222224E-4</v>
      </c>
    </row>
    <row r="488" spans="1:8">
      <c r="A488"/>
      <c r="B488"/>
      <c r="C488"/>
      <c r="D488"/>
      <c r="E488"/>
      <c r="F488" t="s">
        <v>1134</v>
      </c>
      <c r="G488" s="57">
        <v>0.18322007358074188</v>
      </c>
      <c r="H488" s="58">
        <v>3.1250000000000001E-4</v>
      </c>
    </row>
    <row r="489" spans="1:8">
      <c r="A489"/>
      <c r="B489"/>
      <c r="C489"/>
      <c r="D489"/>
      <c r="E489"/>
      <c r="F489" t="s">
        <v>1135</v>
      </c>
      <c r="G489" s="57">
        <v>9.8823761567473412E-2</v>
      </c>
      <c r="H489" s="58">
        <v>2.3148148148148149E-4</v>
      </c>
    </row>
    <row r="490" spans="1:8">
      <c r="A490"/>
      <c r="B490"/>
      <c r="C490"/>
      <c r="D490"/>
      <c r="E490"/>
      <c r="F490" t="s">
        <v>1136</v>
      </c>
      <c r="G490" s="57">
        <v>5.7381603866815567E-2</v>
      </c>
      <c r="H490" s="58">
        <v>1.6203703703703703E-4</v>
      </c>
    </row>
    <row r="491" spans="1:8">
      <c r="A491"/>
      <c r="B491"/>
      <c r="C491"/>
      <c r="D491"/>
      <c r="E491"/>
      <c r="F491" t="s">
        <v>1137</v>
      </c>
      <c r="G491" s="57">
        <v>0.18491466343402863</v>
      </c>
      <c r="H491" s="58">
        <v>3.8194444444444446E-4</v>
      </c>
    </row>
    <row r="492" spans="1:8">
      <c r="A492"/>
      <c r="B492"/>
      <c r="C492"/>
      <c r="D492"/>
      <c r="E492"/>
      <c r="F492" t="s">
        <v>1138</v>
      </c>
      <c r="G492" s="57">
        <v>0.24505702778697014</v>
      </c>
      <c r="H492" s="58">
        <v>4.5138888888888887E-4</v>
      </c>
    </row>
    <row r="493" spans="1:8">
      <c r="A493"/>
      <c r="B493"/>
      <c r="C493"/>
      <c r="D493"/>
      <c r="E493"/>
      <c r="F493" t="s">
        <v>1139</v>
      </c>
      <c r="G493" s="57">
        <v>8.0206222832202911E-2</v>
      </c>
      <c r="H493" s="58">
        <v>2.6620370370370372E-4</v>
      </c>
    </row>
    <row r="494" spans="1:8">
      <c r="A494"/>
      <c r="B494"/>
      <c r="C494"/>
      <c r="D494"/>
      <c r="E494"/>
      <c r="F494" t="s">
        <v>1147</v>
      </c>
      <c r="G494" s="57">
        <v>0.18821497354656458</v>
      </c>
      <c r="H494" s="58">
        <v>5.6712962962962967E-4</v>
      </c>
    </row>
    <row r="495" spans="1:8">
      <c r="A495"/>
      <c r="B495"/>
      <c r="C495"/>
      <c r="D495"/>
      <c r="E495"/>
      <c r="F495" t="s">
        <v>1148</v>
      </c>
      <c r="G495" s="57">
        <v>1.1535866856575012</v>
      </c>
      <c r="H495" s="58">
        <v>1.8171296296296295E-3</v>
      </c>
    </row>
    <row r="496" spans="1:8">
      <c r="A496"/>
      <c r="B496"/>
      <c r="C496"/>
      <c r="D496"/>
      <c r="E496"/>
      <c r="F496" t="s">
        <v>1149</v>
      </c>
      <c r="G496" s="57">
        <v>0.65631828457117081</v>
      </c>
      <c r="H496" s="58">
        <v>1.1689814814814813E-3</v>
      </c>
    </row>
    <row r="497" spans="1:8">
      <c r="A497"/>
      <c r="B497"/>
      <c r="C497"/>
      <c r="D497"/>
      <c r="E497"/>
      <c r="F497" t="s">
        <v>1195</v>
      </c>
      <c r="G497" s="57">
        <v>0.18276239931583405</v>
      </c>
      <c r="H497" s="58">
        <v>2.5462962962962961E-4</v>
      </c>
    </row>
    <row r="498" spans="1:8">
      <c r="A498"/>
      <c r="B498"/>
      <c r="C498"/>
      <c r="D498"/>
      <c r="E498"/>
      <c r="F498" t="s">
        <v>1217</v>
      </c>
      <c r="G498" s="57">
        <v>7.3631801642477512E-3</v>
      </c>
      <c r="H498" s="58">
        <v>2.3148148148148147E-5</v>
      </c>
    </row>
    <row r="499" spans="1:8">
      <c r="A499"/>
      <c r="B499"/>
      <c r="C499"/>
      <c r="D499"/>
      <c r="E499"/>
      <c r="F499" t="s">
        <v>1218</v>
      </c>
      <c r="G499" s="57">
        <v>0.18249154090881348</v>
      </c>
      <c r="H499" s="58">
        <v>2.6620370370370372E-4</v>
      </c>
    </row>
    <row r="500" spans="1:8">
      <c r="A500"/>
      <c r="B500"/>
      <c r="C500"/>
      <c r="D500"/>
      <c r="E500"/>
      <c r="F500" t="s">
        <v>1314</v>
      </c>
      <c r="G500" s="57">
        <v>0.535908043384552</v>
      </c>
      <c r="H500" s="58">
        <v>8.1018518518518516E-4</v>
      </c>
    </row>
    <row r="501" spans="1:8">
      <c r="A501"/>
      <c r="B501"/>
      <c r="C501"/>
      <c r="D501"/>
      <c r="E501" t="s">
        <v>674</v>
      </c>
      <c r="F501" t="s">
        <v>1315</v>
      </c>
      <c r="G501" s="57">
        <v>0</v>
      </c>
      <c r="H501" s="58">
        <v>0</v>
      </c>
    </row>
    <row r="502" spans="1:8">
      <c r="A502"/>
      <c r="B502"/>
      <c r="C502"/>
      <c r="D502"/>
      <c r="E502" t="s">
        <v>685</v>
      </c>
      <c r="F502" t="s">
        <v>1316</v>
      </c>
      <c r="G502" s="57">
        <v>8.3005426859017462E-5</v>
      </c>
      <c r="H502" s="58">
        <v>0</v>
      </c>
    </row>
    <row r="503" spans="1:8">
      <c r="A503"/>
      <c r="B503"/>
      <c r="C503"/>
      <c r="D503"/>
      <c r="E503"/>
      <c r="F503" t="s">
        <v>1317</v>
      </c>
      <c r="G503" s="57">
        <v>6.5015658037737012E-5</v>
      </c>
      <c r="H503" s="58">
        <v>0</v>
      </c>
    </row>
    <row r="504" spans="1:8">
      <c r="A504"/>
      <c r="B504"/>
      <c r="C504"/>
      <c r="D504"/>
      <c r="E504"/>
      <c r="F504" t="s">
        <v>1318</v>
      </c>
      <c r="G504" s="57">
        <v>4.7432346036657691E-5</v>
      </c>
      <c r="H504" s="58">
        <v>0</v>
      </c>
    </row>
    <row r="505" spans="1:8">
      <c r="A505"/>
      <c r="B505"/>
      <c r="C505"/>
      <c r="D505"/>
      <c r="E505"/>
      <c r="F505" t="s">
        <v>1319</v>
      </c>
      <c r="G505" s="57">
        <v>6.0759088228223845E-5</v>
      </c>
      <c r="H505" s="58">
        <v>0</v>
      </c>
    </row>
    <row r="506" spans="1:8">
      <c r="A506"/>
      <c r="B506"/>
      <c r="C506"/>
      <c r="D506"/>
      <c r="E506"/>
      <c r="F506" t="s">
        <v>1320</v>
      </c>
      <c r="G506" s="57">
        <v>5.4197507779463194E-6</v>
      </c>
      <c r="H506" s="58">
        <v>0</v>
      </c>
    </row>
    <row r="507" spans="1:8">
      <c r="A507"/>
      <c r="B507"/>
      <c r="C507"/>
      <c r="D507"/>
      <c r="E507"/>
      <c r="F507" t="s">
        <v>1321</v>
      </c>
      <c r="G507" s="57">
        <v>7.3077368142548949E-5</v>
      </c>
      <c r="H507" s="58">
        <v>0</v>
      </c>
    </row>
    <row r="508" spans="1:8">
      <c r="A508"/>
      <c r="B508"/>
      <c r="C508"/>
      <c r="D508"/>
      <c r="E508" t="s">
        <v>754</v>
      </c>
      <c r="F508" t="s">
        <v>1155</v>
      </c>
      <c r="G508" s="57">
        <v>1.9570100586861372E-2</v>
      </c>
      <c r="H508" s="58">
        <v>8.1018518518518516E-5</v>
      </c>
    </row>
    <row r="509" spans="1:8">
      <c r="A509"/>
      <c r="B509"/>
      <c r="C509"/>
      <c r="D509"/>
      <c r="E509"/>
      <c r="F509" t="s">
        <v>1185</v>
      </c>
      <c r="G509" s="57">
        <v>4.630635678768158E-2</v>
      </c>
      <c r="H509" s="58">
        <v>1.273148148148148E-4</v>
      </c>
    </row>
    <row r="510" spans="1:8">
      <c r="A510"/>
      <c r="B510"/>
      <c r="C510"/>
      <c r="D510"/>
      <c r="E510"/>
      <c r="F510" t="s">
        <v>1275</v>
      </c>
      <c r="G510" s="57">
        <v>5.2432127296924591E-2</v>
      </c>
      <c r="H510" s="58">
        <v>1.6203703703703703E-4</v>
      </c>
    </row>
    <row r="511" spans="1:8">
      <c r="A511"/>
      <c r="B511"/>
      <c r="C511"/>
      <c r="D511"/>
      <c r="E511" t="s">
        <v>757</v>
      </c>
      <c r="F511" t="s">
        <v>1145</v>
      </c>
      <c r="G511" s="57">
        <v>1.0722401374951005</v>
      </c>
      <c r="H511" s="58">
        <v>1.1342592592592591E-3</v>
      </c>
    </row>
    <row r="512" spans="1:8">
      <c r="A512"/>
      <c r="B512"/>
      <c r="C512"/>
      <c r="D512"/>
      <c r="E512"/>
      <c r="F512" t="s">
        <v>1157</v>
      </c>
      <c r="G512" s="57">
        <v>0.3074880912899971</v>
      </c>
      <c r="H512" s="58">
        <v>3.1250000000000001E-4</v>
      </c>
    </row>
    <row r="513" spans="1:8">
      <c r="A513"/>
      <c r="B513"/>
      <c r="C513"/>
      <c r="D513"/>
      <c r="E513"/>
      <c r="F513" t="s">
        <v>1158</v>
      </c>
      <c r="G513" s="57">
        <v>0.22503040730953217</v>
      </c>
      <c r="H513" s="58">
        <v>2.199074074074074E-4</v>
      </c>
    </row>
    <row r="514" spans="1:8">
      <c r="A514"/>
      <c r="B514"/>
      <c r="C514"/>
      <c r="D514"/>
      <c r="E514" t="s">
        <v>762</v>
      </c>
      <c r="F514" t="s">
        <v>1146</v>
      </c>
      <c r="G514" s="57">
        <v>1.7968277325853705</v>
      </c>
      <c r="H514" s="58">
        <v>2.4421296296296296E-3</v>
      </c>
    </row>
    <row r="515" spans="1:8">
      <c r="A515"/>
      <c r="B515"/>
      <c r="C515"/>
      <c r="D515"/>
      <c r="E515"/>
      <c r="F515" t="s">
        <v>1160</v>
      </c>
      <c r="G515" s="57">
        <v>3.4174956977367401</v>
      </c>
      <c r="H515" s="58">
        <v>4.5486111111111109E-3</v>
      </c>
    </row>
    <row r="516" spans="1:8">
      <c r="A516"/>
      <c r="B516"/>
      <c r="C516"/>
      <c r="D516"/>
      <c r="E516"/>
      <c r="F516" t="s">
        <v>1161</v>
      </c>
      <c r="G516" s="57">
        <v>1.6413072794675827</v>
      </c>
      <c r="H516" s="58">
        <v>2.0601851851851853E-3</v>
      </c>
    </row>
    <row r="517" spans="1:8">
      <c r="A517"/>
      <c r="B517"/>
      <c r="C517"/>
      <c r="D517"/>
      <c r="E517"/>
      <c r="F517" t="s">
        <v>1193</v>
      </c>
      <c r="G517" s="57">
        <v>7.4884288012981415E-2</v>
      </c>
      <c r="H517" s="58">
        <v>9.2592592592592588E-5</v>
      </c>
    </row>
    <row r="518" spans="1:8">
      <c r="A518"/>
      <c r="B518"/>
      <c r="C518"/>
      <c r="D518"/>
      <c r="E518"/>
      <c r="F518" t="s">
        <v>1213</v>
      </c>
      <c r="G518" s="57">
        <v>0.10290048271417618</v>
      </c>
      <c r="H518" s="58">
        <v>1.273148148148148E-4</v>
      </c>
    </row>
    <row r="519" spans="1:8">
      <c r="A519" t="s">
        <v>1061</v>
      </c>
      <c r="B519">
        <v>0</v>
      </c>
      <c r="C519">
        <v>0</v>
      </c>
      <c r="D519">
        <v>0</v>
      </c>
      <c r="E519" t="s">
        <v>614</v>
      </c>
      <c r="F519" t="s">
        <v>1097</v>
      </c>
      <c r="G519" s="57">
        <v>8.0585549367242493E-3</v>
      </c>
      <c r="H519" s="58">
        <v>6.9108796296296293E-2</v>
      </c>
    </row>
    <row r="520" spans="1:8">
      <c r="A520"/>
      <c r="B520"/>
      <c r="C520"/>
      <c r="D520"/>
      <c r="E520" t="s">
        <v>645</v>
      </c>
      <c r="F520" t="s">
        <v>1106</v>
      </c>
      <c r="G520" s="57">
        <v>0.53643351048231125</v>
      </c>
      <c r="H520" s="58">
        <v>1.9097222222222222E-3</v>
      </c>
    </row>
    <row r="521" spans="1:8">
      <c r="A521"/>
      <c r="B521"/>
      <c r="C521"/>
      <c r="D521"/>
      <c r="E521"/>
      <c r="F521" t="s">
        <v>1129</v>
      </c>
      <c r="G521" s="57">
        <v>0.15137162804603577</v>
      </c>
      <c r="H521" s="58">
        <v>3.9351851851851852E-4</v>
      </c>
    </row>
    <row r="522" spans="1:8">
      <c r="A522"/>
      <c r="B522"/>
      <c r="C522"/>
      <c r="D522"/>
      <c r="E522"/>
      <c r="F522" t="s">
        <v>1130</v>
      </c>
      <c r="G522" s="57">
        <v>0.29834049893543124</v>
      </c>
      <c r="H522" s="58">
        <v>1.261574074074074E-3</v>
      </c>
    </row>
    <row r="523" spans="1:8">
      <c r="A523"/>
      <c r="B523"/>
      <c r="C523"/>
      <c r="D523"/>
      <c r="E523"/>
      <c r="F523" t="s">
        <v>1132</v>
      </c>
      <c r="G523" s="57">
        <v>0.41763659939169884</v>
      </c>
      <c r="H523" s="58">
        <v>1.6319444444444445E-3</v>
      </c>
    </row>
    <row r="524" spans="1:8">
      <c r="A524"/>
      <c r="B524"/>
      <c r="C524"/>
      <c r="D524"/>
      <c r="E524"/>
      <c r="F524" t="s">
        <v>1133</v>
      </c>
      <c r="G524" s="57">
        <v>0.40060283383354545</v>
      </c>
      <c r="H524" s="58">
        <v>1.4467592592592592E-3</v>
      </c>
    </row>
    <row r="525" spans="1:8">
      <c r="A525"/>
      <c r="B525"/>
      <c r="C525"/>
      <c r="D525"/>
      <c r="E525"/>
      <c r="F525" t="s">
        <v>1137</v>
      </c>
      <c r="G525" s="57">
        <v>0.18407177925109863</v>
      </c>
      <c r="H525" s="58">
        <v>3.9351851851851852E-4</v>
      </c>
    </row>
    <row r="526" spans="1:8">
      <c r="A526"/>
      <c r="B526"/>
      <c r="C526"/>
      <c r="D526"/>
      <c r="E526"/>
      <c r="F526" t="s">
        <v>1138</v>
      </c>
      <c r="G526" s="57">
        <v>0.1845305860042572</v>
      </c>
      <c r="H526" s="58">
        <v>3.4722222222222224E-4</v>
      </c>
    </row>
    <row r="527" spans="1:8">
      <c r="A527"/>
      <c r="B527"/>
      <c r="C527"/>
      <c r="D527"/>
      <c r="E527"/>
      <c r="F527" t="s">
        <v>1139</v>
      </c>
      <c r="G527" s="57">
        <v>0.21726937219500542</v>
      </c>
      <c r="H527" s="58">
        <v>6.3657407407407402E-4</v>
      </c>
    </row>
    <row r="528" spans="1:8">
      <c r="A528"/>
      <c r="B528"/>
      <c r="C528"/>
      <c r="D528"/>
      <c r="E528"/>
      <c r="F528" t="s">
        <v>1147</v>
      </c>
      <c r="G528" s="57">
        <v>0.22697226703166962</v>
      </c>
      <c r="H528" s="58">
        <v>7.5231481481481482E-4</v>
      </c>
    </row>
    <row r="529" spans="1:8">
      <c r="A529"/>
      <c r="B529"/>
      <c r="C529"/>
      <c r="D529"/>
      <c r="E529"/>
      <c r="F529" t="s">
        <v>1148</v>
      </c>
      <c r="G529" s="57">
        <v>0.18443521857261658</v>
      </c>
      <c r="H529" s="58">
        <v>2.8935185185185184E-4</v>
      </c>
    </row>
    <row r="530" spans="1:8">
      <c r="A530"/>
      <c r="B530"/>
      <c r="C530"/>
      <c r="D530"/>
      <c r="E530"/>
      <c r="F530" t="s">
        <v>1149</v>
      </c>
      <c r="G530" s="57">
        <v>0.18345679342746735</v>
      </c>
      <c r="H530" s="58">
        <v>2.8935185185185184E-4</v>
      </c>
    </row>
    <row r="531" spans="1:8">
      <c r="A531"/>
      <c r="B531"/>
      <c r="C531"/>
      <c r="D531"/>
      <c r="E531"/>
      <c r="F531" t="s">
        <v>1195</v>
      </c>
      <c r="G531" s="57">
        <v>0.18281574547290802</v>
      </c>
      <c r="H531" s="58">
        <v>2.6620370370370372E-4</v>
      </c>
    </row>
    <row r="532" spans="1:8">
      <c r="A532"/>
      <c r="B532"/>
      <c r="C532"/>
      <c r="D532"/>
      <c r="E532"/>
      <c r="F532" t="s">
        <v>1218</v>
      </c>
      <c r="G532" s="57">
        <v>0.1839371919631958</v>
      </c>
      <c r="H532" s="58">
        <v>2.6620370370370372E-4</v>
      </c>
    </row>
    <row r="533" spans="1:8">
      <c r="A533"/>
      <c r="B533"/>
      <c r="C533"/>
      <c r="D533"/>
      <c r="E533" t="s">
        <v>656</v>
      </c>
      <c r="F533" t="s">
        <v>1167</v>
      </c>
      <c r="G533" s="57">
        <v>0.32816281914710999</v>
      </c>
      <c r="H533" s="58">
        <v>5.3240740740740744E-4</v>
      </c>
    </row>
    <row r="534" spans="1:8">
      <c r="A534"/>
      <c r="B534"/>
      <c r="C534"/>
      <c r="D534"/>
      <c r="E534"/>
      <c r="F534" t="s">
        <v>1168</v>
      </c>
      <c r="G534" s="57">
        <v>0.57975775003433228</v>
      </c>
      <c r="H534" s="58">
        <v>9.2592592592592596E-4</v>
      </c>
    </row>
    <row r="535" spans="1:8">
      <c r="A535"/>
      <c r="B535"/>
      <c r="C535"/>
      <c r="D535"/>
      <c r="E535"/>
      <c r="F535" t="s">
        <v>1171</v>
      </c>
      <c r="G535" s="57">
        <v>0.29233595728874207</v>
      </c>
      <c r="H535" s="58">
        <v>5.6712962962962967E-4</v>
      </c>
    </row>
    <row r="536" spans="1:8">
      <c r="A536"/>
      <c r="B536"/>
      <c r="C536"/>
      <c r="D536"/>
      <c r="E536"/>
      <c r="F536" t="s">
        <v>1199</v>
      </c>
      <c r="G536" s="57">
        <v>0.26625606417655945</v>
      </c>
      <c r="H536" s="58">
        <v>5.6712962962962967E-4</v>
      </c>
    </row>
    <row r="537" spans="1:8">
      <c r="A537"/>
      <c r="B537"/>
      <c r="C537"/>
      <c r="D537"/>
      <c r="E537"/>
      <c r="F537" t="s">
        <v>1219</v>
      </c>
      <c r="G537" s="57">
        <v>0.20608831942081451</v>
      </c>
      <c r="H537" s="58">
        <v>5.3240740740740744E-4</v>
      </c>
    </row>
    <row r="538" spans="1:8">
      <c r="A538"/>
      <c r="B538"/>
      <c r="C538"/>
      <c r="D538"/>
      <c r="E538"/>
      <c r="F538" t="s">
        <v>1220</v>
      </c>
      <c r="G538" s="57">
        <v>0.30223432183265686</v>
      </c>
      <c r="H538" s="58">
        <v>7.5231481481481482E-4</v>
      </c>
    </row>
    <row r="539" spans="1:8">
      <c r="A539"/>
      <c r="B539"/>
      <c r="C539"/>
      <c r="D539"/>
      <c r="E539"/>
      <c r="F539" t="s">
        <v>1221</v>
      </c>
      <c r="G539" s="57">
        <v>0.90481278300285339</v>
      </c>
      <c r="H539" s="58">
        <v>2.0138888888888888E-3</v>
      </c>
    </row>
    <row r="540" spans="1:8">
      <c r="A540"/>
      <c r="B540"/>
      <c r="C540"/>
      <c r="D540"/>
      <c r="E540"/>
      <c r="F540" t="s">
        <v>1322</v>
      </c>
      <c r="G540" s="57">
        <v>0.58118787407875061</v>
      </c>
      <c r="H540" s="58">
        <v>1.8055555555555555E-3</v>
      </c>
    </row>
    <row r="541" spans="1:8">
      <c r="A541"/>
      <c r="B541"/>
      <c r="C541"/>
      <c r="D541"/>
      <c r="E541"/>
      <c r="F541" t="s">
        <v>1323</v>
      </c>
      <c r="G541" s="57">
        <v>6.0350358486175537E-2</v>
      </c>
      <c r="H541" s="58">
        <v>2.199074074074074E-4</v>
      </c>
    </row>
    <row r="542" spans="1:8">
      <c r="A542"/>
      <c r="B542"/>
      <c r="C542"/>
      <c r="D542"/>
      <c r="E542" t="s">
        <v>685</v>
      </c>
      <c r="F542" t="s">
        <v>1224</v>
      </c>
      <c r="G542" s="57">
        <v>1.22943936730735E-4</v>
      </c>
      <c r="H542" s="58">
        <v>0</v>
      </c>
    </row>
    <row r="543" spans="1:8">
      <c r="A543"/>
      <c r="B543"/>
      <c r="C543"/>
      <c r="D543"/>
      <c r="E543"/>
      <c r="F543" t="s">
        <v>1324</v>
      </c>
      <c r="G543" s="57">
        <v>3.845023165922612E-4</v>
      </c>
      <c r="H543" s="58">
        <v>0</v>
      </c>
    </row>
    <row r="544" spans="1:8">
      <c r="A544"/>
      <c r="B544"/>
      <c r="C544"/>
      <c r="D544"/>
      <c r="E544"/>
      <c r="F544" t="s">
        <v>1325</v>
      </c>
      <c r="G544" s="57">
        <v>3.2041859230957925E-4</v>
      </c>
      <c r="H544" s="58">
        <v>0</v>
      </c>
    </row>
    <row r="545" spans="1:8">
      <c r="A545"/>
      <c r="B545"/>
      <c r="C545"/>
      <c r="D545"/>
      <c r="E545"/>
      <c r="F545" t="s">
        <v>1326</v>
      </c>
      <c r="G545" s="57">
        <v>1.0053234291262925E-5</v>
      </c>
      <c r="H545" s="58">
        <v>0</v>
      </c>
    </row>
    <row r="546" spans="1:8">
      <c r="A546"/>
      <c r="B546"/>
      <c r="C546"/>
      <c r="D546"/>
      <c r="E546"/>
      <c r="F546" t="s">
        <v>1327</v>
      </c>
      <c r="G546" s="57">
        <v>1.6520591452717781E-4</v>
      </c>
      <c r="H546" s="58">
        <v>0</v>
      </c>
    </row>
    <row r="547" spans="1:8">
      <c r="A547"/>
      <c r="B547"/>
      <c r="C547"/>
      <c r="D547"/>
      <c r="E547"/>
      <c r="F547" t="s">
        <v>1328</v>
      </c>
      <c r="G547" s="57">
        <v>6.5707507019396871E-5</v>
      </c>
      <c r="H547" s="58">
        <v>0</v>
      </c>
    </row>
    <row r="548" spans="1:8">
      <c r="A548"/>
      <c r="B548"/>
      <c r="C548"/>
      <c r="D548"/>
      <c r="E548"/>
      <c r="F548" t="s">
        <v>1329</v>
      </c>
      <c r="G548" s="57">
        <v>8.8212305854540318E-5</v>
      </c>
      <c r="H548" s="58">
        <v>0</v>
      </c>
    </row>
    <row r="549" spans="1:8">
      <c r="A549"/>
      <c r="B549"/>
      <c r="C549"/>
      <c r="D549"/>
      <c r="E549"/>
      <c r="F549" t="s">
        <v>1330</v>
      </c>
      <c r="G549" s="57">
        <v>2.4542485334677622E-5</v>
      </c>
      <c r="H549" s="58">
        <v>0</v>
      </c>
    </row>
    <row r="550" spans="1:8">
      <c r="A550"/>
      <c r="B550"/>
      <c r="C550"/>
      <c r="D550"/>
      <c r="E550"/>
      <c r="F550" t="s">
        <v>1331</v>
      </c>
      <c r="G550" s="57">
        <v>5.5945891654118896E-4</v>
      </c>
      <c r="H550" s="58">
        <v>0</v>
      </c>
    </row>
    <row r="551" spans="1:8">
      <c r="A551"/>
      <c r="B551"/>
      <c r="C551"/>
      <c r="D551"/>
      <c r="E551" t="s">
        <v>754</v>
      </c>
      <c r="F551" t="s">
        <v>1155</v>
      </c>
      <c r="G551" s="57">
        <v>9.3740185722708702E-2</v>
      </c>
      <c r="H551" s="58">
        <v>3.5879629629629629E-4</v>
      </c>
    </row>
    <row r="552" spans="1:8">
      <c r="A552"/>
      <c r="B552"/>
      <c r="C552"/>
      <c r="D552"/>
      <c r="E552"/>
      <c r="F552" t="s">
        <v>1156</v>
      </c>
      <c r="G552" s="57">
        <v>3.1624183990061283E-2</v>
      </c>
      <c r="H552" s="58">
        <v>1.1574074074074075E-4</v>
      </c>
    </row>
    <row r="553" spans="1:8">
      <c r="A553"/>
      <c r="B553"/>
      <c r="C553"/>
      <c r="D553"/>
      <c r="E553"/>
      <c r="F553" t="s">
        <v>1185</v>
      </c>
      <c r="G553" s="57">
        <v>2.3495674133300781E-2</v>
      </c>
      <c r="H553" s="58">
        <v>9.2592592592592588E-5</v>
      </c>
    </row>
    <row r="554" spans="1:8">
      <c r="A554"/>
      <c r="B554"/>
      <c r="C554"/>
      <c r="D554"/>
      <c r="E554"/>
      <c r="F554" t="s">
        <v>1190</v>
      </c>
      <c r="G554" s="57">
        <v>2.7539094910025597E-2</v>
      </c>
      <c r="H554" s="58">
        <v>8.1018518518518516E-5</v>
      </c>
    </row>
    <row r="555" spans="1:8">
      <c r="A555"/>
      <c r="B555"/>
      <c r="C555"/>
      <c r="D555"/>
      <c r="E555"/>
      <c r="F555" t="s">
        <v>1191</v>
      </c>
      <c r="G555" s="57">
        <v>0.5422050952911377</v>
      </c>
      <c r="H555" s="58">
        <v>1.3888888888888889E-3</v>
      </c>
    </row>
    <row r="556" spans="1:8">
      <c r="A556"/>
      <c r="B556"/>
      <c r="C556"/>
      <c r="D556"/>
      <c r="E556"/>
      <c r="F556" t="s">
        <v>1192</v>
      </c>
      <c r="G556" s="57">
        <v>0.38501979969441891</v>
      </c>
      <c r="H556" s="58">
        <v>1.1921296296296298E-3</v>
      </c>
    </row>
    <row r="557" spans="1:8">
      <c r="A557"/>
      <c r="B557"/>
      <c r="C557"/>
      <c r="D557"/>
      <c r="E557"/>
      <c r="F557" t="s">
        <v>1275</v>
      </c>
      <c r="G557" s="57">
        <v>5.5337579920887947E-2</v>
      </c>
      <c r="H557" s="58">
        <v>1.5046296296296297E-4</v>
      </c>
    </row>
    <row r="558" spans="1:8">
      <c r="A558"/>
      <c r="B558"/>
      <c r="C558"/>
      <c r="D558"/>
      <c r="E558"/>
      <c r="F558" t="s">
        <v>1332</v>
      </c>
      <c r="G558" s="57">
        <v>0.22257652878761292</v>
      </c>
      <c r="H558" s="58">
        <v>4.861111111111111E-4</v>
      </c>
    </row>
    <row r="559" spans="1:8">
      <c r="A559"/>
      <c r="B559"/>
      <c r="C559"/>
      <c r="D559"/>
      <c r="E559" t="s">
        <v>757</v>
      </c>
      <c r="F559" t="s">
        <v>1145</v>
      </c>
      <c r="G559" s="57">
        <v>0.14058260526508093</v>
      </c>
      <c r="H559" s="58">
        <v>1.6203703703703703E-4</v>
      </c>
    </row>
    <row r="560" spans="1:8">
      <c r="A560"/>
      <c r="B560"/>
      <c r="C560"/>
      <c r="D560"/>
      <c r="E560" t="s">
        <v>762</v>
      </c>
      <c r="F560" t="s">
        <v>1146</v>
      </c>
      <c r="G560" s="57">
        <v>0.15941945277154446</v>
      </c>
      <c r="H560" s="58">
        <v>2.0833333333333332E-4</v>
      </c>
    </row>
    <row r="561" spans="1:8">
      <c r="A561"/>
      <c r="B561"/>
      <c r="C561"/>
      <c r="D561"/>
      <c r="E561"/>
      <c r="F561" t="s">
        <v>1159</v>
      </c>
      <c r="G561" s="57">
        <v>0.23891815543174744</v>
      </c>
      <c r="H561" s="58">
        <v>2.8935185185185184E-4</v>
      </c>
    </row>
    <row r="562" spans="1:8">
      <c r="A562"/>
      <c r="B562"/>
      <c r="C562"/>
      <c r="D562"/>
      <c r="E562"/>
      <c r="F562" t="s">
        <v>1160</v>
      </c>
      <c r="G562" s="57">
        <v>0.27244032360613346</v>
      </c>
      <c r="H562" s="58">
        <v>3.7037037037037041E-4</v>
      </c>
    </row>
    <row r="563" spans="1:8">
      <c r="A563"/>
      <c r="B563"/>
      <c r="C563"/>
      <c r="D563"/>
      <c r="E563"/>
      <c r="F563" t="s">
        <v>1161</v>
      </c>
      <c r="G563" s="57">
        <v>0.13140201568603516</v>
      </c>
      <c r="H563" s="58">
        <v>1.7361111111111112E-4</v>
      </c>
    </row>
    <row r="564" spans="1:8">
      <c r="A564" t="s">
        <v>1079</v>
      </c>
      <c r="B564">
        <v>0</v>
      </c>
      <c r="C564">
        <v>0</v>
      </c>
      <c r="D564">
        <v>0</v>
      </c>
      <c r="E564" t="s">
        <v>614</v>
      </c>
      <c r="F564" t="s">
        <v>1097</v>
      </c>
      <c r="G564" s="57">
        <v>5.3340056183515117E-5</v>
      </c>
      <c r="H564" s="58">
        <v>0.10074074074074073</v>
      </c>
    </row>
    <row r="565" spans="1:8">
      <c r="A565"/>
      <c r="B565"/>
      <c r="C565"/>
      <c r="D565"/>
      <c r="E565" t="s">
        <v>625</v>
      </c>
      <c r="F565" t="s">
        <v>1297</v>
      </c>
      <c r="G565" s="57">
        <v>0</v>
      </c>
      <c r="H565" s="58">
        <v>0</v>
      </c>
    </row>
    <row r="566" spans="1:8">
      <c r="A566"/>
      <c r="B566"/>
      <c r="C566"/>
      <c r="D566"/>
      <c r="E566" t="s">
        <v>645</v>
      </c>
      <c r="F566" t="s">
        <v>1102</v>
      </c>
      <c r="G566" s="57">
        <v>0.18308284878730774</v>
      </c>
      <c r="H566" s="58">
        <v>3.3564814814814812E-4</v>
      </c>
    </row>
    <row r="567" spans="1:8">
      <c r="A567"/>
      <c r="B567"/>
      <c r="C567"/>
      <c r="D567"/>
      <c r="E567"/>
      <c r="F567" t="s">
        <v>1106</v>
      </c>
      <c r="G567" s="57">
        <v>0.17585296928882599</v>
      </c>
      <c r="H567" s="58">
        <v>6.134259259259259E-4</v>
      </c>
    </row>
    <row r="568" spans="1:8">
      <c r="A568"/>
      <c r="B568"/>
      <c r="C568"/>
      <c r="D568"/>
      <c r="E568"/>
      <c r="F568" t="s">
        <v>1129</v>
      </c>
      <c r="G568" s="57">
        <v>0.18358376622200012</v>
      </c>
      <c r="H568" s="58">
        <v>3.7037037037037035E-4</v>
      </c>
    </row>
    <row r="569" spans="1:8">
      <c r="A569"/>
      <c r="B569"/>
      <c r="C569"/>
      <c r="D569"/>
      <c r="E569"/>
      <c r="F569" t="s">
        <v>1130</v>
      </c>
      <c r="G569" s="57">
        <v>9.2163967434316874E-2</v>
      </c>
      <c r="H569" s="58">
        <v>3.8194444444444446E-4</v>
      </c>
    </row>
    <row r="570" spans="1:8">
      <c r="A570"/>
      <c r="B570"/>
      <c r="C570"/>
      <c r="D570"/>
      <c r="E570"/>
      <c r="F570" t="s">
        <v>1131</v>
      </c>
      <c r="G570" s="57">
        <v>0.19884489476680756</v>
      </c>
      <c r="H570" s="58">
        <v>5.7870370370370367E-4</v>
      </c>
    </row>
    <row r="571" spans="1:8">
      <c r="A571"/>
      <c r="B571"/>
      <c r="C571"/>
      <c r="D571"/>
      <c r="E571"/>
      <c r="F571" t="s">
        <v>1132</v>
      </c>
      <c r="G571" s="57">
        <v>0.34272105991840363</v>
      </c>
      <c r="H571" s="58">
        <v>1.3425925925925927E-3</v>
      </c>
    </row>
    <row r="572" spans="1:8">
      <c r="A572"/>
      <c r="B572"/>
      <c r="C572"/>
      <c r="D572"/>
      <c r="E572"/>
      <c r="F572" t="s">
        <v>1133</v>
      </c>
      <c r="G572" s="57">
        <v>7.7099300920963287E-2</v>
      </c>
      <c r="H572" s="58">
        <v>3.0092592592592595E-4</v>
      </c>
    </row>
    <row r="573" spans="1:8">
      <c r="A573"/>
      <c r="B573"/>
      <c r="C573"/>
      <c r="D573"/>
      <c r="E573"/>
      <c r="F573" t="s">
        <v>1134</v>
      </c>
      <c r="G573" s="57">
        <v>0.30387157201766968</v>
      </c>
      <c r="H573" s="58">
        <v>5.7870370370370367E-4</v>
      </c>
    </row>
    <row r="574" spans="1:8">
      <c r="A574"/>
      <c r="B574"/>
      <c r="C574"/>
      <c r="D574"/>
      <c r="E574"/>
      <c r="F574" t="s">
        <v>1137</v>
      </c>
      <c r="G574" s="57">
        <v>0.55038118362426758</v>
      </c>
      <c r="H574" s="58">
        <v>1.0995370370370371E-3</v>
      </c>
    </row>
    <row r="575" spans="1:8">
      <c r="A575"/>
      <c r="B575"/>
      <c r="C575"/>
      <c r="D575"/>
      <c r="E575"/>
      <c r="F575" t="s">
        <v>1138</v>
      </c>
      <c r="G575" s="57">
        <v>0.18402376770973206</v>
      </c>
      <c r="H575" s="58">
        <v>3.3564814814814812E-4</v>
      </c>
    </row>
    <row r="576" spans="1:8">
      <c r="A576"/>
      <c r="B576"/>
      <c r="C576"/>
      <c r="D576"/>
      <c r="E576"/>
      <c r="F576" t="s">
        <v>1140</v>
      </c>
      <c r="G576" s="57">
        <v>0.18320493400096893</v>
      </c>
      <c r="H576" s="58">
        <v>3.3564814814814812E-4</v>
      </c>
    </row>
    <row r="577" spans="1:8">
      <c r="A577"/>
      <c r="B577"/>
      <c r="C577"/>
      <c r="D577"/>
      <c r="E577"/>
      <c r="F577" t="s">
        <v>1149</v>
      </c>
      <c r="G577" s="57">
        <v>0.18389974534511566</v>
      </c>
      <c r="H577" s="58">
        <v>2.7777777777777778E-4</v>
      </c>
    </row>
    <row r="578" spans="1:8">
      <c r="A578"/>
      <c r="B578"/>
      <c r="C578"/>
      <c r="D578"/>
      <c r="E578"/>
      <c r="F578" t="s">
        <v>1165</v>
      </c>
      <c r="G578" s="57">
        <v>0.36652632057666779</v>
      </c>
      <c r="H578" s="58">
        <v>4.861111111111111E-4</v>
      </c>
    </row>
    <row r="579" spans="1:8">
      <c r="A579"/>
      <c r="B579"/>
      <c r="C579"/>
      <c r="D579"/>
      <c r="E579"/>
      <c r="F579" t="s">
        <v>1198</v>
      </c>
      <c r="G579" s="57">
        <v>0.18296585977077484</v>
      </c>
      <c r="H579" s="58">
        <v>2.3148148148148149E-4</v>
      </c>
    </row>
    <row r="580" spans="1:8">
      <c r="A580"/>
      <c r="B580"/>
      <c r="C580"/>
      <c r="D580"/>
      <c r="E580" t="s">
        <v>656</v>
      </c>
      <c r="F580" t="s">
        <v>1167</v>
      </c>
      <c r="G580" s="57">
        <v>1.1011337041854858</v>
      </c>
      <c r="H580" s="58">
        <v>1.736111111111111E-3</v>
      </c>
    </row>
    <row r="581" spans="1:8">
      <c r="A581"/>
      <c r="B581"/>
      <c r="C581"/>
      <c r="D581"/>
      <c r="E581"/>
      <c r="F581" t="s">
        <v>1170</v>
      </c>
      <c r="G581" s="57">
        <v>0.28150439262390137</v>
      </c>
      <c r="H581" s="58">
        <v>3.9351851851851852E-4</v>
      </c>
    </row>
    <row r="582" spans="1:8">
      <c r="A582"/>
      <c r="B582"/>
      <c r="C582"/>
      <c r="D582"/>
      <c r="E582"/>
      <c r="F582" t="s">
        <v>1171</v>
      </c>
      <c r="G582" s="57">
        <v>1.0654145479202271</v>
      </c>
      <c r="H582" s="58">
        <v>1.9675925925925924E-3</v>
      </c>
    </row>
    <row r="583" spans="1:8">
      <c r="A583"/>
      <c r="B583"/>
      <c r="C583"/>
      <c r="D583"/>
      <c r="E583"/>
      <c r="F583" t="s">
        <v>1172</v>
      </c>
      <c r="G583" s="57">
        <v>0.26120075583457947</v>
      </c>
      <c r="H583" s="58">
        <v>4.2824074074074075E-4</v>
      </c>
    </row>
    <row r="584" spans="1:8">
      <c r="A584"/>
      <c r="B584"/>
      <c r="C584"/>
      <c r="D584"/>
      <c r="E584"/>
      <c r="F584" t="s">
        <v>1199</v>
      </c>
      <c r="G584" s="57">
        <v>0.54007169604301453</v>
      </c>
      <c r="H584" s="58">
        <v>1.0995370370370369E-3</v>
      </c>
    </row>
    <row r="585" spans="1:8">
      <c r="A585"/>
      <c r="B585"/>
      <c r="C585"/>
      <c r="D585"/>
      <c r="E585"/>
      <c r="F585" t="s">
        <v>1220</v>
      </c>
      <c r="G585" s="57">
        <v>0.29166612029075623</v>
      </c>
      <c r="H585" s="58">
        <v>7.8703703703703705E-4</v>
      </c>
    </row>
    <row r="586" spans="1:8">
      <c r="A586"/>
      <c r="B586"/>
      <c r="C586"/>
      <c r="D586"/>
      <c r="E586"/>
      <c r="F586" t="s">
        <v>1221</v>
      </c>
      <c r="G586" s="57">
        <v>0.27379956841468811</v>
      </c>
      <c r="H586" s="58">
        <v>5.4398148148148144E-4</v>
      </c>
    </row>
    <row r="587" spans="1:8">
      <c r="A587"/>
      <c r="B587"/>
      <c r="C587"/>
      <c r="D587"/>
      <c r="E587" t="s">
        <v>685</v>
      </c>
      <c r="F587" t="s">
        <v>1152</v>
      </c>
      <c r="G587" s="57">
        <v>2.8451542675611563E-5</v>
      </c>
      <c r="H587" s="58">
        <v>0</v>
      </c>
    </row>
    <row r="588" spans="1:8">
      <c r="A588"/>
      <c r="B588"/>
      <c r="C588"/>
      <c r="D588"/>
      <c r="E588"/>
      <c r="F588" t="s">
        <v>1333</v>
      </c>
      <c r="G588" s="57">
        <v>7.5872718298342079E-5</v>
      </c>
      <c r="H588" s="58">
        <v>0</v>
      </c>
    </row>
    <row r="589" spans="1:8">
      <c r="A589"/>
      <c r="B589"/>
      <c r="C589"/>
      <c r="D589"/>
      <c r="E589"/>
      <c r="F589" t="s">
        <v>1334</v>
      </c>
      <c r="G589" s="57">
        <v>2.5366098270751536E-4</v>
      </c>
      <c r="H589" s="58">
        <v>0</v>
      </c>
    </row>
    <row r="590" spans="1:8">
      <c r="A590"/>
      <c r="B590"/>
      <c r="C590"/>
      <c r="D590"/>
      <c r="E590"/>
      <c r="F590" t="s">
        <v>1335</v>
      </c>
      <c r="G590" s="57">
        <v>3.573928916011937E-5</v>
      </c>
      <c r="H590" s="58">
        <v>0</v>
      </c>
    </row>
    <row r="591" spans="1:8">
      <c r="A591"/>
      <c r="B591"/>
      <c r="C591"/>
      <c r="D591"/>
      <c r="E591"/>
      <c r="F591" t="s">
        <v>1336</v>
      </c>
      <c r="G591" s="57">
        <v>1.4200445730239153E-4</v>
      </c>
      <c r="H591" s="58">
        <v>0</v>
      </c>
    </row>
    <row r="592" spans="1:8">
      <c r="A592"/>
      <c r="B592"/>
      <c r="C592"/>
      <c r="D592"/>
      <c r="E592"/>
      <c r="F592" t="s">
        <v>1337</v>
      </c>
      <c r="G592" s="57">
        <v>2.1023752924520522E-4</v>
      </c>
      <c r="H592" s="58">
        <v>0</v>
      </c>
    </row>
    <row r="593" spans="1:8">
      <c r="A593"/>
      <c r="B593"/>
      <c r="C593"/>
      <c r="D593"/>
      <c r="E593"/>
      <c r="F593" t="s">
        <v>1338</v>
      </c>
      <c r="G593" s="57">
        <v>8.7598964455537498E-5</v>
      </c>
      <c r="H593" s="58">
        <v>0</v>
      </c>
    </row>
    <row r="594" spans="1:8">
      <c r="A594"/>
      <c r="B594"/>
      <c r="C594"/>
      <c r="D594"/>
      <c r="E594"/>
      <c r="F594" t="s">
        <v>1339</v>
      </c>
      <c r="G594" s="57">
        <v>1.6529302229173481E-5</v>
      </c>
      <c r="H594" s="58">
        <v>0</v>
      </c>
    </row>
    <row r="595" spans="1:8">
      <c r="A595"/>
      <c r="B595"/>
      <c r="C595"/>
      <c r="D595"/>
      <c r="E595"/>
      <c r="F595" t="s">
        <v>1340</v>
      </c>
      <c r="G595" s="57">
        <v>7.2386965621262789E-4</v>
      </c>
      <c r="H595" s="58">
        <v>0</v>
      </c>
    </row>
    <row r="596" spans="1:8">
      <c r="A596"/>
      <c r="B596"/>
      <c r="C596"/>
      <c r="D596"/>
      <c r="E596"/>
      <c r="F596" t="s">
        <v>1341</v>
      </c>
      <c r="G596" s="57">
        <v>3.1826546182855964E-4</v>
      </c>
      <c r="H596" s="58">
        <v>0</v>
      </c>
    </row>
    <row r="597" spans="1:8">
      <c r="A597"/>
      <c r="B597"/>
      <c r="C597"/>
      <c r="D597"/>
      <c r="E597"/>
      <c r="F597" t="s">
        <v>1342</v>
      </c>
      <c r="G597" s="57">
        <v>5.6239537661895156E-4</v>
      </c>
      <c r="H597" s="58">
        <v>0</v>
      </c>
    </row>
    <row r="598" spans="1:8">
      <c r="A598"/>
      <c r="B598"/>
      <c r="C598"/>
      <c r="D598"/>
      <c r="E598" t="s">
        <v>754</v>
      </c>
      <c r="F598" t="s">
        <v>1192</v>
      </c>
      <c r="G598" s="57">
        <v>4.0691872127354145E-3</v>
      </c>
      <c r="H598" s="58">
        <v>1.1574074074074073E-5</v>
      </c>
    </row>
    <row r="599" spans="1:8">
      <c r="A599"/>
      <c r="B599"/>
      <c r="C599"/>
      <c r="D599"/>
      <c r="E599" t="s">
        <v>757</v>
      </c>
      <c r="F599" t="s">
        <v>1145</v>
      </c>
      <c r="G599" s="57">
        <v>0.9295370951294899</v>
      </c>
      <c r="H599" s="58">
        <v>1.0069444444444446E-3</v>
      </c>
    </row>
    <row r="600" spans="1:8">
      <c r="A600"/>
      <c r="B600"/>
      <c r="C600"/>
      <c r="D600"/>
      <c r="E600"/>
      <c r="F600" t="s">
        <v>1157</v>
      </c>
      <c r="G600" s="57">
        <v>0.47773450613021851</v>
      </c>
      <c r="H600" s="58">
        <v>4.9768518518518521E-4</v>
      </c>
    </row>
    <row r="601" spans="1:8">
      <c r="A601"/>
      <c r="B601"/>
      <c r="C601"/>
      <c r="D601"/>
      <c r="E601"/>
      <c r="F601" t="s">
        <v>1158</v>
      </c>
      <c r="G601" s="57">
        <v>0.12526590377092361</v>
      </c>
      <c r="H601" s="58">
        <v>1.273148148148148E-4</v>
      </c>
    </row>
    <row r="602" spans="1:8">
      <c r="A602"/>
      <c r="B602"/>
      <c r="C602"/>
      <c r="D602"/>
      <c r="E602" t="s">
        <v>762</v>
      </c>
      <c r="F602" t="s">
        <v>1146</v>
      </c>
      <c r="G602" s="57">
        <v>0.46837812848389149</v>
      </c>
      <c r="H602" s="58">
        <v>6.3657407407407413E-4</v>
      </c>
    </row>
    <row r="603" spans="1:8">
      <c r="A603"/>
      <c r="B603"/>
      <c r="C603"/>
      <c r="D603"/>
      <c r="E603"/>
      <c r="F603" t="s">
        <v>1159</v>
      </c>
      <c r="G603" s="57">
        <v>0.39785172045230865</v>
      </c>
      <c r="H603" s="58">
        <v>4.7453703703703704E-4</v>
      </c>
    </row>
    <row r="604" spans="1:8">
      <c r="A604"/>
      <c r="B604"/>
      <c r="C604"/>
      <c r="D604"/>
      <c r="E604"/>
      <c r="F604" t="s">
        <v>1160</v>
      </c>
      <c r="G604" s="57">
        <v>1.5296123996376991</v>
      </c>
      <c r="H604" s="58">
        <v>1.9907407407407404E-3</v>
      </c>
    </row>
    <row r="605" spans="1:8">
      <c r="A605"/>
      <c r="B605"/>
      <c r="C605"/>
      <c r="D605"/>
      <c r="E605"/>
      <c r="F605" t="s">
        <v>1161</v>
      </c>
      <c r="G605" s="57">
        <v>0.12403856590390205</v>
      </c>
      <c r="H605" s="58">
        <v>1.6203703703703703E-4</v>
      </c>
    </row>
    <row r="606" spans="1:8">
      <c r="A606"/>
      <c r="B606"/>
      <c r="C606"/>
      <c r="D606"/>
      <c r="E606"/>
      <c r="F606" t="s">
        <v>1193</v>
      </c>
      <c r="G606" s="57">
        <v>0.6028815284371376</v>
      </c>
      <c r="H606" s="58">
        <v>7.2916666666666659E-4</v>
      </c>
    </row>
    <row r="607" spans="1:8">
      <c r="A607"/>
      <c r="B607"/>
      <c r="C607"/>
      <c r="D607"/>
      <c r="E607"/>
      <c r="F607" t="s">
        <v>1209</v>
      </c>
      <c r="G607" s="57">
        <v>2.0468462258577347E-2</v>
      </c>
      <c r="H607" s="58">
        <v>2.3148148148148147E-5</v>
      </c>
    </row>
    <row r="608" spans="1:8">
      <c r="A608"/>
      <c r="B608"/>
      <c r="C608"/>
      <c r="D608"/>
      <c r="E608"/>
      <c r="F608" t="s">
        <v>1213</v>
      </c>
      <c r="G608" s="57">
        <v>0.31466418504714966</v>
      </c>
      <c r="H608" s="58">
        <v>3.4722222222222224E-4</v>
      </c>
    </row>
    <row r="609" spans="1:8">
      <c r="A609"/>
      <c r="B609"/>
      <c r="C609"/>
      <c r="D609"/>
      <c r="E609"/>
      <c r="F609" t="s">
        <v>1343</v>
      </c>
      <c r="G609" s="57">
        <v>3.8662315346300602E-3</v>
      </c>
      <c r="H609" s="58">
        <v>0</v>
      </c>
    </row>
    <row r="610" spans="1:8">
      <c r="A610"/>
      <c r="B610"/>
      <c r="C610"/>
      <c r="D610"/>
      <c r="E610"/>
      <c r="F610" t="s">
        <v>1344</v>
      </c>
      <c r="G610" s="57">
        <v>0.67163127660751343</v>
      </c>
      <c r="H610" s="58">
        <v>7.9861111111111105E-4</v>
      </c>
    </row>
    <row r="611" spans="1:8">
      <c r="A611" t="s">
        <v>382</v>
      </c>
      <c r="B611"/>
      <c r="C611"/>
      <c r="D611"/>
      <c r="E611"/>
      <c r="F611"/>
      <c r="G611" s="57">
        <v>380.76626239484358</v>
      </c>
      <c r="H611" s="58">
        <v>2.2036574074074053</v>
      </c>
    </row>
  </sheetData>
  <mergeCells count="1">
    <mergeCell ref="A4:B4"/>
  </mergeCells>
  <pageMargins left="0.7" right="0.7" top="0.75" bottom="0.75" header="0.51180555555555496" footer="0.51180555555555496"/>
  <pageSetup firstPageNumber="0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zoomScaleNormal="100" workbookViewId="0"/>
  </sheetViews>
  <sheetFormatPr defaultColWidth="8.85546875" defaultRowHeight="12.75"/>
  <cols>
    <col min="1" max="5" width="30.140625" customWidth="1"/>
    <col min="6" max="6" width="30.140625" style="50" customWidth="1"/>
    <col min="7" max="8" width="30.140625" customWidth="1"/>
    <col min="9" max="10" width="30.140625" style="50" customWidth="1"/>
    <col min="11" max="26" width="30.140625" customWidth="1"/>
  </cols>
  <sheetData>
    <row r="1" spans="1:26" s="51" customFormat="1">
      <c r="A1" s="51" t="s">
        <v>56</v>
      </c>
      <c r="B1" s="51" t="s">
        <v>417</v>
      </c>
      <c r="C1" s="51" t="s">
        <v>57</v>
      </c>
      <c r="D1" s="51" t="s">
        <v>58</v>
      </c>
      <c r="E1" s="51" t="s">
        <v>59</v>
      </c>
      <c r="F1" s="51" t="s">
        <v>60</v>
      </c>
      <c r="G1" s="51" t="s">
        <v>61</v>
      </c>
      <c r="H1" s="51" t="s">
        <v>62</v>
      </c>
      <c r="I1" s="51" t="s">
        <v>63</v>
      </c>
      <c r="J1" s="51" t="s">
        <v>64</v>
      </c>
      <c r="K1" s="51" t="s">
        <v>65</v>
      </c>
      <c r="L1" s="51" t="s">
        <v>66</v>
      </c>
      <c r="M1" s="51" t="s">
        <v>67</v>
      </c>
      <c r="N1" s="51" t="s">
        <v>68</v>
      </c>
      <c r="O1" s="51" t="s">
        <v>335</v>
      </c>
      <c r="P1" s="51" t="s">
        <v>383</v>
      </c>
      <c r="Q1" s="51" t="s">
        <v>406</v>
      </c>
      <c r="R1" s="51" t="s">
        <v>424</v>
      </c>
      <c r="S1" s="51" t="s">
        <v>449</v>
      </c>
      <c r="T1" s="51" t="s">
        <v>467</v>
      </c>
      <c r="U1" s="51" t="s">
        <v>468</v>
      </c>
      <c r="V1" s="51" t="s">
        <v>469</v>
      </c>
      <c r="W1" s="51" t="s">
        <v>470</v>
      </c>
      <c r="X1" s="51" t="s">
        <v>471</v>
      </c>
      <c r="Y1" s="51" t="s">
        <v>566</v>
      </c>
      <c r="Z1" s="51" t="s">
        <v>567</v>
      </c>
    </row>
    <row r="2" spans="1:26">
      <c r="A2" t="s">
        <v>41</v>
      </c>
      <c r="B2" t="s">
        <v>69</v>
      </c>
      <c r="C2" t="s">
        <v>70</v>
      </c>
      <c r="D2" t="s">
        <v>71</v>
      </c>
      <c r="E2" s="52" t="s">
        <v>72</v>
      </c>
      <c r="F2" s="50" t="s">
        <v>73</v>
      </c>
      <c r="G2" t="s">
        <v>70</v>
      </c>
      <c r="H2" t="s">
        <v>74</v>
      </c>
      <c r="I2" s="50" t="s">
        <v>70</v>
      </c>
      <c r="J2" s="53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336</v>
      </c>
      <c r="P2" t="s">
        <v>384</v>
      </c>
      <c r="Q2" t="s">
        <v>407</v>
      </c>
      <c r="R2" t="s">
        <v>425</v>
      </c>
      <c r="S2" t="s">
        <v>450</v>
      </c>
      <c r="T2" t="s">
        <v>472</v>
      </c>
      <c r="U2" t="s">
        <v>473</v>
      </c>
      <c r="V2" t="s">
        <v>474</v>
      </c>
      <c r="W2" t="s">
        <v>79</v>
      </c>
      <c r="X2" t="s">
        <v>475</v>
      </c>
      <c r="Y2" t="s">
        <v>70</v>
      </c>
      <c r="Z2" t="s">
        <v>568</v>
      </c>
    </row>
    <row r="3" spans="1:26">
      <c r="A3" t="s">
        <v>43</v>
      </c>
      <c r="B3" t="s">
        <v>80</v>
      </c>
      <c r="C3" t="s">
        <v>81</v>
      </c>
      <c r="D3" t="s">
        <v>82</v>
      </c>
      <c r="E3" s="52" t="s">
        <v>83</v>
      </c>
      <c r="F3" s="50" t="s">
        <v>84</v>
      </c>
      <c r="G3" t="s">
        <v>85</v>
      </c>
      <c r="H3" t="s">
        <v>86</v>
      </c>
      <c r="I3" s="50" t="s">
        <v>85</v>
      </c>
      <c r="J3" s="53" t="s">
        <v>87</v>
      </c>
      <c r="K3" t="s">
        <v>88</v>
      </c>
      <c r="L3" t="s">
        <v>89</v>
      </c>
      <c r="M3" t="s">
        <v>90</v>
      </c>
      <c r="N3" t="s">
        <v>91</v>
      </c>
      <c r="O3" t="s">
        <v>337</v>
      </c>
      <c r="P3" t="s">
        <v>385</v>
      </c>
      <c r="Q3" t="s">
        <v>80</v>
      </c>
      <c r="R3" t="s">
        <v>426</v>
      </c>
      <c r="S3" t="s">
        <v>87</v>
      </c>
      <c r="T3" t="s">
        <v>476</v>
      </c>
      <c r="U3" t="s">
        <v>477</v>
      </c>
      <c r="V3" t="s">
        <v>478</v>
      </c>
      <c r="W3" t="s">
        <v>476</v>
      </c>
      <c r="X3" t="s">
        <v>479</v>
      </c>
      <c r="Y3" t="s">
        <v>569</v>
      </c>
      <c r="Z3" t="s">
        <v>570</v>
      </c>
    </row>
    <row r="4" spans="1:26">
      <c r="A4" t="s">
        <v>44</v>
      </c>
      <c r="B4" t="s">
        <v>92</v>
      </c>
      <c r="C4" t="s">
        <v>93</v>
      </c>
      <c r="D4" t="s">
        <v>94</v>
      </c>
      <c r="E4" s="52" t="s">
        <v>95</v>
      </c>
      <c r="F4" s="50" t="s">
        <v>96</v>
      </c>
      <c r="G4" t="s">
        <v>97</v>
      </c>
      <c r="H4" t="s">
        <v>98</v>
      </c>
      <c r="I4" s="50" t="s">
        <v>99</v>
      </c>
      <c r="J4" s="53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338</v>
      </c>
      <c r="P4" t="s">
        <v>386</v>
      </c>
      <c r="Q4" t="s">
        <v>92</v>
      </c>
      <c r="R4" t="s">
        <v>427</v>
      </c>
      <c r="S4" t="s">
        <v>100</v>
      </c>
      <c r="T4" t="s">
        <v>480</v>
      </c>
      <c r="U4" t="s">
        <v>481</v>
      </c>
      <c r="V4" t="s">
        <v>482</v>
      </c>
      <c r="W4" t="s">
        <v>483</v>
      </c>
      <c r="X4" t="s">
        <v>484</v>
      </c>
      <c r="Y4" t="s">
        <v>571</v>
      </c>
      <c r="Z4" t="s">
        <v>572</v>
      </c>
    </row>
    <row r="5" spans="1:26">
      <c r="A5" t="s">
        <v>42</v>
      </c>
      <c r="B5" t="s">
        <v>105</v>
      </c>
      <c r="C5" t="s">
        <v>106</v>
      </c>
      <c r="D5" t="s">
        <v>107</v>
      </c>
      <c r="E5" s="52" t="s">
        <v>108</v>
      </c>
      <c r="F5" s="50" t="s">
        <v>109</v>
      </c>
      <c r="G5" t="s">
        <v>110</v>
      </c>
      <c r="H5" t="s">
        <v>111</v>
      </c>
      <c r="I5" s="50" t="s">
        <v>112</v>
      </c>
      <c r="J5" s="53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339</v>
      </c>
      <c r="P5" t="s">
        <v>387</v>
      </c>
      <c r="Q5" t="s">
        <v>408</v>
      </c>
      <c r="R5" t="s">
        <v>428</v>
      </c>
      <c r="S5" t="s">
        <v>451</v>
      </c>
      <c r="T5" t="s">
        <v>485</v>
      </c>
      <c r="U5" t="s">
        <v>486</v>
      </c>
      <c r="V5" t="s">
        <v>487</v>
      </c>
      <c r="W5" t="s">
        <v>488</v>
      </c>
      <c r="X5" t="s">
        <v>489</v>
      </c>
      <c r="Y5" t="s">
        <v>573</v>
      </c>
      <c r="Z5" t="s">
        <v>574</v>
      </c>
    </row>
    <row r="6" spans="1:26">
      <c r="A6" t="s">
        <v>45</v>
      </c>
      <c r="B6" t="s">
        <v>118</v>
      </c>
      <c r="C6" t="s">
        <v>119</v>
      </c>
      <c r="D6" t="s">
        <v>120</v>
      </c>
      <c r="E6" s="52" t="s">
        <v>121</v>
      </c>
      <c r="F6" s="50" t="s">
        <v>122</v>
      </c>
      <c r="G6" t="s">
        <v>123</v>
      </c>
      <c r="H6" t="s">
        <v>124</v>
      </c>
      <c r="I6" s="50" t="s">
        <v>125</v>
      </c>
      <c r="J6" s="53" t="s">
        <v>126</v>
      </c>
      <c r="K6" t="s">
        <v>127</v>
      </c>
      <c r="L6" t="s">
        <v>128</v>
      </c>
      <c r="M6" t="s">
        <v>129</v>
      </c>
      <c r="N6" t="s">
        <v>130</v>
      </c>
      <c r="O6" t="s">
        <v>340</v>
      </c>
      <c r="P6" t="s">
        <v>388</v>
      </c>
      <c r="Q6" t="s">
        <v>118</v>
      </c>
      <c r="R6" t="s">
        <v>429</v>
      </c>
      <c r="S6" t="s">
        <v>452</v>
      </c>
      <c r="T6" t="s">
        <v>490</v>
      </c>
      <c r="U6" t="s">
        <v>491</v>
      </c>
      <c r="V6" t="s">
        <v>492</v>
      </c>
      <c r="W6" t="s">
        <v>490</v>
      </c>
      <c r="X6" t="s">
        <v>493</v>
      </c>
      <c r="Y6" t="s">
        <v>575</v>
      </c>
      <c r="Z6" t="s">
        <v>576</v>
      </c>
    </row>
    <row r="7" spans="1:26">
      <c r="A7" t="s">
        <v>46</v>
      </c>
      <c r="B7" t="s">
        <v>131</v>
      </c>
      <c r="C7" t="s">
        <v>132</v>
      </c>
      <c r="D7" t="s">
        <v>133</v>
      </c>
      <c r="E7" s="52" t="s">
        <v>134</v>
      </c>
      <c r="F7" s="50" t="s">
        <v>135</v>
      </c>
      <c r="G7" t="s">
        <v>136</v>
      </c>
      <c r="H7" t="s">
        <v>137</v>
      </c>
      <c r="I7" s="50" t="s">
        <v>138</v>
      </c>
      <c r="J7" s="53" t="s">
        <v>139</v>
      </c>
      <c r="K7" t="s">
        <v>140</v>
      </c>
      <c r="L7" t="s">
        <v>141</v>
      </c>
      <c r="M7" t="s">
        <v>142</v>
      </c>
      <c r="N7" t="s">
        <v>143</v>
      </c>
      <c r="O7" t="s">
        <v>341</v>
      </c>
      <c r="P7" t="s">
        <v>389</v>
      </c>
      <c r="Q7" t="s">
        <v>409</v>
      </c>
      <c r="R7" t="s">
        <v>430</v>
      </c>
      <c r="S7" t="s">
        <v>453</v>
      </c>
      <c r="T7" t="s">
        <v>494</v>
      </c>
      <c r="U7" t="s">
        <v>495</v>
      </c>
      <c r="V7" t="s">
        <v>496</v>
      </c>
      <c r="W7" t="s">
        <v>494</v>
      </c>
      <c r="X7" t="s">
        <v>497</v>
      </c>
      <c r="Y7" t="s">
        <v>577</v>
      </c>
      <c r="Z7" t="s">
        <v>578</v>
      </c>
    </row>
    <row r="8" spans="1:26">
      <c r="A8" t="s">
        <v>47</v>
      </c>
      <c r="B8" t="s">
        <v>144</v>
      </c>
      <c r="C8" t="s">
        <v>145</v>
      </c>
      <c r="D8" t="s">
        <v>146</v>
      </c>
      <c r="E8" s="52" t="s">
        <v>147</v>
      </c>
      <c r="F8" s="50" t="s">
        <v>148</v>
      </c>
      <c r="G8" t="s">
        <v>149</v>
      </c>
      <c r="H8" t="s">
        <v>146</v>
      </c>
      <c r="I8" s="50" t="s">
        <v>150</v>
      </c>
      <c r="J8" s="53" t="s">
        <v>151</v>
      </c>
      <c r="K8" t="s">
        <v>152</v>
      </c>
      <c r="L8" t="s">
        <v>153</v>
      </c>
      <c r="M8" t="s">
        <v>154</v>
      </c>
      <c r="N8" t="s">
        <v>146</v>
      </c>
      <c r="O8" t="s">
        <v>342</v>
      </c>
      <c r="P8" t="s">
        <v>390</v>
      </c>
      <c r="Q8" t="s">
        <v>144</v>
      </c>
      <c r="R8" t="s">
        <v>431</v>
      </c>
      <c r="S8" t="s">
        <v>454</v>
      </c>
      <c r="T8" t="s">
        <v>146</v>
      </c>
      <c r="U8" t="s">
        <v>498</v>
      </c>
      <c r="V8" t="s">
        <v>499</v>
      </c>
      <c r="W8" t="s">
        <v>146</v>
      </c>
      <c r="X8" t="s">
        <v>154</v>
      </c>
      <c r="Y8" t="s">
        <v>149</v>
      </c>
      <c r="Z8" t="s">
        <v>579</v>
      </c>
    </row>
    <row r="9" spans="1:26">
      <c r="A9" t="s">
        <v>48</v>
      </c>
      <c r="B9" t="s">
        <v>155</v>
      </c>
      <c r="C9" t="s">
        <v>156</v>
      </c>
      <c r="D9" t="s">
        <v>157</v>
      </c>
      <c r="E9" s="52" t="s">
        <v>158</v>
      </c>
      <c r="F9" s="50" t="s">
        <v>159</v>
      </c>
      <c r="G9" t="s">
        <v>160</v>
      </c>
      <c r="H9" t="s">
        <v>161</v>
      </c>
      <c r="I9" s="50" t="s">
        <v>162</v>
      </c>
      <c r="J9" s="53" t="s">
        <v>158</v>
      </c>
      <c r="K9" t="s">
        <v>163</v>
      </c>
      <c r="L9" t="s">
        <v>164</v>
      </c>
      <c r="M9" t="s">
        <v>165</v>
      </c>
      <c r="N9" t="s">
        <v>166</v>
      </c>
      <c r="O9" t="s">
        <v>343</v>
      </c>
      <c r="P9" t="s">
        <v>164</v>
      </c>
      <c r="Q9" t="s">
        <v>155</v>
      </c>
      <c r="R9" t="s">
        <v>432</v>
      </c>
      <c r="S9" t="s">
        <v>158</v>
      </c>
      <c r="T9" t="s">
        <v>500</v>
      </c>
      <c r="U9" t="s">
        <v>501</v>
      </c>
      <c r="V9" t="s">
        <v>502</v>
      </c>
      <c r="W9" t="s">
        <v>503</v>
      </c>
      <c r="X9" t="s">
        <v>165</v>
      </c>
      <c r="Y9" t="s">
        <v>160</v>
      </c>
      <c r="Z9" t="s">
        <v>580</v>
      </c>
    </row>
    <row r="10" spans="1:26">
      <c r="A10" t="s">
        <v>49</v>
      </c>
      <c r="B10" t="s">
        <v>167</v>
      </c>
      <c r="C10" t="s">
        <v>168</v>
      </c>
      <c r="D10" t="s">
        <v>169</v>
      </c>
      <c r="E10" s="52" t="s">
        <v>170</v>
      </c>
      <c r="F10" s="50" t="s">
        <v>171</v>
      </c>
      <c r="G10" t="s">
        <v>172</v>
      </c>
      <c r="H10" t="s">
        <v>173</v>
      </c>
      <c r="I10" s="50" t="s">
        <v>174</v>
      </c>
      <c r="J10" s="53" t="s">
        <v>175</v>
      </c>
      <c r="K10" t="s">
        <v>176</v>
      </c>
      <c r="L10" t="s">
        <v>177</v>
      </c>
      <c r="M10" t="s">
        <v>178</v>
      </c>
      <c r="N10" t="s">
        <v>179</v>
      </c>
      <c r="O10" t="s">
        <v>344</v>
      </c>
      <c r="P10" t="s">
        <v>391</v>
      </c>
      <c r="Q10" t="s">
        <v>410</v>
      </c>
      <c r="R10" t="s">
        <v>433</v>
      </c>
      <c r="S10" t="s">
        <v>455</v>
      </c>
      <c r="T10" t="s">
        <v>504</v>
      </c>
      <c r="U10" t="s">
        <v>505</v>
      </c>
      <c r="V10" t="s">
        <v>506</v>
      </c>
      <c r="W10" t="s">
        <v>507</v>
      </c>
      <c r="X10" t="s">
        <v>178</v>
      </c>
      <c r="Y10" t="s">
        <v>172</v>
      </c>
      <c r="Z10" t="s">
        <v>581</v>
      </c>
    </row>
    <row r="11" spans="1:26">
      <c r="A11" t="s">
        <v>50</v>
      </c>
      <c r="B11" t="s">
        <v>35</v>
      </c>
      <c r="C11" t="s">
        <v>180</v>
      </c>
      <c r="D11" t="s">
        <v>181</v>
      </c>
      <c r="E11" s="52" t="s">
        <v>182</v>
      </c>
      <c r="F11" s="50" t="s">
        <v>55</v>
      </c>
      <c r="G11" t="s">
        <v>55</v>
      </c>
      <c r="H11" t="s">
        <v>181</v>
      </c>
      <c r="I11" s="50" t="s">
        <v>55</v>
      </c>
      <c r="J11" s="53" t="s">
        <v>183</v>
      </c>
      <c r="K11" t="s">
        <v>184</v>
      </c>
      <c r="L11" t="s">
        <v>185</v>
      </c>
      <c r="M11" t="s">
        <v>181</v>
      </c>
      <c r="N11" t="s">
        <v>181</v>
      </c>
      <c r="O11" t="s">
        <v>345</v>
      </c>
      <c r="P11" t="s">
        <v>392</v>
      </c>
      <c r="Q11" t="s">
        <v>35</v>
      </c>
      <c r="R11" t="s">
        <v>434</v>
      </c>
      <c r="S11" t="s">
        <v>183</v>
      </c>
      <c r="T11" t="s">
        <v>508</v>
      </c>
      <c r="U11" t="s">
        <v>509</v>
      </c>
      <c r="V11" t="s">
        <v>510</v>
      </c>
      <c r="W11" t="s">
        <v>508</v>
      </c>
      <c r="X11" t="s">
        <v>510</v>
      </c>
      <c r="Y11" t="s">
        <v>55</v>
      </c>
      <c r="Z11" t="s">
        <v>55</v>
      </c>
    </row>
    <row r="12" spans="1:26">
      <c r="A12" t="s">
        <v>51</v>
      </c>
      <c r="B12" t="s">
        <v>186</v>
      </c>
      <c r="C12" t="s">
        <v>187</v>
      </c>
      <c r="D12" t="s">
        <v>188</v>
      </c>
      <c r="E12" s="52" t="s">
        <v>189</v>
      </c>
      <c r="F12" s="50" t="s">
        <v>190</v>
      </c>
      <c r="G12" t="s">
        <v>191</v>
      </c>
      <c r="H12" t="s">
        <v>192</v>
      </c>
      <c r="I12" s="50" t="s">
        <v>193</v>
      </c>
      <c r="J12" s="53" t="s">
        <v>194</v>
      </c>
      <c r="K12" t="s">
        <v>195</v>
      </c>
      <c r="L12" t="s">
        <v>196</v>
      </c>
      <c r="M12" t="s">
        <v>197</v>
      </c>
      <c r="N12" t="s">
        <v>198</v>
      </c>
      <c r="O12" t="s">
        <v>346</v>
      </c>
      <c r="P12" t="s">
        <v>393</v>
      </c>
      <c r="Q12" t="s">
        <v>411</v>
      </c>
      <c r="R12" t="s">
        <v>435</v>
      </c>
      <c r="S12" t="s">
        <v>189</v>
      </c>
      <c r="T12" t="s">
        <v>511</v>
      </c>
      <c r="U12" t="s">
        <v>512</v>
      </c>
      <c r="V12" t="s">
        <v>513</v>
      </c>
      <c r="W12" t="s">
        <v>511</v>
      </c>
      <c r="X12" t="s">
        <v>514</v>
      </c>
      <c r="Y12" t="s">
        <v>191</v>
      </c>
      <c r="Z12" t="s">
        <v>582</v>
      </c>
    </row>
    <row r="13" spans="1:26">
      <c r="A13" t="s">
        <v>404</v>
      </c>
      <c r="B13" t="s">
        <v>199</v>
      </c>
      <c r="C13" t="s">
        <v>200</v>
      </c>
      <c r="D13" t="s">
        <v>201</v>
      </c>
      <c r="E13" s="52" t="s">
        <v>202</v>
      </c>
      <c r="F13" s="50" t="s">
        <v>203</v>
      </c>
      <c r="G13" t="s">
        <v>204</v>
      </c>
      <c r="H13" t="s">
        <v>205</v>
      </c>
      <c r="I13" s="50" t="s">
        <v>206</v>
      </c>
      <c r="J13" s="53" t="s">
        <v>207</v>
      </c>
      <c r="K13" t="s">
        <v>208</v>
      </c>
      <c r="L13" t="s">
        <v>209</v>
      </c>
      <c r="M13" t="s">
        <v>210</v>
      </c>
      <c r="N13" t="s">
        <v>211</v>
      </c>
      <c r="O13" t="s">
        <v>347</v>
      </c>
      <c r="P13" t="s">
        <v>394</v>
      </c>
      <c r="Q13" t="s">
        <v>199</v>
      </c>
      <c r="R13" t="s">
        <v>436</v>
      </c>
      <c r="S13" t="s">
        <v>456</v>
      </c>
      <c r="T13" t="s">
        <v>515</v>
      </c>
      <c r="U13" t="s">
        <v>516</v>
      </c>
      <c r="V13" t="s">
        <v>517</v>
      </c>
      <c r="W13" t="s">
        <v>518</v>
      </c>
      <c r="X13" t="s">
        <v>519</v>
      </c>
      <c r="Y13" t="s">
        <v>583</v>
      </c>
      <c r="Z13" t="s">
        <v>584</v>
      </c>
    </row>
    <row r="14" spans="1:26">
      <c r="A14" t="s">
        <v>405</v>
      </c>
      <c r="B14" t="s">
        <v>212</v>
      </c>
      <c r="C14" t="s">
        <v>213</v>
      </c>
      <c r="D14" t="s">
        <v>214</v>
      </c>
      <c r="E14" s="52" t="s">
        <v>215</v>
      </c>
      <c r="F14" s="50" t="s">
        <v>216</v>
      </c>
      <c r="G14" t="s">
        <v>217</v>
      </c>
      <c r="H14" t="s">
        <v>218</v>
      </c>
      <c r="I14" s="50" t="s">
        <v>219</v>
      </c>
      <c r="J14" s="53" t="s">
        <v>220</v>
      </c>
      <c r="K14" t="s">
        <v>221</v>
      </c>
      <c r="L14" t="s">
        <v>222</v>
      </c>
      <c r="M14" t="s">
        <v>223</v>
      </c>
      <c r="N14" t="s">
        <v>224</v>
      </c>
      <c r="O14" t="s">
        <v>348</v>
      </c>
      <c r="P14" t="s">
        <v>222</v>
      </c>
      <c r="Q14" t="s">
        <v>212</v>
      </c>
      <c r="R14" t="s">
        <v>437</v>
      </c>
      <c r="S14" t="s">
        <v>215</v>
      </c>
      <c r="T14" t="s">
        <v>218</v>
      </c>
      <c r="U14" t="s">
        <v>520</v>
      </c>
      <c r="V14" t="s">
        <v>521</v>
      </c>
      <c r="W14" t="s">
        <v>522</v>
      </c>
      <c r="X14" t="s">
        <v>523</v>
      </c>
      <c r="Y14" t="s">
        <v>217</v>
      </c>
      <c r="Z14" t="s">
        <v>585</v>
      </c>
    </row>
    <row r="15" spans="1:26">
      <c r="A15" t="s">
        <v>52</v>
      </c>
      <c r="B15" t="s">
        <v>225</v>
      </c>
      <c r="C15" t="s">
        <v>226</v>
      </c>
      <c r="D15" t="s">
        <v>227</v>
      </c>
      <c r="E15" s="52" t="s">
        <v>228</v>
      </c>
      <c r="F15" s="50" t="s">
        <v>229</v>
      </c>
      <c r="G15" t="s">
        <v>230</v>
      </c>
      <c r="H15" t="s">
        <v>231</v>
      </c>
      <c r="I15" s="50" t="s">
        <v>232</v>
      </c>
      <c r="J15" s="53" t="s">
        <v>233</v>
      </c>
      <c r="K15" t="s">
        <v>234</v>
      </c>
      <c r="L15" t="s">
        <v>235</v>
      </c>
      <c r="M15" t="s">
        <v>236</v>
      </c>
      <c r="N15" t="s">
        <v>231</v>
      </c>
      <c r="O15" t="s">
        <v>349</v>
      </c>
      <c r="P15" t="s">
        <v>395</v>
      </c>
      <c r="Q15" t="s">
        <v>412</v>
      </c>
      <c r="R15" t="s">
        <v>438</v>
      </c>
      <c r="S15" t="s">
        <v>457</v>
      </c>
      <c r="T15" t="s">
        <v>524</v>
      </c>
      <c r="U15" t="s">
        <v>525</v>
      </c>
      <c r="V15" t="s">
        <v>526</v>
      </c>
      <c r="W15" t="s">
        <v>524</v>
      </c>
      <c r="X15" t="s">
        <v>527</v>
      </c>
      <c r="Y15" t="s">
        <v>586</v>
      </c>
      <c r="Z15" t="s">
        <v>599</v>
      </c>
    </row>
    <row r="16" spans="1:26">
      <c r="A16" t="s">
        <v>53</v>
      </c>
      <c r="B16" t="s">
        <v>237</v>
      </c>
      <c r="C16" t="s">
        <v>238</v>
      </c>
      <c r="D16" t="s">
        <v>239</v>
      </c>
      <c r="E16" s="52" t="s">
        <v>240</v>
      </c>
      <c r="F16" s="50" t="s">
        <v>241</v>
      </c>
      <c r="G16" t="s">
        <v>242</v>
      </c>
      <c r="H16" t="s">
        <v>239</v>
      </c>
      <c r="I16" s="50" t="s">
        <v>243</v>
      </c>
      <c r="J16" s="53" t="s">
        <v>244</v>
      </c>
      <c r="K16" t="s">
        <v>245</v>
      </c>
      <c r="L16" t="s">
        <v>246</v>
      </c>
      <c r="M16" t="s">
        <v>247</v>
      </c>
      <c r="N16" t="s">
        <v>248</v>
      </c>
      <c r="O16" t="s">
        <v>350</v>
      </c>
      <c r="P16" t="s">
        <v>396</v>
      </c>
      <c r="Q16" t="s">
        <v>237</v>
      </c>
      <c r="R16" t="s">
        <v>439</v>
      </c>
      <c r="S16" t="s">
        <v>458</v>
      </c>
      <c r="T16" t="s">
        <v>248</v>
      </c>
      <c r="U16" t="s">
        <v>528</v>
      </c>
      <c r="V16" t="s">
        <v>529</v>
      </c>
      <c r="W16" t="s">
        <v>248</v>
      </c>
      <c r="X16" t="s">
        <v>247</v>
      </c>
      <c r="Y16" t="s">
        <v>242</v>
      </c>
      <c r="Z16" t="s">
        <v>587</v>
      </c>
    </row>
    <row r="17" spans="1:26">
      <c r="A17" t="s">
        <v>34</v>
      </c>
      <c r="B17" t="s">
        <v>249</v>
      </c>
      <c r="C17" t="s">
        <v>250</v>
      </c>
      <c r="D17" t="s">
        <v>251</v>
      </c>
      <c r="E17" s="52" t="s">
        <v>252</v>
      </c>
      <c r="F17" s="50" t="s">
        <v>253</v>
      </c>
      <c r="G17" t="s">
        <v>254</v>
      </c>
      <c r="H17" t="s">
        <v>255</v>
      </c>
      <c r="I17" s="50" t="s">
        <v>256</v>
      </c>
      <c r="J17" s="53" t="s">
        <v>257</v>
      </c>
      <c r="K17" t="s">
        <v>258</v>
      </c>
      <c r="L17" t="s">
        <v>259</v>
      </c>
      <c r="M17" t="s">
        <v>260</v>
      </c>
      <c r="N17" t="s">
        <v>261</v>
      </c>
      <c r="O17" t="s">
        <v>351</v>
      </c>
      <c r="P17" t="s">
        <v>397</v>
      </c>
      <c r="Q17" t="s">
        <v>413</v>
      </c>
      <c r="R17" t="s">
        <v>440</v>
      </c>
      <c r="S17" t="s">
        <v>459</v>
      </c>
      <c r="T17" t="s">
        <v>530</v>
      </c>
      <c r="U17" t="s">
        <v>531</v>
      </c>
      <c r="V17" t="s">
        <v>532</v>
      </c>
      <c r="W17" t="s">
        <v>533</v>
      </c>
      <c r="X17" t="s">
        <v>534</v>
      </c>
      <c r="Y17" t="s">
        <v>588</v>
      </c>
      <c r="Z17" t="s">
        <v>589</v>
      </c>
    </row>
    <row r="18" spans="1:26">
      <c r="A18" t="s">
        <v>262</v>
      </c>
      <c r="B18" t="s">
        <v>263</v>
      </c>
      <c r="C18" t="s">
        <v>264</v>
      </c>
      <c r="D18" t="s">
        <v>265</v>
      </c>
      <c r="E18" s="52" t="s">
        <v>266</v>
      </c>
      <c r="F18" s="50" t="s">
        <v>267</v>
      </c>
      <c r="G18" t="s">
        <v>268</v>
      </c>
      <c r="H18" t="s">
        <v>269</v>
      </c>
      <c r="I18" s="50" t="s">
        <v>270</v>
      </c>
      <c r="J18" s="53" t="s">
        <v>271</v>
      </c>
      <c r="K18" t="s">
        <v>272</v>
      </c>
      <c r="L18" t="s">
        <v>273</v>
      </c>
      <c r="M18" t="s">
        <v>274</v>
      </c>
      <c r="N18" t="s">
        <v>275</v>
      </c>
      <c r="O18" t="s">
        <v>352</v>
      </c>
      <c r="P18" t="s">
        <v>398</v>
      </c>
      <c r="Q18" t="s">
        <v>263</v>
      </c>
      <c r="R18" t="s">
        <v>441</v>
      </c>
      <c r="S18" t="s">
        <v>460</v>
      </c>
      <c r="T18" t="s">
        <v>535</v>
      </c>
      <c r="U18" t="s">
        <v>536</v>
      </c>
      <c r="V18" t="s">
        <v>537</v>
      </c>
      <c r="W18" t="s">
        <v>538</v>
      </c>
      <c r="X18" t="s">
        <v>539</v>
      </c>
      <c r="Y18" t="s">
        <v>590</v>
      </c>
      <c r="Z18" t="s">
        <v>591</v>
      </c>
    </row>
    <row r="19" spans="1:26">
      <c r="A19" t="s">
        <v>36</v>
      </c>
      <c r="B19" t="s">
        <v>276</v>
      </c>
      <c r="C19" t="s">
        <v>277</v>
      </c>
      <c r="D19" t="s">
        <v>278</v>
      </c>
      <c r="E19" s="52" t="s">
        <v>279</v>
      </c>
      <c r="F19" s="50" t="s">
        <v>280</v>
      </c>
      <c r="G19" t="s">
        <v>277</v>
      </c>
      <c r="H19" t="s">
        <v>281</v>
      </c>
      <c r="I19" s="50" t="s">
        <v>282</v>
      </c>
      <c r="J19" s="53" t="s">
        <v>283</v>
      </c>
      <c r="K19" t="s">
        <v>284</v>
      </c>
      <c r="L19" t="s">
        <v>285</v>
      </c>
      <c r="M19" t="s">
        <v>280</v>
      </c>
      <c r="N19" t="s">
        <v>286</v>
      </c>
      <c r="O19" t="s">
        <v>353</v>
      </c>
      <c r="P19" t="s">
        <v>399</v>
      </c>
      <c r="Q19" t="s">
        <v>414</v>
      </c>
      <c r="R19" t="s">
        <v>442</v>
      </c>
      <c r="S19" t="s">
        <v>461</v>
      </c>
      <c r="T19" t="s">
        <v>540</v>
      </c>
      <c r="U19" t="s">
        <v>541</v>
      </c>
      <c r="V19" t="s">
        <v>542</v>
      </c>
      <c r="W19" t="s">
        <v>540</v>
      </c>
      <c r="X19" t="s">
        <v>543</v>
      </c>
      <c r="Y19" t="s">
        <v>277</v>
      </c>
      <c r="Z19" t="s">
        <v>592</v>
      </c>
    </row>
    <row r="20" spans="1:26">
      <c r="A20" t="s">
        <v>37</v>
      </c>
      <c r="B20" t="s">
        <v>287</v>
      </c>
      <c r="C20" t="s">
        <v>288</v>
      </c>
      <c r="D20" t="s">
        <v>289</v>
      </c>
      <c r="E20" s="52" t="s">
        <v>290</v>
      </c>
      <c r="F20" s="50" t="s">
        <v>291</v>
      </c>
      <c r="G20" t="s">
        <v>288</v>
      </c>
      <c r="H20" t="s">
        <v>292</v>
      </c>
      <c r="I20" s="50" t="s">
        <v>293</v>
      </c>
      <c r="J20" s="53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354</v>
      </c>
      <c r="P20" t="s">
        <v>400</v>
      </c>
      <c r="Q20" t="s">
        <v>415</v>
      </c>
      <c r="R20" t="s">
        <v>443</v>
      </c>
      <c r="S20" t="s">
        <v>294</v>
      </c>
      <c r="T20" t="s">
        <v>544</v>
      </c>
      <c r="U20" t="s">
        <v>545</v>
      </c>
      <c r="V20" t="s">
        <v>546</v>
      </c>
      <c r="W20" t="s">
        <v>544</v>
      </c>
      <c r="X20" t="s">
        <v>291</v>
      </c>
      <c r="Y20" t="s">
        <v>293</v>
      </c>
      <c r="Z20" t="s">
        <v>593</v>
      </c>
    </row>
    <row r="21" spans="1:26">
      <c r="A21" t="s">
        <v>39</v>
      </c>
      <c r="B21" t="s">
        <v>299</v>
      </c>
      <c r="C21" t="s">
        <v>300</v>
      </c>
      <c r="D21" t="s">
        <v>301</v>
      </c>
      <c r="E21" s="52" t="s">
        <v>302</v>
      </c>
      <c r="F21" s="50" t="s">
        <v>303</v>
      </c>
      <c r="G21" t="s">
        <v>304</v>
      </c>
      <c r="H21" t="s">
        <v>305</v>
      </c>
      <c r="I21" s="50" t="s">
        <v>306</v>
      </c>
      <c r="J21" s="53" t="s">
        <v>307</v>
      </c>
      <c r="K21" t="s">
        <v>308</v>
      </c>
      <c r="L21" t="s">
        <v>309</v>
      </c>
      <c r="M21" t="s">
        <v>310</v>
      </c>
      <c r="N21" t="s">
        <v>311</v>
      </c>
      <c r="O21" t="s">
        <v>355</v>
      </c>
      <c r="P21" t="s">
        <v>401</v>
      </c>
      <c r="Q21" t="s">
        <v>299</v>
      </c>
      <c r="R21" t="s">
        <v>444</v>
      </c>
      <c r="S21" t="s">
        <v>462</v>
      </c>
      <c r="T21" t="s">
        <v>547</v>
      </c>
      <c r="U21" t="s">
        <v>548</v>
      </c>
      <c r="V21" t="s">
        <v>549</v>
      </c>
      <c r="W21" t="s">
        <v>550</v>
      </c>
      <c r="X21" t="s">
        <v>551</v>
      </c>
      <c r="Y21" t="s">
        <v>304</v>
      </c>
      <c r="Z21" t="s">
        <v>594</v>
      </c>
    </row>
    <row r="22" spans="1:26">
      <c r="A22" t="s">
        <v>40</v>
      </c>
      <c r="B22" t="s">
        <v>312</v>
      </c>
      <c r="C22" t="s">
        <v>313</v>
      </c>
      <c r="D22" t="s">
        <v>314</v>
      </c>
      <c r="E22" s="52" t="s">
        <v>315</v>
      </c>
      <c r="F22" s="50" t="s">
        <v>419</v>
      </c>
      <c r="G22" t="s">
        <v>316</v>
      </c>
      <c r="H22" t="s">
        <v>317</v>
      </c>
      <c r="I22" s="50" t="s">
        <v>420</v>
      </c>
      <c r="J22" s="53" t="s">
        <v>318</v>
      </c>
      <c r="K22" t="s">
        <v>319</v>
      </c>
      <c r="L22" t="s">
        <v>421</v>
      </c>
      <c r="M22" t="s">
        <v>320</v>
      </c>
      <c r="N22" t="s">
        <v>321</v>
      </c>
      <c r="O22" t="s">
        <v>356</v>
      </c>
      <c r="P22" t="s">
        <v>402</v>
      </c>
      <c r="Q22" t="s">
        <v>312</v>
      </c>
      <c r="R22" t="s">
        <v>445</v>
      </c>
      <c r="S22" t="s">
        <v>463</v>
      </c>
      <c r="T22" t="s">
        <v>552</v>
      </c>
      <c r="U22" t="s">
        <v>553</v>
      </c>
      <c r="V22" t="s">
        <v>554</v>
      </c>
      <c r="W22" t="s">
        <v>321</v>
      </c>
      <c r="X22" t="s">
        <v>555</v>
      </c>
      <c r="Y22" t="s">
        <v>316</v>
      </c>
      <c r="Z22" t="s">
        <v>595</v>
      </c>
    </row>
    <row r="23" spans="1:26">
      <c r="A23" t="s">
        <v>38</v>
      </c>
      <c r="B23" t="s">
        <v>322</v>
      </c>
      <c r="C23" t="s">
        <v>323</v>
      </c>
      <c r="D23" t="s">
        <v>324</v>
      </c>
      <c r="E23" s="52" t="s">
        <v>325</v>
      </c>
      <c r="F23" s="50" t="s">
        <v>326</v>
      </c>
      <c r="G23" t="s">
        <v>327</v>
      </c>
      <c r="H23" t="s">
        <v>328</v>
      </c>
      <c r="I23" s="50" t="s">
        <v>329</v>
      </c>
      <c r="J23" s="53" t="s">
        <v>330</v>
      </c>
      <c r="K23" t="s">
        <v>331</v>
      </c>
      <c r="L23" t="s">
        <v>332</v>
      </c>
      <c r="M23" t="s">
        <v>333</v>
      </c>
      <c r="N23" t="s">
        <v>334</v>
      </c>
      <c r="O23" t="s">
        <v>357</v>
      </c>
      <c r="P23" t="s">
        <v>403</v>
      </c>
      <c r="Q23" t="s">
        <v>322</v>
      </c>
      <c r="R23" t="s">
        <v>446</v>
      </c>
      <c r="S23" t="s">
        <v>464</v>
      </c>
      <c r="T23" t="s">
        <v>556</v>
      </c>
      <c r="U23" t="s">
        <v>557</v>
      </c>
      <c r="V23" t="s">
        <v>558</v>
      </c>
      <c r="W23" t="s">
        <v>559</v>
      </c>
      <c r="X23" t="s">
        <v>333</v>
      </c>
      <c r="Y23" t="s">
        <v>596</v>
      </c>
      <c r="Z23" t="s">
        <v>597</v>
      </c>
    </row>
    <row r="24" spans="1:26">
      <c r="A24" t="s">
        <v>54</v>
      </c>
      <c r="B24" s="54" t="s">
        <v>360</v>
      </c>
      <c r="C24" s="54" t="s">
        <v>361</v>
      </c>
      <c r="D24" s="54" t="s">
        <v>362</v>
      </c>
      <c r="E24" s="54" t="s">
        <v>363</v>
      </c>
      <c r="F24" s="55" t="s">
        <v>362</v>
      </c>
      <c r="G24" s="54" t="s">
        <v>362</v>
      </c>
      <c r="H24" s="54" t="s">
        <v>362</v>
      </c>
      <c r="I24" s="55" t="s">
        <v>364</v>
      </c>
      <c r="J24" s="55" t="s">
        <v>365</v>
      </c>
      <c r="K24" s="54" t="s">
        <v>366</v>
      </c>
      <c r="L24" s="54" t="s">
        <v>362</v>
      </c>
      <c r="M24" s="54" t="s">
        <v>367</v>
      </c>
      <c r="N24" s="54" t="s">
        <v>362</v>
      </c>
      <c r="O24" t="s">
        <v>358</v>
      </c>
      <c r="P24" t="s">
        <v>362</v>
      </c>
      <c r="Q24" t="s">
        <v>416</v>
      </c>
      <c r="R24" t="s">
        <v>447</v>
      </c>
      <c r="S24" t="s">
        <v>465</v>
      </c>
      <c r="T24" t="s">
        <v>362</v>
      </c>
      <c r="U24" t="s">
        <v>560</v>
      </c>
      <c r="V24" t="s">
        <v>561</v>
      </c>
      <c r="W24" t="s">
        <v>362</v>
      </c>
      <c r="X24" t="s">
        <v>367</v>
      </c>
      <c r="Y24" t="s">
        <v>361</v>
      </c>
      <c r="Z24" t="s">
        <v>360</v>
      </c>
    </row>
    <row r="25" spans="1:26">
      <c r="A25" t="s">
        <v>359</v>
      </c>
      <c r="B25" t="s">
        <v>368</v>
      </c>
      <c r="C25" t="s">
        <v>369</v>
      </c>
      <c r="D25" t="s">
        <v>370</v>
      </c>
      <c r="E25" t="s">
        <v>371</v>
      </c>
      <c r="F25" s="50" t="s">
        <v>372</v>
      </c>
      <c r="G25" t="s">
        <v>373</v>
      </c>
      <c r="H25" t="s">
        <v>374</v>
      </c>
      <c r="I25" s="50" t="s">
        <v>375</v>
      </c>
      <c r="J25" s="50" t="s">
        <v>418</v>
      </c>
      <c r="K25" t="s">
        <v>376</v>
      </c>
      <c r="L25" t="s">
        <v>377</v>
      </c>
      <c r="M25" t="s">
        <v>378</v>
      </c>
      <c r="N25" t="s">
        <v>379</v>
      </c>
      <c r="O25" t="s">
        <v>380</v>
      </c>
      <c r="P25" t="s">
        <v>377</v>
      </c>
      <c r="Q25" t="s">
        <v>368</v>
      </c>
      <c r="R25" t="s">
        <v>448</v>
      </c>
      <c r="S25" t="s">
        <v>466</v>
      </c>
      <c r="T25" t="s">
        <v>562</v>
      </c>
      <c r="U25" t="s">
        <v>563</v>
      </c>
      <c r="V25" t="s">
        <v>564</v>
      </c>
      <c r="W25" t="s">
        <v>565</v>
      </c>
      <c r="X25" t="s">
        <v>372</v>
      </c>
      <c r="Y25" t="s">
        <v>373</v>
      </c>
      <c r="Z25" t="s">
        <v>598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Report</vt:lpstr>
      <vt:lpstr>Summary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SYSTEM</cp:lastModifiedBy>
  <cp:revision>4</cp:revision>
  <dcterms:created xsi:type="dcterms:W3CDTF">2009-06-11T14:10:24Z</dcterms:created>
  <dcterms:modified xsi:type="dcterms:W3CDTF">2026-06-03T01:18:10Z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